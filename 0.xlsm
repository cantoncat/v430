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449"/>
  </bookViews>
  <sheets>
    <sheet name="Homepage" sheetId="1" r:id="rId1"/>
    <sheet name="Parameters" sheetId="4" r:id="rId2"/>
    <sheet name="ATM_Conf" sheetId="12" r:id="rId3"/>
    <sheet name="ATMDispatcherConf" sheetId="23" r:id="rId4"/>
    <sheet name="Links" sheetId="25" r:id="rId5"/>
    <sheet name="Nodes" sheetId="19" r:id="rId6"/>
    <sheet name="OD" sheetId="26" r:id="rId7"/>
    <sheet name="On-Ramps" sheetId="20" r:id="rId8"/>
    <sheet name="Off-Ramp" sheetId="22" r:id="rId9"/>
    <sheet name="Aggregated_Data" sheetId="2" r:id="rId10"/>
    <sheet name="IC_Miles" sheetId="3" r:id="rId11"/>
    <sheet name="Input_Conf" sheetId="5" r:id="rId12"/>
    <sheet name="Route_Decisions_Conf" sheetId="6" r:id="rId13"/>
    <sheet name="Comp_Conf" sheetId="7" r:id="rId14"/>
    <sheet name="Incidents_Conf" sheetId="9" r:id="rId15"/>
    <sheet name="DC_Conf" sheetId="10" r:id="rId16"/>
    <sheet name="FCD_Conf" sheetId="11" r:id="rId17"/>
    <sheet name="VSL_Conf" sheetId="13" r:id="rId18"/>
    <sheet name="RM_Conf" sheetId="14" r:id="rId19"/>
    <sheet name="PRD_Conf" sheetId="15" r:id="rId20"/>
    <sheet name="Route_Parts_Conf" sheetId="24" r:id="rId2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5" i="20" l="1"/>
  <c r="BE5" i="20"/>
  <c r="BF5" i="20"/>
  <c r="BG5" i="20"/>
  <c r="BH5" i="20"/>
  <c r="BI5" i="20"/>
  <c r="BJ5" i="20"/>
  <c r="BK5" i="20"/>
  <c r="BL5" i="20"/>
  <c r="BD6" i="20"/>
  <c r="BE6" i="20"/>
  <c r="BF6" i="20"/>
  <c r="BG6" i="20"/>
  <c r="BH6" i="20"/>
  <c r="BI6" i="20"/>
  <c r="BJ6" i="20"/>
  <c r="BK6" i="20"/>
  <c r="BL6" i="20"/>
  <c r="BD7" i="20"/>
  <c r="BE7" i="20"/>
  <c r="BF7" i="20"/>
  <c r="BG7" i="20"/>
  <c r="BH7" i="20"/>
  <c r="BI7" i="20"/>
  <c r="BJ7" i="20"/>
  <c r="BK7" i="20"/>
  <c r="BL7" i="20"/>
  <c r="BD8" i="20"/>
  <c r="BE8" i="20"/>
  <c r="BF8" i="20"/>
  <c r="BG8" i="20"/>
  <c r="BH8" i="20"/>
  <c r="BI8" i="20"/>
  <c r="BJ8" i="20"/>
  <c r="BK8" i="20"/>
  <c r="BL8" i="20"/>
  <c r="BD9" i="20"/>
  <c r="BE9" i="20"/>
  <c r="BF9" i="20"/>
  <c r="BG9" i="20"/>
  <c r="BH9" i="20"/>
  <c r="BI9" i="20"/>
  <c r="BJ9" i="20"/>
  <c r="BK9" i="20"/>
  <c r="BL9" i="20"/>
  <c r="BD10" i="20"/>
  <c r="BE10" i="20"/>
  <c r="BF10" i="20"/>
  <c r="BG10" i="20"/>
  <c r="BH10" i="20"/>
  <c r="BI10" i="20"/>
  <c r="BJ10" i="20"/>
  <c r="BK10" i="20"/>
  <c r="BL10" i="20"/>
  <c r="BD11" i="20"/>
  <c r="BE11" i="20"/>
  <c r="BF11" i="20"/>
  <c r="BG11" i="20"/>
  <c r="BH11" i="20"/>
  <c r="BI11" i="20"/>
  <c r="BJ11" i="20"/>
  <c r="BK11" i="20"/>
  <c r="BL11" i="20"/>
  <c r="BD12" i="20"/>
  <c r="BE12" i="20"/>
  <c r="BF12" i="20"/>
  <c r="BG12" i="20"/>
  <c r="BH12" i="20"/>
  <c r="BI12" i="20"/>
  <c r="BJ12" i="20"/>
  <c r="BK12" i="20"/>
  <c r="BL12" i="20"/>
  <c r="BD13" i="20"/>
  <c r="BE13" i="20"/>
  <c r="BF13" i="20"/>
  <c r="BG13" i="20"/>
  <c r="BH13" i="20"/>
  <c r="BI13" i="20"/>
  <c r="BJ13" i="20"/>
  <c r="BK13" i="20"/>
  <c r="BL13" i="20"/>
  <c r="BD14" i="20"/>
  <c r="BE14" i="20"/>
  <c r="BF14" i="20"/>
  <c r="BG14" i="20"/>
  <c r="BH14" i="20"/>
  <c r="BI14" i="20"/>
  <c r="BJ14" i="20"/>
  <c r="BK14" i="20"/>
  <c r="BL14" i="20"/>
  <c r="BD15" i="20"/>
  <c r="BE15" i="20"/>
  <c r="BF15" i="20"/>
  <c r="BG15" i="20"/>
  <c r="BH15" i="20"/>
  <c r="BI15" i="20"/>
  <c r="BJ15" i="20"/>
  <c r="BK15" i="20"/>
  <c r="BL15" i="20"/>
  <c r="BD16" i="20"/>
  <c r="BE16" i="20"/>
  <c r="BF16" i="20"/>
  <c r="BG16" i="20"/>
  <c r="BH16" i="20"/>
  <c r="BI16" i="20"/>
  <c r="BJ16" i="20"/>
  <c r="BK16" i="20"/>
  <c r="BL16" i="20"/>
  <c r="BD17" i="20"/>
  <c r="BE17" i="20"/>
  <c r="BF17" i="20"/>
  <c r="BG17" i="20"/>
  <c r="BH17" i="20"/>
  <c r="BI17" i="20"/>
  <c r="BJ17" i="20"/>
  <c r="BK17" i="20"/>
  <c r="BL17" i="20"/>
  <c r="BD18" i="20"/>
  <c r="BE18" i="20"/>
  <c r="BF18" i="20"/>
  <c r="BG18" i="20"/>
  <c r="BH18" i="20"/>
  <c r="BI18" i="20"/>
  <c r="BJ18" i="20"/>
  <c r="BK18" i="20"/>
  <c r="BL18" i="20"/>
  <c r="BD19" i="20"/>
  <c r="BE19" i="20"/>
  <c r="BF19" i="20"/>
  <c r="BG19" i="20"/>
  <c r="BH19" i="20"/>
  <c r="BI19" i="20"/>
  <c r="BJ19" i="20"/>
  <c r="BK19" i="20"/>
  <c r="BL19" i="20"/>
  <c r="BD20" i="20"/>
  <c r="BE20" i="20"/>
  <c r="BF20" i="20"/>
  <c r="BG20" i="20"/>
  <c r="BH20" i="20"/>
  <c r="BI20" i="20"/>
  <c r="BJ20" i="20"/>
  <c r="BK20" i="20"/>
  <c r="BL20" i="20"/>
  <c r="BD21" i="20"/>
  <c r="BE21" i="20"/>
  <c r="BF21" i="20"/>
  <c r="BG21" i="20"/>
  <c r="BH21" i="20"/>
  <c r="BI21" i="20"/>
  <c r="BJ21" i="20"/>
  <c r="BK21" i="20"/>
  <c r="BL21" i="20"/>
  <c r="BD22" i="20"/>
  <c r="BE22" i="20"/>
  <c r="BF22" i="20"/>
  <c r="BG22" i="20"/>
  <c r="BH22" i="20"/>
  <c r="BI22" i="20"/>
  <c r="BJ22" i="20"/>
  <c r="BK22" i="20"/>
  <c r="BL22" i="20"/>
  <c r="BD23" i="20"/>
  <c r="BE23" i="20"/>
  <c r="BF23" i="20"/>
  <c r="BG23" i="20"/>
  <c r="BH23" i="20"/>
  <c r="BI23" i="20"/>
  <c r="BJ23" i="20"/>
  <c r="BK23" i="20"/>
  <c r="BL23" i="20"/>
  <c r="BD24" i="20"/>
  <c r="BE24" i="20"/>
  <c r="BF24" i="20"/>
  <c r="BG24" i="20"/>
  <c r="BH24" i="20"/>
  <c r="BI24" i="20"/>
  <c r="BJ24" i="20"/>
  <c r="BK24" i="20"/>
  <c r="BL24" i="20"/>
  <c r="BD25" i="20"/>
  <c r="BE25" i="20"/>
  <c r="BF25" i="20"/>
  <c r="BG25" i="20"/>
  <c r="BH25" i="20"/>
  <c r="BI25" i="20"/>
  <c r="BJ25" i="20"/>
  <c r="BK25" i="20"/>
  <c r="BL25" i="20"/>
  <c r="BD26" i="20"/>
  <c r="BE26" i="20"/>
  <c r="BF26" i="20"/>
  <c r="BG26" i="20"/>
  <c r="BH26" i="20"/>
  <c r="BI26" i="20"/>
  <c r="BJ26" i="20"/>
  <c r="BK26" i="20"/>
  <c r="BL26" i="20"/>
  <c r="BD27" i="20"/>
  <c r="BE27" i="20"/>
  <c r="BF27" i="20"/>
  <c r="BG27" i="20"/>
  <c r="BH27" i="20"/>
  <c r="BI27" i="20"/>
  <c r="BJ27" i="20"/>
  <c r="BK27" i="20"/>
  <c r="BL27" i="20"/>
  <c r="BD28" i="20"/>
  <c r="BE28" i="20"/>
  <c r="BF28" i="20"/>
  <c r="BG28" i="20"/>
  <c r="BH28" i="20"/>
  <c r="BI28" i="20"/>
  <c r="BJ28" i="20"/>
  <c r="BK28" i="20"/>
  <c r="BL28" i="20"/>
  <c r="BD29" i="20"/>
  <c r="BE29" i="20"/>
  <c r="BF29" i="20"/>
  <c r="BG29" i="20"/>
  <c r="BH29" i="20"/>
  <c r="BI29" i="20"/>
  <c r="BJ29" i="20"/>
  <c r="BK29" i="20"/>
  <c r="BL29" i="20"/>
  <c r="BD30" i="20"/>
  <c r="BE30" i="20"/>
  <c r="BF30" i="20"/>
  <c r="BG30" i="20"/>
  <c r="BH30" i="20"/>
  <c r="BI30" i="20"/>
  <c r="BJ30" i="20"/>
  <c r="BK30" i="20"/>
  <c r="BL30" i="20"/>
  <c r="BD31" i="20"/>
  <c r="BE31" i="20"/>
  <c r="BF31" i="20"/>
  <c r="BG31" i="20"/>
  <c r="BH31" i="20"/>
  <c r="BI31" i="20"/>
  <c r="BJ31" i="20"/>
  <c r="BK31" i="20"/>
  <c r="BL31" i="20"/>
  <c r="BD32" i="20"/>
  <c r="BE32" i="20"/>
  <c r="BF32" i="20"/>
  <c r="BG32" i="20"/>
  <c r="BH32" i="20"/>
  <c r="BI32" i="20"/>
  <c r="BJ32" i="20"/>
  <c r="BK32" i="20"/>
  <c r="BL32" i="20"/>
  <c r="BD33" i="20"/>
  <c r="BE33" i="20"/>
  <c r="BF33" i="20"/>
  <c r="BG33" i="20"/>
  <c r="BH33" i="20"/>
  <c r="BI33" i="20"/>
  <c r="BJ33" i="20"/>
  <c r="BK33" i="20"/>
  <c r="BL33" i="20"/>
  <c r="BD34" i="20"/>
  <c r="BE34" i="20"/>
  <c r="BF34" i="20"/>
  <c r="BG34" i="20"/>
  <c r="BH34" i="20"/>
  <c r="BI34" i="20"/>
  <c r="BJ34" i="20"/>
  <c r="BK34" i="20"/>
  <c r="BL34" i="20"/>
  <c r="BD35" i="20"/>
  <c r="BE35" i="20"/>
  <c r="BF35" i="20"/>
  <c r="BG35" i="20"/>
  <c r="BH35" i="20"/>
  <c r="BI35" i="20"/>
  <c r="BJ35" i="20"/>
  <c r="BK35" i="20"/>
  <c r="BL35" i="20"/>
  <c r="BD36" i="20"/>
  <c r="BE36" i="20"/>
  <c r="BF36" i="20"/>
  <c r="BG36" i="20"/>
  <c r="BH36" i="20"/>
  <c r="BI36" i="20"/>
  <c r="BJ36" i="20"/>
  <c r="BK36" i="20"/>
  <c r="BL36" i="20"/>
  <c r="BD37" i="20"/>
  <c r="BE37" i="20"/>
  <c r="BF37" i="20"/>
  <c r="BG37" i="20"/>
  <c r="BH37" i="20"/>
  <c r="BI37" i="20"/>
  <c r="BJ37" i="20"/>
  <c r="BK37" i="20"/>
  <c r="BL37" i="20"/>
  <c r="BD38" i="20"/>
  <c r="BE38" i="20"/>
  <c r="BF38" i="20"/>
  <c r="BG38" i="20"/>
  <c r="BH38" i="20"/>
  <c r="BI38" i="20"/>
  <c r="BJ38" i="20"/>
  <c r="BK38" i="20"/>
  <c r="BL38" i="20"/>
  <c r="BD39" i="20"/>
  <c r="BE39" i="20"/>
  <c r="BF39" i="20"/>
  <c r="BG39" i="20"/>
  <c r="BH39" i="20"/>
  <c r="BI39" i="20"/>
  <c r="BJ39" i="20"/>
  <c r="BK39" i="20"/>
  <c r="BL39" i="20"/>
  <c r="BD40" i="20"/>
  <c r="BE40" i="20"/>
  <c r="BF40" i="20"/>
  <c r="BG40" i="20"/>
  <c r="BH40" i="20"/>
  <c r="BI40" i="20"/>
  <c r="BJ40" i="20"/>
  <c r="BK40" i="20"/>
  <c r="BL40" i="20"/>
  <c r="BD41" i="20"/>
  <c r="BE41" i="20"/>
  <c r="BF41" i="20"/>
  <c r="BG41" i="20"/>
  <c r="BH41" i="20"/>
  <c r="BI41" i="20"/>
  <c r="BJ41" i="20"/>
  <c r="BK41" i="20"/>
  <c r="BL41" i="20"/>
  <c r="BD42" i="20"/>
  <c r="BE42" i="20"/>
  <c r="BF42" i="20"/>
  <c r="BG42" i="20"/>
  <c r="BH42" i="20"/>
  <c r="BI42" i="20"/>
  <c r="BJ42" i="20"/>
  <c r="BK42" i="20"/>
  <c r="BL42" i="20"/>
  <c r="BD43" i="20"/>
  <c r="BE43" i="20"/>
  <c r="BF43" i="20"/>
  <c r="BG43" i="20"/>
  <c r="BH43" i="20"/>
  <c r="BI43" i="20"/>
  <c r="BJ43" i="20"/>
  <c r="BK43" i="20"/>
  <c r="BL43" i="20"/>
  <c r="BD44" i="20"/>
  <c r="BE44" i="20"/>
  <c r="BF44" i="20"/>
  <c r="BG44" i="20"/>
  <c r="BH44" i="20"/>
  <c r="BI44" i="20"/>
  <c r="BJ44" i="20"/>
  <c r="BK44" i="20"/>
  <c r="BL44" i="20"/>
  <c r="BD45" i="20"/>
  <c r="BE45" i="20"/>
  <c r="BF45" i="20"/>
  <c r="BG45" i="20"/>
  <c r="BH45" i="20"/>
  <c r="BI45" i="20"/>
  <c r="BJ45" i="20"/>
  <c r="BK45" i="20"/>
  <c r="BL45" i="20"/>
  <c r="BD46" i="20"/>
  <c r="BE46" i="20"/>
  <c r="BF46" i="20"/>
  <c r="BG46" i="20"/>
  <c r="BH46" i="20"/>
  <c r="BI46" i="20"/>
  <c r="BJ46" i="20"/>
  <c r="BK46" i="20"/>
  <c r="BL46" i="20"/>
  <c r="BD47" i="20"/>
  <c r="BE47" i="20"/>
  <c r="BF47" i="20"/>
  <c r="BG47" i="20"/>
  <c r="BH47" i="20"/>
  <c r="BI47" i="20"/>
  <c r="BJ47" i="20"/>
  <c r="BK47" i="20"/>
  <c r="BL47" i="20"/>
  <c r="BD48" i="20"/>
  <c r="BE48" i="20"/>
  <c r="BF48" i="20"/>
  <c r="BG48" i="20"/>
  <c r="BH48" i="20"/>
  <c r="BI48" i="20"/>
  <c r="BJ48" i="20"/>
  <c r="BK48" i="20"/>
  <c r="BL48" i="20"/>
  <c r="BD49" i="20"/>
  <c r="BE49" i="20"/>
  <c r="BF49" i="20"/>
  <c r="BG49" i="20"/>
  <c r="BH49" i="20"/>
  <c r="BI49" i="20"/>
  <c r="BJ49" i="20"/>
  <c r="BK49" i="20"/>
  <c r="BL49" i="20"/>
  <c r="BD50" i="20"/>
  <c r="BE50" i="20"/>
  <c r="BF50" i="20"/>
  <c r="BG50" i="20"/>
  <c r="BH50" i="20"/>
  <c r="BI50" i="20"/>
  <c r="BJ50" i="20"/>
  <c r="BK50" i="20"/>
  <c r="BL50" i="20"/>
  <c r="BD51" i="20"/>
  <c r="BE51" i="20"/>
  <c r="BF51" i="20"/>
  <c r="BG51" i="20"/>
  <c r="BH51" i="20"/>
  <c r="BI51" i="20"/>
  <c r="BJ51" i="20"/>
  <c r="BK51" i="20"/>
  <c r="BL51" i="20"/>
  <c r="BD52" i="20"/>
  <c r="BE52" i="20"/>
  <c r="BF52" i="20"/>
  <c r="BG52" i="20"/>
  <c r="BH52" i="20"/>
  <c r="BI52" i="20"/>
  <c r="BJ52" i="20"/>
  <c r="BK52" i="20"/>
  <c r="BL52" i="20"/>
  <c r="BD53" i="20"/>
  <c r="BE53" i="20"/>
  <c r="BF53" i="20"/>
  <c r="BG53" i="20"/>
  <c r="BH53" i="20"/>
  <c r="BI53" i="20"/>
  <c r="BJ53" i="20"/>
  <c r="BK53" i="20"/>
  <c r="BL53" i="20"/>
  <c r="BD54" i="20"/>
  <c r="BE54" i="20"/>
  <c r="BF54" i="20"/>
  <c r="BG54" i="20"/>
  <c r="BH54" i="20"/>
  <c r="BI54" i="20"/>
  <c r="BJ54" i="20"/>
  <c r="BK54" i="20"/>
  <c r="BL54" i="20"/>
  <c r="BD55" i="20"/>
  <c r="BE55" i="20"/>
  <c r="BF55" i="20"/>
  <c r="BG55" i="20"/>
  <c r="BH55" i="20"/>
  <c r="BI55" i="20"/>
  <c r="BJ55" i="20"/>
  <c r="BK55" i="20"/>
  <c r="BL55" i="20"/>
  <c r="BD56" i="20"/>
  <c r="BE56" i="20"/>
  <c r="BF56" i="20"/>
  <c r="BG56" i="20"/>
  <c r="BH56" i="20"/>
  <c r="BI56" i="20"/>
  <c r="BJ56" i="20"/>
  <c r="BK56" i="20"/>
  <c r="BL56" i="20"/>
  <c r="BD57" i="20"/>
  <c r="BE57" i="20"/>
  <c r="BF57" i="20"/>
  <c r="BG57" i="20"/>
  <c r="BH57" i="20"/>
  <c r="BI57" i="20"/>
  <c r="BJ57" i="20"/>
  <c r="BK57" i="20"/>
  <c r="BL57" i="20"/>
  <c r="BD58" i="20"/>
  <c r="BE58" i="20"/>
  <c r="BF58" i="20"/>
  <c r="BG58" i="20"/>
  <c r="BH58" i="20"/>
  <c r="BI58" i="20"/>
  <c r="BJ58" i="20"/>
  <c r="BK58" i="20"/>
  <c r="BL58" i="20"/>
  <c r="BD59" i="20"/>
  <c r="BE59" i="20"/>
  <c r="BF59" i="20"/>
  <c r="BG59" i="20"/>
  <c r="BH59" i="20"/>
  <c r="BI59" i="20"/>
  <c r="BJ59" i="20"/>
  <c r="BK59" i="20"/>
  <c r="BL59" i="20"/>
  <c r="BD60" i="20"/>
  <c r="BE60" i="20"/>
  <c r="BF60" i="20"/>
  <c r="BG60" i="20"/>
  <c r="BH60" i="20"/>
  <c r="BI60" i="20"/>
  <c r="BJ60" i="20"/>
  <c r="BK60" i="20"/>
  <c r="BL60" i="20"/>
  <c r="BD61" i="20"/>
  <c r="BE61" i="20"/>
  <c r="BF61" i="20"/>
  <c r="BG61" i="20"/>
  <c r="BH61" i="20"/>
  <c r="BI61" i="20"/>
  <c r="BJ61" i="20"/>
  <c r="BK61" i="20"/>
  <c r="BL61" i="20"/>
  <c r="BD62" i="20"/>
  <c r="BE62" i="20"/>
  <c r="BF62" i="20"/>
  <c r="BG62" i="20"/>
  <c r="BH62" i="20"/>
  <c r="BI62" i="20"/>
  <c r="BJ62" i="20"/>
  <c r="BK62" i="20"/>
  <c r="BL62" i="20"/>
  <c r="BD63" i="20"/>
  <c r="BE63" i="20"/>
  <c r="BF63" i="20"/>
  <c r="BG63" i="20"/>
  <c r="BH63" i="20"/>
  <c r="BI63" i="20"/>
  <c r="BJ63" i="20"/>
  <c r="BK63" i="20"/>
  <c r="BL63" i="20"/>
  <c r="BD64" i="20"/>
  <c r="BE64" i="20"/>
  <c r="BF64" i="20"/>
  <c r="BG64" i="20"/>
  <c r="BH64" i="20"/>
  <c r="BI64" i="20"/>
  <c r="BJ64" i="20"/>
  <c r="BK64" i="20"/>
  <c r="BL64" i="20"/>
  <c r="BD65" i="20"/>
  <c r="BE65" i="20"/>
  <c r="BF65" i="20"/>
  <c r="BG65" i="20"/>
  <c r="BH65" i="20"/>
  <c r="BI65" i="20"/>
  <c r="BJ65" i="20"/>
  <c r="BK65" i="20"/>
  <c r="BL65" i="20"/>
  <c r="BD66" i="20"/>
  <c r="BE66" i="20"/>
  <c r="BF66" i="20"/>
  <c r="BG66" i="20"/>
  <c r="BH66" i="20"/>
  <c r="BI66" i="20"/>
  <c r="BJ66" i="20"/>
  <c r="BK66" i="20"/>
  <c r="BL66" i="20"/>
  <c r="BD67" i="20"/>
  <c r="BE67" i="20"/>
  <c r="BF67" i="20"/>
  <c r="BG67" i="20"/>
  <c r="BH67" i="20"/>
  <c r="BI67" i="20"/>
  <c r="BJ67" i="20"/>
  <c r="BK67" i="20"/>
  <c r="BL67" i="20"/>
  <c r="BD68" i="20"/>
  <c r="BE68" i="20"/>
  <c r="BF68" i="20"/>
  <c r="BG68" i="20"/>
  <c r="BH68" i="20"/>
  <c r="BI68" i="20"/>
  <c r="BJ68" i="20"/>
  <c r="BK68" i="20"/>
  <c r="BL68" i="20"/>
  <c r="BD69" i="20"/>
  <c r="BE69" i="20"/>
  <c r="BF69" i="20"/>
  <c r="BG69" i="20"/>
  <c r="BH69" i="20"/>
  <c r="BI69" i="20"/>
  <c r="BJ69" i="20"/>
  <c r="BK69" i="20"/>
  <c r="BL69" i="20"/>
  <c r="BD70" i="20"/>
  <c r="BE70" i="20"/>
  <c r="BF70" i="20"/>
  <c r="BG70" i="20"/>
  <c r="BH70" i="20"/>
  <c r="BI70" i="20"/>
  <c r="BJ70" i="20"/>
  <c r="BK70" i="20"/>
  <c r="BL70" i="20"/>
  <c r="BD71" i="20"/>
  <c r="BE71" i="20"/>
  <c r="BF71" i="20"/>
  <c r="BG71" i="20"/>
  <c r="BH71" i="20"/>
  <c r="BI71" i="20"/>
  <c r="BJ71" i="20"/>
  <c r="BK71" i="20"/>
  <c r="BL71" i="20"/>
  <c r="BD72" i="20"/>
  <c r="BE72" i="20"/>
  <c r="BF72" i="20"/>
  <c r="BG72" i="20"/>
  <c r="BH72" i="20"/>
  <c r="BI72" i="20"/>
  <c r="BJ72" i="20"/>
  <c r="BK72" i="20"/>
  <c r="BL72" i="20"/>
  <c r="BD73" i="20"/>
  <c r="BE73" i="20"/>
  <c r="BF73" i="20"/>
  <c r="BG73" i="20"/>
  <c r="BH73" i="20"/>
  <c r="BI73" i="20"/>
  <c r="BJ73" i="20"/>
  <c r="BK73" i="20"/>
  <c r="BL73" i="20"/>
  <c r="BD74" i="20"/>
  <c r="BE74" i="20"/>
  <c r="BF74" i="20"/>
  <c r="BG74" i="20"/>
  <c r="BH74" i="20"/>
  <c r="BI74" i="20"/>
  <c r="BJ74" i="20"/>
  <c r="BK74" i="20"/>
  <c r="BL74" i="20"/>
  <c r="BD75" i="20"/>
  <c r="BE75" i="20"/>
  <c r="BF75" i="20"/>
  <c r="BG75" i="20"/>
  <c r="BH75" i="20"/>
  <c r="BI75" i="20"/>
  <c r="BJ75" i="20"/>
  <c r="BK75" i="20"/>
  <c r="BL75" i="20"/>
  <c r="BD76" i="20"/>
  <c r="BE76" i="20"/>
  <c r="BF76" i="20"/>
  <c r="BG76" i="20"/>
  <c r="BH76" i="20"/>
  <c r="BI76" i="20"/>
  <c r="BJ76" i="20"/>
  <c r="BK76" i="20"/>
  <c r="BL76" i="20"/>
  <c r="BD77" i="20"/>
  <c r="BE77" i="20"/>
  <c r="BF77" i="20"/>
  <c r="BG77" i="20"/>
  <c r="BH77" i="20"/>
  <c r="BI77" i="20"/>
  <c r="BJ77" i="20"/>
  <c r="BK77" i="20"/>
  <c r="BL77" i="20"/>
  <c r="BD78" i="20"/>
  <c r="BE78" i="20"/>
  <c r="BF78" i="20"/>
  <c r="BG78" i="20"/>
  <c r="BH78" i="20"/>
  <c r="BI78" i="20"/>
  <c r="BJ78" i="20"/>
  <c r="BK78" i="20"/>
  <c r="BL78" i="20"/>
  <c r="BD79" i="20"/>
  <c r="BE79" i="20"/>
  <c r="BF79" i="20"/>
  <c r="BG79" i="20"/>
  <c r="BH79" i="20"/>
  <c r="BI79" i="20"/>
  <c r="BJ79" i="20"/>
  <c r="BK79" i="20"/>
  <c r="BL79" i="20"/>
  <c r="BD80" i="20"/>
  <c r="BE80" i="20"/>
  <c r="BF80" i="20"/>
  <c r="BG80" i="20"/>
  <c r="BH80" i="20"/>
  <c r="BI80" i="20"/>
  <c r="BJ80" i="20"/>
  <c r="BK80" i="20"/>
  <c r="BL80" i="20"/>
  <c r="BD81" i="20"/>
  <c r="BE81" i="20"/>
  <c r="BF81" i="20"/>
  <c r="BG81" i="20"/>
  <c r="BH81" i="20"/>
  <c r="BI81" i="20"/>
  <c r="BJ81" i="20"/>
  <c r="BK81" i="20"/>
  <c r="BL81" i="20"/>
  <c r="BD82" i="20"/>
  <c r="BE82" i="20"/>
  <c r="BF82" i="20"/>
  <c r="BG82" i="20"/>
  <c r="BH82" i="20"/>
  <c r="BI82" i="20"/>
  <c r="BJ82" i="20"/>
  <c r="BK82" i="20"/>
  <c r="BL82" i="20"/>
  <c r="BD83" i="20"/>
  <c r="BE83" i="20"/>
  <c r="BF83" i="20"/>
  <c r="BG83" i="20"/>
  <c r="BH83" i="20"/>
  <c r="BI83" i="20"/>
  <c r="BJ83" i="20"/>
  <c r="BK83" i="20"/>
  <c r="BL83" i="20"/>
  <c r="BD84" i="20"/>
  <c r="BE84" i="20"/>
  <c r="BF84" i="20"/>
  <c r="BG84" i="20"/>
  <c r="BH84" i="20"/>
  <c r="BI84" i="20"/>
  <c r="BJ84" i="20"/>
  <c r="BK84" i="20"/>
  <c r="BL84" i="20"/>
  <c r="BD85" i="20"/>
  <c r="BE85" i="20"/>
  <c r="BF85" i="20"/>
  <c r="BG85" i="20"/>
  <c r="BH85" i="20"/>
  <c r="BI85" i="20"/>
  <c r="BJ85" i="20"/>
  <c r="BK85" i="20"/>
  <c r="BL85" i="20"/>
  <c r="BD86" i="20"/>
  <c r="BE86" i="20"/>
  <c r="BF86" i="20"/>
  <c r="BG86" i="20"/>
  <c r="BH86" i="20"/>
  <c r="BI86" i="20"/>
  <c r="BJ86" i="20"/>
  <c r="BK86" i="20"/>
  <c r="BL86" i="20"/>
  <c r="BD87" i="20"/>
  <c r="BE87" i="20"/>
  <c r="BF87" i="20"/>
  <c r="BG87" i="20"/>
  <c r="BH87" i="20"/>
  <c r="BI87" i="20"/>
  <c r="BJ87" i="20"/>
  <c r="BK87" i="20"/>
  <c r="BL87" i="20"/>
  <c r="BD88" i="20"/>
  <c r="BE88" i="20"/>
  <c r="BF88" i="20"/>
  <c r="BG88" i="20"/>
  <c r="BH88" i="20"/>
  <c r="BI88" i="20"/>
  <c r="BJ88" i="20"/>
  <c r="BK88" i="20"/>
  <c r="BL88" i="20"/>
  <c r="BD89" i="20"/>
  <c r="BE89" i="20"/>
  <c r="BF89" i="20"/>
  <c r="BG89" i="20"/>
  <c r="BH89" i="20"/>
  <c r="BI89" i="20"/>
  <c r="BJ89" i="20"/>
  <c r="BK89" i="20"/>
  <c r="BL89" i="20"/>
  <c r="BD90" i="20"/>
  <c r="BE90" i="20"/>
  <c r="BF90" i="20"/>
  <c r="BG90" i="20"/>
  <c r="BH90" i="20"/>
  <c r="BI90" i="20"/>
  <c r="BJ90" i="20"/>
  <c r="BK90" i="20"/>
  <c r="BL90" i="20"/>
  <c r="BD91" i="20"/>
  <c r="BE91" i="20"/>
  <c r="BF91" i="20"/>
  <c r="BG91" i="20"/>
  <c r="BH91" i="20"/>
  <c r="BI91" i="20"/>
  <c r="BJ91" i="20"/>
  <c r="BK91" i="20"/>
  <c r="BL91" i="20"/>
  <c r="BD92" i="20"/>
  <c r="BE92" i="20"/>
  <c r="BF92" i="20"/>
  <c r="BG92" i="20"/>
  <c r="BH92" i="20"/>
  <c r="BI92" i="20"/>
  <c r="BJ92" i="20"/>
  <c r="BK92" i="20"/>
  <c r="BL92" i="20"/>
  <c r="BD93" i="20"/>
  <c r="BE93" i="20"/>
  <c r="BF93" i="20"/>
  <c r="BG93" i="20"/>
  <c r="BH93" i="20"/>
  <c r="BI93" i="20"/>
  <c r="BJ93" i="20"/>
  <c r="BK93" i="20"/>
  <c r="BL93" i="20"/>
  <c r="BD94" i="20"/>
  <c r="BE94" i="20"/>
  <c r="BF94" i="20"/>
  <c r="BG94" i="20"/>
  <c r="BH94" i="20"/>
  <c r="BI94" i="20"/>
  <c r="BJ94" i="20"/>
  <c r="BK94" i="20"/>
  <c r="BL94" i="20"/>
  <c r="BD95" i="20"/>
  <c r="BE95" i="20"/>
  <c r="BF95" i="20"/>
  <c r="BG95" i="20"/>
  <c r="BH95" i="20"/>
  <c r="BI95" i="20"/>
  <c r="BJ95" i="20"/>
  <c r="BK95" i="20"/>
  <c r="BL95" i="20"/>
  <c r="BD96" i="20"/>
  <c r="BE96" i="20"/>
  <c r="BF96" i="20"/>
  <c r="BG96" i="20"/>
  <c r="BH96" i="20"/>
  <c r="BI96" i="20"/>
  <c r="BJ96" i="20"/>
  <c r="BK96" i="20"/>
  <c r="BL96" i="20"/>
  <c r="BD97" i="20"/>
  <c r="BE97" i="20"/>
  <c r="BF97" i="20"/>
  <c r="BG97" i="20"/>
  <c r="BH97" i="20"/>
  <c r="BI97" i="20"/>
  <c r="BJ97" i="20"/>
  <c r="BK97" i="20"/>
  <c r="BL97" i="20"/>
  <c r="BD98" i="20"/>
  <c r="BE98" i="20"/>
  <c r="BF98" i="20"/>
  <c r="BG98" i="20"/>
  <c r="BH98" i="20"/>
  <c r="BI98" i="20"/>
  <c r="BJ98" i="20"/>
  <c r="BK98" i="20"/>
  <c r="BL98" i="20"/>
  <c r="BD99" i="20"/>
  <c r="BE99" i="20"/>
  <c r="BF99" i="20"/>
  <c r="BG99" i="20"/>
  <c r="BH99" i="20"/>
  <c r="BI99" i="20"/>
  <c r="BJ99" i="20"/>
  <c r="BK99" i="20"/>
  <c r="BL99" i="20"/>
  <c r="BD100" i="20"/>
  <c r="BE100" i="20"/>
  <c r="BF100" i="20"/>
  <c r="BG100" i="20"/>
  <c r="BH100" i="20"/>
  <c r="BI100" i="20"/>
  <c r="BJ100" i="20"/>
  <c r="BK100" i="20"/>
  <c r="BL100" i="20"/>
  <c r="BD101" i="20"/>
  <c r="BE101" i="20"/>
  <c r="BF101" i="20"/>
  <c r="BG101" i="20"/>
  <c r="BH101" i="20"/>
  <c r="BI101" i="20"/>
  <c r="BJ101" i="20"/>
  <c r="BK101" i="20"/>
  <c r="BL101" i="20"/>
  <c r="BD102" i="20"/>
  <c r="BE102" i="20"/>
  <c r="BF102" i="20"/>
  <c r="BG102" i="20"/>
  <c r="BH102" i="20"/>
  <c r="BI102" i="20"/>
  <c r="BJ102" i="20"/>
  <c r="BK102" i="20"/>
  <c r="BL102" i="20"/>
  <c r="BD103" i="20"/>
  <c r="BE103" i="20"/>
  <c r="BF103" i="20"/>
  <c r="BG103" i="20"/>
  <c r="BH103" i="20"/>
  <c r="BI103" i="20"/>
  <c r="BJ103" i="20"/>
  <c r="BK103" i="20"/>
  <c r="BL103" i="20"/>
  <c r="BD104" i="20"/>
  <c r="BE104" i="20"/>
  <c r="BF104" i="20"/>
  <c r="BG104" i="20"/>
  <c r="BH104" i="20"/>
  <c r="BI104" i="20"/>
  <c r="BJ104" i="20"/>
  <c r="BK104" i="20"/>
  <c r="BL104" i="20"/>
  <c r="BD105" i="20"/>
  <c r="BE105" i="20"/>
  <c r="BF105" i="20"/>
  <c r="BG105" i="20"/>
  <c r="BH105" i="20"/>
  <c r="BI105" i="20"/>
  <c r="BJ105" i="20"/>
  <c r="BK105" i="20"/>
  <c r="BL105" i="20"/>
  <c r="BD106" i="20"/>
  <c r="BE106" i="20"/>
  <c r="BF106" i="20"/>
  <c r="BG106" i="20"/>
  <c r="BH106" i="20"/>
  <c r="BI106" i="20"/>
  <c r="BJ106" i="20"/>
  <c r="BK106" i="20"/>
  <c r="BL106" i="20"/>
  <c r="BD107" i="20"/>
  <c r="BE107" i="20"/>
  <c r="BF107" i="20"/>
  <c r="BG107" i="20"/>
  <c r="BH107" i="20"/>
  <c r="BI107" i="20"/>
  <c r="BJ107" i="20"/>
  <c r="BK107" i="20"/>
  <c r="BL107" i="20"/>
  <c r="BD108" i="20"/>
  <c r="BE108" i="20"/>
  <c r="BF108" i="20"/>
  <c r="BG108" i="20"/>
  <c r="BH108" i="20"/>
  <c r="BI108" i="20"/>
  <c r="BJ108" i="20"/>
  <c r="BK108" i="20"/>
  <c r="BL108" i="20"/>
  <c r="BD109" i="20"/>
  <c r="BE109" i="20"/>
  <c r="BF109" i="20"/>
  <c r="BG109" i="20"/>
  <c r="BH109" i="20"/>
  <c r="BI109" i="20"/>
  <c r="BJ109" i="20"/>
  <c r="BK109" i="20"/>
  <c r="BL109" i="20"/>
  <c r="BD110" i="20"/>
  <c r="BE110" i="20"/>
  <c r="BF110" i="20"/>
  <c r="BG110" i="20"/>
  <c r="BH110" i="20"/>
  <c r="BI110" i="20"/>
  <c r="BJ110" i="20"/>
  <c r="BK110" i="20"/>
  <c r="BL110" i="20"/>
  <c r="BD111" i="20"/>
  <c r="BE111" i="20"/>
  <c r="BF111" i="20"/>
  <c r="BG111" i="20"/>
  <c r="BH111" i="20"/>
  <c r="BI111" i="20"/>
  <c r="BJ111" i="20"/>
  <c r="BK111" i="20"/>
  <c r="BL111" i="20"/>
  <c r="BD112" i="20"/>
  <c r="BE112" i="20"/>
  <c r="BF112" i="20"/>
  <c r="BG112" i="20"/>
  <c r="BH112" i="20"/>
  <c r="BI112" i="20"/>
  <c r="BJ112" i="20"/>
  <c r="BK112" i="20"/>
  <c r="BL112" i="20"/>
  <c r="BD113" i="20"/>
  <c r="BE113" i="20"/>
  <c r="BF113" i="20"/>
  <c r="BG113" i="20"/>
  <c r="BH113" i="20"/>
  <c r="BI113" i="20"/>
  <c r="BJ113" i="20"/>
  <c r="BK113" i="20"/>
  <c r="BL113" i="20"/>
  <c r="BD114" i="20"/>
  <c r="BE114" i="20"/>
  <c r="BF114" i="20"/>
  <c r="BG114" i="20"/>
  <c r="BH114" i="20"/>
  <c r="BI114" i="20"/>
  <c r="BJ114" i="20"/>
  <c r="BK114" i="20"/>
  <c r="BL114" i="20"/>
  <c r="BD115" i="20"/>
  <c r="BE115" i="20"/>
  <c r="BF115" i="20"/>
  <c r="BG115" i="20"/>
  <c r="BH115" i="20"/>
  <c r="BI115" i="20"/>
  <c r="BJ115" i="20"/>
  <c r="BK115" i="20"/>
  <c r="BL115" i="20"/>
  <c r="BD116" i="20"/>
  <c r="BE116" i="20"/>
  <c r="BF116" i="20"/>
  <c r="BG116" i="20"/>
  <c r="BH116" i="20"/>
  <c r="BI116" i="20"/>
  <c r="BJ116" i="20"/>
  <c r="BK116" i="20"/>
  <c r="BL116" i="20"/>
  <c r="BD117" i="20"/>
  <c r="BE117" i="20"/>
  <c r="BF117" i="20"/>
  <c r="BG117" i="20"/>
  <c r="BH117" i="20"/>
  <c r="BI117" i="20"/>
  <c r="BJ117" i="20"/>
  <c r="BK117" i="20"/>
  <c r="BL117" i="20"/>
  <c r="BD118" i="20"/>
  <c r="BE118" i="20"/>
  <c r="BF118" i="20"/>
  <c r="BG118" i="20"/>
  <c r="BH118" i="20"/>
  <c r="BI118" i="20"/>
  <c r="BJ118" i="20"/>
  <c r="BK118" i="20"/>
  <c r="BL118" i="20"/>
  <c r="BD119" i="20"/>
  <c r="BE119" i="20"/>
  <c r="BF119" i="20"/>
  <c r="BG119" i="20"/>
  <c r="BH119" i="20"/>
  <c r="BI119" i="20"/>
  <c r="BJ119" i="20"/>
  <c r="BK119" i="20"/>
  <c r="BL119" i="20"/>
  <c r="BD120" i="20"/>
  <c r="BE120" i="20"/>
  <c r="BF120" i="20"/>
  <c r="BG120" i="20"/>
  <c r="BH120" i="20"/>
  <c r="BI120" i="20"/>
  <c r="BJ120" i="20"/>
  <c r="BK120" i="20"/>
  <c r="BL120" i="20"/>
  <c r="BD121" i="20"/>
  <c r="BE121" i="20"/>
  <c r="BF121" i="20"/>
  <c r="BG121" i="20"/>
  <c r="BH121" i="20"/>
  <c r="BI121" i="20"/>
  <c r="BJ121" i="20"/>
  <c r="BK121" i="20"/>
  <c r="BL121" i="20"/>
  <c r="BD122" i="20"/>
  <c r="BE122" i="20"/>
  <c r="BF122" i="20"/>
  <c r="BG122" i="20"/>
  <c r="BH122" i="20"/>
  <c r="BI122" i="20"/>
  <c r="BJ122" i="20"/>
  <c r="BK122" i="20"/>
  <c r="BL122" i="20"/>
  <c r="BD123" i="20"/>
  <c r="BE123" i="20"/>
  <c r="BF123" i="20"/>
  <c r="BG123" i="20"/>
  <c r="BH123" i="20"/>
  <c r="BI123" i="20"/>
  <c r="BJ123" i="20"/>
  <c r="BK123" i="20"/>
  <c r="BL123" i="20"/>
  <c r="BD124" i="20"/>
  <c r="BE124" i="20"/>
  <c r="BF124" i="20"/>
  <c r="BG124" i="20"/>
  <c r="BH124" i="20"/>
  <c r="BI124" i="20"/>
  <c r="BJ124" i="20"/>
  <c r="BK124" i="20"/>
  <c r="BL124" i="20"/>
  <c r="BD125" i="20"/>
  <c r="BE125" i="20"/>
  <c r="BF125" i="20"/>
  <c r="BG125" i="20"/>
  <c r="BH125" i="20"/>
  <c r="BI125" i="20"/>
  <c r="BJ125" i="20"/>
  <c r="BK125" i="20"/>
  <c r="BL125" i="20"/>
  <c r="BD126" i="20"/>
  <c r="BE126" i="20"/>
  <c r="BF126" i="20"/>
  <c r="BG126" i="20"/>
  <c r="BH126" i="20"/>
  <c r="BI126" i="20"/>
  <c r="BJ126" i="20"/>
  <c r="BK126" i="20"/>
  <c r="BL126" i="20"/>
  <c r="BD127" i="20"/>
  <c r="BE127" i="20"/>
  <c r="BF127" i="20"/>
  <c r="BG127" i="20"/>
  <c r="BH127" i="20"/>
  <c r="BI127" i="20"/>
  <c r="BJ127" i="20"/>
  <c r="BK127" i="20"/>
  <c r="BL127" i="20"/>
  <c r="BD128" i="20"/>
  <c r="BE128" i="20"/>
  <c r="BF128" i="20"/>
  <c r="BG128" i="20"/>
  <c r="BH128" i="20"/>
  <c r="BI128" i="20"/>
  <c r="BJ128" i="20"/>
  <c r="BK128" i="20"/>
  <c r="BL128" i="20"/>
  <c r="BD129" i="20"/>
  <c r="BE129" i="20"/>
  <c r="BF129" i="20"/>
  <c r="BG129" i="20"/>
  <c r="BH129" i="20"/>
  <c r="BI129" i="20"/>
  <c r="BJ129" i="20"/>
  <c r="BK129" i="20"/>
  <c r="BL129" i="20"/>
  <c r="BD130" i="20"/>
  <c r="BE130" i="20"/>
  <c r="BF130" i="20"/>
  <c r="BG130" i="20"/>
  <c r="BH130" i="20"/>
  <c r="BI130" i="20"/>
  <c r="BJ130" i="20"/>
  <c r="BK130" i="20"/>
  <c r="BL130" i="20"/>
  <c r="BD131" i="20"/>
  <c r="BE131" i="20"/>
  <c r="BF131" i="20"/>
  <c r="BG131" i="20"/>
  <c r="BH131" i="20"/>
  <c r="BI131" i="20"/>
  <c r="BJ131" i="20"/>
  <c r="BK131" i="20"/>
  <c r="BL131" i="20"/>
  <c r="BD132" i="20"/>
  <c r="BE132" i="20"/>
  <c r="BF132" i="20"/>
  <c r="BG132" i="20"/>
  <c r="BH132" i="20"/>
  <c r="BI132" i="20"/>
  <c r="BJ132" i="20"/>
  <c r="BK132" i="20"/>
  <c r="BL132" i="20"/>
  <c r="BD133" i="20"/>
  <c r="BE133" i="20"/>
  <c r="BF133" i="20"/>
  <c r="BG133" i="20"/>
  <c r="BH133" i="20"/>
  <c r="BI133" i="20"/>
  <c r="BJ133" i="20"/>
  <c r="BK133" i="20"/>
  <c r="BL133" i="20"/>
  <c r="BD134" i="20"/>
  <c r="BE134" i="20"/>
  <c r="BF134" i="20"/>
  <c r="BG134" i="20"/>
  <c r="BH134" i="20"/>
  <c r="BI134" i="20"/>
  <c r="BJ134" i="20"/>
  <c r="BK134" i="20"/>
  <c r="BL134" i="20"/>
  <c r="BD135" i="20"/>
  <c r="BE135" i="20"/>
  <c r="BF135" i="20"/>
  <c r="BG135" i="20"/>
  <c r="BH135" i="20"/>
  <c r="BI135" i="20"/>
  <c r="BJ135" i="20"/>
  <c r="BK135" i="20"/>
  <c r="BL135" i="20"/>
  <c r="BD136" i="20"/>
  <c r="BE136" i="20"/>
  <c r="BF136" i="20"/>
  <c r="BG136" i="20"/>
  <c r="BH136" i="20"/>
  <c r="BI136" i="20"/>
  <c r="BJ136" i="20"/>
  <c r="BK136" i="20"/>
  <c r="BL136" i="20"/>
  <c r="BD137" i="20"/>
  <c r="BE137" i="20"/>
  <c r="BF137" i="20"/>
  <c r="BG137" i="20"/>
  <c r="BH137" i="20"/>
  <c r="BI137" i="20"/>
  <c r="BJ137" i="20"/>
  <c r="BK137" i="20"/>
  <c r="BL137" i="20"/>
  <c r="BD138" i="20"/>
  <c r="BE138" i="20"/>
  <c r="BF138" i="20"/>
  <c r="BG138" i="20"/>
  <c r="BH138" i="20"/>
  <c r="BI138" i="20"/>
  <c r="BJ138" i="20"/>
  <c r="BK138" i="20"/>
  <c r="BL138" i="20"/>
  <c r="BD139" i="20"/>
  <c r="BE139" i="20"/>
  <c r="BF139" i="20"/>
  <c r="BG139" i="20"/>
  <c r="BH139" i="20"/>
  <c r="BI139" i="20"/>
  <c r="BJ139" i="20"/>
  <c r="BK139" i="20"/>
  <c r="BL139" i="20"/>
  <c r="BD140" i="20"/>
  <c r="BE140" i="20"/>
  <c r="BF140" i="20"/>
  <c r="BG140" i="20"/>
  <c r="BH140" i="20"/>
  <c r="BI140" i="20"/>
  <c r="BJ140" i="20"/>
  <c r="BK140" i="20"/>
  <c r="BL140" i="20"/>
  <c r="BD141" i="20"/>
  <c r="BE141" i="20"/>
  <c r="BF141" i="20"/>
  <c r="BG141" i="20"/>
  <c r="BH141" i="20"/>
  <c r="BI141" i="20"/>
  <c r="BJ141" i="20"/>
  <c r="BK141" i="20"/>
  <c r="BL141" i="20"/>
  <c r="BD142" i="20"/>
  <c r="BE142" i="20"/>
  <c r="BF142" i="20"/>
  <c r="BG142" i="20"/>
  <c r="BH142" i="20"/>
  <c r="BI142" i="20"/>
  <c r="BJ142" i="20"/>
  <c r="BK142" i="20"/>
  <c r="BL142" i="20"/>
  <c r="BD143" i="20"/>
  <c r="BE143" i="20"/>
  <c r="BF143" i="20"/>
  <c r="BG143" i="20"/>
  <c r="BH143" i="20"/>
  <c r="BI143" i="20"/>
  <c r="BJ143" i="20"/>
  <c r="BK143" i="20"/>
  <c r="BL143" i="20"/>
  <c r="BD144" i="20"/>
  <c r="BE144" i="20"/>
  <c r="BF144" i="20"/>
  <c r="BG144" i="20"/>
  <c r="BH144" i="20"/>
  <c r="BI144" i="20"/>
  <c r="BJ144" i="20"/>
  <c r="BK144" i="20"/>
  <c r="BL144" i="20"/>
  <c r="BD145" i="20"/>
  <c r="BE145" i="20"/>
  <c r="BF145" i="20"/>
  <c r="BG145" i="20"/>
  <c r="BH145" i="20"/>
  <c r="BI145" i="20"/>
  <c r="BJ145" i="20"/>
  <c r="BK145" i="20"/>
  <c r="BL145" i="20"/>
  <c r="BD146" i="20"/>
  <c r="BE146" i="20"/>
  <c r="BF146" i="20"/>
  <c r="BG146" i="20"/>
  <c r="BH146" i="20"/>
  <c r="BI146" i="20"/>
  <c r="BJ146" i="20"/>
  <c r="BK146" i="20"/>
  <c r="BL146" i="20"/>
  <c r="BD147" i="20"/>
  <c r="BE147" i="20"/>
  <c r="BF147" i="20"/>
  <c r="BG147" i="20"/>
  <c r="BH147" i="20"/>
  <c r="BI147" i="20"/>
  <c r="BJ147" i="20"/>
  <c r="BK147" i="20"/>
  <c r="BL147" i="20"/>
  <c r="BD148" i="20"/>
  <c r="BE148" i="20"/>
  <c r="BF148" i="20"/>
  <c r="BG148" i="20"/>
  <c r="BH148" i="20"/>
  <c r="BI148" i="20"/>
  <c r="BJ148" i="20"/>
  <c r="BK148" i="20"/>
  <c r="BL148" i="20"/>
  <c r="BD149" i="20"/>
  <c r="BE149" i="20"/>
  <c r="BF149" i="20"/>
  <c r="BG149" i="20"/>
  <c r="BH149" i="20"/>
  <c r="BI149" i="20"/>
  <c r="BJ149" i="20"/>
  <c r="BK149" i="20"/>
  <c r="BL149" i="20"/>
  <c r="BD150" i="20"/>
  <c r="BE150" i="20"/>
  <c r="BF150" i="20"/>
  <c r="BG150" i="20"/>
  <c r="BH150" i="20"/>
  <c r="BI150" i="20"/>
  <c r="BJ150" i="20"/>
  <c r="BK150" i="20"/>
  <c r="BL150" i="20"/>
  <c r="BD151" i="20"/>
  <c r="BE151" i="20"/>
  <c r="BF151" i="20"/>
  <c r="BG151" i="20"/>
  <c r="BH151" i="20"/>
  <c r="BI151" i="20"/>
  <c r="BJ151" i="20"/>
  <c r="BK151" i="20"/>
  <c r="BL151" i="20"/>
  <c r="BD152" i="20"/>
  <c r="BE152" i="20"/>
  <c r="BF152" i="20"/>
  <c r="BG152" i="20"/>
  <c r="BH152" i="20"/>
  <c r="BI152" i="20"/>
  <c r="BJ152" i="20"/>
  <c r="BK152" i="20"/>
  <c r="BL152" i="20"/>
  <c r="BD153" i="20"/>
  <c r="BE153" i="20"/>
  <c r="BF153" i="20"/>
  <c r="BG153" i="20"/>
  <c r="BH153" i="20"/>
  <c r="BI153" i="20"/>
  <c r="BJ153" i="20"/>
  <c r="BK153" i="20"/>
  <c r="BL153" i="20"/>
  <c r="BD154" i="20"/>
  <c r="BE154" i="20"/>
  <c r="BF154" i="20"/>
  <c r="BG154" i="20"/>
  <c r="BH154" i="20"/>
  <c r="BI154" i="20"/>
  <c r="BJ154" i="20"/>
  <c r="BK154" i="20"/>
  <c r="BL154" i="20"/>
  <c r="BD155" i="20"/>
  <c r="BE155" i="20"/>
  <c r="BF155" i="20"/>
  <c r="BG155" i="20"/>
  <c r="BH155" i="20"/>
  <c r="BI155" i="20"/>
  <c r="BJ155" i="20"/>
  <c r="BK155" i="20"/>
  <c r="BL155" i="20"/>
  <c r="BD156" i="20"/>
  <c r="BE156" i="20"/>
  <c r="BF156" i="20"/>
  <c r="BG156" i="20"/>
  <c r="BH156" i="20"/>
  <c r="BI156" i="20"/>
  <c r="BJ156" i="20"/>
  <c r="BK156" i="20"/>
  <c r="BL156" i="20"/>
  <c r="BD157" i="20"/>
  <c r="BE157" i="20"/>
  <c r="BF157" i="20"/>
  <c r="BG157" i="20"/>
  <c r="BH157" i="20"/>
  <c r="BI157" i="20"/>
  <c r="BJ157" i="20"/>
  <c r="BK157" i="20"/>
  <c r="BL157" i="20"/>
  <c r="BD158" i="20"/>
  <c r="BE158" i="20"/>
  <c r="BF158" i="20"/>
  <c r="BG158" i="20"/>
  <c r="BH158" i="20"/>
  <c r="BI158" i="20"/>
  <c r="BJ158" i="20"/>
  <c r="BK158" i="20"/>
  <c r="BL158" i="20"/>
  <c r="BD159" i="20"/>
  <c r="BE159" i="20"/>
  <c r="BF159" i="20"/>
  <c r="BG159" i="20"/>
  <c r="BH159" i="20"/>
  <c r="BI159" i="20"/>
  <c r="BJ159" i="20"/>
  <c r="BK159" i="20"/>
  <c r="BL159" i="20"/>
  <c r="BD160" i="20"/>
  <c r="BE160" i="20"/>
  <c r="BF160" i="20"/>
  <c r="BG160" i="20"/>
  <c r="BH160" i="20"/>
  <c r="BI160" i="20"/>
  <c r="BJ160" i="20"/>
  <c r="BK160" i="20"/>
  <c r="BL160" i="20"/>
  <c r="BD161" i="20"/>
  <c r="BE161" i="20"/>
  <c r="BF161" i="20"/>
  <c r="BG161" i="20"/>
  <c r="BH161" i="20"/>
  <c r="BI161" i="20"/>
  <c r="BJ161" i="20"/>
  <c r="BK161" i="20"/>
  <c r="BL161" i="20"/>
  <c r="BD162" i="20"/>
  <c r="BE162" i="20"/>
  <c r="BF162" i="20"/>
  <c r="BG162" i="20"/>
  <c r="BH162" i="20"/>
  <c r="BI162" i="20"/>
  <c r="BJ162" i="20"/>
  <c r="BK162" i="20"/>
  <c r="BL162" i="20"/>
  <c r="BD163" i="20"/>
  <c r="BE163" i="20"/>
  <c r="BF163" i="20"/>
  <c r="BG163" i="20"/>
  <c r="BH163" i="20"/>
  <c r="BI163" i="20"/>
  <c r="BJ163" i="20"/>
  <c r="BK163" i="20"/>
  <c r="BL163" i="20"/>
  <c r="BD164" i="20"/>
  <c r="BE164" i="20"/>
  <c r="BF164" i="20"/>
  <c r="BG164" i="20"/>
  <c r="BH164" i="20"/>
  <c r="BI164" i="20"/>
  <c r="BJ164" i="20"/>
  <c r="BK164" i="20"/>
  <c r="BL164" i="20"/>
  <c r="BD165" i="20"/>
  <c r="BE165" i="20"/>
  <c r="BF165" i="20"/>
  <c r="BG165" i="20"/>
  <c r="BH165" i="20"/>
  <c r="BI165" i="20"/>
  <c r="BJ165" i="20"/>
  <c r="BK165" i="20"/>
  <c r="BL165" i="20"/>
  <c r="BD166" i="20"/>
  <c r="BE166" i="20"/>
  <c r="BF166" i="20"/>
  <c r="BG166" i="20"/>
  <c r="BH166" i="20"/>
  <c r="BI166" i="20"/>
  <c r="BJ166" i="20"/>
  <c r="BK166" i="20"/>
  <c r="BL166" i="20"/>
  <c r="BD167" i="20"/>
  <c r="BE167" i="20"/>
  <c r="BF167" i="20"/>
  <c r="BG167" i="20"/>
  <c r="BH167" i="20"/>
  <c r="BI167" i="20"/>
  <c r="BJ167" i="20"/>
  <c r="BK167" i="20"/>
  <c r="BL167" i="20"/>
  <c r="BD168" i="20"/>
  <c r="BE168" i="20"/>
  <c r="BF168" i="20"/>
  <c r="BG168" i="20"/>
  <c r="BH168" i="20"/>
  <c r="BI168" i="20"/>
  <c r="BJ168" i="20"/>
  <c r="BK168" i="20"/>
  <c r="BL168" i="20"/>
  <c r="BD169" i="20"/>
  <c r="BE169" i="20"/>
  <c r="BF169" i="20"/>
  <c r="BG169" i="20"/>
  <c r="BH169" i="20"/>
  <c r="BI169" i="20"/>
  <c r="BJ169" i="20"/>
  <c r="BK169" i="20"/>
  <c r="BL169" i="20"/>
  <c r="BD170" i="20"/>
  <c r="BE170" i="20"/>
  <c r="BF170" i="20"/>
  <c r="BG170" i="20"/>
  <c r="BH170" i="20"/>
  <c r="BI170" i="20"/>
  <c r="BJ170" i="20"/>
  <c r="BK170" i="20"/>
  <c r="BL170" i="20"/>
  <c r="BD171" i="20"/>
  <c r="BE171" i="20"/>
  <c r="BF171" i="20"/>
  <c r="BG171" i="20"/>
  <c r="BH171" i="20"/>
  <c r="BI171" i="20"/>
  <c r="BJ171" i="20"/>
  <c r="BK171" i="20"/>
  <c r="BL171" i="20"/>
  <c r="BD172" i="20"/>
  <c r="BE172" i="20"/>
  <c r="BF172" i="20"/>
  <c r="BG172" i="20"/>
  <c r="BH172" i="20"/>
  <c r="BI172" i="20"/>
  <c r="BJ172" i="20"/>
  <c r="BK172" i="20"/>
  <c r="BL172" i="20"/>
  <c r="BD173" i="20"/>
  <c r="BE173" i="20"/>
  <c r="BF173" i="20"/>
  <c r="BG173" i="20"/>
  <c r="BH173" i="20"/>
  <c r="BI173" i="20"/>
  <c r="BJ173" i="20"/>
  <c r="BK173" i="20"/>
  <c r="BL173" i="20"/>
  <c r="BD174" i="20"/>
  <c r="BE174" i="20"/>
  <c r="BF174" i="20"/>
  <c r="BG174" i="20"/>
  <c r="BH174" i="20"/>
  <c r="BI174" i="20"/>
  <c r="BJ174" i="20"/>
  <c r="BK174" i="20"/>
  <c r="BL174" i="20"/>
  <c r="BD175" i="20"/>
  <c r="BE175" i="20"/>
  <c r="BF175" i="20"/>
  <c r="BG175" i="20"/>
  <c r="BH175" i="20"/>
  <c r="BI175" i="20"/>
  <c r="BJ175" i="20"/>
  <c r="BK175" i="20"/>
  <c r="BL175" i="20"/>
  <c r="BD176" i="20"/>
  <c r="BE176" i="20"/>
  <c r="BF176" i="20"/>
  <c r="BG176" i="20"/>
  <c r="BH176" i="20"/>
  <c r="BI176" i="20"/>
  <c r="BJ176" i="20"/>
  <c r="BK176" i="20"/>
  <c r="BL176" i="20"/>
  <c r="BD177" i="20"/>
  <c r="BE177" i="20"/>
  <c r="BF177" i="20"/>
  <c r="BG177" i="20"/>
  <c r="BH177" i="20"/>
  <c r="BI177" i="20"/>
  <c r="BJ177" i="20"/>
  <c r="BK177" i="20"/>
  <c r="BL177" i="20"/>
  <c r="BD178" i="20"/>
  <c r="BE178" i="20"/>
  <c r="BF178" i="20"/>
  <c r="BG178" i="20"/>
  <c r="BH178" i="20"/>
  <c r="BI178" i="20"/>
  <c r="BJ178" i="20"/>
  <c r="BK178" i="20"/>
  <c r="BL178" i="20"/>
  <c r="BD179" i="20"/>
  <c r="BE179" i="20"/>
  <c r="BF179" i="20"/>
  <c r="BG179" i="20"/>
  <c r="BH179" i="20"/>
  <c r="BI179" i="20"/>
  <c r="BJ179" i="20"/>
  <c r="BK179" i="20"/>
  <c r="BL179" i="20"/>
  <c r="BD180" i="20"/>
  <c r="BE180" i="20"/>
  <c r="BF180" i="20"/>
  <c r="BG180" i="20"/>
  <c r="BH180" i="20"/>
  <c r="BI180" i="20"/>
  <c r="BJ180" i="20"/>
  <c r="BK180" i="20"/>
  <c r="BL180" i="20"/>
  <c r="BD181" i="20"/>
  <c r="BE181" i="20"/>
  <c r="BF181" i="20"/>
  <c r="BG181" i="20"/>
  <c r="BH181" i="20"/>
  <c r="BI181" i="20"/>
  <c r="BJ181" i="20"/>
  <c r="BK181" i="20"/>
  <c r="BL181" i="20"/>
  <c r="BD182" i="20"/>
  <c r="BE182" i="20"/>
  <c r="BF182" i="20"/>
  <c r="BG182" i="20"/>
  <c r="BH182" i="20"/>
  <c r="BI182" i="20"/>
  <c r="BJ182" i="20"/>
  <c r="BK182" i="20"/>
  <c r="BL182" i="20"/>
  <c r="BE4" i="20"/>
  <c r="BF4" i="20"/>
  <c r="BG4" i="20"/>
  <c r="BH4" i="20"/>
  <c r="BI4" i="20"/>
  <c r="BJ4" i="20"/>
  <c r="BK4" i="20"/>
  <c r="BL4" i="20"/>
  <c r="BD4" i="20"/>
  <c r="T5" i="20"/>
  <c r="U5" i="20"/>
  <c r="V5" i="20"/>
  <c r="W5" i="20"/>
  <c r="X5" i="20"/>
  <c r="Y5" i="20"/>
  <c r="Z5" i="20"/>
  <c r="AA5" i="20"/>
  <c r="AB5" i="20"/>
  <c r="T6" i="20"/>
  <c r="U6" i="20"/>
  <c r="V6" i="20"/>
  <c r="W6" i="20"/>
  <c r="X6" i="20"/>
  <c r="Y6" i="20"/>
  <c r="Z6" i="20"/>
  <c r="AA6" i="20"/>
  <c r="AB6" i="20"/>
  <c r="T7" i="20"/>
  <c r="U7" i="20"/>
  <c r="V7" i="20"/>
  <c r="W7" i="20"/>
  <c r="X7" i="20"/>
  <c r="Y7" i="20"/>
  <c r="Z7" i="20"/>
  <c r="AA7" i="20"/>
  <c r="AB7" i="20"/>
  <c r="T8" i="20"/>
  <c r="U8" i="20"/>
  <c r="V8" i="20"/>
  <c r="W8" i="20"/>
  <c r="X8" i="20"/>
  <c r="Y8" i="20"/>
  <c r="Z8" i="20"/>
  <c r="AA8" i="20"/>
  <c r="AB8" i="20"/>
  <c r="T9" i="20"/>
  <c r="U9" i="20"/>
  <c r="V9" i="20"/>
  <c r="W9" i="20"/>
  <c r="X9" i="20"/>
  <c r="Y9" i="20"/>
  <c r="Z9" i="20"/>
  <c r="AA9" i="20"/>
  <c r="AB9" i="20"/>
  <c r="T10" i="20"/>
  <c r="U10" i="20"/>
  <c r="V10" i="20"/>
  <c r="W10" i="20"/>
  <c r="X10" i="20"/>
  <c r="Y10" i="20"/>
  <c r="Z10" i="20"/>
  <c r="AA10" i="20"/>
  <c r="AB10" i="20"/>
  <c r="T11" i="20"/>
  <c r="U11" i="20"/>
  <c r="V11" i="20"/>
  <c r="W11" i="20"/>
  <c r="X11" i="20"/>
  <c r="Y11" i="20"/>
  <c r="Z11" i="20"/>
  <c r="AA11" i="20"/>
  <c r="AB11" i="20"/>
  <c r="T12" i="20"/>
  <c r="U12" i="20"/>
  <c r="V12" i="20"/>
  <c r="W12" i="20"/>
  <c r="X12" i="20"/>
  <c r="Y12" i="20"/>
  <c r="Z12" i="20"/>
  <c r="AA12" i="20"/>
  <c r="AB12" i="20"/>
  <c r="T13" i="20"/>
  <c r="U13" i="20"/>
  <c r="V13" i="20"/>
  <c r="W13" i="20"/>
  <c r="X13" i="20"/>
  <c r="Y13" i="20"/>
  <c r="Z13" i="20"/>
  <c r="AA13" i="20"/>
  <c r="AB13" i="20"/>
  <c r="T14" i="20"/>
  <c r="U14" i="20"/>
  <c r="V14" i="20"/>
  <c r="W14" i="20"/>
  <c r="X14" i="20"/>
  <c r="Y14" i="20"/>
  <c r="Z14" i="20"/>
  <c r="AA14" i="20"/>
  <c r="AB14" i="20"/>
  <c r="T15" i="20"/>
  <c r="U15" i="20"/>
  <c r="V15" i="20"/>
  <c r="W15" i="20"/>
  <c r="X15" i="20"/>
  <c r="Y15" i="20"/>
  <c r="Z15" i="20"/>
  <c r="AA15" i="20"/>
  <c r="AB15" i="20"/>
  <c r="T16" i="20"/>
  <c r="U16" i="20"/>
  <c r="V16" i="20"/>
  <c r="W16" i="20"/>
  <c r="X16" i="20"/>
  <c r="Y16" i="20"/>
  <c r="Z16" i="20"/>
  <c r="AA16" i="20"/>
  <c r="AB16" i="20"/>
  <c r="T17" i="20"/>
  <c r="U17" i="20"/>
  <c r="V17" i="20"/>
  <c r="W17" i="20"/>
  <c r="X17" i="20"/>
  <c r="Y17" i="20"/>
  <c r="Z17" i="20"/>
  <c r="AA17" i="20"/>
  <c r="AB17" i="20"/>
  <c r="T18" i="20"/>
  <c r="U18" i="20"/>
  <c r="V18" i="20"/>
  <c r="W18" i="20"/>
  <c r="X18" i="20"/>
  <c r="Y18" i="20"/>
  <c r="Z18" i="20"/>
  <c r="AA18" i="20"/>
  <c r="AB18" i="20"/>
  <c r="T19" i="20"/>
  <c r="U19" i="20"/>
  <c r="V19" i="20"/>
  <c r="W19" i="20"/>
  <c r="X19" i="20"/>
  <c r="Y19" i="20"/>
  <c r="Z19" i="20"/>
  <c r="AA19" i="20"/>
  <c r="AB19" i="20"/>
  <c r="T20" i="20"/>
  <c r="U20" i="20"/>
  <c r="V20" i="20"/>
  <c r="W20" i="20"/>
  <c r="X20" i="20"/>
  <c r="Y20" i="20"/>
  <c r="Z20" i="20"/>
  <c r="AA20" i="20"/>
  <c r="AB20" i="20"/>
  <c r="T21" i="20"/>
  <c r="U21" i="20"/>
  <c r="V21" i="20"/>
  <c r="W21" i="20"/>
  <c r="X21" i="20"/>
  <c r="Y21" i="20"/>
  <c r="Z21" i="20"/>
  <c r="AA21" i="20"/>
  <c r="AB21" i="20"/>
  <c r="T22" i="20"/>
  <c r="U22" i="20"/>
  <c r="V22" i="20"/>
  <c r="W22" i="20"/>
  <c r="X22" i="20"/>
  <c r="Y22" i="20"/>
  <c r="Z22" i="20"/>
  <c r="AA22" i="20"/>
  <c r="AB22" i="20"/>
  <c r="T23" i="20"/>
  <c r="U23" i="20"/>
  <c r="V23" i="20"/>
  <c r="W23" i="20"/>
  <c r="X23" i="20"/>
  <c r="Y23" i="20"/>
  <c r="Z23" i="20"/>
  <c r="AA23" i="20"/>
  <c r="AB23" i="20"/>
  <c r="T24" i="20"/>
  <c r="U24" i="20"/>
  <c r="V24" i="20"/>
  <c r="W24" i="20"/>
  <c r="X24" i="20"/>
  <c r="Y24" i="20"/>
  <c r="Z24" i="20"/>
  <c r="AA24" i="20"/>
  <c r="AB24" i="20"/>
  <c r="T25" i="20"/>
  <c r="U25" i="20"/>
  <c r="V25" i="20"/>
  <c r="W25" i="20"/>
  <c r="X25" i="20"/>
  <c r="Y25" i="20"/>
  <c r="Z25" i="20"/>
  <c r="AA25" i="20"/>
  <c r="AB25" i="20"/>
  <c r="T26" i="20"/>
  <c r="U26" i="20"/>
  <c r="V26" i="20"/>
  <c r="W26" i="20"/>
  <c r="X26" i="20"/>
  <c r="Y26" i="20"/>
  <c r="Z26" i="20"/>
  <c r="AA26" i="20"/>
  <c r="AB26" i="20"/>
  <c r="T27" i="20"/>
  <c r="U27" i="20"/>
  <c r="V27" i="20"/>
  <c r="W27" i="20"/>
  <c r="X27" i="20"/>
  <c r="Y27" i="20"/>
  <c r="Z27" i="20"/>
  <c r="AA27" i="20"/>
  <c r="AB27" i="20"/>
  <c r="T28" i="20"/>
  <c r="U28" i="20"/>
  <c r="V28" i="20"/>
  <c r="W28" i="20"/>
  <c r="X28" i="20"/>
  <c r="Y28" i="20"/>
  <c r="Z28" i="20"/>
  <c r="AA28" i="20"/>
  <c r="AB28" i="20"/>
  <c r="T29" i="20"/>
  <c r="U29" i="20"/>
  <c r="V29" i="20"/>
  <c r="W29" i="20"/>
  <c r="X29" i="20"/>
  <c r="Y29" i="20"/>
  <c r="Z29" i="20"/>
  <c r="AA29" i="20"/>
  <c r="AB29" i="20"/>
  <c r="T30" i="20"/>
  <c r="U30" i="20"/>
  <c r="V30" i="20"/>
  <c r="W30" i="20"/>
  <c r="X30" i="20"/>
  <c r="Y30" i="20"/>
  <c r="Z30" i="20"/>
  <c r="AA30" i="20"/>
  <c r="AB30" i="20"/>
  <c r="T31" i="20"/>
  <c r="U31" i="20"/>
  <c r="V31" i="20"/>
  <c r="W31" i="20"/>
  <c r="X31" i="20"/>
  <c r="Y31" i="20"/>
  <c r="Z31" i="20"/>
  <c r="AA31" i="20"/>
  <c r="AB31" i="20"/>
  <c r="T32" i="20"/>
  <c r="U32" i="20"/>
  <c r="V32" i="20"/>
  <c r="W32" i="20"/>
  <c r="X32" i="20"/>
  <c r="Y32" i="20"/>
  <c r="Z32" i="20"/>
  <c r="AA32" i="20"/>
  <c r="AB32" i="20"/>
  <c r="T33" i="20"/>
  <c r="U33" i="20"/>
  <c r="V33" i="20"/>
  <c r="W33" i="20"/>
  <c r="X33" i="20"/>
  <c r="Y33" i="20"/>
  <c r="Z33" i="20"/>
  <c r="AA33" i="20"/>
  <c r="AB33" i="20"/>
  <c r="T34" i="20"/>
  <c r="U34" i="20"/>
  <c r="V34" i="20"/>
  <c r="W34" i="20"/>
  <c r="X34" i="20"/>
  <c r="Y34" i="20"/>
  <c r="Z34" i="20"/>
  <c r="AA34" i="20"/>
  <c r="AB34" i="20"/>
  <c r="T35" i="20"/>
  <c r="U35" i="20"/>
  <c r="V35" i="20"/>
  <c r="W35" i="20"/>
  <c r="X35" i="20"/>
  <c r="Y35" i="20"/>
  <c r="Z35" i="20"/>
  <c r="AA35" i="20"/>
  <c r="AB35" i="20"/>
  <c r="T36" i="20"/>
  <c r="U36" i="20"/>
  <c r="V36" i="20"/>
  <c r="W36" i="20"/>
  <c r="X36" i="20"/>
  <c r="Y36" i="20"/>
  <c r="Z36" i="20"/>
  <c r="AA36" i="20"/>
  <c r="AB36" i="20"/>
  <c r="T37" i="20"/>
  <c r="U37" i="20"/>
  <c r="V37" i="20"/>
  <c r="W37" i="20"/>
  <c r="X37" i="20"/>
  <c r="Y37" i="20"/>
  <c r="Z37" i="20"/>
  <c r="AA37" i="20"/>
  <c r="AB37" i="20"/>
  <c r="T38" i="20"/>
  <c r="U38" i="20"/>
  <c r="V38" i="20"/>
  <c r="W38" i="20"/>
  <c r="X38" i="20"/>
  <c r="Y38" i="20"/>
  <c r="Z38" i="20"/>
  <c r="AA38" i="20"/>
  <c r="AB38" i="20"/>
  <c r="T39" i="20"/>
  <c r="U39" i="20"/>
  <c r="V39" i="20"/>
  <c r="W39" i="20"/>
  <c r="X39" i="20"/>
  <c r="Y39" i="20"/>
  <c r="Z39" i="20"/>
  <c r="AA39" i="20"/>
  <c r="AB39" i="20"/>
  <c r="T40" i="20"/>
  <c r="U40" i="20"/>
  <c r="V40" i="20"/>
  <c r="W40" i="20"/>
  <c r="X40" i="20"/>
  <c r="Y40" i="20"/>
  <c r="Z40" i="20"/>
  <c r="AA40" i="20"/>
  <c r="AB40" i="20"/>
  <c r="T41" i="20"/>
  <c r="U41" i="20"/>
  <c r="V41" i="20"/>
  <c r="W41" i="20"/>
  <c r="X41" i="20"/>
  <c r="Y41" i="20"/>
  <c r="Z41" i="20"/>
  <c r="AA41" i="20"/>
  <c r="AB41" i="20"/>
  <c r="T42" i="20"/>
  <c r="U42" i="20"/>
  <c r="V42" i="20"/>
  <c r="W42" i="20"/>
  <c r="X42" i="20"/>
  <c r="Y42" i="20"/>
  <c r="Z42" i="20"/>
  <c r="AA42" i="20"/>
  <c r="AB42" i="20"/>
  <c r="T43" i="20"/>
  <c r="U43" i="20"/>
  <c r="V43" i="20"/>
  <c r="W43" i="20"/>
  <c r="X43" i="20"/>
  <c r="Y43" i="20"/>
  <c r="Z43" i="20"/>
  <c r="AA43" i="20"/>
  <c r="AB43" i="20"/>
  <c r="T44" i="20"/>
  <c r="U44" i="20"/>
  <c r="V44" i="20"/>
  <c r="W44" i="20"/>
  <c r="X44" i="20"/>
  <c r="Y44" i="20"/>
  <c r="Z44" i="20"/>
  <c r="AA44" i="20"/>
  <c r="AB44" i="20"/>
  <c r="T45" i="20"/>
  <c r="U45" i="20"/>
  <c r="V45" i="20"/>
  <c r="W45" i="20"/>
  <c r="X45" i="20"/>
  <c r="Y45" i="20"/>
  <c r="Z45" i="20"/>
  <c r="AA45" i="20"/>
  <c r="AB45" i="20"/>
  <c r="T46" i="20"/>
  <c r="U46" i="20"/>
  <c r="V46" i="20"/>
  <c r="W46" i="20"/>
  <c r="X46" i="20"/>
  <c r="Y46" i="20"/>
  <c r="Z46" i="20"/>
  <c r="AA46" i="20"/>
  <c r="AB46" i="20"/>
  <c r="T47" i="20"/>
  <c r="U47" i="20"/>
  <c r="V47" i="20"/>
  <c r="W47" i="20"/>
  <c r="X47" i="20"/>
  <c r="Y47" i="20"/>
  <c r="Z47" i="20"/>
  <c r="AA47" i="20"/>
  <c r="AB47" i="20"/>
  <c r="T48" i="20"/>
  <c r="U48" i="20"/>
  <c r="V48" i="20"/>
  <c r="W48" i="20"/>
  <c r="X48" i="20"/>
  <c r="Y48" i="20"/>
  <c r="Z48" i="20"/>
  <c r="AA48" i="20"/>
  <c r="AB48" i="20"/>
  <c r="T49" i="20"/>
  <c r="U49" i="20"/>
  <c r="V49" i="20"/>
  <c r="W49" i="20"/>
  <c r="X49" i="20"/>
  <c r="Y49" i="20"/>
  <c r="Z49" i="20"/>
  <c r="AA49" i="20"/>
  <c r="AB49" i="20"/>
  <c r="T50" i="20"/>
  <c r="U50" i="20"/>
  <c r="V50" i="20"/>
  <c r="W50" i="20"/>
  <c r="X50" i="20"/>
  <c r="Y50" i="20"/>
  <c r="Z50" i="20"/>
  <c r="AA50" i="20"/>
  <c r="AB50" i="20"/>
  <c r="T51" i="20"/>
  <c r="U51" i="20"/>
  <c r="V51" i="20"/>
  <c r="W51" i="20"/>
  <c r="X51" i="20"/>
  <c r="Y51" i="20"/>
  <c r="Z51" i="20"/>
  <c r="AA51" i="20"/>
  <c r="AB51" i="20"/>
  <c r="T52" i="20"/>
  <c r="U52" i="20"/>
  <c r="V52" i="20"/>
  <c r="W52" i="20"/>
  <c r="X52" i="20"/>
  <c r="Y52" i="20"/>
  <c r="Z52" i="20"/>
  <c r="AA52" i="20"/>
  <c r="AB52" i="20"/>
  <c r="T53" i="20"/>
  <c r="U53" i="20"/>
  <c r="V53" i="20"/>
  <c r="W53" i="20"/>
  <c r="X53" i="20"/>
  <c r="Y53" i="20"/>
  <c r="Z53" i="20"/>
  <c r="AA53" i="20"/>
  <c r="AB53" i="20"/>
  <c r="T54" i="20"/>
  <c r="U54" i="20"/>
  <c r="V54" i="20"/>
  <c r="W54" i="20"/>
  <c r="X54" i="20"/>
  <c r="Y54" i="20"/>
  <c r="Z54" i="20"/>
  <c r="AA54" i="20"/>
  <c r="AB54" i="20"/>
  <c r="T55" i="20"/>
  <c r="U55" i="20"/>
  <c r="V55" i="20"/>
  <c r="W55" i="20"/>
  <c r="X55" i="20"/>
  <c r="Y55" i="20"/>
  <c r="Z55" i="20"/>
  <c r="AA55" i="20"/>
  <c r="AB55" i="20"/>
  <c r="T56" i="20"/>
  <c r="U56" i="20"/>
  <c r="V56" i="20"/>
  <c r="W56" i="20"/>
  <c r="X56" i="20"/>
  <c r="Y56" i="20"/>
  <c r="Z56" i="20"/>
  <c r="AA56" i="20"/>
  <c r="AB56" i="20"/>
  <c r="T57" i="20"/>
  <c r="U57" i="20"/>
  <c r="V57" i="20"/>
  <c r="W57" i="20"/>
  <c r="X57" i="20"/>
  <c r="Y57" i="20"/>
  <c r="Z57" i="20"/>
  <c r="AA57" i="20"/>
  <c r="AB57" i="20"/>
  <c r="T58" i="20"/>
  <c r="U58" i="20"/>
  <c r="V58" i="20"/>
  <c r="W58" i="20"/>
  <c r="X58" i="20"/>
  <c r="Y58" i="20"/>
  <c r="Z58" i="20"/>
  <c r="AA58" i="20"/>
  <c r="AB58" i="20"/>
  <c r="T59" i="20"/>
  <c r="U59" i="20"/>
  <c r="V59" i="20"/>
  <c r="W59" i="20"/>
  <c r="X59" i="20"/>
  <c r="Y59" i="20"/>
  <c r="Z59" i="20"/>
  <c r="AA59" i="20"/>
  <c r="AB59" i="20"/>
  <c r="T60" i="20"/>
  <c r="U60" i="20"/>
  <c r="V60" i="20"/>
  <c r="W60" i="20"/>
  <c r="X60" i="20"/>
  <c r="Y60" i="20"/>
  <c r="Z60" i="20"/>
  <c r="AA60" i="20"/>
  <c r="AB60" i="20"/>
  <c r="T61" i="20"/>
  <c r="U61" i="20"/>
  <c r="V61" i="20"/>
  <c r="W61" i="20"/>
  <c r="X61" i="20"/>
  <c r="Y61" i="20"/>
  <c r="Z61" i="20"/>
  <c r="AA61" i="20"/>
  <c r="AB61" i="20"/>
  <c r="T62" i="20"/>
  <c r="U62" i="20"/>
  <c r="V62" i="20"/>
  <c r="W62" i="20"/>
  <c r="X62" i="20"/>
  <c r="Y62" i="20"/>
  <c r="Z62" i="20"/>
  <c r="AA62" i="20"/>
  <c r="AB62" i="20"/>
  <c r="T63" i="20"/>
  <c r="U63" i="20"/>
  <c r="V63" i="20"/>
  <c r="W63" i="20"/>
  <c r="X63" i="20"/>
  <c r="Y63" i="20"/>
  <c r="Z63" i="20"/>
  <c r="AA63" i="20"/>
  <c r="AB63" i="20"/>
  <c r="T64" i="20"/>
  <c r="U64" i="20"/>
  <c r="V64" i="20"/>
  <c r="W64" i="20"/>
  <c r="X64" i="20"/>
  <c r="Y64" i="20"/>
  <c r="Z64" i="20"/>
  <c r="AA64" i="20"/>
  <c r="AB64" i="20"/>
  <c r="T65" i="20"/>
  <c r="U65" i="20"/>
  <c r="V65" i="20"/>
  <c r="W65" i="20"/>
  <c r="X65" i="20"/>
  <c r="Y65" i="20"/>
  <c r="Z65" i="20"/>
  <c r="AA65" i="20"/>
  <c r="AB65" i="20"/>
  <c r="T66" i="20"/>
  <c r="U66" i="20"/>
  <c r="V66" i="20"/>
  <c r="W66" i="20"/>
  <c r="X66" i="20"/>
  <c r="Y66" i="20"/>
  <c r="Z66" i="20"/>
  <c r="AA66" i="20"/>
  <c r="AB66" i="20"/>
  <c r="T67" i="20"/>
  <c r="U67" i="20"/>
  <c r="V67" i="20"/>
  <c r="W67" i="20"/>
  <c r="X67" i="20"/>
  <c r="Y67" i="20"/>
  <c r="Z67" i="20"/>
  <c r="AA67" i="20"/>
  <c r="AB67" i="20"/>
  <c r="T68" i="20"/>
  <c r="U68" i="20"/>
  <c r="V68" i="20"/>
  <c r="W68" i="20"/>
  <c r="X68" i="20"/>
  <c r="Y68" i="20"/>
  <c r="Z68" i="20"/>
  <c r="AA68" i="20"/>
  <c r="AB68" i="20"/>
  <c r="T69" i="20"/>
  <c r="U69" i="20"/>
  <c r="V69" i="20"/>
  <c r="W69" i="20"/>
  <c r="X69" i="20"/>
  <c r="Y69" i="20"/>
  <c r="Z69" i="20"/>
  <c r="AA69" i="20"/>
  <c r="AB69" i="20"/>
  <c r="T70" i="20"/>
  <c r="U70" i="20"/>
  <c r="V70" i="20"/>
  <c r="W70" i="20"/>
  <c r="X70" i="20"/>
  <c r="Y70" i="20"/>
  <c r="Z70" i="20"/>
  <c r="AA70" i="20"/>
  <c r="AB70" i="20"/>
  <c r="T71" i="20"/>
  <c r="U71" i="20"/>
  <c r="V71" i="20"/>
  <c r="W71" i="20"/>
  <c r="X71" i="20"/>
  <c r="Y71" i="20"/>
  <c r="Z71" i="20"/>
  <c r="AA71" i="20"/>
  <c r="AB71" i="20"/>
  <c r="T72" i="20"/>
  <c r="U72" i="20"/>
  <c r="V72" i="20"/>
  <c r="W72" i="20"/>
  <c r="X72" i="20"/>
  <c r="Y72" i="20"/>
  <c r="Z72" i="20"/>
  <c r="AA72" i="20"/>
  <c r="AB72" i="20"/>
  <c r="T73" i="20"/>
  <c r="U73" i="20"/>
  <c r="V73" i="20"/>
  <c r="W73" i="20"/>
  <c r="X73" i="20"/>
  <c r="Y73" i="20"/>
  <c r="Z73" i="20"/>
  <c r="AA73" i="20"/>
  <c r="AB73" i="20"/>
  <c r="T74" i="20"/>
  <c r="U74" i="20"/>
  <c r="V74" i="20"/>
  <c r="W74" i="20"/>
  <c r="X74" i="20"/>
  <c r="Y74" i="20"/>
  <c r="Z74" i="20"/>
  <c r="AA74" i="20"/>
  <c r="AB74" i="20"/>
  <c r="T75" i="20"/>
  <c r="U75" i="20"/>
  <c r="V75" i="20"/>
  <c r="W75" i="20"/>
  <c r="X75" i="20"/>
  <c r="Y75" i="20"/>
  <c r="Z75" i="20"/>
  <c r="AA75" i="20"/>
  <c r="AB75" i="20"/>
  <c r="T76" i="20"/>
  <c r="U76" i="20"/>
  <c r="V76" i="20"/>
  <c r="W76" i="20"/>
  <c r="X76" i="20"/>
  <c r="Y76" i="20"/>
  <c r="Z76" i="20"/>
  <c r="AA76" i="20"/>
  <c r="AB76" i="20"/>
  <c r="T77" i="20"/>
  <c r="U77" i="20"/>
  <c r="V77" i="20"/>
  <c r="W77" i="20"/>
  <c r="X77" i="20"/>
  <c r="Y77" i="20"/>
  <c r="Z77" i="20"/>
  <c r="AA77" i="20"/>
  <c r="AB77" i="20"/>
  <c r="T78" i="20"/>
  <c r="U78" i="20"/>
  <c r="V78" i="20"/>
  <c r="W78" i="20"/>
  <c r="X78" i="20"/>
  <c r="Y78" i="20"/>
  <c r="Z78" i="20"/>
  <c r="AA78" i="20"/>
  <c r="AB78" i="20"/>
  <c r="T79" i="20"/>
  <c r="U79" i="20"/>
  <c r="V79" i="20"/>
  <c r="W79" i="20"/>
  <c r="X79" i="20"/>
  <c r="Y79" i="20"/>
  <c r="Z79" i="20"/>
  <c r="AA79" i="20"/>
  <c r="AB79" i="20"/>
  <c r="T80" i="20"/>
  <c r="U80" i="20"/>
  <c r="V80" i="20"/>
  <c r="W80" i="20"/>
  <c r="X80" i="20"/>
  <c r="Y80" i="20"/>
  <c r="Z80" i="20"/>
  <c r="AA80" i="20"/>
  <c r="AB80" i="20"/>
  <c r="T81" i="20"/>
  <c r="U81" i="20"/>
  <c r="V81" i="20"/>
  <c r="W81" i="20"/>
  <c r="X81" i="20"/>
  <c r="Y81" i="20"/>
  <c r="Z81" i="20"/>
  <c r="AA81" i="20"/>
  <c r="AB81" i="20"/>
  <c r="T82" i="20"/>
  <c r="U82" i="20"/>
  <c r="V82" i="20"/>
  <c r="W82" i="20"/>
  <c r="X82" i="20"/>
  <c r="Y82" i="20"/>
  <c r="Z82" i="20"/>
  <c r="AA82" i="20"/>
  <c r="AB82" i="20"/>
  <c r="T83" i="20"/>
  <c r="U83" i="20"/>
  <c r="V83" i="20"/>
  <c r="W83" i="20"/>
  <c r="X83" i="20"/>
  <c r="Y83" i="20"/>
  <c r="Z83" i="20"/>
  <c r="AA83" i="20"/>
  <c r="AB83" i="20"/>
  <c r="T84" i="20"/>
  <c r="U84" i="20"/>
  <c r="V84" i="20"/>
  <c r="W84" i="20"/>
  <c r="X84" i="20"/>
  <c r="Y84" i="20"/>
  <c r="Z84" i="20"/>
  <c r="AA84" i="20"/>
  <c r="AB84" i="20"/>
  <c r="T85" i="20"/>
  <c r="U85" i="20"/>
  <c r="V85" i="20"/>
  <c r="W85" i="20"/>
  <c r="X85" i="20"/>
  <c r="Y85" i="20"/>
  <c r="Z85" i="20"/>
  <c r="AA85" i="20"/>
  <c r="AB85" i="20"/>
  <c r="T86" i="20"/>
  <c r="U86" i="20"/>
  <c r="V86" i="20"/>
  <c r="W86" i="20"/>
  <c r="X86" i="20"/>
  <c r="Y86" i="20"/>
  <c r="Z86" i="20"/>
  <c r="AA86" i="20"/>
  <c r="AB86" i="20"/>
  <c r="T87" i="20"/>
  <c r="U87" i="20"/>
  <c r="V87" i="20"/>
  <c r="W87" i="20"/>
  <c r="X87" i="20"/>
  <c r="Y87" i="20"/>
  <c r="Z87" i="20"/>
  <c r="AA87" i="20"/>
  <c r="AB87" i="20"/>
  <c r="T88" i="20"/>
  <c r="U88" i="20"/>
  <c r="V88" i="20"/>
  <c r="W88" i="20"/>
  <c r="X88" i="20"/>
  <c r="Y88" i="20"/>
  <c r="Z88" i="20"/>
  <c r="AA88" i="20"/>
  <c r="AB88" i="20"/>
  <c r="T89" i="20"/>
  <c r="U89" i="20"/>
  <c r="V89" i="20"/>
  <c r="W89" i="20"/>
  <c r="X89" i="20"/>
  <c r="Y89" i="20"/>
  <c r="Z89" i="20"/>
  <c r="AA89" i="20"/>
  <c r="AB89" i="20"/>
  <c r="T90" i="20"/>
  <c r="U90" i="20"/>
  <c r="V90" i="20"/>
  <c r="W90" i="20"/>
  <c r="X90" i="20"/>
  <c r="Y90" i="20"/>
  <c r="Z90" i="20"/>
  <c r="AA90" i="20"/>
  <c r="AB90" i="20"/>
  <c r="T91" i="20"/>
  <c r="U91" i="20"/>
  <c r="V91" i="20"/>
  <c r="W91" i="20"/>
  <c r="X91" i="20"/>
  <c r="Y91" i="20"/>
  <c r="Z91" i="20"/>
  <c r="AA91" i="20"/>
  <c r="AB91" i="20"/>
  <c r="T92" i="20"/>
  <c r="U92" i="20"/>
  <c r="V92" i="20"/>
  <c r="W92" i="20"/>
  <c r="X92" i="20"/>
  <c r="Y92" i="20"/>
  <c r="Z92" i="20"/>
  <c r="AA92" i="20"/>
  <c r="AB92" i="20"/>
  <c r="T93" i="20"/>
  <c r="U93" i="20"/>
  <c r="V93" i="20"/>
  <c r="W93" i="20"/>
  <c r="X93" i="20"/>
  <c r="Y93" i="20"/>
  <c r="Z93" i="20"/>
  <c r="AA93" i="20"/>
  <c r="AB93" i="20"/>
  <c r="T94" i="20"/>
  <c r="U94" i="20"/>
  <c r="V94" i="20"/>
  <c r="W94" i="20"/>
  <c r="X94" i="20"/>
  <c r="Y94" i="20"/>
  <c r="Z94" i="20"/>
  <c r="AA94" i="20"/>
  <c r="AB94" i="20"/>
  <c r="T95" i="20"/>
  <c r="U95" i="20"/>
  <c r="V95" i="20"/>
  <c r="W95" i="20"/>
  <c r="X95" i="20"/>
  <c r="Y95" i="20"/>
  <c r="Z95" i="20"/>
  <c r="AA95" i="20"/>
  <c r="AB95" i="20"/>
  <c r="T96" i="20"/>
  <c r="U96" i="20"/>
  <c r="V96" i="20"/>
  <c r="W96" i="20"/>
  <c r="X96" i="20"/>
  <c r="Y96" i="20"/>
  <c r="Z96" i="20"/>
  <c r="AA96" i="20"/>
  <c r="AB96" i="20"/>
  <c r="T97" i="20"/>
  <c r="U97" i="20"/>
  <c r="V97" i="20"/>
  <c r="W97" i="20"/>
  <c r="X97" i="20"/>
  <c r="Y97" i="20"/>
  <c r="Z97" i="20"/>
  <c r="AA97" i="20"/>
  <c r="AB97" i="20"/>
  <c r="T98" i="20"/>
  <c r="U98" i="20"/>
  <c r="V98" i="20"/>
  <c r="W98" i="20"/>
  <c r="X98" i="20"/>
  <c r="Y98" i="20"/>
  <c r="Z98" i="20"/>
  <c r="AA98" i="20"/>
  <c r="AB98" i="20"/>
  <c r="T99" i="20"/>
  <c r="U99" i="20"/>
  <c r="V99" i="20"/>
  <c r="W99" i="20"/>
  <c r="X99" i="20"/>
  <c r="Y99" i="20"/>
  <c r="Z99" i="20"/>
  <c r="AA99" i="20"/>
  <c r="AB99" i="20"/>
  <c r="T100" i="20"/>
  <c r="U100" i="20"/>
  <c r="V100" i="20"/>
  <c r="W100" i="20"/>
  <c r="X100" i="20"/>
  <c r="Y100" i="20"/>
  <c r="Z100" i="20"/>
  <c r="AA100" i="20"/>
  <c r="AB100" i="20"/>
  <c r="T101" i="20"/>
  <c r="U101" i="20"/>
  <c r="V101" i="20"/>
  <c r="W101" i="20"/>
  <c r="X101" i="20"/>
  <c r="Y101" i="20"/>
  <c r="Z101" i="20"/>
  <c r="AA101" i="20"/>
  <c r="AB101" i="20"/>
  <c r="T102" i="20"/>
  <c r="U102" i="20"/>
  <c r="V102" i="20"/>
  <c r="W102" i="20"/>
  <c r="X102" i="20"/>
  <c r="Y102" i="20"/>
  <c r="Z102" i="20"/>
  <c r="AA102" i="20"/>
  <c r="AB102" i="20"/>
  <c r="T103" i="20"/>
  <c r="U103" i="20"/>
  <c r="V103" i="20"/>
  <c r="W103" i="20"/>
  <c r="X103" i="20"/>
  <c r="Y103" i="20"/>
  <c r="Z103" i="20"/>
  <c r="AA103" i="20"/>
  <c r="AB103" i="20"/>
  <c r="T104" i="20"/>
  <c r="U104" i="20"/>
  <c r="V104" i="20"/>
  <c r="W104" i="20"/>
  <c r="X104" i="20"/>
  <c r="Y104" i="20"/>
  <c r="Z104" i="20"/>
  <c r="AA104" i="20"/>
  <c r="AB104" i="20"/>
  <c r="T105" i="20"/>
  <c r="U105" i="20"/>
  <c r="V105" i="20"/>
  <c r="W105" i="20"/>
  <c r="X105" i="20"/>
  <c r="Y105" i="20"/>
  <c r="Z105" i="20"/>
  <c r="AA105" i="20"/>
  <c r="AB105" i="20"/>
  <c r="T106" i="20"/>
  <c r="U106" i="20"/>
  <c r="V106" i="20"/>
  <c r="W106" i="20"/>
  <c r="X106" i="20"/>
  <c r="Y106" i="20"/>
  <c r="Z106" i="20"/>
  <c r="AA106" i="20"/>
  <c r="AB106" i="20"/>
  <c r="T107" i="20"/>
  <c r="U107" i="20"/>
  <c r="V107" i="20"/>
  <c r="W107" i="20"/>
  <c r="X107" i="20"/>
  <c r="Y107" i="20"/>
  <c r="Z107" i="20"/>
  <c r="AA107" i="20"/>
  <c r="AB107" i="20"/>
  <c r="T108" i="20"/>
  <c r="U108" i="20"/>
  <c r="V108" i="20"/>
  <c r="W108" i="20"/>
  <c r="X108" i="20"/>
  <c r="Y108" i="20"/>
  <c r="Z108" i="20"/>
  <c r="AA108" i="20"/>
  <c r="AB108" i="20"/>
  <c r="T109" i="20"/>
  <c r="U109" i="20"/>
  <c r="V109" i="20"/>
  <c r="W109" i="20"/>
  <c r="X109" i="20"/>
  <c r="Y109" i="20"/>
  <c r="Z109" i="20"/>
  <c r="AA109" i="20"/>
  <c r="AB109" i="20"/>
  <c r="T110" i="20"/>
  <c r="U110" i="20"/>
  <c r="V110" i="20"/>
  <c r="W110" i="20"/>
  <c r="X110" i="20"/>
  <c r="Y110" i="20"/>
  <c r="Z110" i="20"/>
  <c r="AA110" i="20"/>
  <c r="AB110" i="20"/>
  <c r="T111" i="20"/>
  <c r="U111" i="20"/>
  <c r="V111" i="20"/>
  <c r="W111" i="20"/>
  <c r="X111" i="20"/>
  <c r="Y111" i="20"/>
  <c r="Z111" i="20"/>
  <c r="AA111" i="20"/>
  <c r="AB111" i="20"/>
  <c r="T112" i="20"/>
  <c r="U112" i="20"/>
  <c r="V112" i="20"/>
  <c r="W112" i="20"/>
  <c r="X112" i="20"/>
  <c r="Y112" i="20"/>
  <c r="Z112" i="20"/>
  <c r="AA112" i="20"/>
  <c r="AB112" i="20"/>
  <c r="T113" i="20"/>
  <c r="U113" i="20"/>
  <c r="V113" i="20"/>
  <c r="W113" i="20"/>
  <c r="X113" i="20"/>
  <c r="Y113" i="20"/>
  <c r="Z113" i="20"/>
  <c r="AA113" i="20"/>
  <c r="AB113" i="20"/>
  <c r="T114" i="20"/>
  <c r="U114" i="20"/>
  <c r="V114" i="20"/>
  <c r="W114" i="20"/>
  <c r="X114" i="20"/>
  <c r="Y114" i="20"/>
  <c r="Z114" i="20"/>
  <c r="AA114" i="20"/>
  <c r="AB114" i="20"/>
  <c r="T115" i="20"/>
  <c r="U115" i="20"/>
  <c r="V115" i="20"/>
  <c r="W115" i="20"/>
  <c r="X115" i="20"/>
  <c r="Y115" i="20"/>
  <c r="Z115" i="20"/>
  <c r="AA115" i="20"/>
  <c r="AB115" i="20"/>
  <c r="T116" i="20"/>
  <c r="U116" i="20"/>
  <c r="V116" i="20"/>
  <c r="W116" i="20"/>
  <c r="X116" i="20"/>
  <c r="Y116" i="20"/>
  <c r="Z116" i="20"/>
  <c r="AA116" i="20"/>
  <c r="AB116" i="20"/>
  <c r="T117" i="20"/>
  <c r="U117" i="20"/>
  <c r="V117" i="20"/>
  <c r="W117" i="20"/>
  <c r="X117" i="20"/>
  <c r="Y117" i="20"/>
  <c r="Z117" i="20"/>
  <c r="AA117" i="20"/>
  <c r="AB117" i="20"/>
  <c r="T118" i="20"/>
  <c r="U118" i="20"/>
  <c r="V118" i="20"/>
  <c r="W118" i="20"/>
  <c r="X118" i="20"/>
  <c r="Y118" i="20"/>
  <c r="Z118" i="20"/>
  <c r="AA118" i="20"/>
  <c r="AB118" i="20"/>
  <c r="T119" i="20"/>
  <c r="U119" i="20"/>
  <c r="V119" i="20"/>
  <c r="W119" i="20"/>
  <c r="X119" i="20"/>
  <c r="Y119" i="20"/>
  <c r="Z119" i="20"/>
  <c r="AA119" i="20"/>
  <c r="AB119" i="20"/>
  <c r="T120" i="20"/>
  <c r="U120" i="20"/>
  <c r="V120" i="20"/>
  <c r="W120" i="20"/>
  <c r="X120" i="20"/>
  <c r="Y120" i="20"/>
  <c r="Z120" i="20"/>
  <c r="AA120" i="20"/>
  <c r="AB120" i="20"/>
  <c r="T121" i="20"/>
  <c r="U121" i="20"/>
  <c r="V121" i="20"/>
  <c r="W121" i="20"/>
  <c r="X121" i="20"/>
  <c r="Y121" i="20"/>
  <c r="Z121" i="20"/>
  <c r="AA121" i="20"/>
  <c r="AB121" i="20"/>
  <c r="T122" i="20"/>
  <c r="U122" i="20"/>
  <c r="V122" i="20"/>
  <c r="W122" i="20"/>
  <c r="X122" i="20"/>
  <c r="Y122" i="20"/>
  <c r="Z122" i="20"/>
  <c r="AA122" i="20"/>
  <c r="AB122" i="20"/>
  <c r="T123" i="20"/>
  <c r="U123" i="20"/>
  <c r="V123" i="20"/>
  <c r="W123" i="20"/>
  <c r="X123" i="20"/>
  <c r="Y123" i="20"/>
  <c r="Z123" i="20"/>
  <c r="AA123" i="20"/>
  <c r="AB123" i="20"/>
  <c r="T124" i="20"/>
  <c r="U124" i="20"/>
  <c r="V124" i="20"/>
  <c r="W124" i="20"/>
  <c r="X124" i="20"/>
  <c r="Y124" i="20"/>
  <c r="Z124" i="20"/>
  <c r="AA124" i="20"/>
  <c r="AB124" i="20"/>
  <c r="T125" i="20"/>
  <c r="U125" i="20"/>
  <c r="V125" i="20"/>
  <c r="W125" i="20"/>
  <c r="X125" i="20"/>
  <c r="Y125" i="20"/>
  <c r="Z125" i="20"/>
  <c r="AA125" i="20"/>
  <c r="AB125" i="20"/>
  <c r="T126" i="20"/>
  <c r="U126" i="20"/>
  <c r="V126" i="20"/>
  <c r="W126" i="20"/>
  <c r="X126" i="20"/>
  <c r="Y126" i="20"/>
  <c r="Z126" i="20"/>
  <c r="AA126" i="20"/>
  <c r="AB126" i="20"/>
  <c r="T127" i="20"/>
  <c r="U127" i="20"/>
  <c r="V127" i="20"/>
  <c r="W127" i="20"/>
  <c r="X127" i="20"/>
  <c r="Y127" i="20"/>
  <c r="Z127" i="20"/>
  <c r="AA127" i="20"/>
  <c r="AB127" i="20"/>
  <c r="T128" i="20"/>
  <c r="U128" i="20"/>
  <c r="V128" i="20"/>
  <c r="W128" i="20"/>
  <c r="X128" i="20"/>
  <c r="Y128" i="20"/>
  <c r="Z128" i="20"/>
  <c r="AA128" i="20"/>
  <c r="AB128" i="20"/>
  <c r="T129" i="20"/>
  <c r="U129" i="20"/>
  <c r="V129" i="20"/>
  <c r="W129" i="20"/>
  <c r="X129" i="20"/>
  <c r="Y129" i="20"/>
  <c r="Z129" i="20"/>
  <c r="AA129" i="20"/>
  <c r="AB129" i="20"/>
  <c r="T130" i="20"/>
  <c r="U130" i="20"/>
  <c r="V130" i="20"/>
  <c r="W130" i="20"/>
  <c r="X130" i="20"/>
  <c r="Y130" i="20"/>
  <c r="Z130" i="20"/>
  <c r="AA130" i="20"/>
  <c r="AB130" i="20"/>
  <c r="T131" i="20"/>
  <c r="U131" i="20"/>
  <c r="V131" i="20"/>
  <c r="W131" i="20"/>
  <c r="X131" i="20"/>
  <c r="Y131" i="20"/>
  <c r="Z131" i="20"/>
  <c r="AA131" i="20"/>
  <c r="AB131" i="20"/>
  <c r="T132" i="20"/>
  <c r="U132" i="20"/>
  <c r="V132" i="20"/>
  <c r="W132" i="20"/>
  <c r="X132" i="20"/>
  <c r="Y132" i="20"/>
  <c r="Z132" i="20"/>
  <c r="AA132" i="20"/>
  <c r="AB132" i="20"/>
  <c r="T133" i="20"/>
  <c r="U133" i="20"/>
  <c r="V133" i="20"/>
  <c r="W133" i="20"/>
  <c r="X133" i="20"/>
  <c r="Y133" i="20"/>
  <c r="Z133" i="20"/>
  <c r="AA133" i="20"/>
  <c r="AB133" i="20"/>
  <c r="T134" i="20"/>
  <c r="U134" i="20"/>
  <c r="V134" i="20"/>
  <c r="W134" i="20"/>
  <c r="X134" i="20"/>
  <c r="Y134" i="20"/>
  <c r="Z134" i="20"/>
  <c r="AA134" i="20"/>
  <c r="AB134" i="20"/>
  <c r="T135" i="20"/>
  <c r="U135" i="20"/>
  <c r="V135" i="20"/>
  <c r="W135" i="20"/>
  <c r="X135" i="20"/>
  <c r="Y135" i="20"/>
  <c r="Z135" i="20"/>
  <c r="AA135" i="20"/>
  <c r="AB135" i="20"/>
  <c r="T136" i="20"/>
  <c r="U136" i="20"/>
  <c r="V136" i="20"/>
  <c r="W136" i="20"/>
  <c r="X136" i="20"/>
  <c r="Y136" i="20"/>
  <c r="Z136" i="20"/>
  <c r="AA136" i="20"/>
  <c r="AB136" i="20"/>
  <c r="T137" i="20"/>
  <c r="U137" i="20"/>
  <c r="V137" i="20"/>
  <c r="W137" i="20"/>
  <c r="X137" i="20"/>
  <c r="Y137" i="20"/>
  <c r="Z137" i="20"/>
  <c r="AA137" i="20"/>
  <c r="AB137" i="20"/>
  <c r="T138" i="20"/>
  <c r="U138" i="20"/>
  <c r="V138" i="20"/>
  <c r="W138" i="20"/>
  <c r="X138" i="20"/>
  <c r="Y138" i="20"/>
  <c r="Z138" i="20"/>
  <c r="AA138" i="20"/>
  <c r="AB138" i="20"/>
  <c r="T139" i="20"/>
  <c r="U139" i="20"/>
  <c r="V139" i="20"/>
  <c r="W139" i="20"/>
  <c r="X139" i="20"/>
  <c r="Y139" i="20"/>
  <c r="Z139" i="20"/>
  <c r="AA139" i="20"/>
  <c r="AB139" i="20"/>
  <c r="T140" i="20"/>
  <c r="U140" i="20"/>
  <c r="V140" i="20"/>
  <c r="W140" i="20"/>
  <c r="X140" i="20"/>
  <c r="Y140" i="20"/>
  <c r="Z140" i="20"/>
  <c r="AA140" i="20"/>
  <c r="AB140" i="20"/>
  <c r="T141" i="20"/>
  <c r="U141" i="20"/>
  <c r="V141" i="20"/>
  <c r="W141" i="20"/>
  <c r="X141" i="20"/>
  <c r="Y141" i="20"/>
  <c r="Z141" i="20"/>
  <c r="AA141" i="20"/>
  <c r="AB141" i="20"/>
  <c r="T142" i="20"/>
  <c r="U142" i="20"/>
  <c r="V142" i="20"/>
  <c r="W142" i="20"/>
  <c r="X142" i="20"/>
  <c r="Y142" i="20"/>
  <c r="Z142" i="20"/>
  <c r="AA142" i="20"/>
  <c r="AB142" i="20"/>
  <c r="T143" i="20"/>
  <c r="U143" i="20"/>
  <c r="V143" i="20"/>
  <c r="W143" i="20"/>
  <c r="X143" i="20"/>
  <c r="Y143" i="20"/>
  <c r="Z143" i="20"/>
  <c r="AA143" i="20"/>
  <c r="AB143" i="20"/>
  <c r="T144" i="20"/>
  <c r="U144" i="20"/>
  <c r="V144" i="20"/>
  <c r="W144" i="20"/>
  <c r="X144" i="20"/>
  <c r="Y144" i="20"/>
  <c r="Z144" i="20"/>
  <c r="AA144" i="20"/>
  <c r="AB144" i="20"/>
  <c r="T145" i="20"/>
  <c r="U145" i="20"/>
  <c r="V145" i="20"/>
  <c r="W145" i="20"/>
  <c r="X145" i="20"/>
  <c r="Y145" i="20"/>
  <c r="Z145" i="20"/>
  <c r="AA145" i="20"/>
  <c r="AB145" i="20"/>
  <c r="T146" i="20"/>
  <c r="U146" i="20"/>
  <c r="V146" i="20"/>
  <c r="W146" i="20"/>
  <c r="X146" i="20"/>
  <c r="Y146" i="20"/>
  <c r="Z146" i="20"/>
  <c r="AA146" i="20"/>
  <c r="AB146" i="20"/>
  <c r="T147" i="20"/>
  <c r="U147" i="20"/>
  <c r="V147" i="20"/>
  <c r="W147" i="20"/>
  <c r="X147" i="20"/>
  <c r="Y147" i="20"/>
  <c r="Z147" i="20"/>
  <c r="AA147" i="20"/>
  <c r="AB147" i="20"/>
  <c r="T148" i="20"/>
  <c r="U148" i="20"/>
  <c r="V148" i="20"/>
  <c r="W148" i="20"/>
  <c r="X148" i="20"/>
  <c r="Y148" i="20"/>
  <c r="Z148" i="20"/>
  <c r="AA148" i="20"/>
  <c r="AB148" i="20"/>
  <c r="T149" i="20"/>
  <c r="U149" i="20"/>
  <c r="V149" i="20"/>
  <c r="W149" i="20"/>
  <c r="X149" i="20"/>
  <c r="Y149" i="20"/>
  <c r="Z149" i="20"/>
  <c r="AA149" i="20"/>
  <c r="AB149" i="20"/>
  <c r="T150" i="20"/>
  <c r="U150" i="20"/>
  <c r="V150" i="20"/>
  <c r="W150" i="20"/>
  <c r="X150" i="20"/>
  <c r="Y150" i="20"/>
  <c r="Z150" i="20"/>
  <c r="AA150" i="20"/>
  <c r="AB150" i="20"/>
  <c r="T151" i="20"/>
  <c r="U151" i="20"/>
  <c r="V151" i="20"/>
  <c r="W151" i="20"/>
  <c r="X151" i="20"/>
  <c r="Y151" i="20"/>
  <c r="Z151" i="20"/>
  <c r="AA151" i="20"/>
  <c r="AB151" i="20"/>
  <c r="T152" i="20"/>
  <c r="U152" i="20"/>
  <c r="V152" i="20"/>
  <c r="W152" i="20"/>
  <c r="X152" i="20"/>
  <c r="Y152" i="20"/>
  <c r="Z152" i="20"/>
  <c r="AA152" i="20"/>
  <c r="AB152" i="20"/>
  <c r="T153" i="20"/>
  <c r="U153" i="20"/>
  <c r="V153" i="20"/>
  <c r="W153" i="20"/>
  <c r="X153" i="20"/>
  <c r="Y153" i="20"/>
  <c r="Z153" i="20"/>
  <c r="AA153" i="20"/>
  <c r="AB153" i="20"/>
  <c r="T154" i="20"/>
  <c r="U154" i="20"/>
  <c r="V154" i="20"/>
  <c r="W154" i="20"/>
  <c r="X154" i="20"/>
  <c r="Y154" i="20"/>
  <c r="Z154" i="20"/>
  <c r="AA154" i="20"/>
  <c r="AB154" i="20"/>
  <c r="T155" i="20"/>
  <c r="U155" i="20"/>
  <c r="V155" i="20"/>
  <c r="W155" i="20"/>
  <c r="X155" i="20"/>
  <c r="Y155" i="20"/>
  <c r="Z155" i="20"/>
  <c r="AA155" i="20"/>
  <c r="AB155" i="20"/>
  <c r="T156" i="20"/>
  <c r="U156" i="20"/>
  <c r="V156" i="20"/>
  <c r="W156" i="20"/>
  <c r="X156" i="20"/>
  <c r="Y156" i="20"/>
  <c r="Z156" i="20"/>
  <c r="AA156" i="20"/>
  <c r="AB156" i="20"/>
  <c r="T157" i="20"/>
  <c r="U157" i="20"/>
  <c r="V157" i="20"/>
  <c r="W157" i="20"/>
  <c r="X157" i="20"/>
  <c r="Y157" i="20"/>
  <c r="Z157" i="20"/>
  <c r="AA157" i="20"/>
  <c r="AB157" i="20"/>
  <c r="T158" i="20"/>
  <c r="U158" i="20"/>
  <c r="V158" i="20"/>
  <c r="W158" i="20"/>
  <c r="X158" i="20"/>
  <c r="Y158" i="20"/>
  <c r="Z158" i="20"/>
  <c r="AA158" i="20"/>
  <c r="AB158" i="20"/>
  <c r="T159" i="20"/>
  <c r="U159" i="20"/>
  <c r="V159" i="20"/>
  <c r="W159" i="20"/>
  <c r="X159" i="20"/>
  <c r="Y159" i="20"/>
  <c r="Z159" i="20"/>
  <c r="AA159" i="20"/>
  <c r="AB159" i="20"/>
  <c r="T160" i="20"/>
  <c r="U160" i="20"/>
  <c r="V160" i="20"/>
  <c r="W160" i="20"/>
  <c r="X160" i="20"/>
  <c r="Y160" i="20"/>
  <c r="Z160" i="20"/>
  <c r="AA160" i="20"/>
  <c r="AB160" i="20"/>
  <c r="T161" i="20"/>
  <c r="U161" i="20"/>
  <c r="V161" i="20"/>
  <c r="W161" i="20"/>
  <c r="X161" i="20"/>
  <c r="Y161" i="20"/>
  <c r="Z161" i="20"/>
  <c r="AA161" i="20"/>
  <c r="AB161" i="20"/>
  <c r="T162" i="20"/>
  <c r="U162" i="20"/>
  <c r="V162" i="20"/>
  <c r="W162" i="20"/>
  <c r="X162" i="20"/>
  <c r="Y162" i="20"/>
  <c r="Z162" i="20"/>
  <c r="AA162" i="20"/>
  <c r="AB162" i="20"/>
  <c r="T163" i="20"/>
  <c r="U163" i="20"/>
  <c r="V163" i="20"/>
  <c r="W163" i="20"/>
  <c r="X163" i="20"/>
  <c r="Y163" i="20"/>
  <c r="Z163" i="20"/>
  <c r="AA163" i="20"/>
  <c r="AB163" i="20"/>
  <c r="T164" i="20"/>
  <c r="U164" i="20"/>
  <c r="V164" i="20"/>
  <c r="W164" i="20"/>
  <c r="X164" i="20"/>
  <c r="Y164" i="20"/>
  <c r="Z164" i="20"/>
  <c r="AA164" i="20"/>
  <c r="AB164" i="20"/>
  <c r="T165" i="20"/>
  <c r="U165" i="20"/>
  <c r="V165" i="20"/>
  <c r="W165" i="20"/>
  <c r="X165" i="20"/>
  <c r="Y165" i="20"/>
  <c r="Z165" i="20"/>
  <c r="AA165" i="20"/>
  <c r="AB165" i="20"/>
  <c r="T166" i="20"/>
  <c r="U166" i="20"/>
  <c r="V166" i="20"/>
  <c r="W166" i="20"/>
  <c r="X166" i="20"/>
  <c r="Y166" i="20"/>
  <c r="Z166" i="20"/>
  <c r="AA166" i="20"/>
  <c r="AB166" i="20"/>
  <c r="T167" i="20"/>
  <c r="U167" i="20"/>
  <c r="V167" i="20"/>
  <c r="W167" i="20"/>
  <c r="X167" i="20"/>
  <c r="Y167" i="20"/>
  <c r="Z167" i="20"/>
  <c r="AA167" i="20"/>
  <c r="AB167" i="20"/>
  <c r="T168" i="20"/>
  <c r="U168" i="20"/>
  <c r="V168" i="20"/>
  <c r="W168" i="20"/>
  <c r="X168" i="20"/>
  <c r="Y168" i="20"/>
  <c r="Z168" i="20"/>
  <c r="AA168" i="20"/>
  <c r="AB168" i="20"/>
  <c r="T169" i="20"/>
  <c r="U169" i="20"/>
  <c r="V169" i="20"/>
  <c r="W169" i="20"/>
  <c r="X169" i="20"/>
  <c r="Y169" i="20"/>
  <c r="Z169" i="20"/>
  <c r="AA169" i="20"/>
  <c r="AB169" i="20"/>
  <c r="T170" i="20"/>
  <c r="U170" i="20"/>
  <c r="V170" i="20"/>
  <c r="W170" i="20"/>
  <c r="X170" i="20"/>
  <c r="Y170" i="20"/>
  <c r="Z170" i="20"/>
  <c r="AA170" i="20"/>
  <c r="AB170" i="20"/>
  <c r="T171" i="20"/>
  <c r="U171" i="20"/>
  <c r="V171" i="20"/>
  <c r="W171" i="20"/>
  <c r="X171" i="20"/>
  <c r="Y171" i="20"/>
  <c r="Z171" i="20"/>
  <c r="AA171" i="20"/>
  <c r="AB171" i="20"/>
  <c r="T172" i="20"/>
  <c r="U172" i="20"/>
  <c r="V172" i="20"/>
  <c r="W172" i="20"/>
  <c r="X172" i="20"/>
  <c r="Y172" i="20"/>
  <c r="Z172" i="20"/>
  <c r="AA172" i="20"/>
  <c r="AB172" i="20"/>
  <c r="T173" i="20"/>
  <c r="U173" i="20"/>
  <c r="V173" i="20"/>
  <c r="W173" i="20"/>
  <c r="X173" i="20"/>
  <c r="Y173" i="20"/>
  <c r="Z173" i="20"/>
  <c r="AA173" i="20"/>
  <c r="AB173" i="20"/>
  <c r="T174" i="20"/>
  <c r="U174" i="20"/>
  <c r="V174" i="20"/>
  <c r="W174" i="20"/>
  <c r="X174" i="20"/>
  <c r="Y174" i="20"/>
  <c r="Z174" i="20"/>
  <c r="AA174" i="20"/>
  <c r="AB174" i="20"/>
  <c r="T175" i="20"/>
  <c r="U175" i="20"/>
  <c r="V175" i="20"/>
  <c r="W175" i="20"/>
  <c r="X175" i="20"/>
  <c r="Y175" i="20"/>
  <c r="Z175" i="20"/>
  <c r="AA175" i="20"/>
  <c r="AB175" i="20"/>
  <c r="T176" i="20"/>
  <c r="U176" i="20"/>
  <c r="V176" i="20"/>
  <c r="W176" i="20"/>
  <c r="X176" i="20"/>
  <c r="Y176" i="20"/>
  <c r="Z176" i="20"/>
  <c r="AA176" i="20"/>
  <c r="AB176" i="20"/>
  <c r="T177" i="20"/>
  <c r="U177" i="20"/>
  <c r="V177" i="20"/>
  <c r="W177" i="20"/>
  <c r="X177" i="20"/>
  <c r="Y177" i="20"/>
  <c r="Z177" i="20"/>
  <c r="AA177" i="20"/>
  <c r="AB177" i="20"/>
  <c r="T178" i="20"/>
  <c r="U178" i="20"/>
  <c r="V178" i="20"/>
  <c r="W178" i="20"/>
  <c r="X178" i="20"/>
  <c r="Y178" i="20"/>
  <c r="Z178" i="20"/>
  <c r="AA178" i="20"/>
  <c r="AB178" i="20"/>
  <c r="T179" i="20"/>
  <c r="U179" i="20"/>
  <c r="V179" i="20"/>
  <c r="W179" i="20"/>
  <c r="X179" i="20"/>
  <c r="Y179" i="20"/>
  <c r="Z179" i="20"/>
  <c r="AA179" i="20"/>
  <c r="AB179" i="20"/>
  <c r="T180" i="20"/>
  <c r="U180" i="20"/>
  <c r="V180" i="20"/>
  <c r="W180" i="20"/>
  <c r="X180" i="20"/>
  <c r="Y180" i="20"/>
  <c r="Z180" i="20"/>
  <c r="AA180" i="20"/>
  <c r="AB180" i="20"/>
  <c r="T181" i="20"/>
  <c r="U181" i="20"/>
  <c r="V181" i="20"/>
  <c r="W181" i="20"/>
  <c r="X181" i="20"/>
  <c r="Y181" i="20"/>
  <c r="Z181" i="20"/>
  <c r="AA181" i="20"/>
  <c r="AB181" i="20"/>
  <c r="T182" i="20"/>
  <c r="U182" i="20"/>
  <c r="V182" i="20"/>
  <c r="W182" i="20"/>
  <c r="X182" i="20"/>
  <c r="Y182" i="20"/>
  <c r="Z182" i="20"/>
  <c r="AA182" i="20"/>
  <c r="AB182" i="20"/>
  <c r="U4" i="20"/>
  <c r="V4" i="20"/>
  <c r="W4" i="20"/>
  <c r="X4" i="20"/>
  <c r="Y4" i="20"/>
  <c r="Z4" i="20"/>
  <c r="AA4" i="20"/>
  <c r="AB4" i="20"/>
  <c r="T4" i="20"/>
  <c r="AB3" i="20"/>
  <c r="V3" i="20"/>
  <c r="W3" i="20"/>
  <c r="X3" i="20"/>
  <c r="Y3" i="20"/>
  <c r="Z3" i="20"/>
  <c r="AA3" i="20"/>
  <c r="U3" i="20"/>
  <c r="T3" i="20"/>
  <c r="BA3" i="19"/>
  <c r="AT3" i="19"/>
  <c r="AU3" i="19"/>
  <c r="AV3" i="19"/>
  <c r="AW3" i="19"/>
  <c r="AX3" i="19"/>
  <c r="AY3" i="19"/>
  <c r="AS3" i="19"/>
  <c r="AQ3" i="19"/>
  <c r="AO3" i="19"/>
  <c r="N20" i="26"/>
  <c r="L20" i="26"/>
  <c r="K20" i="26"/>
  <c r="J20" i="26"/>
  <c r="I20" i="26"/>
  <c r="H20" i="26"/>
  <c r="D20" i="26"/>
  <c r="F20" i="26"/>
  <c r="G20" i="26"/>
  <c r="B20" i="26"/>
  <c r="B18" i="26"/>
  <c r="M19" i="26"/>
  <c r="K19" i="26"/>
  <c r="J19" i="26"/>
  <c r="I19" i="26"/>
  <c r="H19" i="26"/>
  <c r="G19" i="26"/>
  <c r="F19" i="26"/>
  <c r="E19" i="26"/>
  <c r="C19" i="26"/>
  <c r="K18" i="26"/>
  <c r="J18" i="26"/>
  <c r="I18" i="26"/>
  <c r="H18" i="26"/>
  <c r="G18" i="26"/>
  <c r="F18" i="26"/>
  <c r="D18" i="26"/>
  <c r="N18" i="26"/>
  <c r="L18" i="26"/>
  <c r="EL183" i="25" l="1"/>
  <c r="EM51" i="25"/>
  <c r="EN51" i="25"/>
  <c r="EO51" i="25"/>
  <c r="EP51" i="25"/>
  <c r="EQ51" i="25"/>
  <c r="ER51" i="25"/>
  <c r="ES51" i="25"/>
  <c r="ET51" i="25"/>
  <c r="EU51" i="25"/>
  <c r="EV51" i="25"/>
  <c r="EW51" i="25"/>
  <c r="EX51" i="25"/>
  <c r="EY51" i="25"/>
  <c r="EZ51" i="25"/>
  <c r="FA51" i="25"/>
  <c r="FB51" i="25"/>
  <c r="FC51" i="25"/>
  <c r="FD51" i="25"/>
  <c r="FE51" i="25"/>
  <c r="EM63" i="25"/>
  <c r="EN63" i="25"/>
  <c r="EO63" i="25"/>
  <c r="EP63" i="25"/>
  <c r="EQ63" i="25"/>
  <c r="ER63" i="25"/>
  <c r="ES63" i="25"/>
  <c r="ET63" i="25"/>
  <c r="EU63" i="25"/>
  <c r="EV63" i="25"/>
  <c r="EW63" i="25"/>
  <c r="EX63" i="25"/>
  <c r="EY63" i="25"/>
  <c r="EZ63" i="25"/>
  <c r="FA63" i="25"/>
  <c r="FB63" i="25"/>
  <c r="FC63" i="25"/>
  <c r="FD63" i="25"/>
  <c r="FE63" i="25"/>
  <c r="EM75" i="25"/>
  <c r="EN75" i="25"/>
  <c r="EO75" i="25"/>
  <c r="EP75" i="25"/>
  <c r="EQ75" i="25"/>
  <c r="ER75" i="25"/>
  <c r="ES75" i="25"/>
  <c r="ET75" i="25"/>
  <c r="EU75" i="25"/>
  <c r="EV75" i="25"/>
  <c r="EW75" i="25"/>
  <c r="EX75" i="25"/>
  <c r="EY75" i="25"/>
  <c r="EZ75" i="25"/>
  <c r="FA75" i="25"/>
  <c r="FB75" i="25"/>
  <c r="FC75" i="25"/>
  <c r="FD75" i="25"/>
  <c r="FE75" i="25"/>
  <c r="EM87" i="25"/>
  <c r="EN87" i="25"/>
  <c r="EO87" i="25"/>
  <c r="EP87" i="25"/>
  <c r="EQ87" i="25"/>
  <c r="ER87" i="25"/>
  <c r="ES87" i="25"/>
  <c r="ET87" i="25"/>
  <c r="EU87" i="25"/>
  <c r="EV87" i="25"/>
  <c r="EW87" i="25"/>
  <c r="EX87" i="25"/>
  <c r="EY87" i="25"/>
  <c r="EZ87" i="25"/>
  <c r="FA87" i="25"/>
  <c r="FB87" i="25"/>
  <c r="FC87" i="25"/>
  <c r="FD87" i="25"/>
  <c r="FE87" i="25"/>
  <c r="EM99" i="25"/>
  <c r="EN99" i="25"/>
  <c r="EO99" i="25"/>
  <c r="EP99" i="25"/>
  <c r="EQ99" i="25"/>
  <c r="ER99" i="25"/>
  <c r="ES99" i="25"/>
  <c r="ET99" i="25"/>
  <c r="EU99" i="25"/>
  <c r="EV99" i="25"/>
  <c r="EW99" i="25"/>
  <c r="EX99" i="25"/>
  <c r="EY99" i="25"/>
  <c r="EZ99" i="25"/>
  <c r="FA99" i="25"/>
  <c r="FB99" i="25"/>
  <c r="FC99" i="25"/>
  <c r="FD99" i="25"/>
  <c r="FE99" i="25"/>
  <c r="EM111" i="25"/>
  <c r="EN111" i="25"/>
  <c r="EO111" i="25"/>
  <c r="EP111" i="25"/>
  <c r="EQ111" i="25"/>
  <c r="ER111" i="25"/>
  <c r="ES111" i="25"/>
  <c r="ET111" i="25"/>
  <c r="EU111" i="25"/>
  <c r="EV111" i="25"/>
  <c r="EW111" i="25"/>
  <c r="EX111" i="25"/>
  <c r="EY111" i="25"/>
  <c r="EZ111" i="25"/>
  <c r="FA111" i="25"/>
  <c r="FB111" i="25"/>
  <c r="FC111" i="25"/>
  <c r="FD111" i="25"/>
  <c r="FE111" i="25"/>
  <c r="EM123" i="25"/>
  <c r="EN123" i="25"/>
  <c r="EO123" i="25"/>
  <c r="EP123" i="25"/>
  <c r="EQ123" i="25"/>
  <c r="ER123" i="25"/>
  <c r="ES123" i="25"/>
  <c r="ET123" i="25"/>
  <c r="EU123" i="25"/>
  <c r="EV123" i="25"/>
  <c r="EW123" i="25"/>
  <c r="EX123" i="25"/>
  <c r="EY123" i="25"/>
  <c r="EZ123" i="25"/>
  <c r="FA123" i="25"/>
  <c r="FB123" i="25"/>
  <c r="FC123" i="25"/>
  <c r="FD123" i="25"/>
  <c r="FE123" i="25"/>
  <c r="EM135" i="25"/>
  <c r="EN135" i="25"/>
  <c r="EO135" i="25"/>
  <c r="EP135" i="25"/>
  <c r="EQ135" i="25"/>
  <c r="ER135" i="25"/>
  <c r="ES135" i="25"/>
  <c r="ET135" i="25"/>
  <c r="EU135" i="25"/>
  <c r="EV135" i="25"/>
  <c r="EW135" i="25"/>
  <c r="EX135" i="25"/>
  <c r="EY135" i="25"/>
  <c r="EZ135" i="25"/>
  <c r="FA135" i="25"/>
  <c r="FB135" i="25"/>
  <c r="FC135" i="25"/>
  <c r="FD135" i="25"/>
  <c r="FE135" i="25"/>
  <c r="EM147" i="25"/>
  <c r="EN147" i="25"/>
  <c r="EO147" i="25"/>
  <c r="EP147" i="25"/>
  <c r="EQ147" i="25"/>
  <c r="ER147" i="25"/>
  <c r="ES147" i="25"/>
  <c r="ET147" i="25"/>
  <c r="EU147" i="25"/>
  <c r="EV147" i="25"/>
  <c r="EW147" i="25"/>
  <c r="EX147" i="25"/>
  <c r="EY147" i="25"/>
  <c r="EZ147" i="25"/>
  <c r="FA147" i="25"/>
  <c r="FB147" i="25"/>
  <c r="FC147" i="25"/>
  <c r="FD147" i="25"/>
  <c r="FE147" i="25"/>
  <c r="EM159" i="25"/>
  <c r="EN159" i="25"/>
  <c r="EO159" i="25"/>
  <c r="EP159" i="25"/>
  <c r="EQ159" i="25"/>
  <c r="ER159" i="25"/>
  <c r="ES159" i="25"/>
  <c r="ET159" i="25"/>
  <c r="EU159" i="25"/>
  <c r="EV159" i="25"/>
  <c r="EW159" i="25"/>
  <c r="EX159" i="25"/>
  <c r="EY159" i="25"/>
  <c r="EZ159" i="25"/>
  <c r="FA159" i="25"/>
  <c r="FB159" i="25"/>
  <c r="FC159" i="25"/>
  <c r="FD159" i="25"/>
  <c r="FE159" i="25"/>
  <c r="EM171" i="25"/>
  <c r="EN171" i="25"/>
  <c r="EO171" i="25"/>
  <c r="EP171" i="25"/>
  <c r="EQ171" i="25"/>
  <c r="ER171" i="25"/>
  <c r="ES171" i="25"/>
  <c r="ET171" i="25"/>
  <c r="EU171" i="25"/>
  <c r="EV171" i="25"/>
  <c r="EW171" i="25"/>
  <c r="EX171" i="25"/>
  <c r="EY171" i="25"/>
  <c r="EZ171" i="25"/>
  <c r="FA171" i="25"/>
  <c r="FB171" i="25"/>
  <c r="FC171" i="25"/>
  <c r="FD171" i="25"/>
  <c r="FE171" i="25"/>
  <c r="EL171" i="25"/>
  <c r="EL159" i="25"/>
  <c r="EL147" i="25"/>
  <c r="EL135" i="25"/>
  <c r="EL123" i="25"/>
  <c r="EL111" i="25"/>
  <c r="EL99" i="25"/>
  <c r="EL87" i="25"/>
  <c r="EL75" i="25"/>
  <c r="EL63" i="25"/>
  <c r="EL51" i="25"/>
  <c r="EM39" i="25"/>
  <c r="EN39" i="25"/>
  <c r="EO39" i="25"/>
  <c r="EP39" i="25"/>
  <c r="EQ39" i="25"/>
  <c r="ER39" i="25"/>
  <c r="ES39" i="25"/>
  <c r="ET39" i="25"/>
  <c r="EU39" i="25"/>
  <c r="EV39" i="25"/>
  <c r="EW39" i="25"/>
  <c r="EX39" i="25"/>
  <c r="EY39" i="25"/>
  <c r="EZ39" i="25"/>
  <c r="FA39" i="25"/>
  <c r="FB39" i="25"/>
  <c r="FC39" i="25"/>
  <c r="FD39" i="25"/>
  <c r="FE39" i="25"/>
  <c r="EL39" i="25"/>
  <c r="EM27" i="25"/>
  <c r="EN27" i="25"/>
  <c r="EO27" i="25"/>
  <c r="EP27" i="25"/>
  <c r="EQ27" i="25"/>
  <c r="ER27" i="25"/>
  <c r="ES27" i="25"/>
  <c r="ET27" i="25"/>
  <c r="EU27" i="25"/>
  <c r="EV27" i="25"/>
  <c r="EW27" i="25"/>
  <c r="EX27" i="25"/>
  <c r="EY27" i="25"/>
  <c r="EZ27" i="25"/>
  <c r="FA27" i="25"/>
  <c r="FB27" i="25"/>
  <c r="FC27" i="25"/>
  <c r="FD27" i="25"/>
  <c r="FE27" i="25"/>
  <c r="EL27" i="25"/>
  <c r="EM15" i="25"/>
  <c r="EN15" i="25"/>
  <c r="EO15" i="25"/>
  <c r="EP15" i="25"/>
  <c r="EQ15" i="25"/>
  <c r="ER15" i="25"/>
  <c r="ES15" i="25"/>
  <c r="ET15" i="25"/>
  <c r="EU15" i="25"/>
  <c r="EV15" i="25"/>
  <c r="EW15" i="25"/>
  <c r="EX15" i="25"/>
  <c r="EY15" i="25"/>
  <c r="EZ15" i="25"/>
  <c r="FA15" i="25"/>
  <c r="FB15" i="25"/>
  <c r="FC15" i="25"/>
  <c r="FD15" i="25"/>
  <c r="FE15" i="25"/>
  <c r="EL15" i="25"/>
  <c r="I203" i="25" l="1"/>
  <c r="H203" i="25"/>
  <c r="AY4" i="20" l="1"/>
  <c r="AZ4" i="20"/>
  <c r="BA4" i="20"/>
  <c r="BB4" i="20"/>
  <c r="BC4" i="20"/>
  <c r="AW4" i="20"/>
  <c r="AV4" i="20"/>
  <c r="AU4" i="20"/>
  <c r="BC3" i="20"/>
  <c r="BB3" i="20"/>
  <c r="BA3" i="20"/>
  <c r="AZ3" i="20"/>
  <c r="AY3" i="20"/>
  <c r="AX3" i="20"/>
  <c r="AW3" i="20"/>
  <c r="AV3" i="20"/>
  <c r="AU3" i="20"/>
  <c r="CA4" i="19"/>
  <c r="CA3" i="19"/>
  <c r="BY4" i="19"/>
  <c r="BY3" i="19"/>
  <c r="BX4" i="19"/>
  <c r="BX3" i="19"/>
  <c r="BQ4" i="19"/>
  <c r="BW4" i="19"/>
  <c r="BW3" i="19"/>
  <c r="BV3" i="19"/>
  <c r="BU4" i="19"/>
  <c r="BU3" i="19"/>
  <c r="BT3" i="19"/>
  <c r="BS4" i="19"/>
  <c r="BS3" i="19"/>
  <c r="BQ3" i="19"/>
  <c r="BO4" i="19"/>
  <c r="BO5" i="19"/>
  <c r="BO3" i="19"/>
  <c r="AP4" i="25" s="1"/>
  <c r="AA3" i="19"/>
  <c r="Y3" i="19"/>
  <c r="Q3" i="19"/>
  <c r="O3" i="19"/>
  <c r="BI5" i="25"/>
  <c r="BD4" i="25"/>
  <c r="BD5" i="25" s="1"/>
  <c r="AZ4" i="25"/>
  <c r="AQ4" i="25"/>
  <c r="BI4" i="25"/>
  <c r="AS4" i="25"/>
  <c r="BC4" i="25"/>
  <c r="BF4" i="25"/>
  <c r="BH4" i="25"/>
  <c r="B4" i="25"/>
  <c r="O4" i="19" s="1"/>
  <c r="C198" i="25"/>
  <c r="D198" i="25"/>
  <c r="E198" i="25"/>
  <c r="F198" i="25"/>
  <c r="G198" i="25"/>
  <c r="J198" i="25"/>
  <c r="K198" i="25"/>
  <c r="L198" i="25"/>
  <c r="M198" i="25"/>
  <c r="N198" i="25"/>
  <c r="O198" i="25"/>
  <c r="P198" i="25"/>
  <c r="Q198" i="25"/>
  <c r="R198" i="25"/>
  <c r="S198" i="25"/>
  <c r="T198" i="25"/>
  <c r="U198" i="25"/>
  <c r="B198" i="25"/>
  <c r="AE4" i="25"/>
  <c r="AF4" i="25"/>
  <c r="V4" i="25"/>
  <c r="W4" i="25"/>
  <c r="X4" i="25"/>
  <c r="Y4" i="25"/>
  <c r="Z4" i="25"/>
  <c r="AA4" i="25"/>
  <c r="AG4" i="25"/>
  <c r="AH4" i="25"/>
  <c r="AI4" i="25"/>
  <c r="AJ4" i="25"/>
  <c r="AK4" i="25"/>
  <c r="AL4" i="25"/>
  <c r="AM4" i="25"/>
  <c r="AN4" i="25"/>
  <c r="AO4" i="25"/>
  <c r="E4" i="25"/>
  <c r="DR173" i="25"/>
  <c r="DS173" i="25"/>
  <c r="DT173" i="25"/>
  <c r="DU173" i="25"/>
  <c r="DV173" i="25"/>
  <c r="DW173" i="25"/>
  <c r="DX173" i="25"/>
  <c r="DY173" i="25"/>
  <c r="DZ173" i="25"/>
  <c r="EA173" i="25"/>
  <c r="EB173" i="25"/>
  <c r="EC173" i="25"/>
  <c r="ED173" i="25"/>
  <c r="EE173" i="25"/>
  <c r="EF173" i="25"/>
  <c r="EG173" i="25"/>
  <c r="EH173" i="25"/>
  <c r="EI173" i="25"/>
  <c r="EJ173" i="25"/>
  <c r="EK173" i="25"/>
  <c r="DR174" i="25"/>
  <c r="DS174" i="25"/>
  <c r="DT174" i="25"/>
  <c r="DU174" i="25"/>
  <c r="DV174" i="25"/>
  <c r="DW174" i="25"/>
  <c r="DX174" i="25"/>
  <c r="DY174" i="25"/>
  <c r="DZ174" i="25"/>
  <c r="EA174" i="25"/>
  <c r="EB174" i="25"/>
  <c r="EC174" i="25"/>
  <c r="ED174" i="25"/>
  <c r="EE174" i="25"/>
  <c r="EF174" i="25"/>
  <c r="EG174" i="25"/>
  <c r="EH174" i="25"/>
  <c r="EI174" i="25"/>
  <c r="EJ174" i="25"/>
  <c r="EK174" i="25"/>
  <c r="DR175" i="25"/>
  <c r="DS175" i="25"/>
  <c r="DT175" i="25"/>
  <c r="DU175" i="25"/>
  <c r="DV175" i="25"/>
  <c r="DW175" i="25"/>
  <c r="DX175" i="25"/>
  <c r="DY175" i="25"/>
  <c r="DZ175" i="25"/>
  <c r="EA175" i="25"/>
  <c r="EB175" i="25"/>
  <c r="EC175" i="25"/>
  <c r="ED175" i="25"/>
  <c r="EE175" i="25"/>
  <c r="EF175" i="25"/>
  <c r="EG175" i="25"/>
  <c r="EH175" i="25"/>
  <c r="EI175" i="25"/>
  <c r="EJ175" i="25"/>
  <c r="EK175" i="25"/>
  <c r="DR176" i="25"/>
  <c r="DS176" i="25"/>
  <c r="DT176" i="25"/>
  <c r="DU176" i="25"/>
  <c r="DV176" i="25"/>
  <c r="DW176" i="25"/>
  <c r="DX176" i="25"/>
  <c r="DY176" i="25"/>
  <c r="DZ176" i="25"/>
  <c r="EA176" i="25"/>
  <c r="EB176" i="25"/>
  <c r="EC176" i="25"/>
  <c r="ED176" i="25"/>
  <c r="EE176" i="25"/>
  <c r="EF176" i="25"/>
  <c r="EG176" i="25"/>
  <c r="EH176" i="25"/>
  <c r="EI176" i="25"/>
  <c r="EJ176" i="25"/>
  <c r="EK176" i="25"/>
  <c r="DR177" i="25"/>
  <c r="DS177" i="25"/>
  <c r="DT177" i="25"/>
  <c r="DU177" i="25"/>
  <c r="DV177" i="25"/>
  <c r="DW177" i="25"/>
  <c r="DX177" i="25"/>
  <c r="DY177" i="25"/>
  <c r="DZ177" i="25"/>
  <c r="EA177" i="25"/>
  <c r="EB177" i="25"/>
  <c r="EC177" i="25"/>
  <c r="ED177" i="25"/>
  <c r="EE177" i="25"/>
  <c r="EF177" i="25"/>
  <c r="EG177" i="25"/>
  <c r="EH177" i="25"/>
  <c r="EI177" i="25"/>
  <c r="EJ177" i="25"/>
  <c r="EK177" i="25"/>
  <c r="DR178" i="25"/>
  <c r="DS178" i="25"/>
  <c r="DT178" i="25"/>
  <c r="DU178" i="25"/>
  <c r="DV178" i="25"/>
  <c r="DW178" i="25"/>
  <c r="DX178" i="25"/>
  <c r="DY178" i="25"/>
  <c r="DZ178" i="25"/>
  <c r="EA178" i="25"/>
  <c r="EB178" i="25"/>
  <c r="EC178" i="25"/>
  <c r="ED178" i="25"/>
  <c r="EE178" i="25"/>
  <c r="EF178" i="25"/>
  <c r="EG178" i="25"/>
  <c r="EH178" i="25"/>
  <c r="EI178" i="25"/>
  <c r="EJ178" i="25"/>
  <c r="EK178" i="25"/>
  <c r="DR179" i="25"/>
  <c r="DS179" i="25"/>
  <c r="DT179" i="25"/>
  <c r="DU179" i="25"/>
  <c r="DV179" i="25"/>
  <c r="DW179" i="25"/>
  <c r="DX179" i="25"/>
  <c r="DY179" i="25"/>
  <c r="DZ179" i="25"/>
  <c r="EA179" i="25"/>
  <c r="EB179" i="25"/>
  <c r="EC179" i="25"/>
  <c r="ED179" i="25"/>
  <c r="EE179" i="25"/>
  <c r="EF179" i="25"/>
  <c r="EG179" i="25"/>
  <c r="EH179" i="25"/>
  <c r="EI179" i="25"/>
  <c r="EJ179" i="25"/>
  <c r="EK179" i="25"/>
  <c r="DR180" i="25"/>
  <c r="DS180" i="25"/>
  <c r="DT180" i="25"/>
  <c r="DU180" i="25"/>
  <c r="DV180" i="25"/>
  <c r="DW180" i="25"/>
  <c r="DX180" i="25"/>
  <c r="DY180" i="25"/>
  <c r="DZ180" i="25"/>
  <c r="EA180" i="25"/>
  <c r="EB180" i="25"/>
  <c r="EC180" i="25"/>
  <c r="ED180" i="25"/>
  <c r="EE180" i="25"/>
  <c r="EF180" i="25"/>
  <c r="EG180" i="25"/>
  <c r="EH180" i="25"/>
  <c r="EI180" i="25"/>
  <c r="EJ180" i="25"/>
  <c r="EK180" i="25"/>
  <c r="DR181" i="25"/>
  <c r="DS181" i="25"/>
  <c r="DT181" i="25"/>
  <c r="DU181" i="25"/>
  <c r="DV181" i="25"/>
  <c r="DW181" i="25"/>
  <c r="DX181" i="25"/>
  <c r="DY181" i="25"/>
  <c r="DZ181" i="25"/>
  <c r="EA181" i="25"/>
  <c r="EB181" i="25"/>
  <c r="EC181" i="25"/>
  <c r="ED181" i="25"/>
  <c r="EE181" i="25"/>
  <c r="EF181" i="25"/>
  <c r="EG181" i="25"/>
  <c r="EH181" i="25"/>
  <c r="EI181" i="25"/>
  <c r="EJ181" i="25"/>
  <c r="EK181" i="25"/>
  <c r="DR182" i="25"/>
  <c r="DS182" i="25"/>
  <c r="DT182" i="25"/>
  <c r="DU182" i="25"/>
  <c r="DV182" i="25"/>
  <c r="DW182" i="25"/>
  <c r="DX182" i="25"/>
  <c r="DY182" i="25"/>
  <c r="DZ182" i="25"/>
  <c r="EA182" i="25"/>
  <c r="EB182" i="25"/>
  <c r="EC182" i="25"/>
  <c r="ED182" i="25"/>
  <c r="EE182" i="25"/>
  <c r="EF182" i="25"/>
  <c r="EG182" i="25"/>
  <c r="EH182" i="25"/>
  <c r="EI182" i="25"/>
  <c r="EJ182" i="25"/>
  <c r="EK182" i="25"/>
  <c r="DS172" i="25"/>
  <c r="DT172" i="25"/>
  <c r="DU172" i="25"/>
  <c r="DV172" i="25"/>
  <c r="DW172" i="25"/>
  <c r="DX172" i="25"/>
  <c r="DY172" i="25"/>
  <c r="DZ172" i="25"/>
  <c r="EA172" i="25"/>
  <c r="EB172" i="25"/>
  <c r="EC172" i="25"/>
  <c r="ED172" i="25"/>
  <c r="EE172" i="25"/>
  <c r="EF172" i="25"/>
  <c r="EG172" i="25"/>
  <c r="EH172" i="25"/>
  <c r="EI172" i="25"/>
  <c r="EJ172" i="25"/>
  <c r="EK172" i="25"/>
  <c r="DR172" i="25"/>
  <c r="DR161" i="25"/>
  <c r="DS161" i="25"/>
  <c r="DT161" i="25"/>
  <c r="DU161" i="25"/>
  <c r="DV161" i="25"/>
  <c r="DW161" i="25"/>
  <c r="DX161" i="25"/>
  <c r="DY161" i="25"/>
  <c r="DZ161" i="25"/>
  <c r="EA161" i="25"/>
  <c r="EB161" i="25"/>
  <c r="EC161" i="25"/>
  <c r="ED161" i="25"/>
  <c r="EE161" i="25"/>
  <c r="EF161" i="25"/>
  <c r="EG161" i="25"/>
  <c r="EH161" i="25"/>
  <c r="EI161" i="25"/>
  <c r="EJ161" i="25"/>
  <c r="EK161" i="25"/>
  <c r="DR162" i="25"/>
  <c r="DS162" i="25"/>
  <c r="DT162" i="25"/>
  <c r="DU162" i="25"/>
  <c r="DV162" i="25"/>
  <c r="DW162" i="25"/>
  <c r="DX162" i="25"/>
  <c r="DY162" i="25"/>
  <c r="DZ162" i="25"/>
  <c r="EA162" i="25"/>
  <c r="EB162" i="25"/>
  <c r="EC162" i="25"/>
  <c r="ED162" i="25"/>
  <c r="EE162" i="25"/>
  <c r="EF162" i="25"/>
  <c r="EG162" i="25"/>
  <c r="EH162" i="25"/>
  <c r="EI162" i="25"/>
  <c r="EJ162" i="25"/>
  <c r="EK162" i="25"/>
  <c r="DR163" i="25"/>
  <c r="DS163" i="25"/>
  <c r="DT163" i="25"/>
  <c r="DU163" i="25"/>
  <c r="DV163" i="25"/>
  <c r="DW163" i="25"/>
  <c r="DX163" i="25"/>
  <c r="DY163" i="25"/>
  <c r="DZ163" i="25"/>
  <c r="EA163" i="25"/>
  <c r="EB163" i="25"/>
  <c r="EC163" i="25"/>
  <c r="ED163" i="25"/>
  <c r="EE163" i="25"/>
  <c r="EF163" i="25"/>
  <c r="EG163" i="25"/>
  <c r="EH163" i="25"/>
  <c r="EI163" i="25"/>
  <c r="EJ163" i="25"/>
  <c r="EK163" i="25"/>
  <c r="DR164" i="25"/>
  <c r="DS164" i="25"/>
  <c r="DT164" i="25"/>
  <c r="DU164" i="25"/>
  <c r="DV164" i="25"/>
  <c r="DW164" i="25"/>
  <c r="DX164" i="25"/>
  <c r="DY164" i="25"/>
  <c r="DZ164" i="25"/>
  <c r="EA164" i="25"/>
  <c r="EB164" i="25"/>
  <c r="EC164" i="25"/>
  <c r="ED164" i="25"/>
  <c r="EE164" i="25"/>
  <c r="EF164" i="25"/>
  <c r="EG164" i="25"/>
  <c r="EH164" i="25"/>
  <c r="EI164" i="25"/>
  <c r="EJ164" i="25"/>
  <c r="EK164" i="25"/>
  <c r="DR165" i="25"/>
  <c r="DS165" i="25"/>
  <c r="DT165" i="25"/>
  <c r="DU165" i="25"/>
  <c r="DV165" i="25"/>
  <c r="DW165" i="25"/>
  <c r="DX165" i="25"/>
  <c r="DY165" i="25"/>
  <c r="DZ165" i="25"/>
  <c r="EA165" i="25"/>
  <c r="EB165" i="25"/>
  <c r="EC165" i="25"/>
  <c r="ED165" i="25"/>
  <c r="EE165" i="25"/>
  <c r="EF165" i="25"/>
  <c r="EG165" i="25"/>
  <c r="EH165" i="25"/>
  <c r="EI165" i="25"/>
  <c r="EJ165" i="25"/>
  <c r="EK165" i="25"/>
  <c r="DR166" i="25"/>
  <c r="DS166" i="25"/>
  <c r="DT166" i="25"/>
  <c r="DU166" i="25"/>
  <c r="DV166" i="25"/>
  <c r="DW166" i="25"/>
  <c r="DX166" i="25"/>
  <c r="DY166" i="25"/>
  <c r="DZ166" i="25"/>
  <c r="EA166" i="25"/>
  <c r="EB166" i="25"/>
  <c r="EC166" i="25"/>
  <c r="ED166" i="25"/>
  <c r="EE166" i="25"/>
  <c r="EF166" i="25"/>
  <c r="EG166" i="25"/>
  <c r="EH166" i="25"/>
  <c r="EI166" i="25"/>
  <c r="EJ166" i="25"/>
  <c r="EK166" i="25"/>
  <c r="DR167" i="25"/>
  <c r="DS167" i="25"/>
  <c r="DT167" i="25"/>
  <c r="DU167" i="25"/>
  <c r="DV167" i="25"/>
  <c r="DW167" i="25"/>
  <c r="DX167" i="25"/>
  <c r="DY167" i="25"/>
  <c r="DZ167" i="25"/>
  <c r="EA167" i="25"/>
  <c r="EB167" i="25"/>
  <c r="EC167" i="25"/>
  <c r="ED167" i="25"/>
  <c r="EE167" i="25"/>
  <c r="EF167" i="25"/>
  <c r="EG167" i="25"/>
  <c r="EH167" i="25"/>
  <c r="EI167" i="25"/>
  <c r="EJ167" i="25"/>
  <c r="EK167" i="25"/>
  <c r="DR168" i="25"/>
  <c r="DS168" i="25"/>
  <c r="DT168" i="25"/>
  <c r="DU168" i="25"/>
  <c r="DV168" i="25"/>
  <c r="DW168" i="25"/>
  <c r="DX168" i="25"/>
  <c r="DY168" i="25"/>
  <c r="DZ168" i="25"/>
  <c r="EA168" i="25"/>
  <c r="EB168" i="25"/>
  <c r="EC168" i="25"/>
  <c r="ED168" i="25"/>
  <c r="EE168" i="25"/>
  <c r="EF168" i="25"/>
  <c r="EG168" i="25"/>
  <c r="EH168" i="25"/>
  <c r="EI168" i="25"/>
  <c r="EJ168" i="25"/>
  <c r="EK168" i="25"/>
  <c r="DR169" i="25"/>
  <c r="DS169" i="25"/>
  <c r="DT169" i="25"/>
  <c r="DU169" i="25"/>
  <c r="DV169" i="25"/>
  <c r="DW169" i="25"/>
  <c r="DX169" i="25"/>
  <c r="DY169" i="25"/>
  <c r="DZ169" i="25"/>
  <c r="EA169" i="25"/>
  <c r="EB169" i="25"/>
  <c r="EC169" i="25"/>
  <c r="ED169" i="25"/>
  <c r="EE169" i="25"/>
  <c r="EF169" i="25"/>
  <c r="EG169" i="25"/>
  <c r="EH169" i="25"/>
  <c r="EI169" i="25"/>
  <c r="EJ169" i="25"/>
  <c r="EK169" i="25"/>
  <c r="DR170" i="25"/>
  <c r="DS170" i="25"/>
  <c r="DT170" i="25"/>
  <c r="DU170" i="25"/>
  <c r="DV170" i="25"/>
  <c r="DW170" i="25"/>
  <c r="DX170" i="25"/>
  <c r="DY170" i="25"/>
  <c r="DZ170" i="25"/>
  <c r="EA170" i="25"/>
  <c r="EB170" i="25"/>
  <c r="EC170" i="25"/>
  <c r="ED170" i="25"/>
  <c r="EE170" i="25"/>
  <c r="EF170" i="25"/>
  <c r="EG170" i="25"/>
  <c r="EH170" i="25"/>
  <c r="EI170" i="25"/>
  <c r="EJ170" i="25"/>
  <c r="EK170" i="25"/>
  <c r="DS160" i="25"/>
  <c r="DT160" i="25"/>
  <c r="DU160" i="25"/>
  <c r="DV160" i="25"/>
  <c r="DW160" i="25"/>
  <c r="DX160" i="25"/>
  <c r="DY160" i="25"/>
  <c r="DZ160" i="25"/>
  <c r="EA160" i="25"/>
  <c r="EB160" i="25"/>
  <c r="EC160" i="25"/>
  <c r="ED160" i="25"/>
  <c r="EE160" i="25"/>
  <c r="EF160" i="25"/>
  <c r="EG160" i="25"/>
  <c r="EH160" i="25"/>
  <c r="EI160" i="25"/>
  <c r="EJ160" i="25"/>
  <c r="EK160" i="25"/>
  <c r="DR160" i="25"/>
  <c r="DR149" i="25"/>
  <c r="DS149" i="25"/>
  <c r="DT149" i="25"/>
  <c r="DU149" i="25"/>
  <c r="DV149" i="25"/>
  <c r="DW149" i="25"/>
  <c r="DX149" i="25"/>
  <c r="DY149" i="25"/>
  <c r="DZ149" i="25"/>
  <c r="EA149" i="25"/>
  <c r="EB149" i="25"/>
  <c r="EC149" i="25"/>
  <c r="ED149" i="25"/>
  <c r="EE149" i="25"/>
  <c r="EF149" i="25"/>
  <c r="EG149" i="25"/>
  <c r="EH149" i="25"/>
  <c r="EI149" i="25"/>
  <c r="EJ149" i="25"/>
  <c r="EK149" i="25"/>
  <c r="DR150" i="25"/>
  <c r="DS150" i="25"/>
  <c r="DT150" i="25"/>
  <c r="DU150" i="25"/>
  <c r="DV150" i="25"/>
  <c r="DW150" i="25"/>
  <c r="DX150" i="25"/>
  <c r="DY150" i="25"/>
  <c r="DZ150" i="25"/>
  <c r="EA150" i="25"/>
  <c r="EB150" i="25"/>
  <c r="EC150" i="25"/>
  <c r="ED150" i="25"/>
  <c r="EE150" i="25"/>
  <c r="EF150" i="25"/>
  <c r="EG150" i="25"/>
  <c r="EH150" i="25"/>
  <c r="EI150" i="25"/>
  <c r="EJ150" i="25"/>
  <c r="EK150" i="25"/>
  <c r="DR151" i="25"/>
  <c r="DS151" i="25"/>
  <c r="DT151" i="25"/>
  <c r="DU151" i="25"/>
  <c r="DV151" i="25"/>
  <c r="DW151" i="25"/>
  <c r="DX151" i="25"/>
  <c r="DY151" i="25"/>
  <c r="DZ151" i="25"/>
  <c r="EA151" i="25"/>
  <c r="EB151" i="25"/>
  <c r="EC151" i="25"/>
  <c r="ED151" i="25"/>
  <c r="EE151" i="25"/>
  <c r="EF151" i="25"/>
  <c r="EG151" i="25"/>
  <c r="EH151" i="25"/>
  <c r="EI151" i="25"/>
  <c r="EJ151" i="25"/>
  <c r="EK151" i="25"/>
  <c r="DR152" i="25"/>
  <c r="DS152" i="25"/>
  <c r="DT152" i="25"/>
  <c r="DU152" i="25"/>
  <c r="DV152" i="25"/>
  <c r="DW152" i="25"/>
  <c r="DX152" i="25"/>
  <c r="DY152" i="25"/>
  <c r="DZ152" i="25"/>
  <c r="EA152" i="25"/>
  <c r="EB152" i="25"/>
  <c r="EC152" i="25"/>
  <c r="ED152" i="25"/>
  <c r="EE152" i="25"/>
  <c r="EF152" i="25"/>
  <c r="EG152" i="25"/>
  <c r="EH152" i="25"/>
  <c r="EI152" i="25"/>
  <c r="EJ152" i="25"/>
  <c r="EK152" i="25"/>
  <c r="DR153" i="25"/>
  <c r="DS153" i="25"/>
  <c r="DT153" i="25"/>
  <c r="DU153" i="25"/>
  <c r="DV153" i="25"/>
  <c r="DW153" i="25"/>
  <c r="DX153" i="25"/>
  <c r="DY153" i="25"/>
  <c r="DZ153" i="25"/>
  <c r="EA153" i="25"/>
  <c r="EB153" i="25"/>
  <c r="EC153" i="25"/>
  <c r="ED153" i="25"/>
  <c r="EE153" i="25"/>
  <c r="EF153" i="25"/>
  <c r="EG153" i="25"/>
  <c r="EH153" i="25"/>
  <c r="EI153" i="25"/>
  <c r="EJ153" i="25"/>
  <c r="EK153" i="25"/>
  <c r="DR154" i="25"/>
  <c r="DS154" i="25"/>
  <c r="DT154" i="25"/>
  <c r="DU154" i="25"/>
  <c r="DV154" i="25"/>
  <c r="DW154" i="25"/>
  <c r="DX154" i="25"/>
  <c r="DY154" i="25"/>
  <c r="DZ154" i="25"/>
  <c r="EA154" i="25"/>
  <c r="EB154" i="25"/>
  <c r="EC154" i="25"/>
  <c r="ED154" i="25"/>
  <c r="EE154" i="25"/>
  <c r="EF154" i="25"/>
  <c r="EG154" i="25"/>
  <c r="EH154" i="25"/>
  <c r="EI154" i="25"/>
  <c r="EJ154" i="25"/>
  <c r="EK154" i="25"/>
  <c r="DR155" i="25"/>
  <c r="DS155" i="25"/>
  <c r="DT155" i="25"/>
  <c r="DU155" i="25"/>
  <c r="DV155" i="25"/>
  <c r="DW155" i="25"/>
  <c r="DX155" i="25"/>
  <c r="DY155" i="25"/>
  <c r="DZ155" i="25"/>
  <c r="EA155" i="25"/>
  <c r="EB155" i="25"/>
  <c r="EC155" i="25"/>
  <c r="ED155" i="25"/>
  <c r="EE155" i="25"/>
  <c r="EF155" i="25"/>
  <c r="EG155" i="25"/>
  <c r="EH155" i="25"/>
  <c r="EI155" i="25"/>
  <c r="EJ155" i="25"/>
  <c r="EK155" i="25"/>
  <c r="DR156" i="25"/>
  <c r="DS156" i="25"/>
  <c r="DT156" i="25"/>
  <c r="DU156" i="25"/>
  <c r="DV156" i="25"/>
  <c r="DW156" i="25"/>
  <c r="DX156" i="25"/>
  <c r="DY156" i="25"/>
  <c r="DZ156" i="25"/>
  <c r="EA156" i="25"/>
  <c r="EB156" i="25"/>
  <c r="EC156" i="25"/>
  <c r="ED156" i="25"/>
  <c r="EE156" i="25"/>
  <c r="EF156" i="25"/>
  <c r="EG156" i="25"/>
  <c r="EH156" i="25"/>
  <c r="EI156" i="25"/>
  <c r="EJ156" i="25"/>
  <c r="EK156" i="25"/>
  <c r="DR157" i="25"/>
  <c r="DS157" i="25"/>
  <c r="DT157" i="25"/>
  <c r="DU157" i="25"/>
  <c r="DV157" i="25"/>
  <c r="DW157" i="25"/>
  <c r="DX157" i="25"/>
  <c r="DY157" i="25"/>
  <c r="DZ157" i="25"/>
  <c r="EA157" i="25"/>
  <c r="EB157" i="25"/>
  <c r="EC157" i="25"/>
  <c r="ED157" i="25"/>
  <c r="EE157" i="25"/>
  <c r="EF157" i="25"/>
  <c r="EG157" i="25"/>
  <c r="EH157" i="25"/>
  <c r="EI157" i="25"/>
  <c r="EJ157" i="25"/>
  <c r="EK157" i="25"/>
  <c r="DR158" i="25"/>
  <c r="DS158" i="25"/>
  <c r="DT158" i="25"/>
  <c r="DU158" i="25"/>
  <c r="DV158" i="25"/>
  <c r="DW158" i="25"/>
  <c r="DX158" i="25"/>
  <c r="DY158" i="25"/>
  <c r="DZ158" i="25"/>
  <c r="EA158" i="25"/>
  <c r="EB158" i="25"/>
  <c r="EC158" i="25"/>
  <c r="ED158" i="25"/>
  <c r="EE158" i="25"/>
  <c r="EF158" i="25"/>
  <c r="EG158" i="25"/>
  <c r="EH158" i="25"/>
  <c r="EI158" i="25"/>
  <c r="EJ158" i="25"/>
  <c r="EK158" i="25"/>
  <c r="DS148" i="25"/>
  <c r="DT148" i="25"/>
  <c r="DU148" i="25"/>
  <c r="DV148" i="25"/>
  <c r="DW148" i="25"/>
  <c r="DX148" i="25"/>
  <c r="DY148" i="25"/>
  <c r="DZ148" i="25"/>
  <c r="EA148" i="25"/>
  <c r="EB148" i="25"/>
  <c r="EC148" i="25"/>
  <c r="ED148" i="25"/>
  <c r="EE148" i="25"/>
  <c r="EF148" i="25"/>
  <c r="EG148" i="25"/>
  <c r="EH148" i="25"/>
  <c r="EI148" i="25"/>
  <c r="EJ148" i="25"/>
  <c r="EK148" i="25"/>
  <c r="DR148" i="25"/>
  <c r="DR137" i="25"/>
  <c r="DS137" i="25"/>
  <c r="DT137" i="25"/>
  <c r="DU137" i="25"/>
  <c r="DV137" i="25"/>
  <c r="DW137" i="25"/>
  <c r="DX137" i="25"/>
  <c r="DY137" i="25"/>
  <c r="DZ137" i="25"/>
  <c r="EA137" i="25"/>
  <c r="EB137" i="25"/>
  <c r="EC137" i="25"/>
  <c r="ED137" i="25"/>
  <c r="EE137" i="25"/>
  <c r="EF137" i="25"/>
  <c r="EG137" i="25"/>
  <c r="EH137" i="25"/>
  <c r="EI137" i="25"/>
  <c r="EJ137" i="25"/>
  <c r="EK137" i="25"/>
  <c r="DR138" i="25"/>
  <c r="DS138" i="25"/>
  <c r="DT138" i="25"/>
  <c r="DU138" i="25"/>
  <c r="DV138" i="25"/>
  <c r="DW138" i="25"/>
  <c r="DX138" i="25"/>
  <c r="DY138" i="25"/>
  <c r="DZ138" i="25"/>
  <c r="EA138" i="25"/>
  <c r="EB138" i="25"/>
  <c r="EC138" i="25"/>
  <c r="ED138" i="25"/>
  <c r="EE138" i="25"/>
  <c r="EF138" i="25"/>
  <c r="EG138" i="25"/>
  <c r="EH138" i="25"/>
  <c r="EI138" i="25"/>
  <c r="EJ138" i="25"/>
  <c r="EK138" i="25"/>
  <c r="DR139" i="25"/>
  <c r="DS139" i="25"/>
  <c r="DT139" i="25"/>
  <c r="DU139" i="25"/>
  <c r="DV139" i="25"/>
  <c r="DW139" i="25"/>
  <c r="DX139" i="25"/>
  <c r="DY139" i="25"/>
  <c r="DZ139" i="25"/>
  <c r="EA139" i="25"/>
  <c r="EB139" i="25"/>
  <c r="EC139" i="25"/>
  <c r="ED139" i="25"/>
  <c r="EE139" i="25"/>
  <c r="EF139" i="25"/>
  <c r="EG139" i="25"/>
  <c r="EH139" i="25"/>
  <c r="EI139" i="25"/>
  <c r="EJ139" i="25"/>
  <c r="EK139" i="25"/>
  <c r="DR140" i="25"/>
  <c r="DS140" i="25"/>
  <c r="DT140" i="25"/>
  <c r="DU140" i="25"/>
  <c r="DV140" i="25"/>
  <c r="DW140" i="25"/>
  <c r="DX140" i="25"/>
  <c r="DY140" i="25"/>
  <c r="DZ140" i="25"/>
  <c r="EA140" i="25"/>
  <c r="EB140" i="25"/>
  <c r="EC140" i="25"/>
  <c r="ED140" i="25"/>
  <c r="EE140" i="25"/>
  <c r="EF140" i="25"/>
  <c r="EG140" i="25"/>
  <c r="EH140" i="25"/>
  <c r="EI140" i="25"/>
  <c r="EJ140" i="25"/>
  <c r="EK140" i="25"/>
  <c r="DR141" i="25"/>
  <c r="DS141" i="25"/>
  <c r="DT141" i="25"/>
  <c r="DU141" i="25"/>
  <c r="DV141" i="25"/>
  <c r="DW141" i="25"/>
  <c r="DX141" i="25"/>
  <c r="DY141" i="25"/>
  <c r="DZ141" i="25"/>
  <c r="EA141" i="25"/>
  <c r="EB141" i="25"/>
  <c r="EC141" i="25"/>
  <c r="ED141" i="25"/>
  <c r="EE141" i="25"/>
  <c r="EF141" i="25"/>
  <c r="EG141" i="25"/>
  <c r="EH141" i="25"/>
  <c r="EI141" i="25"/>
  <c r="EJ141" i="25"/>
  <c r="EK141" i="25"/>
  <c r="DR142" i="25"/>
  <c r="DS142" i="25"/>
  <c r="DT142" i="25"/>
  <c r="DU142" i="25"/>
  <c r="DV142" i="25"/>
  <c r="DW142" i="25"/>
  <c r="DX142" i="25"/>
  <c r="DY142" i="25"/>
  <c r="DZ142" i="25"/>
  <c r="EA142" i="25"/>
  <c r="EB142" i="25"/>
  <c r="EC142" i="25"/>
  <c r="ED142" i="25"/>
  <c r="EE142" i="25"/>
  <c r="EF142" i="25"/>
  <c r="EG142" i="25"/>
  <c r="EH142" i="25"/>
  <c r="EI142" i="25"/>
  <c r="EJ142" i="25"/>
  <c r="EK142" i="25"/>
  <c r="DR143" i="25"/>
  <c r="DS143" i="25"/>
  <c r="DT143" i="25"/>
  <c r="DU143" i="25"/>
  <c r="DV143" i="25"/>
  <c r="DW143" i="25"/>
  <c r="DX143" i="25"/>
  <c r="DY143" i="25"/>
  <c r="DZ143" i="25"/>
  <c r="EA143" i="25"/>
  <c r="EB143" i="25"/>
  <c r="EC143" i="25"/>
  <c r="ED143" i="25"/>
  <c r="EE143" i="25"/>
  <c r="EF143" i="25"/>
  <c r="EG143" i="25"/>
  <c r="EH143" i="25"/>
  <c r="EI143" i="25"/>
  <c r="EJ143" i="25"/>
  <c r="EK143" i="25"/>
  <c r="DR144" i="25"/>
  <c r="DS144" i="25"/>
  <c r="DT144" i="25"/>
  <c r="DU144" i="25"/>
  <c r="DV144" i="25"/>
  <c r="DW144" i="25"/>
  <c r="DX144" i="25"/>
  <c r="DY144" i="25"/>
  <c r="DZ144" i="25"/>
  <c r="EA144" i="25"/>
  <c r="EB144" i="25"/>
  <c r="EC144" i="25"/>
  <c r="ED144" i="25"/>
  <c r="EE144" i="25"/>
  <c r="EF144" i="25"/>
  <c r="EG144" i="25"/>
  <c r="EH144" i="25"/>
  <c r="EI144" i="25"/>
  <c r="EJ144" i="25"/>
  <c r="EK144" i="25"/>
  <c r="DR145" i="25"/>
  <c r="DS145" i="25"/>
  <c r="DT145" i="25"/>
  <c r="DU145" i="25"/>
  <c r="DV145" i="25"/>
  <c r="DW145" i="25"/>
  <c r="DX145" i="25"/>
  <c r="DY145" i="25"/>
  <c r="DZ145" i="25"/>
  <c r="EA145" i="25"/>
  <c r="EB145" i="25"/>
  <c r="EC145" i="25"/>
  <c r="ED145" i="25"/>
  <c r="EE145" i="25"/>
  <c r="EF145" i="25"/>
  <c r="EG145" i="25"/>
  <c r="EH145" i="25"/>
  <c r="EI145" i="25"/>
  <c r="EJ145" i="25"/>
  <c r="EK145" i="25"/>
  <c r="DR146" i="25"/>
  <c r="DS146" i="25"/>
  <c r="DT146" i="25"/>
  <c r="DU146" i="25"/>
  <c r="DV146" i="25"/>
  <c r="DW146" i="25"/>
  <c r="DX146" i="25"/>
  <c r="DY146" i="25"/>
  <c r="DZ146" i="25"/>
  <c r="EA146" i="25"/>
  <c r="EB146" i="25"/>
  <c r="EC146" i="25"/>
  <c r="ED146" i="25"/>
  <c r="EE146" i="25"/>
  <c r="EF146" i="25"/>
  <c r="EG146" i="25"/>
  <c r="EH146" i="25"/>
  <c r="EI146" i="25"/>
  <c r="EJ146" i="25"/>
  <c r="EK146" i="25"/>
  <c r="DS136" i="25"/>
  <c r="DT136" i="25"/>
  <c r="DU136" i="25"/>
  <c r="DV136" i="25"/>
  <c r="DW136" i="25"/>
  <c r="DX136" i="25"/>
  <c r="DY136" i="25"/>
  <c r="DZ136" i="25"/>
  <c r="EA136" i="25"/>
  <c r="EB136" i="25"/>
  <c r="EC136" i="25"/>
  <c r="ED136" i="25"/>
  <c r="EE136" i="25"/>
  <c r="EF136" i="25"/>
  <c r="EG136" i="25"/>
  <c r="EH136" i="25"/>
  <c r="EI136" i="25"/>
  <c r="EJ136" i="25"/>
  <c r="EK136" i="25"/>
  <c r="DR136" i="25"/>
  <c r="DR125" i="25"/>
  <c r="DS125" i="25"/>
  <c r="DT125" i="25"/>
  <c r="DU125" i="25"/>
  <c r="DV125" i="25"/>
  <c r="DW125" i="25"/>
  <c r="DX125" i="25"/>
  <c r="DY125" i="25"/>
  <c r="DZ125" i="25"/>
  <c r="EA125" i="25"/>
  <c r="EB125" i="25"/>
  <c r="EC125" i="25"/>
  <c r="ED125" i="25"/>
  <c r="EE125" i="25"/>
  <c r="EF125" i="25"/>
  <c r="EG125" i="25"/>
  <c r="EH125" i="25"/>
  <c r="EI125" i="25"/>
  <c r="EJ125" i="25"/>
  <c r="EK125" i="25"/>
  <c r="DR126" i="25"/>
  <c r="DS126" i="25"/>
  <c r="DT126" i="25"/>
  <c r="DU126" i="25"/>
  <c r="DV126" i="25"/>
  <c r="DW126" i="25"/>
  <c r="DX126" i="25"/>
  <c r="DY126" i="25"/>
  <c r="DZ126" i="25"/>
  <c r="EA126" i="25"/>
  <c r="EB126" i="25"/>
  <c r="EC126" i="25"/>
  <c r="ED126" i="25"/>
  <c r="EE126" i="25"/>
  <c r="EF126" i="25"/>
  <c r="EG126" i="25"/>
  <c r="EH126" i="25"/>
  <c r="EI126" i="25"/>
  <c r="EJ126" i="25"/>
  <c r="EK126" i="25"/>
  <c r="DR127" i="25"/>
  <c r="DS127" i="25"/>
  <c r="DT127" i="25"/>
  <c r="DU127" i="25"/>
  <c r="DV127" i="25"/>
  <c r="DW127" i="25"/>
  <c r="DX127" i="25"/>
  <c r="DY127" i="25"/>
  <c r="DZ127" i="25"/>
  <c r="EA127" i="25"/>
  <c r="EB127" i="25"/>
  <c r="EC127" i="25"/>
  <c r="ED127" i="25"/>
  <c r="EE127" i="25"/>
  <c r="EF127" i="25"/>
  <c r="EG127" i="25"/>
  <c r="EH127" i="25"/>
  <c r="EI127" i="25"/>
  <c r="EJ127" i="25"/>
  <c r="EK127" i="25"/>
  <c r="DR128" i="25"/>
  <c r="DS128" i="25"/>
  <c r="DT128" i="25"/>
  <c r="DU128" i="25"/>
  <c r="DV128" i="25"/>
  <c r="DW128" i="25"/>
  <c r="DX128" i="25"/>
  <c r="DY128" i="25"/>
  <c r="DZ128" i="25"/>
  <c r="EA128" i="25"/>
  <c r="EB128" i="25"/>
  <c r="EC128" i="25"/>
  <c r="ED128" i="25"/>
  <c r="EE128" i="25"/>
  <c r="EF128" i="25"/>
  <c r="EG128" i="25"/>
  <c r="EH128" i="25"/>
  <c r="EI128" i="25"/>
  <c r="EJ128" i="25"/>
  <c r="EK128" i="25"/>
  <c r="DR129" i="25"/>
  <c r="DS129" i="25"/>
  <c r="DT129" i="25"/>
  <c r="DU129" i="25"/>
  <c r="DV129" i="25"/>
  <c r="DW129" i="25"/>
  <c r="DX129" i="25"/>
  <c r="DY129" i="25"/>
  <c r="DZ129" i="25"/>
  <c r="EA129" i="25"/>
  <c r="EB129" i="25"/>
  <c r="EC129" i="25"/>
  <c r="ED129" i="25"/>
  <c r="EE129" i="25"/>
  <c r="EF129" i="25"/>
  <c r="EG129" i="25"/>
  <c r="EH129" i="25"/>
  <c r="EI129" i="25"/>
  <c r="EJ129" i="25"/>
  <c r="EK129" i="25"/>
  <c r="DR130" i="25"/>
  <c r="DS130" i="25"/>
  <c r="DT130" i="25"/>
  <c r="DU130" i="25"/>
  <c r="DV130" i="25"/>
  <c r="DW130" i="25"/>
  <c r="DX130" i="25"/>
  <c r="DY130" i="25"/>
  <c r="DZ130" i="25"/>
  <c r="EA130" i="25"/>
  <c r="EB130" i="25"/>
  <c r="EC130" i="25"/>
  <c r="ED130" i="25"/>
  <c r="EE130" i="25"/>
  <c r="EF130" i="25"/>
  <c r="EG130" i="25"/>
  <c r="EH130" i="25"/>
  <c r="EI130" i="25"/>
  <c r="EJ130" i="25"/>
  <c r="EK130" i="25"/>
  <c r="DR131" i="25"/>
  <c r="DS131" i="25"/>
  <c r="DT131" i="25"/>
  <c r="DU131" i="25"/>
  <c r="DV131" i="25"/>
  <c r="DW131" i="25"/>
  <c r="DX131" i="25"/>
  <c r="DY131" i="25"/>
  <c r="DZ131" i="25"/>
  <c r="EA131" i="25"/>
  <c r="EB131" i="25"/>
  <c r="EC131" i="25"/>
  <c r="ED131" i="25"/>
  <c r="EE131" i="25"/>
  <c r="EF131" i="25"/>
  <c r="EG131" i="25"/>
  <c r="EH131" i="25"/>
  <c r="EI131" i="25"/>
  <c r="EJ131" i="25"/>
  <c r="EK131" i="25"/>
  <c r="DR132" i="25"/>
  <c r="DS132" i="25"/>
  <c r="DT132" i="25"/>
  <c r="DU132" i="25"/>
  <c r="DV132" i="25"/>
  <c r="DW132" i="25"/>
  <c r="DX132" i="25"/>
  <c r="DY132" i="25"/>
  <c r="DZ132" i="25"/>
  <c r="EA132" i="25"/>
  <c r="EB132" i="25"/>
  <c r="EC132" i="25"/>
  <c r="ED132" i="25"/>
  <c r="EE132" i="25"/>
  <c r="EF132" i="25"/>
  <c r="EG132" i="25"/>
  <c r="EH132" i="25"/>
  <c r="EI132" i="25"/>
  <c r="EJ132" i="25"/>
  <c r="EK132" i="25"/>
  <c r="DR133" i="25"/>
  <c r="DS133" i="25"/>
  <c r="DT133" i="25"/>
  <c r="DU133" i="25"/>
  <c r="DV133" i="25"/>
  <c r="DW133" i="25"/>
  <c r="DX133" i="25"/>
  <c r="DY133" i="25"/>
  <c r="DZ133" i="25"/>
  <c r="EA133" i="25"/>
  <c r="EB133" i="25"/>
  <c r="EC133" i="25"/>
  <c r="ED133" i="25"/>
  <c r="EE133" i="25"/>
  <c r="EF133" i="25"/>
  <c r="EG133" i="25"/>
  <c r="EH133" i="25"/>
  <c r="EI133" i="25"/>
  <c r="EJ133" i="25"/>
  <c r="EK133" i="25"/>
  <c r="DR134" i="25"/>
  <c r="DS134" i="25"/>
  <c r="DT134" i="25"/>
  <c r="DU134" i="25"/>
  <c r="DV134" i="25"/>
  <c r="DW134" i="25"/>
  <c r="DX134" i="25"/>
  <c r="DY134" i="25"/>
  <c r="DZ134" i="25"/>
  <c r="EA134" i="25"/>
  <c r="EB134" i="25"/>
  <c r="EC134" i="25"/>
  <c r="ED134" i="25"/>
  <c r="EE134" i="25"/>
  <c r="EF134" i="25"/>
  <c r="EG134" i="25"/>
  <c r="EH134" i="25"/>
  <c r="EI134" i="25"/>
  <c r="EJ134" i="25"/>
  <c r="EK134" i="25"/>
  <c r="DS124" i="25"/>
  <c r="DT124" i="25"/>
  <c r="DU124" i="25"/>
  <c r="DV124" i="25"/>
  <c r="DW124" i="25"/>
  <c r="DX124" i="25"/>
  <c r="DY124" i="25"/>
  <c r="DZ124" i="25"/>
  <c r="EA124" i="25"/>
  <c r="EB124" i="25"/>
  <c r="EC124" i="25"/>
  <c r="ED124" i="25"/>
  <c r="EE124" i="25"/>
  <c r="EF124" i="25"/>
  <c r="EG124" i="25"/>
  <c r="EH124" i="25"/>
  <c r="EI124" i="25"/>
  <c r="EJ124" i="25"/>
  <c r="EK124" i="25"/>
  <c r="DR124" i="25"/>
  <c r="DR113" i="25"/>
  <c r="DS113" i="25"/>
  <c r="DT113" i="25"/>
  <c r="DU113" i="25"/>
  <c r="DV113" i="25"/>
  <c r="DW113" i="25"/>
  <c r="DX113" i="25"/>
  <c r="DY113" i="25"/>
  <c r="DZ113" i="25"/>
  <c r="EA113" i="25"/>
  <c r="EB113" i="25"/>
  <c r="EC113" i="25"/>
  <c r="ED113" i="25"/>
  <c r="EE113" i="25"/>
  <c r="EF113" i="25"/>
  <c r="EG113" i="25"/>
  <c r="EH113" i="25"/>
  <c r="EI113" i="25"/>
  <c r="EJ113" i="25"/>
  <c r="EK113" i="25"/>
  <c r="DR114" i="25"/>
  <c r="DS114" i="25"/>
  <c r="DT114" i="25"/>
  <c r="DU114" i="25"/>
  <c r="DV114" i="25"/>
  <c r="DW114" i="25"/>
  <c r="DX114" i="25"/>
  <c r="DY114" i="25"/>
  <c r="DZ114" i="25"/>
  <c r="EA114" i="25"/>
  <c r="EB114" i="25"/>
  <c r="EC114" i="25"/>
  <c r="ED114" i="25"/>
  <c r="EE114" i="25"/>
  <c r="EF114" i="25"/>
  <c r="EG114" i="25"/>
  <c r="EH114" i="25"/>
  <c r="EI114" i="25"/>
  <c r="EJ114" i="25"/>
  <c r="EK114" i="25"/>
  <c r="DR115" i="25"/>
  <c r="DS115" i="25"/>
  <c r="DT115" i="25"/>
  <c r="DU115" i="25"/>
  <c r="DV115" i="25"/>
  <c r="DW115" i="25"/>
  <c r="DX115" i="25"/>
  <c r="DY115" i="25"/>
  <c r="DZ115" i="25"/>
  <c r="EA115" i="25"/>
  <c r="EB115" i="25"/>
  <c r="EC115" i="25"/>
  <c r="ED115" i="25"/>
  <c r="EE115" i="25"/>
  <c r="EF115" i="25"/>
  <c r="EG115" i="25"/>
  <c r="EH115" i="25"/>
  <c r="EI115" i="25"/>
  <c r="EJ115" i="25"/>
  <c r="EK115" i="25"/>
  <c r="DR116" i="25"/>
  <c r="DS116" i="25"/>
  <c r="DT116" i="25"/>
  <c r="DU116" i="25"/>
  <c r="DV116" i="25"/>
  <c r="DW116" i="25"/>
  <c r="DX116" i="25"/>
  <c r="DY116" i="25"/>
  <c r="DZ116" i="25"/>
  <c r="EA116" i="25"/>
  <c r="EB116" i="25"/>
  <c r="EC116" i="25"/>
  <c r="ED116" i="25"/>
  <c r="EE116" i="25"/>
  <c r="EF116" i="25"/>
  <c r="EG116" i="25"/>
  <c r="EH116" i="25"/>
  <c r="EI116" i="25"/>
  <c r="EJ116" i="25"/>
  <c r="EK116" i="25"/>
  <c r="DR117" i="25"/>
  <c r="DS117" i="25"/>
  <c r="DT117" i="25"/>
  <c r="DU117" i="25"/>
  <c r="DV117" i="25"/>
  <c r="DW117" i="25"/>
  <c r="DX117" i="25"/>
  <c r="DY117" i="25"/>
  <c r="DZ117" i="25"/>
  <c r="EA117" i="25"/>
  <c r="EB117" i="25"/>
  <c r="EC117" i="25"/>
  <c r="ED117" i="25"/>
  <c r="EE117" i="25"/>
  <c r="EF117" i="25"/>
  <c r="EG117" i="25"/>
  <c r="EH117" i="25"/>
  <c r="EI117" i="25"/>
  <c r="EJ117" i="25"/>
  <c r="EK117" i="25"/>
  <c r="DR118" i="25"/>
  <c r="DS118" i="25"/>
  <c r="DT118" i="25"/>
  <c r="DU118" i="25"/>
  <c r="DV118" i="25"/>
  <c r="DW118" i="25"/>
  <c r="DX118" i="25"/>
  <c r="DY118" i="25"/>
  <c r="DZ118" i="25"/>
  <c r="EA118" i="25"/>
  <c r="EB118" i="25"/>
  <c r="EC118" i="25"/>
  <c r="ED118" i="25"/>
  <c r="EE118" i="25"/>
  <c r="EF118" i="25"/>
  <c r="EG118" i="25"/>
  <c r="EH118" i="25"/>
  <c r="EI118" i="25"/>
  <c r="EJ118" i="25"/>
  <c r="EK118" i="25"/>
  <c r="DR119" i="25"/>
  <c r="DS119" i="25"/>
  <c r="DT119" i="25"/>
  <c r="DU119" i="25"/>
  <c r="DV119" i="25"/>
  <c r="DW119" i="25"/>
  <c r="DX119" i="25"/>
  <c r="DY119" i="25"/>
  <c r="DZ119" i="25"/>
  <c r="EA119" i="25"/>
  <c r="EB119" i="25"/>
  <c r="EC119" i="25"/>
  <c r="ED119" i="25"/>
  <c r="EE119" i="25"/>
  <c r="EF119" i="25"/>
  <c r="EG119" i="25"/>
  <c r="EH119" i="25"/>
  <c r="EI119" i="25"/>
  <c r="EJ119" i="25"/>
  <c r="EK119" i="25"/>
  <c r="DR120" i="25"/>
  <c r="DS120" i="25"/>
  <c r="DT120" i="25"/>
  <c r="DU120" i="25"/>
  <c r="DV120" i="25"/>
  <c r="DW120" i="25"/>
  <c r="DX120" i="25"/>
  <c r="DY120" i="25"/>
  <c r="DZ120" i="25"/>
  <c r="EA120" i="25"/>
  <c r="EB120" i="25"/>
  <c r="EC120" i="25"/>
  <c r="ED120" i="25"/>
  <c r="EE120" i="25"/>
  <c r="EF120" i="25"/>
  <c r="EG120" i="25"/>
  <c r="EH120" i="25"/>
  <c r="EI120" i="25"/>
  <c r="EJ120" i="25"/>
  <c r="EK120" i="25"/>
  <c r="DR121" i="25"/>
  <c r="DS121" i="25"/>
  <c r="DT121" i="25"/>
  <c r="DU121" i="25"/>
  <c r="DV121" i="25"/>
  <c r="DW121" i="25"/>
  <c r="DX121" i="25"/>
  <c r="DY121" i="25"/>
  <c r="DZ121" i="25"/>
  <c r="EA121" i="25"/>
  <c r="EB121" i="25"/>
  <c r="EC121" i="25"/>
  <c r="ED121" i="25"/>
  <c r="EE121" i="25"/>
  <c r="EF121" i="25"/>
  <c r="EG121" i="25"/>
  <c r="EH121" i="25"/>
  <c r="EI121" i="25"/>
  <c r="EJ121" i="25"/>
  <c r="EK121" i="25"/>
  <c r="DR122" i="25"/>
  <c r="DS122" i="25"/>
  <c r="DT122" i="25"/>
  <c r="DU122" i="25"/>
  <c r="DV122" i="25"/>
  <c r="DW122" i="25"/>
  <c r="DX122" i="25"/>
  <c r="DY122" i="25"/>
  <c r="DZ122" i="25"/>
  <c r="EA122" i="25"/>
  <c r="EB122" i="25"/>
  <c r="EC122" i="25"/>
  <c r="ED122" i="25"/>
  <c r="EE122" i="25"/>
  <c r="EF122" i="25"/>
  <c r="EG122" i="25"/>
  <c r="EH122" i="25"/>
  <c r="EI122" i="25"/>
  <c r="EJ122" i="25"/>
  <c r="EK122" i="25"/>
  <c r="DS112" i="25"/>
  <c r="DT112" i="25"/>
  <c r="DU112" i="25"/>
  <c r="DV112" i="25"/>
  <c r="DW112" i="25"/>
  <c r="DX112" i="25"/>
  <c r="DY112" i="25"/>
  <c r="DZ112" i="25"/>
  <c r="EA112" i="25"/>
  <c r="EB112" i="25"/>
  <c r="EC112" i="25"/>
  <c r="ED112" i="25"/>
  <c r="EE112" i="25"/>
  <c r="EF112" i="25"/>
  <c r="EG112" i="25"/>
  <c r="EH112" i="25"/>
  <c r="EI112" i="25"/>
  <c r="EJ112" i="25"/>
  <c r="EK112" i="25"/>
  <c r="DR112" i="25"/>
  <c r="DR101" i="25"/>
  <c r="DS101" i="25"/>
  <c r="DT101" i="25"/>
  <c r="DU101" i="25"/>
  <c r="DV101" i="25"/>
  <c r="DW101" i="25"/>
  <c r="DX101" i="25"/>
  <c r="DY101" i="25"/>
  <c r="DZ101" i="25"/>
  <c r="EA101" i="25"/>
  <c r="EB101" i="25"/>
  <c r="EC101" i="25"/>
  <c r="ED101" i="25"/>
  <c r="EE101" i="25"/>
  <c r="EF101" i="25"/>
  <c r="EG101" i="25"/>
  <c r="EH101" i="25"/>
  <c r="EI101" i="25"/>
  <c r="EJ101" i="25"/>
  <c r="EK101" i="25"/>
  <c r="DR102" i="25"/>
  <c r="DS102" i="25"/>
  <c r="DT102" i="25"/>
  <c r="DU102" i="25"/>
  <c r="DV102" i="25"/>
  <c r="DW102" i="25"/>
  <c r="DX102" i="25"/>
  <c r="DY102" i="25"/>
  <c r="DZ102" i="25"/>
  <c r="EA102" i="25"/>
  <c r="EB102" i="25"/>
  <c r="EC102" i="25"/>
  <c r="ED102" i="25"/>
  <c r="EE102" i="25"/>
  <c r="EF102" i="25"/>
  <c r="EG102" i="25"/>
  <c r="EH102" i="25"/>
  <c r="EI102" i="25"/>
  <c r="EJ102" i="25"/>
  <c r="EK102" i="25"/>
  <c r="DR103" i="25"/>
  <c r="DS103" i="25"/>
  <c r="DT103" i="25"/>
  <c r="DU103" i="25"/>
  <c r="DV103" i="25"/>
  <c r="DW103" i="25"/>
  <c r="DX103" i="25"/>
  <c r="DY103" i="25"/>
  <c r="DZ103" i="25"/>
  <c r="EA103" i="25"/>
  <c r="EB103" i="25"/>
  <c r="EC103" i="25"/>
  <c r="ED103" i="25"/>
  <c r="EE103" i="25"/>
  <c r="EF103" i="25"/>
  <c r="EG103" i="25"/>
  <c r="EH103" i="25"/>
  <c r="EI103" i="25"/>
  <c r="EJ103" i="25"/>
  <c r="EK103" i="25"/>
  <c r="DR104" i="25"/>
  <c r="DS104" i="25"/>
  <c r="DT104" i="25"/>
  <c r="DU104" i="25"/>
  <c r="DV104" i="25"/>
  <c r="DW104" i="25"/>
  <c r="DX104" i="25"/>
  <c r="DY104" i="25"/>
  <c r="DZ104" i="25"/>
  <c r="EA104" i="25"/>
  <c r="EB104" i="25"/>
  <c r="EC104" i="25"/>
  <c r="ED104" i="25"/>
  <c r="EE104" i="25"/>
  <c r="EF104" i="25"/>
  <c r="EG104" i="25"/>
  <c r="EH104" i="25"/>
  <c r="EI104" i="25"/>
  <c r="EJ104" i="25"/>
  <c r="EK104" i="25"/>
  <c r="DR105" i="25"/>
  <c r="DS105" i="25"/>
  <c r="DT105" i="25"/>
  <c r="DU105" i="25"/>
  <c r="DV105" i="25"/>
  <c r="DW105" i="25"/>
  <c r="DX105" i="25"/>
  <c r="DY105" i="25"/>
  <c r="DZ105" i="25"/>
  <c r="EA105" i="25"/>
  <c r="EB105" i="25"/>
  <c r="EC105" i="25"/>
  <c r="ED105" i="25"/>
  <c r="EE105" i="25"/>
  <c r="EF105" i="25"/>
  <c r="EG105" i="25"/>
  <c r="EH105" i="25"/>
  <c r="EI105" i="25"/>
  <c r="EJ105" i="25"/>
  <c r="EK105" i="25"/>
  <c r="DR106" i="25"/>
  <c r="DS106" i="25"/>
  <c r="DT106" i="25"/>
  <c r="DU106" i="25"/>
  <c r="DV106" i="25"/>
  <c r="DW106" i="25"/>
  <c r="DX106" i="25"/>
  <c r="DY106" i="25"/>
  <c r="DZ106" i="25"/>
  <c r="EA106" i="25"/>
  <c r="EB106" i="25"/>
  <c r="EC106" i="25"/>
  <c r="ED106" i="25"/>
  <c r="EE106" i="25"/>
  <c r="EF106" i="25"/>
  <c r="EG106" i="25"/>
  <c r="EH106" i="25"/>
  <c r="EI106" i="25"/>
  <c r="EJ106" i="25"/>
  <c r="EK106" i="25"/>
  <c r="DR107" i="25"/>
  <c r="DS107" i="25"/>
  <c r="DT107" i="25"/>
  <c r="DU107" i="25"/>
  <c r="DV107" i="25"/>
  <c r="DW107" i="25"/>
  <c r="DX107" i="25"/>
  <c r="DY107" i="25"/>
  <c r="DZ107" i="25"/>
  <c r="EA107" i="25"/>
  <c r="EB107" i="25"/>
  <c r="EC107" i="25"/>
  <c r="ED107" i="25"/>
  <c r="EE107" i="25"/>
  <c r="EF107" i="25"/>
  <c r="EG107" i="25"/>
  <c r="EH107" i="25"/>
  <c r="EI107" i="25"/>
  <c r="EJ107" i="25"/>
  <c r="EK107" i="25"/>
  <c r="DR108" i="25"/>
  <c r="DS108" i="25"/>
  <c r="DT108" i="25"/>
  <c r="DU108" i="25"/>
  <c r="DV108" i="25"/>
  <c r="DW108" i="25"/>
  <c r="DX108" i="25"/>
  <c r="DY108" i="25"/>
  <c r="DZ108" i="25"/>
  <c r="EA108" i="25"/>
  <c r="EB108" i="25"/>
  <c r="EC108" i="25"/>
  <c r="ED108" i="25"/>
  <c r="EE108" i="25"/>
  <c r="EF108" i="25"/>
  <c r="EG108" i="25"/>
  <c r="EH108" i="25"/>
  <c r="EI108" i="25"/>
  <c r="EJ108" i="25"/>
  <c r="EK108" i="25"/>
  <c r="DR109" i="25"/>
  <c r="DS109" i="25"/>
  <c r="DT109" i="25"/>
  <c r="DU109" i="25"/>
  <c r="DV109" i="25"/>
  <c r="DW109" i="25"/>
  <c r="DX109" i="25"/>
  <c r="DY109" i="25"/>
  <c r="DZ109" i="25"/>
  <c r="EA109" i="25"/>
  <c r="EB109" i="25"/>
  <c r="EC109" i="25"/>
  <c r="ED109" i="25"/>
  <c r="EE109" i="25"/>
  <c r="EF109" i="25"/>
  <c r="EG109" i="25"/>
  <c r="EH109" i="25"/>
  <c r="EI109" i="25"/>
  <c r="EJ109" i="25"/>
  <c r="EK109" i="25"/>
  <c r="DR110" i="25"/>
  <c r="DS110" i="25"/>
  <c r="DT110" i="25"/>
  <c r="DU110" i="25"/>
  <c r="DV110" i="25"/>
  <c r="DW110" i="25"/>
  <c r="DX110" i="25"/>
  <c r="DY110" i="25"/>
  <c r="DZ110" i="25"/>
  <c r="EA110" i="25"/>
  <c r="EB110" i="25"/>
  <c r="EC110" i="25"/>
  <c r="ED110" i="25"/>
  <c r="EE110" i="25"/>
  <c r="EF110" i="25"/>
  <c r="EG110" i="25"/>
  <c r="EH110" i="25"/>
  <c r="EI110" i="25"/>
  <c r="EJ110" i="25"/>
  <c r="EK110" i="25"/>
  <c r="DS100" i="25"/>
  <c r="DT100" i="25"/>
  <c r="DU100" i="25"/>
  <c r="DV100" i="25"/>
  <c r="DW100" i="25"/>
  <c r="DX100" i="25"/>
  <c r="DY100" i="25"/>
  <c r="DZ100" i="25"/>
  <c r="EA100" i="25"/>
  <c r="EB100" i="25"/>
  <c r="EC100" i="25"/>
  <c r="ED100" i="25"/>
  <c r="EE100" i="25"/>
  <c r="EF100" i="25"/>
  <c r="EG100" i="25"/>
  <c r="EH100" i="25"/>
  <c r="EI100" i="25"/>
  <c r="EJ100" i="25"/>
  <c r="EK100" i="25"/>
  <c r="DR100" i="25"/>
  <c r="DR89" i="25"/>
  <c r="DS89" i="25"/>
  <c r="DT89" i="25"/>
  <c r="DU89" i="25"/>
  <c r="DV89" i="25"/>
  <c r="DW89" i="25"/>
  <c r="DX89" i="25"/>
  <c r="DY89" i="25"/>
  <c r="DZ89" i="25"/>
  <c r="EA89" i="25"/>
  <c r="EB89" i="25"/>
  <c r="EC89" i="25"/>
  <c r="ED89" i="25"/>
  <c r="EE89" i="25"/>
  <c r="EF89" i="25"/>
  <c r="EG89" i="25"/>
  <c r="EH89" i="25"/>
  <c r="EI89" i="25"/>
  <c r="EJ89" i="25"/>
  <c r="EK89" i="25"/>
  <c r="DR90" i="25"/>
  <c r="DS90" i="25"/>
  <c r="DT90" i="25"/>
  <c r="DU90" i="25"/>
  <c r="DV90" i="25"/>
  <c r="DW90" i="25"/>
  <c r="DX90" i="25"/>
  <c r="DY90" i="25"/>
  <c r="DZ90" i="25"/>
  <c r="EA90" i="25"/>
  <c r="EB90" i="25"/>
  <c r="EC90" i="25"/>
  <c r="ED90" i="25"/>
  <c r="EE90" i="25"/>
  <c r="EF90" i="25"/>
  <c r="EG90" i="25"/>
  <c r="EH90" i="25"/>
  <c r="EI90" i="25"/>
  <c r="EJ90" i="25"/>
  <c r="EK90" i="25"/>
  <c r="DR91" i="25"/>
  <c r="DS91" i="25"/>
  <c r="DT91" i="25"/>
  <c r="DU91" i="25"/>
  <c r="DV91" i="25"/>
  <c r="DW91" i="25"/>
  <c r="DX91" i="25"/>
  <c r="DY91" i="25"/>
  <c r="DZ91" i="25"/>
  <c r="EA91" i="25"/>
  <c r="EB91" i="25"/>
  <c r="EC91" i="25"/>
  <c r="ED91" i="25"/>
  <c r="EE91" i="25"/>
  <c r="EF91" i="25"/>
  <c r="EG91" i="25"/>
  <c r="EH91" i="25"/>
  <c r="EI91" i="25"/>
  <c r="EJ91" i="25"/>
  <c r="EK91" i="25"/>
  <c r="DR92" i="25"/>
  <c r="DS92" i="25"/>
  <c r="DT92" i="25"/>
  <c r="DU92" i="25"/>
  <c r="DV92" i="25"/>
  <c r="DW92" i="25"/>
  <c r="DX92" i="25"/>
  <c r="DY92" i="25"/>
  <c r="DZ92" i="25"/>
  <c r="EA92" i="25"/>
  <c r="EB92" i="25"/>
  <c r="EC92" i="25"/>
  <c r="ED92" i="25"/>
  <c r="EE92" i="25"/>
  <c r="EF92" i="25"/>
  <c r="EG92" i="25"/>
  <c r="EH92" i="25"/>
  <c r="EI92" i="25"/>
  <c r="EJ92" i="25"/>
  <c r="EK92" i="25"/>
  <c r="DR93" i="25"/>
  <c r="DS93" i="25"/>
  <c r="DT93" i="25"/>
  <c r="DU93" i="25"/>
  <c r="DV93" i="25"/>
  <c r="DW93" i="25"/>
  <c r="DX93" i="25"/>
  <c r="DY93" i="25"/>
  <c r="DZ93" i="25"/>
  <c r="EA93" i="25"/>
  <c r="EB93" i="25"/>
  <c r="EC93" i="25"/>
  <c r="ED93" i="25"/>
  <c r="EE93" i="25"/>
  <c r="EF93" i="25"/>
  <c r="EG93" i="25"/>
  <c r="EH93" i="25"/>
  <c r="EI93" i="25"/>
  <c r="EJ93" i="25"/>
  <c r="EK93" i="25"/>
  <c r="DR94" i="25"/>
  <c r="DS94" i="25"/>
  <c r="DT94" i="25"/>
  <c r="DU94" i="25"/>
  <c r="DV94" i="25"/>
  <c r="DW94" i="25"/>
  <c r="DX94" i="25"/>
  <c r="DY94" i="25"/>
  <c r="DZ94" i="25"/>
  <c r="EA94" i="25"/>
  <c r="EB94" i="25"/>
  <c r="EC94" i="25"/>
  <c r="ED94" i="25"/>
  <c r="EE94" i="25"/>
  <c r="EF94" i="25"/>
  <c r="EG94" i="25"/>
  <c r="EH94" i="25"/>
  <c r="EI94" i="25"/>
  <c r="EJ94" i="25"/>
  <c r="EK94" i="25"/>
  <c r="DR95" i="25"/>
  <c r="DS95" i="25"/>
  <c r="DT95" i="25"/>
  <c r="DU95" i="25"/>
  <c r="DV95" i="25"/>
  <c r="DW95" i="25"/>
  <c r="DX95" i="25"/>
  <c r="DY95" i="25"/>
  <c r="DZ95" i="25"/>
  <c r="EA95" i="25"/>
  <c r="EB95" i="25"/>
  <c r="EC95" i="25"/>
  <c r="ED95" i="25"/>
  <c r="EE95" i="25"/>
  <c r="EF95" i="25"/>
  <c r="EG95" i="25"/>
  <c r="EH95" i="25"/>
  <c r="EI95" i="25"/>
  <c r="EJ95" i="25"/>
  <c r="EK95" i="25"/>
  <c r="DR96" i="25"/>
  <c r="DS96" i="25"/>
  <c r="DT96" i="25"/>
  <c r="DU96" i="25"/>
  <c r="DV96" i="25"/>
  <c r="DW96" i="25"/>
  <c r="DX96" i="25"/>
  <c r="DY96" i="25"/>
  <c r="DZ96" i="25"/>
  <c r="EA96" i="25"/>
  <c r="EB96" i="25"/>
  <c r="EC96" i="25"/>
  <c r="ED96" i="25"/>
  <c r="EE96" i="25"/>
  <c r="EF96" i="25"/>
  <c r="EG96" i="25"/>
  <c r="EH96" i="25"/>
  <c r="EI96" i="25"/>
  <c r="EJ96" i="25"/>
  <c r="EK96" i="25"/>
  <c r="DR97" i="25"/>
  <c r="DS97" i="25"/>
  <c r="DT97" i="25"/>
  <c r="DU97" i="25"/>
  <c r="DV97" i="25"/>
  <c r="DW97" i="25"/>
  <c r="DX97" i="25"/>
  <c r="DY97" i="25"/>
  <c r="DZ97" i="25"/>
  <c r="EA97" i="25"/>
  <c r="EB97" i="25"/>
  <c r="EC97" i="25"/>
  <c r="ED97" i="25"/>
  <c r="EE97" i="25"/>
  <c r="EF97" i="25"/>
  <c r="EG97" i="25"/>
  <c r="EH97" i="25"/>
  <c r="EI97" i="25"/>
  <c r="EJ97" i="25"/>
  <c r="EK97" i="25"/>
  <c r="DR98" i="25"/>
  <c r="DS98" i="25"/>
  <c r="DT98" i="25"/>
  <c r="DU98" i="25"/>
  <c r="DV98" i="25"/>
  <c r="DW98" i="25"/>
  <c r="DX98" i="25"/>
  <c r="DY98" i="25"/>
  <c r="DZ98" i="25"/>
  <c r="EA98" i="25"/>
  <c r="EB98" i="25"/>
  <c r="EC98" i="25"/>
  <c r="ED98" i="25"/>
  <c r="EE98" i="25"/>
  <c r="EF98" i="25"/>
  <c r="EG98" i="25"/>
  <c r="EH98" i="25"/>
  <c r="EI98" i="25"/>
  <c r="EJ98" i="25"/>
  <c r="EK98" i="25"/>
  <c r="DS88" i="25"/>
  <c r="DT88" i="25"/>
  <c r="DU88" i="25"/>
  <c r="DV88" i="25"/>
  <c r="DW88" i="25"/>
  <c r="DX88" i="25"/>
  <c r="DY88" i="25"/>
  <c r="DZ88" i="25"/>
  <c r="EA88" i="25"/>
  <c r="EB88" i="25"/>
  <c r="EC88" i="25"/>
  <c r="ED88" i="25"/>
  <c r="EE88" i="25"/>
  <c r="EF88" i="25"/>
  <c r="EG88" i="25"/>
  <c r="EH88" i="25"/>
  <c r="EI88" i="25"/>
  <c r="EJ88" i="25"/>
  <c r="EK88" i="25"/>
  <c r="DR88" i="25"/>
  <c r="DR77" i="25"/>
  <c r="DS77" i="25"/>
  <c r="DT77" i="25"/>
  <c r="DU77" i="25"/>
  <c r="DV77" i="25"/>
  <c r="DW77" i="25"/>
  <c r="DX77" i="25"/>
  <c r="DY77" i="25"/>
  <c r="DZ77" i="25"/>
  <c r="EA77" i="25"/>
  <c r="EB77" i="25"/>
  <c r="EC77" i="25"/>
  <c r="ED77" i="25"/>
  <c r="EE77" i="25"/>
  <c r="EF77" i="25"/>
  <c r="EG77" i="25"/>
  <c r="EH77" i="25"/>
  <c r="EI77" i="25"/>
  <c r="EJ77" i="25"/>
  <c r="EK77" i="25"/>
  <c r="DR78" i="25"/>
  <c r="DS78" i="25"/>
  <c r="DT78" i="25"/>
  <c r="DU78" i="25"/>
  <c r="DV78" i="25"/>
  <c r="DW78" i="25"/>
  <c r="DX78" i="25"/>
  <c r="DY78" i="25"/>
  <c r="DZ78" i="25"/>
  <c r="EA78" i="25"/>
  <c r="EB78" i="25"/>
  <c r="EC78" i="25"/>
  <c r="ED78" i="25"/>
  <c r="EE78" i="25"/>
  <c r="EF78" i="25"/>
  <c r="EG78" i="25"/>
  <c r="EH78" i="25"/>
  <c r="EI78" i="25"/>
  <c r="EJ78" i="25"/>
  <c r="EK78" i="25"/>
  <c r="DR79" i="25"/>
  <c r="DS79" i="25"/>
  <c r="DT79" i="25"/>
  <c r="DU79" i="25"/>
  <c r="DV79" i="25"/>
  <c r="DW79" i="25"/>
  <c r="DX79" i="25"/>
  <c r="DY79" i="25"/>
  <c r="DZ79" i="25"/>
  <c r="EA79" i="25"/>
  <c r="EB79" i="25"/>
  <c r="EC79" i="25"/>
  <c r="ED79" i="25"/>
  <c r="EE79" i="25"/>
  <c r="EF79" i="25"/>
  <c r="EG79" i="25"/>
  <c r="EH79" i="25"/>
  <c r="EI79" i="25"/>
  <c r="EJ79" i="25"/>
  <c r="EK79" i="25"/>
  <c r="DR80" i="25"/>
  <c r="DS80" i="25"/>
  <c r="DT80" i="25"/>
  <c r="DU80" i="25"/>
  <c r="DV80" i="25"/>
  <c r="DW80" i="25"/>
  <c r="DX80" i="25"/>
  <c r="DY80" i="25"/>
  <c r="DZ80" i="25"/>
  <c r="EA80" i="25"/>
  <c r="EB80" i="25"/>
  <c r="EC80" i="25"/>
  <c r="ED80" i="25"/>
  <c r="EE80" i="25"/>
  <c r="EF80" i="25"/>
  <c r="EG80" i="25"/>
  <c r="EH80" i="25"/>
  <c r="EI80" i="25"/>
  <c r="EJ80" i="25"/>
  <c r="EK80" i="25"/>
  <c r="DR81" i="25"/>
  <c r="DS81" i="25"/>
  <c r="DT81" i="25"/>
  <c r="DU81" i="25"/>
  <c r="DV81" i="25"/>
  <c r="DW81" i="25"/>
  <c r="DX81" i="25"/>
  <c r="DY81" i="25"/>
  <c r="DZ81" i="25"/>
  <c r="EA81" i="25"/>
  <c r="EB81" i="25"/>
  <c r="EC81" i="25"/>
  <c r="ED81" i="25"/>
  <c r="EE81" i="25"/>
  <c r="EF81" i="25"/>
  <c r="EG81" i="25"/>
  <c r="EH81" i="25"/>
  <c r="EI81" i="25"/>
  <c r="EJ81" i="25"/>
  <c r="EK81" i="25"/>
  <c r="DR82" i="25"/>
  <c r="DS82" i="25"/>
  <c r="DT82" i="25"/>
  <c r="DU82" i="25"/>
  <c r="DV82" i="25"/>
  <c r="DW82" i="25"/>
  <c r="DX82" i="25"/>
  <c r="DY82" i="25"/>
  <c r="DZ82" i="25"/>
  <c r="EA82" i="25"/>
  <c r="EB82" i="25"/>
  <c r="EC82" i="25"/>
  <c r="ED82" i="25"/>
  <c r="EE82" i="25"/>
  <c r="EF82" i="25"/>
  <c r="EG82" i="25"/>
  <c r="EH82" i="25"/>
  <c r="EI82" i="25"/>
  <c r="EJ82" i="25"/>
  <c r="EK82" i="25"/>
  <c r="DR83" i="25"/>
  <c r="DS83" i="25"/>
  <c r="DT83" i="25"/>
  <c r="DU83" i="25"/>
  <c r="DV83" i="25"/>
  <c r="DW83" i="25"/>
  <c r="DX83" i="25"/>
  <c r="DY83" i="25"/>
  <c r="DZ83" i="25"/>
  <c r="EA83" i="25"/>
  <c r="EB83" i="25"/>
  <c r="EC83" i="25"/>
  <c r="ED83" i="25"/>
  <c r="EE83" i="25"/>
  <c r="EF83" i="25"/>
  <c r="EG83" i="25"/>
  <c r="EH83" i="25"/>
  <c r="EI83" i="25"/>
  <c r="EJ83" i="25"/>
  <c r="EK83" i="25"/>
  <c r="DR84" i="25"/>
  <c r="DS84" i="25"/>
  <c r="DT84" i="25"/>
  <c r="DU84" i="25"/>
  <c r="DV84" i="25"/>
  <c r="DW84" i="25"/>
  <c r="DX84" i="25"/>
  <c r="DY84" i="25"/>
  <c r="DZ84" i="25"/>
  <c r="EA84" i="25"/>
  <c r="EB84" i="25"/>
  <c r="EC84" i="25"/>
  <c r="ED84" i="25"/>
  <c r="EE84" i="25"/>
  <c r="EF84" i="25"/>
  <c r="EG84" i="25"/>
  <c r="EH84" i="25"/>
  <c r="EI84" i="25"/>
  <c r="EJ84" i="25"/>
  <c r="EK84" i="25"/>
  <c r="DR85" i="25"/>
  <c r="DS85" i="25"/>
  <c r="DT85" i="25"/>
  <c r="DU85" i="25"/>
  <c r="DV85" i="25"/>
  <c r="DW85" i="25"/>
  <c r="DX85" i="25"/>
  <c r="DY85" i="25"/>
  <c r="DZ85" i="25"/>
  <c r="EA85" i="25"/>
  <c r="EB85" i="25"/>
  <c r="EC85" i="25"/>
  <c r="ED85" i="25"/>
  <c r="EE85" i="25"/>
  <c r="EF85" i="25"/>
  <c r="EG85" i="25"/>
  <c r="EH85" i="25"/>
  <c r="EI85" i="25"/>
  <c r="EJ85" i="25"/>
  <c r="EK85" i="25"/>
  <c r="DR86" i="25"/>
  <c r="DS86" i="25"/>
  <c r="DT86" i="25"/>
  <c r="DU86" i="25"/>
  <c r="DV86" i="25"/>
  <c r="DW86" i="25"/>
  <c r="DX86" i="25"/>
  <c r="DY86" i="25"/>
  <c r="DZ86" i="25"/>
  <c r="EA86" i="25"/>
  <c r="EB86" i="25"/>
  <c r="EC86" i="25"/>
  <c r="ED86" i="25"/>
  <c r="EE86" i="25"/>
  <c r="EF86" i="25"/>
  <c r="EG86" i="25"/>
  <c r="EH86" i="25"/>
  <c r="EI86" i="25"/>
  <c r="EJ86" i="25"/>
  <c r="EK86" i="25"/>
  <c r="DS76" i="25"/>
  <c r="DT76" i="25"/>
  <c r="DU76" i="25"/>
  <c r="DV76" i="25"/>
  <c r="DW76" i="25"/>
  <c r="DX76" i="25"/>
  <c r="DY76" i="25"/>
  <c r="DZ76" i="25"/>
  <c r="EA76" i="25"/>
  <c r="EB76" i="25"/>
  <c r="EC76" i="25"/>
  <c r="ED76" i="25"/>
  <c r="EE76" i="25"/>
  <c r="EF76" i="25"/>
  <c r="EG76" i="25"/>
  <c r="EH76" i="25"/>
  <c r="EI76" i="25"/>
  <c r="EJ76" i="25"/>
  <c r="EK76" i="25"/>
  <c r="DR76" i="25"/>
  <c r="DR65" i="25"/>
  <c r="DS65" i="25"/>
  <c r="DT65" i="25"/>
  <c r="DU65" i="25"/>
  <c r="DV65" i="25"/>
  <c r="DW65" i="25"/>
  <c r="DX65" i="25"/>
  <c r="DY65" i="25"/>
  <c r="DZ65" i="25"/>
  <c r="EA65" i="25"/>
  <c r="EB65" i="25"/>
  <c r="EC65" i="25"/>
  <c r="ED65" i="25"/>
  <c r="EE65" i="25"/>
  <c r="EF65" i="25"/>
  <c r="EG65" i="25"/>
  <c r="EH65" i="25"/>
  <c r="EI65" i="25"/>
  <c r="EJ65" i="25"/>
  <c r="EK65" i="25"/>
  <c r="DR66" i="25"/>
  <c r="DS66" i="25"/>
  <c r="DT66" i="25"/>
  <c r="DU66" i="25"/>
  <c r="DV66" i="25"/>
  <c r="DW66" i="25"/>
  <c r="DX66" i="25"/>
  <c r="DY66" i="25"/>
  <c r="DZ66" i="25"/>
  <c r="EA66" i="25"/>
  <c r="EB66" i="25"/>
  <c r="EC66" i="25"/>
  <c r="ED66" i="25"/>
  <c r="EE66" i="25"/>
  <c r="EF66" i="25"/>
  <c r="EG66" i="25"/>
  <c r="EH66" i="25"/>
  <c r="EI66" i="25"/>
  <c r="EJ66" i="25"/>
  <c r="EK66" i="25"/>
  <c r="DR67" i="25"/>
  <c r="DS67" i="25"/>
  <c r="DT67" i="25"/>
  <c r="DU67" i="25"/>
  <c r="DV67" i="25"/>
  <c r="DW67" i="25"/>
  <c r="DX67" i="25"/>
  <c r="DY67" i="25"/>
  <c r="DZ67" i="25"/>
  <c r="EA67" i="25"/>
  <c r="EB67" i="25"/>
  <c r="EC67" i="25"/>
  <c r="ED67" i="25"/>
  <c r="EE67" i="25"/>
  <c r="EF67" i="25"/>
  <c r="EG67" i="25"/>
  <c r="EH67" i="25"/>
  <c r="EI67" i="25"/>
  <c r="EJ67" i="25"/>
  <c r="EK67" i="25"/>
  <c r="DR68" i="25"/>
  <c r="DS68" i="25"/>
  <c r="DT68" i="25"/>
  <c r="DU68" i="25"/>
  <c r="DV68" i="25"/>
  <c r="DW68" i="25"/>
  <c r="DX68" i="25"/>
  <c r="DY68" i="25"/>
  <c r="DZ68" i="25"/>
  <c r="EA68" i="25"/>
  <c r="EB68" i="25"/>
  <c r="EC68" i="25"/>
  <c r="ED68" i="25"/>
  <c r="EE68" i="25"/>
  <c r="EF68" i="25"/>
  <c r="EG68" i="25"/>
  <c r="EH68" i="25"/>
  <c r="EI68" i="25"/>
  <c r="EJ68" i="25"/>
  <c r="EK68" i="25"/>
  <c r="DR69" i="25"/>
  <c r="DS69" i="25"/>
  <c r="DT69" i="25"/>
  <c r="DU69" i="25"/>
  <c r="DV69" i="25"/>
  <c r="DW69" i="25"/>
  <c r="DX69" i="25"/>
  <c r="DY69" i="25"/>
  <c r="DZ69" i="25"/>
  <c r="EA69" i="25"/>
  <c r="EB69" i="25"/>
  <c r="EC69" i="25"/>
  <c r="ED69" i="25"/>
  <c r="EE69" i="25"/>
  <c r="EF69" i="25"/>
  <c r="EG69" i="25"/>
  <c r="EH69" i="25"/>
  <c r="EI69" i="25"/>
  <c r="EJ69" i="25"/>
  <c r="EK69" i="25"/>
  <c r="DR70" i="25"/>
  <c r="DS70" i="25"/>
  <c r="DT70" i="25"/>
  <c r="DU70" i="25"/>
  <c r="DV70" i="25"/>
  <c r="DW70" i="25"/>
  <c r="DX70" i="25"/>
  <c r="DY70" i="25"/>
  <c r="DZ70" i="25"/>
  <c r="EA70" i="25"/>
  <c r="EB70" i="25"/>
  <c r="EC70" i="25"/>
  <c r="ED70" i="25"/>
  <c r="EE70" i="25"/>
  <c r="EF70" i="25"/>
  <c r="EG70" i="25"/>
  <c r="EH70" i="25"/>
  <c r="EI70" i="25"/>
  <c r="EJ70" i="25"/>
  <c r="EK70" i="25"/>
  <c r="DR71" i="25"/>
  <c r="DS71" i="25"/>
  <c r="DT71" i="25"/>
  <c r="DU71" i="25"/>
  <c r="DV71" i="25"/>
  <c r="DW71" i="25"/>
  <c r="DX71" i="25"/>
  <c r="DY71" i="25"/>
  <c r="DZ71" i="25"/>
  <c r="EA71" i="25"/>
  <c r="EB71" i="25"/>
  <c r="EC71" i="25"/>
  <c r="ED71" i="25"/>
  <c r="EE71" i="25"/>
  <c r="EF71" i="25"/>
  <c r="EG71" i="25"/>
  <c r="EH71" i="25"/>
  <c r="EI71" i="25"/>
  <c r="EJ71" i="25"/>
  <c r="EK71" i="25"/>
  <c r="DR72" i="25"/>
  <c r="DS72" i="25"/>
  <c r="DT72" i="25"/>
  <c r="DU72" i="25"/>
  <c r="DV72" i="25"/>
  <c r="DW72" i="25"/>
  <c r="DX72" i="25"/>
  <c r="DY72" i="25"/>
  <c r="DZ72" i="25"/>
  <c r="EA72" i="25"/>
  <c r="EB72" i="25"/>
  <c r="EC72" i="25"/>
  <c r="ED72" i="25"/>
  <c r="EE72" i="25"/>
  <c r="EF72" i="25"/>
  <c r="EG72" i="25"/>
  <c r="EH72" i="25"/>
  <c r="EI72" i="25"/>
  <c r="EJ72" i="25"/>
  <c r="EK72" i="25"/>
  <c r="DR73" i="25"/>
  <c r="DS73" i="25"/>
  <c r="DT73" i="25"/>
  <c r="DU73" i="25"/>
  <c r="DV73" i="25"/>
  <c r="DW73" i="25"/>
  <c r="DX73" i="25"/>
  <c r="DY73" i="25"/>
  <c r="DZ73" i="25"/>
  <c r="EA73" i="25"/>
  <c r="EB73" i="25"/>
  <c r="EC73" i="25"/>
  <c r="ED73" i="25"/>
  <c r="EE73" i="25"/>
  <c r="EF73" i="25"/>
  <c r="EG73" i="25"/>
  <c r="EH73" i="25"/>
  <c r="EI73" i="25"/>
  <c r="EJ73" i="25"/>
  <c r="EK73" i="25"/>
  <c r="DR74" i="25"/>
  <c r="DS74" i="25"/>
  <c r="DT74" i="25"/>
  <c r="DU74" i="25"/>
  <c r="DV74" i="25"/>
  <c r="DW74" i="25"/>
  <c r="DX74" i="25"/>
  <c r="DY74" i="25"/>
  <c r="DZ74" i="25"/>
  <c r="EA74" i="25"/>
  <c r="EB74" i="25"/>
  <c r="EC74" i="25"/>
  <c r="ED74" i="25"/>
  <c r="EE74" i="25"/>
  <c r="EF74" i="25"/>
  <c r="EG74" i="25"/>
  <c r="EH74" i="25"/>
  <c r="EI74" i="25"/>
  <c r="EJ74" i="25"/>
  <c r="EK74" i="25"/>
  <c r="DS64" i="25"/>
  <c r="DT64" i="25"/>
  <c r="DU64" i="25"/>
  <c r="DV64" i="25"/>
  <c r="DW64" i="25"/>
  <c r="DX64" i="25"/>
  <c r="DY64" i="25"/>
  <c r="DZ64" i="25"/>
  <c r="EA64" i="25"/>
  <c r="EB64" i="25"/>
  <c r="EC64" i="25"/>
  <c r="ED64" i="25"/>
  <c r="EE64" i="25"/>
  <c r="EF64" i="25"/>
  <c r="EG64" i="25"/>
  <c r="EH64" i="25"/>
  <c r="EI64" i="25"/>
  <c r="EJ64" i="25"/>
  <c r="EK64" i="25"/>
  <c r="DR64" i="25"/>
  <c r="DR53" i="25"/>
  <c r="DS53" i="25"/>
  <c r="DT53" i="25"/>
  <c r="DU53" i="25"/>
  <c r="DV53" i="25"/>
  <c r="DW53" i="25"/>
  <c r="DX53" i="25"/>
  <c r="DY53" i="25"/>
  <c r="DZ53" i="25"/>
  <c r="EA53" i="25"/>
  <c r="EB53" i="25"/>
  <c r="EC53" i="25"/>
  <c r="ED53" i="25"/>
  <c r="EE53" i="25"/>
  <c r="EF53" i="25"/>
  <c r="EG53" i="25"/>
  <c r="EH53" i="25"/>
  <c r="EI53" i="25"/>
  <c r="EJ53" i="25"/>
  <c r="EK53" i="25"/>
  <c r="DR54" i="25"/>
  <c r="DS54" i="25"/>
  <c r="DT54" i="25"/>
  <c r="DU54" i="25"/>
  <c r="DV54" i="25"/>
  <c r="DW54" i="25"/>
  <c r="DX54" i="25"/>
  <c r="DY54" i="25"/>
  <c r="DZ54" i="25"/>
  <c r="EA54" i="25"/>
  <c r="EB54" i="25"/>
  <c r="EC54" i="25"/>
  <c r="ED54" i="25"/>
  <c r="EE54" i="25"/>
  <c r="EF54" i="25"/>
  <c r="EG54" i="25"/>
  <c r="EH54" i="25"/>
  <c r="EI54" i="25"/>
  <c r="EJ54" i="25"/>
  <c r="EK54" i="25"/>
  <c r="DR55" i="25"/>
  <c r="DS55" i="25"/>
  <c r="DT55" i="25"/>
  <c r="DU55" i="25"/>
  <c r="DV55" i="25"/>
  <c r="DW55" i="25"/>
  <c r="DX55" i="25"/>
  <c r="DY55" i="25"/>
  <c r="DZ55" i="25"/>
  <c r="EA55" i="25"/>
  <c r="EB55" i="25"/>
  <c r="EC55" i="25"/>
  <c r="ED55" i="25"/>
  <c r="EE55" i="25"/>
  <c r="EF55" i="25"/>
  <c r="EG55" i="25"/>
  <c r="EH55" i="25"/>
  <c r="EI55" i="25"/>
  <c r="EJ55" i="25"/>
  <c r="EK55" i="25"/>
  <c r="DR56" i="25"/>
  <c r="DS56" i="25"/>
  <c r="DT56" i="25"/>
  <c r="DU56" i="25"/>
  <c r="DV56" i="25"/>
  <c r="DW56" i="25"/>
  <c r="DX56" i="25"/>
  <c r="DY56" i="25"/>
  <c r="DZ56" i="25"/>
  <c r="EA56" i="25"/>
  <c r="EB56" i="25"/>
  <c r="EC56" i="25"/>
  <c r="ED56" i="25"/>
  <c r="EE56" i="25"/>
  <c r="EF56" i="25"/>
  <c r="EG56" i="25"/>
  <c r="EH56" i="25"/>
  <c r="EI56" i="25"/>
  <c r="EJ56" i="25"/>
  <c r="EK56" i="25"/>
  <c r="DR57" i="25"/>
  <c r="DS57" i="25"/>
  <c r="DT57" i="25"/>
  <c r="DU57" i="25"/>
  <c r="DV57" i="25"/>
  <c r="DW57" i="25"/>
  <c r="DX57" i="25"/>
  <c r="DY57" i="25"/>
  <c r="DZ57" i="25"/>
  <c r="EA57" i="25"/>
  <c r="EB57" i="25"/>
  <c r="EC57" i="25"/>
  <c r="ED57" i="25"/>
  <c r="EE57" i="25"/>
  <c r="EF57" i="25"/>
  <c r="EG57" i="25"/>
  <c r="EH57" i="25"/>
  <c r="EI57" i="25"/>
  <c r="EJ57" i="25"/>
  <c r="EK57" i="25"/>
  <c r="DR58" i="25"/>
  <c r="DS58" i="25"/>
  <c r="DT58" i="25"/>
  <c r="DU58" i="25"/>
  <c r="DV58" i="25"/>
  <c r="DW58" i="25"/>
  <c r="DX58" i="25"/>
  <c r="DY58" i="25"/>
  <c r="DZ58" i="25"/>
  <c r="EA58" i="25"/>
  <c r="EB58" i="25"/>
  <c r="EC58" i="25"/>
  <c r="ED58" i="25"/>
  <c r="EE58" i="25"/>
  <c r="EF58" i="25"/>
  <c r="EG58" i="25"/>
  <c r="EH58" i="25"/>
  <c r="EI58" i="25"/>
  <c r="EJ58" i="25"/>
  <c r="EK58" i="25"/>
  <c r="DR59" i="25"/>
  <c r="DS59" i="25"/>
  <c r="DT59" i="25"/>
  <c r="DU59" i="25"/>
  <c r="DV59" i="25"/>
  <c r="DW59" i="25"/>
  <c r="DX59" i="25"/>
  <c r="DY59" i="25"/>
  <c r="DZ59" i="25"/>
  <c r="EA59" i="25"/>
  <c r="EB59" i="25"/>
  <c r="EC59" i="25"/>
  <c r="ED59" i="25"/>
  <c r="EE59" i="25"/>
  <c r="EF59" i="25"/>
  <c r="EG59" i="25"/>
  <c r="EH59" i="25"/>
  <c r="EI59" i="25"/>
  <c r="EJ59" i="25"/>
  <c r="EK59" i="25"/>
  <c r="DR60" i="25"/>
  <c r="DS60" i="25"/>
  <c r="DT60" i="25"/>
  <c r="DU60" i="25"/>
  <c r="DV60" i="25"/>
  <c r="DW60" i="25"/>
  <c r="DX60" i="25"/>
  <c r="DY60" i="25"/>
  <c r="DZ60" i="25"/>
  <c r="EA60" i="25"/>
  <c r="EB60" i="25"/>
  <c r="EC60" i="25"/>
  <c r="ED60" i="25"/>
  <c r="EE60" i="25"/>
  <c r="EF60" i="25"/>
  <c r="EG60" i="25"/>
  <c r="EH60" i="25"/>
  <c r="EI60" i="25"/>
  <c r="EJ60" i="25"/>
  <c r="EK60" i="25"/>
  <c r="DR61" i="25"/>
  <c r="DS61" i="25"/>
  <c r="DT61" i="25"/>
  <c r="DU61" i="25"/>
  <c r="DV61" i="25"/>
  <c r="DW61" i="25"/>
  <c r="DX61" i="25"/>
  <c r="DY61" i="25"/>
  <c r="DZ61" i="25"/>
  <c r="EA61" i="25"/>
  <c r="EB61" i="25"/>
  <c r="EC61" i="25"/>
  <c r="ED61" i="25"/>
  <c r="EE61" i="25"/>
  <c r="EF61" i="25"/>
  <c r="EG61" i="25"/>
  <c r="EH61" i="25"/>
  <c r="EI61" i="25"/>
  <c r="EJ61" i="25"/>
  <c r="EK61" i="25"/>
  <c r="DR62" i="25"/>
  <c r="DS62" i="25"/>
  <c r="DT62" i="25"/>
  <c r="DU62" i="25"/>
  <c r="DV62" i="25"/>
  <c r="DW62" i="25"/>
  <c r="DX62" i="25"/>
  <c r="DY62" i="25"/>
  <c r="DZ62" i="25"/>
  <c r="EA62" i="25"/>
  <c r="EB62" i="25"/>
  <c r="EC62" i="25"/>
  <c r="ED62" i="25"/>
  <c r="EE62" i="25"/>
  <c r="EF62" i="25"/>
  <c r="EG62" i="25"/>
  <c r="EH62" i="25"/>
  <c r="EI62" i="25"/>
  <c r="EJ62" i="25"/>
  <c r="EK62" i="25"/>
  <c r="DS52" i="25"/>
  <c r="DT52" i="25"/>
  <c r="DU52" i="25"/>
  <c r="DV52" i="25"/>
  <c r="DW52" i="25"/>
  <c r="DX52" i="25"/>
  <c r="DY52" i="25"/>
  <c r="DZ52" i="25"/>
  <c r="EA52" i="25"/>
  <c r="EB52" i="25"/>
  <c r="EC52" i="25"/>
  <c r="ED52" i="25"/>
  <c r="EE52" i="25"/>
  <c r="EF52" i="25"/>
  <c r="EG52" i="25"/>
  <c r="EH52" i="25"/>
  <c r="EI52" i="25"/>
  <c r="EJ52" i="25"/>
  <c r="EK52" i="25"/>
  <c r="DR52" i="25"/>
  <c r="DR41" i="25"/>
  <c r="DS41" i="25"/>
  <c r="DT41" i="25"/>
  <c r="DU41" i="25"/>
  <c r="DV41" i="25"/>
  <c r="DW41" i="25"/>
  <c r="DX41" i="25"/>
  <c r="DY41" i="25"/>
  <c r="DZ41" i="25"/>
  <c r="EA41" i="25"/>
  <c r="EB41" i="25"/>
  <c r="EC41" i="25"/>
  <c r="ED41" i="25"/>
  <c r="EE41" i="25"/>
  <c r="EF41" i="25"/>
  <c r="EG41" i="25"/>
  <c r="EH41" i="25"/>
  <c r="EI41" i="25"/>
  <c r="EJ41" i="25"/>
  <c r="EK41" i="25"/>
  <c r="DR42" i="25"/>
  <c r="DS42" i="25"/>
  <c r="DT42" i="25"/>
  <c r="DU42" i="25"/>
  <c r="DV42" i="25"/>
  <c r="DW42" i="25"/>
  <c r="DX42" i="25"/>
  <c r="DY42" i="25"/>
  <c r="DZ42" i="25"/>
  <c r="EA42" i="25"/>
  <c r="EB42" i="25"/>
  <c r="EC42" i="25"/>
  <c r="ED42" i="25"/>
  <c r="EE42" i="25"/>
  <c r="EF42" i="25"/>
  <c r="EG42" i="25"/>
  <c r="EH42" i="25"/>
  <c r="EI42" i="25"/>
  <c r="EJ42" i="25"/>
  <c r="EK42" i="25"/>
  <c r="DR43" i="25"/>
  <c r="DS43" i="25"/>
  <c r="DT43" i="25"/>
  <c r="DU43" i="25"/>
  <c r="DV43" i="25"/>
  <c r="DW43" i="25"/>
  <c r="DX43" i="25"/>
  <c r="DY43" i="25"/>
  <c r="DZ43" i="25"/>
  <c r="EA43" i="25"/>
  <c r="EB43" i="25"/>
  <c r="EC43" i="25"/>
  <c r="ED43" i="25"/>
  <c r="EE43" i="25"/>
  <c r="EF43" i="25"/>
  <c r="EG43" i="25"/>
  <c r="EH43" i="25"/>
  <c r="EI43" i="25"/>
  <c r="EJ43" i="25"/>
  <c r="EK43" i="25"/>
  <c r="DR44" i="25"/>
  <c r="DS44" i="25"/>
  <c r="DT44" i="25"/>
  <c r="DU44" i="25"/>
  <c r="DV44" i="25"/>
  <c r="DW44" i="25"/>
  <c r="DX44" i="25"/>
  <c r="DY44" i="25"/>
  <c r="DZ44" i="25"/>
  <c r="EA44" i="25"/>
  <c r="EB44" i="25"/>
  <c r="EC44" i="25"/>
  <c r="ED44" i="25"/>
  <c r="EE44" i="25"/>
  <c r="EF44" i="25"/>
  <c r="EG44" i="25"/>
  <c r="EH44" i="25"/>
  <c r="EI44" i="25"/>
  <c r="EJ44" i="25"/>
  <c r="EK44" i="25"/>
  <c r="DR45" i="25"/>
  <c r="DS45" i="25"/>
  <c r="DT45" i="25"/>
  <c r="DU45" i="25"/>
  <c r="DV45" i="25"/>
  <c r="DW45" i="25"/>
  <c r="DX45" i="25"/>
  <c r="DY45" i="25"/>
  <c r="DZ45" i="25"/>
  <c r="EA45" i="25"/>
  <c r="EB45" i="25"/>
  <c r="EC45" i="25"/>
  <c r="ED45" i="25"/>
  <c r="EE45" i="25"/>
  <c r="EF45" i="25"/>
  <c r="EG45" i="25"/>
  <c r="EH45" i="25"/>
  <c r="EI45" i="25"/>
  <c r="EJ45" i="25"/>
  <c r="EK45" i="25"/>
  <c r="DR46" i="25"/>
  <c r="DS46" i="25"/>
  <c r="DT46" i="25"/>
  <c r="DU46" i="25"/>
  <c r="DV46" i="25"/>
  <c r="DW46" i="25"/>
  <c r="DX46" i="25"/>
  <c r="DY46" i="25"/>
  <c r="DZ46" i="25"/>
  <c r="EA46" i="25"/>
  <c r="EB46" i="25"/>
  <c r="EC46" i="25"/>
  <c r="ED46" i="25"/>
  <c r="EE46" i="25"/>
  <c r="EF46" i="25"/>
  <c r="EG46" i="25"/>
  <c r="EH46" i="25"/>
  <c r="EI46" i="25"/>
  <c r="EJ46" i="25"/>
  <c r="EK46" i="25"/>
  <c r="DR47" i="25"/>
  <c r="DS47" i="25"/>
  <c r="DT47" i="25"/>
  <c r="DU47" i="25"/>
  <c r="DV47" i="25"/>
  <c r="DW47" i="25"/>
  <c r="DX47" i="25"/>
  <c r="DY47" i="25"/>
  <c r="DZ47" i="25"/>
  <c r="EA47" i="25"/>
  <c r="EB47" i="25"/>
  <c r="EC47" i="25"/>
  <c r="ED47" i="25"/>
  <c r="EE47" i="25"/>
  <c r="EF47" i="25"/>
  <c r="EG47" i="25"/>
  <c r="EH47" i="25"/>
  <c r="EI47" i="25"/>
  <c r="EJ47" i="25"/>
  <c r="EK47" i="25"/>
  <c r="DR48" i="25"/>
  <c r="DS48" i="25"/>
  <c r="DT48" i="25"/>
  <c r="DU48" i="25"/>
  <c r="DV48" i="25"/>
  <c r="DW48" i="25"/>
  <c r="DX48" i="25"/>
  <c r="DY48" i="25"/>
  <c r="DZ48" i="25"/>
  <c r="EA48" i="25"/>
  <c r="EB48" i="25"/>
  <c r="EC48" i="25"/>
  <c r="ED48" i="25"/>
  <c r="EE48" i="25"/>
  <c r="EF48" i="25"/>
  <c r="EG48" i="25"/>
  <c r="EH48" i="25"/>
  <c r="EI48" i="25"/>
  <c r="EJ48" i="25"/>
  <c r="EK48" i="25"/>
  <c r="DR49" i="25"/>
  <c r="DS49" i="25"/>
  <c r="DT49" i="25"/>
  <c r="DU49" i="25"/>
  <c r="DV49" i="25"/>
  <c r="DW49" i="25"/>
  <c r="DX49" i="25"/>
  <c r="DY49" i="25"/>
  <c r="DZ49" i="25"/>
  <c r="EA49" i="25"/>
  <c r="EB49" i="25"/>
  <c r="EC49" i="25"/>
  <c r="ED49" i="25"/>
  <c r="EE49" i="25"/>
  <c r="EF49" i="25"/>
  <c r="EG49" i="25"/>
  <c r="EH49" i="25"/>
  <c r="EI49" i="25"/>
  <c r="EJ49" i="25"/>
  <c r="EK49" i="25"/>
  <c r="DR50" i="25"/>
  <c r="DS50" i="25"/>
  <c r="DT50" i="25"/>
  <c r="DU50" i="25"/>
  <c r="DV50" i="25"/>
  <c r="DW50" i="25"/>
  <c r="DX50" i="25"/>
  <c r="DY50" i="25"/>
  <c r="DZ50" i="25"/>
  <c r="EA50" i="25"/>
  <c r="EB50" i="25"/>
  <c r="EC50" i="25"/>
  <c r="ED50" i="25"/>
  <c r="EE50" i="25"/>
  <c r="EF50" i="25"/>
  <c r="EG50" i="25"/>
  <c r="EH50" i="25"/>
  <c r="EI50" i="25"/>
  <c r="EJ50" i="25"/>
  <c r="EK50" i="25"/>
  <c r="DS40" i="25"/>
  <c r="DT40" i="25"/>
  <c r="DU40" i="25"/>
  <c r="DV40" i="25"/>
  <c r="DW40" i="25"/>
  <c r="DX40" i="25"/>
  <c r="DY40" i="25"/>
  <c r="DZ40" i="25"/>
  <c r="EA40" i="25"/>
  <c r="EB40" i="25"/>
  <c r="EC40" i="25"/>
  <c r="ED40" i="25"/>
  <c r="EE40" i="25"/>
  <c r="EF40" i="25"/>
  <c r="EG40" i="25"/>
  <c r="EH40" i="25"/>
  <c r="EI40" i="25"/>
  <c r="EJ40" i="25"/>
  <c r="EK40" i="25"/>
  <c r="DR40" i="25"/>
  <c r="DR29" i="25"/>
  <c r="DS29" i="25"/>
  <c r="DT29" i="25"/>
  <c r="DU29" i="25"/>
  <c r="DV29" i="25"/>
  <c r="DW29" i="25"/>
  <c r="DX29" i="25"/>
  <c r="DY29" i="25"/>
  <c r="DZ29" i="25"/>
  <c r="EA29" i="25"/>
  <c r="EB29" i="25"/>
  <c r="EC29" i="25"/>
  <c r="ED29" i="25"/>
  <c r="EE29" i="25"/>
  <c r="EF29" i="25"/>
  <c r="EG29" i="25"/>
  <c r="EH29" i="25"/>
  <c r="EI29" i="25"/>
  <c r="EJ29" i="25"/>
  <c r="EK29" i="25"/>
  <c r="DR30" i="25"/>
  <c r="DS30" i="25"/>
  <c r="DT30" i="25"/>
  <c r="DU30" i="25"/>
  <c r="DV30" i="25"/>
  <c r="DW30" i="25"/>
  <c r="DX30" i="25"/>
  <c r="DY30" i="25"/>
  <c r="DZ30" i="25"/>
  <c r="EA30" i="25"/>
  <c r="EB30" i="25"/>
  <c r="EC30" i="25"/>
  <c r="ED30" i="25"/>
  <c r="EE30" i="25"/>
  <c r="EF30" i="25"/>
  <c r="EG30" i="25"/>
  <c r="EH30" i="25"/>
  <c r="EI30" i="25"/>
  <c r="EJ30" i="25"/>
  <c r="EK30" i="25"/>
  <c r="DR31" i="25"/>
  <c r="DS31" i="25"/>
  <c r="DT31" i="25"/>
  <c r="DU31" i="25"/>
  <c r="DV31" i="25"/>
  <c r="DW31" i="25"/>
  <c r="DX31" i="25"/>
  <c r="DY31" i="25"/>
  <c r="DZ31" i="25"/>
  <c r="EA31" i="25"/>
  <c r="EB31" i="25"/>
  <c r="EC31" i="25"/>
  <c r="ED31" i="25"/>
  <c r="EE31" i="25"/>
  <c r="EF31" i="25"/>
  <c r="EG31" i="25"/>
  <c r="EH31" i="25"/>
  <c r="EI31" i="25"/>
  <c r="EJ31" i="25"/>
  <c r="EK31" i="25"/>
  <c r="DR32" i="25"/>
  <c r="DS32" i="25"/>
  <c r="DT32" i="25"/>
  <c r="DU32" i="25"/>
  <c r="DV32" i="25"/>
  <c r="DW32" i="25"/>
  <c r="DX32" i="25"/>
  <c r="DY32" i="25"/>
  <c r="DZ32" i="25"/>
  <c r="EA32" i="25"/>
  <c r="EB32" i="25"/>
  <c r="EC32" i="25"/>
  <c r="ED32" i="25"/>
  <c r="EE32" i="25"/>
  <c r="EF32" i="25"/>
  <c r="EG32" i="25"/>
  <c r="EH32" i="25"/>
  <c r="EI32" i="25"/>
  <c r="EJ32" i="25"/>
  <c r="EK32" i="25"/>
  <c r="DR33" i="25"/>
  <c r="DS33" i="25"/>
  <c r="DT33" i="25"/>
  <c r="DU33" i="25"/>
  <c r="DV33" i="25"/>
  <c r="DW33" i="25"/>
  <c r="DX33" i="25"/>
  <c r="DY33" i="25"/>
  <c r="DZ33" i="25"/>
  <c r="EA33" i="25"/>
  <c r="EB33" i="25"/>
  <c r="EC33" i="25"/>
  <c r="ED33" i="25"/>
  <c r="EE33" i="25"/>
  <c r="EF33" i="25"/>
  <c r="EG33" i="25"/>
  <c r="EH33" i="25"/>
  <c r="EI33" i="25"/>
  <c r="EJ33" i="25"/>
  <c r="EK33" i="25"/>
  <c r="DR34" i="25"/>
  <c r="DS34" i="25"/>
  <c r="DT34" i="25"/>
  <c r="DU34" i="25"/>
  <c r="DV34" i="25"/>
  <c r="DW34" i="25"/>
  <c r="DX34" i="25"/>
  <c r="DY34" i="25"/>
  <c r="DZ34" i="25"/>
  <c r="EA34" i="25"/>
  <c r="EB34" i="25"/>
  <c r="EC34" i="25"/>
  <c r="ED34" i="25"/>
  <c r="EE34" i="25"/>
  <c r="EF34" i="25"/>
  <c r="EG34" i="25"/>
  <c r="EH34" i="25"/>
  <c r="EI34" i="25"/>
  <c r="EJ34" i="25"/>
  <c r="EK34" i="25"/>
  <c r="DR35" i="25"/>
  <c r="DS35" i="25"/>
  <c r="DT35" i="25"/>
  <c r="DU35" i="25"/>
  <c r="DV35" i="25"/>
  <c r="DW35" i="25"/>
  <c r="DX35" i="25"/>
  <c r="DY35" i="25"/>
  <c r="DZ35" i="25"/>
  <c r="EA35" i="25"/>
  <c r="EB35" i="25"/>
  <c r="EC35" i="25"/>
  <c r="ED35" i="25"/>
  <c r="EE35" i="25"/>
  <c r="EF35" i="25"/>
  <c r="EG35" i="25"/>
  <c r="EH35" i="25"/>
  <c r="EI35" i="25"/>
  <c r="EJ35" i="25"/>
  <c r="EK35" i="25"/>
  <c r="DR36" i="25"/>
  <c r="DS36" i="25"/>
  <c r="DT36" i="25"/>
  <c r="DU36" i="25"/>
  <c r="DV36" i="25"/>
  <c r="DW36" i="25"/>
  <c r="DX36" i="25"/>
  <c r="DY36" i="25"/>
  <c r="DZ36" i="25"/>
  <c r="EA36" i="25"/>
  <c r="EB36" i="25"/>
  <c r="EC36" i="25"/>
  <c r="ED36" i="25"/>
  <c r="EE36" i="25"/>
  <c r="EF36" i="25"/>
  <c r="EG36" i="25"/>
  <c r="EH36" i="25"/>
  <c r="EI36" i="25"/>
  <c r="EJ36" i="25"/>
  <c r="EK36" i="25"/>
  <c r="DR37" i="25"/>
  <c r="DS37" i="25"/>
  <c r="DT37" i="25"/>
  <c r="DU37" i="25"/>
  <c r="DV37" i="25"/>
  <c r="DW37" i="25"/>
  <c r="DX37" i="25"/>
  <c r="DY37" i="25"/>
  <c r="DZ37" i="25"/>
  <c r="EA37" i="25"/>
  <c r="EB37" i="25"/>
  <c r="EC37" i="25"/>
  <c r="ED37" i="25"/>
  <c r="EE37" i="25"/>
  <c r="EF37" i="25"/>
  <c r="EG37" i="25"/>
  <c r="EH37" i="25"/>
  <c r="EI37" i="25"/>
  <c r="EJ37" i="25"/>
  <c r="EK37" i="25"/>
  <c r="DR38" i="25"/>
  <c r="DS38" i="25"/>
  <c r="DT38" i="25"/>
  <c r="DU38" i="25"/>
  <c r="DV38" i="25"/>
  <c r="DW38" i="25"/>
  <c r="DX38" i="25"/>
  <c r="DY38" i="25"/>
  <c r="DZ38" i="25"/>
  <c r="EA38" i="25"/>
  <c r="EB38" i="25"/>
  <c r="EC38" i="25"/>
  <c r="ED38" i="25"/>
  <c r="EE38" i="25"/>
  <c r="EF38" i="25"/>
  <c r="EG38" i="25"/>
  <c r="EH38" i="25"/>
  <c r="EI38" i="25"/>
  <c r="EJ38" i="25"/>
  <c r="EK38" i="25"/>
  <c r="DS28" i="25"/>
  <c r="DT28" i="25"/>
  <c r="DU28" i="25"/>
  <c r="DV28" i="25"/>
  <c r="DW28" i="25"/>
  <c r="DX28" i="25"/>
  <c r="DY28" i="25"/>
  <c r="DZ28" i="25"/>
  <c r="EA28" i="25"/>
  <c r="EB28" i="25"/>
  <c r="EC28" i="25"/>
  <c r="ED28" i="25"/>
  <c r="EE28" i="25"/>
  <c r="EF28" i="25"/>
  <c r="EG28" i="25"/>
  <c r="EH28" i="25"/>
  <c r="EI28" i="25"/>
  <c r="EJ28" i="25"/>
  <c r="EK28" i="25"/>
  <c r="DR28" i="25"/>
  <c r="DR17" i="25"/>
  <c r="DS17" i="25"/>
  <c r="DT17" i="25"/>
  <c r="DU17" i="25"/>
  <c r="DV17" i="25"/>
  <c r="DW17" i="25"/>
  <c r="DX17" i="25"/>
  <c r="DY17" i="25"/>
  <c r="DZ17" i="25"/>
  <c r="EA17" i="25"/>
  <c r="EB17" i="25"/>
  <c r="EC17" i="25"/>
  <c r="ED17" i="25"/>
  <c r="EE17" i="25"/>
  <c r="EF17" i="25"/>
  <c r="EG17" i="25"/>
  <c r="EH17" i="25"/>
  <c r="EI17" i="25"/>
  <c r="EJ17" i="25"/>
  <c r="EK17" i="25"/>
  <c r="DR18" i="25"/>
  <c r="DS18" i="25"/>
  <c r="DT18" i="25"/>
  <c r="DU18" i="25"/>
  <c r="DV18" i="25"/>
  <c r="DW18" i="25"/>
  <c r="DX18" i="25"/>
  <c r="DY18" i="25"/>
  <c r="DZ18" i="25"/>
  <c r="EA18" i="25"/>
  <c r="EB18" i="25"/>
  <c r="EC18" i="25"/>
  <c r="ED18" i="25"/>
  <c r="EE18" i="25"/>
  <c r="EF18" i="25"/>
  <c r="EG18" i="25"/>
  <c r="EH18" i="25"/>
  <c r="EI18" i="25"/>
  <c r="EJ18" i="25"/>
  <c r="EK18" i="25"/>
  <c r="DR19" i="25"/>
  <c r="DS19" i="25"/>
  <c r="DT19" i="25"/>
  <c r="DU19" i="25"/>
  <c r="DV19" i="25"/>
  <c r="DW19" i="25"/>
  <c r="DX19" i="25"/>
  <c r="DY19" i="25"/>
  <c r="DZ19" i="25"/>
  <c r="EA19" i="25"/>
  <c r="EB19" i="25"/>
  <c r="EC19" i="25"/>
  <c r="ED19" i="25"/>
  <c r="EE19" i="25"/>
  <c r="EF19" i="25"/>
  <c r="EG19" i="25"/>
  <c r="EH19" i="25"/>
  <c r="EI19" i="25"/>
  <c r="EJ19" i="25"/>
  <c r="EK19" i="25"/>
  <c r="DR20" i="25"/>
  <c r="DS20" i="25"/>
  <c r="DT20" i="25"/>
  <c r="DU20" i="25"/>
  <c r="DV20" i="25"/>
  <c r="DW20" i="25"/>
  <c r="DX20" i="25"/>
  <c r="DY20" i="25"/>
  <c r="DZ20" i="25"/>
  <c r="EA20" i="25"/>
  <c r="EB20" i="25"/>
  <c r="EC20" i="25"/>
  <c r="ED20" i="25"/>
  <c r="EE20" i="25"/>
  <c r="EF20" i="25"/>
  <c r="EG20" i="25"/>
  <c r="EH20" i="25"/>
  <c r="EI20" i="25"/>
  <c r="EJ20" i="25"/>
  <c r="EK20" i="25"/>
  <c r="DR21" i="25"/>
  <c r="DS21" i="25"/>
  <c r="DT21" i="25"/>
  <c r="DU21" i="25"/>
  <c r="DV21" i="25"/>
  <c r="DW21" i="25"/>
  <c r="DX21" i="25"/>
  <c r="DY21" i="25"/>
  <c r="DZ21" i="25"/>
  <c r="EA21" i="25"/>
  <c r="EB21" i="25"/>
  <c r="EC21" i="25"/>
  <c r="ED21" i="25"/>
  <c r="EE21" i="25"/>
  <c r="EF21" i="25"/>
  <c r="EG21" i="25"/>
  <c r="EH21" i="25"/>
  <c r="EI21" i="25"/>
  <c r="EJ21" i="25"/>
  <c r="EK21" i="25"/>
  <c r="DR22" i="25"/>
  <c r="DS22" i="25"/>
  <c r="DT22" i="25"/>
  <c r="DU22" i="25"/>
  <c r="DV22" i="25"/>
  <c r="DW22" i="25"/>
  <c r="DX22" i="25"/>
  <c r="DY22" i="25"/>
  <c r="DZ22" i="25"/>
  <c r="EA22" i="25"/>
  <c r="EB22" i="25"/>
  <c r="EC22" i="25"/>
  <c r="ED22" i="25"/>
  <c r="EE22" i="25"/>
  <c r="EF22" i="25"/>
  <c r="EG22" i="25"/>
  <c r="EH22" i="25"/>
  <c r="EI22" i="25"/>
  <c r="EJ22" i="25"/>
  <c r="EK22" i="25"/>
  <c r="DR23" i="25"/>
  <c r="DS23" i="25"/>
  <c r="DT23" i="25"/>
  <c r="DU23" i="25"/>
  <c r="DV23" i="25"/>
  <c r="DW23" i="25"/>
  <c r="DX23" i="25"/>
  <c r="DY23" i="25"/>
  <c r="DZ23" i="25"/>
  <c r="EA23" i="25"/>
  <c r="EB23" i="25"/>
  <c r="EC23" i="25"/>
  <c r="ED23" i="25"/>
  <c r="EE23" i="25"/>
  <c r="EF23" i="25"/>
  <c r="EG23" i="25"/>
  <c r="EH23" i="25"/>
  <c r="EI23" i="25"/>
  <c r="EJ23" i="25"/>
  <c r="EK23" i="25"/>
  <c r="DR24" i="25"/>
  <c r="DS24" i="25"/>
  <c r="DT24" i="25"/>
  <c r="DU24" i="25"/>
  <c r="DV24" i="25"/>
  <c r="DW24" i="25"/>
  <c r="DX24" i="25"/>
  <c r="DY24" i="25"/>
  <c r="DZ24" i="25"/>
  <c r="EA24" i="25"/>
  <c r="EB24" i="25"/>
  <c r="EC24" i="25"/>
  <c r="ED24" i="25"/>
  <c r="EE24" i="25"/>
  <c r="EF24" i="25"/>
  <c r="EG24" i="25"/>
  <c r="EH24" i="25"/>
  <c r="EI24" i="25"/>
  <c r="EJ24" i="25"/>
  <c r="EK24" i="25"/>
  <c r="DR25" i="25"/>
  <c r="DS25" i="25"/>
  <c r="DT25" i="25"/>
  <c r="DU25" i="25"/>
  <c r="DV25" i="25"/>
  <c r="DW25" i="25"/>
  <c r="DX25" i="25"/>
  <c r="DY25" i="25"/>
  <c r="DZ25" i="25"/>
  <c r="EA25" i="25"/>
  <c r="EB25" i="25"/>
  <c r="EC25" i="25"/>
  <c r="ED25" i="25"/>
  <c r="EE25" i="25"/>
  <c r="EF25" i="25"/>
  <c r="EG25" i="25"/>
  <c r="EH25" i="25"/>
  <c r="EI25" i="25"/>
  <c r="EJ25" i="25"/>
  <c r="EK25" i="25"/>
  <c r="DR26" i="25"/>
  <c r="DS26" i="25"/>
  <c r="DT26" i="25"/>
  <c r="DU26" i="25"/>
  <c r="DV26" i="25"/>
  <c r="DW26" i="25"/>
  <c r="DX26" i="25"/>
  <c r="DY26" i="25"/>
  <c r="DZ26" i="25"/>
  <c r="EA26" i="25"/>
  <c r="EB26" i="25"/>
  <c r="EC26" i="25"/>
  <c r="ED26" i="25"/>
  <c r="EE26" i="25"/>
  <c r="EF26" i="25"/>
  <c r="EG26" i="25"/>
  <c r="EH26" i="25"/>
  <c r="EI26" i="25"/>
  <c r="EJ26" i="25"/>
  <c r="EK26" i="25"/>
  <c r="DS16" i="25"/>
  <c r="DT16" i="25"/>
  <c r="DU16" i="25"/>
  <c r="DV16" i="25"/>
  <c r="DW16" i="25"/>
  <c r="DX16" i="25"/>
  <c r="DY16" i="25"/>
  <c r="DZ16" i="25"/>
  <c r="EA16" i="25"/>
  <c r="EB16" i="25"/>
  <c r="EC16" i="25"/>
  <c r="ED16" i="25"/>
  <c r="EE16" i="25"/>
  <c r="EF16" i="25"/>
  <c r="EG16" i="25"/>
  <c r="EH16" i="25"/>
  <c r="EI16" i="25"/>
  <c r="EJ16" i="25"/>
  <c r="EK16" i="25"/>
  <c r="DR16" i="25"/>
  <c r="DR5" i="25"/>
  <c r="DS5" i="25"/>
  <c r="DT5" i="25"/>
  <c r="DU5" i="25"/>
  <c r="DV5" i="25"/>
  <c r="DW5" i="25"/>
  <c r="DX5" i="25"/>
  <c r="DY5" i="25"/>
  <c r="DZ5" i="25"/>
  <c r="EA5" i="25"/>
  <c r="EB5" i="25"/>
  <c r="EC5" i="25"/>
  <c r="ED5" i="25"/>
  <c r="EE5" i="25"/>
  <c r="EF5" i="25"/>
  <c r="EG5" i="25"/>
  <c r="EH5" i="25"/>
  <c r="EI5" i="25"/>
  <c r="EJ5" i="25"/>
  <c r="EK5" i="25"/>
  <c r="DR6" i="25"/>
  <c r="DS6" i="25"/>
  <c r="DT6" i="25"/>
  <c r="DU6" i="25"/>
  <c r="DV6" i="25"/>
  <c r="DW6" i="25"/>
  <c r="DX6" i="25"/>
  <c r="DY6" i="25"/>
  <c r="DZ6" i="25"/>
  <c r="EA6" i="25"/>
  <c r="EB6" i="25"/>
  <c r="EC6" i="25"/>
  <c r="ED6" i="25"/>
  <c r="EE6" i="25"/>
  <c r="EF6" i="25"/>
  <c r="EG6" i="25"/>
  <c r="EH6" i="25"/>
  <c r="EI6" i="25"/>
  <c r="EJ6" i="25"/>
  <c r="EK6" i="25"/>
  <c r="DR7" i="25"/>
  <c r="DS7" i="25"/>
  <c r="DT7" i="25"/>
  <c r="DU7" i="25"/>
  <c r="DV7" i="25"/>
  <c r="DW7" i="25"/>
  <c r="DX7" i="25"/>
  <c r="DY7" i="25"/>
  <c r="DZ7" i="25"/>
  <c r="EA7" i="25"/>
  <c r="EB7" i="25"/>
  <c r="EC7" i="25"/>
  <c r="ED7" i="25"/>
  <c r="EE7" i="25"/>
  <c r="EF7" i="25"/>
  <c r="EG7" i="25"/>
  <c r="EH7" i="25"/>
  <c r="EI7" i="25"/>
  <c r="EJ7" i="25"/>
  <c r="EK7" i="25"/>
  <c r="DR8" i="25"/>
  <c r="DS8" i="25"/>
  <c r="DT8" i="25"/>
  <c r="DU8" i="25"/>
  <c r="DV8" i="25"/>
  <c r="DW8" i="25"/>
  <c r="DX8" i="25"/>
  <c r="DY8" i="25"/>
  <c r="DZ8" i="25"/>
  <c r="EA8" i="25"/>
  <c r="EB8" i="25"/>
  <c r="EC8" i="25"/>
  <c r="ED8" i="25"/>
  <c r="EE8" i="25"/>
  <c r="EF8" i="25"/>
  <c r="EG8" i="25"/>
  <c r="EH8" i="25"/>
  <c r="EI8" i="25"/>
  <c r="EJ8" i="25"/>
  <c r="EK8" i="25"/>
  <c r="DR9" i="25"/>
  <c r="DS9" i="25"/>
  <c r="DT9" i="25"/>
  <c r="DU9" i="25"/>
  <c r="DV9" i="25"/>
  <c r="DW9" i="25"/>
  <c r="DX9" i="25"/>
  <c r="DY9" i="25"/>
  <c r="DZ9" i="25"/>
  <c r="EA9" i="25"/>
  <c r="EB9" i="25"/>
  <c r="EC9" i="25"/>
  <c r="ED9" i="25"/>
  <c r="EE9" i="25"/>
  <c r="EF9" i="25"/>
  <c r="EG9" i="25"/>
  <c r="EH9" i="25"/>
  <c r="EI9" i="25"/>
  <c r="EJ9" i="25"/>
  <c r="EK9" i="25"/>
  <c r="DR10" i="25"/>
  <c r="DS10" i="25"/>
  <c r="DT10" i="25"/>
  <c r="DU10" i="25"/>
  <c r="DV10" i="25"/>
  <c r="DW10" i="25"/>
  <c r="DX10" i="25"/>
  <c r="DY10" i="25"/>
  <c r="DZ10" i="25"/>
  <c r="EA10" i="25"/>
  <c r="EB10" i="25"/>
  <c r="EC10" i="25"/>
  <c r="ED10" i="25"/>
  <c r="EE10" i="25"/>
  <c r="EF10" i="25"/>
  <c r="EG10" i="25"/>
  <c r="EH10" i="25"/>
  <c r="EI10" i="25"/>
  <c r="EJ10" i="25"/>
  <c r="EK10" i="25"/>
  <c r="DR11" i="25"/>
  <c r="DS11" i="25"/>
  <c r="DT11" i="25"/>
  <c r="DU11" i="25"/>
  <c r="DV11" i="25"/>
  <c r="DW11" i="25"/>
  <c r="DX11" i="25"/>
  <c r="DY11" i="25"/>
  <c r="DZ11" i="25"/>
  <c r="EA11" i="25"/>
  <c r="EB11" i="25"/>
  <c r="EC11" i="25"/>
  <c r="ED11" i="25"/>
  <c r="EE11" i="25"/>
  <c r="EF11" i="25"/>
  <c r="EG11" i="25"/>
  <c r="EH11" i="25"/>
  <c r="EI11" i="25"/>
  <c r="EJ11" i="25"/>
  <c r="EK11" i="25"/>
  <c r="DR12" i="25"/>
  <c r="DS12" i="25"/>
  <c r="DT12" i="25"/>
  <c r="DU12" i="25"/>
  <c r="DV12" i="25"/>
  <c r="DW12" i="25"/>
  <c r="DX12" i="25"/>
  <c r="DY12" i="25"/>
  <c r="DZ12" i="25"/>
  <c r="EA12" i="25"/>
  <c r="EB12" i="25"/>
  <c r="EC12" i="25"/>
  <c r="ED12" i="25"/>
  <c r="EE12" i="25"/>
  <c r="EF12" i="25"/>
  <c r="EG12" i="25"/>
  <c r="EH12" i="25"/>
  <c r="EI12" i="25"/>
  <c r="EJ12" i="25"/>
  <c r="EK12" i="25"/>
  <c r="DR13" i="25"/>
  <c r="DS13" i="25"/>
  <c r="DT13" i="25"/>
  <c r="DU13" i="25"/>
  <c r="DV13" i="25"/>
  <c r="DW13" i="25"/>
  <c r="DX13" i="25"/>
  <c r="DY13" i="25"/>
  <c r="DZ13" i="25"/>
  <c r="EA13" i="25"/>
  <c r="EB13" i="25"/>
  <c r="EC13" i="25"/>
  <c r="ED13" i="25"/>
  <c r="EE13" i="25"/>
  <c r="EF13" i="25"/>
  <c r="EG13" i="25"/>
  <c r="EH13" i="25"/>
  <c r="EI13" i="25"/>
  <c r="EJ13" i="25"/>
  <c r="EK13" i="25"/>
  <c r="DR14" i="25"/>
  <c r="DS14" i="25"/>
  <c r="DT14" i="25"/>
  <c r="DU14" i="25"/>
  <c r="DV14" i="25"/>
  <c r="DW14" i="25"/>
  <c r="DX14" i="25"/>
  <c r="DY14" i="25"/>
  <c r="DZ14" i="25"/>
  <c r="EA14" i="25"/>
  <c r="EB14" i="25"/>
  <c r="EC14" i="25"/>
  <c r="ED14" i="25"/>
  <c r="EE14" i="25"/>
  <c r="EF14" i="25"/>
  <c r="EG14" i="25"/>
  <c r="EH14" i="25"/>
  <c r="EI14" i="25"/>
  <c r="EJ14" i="25"/>
  <c r="EK14" i="25"/>
  <c r="DS4" i="25"/>
  <c r="DT4" i="25"/>
  <c r="DU4" i="25"/>
  <c r="DV4" i="25"/>
  <c r="DW4" i="25"/>
  <c r="DX4" i="25"/>
  <c r="DY4" i="25"/>
  <c r="DZ4" i="25"/>
  <c r="EA4" i="25"/>
  <c r="EB4" i="25"/>
  <c r="EC4" i="25"/>
  <c r="ED4" i="25"/>
  <c r="EE4" i="25"/>
  <c r="EF4" i="25"/>
  <c r="EG4" i="25"/>
  <c r="EH4" i="25"/>
  <c r="EI4" i="25"/>
  <c r="EJ4" i="25"/>
  <c r="EK4" i="25"/>
  <c r="DR4" i="25"/>
  <c r="W3" i="25"/>
  <c r="X3" i="25"/>
  <c r="Y3" i="25"/>
  <c r="Z3" i="25"/>
  <c r="AA3" i="25"/>
  <c r="AB3" i="25"/>
  <c r="H3" i="25" s="1"/>
  <c r="AC3" i="25"/>
  <c r="I198" i="25" s="1"/>
  <c r="AD3" i="25"/>
  <c r="AE3" i="25"/>
  <c r="AF3" i="25"/>
  <c r="AG3" i="25"/>
  <c r="AH3" i="25"/>
  <c r="AI3" i="25"/>
  <c r="AJ3" i="25"/>
  <c r="AK3" i="25"/>
  <c r="AL3" i="25"/>
  <c r="AM3" i="25"/>
  <c r="AN3" i="25"/>
  <c r="AO3" i="25"/>
  <c r="V3" i="25"/>
  <c r="C4" i="25"/>
  <c r="L4" i="25"/>
  <c r="O4" i="25"/>
  <c r="P4" i="25"/>
  <c r="AJ5" i="25" s="1"/>
  <c r="T4" i="25"/>
  <c r="U4" i="25"/>
  <c r="AO5" i="25" s="1"/>
  <c r="C3" i="25"/>
  <c r="D3" i="25"/>
  <c r="E3" i="25"/>
  <c r="F3" i="25"/>
  <c r="G3" i="25"/>
  <c r="I3" i="25"/>
  <c r="AD4" i="25" s="1"/>
  <c r="J3" i="25"/>
  <c r="K3" i="25"/>
  <c r="L3" i="25"/>
  <c r="M3" i="25"/>
  <c r="N3" i="25"/>
  <c r="O3" i="25"/>
  <c r="P3" i="25"/>
  <c r="Q3" i="25"/>
  <c r="R3" i="25"/>
  <c r="S3" i="25"/>
  <c r="T3" i="25"/>
  <c r="U3" i="25"/>
  <c r="B3" i="25"/>
  <c r="AX4" i="20" l="1"/>
  <c r="BT4" i="19"/>
  <c r="AC4" i="25"/>
  <c r="AW4" i="25"/>
  <c r="H198" i="25"/>
  <c r="AB4" i="25"/>
  <c r="P5" i="25"/>
  <c r="AF5" i="25"/>
  <c r="R4" i="25"/>
  <c r="V5" i="25"/>
  <c r="W5" i="25"/>
  <c r="U5" i="25"/>
  <c r="L3" i="20"/>
  <c r="M3" i="20"/>
  <c r="N3" i="20"/>
  <c r="O3" i="20"/>
  <c r="P3" i="20"/>
  <c r="Q3" i="20"/>
  <c r="R3" i="20"/>
  <c r="S3" i="20"/>
  <c r="K3" i="20"/>
  <c r="AV4" i="25" l="1"/>
  <c r="H4" i="25" s="1"/>
  <c r="I4" i="25"/>
  <c r="AQ5" i="25"/>
  <c r="C5" i="25" s="1"/>
  <c r="AP5" i="25"/>
  <c r="M3" i="22"/>
  <c r="N3" i="22"/>
  <c r="O3" i="22"/>
  <c r="R3" i="22"/>
  <c r="S3" i="22"/>
  <c r="T3" i="22"/>
  <c r="U3" i="22"/>
  <c r="V3" i="22"/>
  <c r="W3" i="22"/>
  <c r="X3" i="22"/>
  <c r="Y3" i="22"/>
  <c r="Z3" i="22"/>
  <c r="AA3" i="22"/>
  <c r="L3" i="22"/>
  <c r="AC5" i="25" l="1"/>
  <c r="B5" i="25"/>
  <c r="W6" i="25" s="1"/>
  <c r="M4" i="22"/>
  <c r="N4" i="22"/>
  <c r="O4" i="22"/>
  <c r="R4" i="22"/>
  <c r="S4" i="22"/>
  <c r="T4" i="22"/>
  <c r="V4" i="22"/>
  <c r="W4" i="22"/>
  <c r="W5" i="22" s="1"/>
  <c r="W6" i="22" s="1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W18" i="22" s="1"/>
  <c r="W19" i="22" s="1"/>
  <c r="W20" i="22" s="1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W32" i="22" s="1"/>
  <c r="W33" i="22" s="1"/>
  <c r="W34" i="22" s="1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W46" i="22" s="1"/>
  <c r="W47" i="22" s="1"/>
  <c r="W48" i="22" s="1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W60" i="22" s="1"/>
  <c r="W61" i="22" s="1"/>
  <c r="W62" i="22" s="1"/>
  <c r="W63" i="22" s="1"/>
  <c r="W64" i="22" s="1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W76" i="22" s="1"/>
  <c r="W77" i="22" s="1"/>
  <c r="W78" i="22" s="1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W90" i="22" s="1"/>
  <c r="W91" i="22" s="1"/>
  <c r="W92" i="22" s="1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W104" i="22" s="1"/>
  <c r="W105" i="22" s="1"/>
  <c r="W106" i="22" s="1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W118" i="22" s="1"/>
  <c r="W119" i="22" s="1"/>
  <c r="W120" i="22" s="1"/>
  <c r="W121" i="22" s="1"/>
  <c r="W122" i="22" s="1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W134" i="22" s="1"/>
  <c r="W135" i="22" s="1"/>
  <c r="W136" i="22" s="1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W148" i="22" s="1"/>
  <c r="W149" i="22" s="1"/>
  <c r="W150" i="22" s="1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W162" i="22" s="1"/>
  <c r="W163" i="22" s="1"/>
  <c r="W164" i="22" s="1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W176" i="22" s="1"/>
  <c r="W177" i="22" s="1"/>
  <c r="W178" i="22" s="1"/>
  <c r="W179" i="22" s="1"/>
  <c r="W180" i="22" s="1"/>
  <c r="W181" i="22" s="1"/>
  <c r="W182" i="22" s="1"/>
  <c r="X4" i="22"/>
  <c r="Z4" i="22"/>
  <c r="Z5" i="22" s="1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Z18" i="22" s="1"/>
  <c r="Z19" i="22" s="1"/>
  <c r="Z20" i="22" s="1"/>
  <c r="Z21" i="22" s="1"/>
  <c r="Z22" i="22" s="1"/>
  <c r="Z23" i="22" s="1"/>
  <c r="Z24" i="22" s="1"/>
  <c r="Z25" i="22" s="1"/>
  <c r="Z26" i="22" s="1"/>
  <c r="Z27" i="22" s="1"/>
  <c r="Z28" i="22" s="1"/>
  <c r="Z29" i="22" s="1"/>
  <c r="Z30" i="22" s="1"/>
  <c r="Z31" i="22" s="1"/>
  <c r="Z32" i="22" s="1"/>
  <c r="Z33" i="22" s="1"/>
  <c r="Z34" i="22" s="1"/>
  <c r="Z35" i="22" s="1"/>
  <c r="Z36" i="22" s="1"/>
  <c r="Z37" i="22" s="1"/>
  <c r="Z38" i="22" s="1"/>
  <c r="Z39" i="22" s="1"/>
  <c r="Z40" i="22" s="1"/>
  <c r="Z41" i="22" s="1"/>
  <c r="Z42" i="22" s="1"/>
  <c r="Z43" i="22" s="1"/>
  <c r="Z44" i="22" s="1"/>
  <c r="Z45" i="22" s="1"/>
  <c r="Z46" i="22" s="1"/>
  <c r="Z47" i="22" s="1"/>
  <c r="Z48" i="22" s="1"/>
  <c r="Z49" i="22" s="1"/>
  <c r="Z50" i="22" s="1"/>
  <c r="Z51" i="22" s="1"/>
  <c r="Z52" i="22" s="1"/>
  <c r="Z53" i="22" s="1"/>
  <c r="Z54" i="22" s="1"/>
  <c r="Z55" i="22" s="1"/>
  <c r="Z56" i="22" s="1"/>
  <c r="Z57" i="22" s="1"/>
  <c r="Z58" i="22" s="1"/>
  <c r="Z59" i="22" s="1"/>
  <c r="Z60" i="22" s="1"/>
  <c r="Z61" i="22" s="1"/>
  <c r="Z62" i="22" s="1"/>
  <c r="Z63" i="22" s="1"/>
  <c r="Z64" i="22" s="1"/>
  <c r="Z65" i="22" s="1"/>
  <c r="Z66" i="22" s="1"/>
  <c r="Z67" i="22" s="1"/>
  <c r="Z68" i="22" s="1"/>
  <c r="Z69" i="22" s="1"/>
  <c r="Z70" i="22" s="1"/>
  <c r="Z71" i="22" s="1"/>
  <c r="Z72" i="22" s="1"/>
  <c r="Z73" i="22" s="1"/>
  <c r="Z74" i="22" s="1"/>
  <c r="Z75" i="22" s="1"/>
  <c r="Z76" i="22" s="1"/>
  <c r="Z77" i="22" s="1"/>
  <c r="Z78" i="22" s="1"/>
  <c r="Z79" i="22" s="1"/>
  <c r="Z80" i="22" s="1"/>
  <c r="Z81" i="22" s="1"/>
  <c r="Z82" i="22" s="1"/>
  <c r="Z83" i="22" s="1"/>
  <c r="Z84" i="22" s="1"/>
  <c r="Z85" i="22" s="1"/>
  <c r="Z86" i="22" s="1"/>
  <c r="Z87" i="22" s="1"/>
  <c r="Z88" i="22" s="1"/>
  <c r="Z89" i="22" s="1"/>
  <c r="Z90" i="22" s="1"/>
  <c r="Z91" i="22" s="1"/>
  <c r="Z92" i="22" s="1"/>
  <c r="Z93" i="22" s="1"/>
  <c r="Z94" i="22" s="1"/>
  <c r="Z95" i="22" s="1"/>
  <c r="Z96" i="22" s="1"/>
  <c r="Z97" i="22" s="1"/>
  <c r="Z98" i="22" s="1"/>
  <c r="Z99" i="22" s="1"/>
  <c r="Z100" i="22" s="1"/>
  <c r="Z101" i="22" s="1"/>
  <c r="Z102" i="22" s="1"/>
  <c r="Z103" i="22" s="1"/>
  <c r="Z104" i="22" s="1"/>
  <c r="Z105" i="22" s="1"/>
  <c r="Z106" i="22" s="1"/>
  <c r="Z107" i="22" s="1"/>
  <c r="Z108" i="22" s="1"/>
  <c r="Z109" i="22" s="1"/>
  <c r="Z110" i="22" s="1"/>
  <c r="Z111" i="22" s="1"/>
  <c r="Z112" i="22" s="1"/>
  <c r="Z113" i="22" s="1"/>
  <c r="Z114" i="22" s="1"/>
  <c r="Z115" i="22" s="1"/>
  <c r="Z116" i="22" s="1"/>
  <c r="Z117" i="22" s="1"/>
  <c r="Z118" i="22" s="1"/>
  <c r="Z119" i="22" s="1"/>
  <c r="Z120" i="22" s="1"/>
  <c r="Z121" i="22" s="1"/>
  <c r="Z122" i="22" s="1"/>
  <c r="Z123" i="22" s="1"/>
  <c r="Z124" i="22" s="1"/>
  <c r="Z125" i="22" s="1"/>
  <c r="Z126" i="22" s="1"/>
  <c r="Z127" i="22" s="1"/>
  <c r="Z128" i="22" s="1"/>
  <c r="Z129" i="22" s="1"/>
  <c r="Z130" i="22" s="1"/>
  <c r="Z131" i="22" s="1"/>
  <c r="Z132" i="22" s="1"/>
  <c r="Z133" i="22" s="1"/>
  <c r="Z134" i="22" s="1"/>
  <c r="Z135" i="22" s="1"/>
  <c r="Z136" i="22" s="1"/>
  <c r="Z137" i="22" s="1"/>
  <c r="Z138" i="22" s="1"/>
  <c r="Z139" i="22" s="1"/>
  <c r="Z140" i="22" s="1"/>
  <c r="Z141" i="22" s="1"/>
  <c r="Z142" i="22" s="1"/>
  <c r="Z143" i="22" s="1"/>
  <c r="Z144" i="22" s="1"/>
  <c r="Z145" i="22" s="1"/>
  <c r="Z146" i="22" s="1"/>
  <c r="Z147" i="22" s="1"/>
  <c r="Z148" i="22" s="1"/>
  <c r="Z149" i="22" s="1"/>
  <c r="Z150" i="22" s="1"/>
  <c r="Z151" i="22" s="1"/>
  <c r="Z152" i="22" s="1"/>
  <c r="Z153" i="22" s="1"/>
  <c r="Z154" i="22" s="1"/>
  <c r="Z155" i="22" s="1"/>
  <c r="Z156" i="22" s="1"/>
  <c r="Z157" i="22" s="1"/>
  <c r="Z158" i="22" s="1"/>
  <c r="Z159" i="22" s="1"/>
  <c r="Z160" i="22" s="1"/>
  <c r="Z161" i="22" s="1"/>
  <c r="Z162" i="22" s="1"/>
  <c r="Z163" i="22" s="1"/>
  <c r="Z164" i="22" s="1"/>
  <c r="Z165" i="22" s="1"/>
  <c r="Z166" i="22" s="1"/>
  <c r="Z167" i="22" s="1"/>
  <c r="Z168" i="22" s="1"/>
  <c r="Z169" i="22" s="1"/>
  <c r="Z170" i="22" s="1"/>
  <c r="Z171" i="22" s="1"/>
  <c r="Z172" i="22" s="1"/>
  <c r="Z173" i="22" s="1"/>
  <c r="Z174" i="22" s="1"/>
  <c r="Z175" i="22" s="1"/>
  <c r="Z176" i="22" s="1"/>
  <c r="Z177" i="22" s="1"/>
  <c r="Z178" i="22" s="1"/>
  <c r="Z179" i="22" s="1"/>
  <c r="Z180" i="22" s="1"/>
  <c r="Z181" i="22" s="1"/>
  <c r="Z182" i="22" s="1"/>
  <c r="L4" i="22"/>
  <c r="AW5" i="25" l="1"/>
  <c r="I5" i="25" s="1"/>
  <c r="BO6" i="19"/>
  <c r="V6" i="25"/>
  <c r="O5" i="19"/>
  <c r="A198" i="25"/>
  <c r="AP6" i="25" l="1"/>
  <c r="B6" i="25" s="1"/>
  <c r="BM182" i="20"/>
  <c r="AN3" i="19"/>
  <c r="AL3" i="19"/>
  <c r="AK3" i="19"/>
  <c r="U4" i="22" s="1"/>
  <c r="AJ3" i="19"/>
  <c r="AI3" i="19"/>
  <c r="AH3" i="19"/>
  <c r="AG3" i="19"/>
  <c r="AF3" i="19"/>
  <c r="AD3" i="19"/>
  <c r="AB3" i="19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V7" i="25" l="1"/>
  <c r="O6" i="19"/>
  <c r="AP7" i="25"/>
  <c r="B7" i="25" l="1"/>
  <c r="V8" i="25" l="1"/>
  <c r="O7" i="19"/>
  <c r="D3" i="19"/>
  <c r="AQ17" i="19" l="1"/>
  <c r="AA4" i="22"/>
  <c r="AQ180" i="19"/>
  <c r="AQ170" i="19"/>
  <c r="AQ63" i="19"/>
  <c r="AQ90" i="19"/>
  <c r="AQ7" i="19"/>
  <c r="AQ164" i="19"/>
  <c r="AQ126" i="19"/>
  <c r="AQ154" i="19"/>
  <c r="AQ80" i="19"/>
  <c r="AQ139" i="19"/>
  <c r="AQ91" i="19"/>
  <c r="AQ74" i="19"/>
  <c r="AQ70" i="19"/>
  <c r="AQ56" i="19"/>
  <c r="AQ48" i="19"/>
  <c r="AQ18" i="19"/>
  <c r="AQ39" i="19"/>
  <c r="AQ130" i="19"/>
  <c r="AQ165" i="19"/>
  <c r="AQ153" i="19"/>
  <c r="AQ132" i="19"/>
  <c r="AQ123" i="19"/>
  <c r="AQ75" i="19"/>
  <c r="AQ105" i="19"/>
  <c r="AQ54" i="19"/>
  <c r="AQ46" i="19"/>
  <c r="AQ32" i="19"/>
  <c r="AQ29" i="19"/>
  <c r="AQ159" i="19"/>
  <c r="AQ121" i="19"/>
  <c r="AQ107" i="19"/>
  <c r="AQ73" i="19"/>
  <c r="AQ37" i="19"/>
  <c r="AQ161" i="19"/>
  <c r="AQ175" i="19"/>
  <c r="AQ4" i="19"/>
  <c r="AQ137" i="19"/>
  <c r="AQ114" i="19"/>
  <c r="AQ88" i="19"/>
  <c r="AQ106" i="19"/>
  <c r="AQ89" i="19"/>
  <c r="AQ65" i="19"/>
  <c r="AQ16" i="19"/>
  <c r="AQ23" i="19"/>
  <c r="AQ13" i="19"/>
  <c r="L3" i="19"/>
  <c r="AQ157" i="19"/>
  <c r="AQ176" i="19"/>
  <c r="AQ160" i="19"/>
  <c r="AQ84" i="19"/>
  <c r="AQ171" i="19"/>
  <c r="AQ155" i="19"/>
  <c r="AQ181" i="19"/>
  <c r="AQ152" i="19"/>
  <c r="AQ182" i="19"/>
  <c r="AQ166" i="19"/>
  <c r="AQ146" i="19"/>
  <c r="AQ149" i="19"/>
  <c r="AQ133" i="19"/>
  <c r="AQ117" i="19"/>
  <c r="AQ144" i="19"/>
  <c r="AQ128" i="19"/>
  <c r="AQ108" i="19"/>
  <c r="AQ151" i="19"/>
  <c r="AQ135" i="19"/>
  <c r="AQ119" i="19"/>
  <c r="AQ72" i="19"/>
  <c r="AQ103" i="19"/>
  <c r="AQ87" i="19"/>
  <c r="AQ71" i="19"/>
  <c r="AQ102" i="19"/>
  <c r="AQ86" i="19"/>
  <c r="AQ55" i="19"/>
  <c r="AQ101" i="19"/>
  <c r="AQ85" i="19"/>
  <c r="AQ67" i="19"/>
  <c r="AQ66" i="19"/>
  <c r="AQ43" i="19"/>
  <c r="AQ61" i="19"/>
  <c r="AQ68" i="19"/>
  <c r="AQ52" i="19"/>
  <c r="AQ42" i="19"/>
  <c r="AQ49" i="19"/>
  <c r="AQ33" i="19"/>
  <c r="AQ44" i="19"/>
  <c r="AQ24" i="19"/>
  <c r="AQ19" i="19"/>
  <c r="AQ30" i="19"/>
  <c r="AQ14" i="19"/>
  <c r="AQ25" i="19"/>
  <c r="AQ9" i="19"/>
  <c r="AQ118" i="19"/>
  <c r="AQ172" i="19"/>
  <c r="AQ156" i="19"/>
  <c r="AQ31" i="19"/>
  <c r="AQ167" i="19"/>
  <c r="AQ148" i="19"/>
  <c r="AQ177" i="19"/>
  <c r="AQ134" i="19"/>
  <c r="AQ178" i="19"/>
  <c r="AQ162" i="19"/>
  <c r="AQ138" i="19"/>
  <c r="AQ145" i="19"/>
  <c r="AQ129" i="19"/>
  <c r="AQ116" i="19"/>
  <c r="AQ140" i="19"/>
  <c r="AQ124" i="19"/>
  <c r="AQ92" i="19"/>
  <c r="AQ147" i="19"/>
  <c r="AQ131" i="19"/>
  <c r="AQ112" i="19"/>
  <c r="AQ115" i="19"/>
  <c r="AQ99" i="19"/>
  <c r="AQ83" i="19"/>
  <c r="AQ59" i="19"/>
  <c r="AQ98" i="19"/>
  <c r="AQ82" i="19"/>
  <c r="AQ113" i="19"/>
  <c r="AQ97" i="19"/>
  <c r="AQ81" i="19"/>
  <c r="AQ51" i="19"/>
  <c r="AQ62" i="19"/>
  <c r="AQ20" i="19"/>
  <c r="AQ57" i="19"/>
  <c r="AQ64" i="19"/>
  <c r="AQ35" i="19"/>
  <c r="AQ38" i="19"/>
  <c r="AQ45" i="19"/>
  <c r="AQ28" i="19"/>
  <c r="AQ40" i="19"/>
  <c r="AQ8" i="19"/>
  <c r="AQ15" i="19"/>
  <c r="AQ26" i="19"/>
  <c r="AQ10" i="19"/>
  <c r="AQ21" i="19"/>
  <c r="AQ5" i="19"/>
  <c r="AQ100" i="19"/>
  <c r="AQ168" i="19"/>
  <c r="AQ150" i="19"/>
  <c r="AQ169" i="19"/>
  <c r="AQ163" i="19"/>
  <c r="AQ142" i="19"/>
  <c r="AQ173" i="19"/>
  <c r="AQ179" i="19"/>
  <c r="AQ174" i="19"/>
  <c r="AQ158" i="19"/>
  <c r="AQ122" i="19"/>
  <c r="AQ141" i="19"/>
  <c r="AQ125" i="19"/>
  <c r="AQ96" i="19"/>
  <c r="AQ136" i="19"/>
  <c r="AQ120" i="19"/>
  <c r="AQ76" i="19"/>
  <c r="AQ143" i="19"/>
  <c r="AQ127" i="19"/>
  <c r="AQ104" i="19"/>
  <c r="AQ111" i="19"/>
  <c r="AQ95" i="19"/>
  <c r="AQ79" i="19"/>
  <c r="AQ110" i="19"/>
  <c r="AQ94" i="19"/>
  <c r="AQ78" i="19"/>
  <c r="AQ109" i="19"/>
  <c r="AQ93" i="19"/>
  <c r="AQ77" i="19"/>
  <c r="AQ47" i="19"/>
  <c r="AQ58" i="19"/>
  <c r="AQ69" i="19"/>
  <c r="AQ53" i="19"/>
  <c r="AQ60" i="19"/>
  <c r="AQ50" i="19"/>
  <c r="AQ34" i="19"/>
  <c r="AQ41" i="19"/>
  <c r="AQ12" i="19"/>
  <c r="AQ36" i="19"/>
  <c r="AQ27" i="19"/>
  <c r="AQ11" i="19"/>
  <c r="AQ22" i="19"/>
  <c r="AQ6" i="19"/>
  <c r="B3" i="19"/>
  <c r="Y4" i="22" s="1"/>
  <c r="BV4" i="19" s="1"/>
  <c r="AZ5" i="25" s="1"/>
  <c r="L5" i="25" s="1"/>
  <c r="AF6" i="25" s="1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173" i="20"/>
  <c r="C173" i="20"/>
  <c r="D173" i="20"/>
  <c r="E173" i="20"/>
  <c r="F173" i="20"/>
  <c r="G173" i="20"/>
  <c r="H173" i="20"/>
  <c r="I173" i="20"/>
  <c r="J173" i="20"/>
  <c r="B174" i="20"/>
  <c r="C174" i="20"/>
  <c r="D174" i="20"/>
  <c r="E174" i="20"/>
  <c r="F174" i="20"/>
  <c r="G174" i="20"/>
  <c r="H174" i="20"/>
  <c r="I174" i="20"/>
  <c r="J174" i="20"/>
  <c r="B175" i="20"/>
  <c r="C175" i="20"/>
  <c r="D175" i="20"/>
  <c r="E175" i="20"/>
  <c r="F175" i="20"/>
  <c r="G175" i="20"/>
  <c r="H175" i="20"/>
  <c r="I175" i="20"/>
  <c r="J175" i="20"/>
  <c r="B176" i="20"/>
  <c r="C176" i="20"/>
  <c r="D176" i="20"/>
  <c r="E176" i="20"/>
  <c r="F176" i="20"/>
  <c r="G176" i="20"/>
  <c r="H176" i="20"/>
  <c r="I176" i="20"/>
  <c r="J176" i="20"/>
  <c r="B177" i="20"/>
  <c r="C177" i="20"/>
  <c r="D177" i="20"/>
  <c r="E177" i="20"/>
  <c r="F177" i="20"/>
  <c r="G177" i="20"/>
  <c r="H177" i="20"/>
  <c r="I177" i="20"/>
  <c r="J177" i="20"/>
  <c r="B178" i="20"/>
  <c r="C178" i="20"/>
  <c r="D178" i="20"/>
  <c r="E178" i="20"/>
  <c r="F178" i="20"/>
  <c r="G178" i="20"/>
  <c r="H178" i="20"/>
  <c r="I178" i="20"/>
  <c r="J178" i="20"/>
  <c r="B179" i="20"/>
  <c r="C179" i="20"/>
  <c r="D179" i="20"/>
  <c r="E179" i="20"/>
  <c r="F179" i="20"/>
  <c r="G179" i="20"/>
  <c r="H179" i="20"/>
  <c r="I179" i="20"/>
  <c r="J179" i="20"/>
  <c r="B180" i="20"/>
  <c r="C180" i="20"/>
  <c r="D180" i="20"/>
  <c r="E180" i="20"/>
  <c r="F180" i="20"/>
  <c r="G180" i="20"/>
  <c r="H180" i="20"/>
  <c r="I180" i="20"/>
  <c r="J180" i="20"/>
  <c r="B181" i="20"/>
  <c r="C181" i="20"/>
  <c r="D181" i="20"/>
  <c r="E181" i="20"/>
  <c r="F181" i="20"/>
  <c r="G181" i="20"/>
  <c r="H181" i="20"/>
  <c r="I181" i="20"/>
  <c r="J181" i="20"/>
  <c r="B182" i="20"/>
  <c r="C182" i="20"/>
  <c r="D182" i="20"/>
  <c r="E182" i="20"/>
  <c r="F182" i="20"/>
  <c r="G182" i="20"/>
  <c r="H182" i="20"/>
  <c r="I182" i="20"/>
  <c r="J182" i="20"/>
  <c r="C172" i="20"/>
  <c r="D172" i="20"/>
  <c r="E172" i="20"/>
  <c r="F172" i="20"/>
  <c r="G172" i="20"/>
  <c r="H172" i="20"/>
  <c r="I172" i="20"/>
  <c r="J172" i="20"/>
  <c r="B172" i="20"/>
  <c r="B161" i="20"/>
  <c r="C161" i="20"/>
  <c r="D161" i="20"/>
  <c r="E161" i="20"/>
  <c r="F161" i="20"/>
  <c r="G161" i="20"/>
  <c r="H161" i="20"/>
  <c r="I161" i="20"/>
  <c r="J161" i="20"/>
  <c r="B162" i="20"/>
  <c r="C162" i="20"/>
  <c r="D162" i="20"/>
  <c r="E162" i="20"/>
  <c r="F162" i="20"/>
  <c r="G162" i="20"/>
  <c r="H162" i="20"/>
  <c r="I162" i="20"/>
  <c r="J162" i="20"/>
  <c r="B163" i="20"/>
  <c r="C163" i="20"/>
  <c r="D163" i="20"/>
  <c r="E163" i="20"/>
  <c r="F163" i="20"/>
  <c r="G163" i="20"/>
  <c r="H163" i="20"/>
  <c r="I163" i="20"/>
  <c r="J163" i="20"/>
  <c r="B164" i="20"/>
  <c r="C164" i="20"/>
  <c r="D164" i="20"/>
  <c r="E164" i="20"/>
  <c r="F164" i="20"/>
  <c r="G164" i="20"/>
  <c r="H164" i="20"/>
  <c r="I164" i="20"/>
  <c r="J164" i="20"/>
  <c r="B165" i="20"/>
  <c r="C165" i="20"/>
  <c r="D165" i="20"/>
  <c r="E165" i="20"/>
  <c r="F165" i="20"/>
  <c r="G165" i="20"/>
  <c r="H165" i="20"/>
  <c r="I165" i="20"/>
  <c r="J165" i="20"/>
  <c r="B166" i="20"/>
  <c r="C166" i="20"/>
  <c r="D166" i="20"/>
  <c r="E166" i="20"/>
  <c r="F166" i="20"/>
  <c r="G166" i="20"/>
  <c r="H166" i="20"/>
  <c r="I166" i="20"/>
  <c r="J166" i="20"/>
  <c r="B167" i="20"/>
  <c r="C167" i="20"/>
  <c r="D167" i="20"/>
  <c r="E167" i="20"/>
  <c r="F167" i="20"/>
  <c r="G167" i="20"/>
  <c r="H167" i="20"/>
  <c r="I167" i="20"/>
  <c r="J167" i="20"/>
  <c r="B168" i="20"/>
  <c r="C168" i="20"/>
  <c r="D168" i="20"/>
  <c r="E168" i="20"/>
  <c r="F168" i="20"/>
  <c r="G168" i="20"/>
  <c r="H168" i="20"/>
  <c r="I168" i="20"/>
  <c r="J168" i="20"/>
  <c r="B169" i="20"/>
  <c r="C169" i="20"/>
  <c r="D169" i="20"/>
  <c r="E169" i="20"/>
  <c r="F169" i="20"/>
  <c r="G169" i="20"/>
  <c r="H169" i="20"/>
  <c r="I169" i="20"/>
  <c r="J169" i="20"/>
  <c r="B170" i="20"/>
  <c r="C170" i="20"/>
  <c r="D170" i="20"/>
  <c r="E170" i="20"/>
  <c r="F170" i="20"/>
  <c r="G170" i="20"/>
  <c r="H170" i="20"/>
  <c r="I170" i="20"/>
  <c r="J170" i="20"/>
  <c r="C160" i="20"/>
  <c r="D160" i="20"/>
  <c r="E160" i="20"/>
  <c r="F160" i="20"/>
  <c r="G160" i="20"/>
  <c r="H160" i="20"/>
  <c r="I160" i="20"/>
  <c r="J160" i="20"/>
  <c r="B160" i="20"/>
  <c r="B149" i="20"/>
  <c r="C149" i="20"/>
  <c r="D149" i="20"/>
  <c r="E149" i="20"/>
  <c r="F149" i="20"/>
  <c r="G149" i="20"/>
  <c r="H149" i="20"/>
  <c r="I149" i="20"/>
  <c r="J149" i="20"/>
  <c r="B150" i="20"/>
  <c r="C150" i="20"/>
  <c r="D150" i="20"/>
  <c r="E150" i="20"/>
  <c r="F150" i="20"/>
  <c r="G150" i="20"/>
  <c r="H150" i="20"/>
  <c r="I150" i="20"/>
  <c r="J150" i="20"/>
  <c r="B151" i="20"/>
  <c r="C151" i="20"/>
  <c r="D151" i="20"/>
  <c r="E151" i="20"/>
  <c r="F151" i="20"/>
  <c r="G151" i="20"/>
  <c r="H151" i="20"/>
  <c r="I151" i="20"/>
  <c r="J151" i="20"/>
  <c r="B152" i="20"/>
  <c r="C152" i="20"/>
  <c r="D152" i="20"/>
  <c r="E152" i="20"/>
  <c r="F152" i="20"/>
  <c r="G152" i="20"/>
  <c r="H152" i="20"/>
  <c r="I152" i="20"/>
  <c r="J152" i="20"/>
  <c r="B153" i="20"/>
  <c r="C153" i="20"/>
  <c r="D153" i="20"/>
  <c r="E153" i="20"/>
  <c r="F153" i="20"/>
  <c r="G153" i="20"/>
  <c r="H153" i="20"/>
  <c r="I153" i="20"/>
  <c r="J153" i="20"/>
  <c r="B154" i="20"/>
  <c r="C154" i="20"/>
  <c r="D154" i="20"/>
  <c r="E154" i="20"/>
  <c r="F154" i="20"/>
  <c r="G154" i="20"/>
  <c r="H154" i="20"/>
  <c r="I154" i="20"/>
  <c r="J154" i="20"/>
  <c r="B155" i="20"/>
  <c r="C155" i="20"/>
  <c r="D155" i="20"/>
  <c r="E155" i="20"/>
  <c r="F155" i="20"/>
  <c r="G155" i="20"/>
  <c r="H155" i="20"/>
  <c r="I155" i="20"/>
  <c r="J155" i="20"/>
  <c r="B156" i="20"/>
  <c r="C156" i="20"/>
  <c r="D156" i="20"/>
  <c r="E156" i="20"/>
  <c r="F156" i="20"/>
  <c r="G156" i="20"/>
  <c r="H156" i="20"/>
  <c r="I156" i="20"/>
  <c r="J156" i="20"/>
  <c r="B157" i="20"/>
  <c r="C157" i="20"/>
  <c r="D157" i="20"/>
  <c r="E157" i="20"/>
  <c r="F157" i="20"/>
  <c r="G157" i="20"/>
  <c r="H157" i="20"/>
  <c r="I157" i="20"/>
  <c r="J157" i="20"/>
  <c r="B158" i="20"/>
  <c r="C158" i="20"/>
  <c r="D158" i="20"/>
  <c r="E158" i="20"/>
  <c r="F158" i="20"/>
  <c r="G158" i="20"/>
  <c r="H158" i="20"/>
  <c r="I158" i="20"/>
  <c r="J158" i="20"/>
  <c r="C148" i="20"/>
  <c r="D148" i="20"/>
  <c r="E148" i="20"/>
  <c r="F148" i="20"/>
  <c r="G148" i="20"/>
  <c r="H148" i="20"/>
  <c r="I148" i="20"/>
  <c r="J148" i="20"/>
  <c r="B148" i="20"/>
  <c r="B137" i="20"/>
  <c r="C137" i="20"/>
  <c r="D137" i="20"/>
  <c r="E137" i="20"/>
  <c r="F137" i="20"/>
  <c r="G137" i="20"/>
  <c r="H137" i="20"/>
  <c r="I137" i="20"/>
  <c r="J137" i="20"/>
  <c r="B138" i="20"/>
  <c r="C138" i="20"/>
  <c r="D138" i="20"/>
  <c r="E138" i="20"/>
  <c r="F138" i="20"/>
  <c r="G138" i="20"/>
  <c r="H138" i="20"/>
  <c r="I138" i="20"/>
  <c r="J138" i="20"/>
  <c r="B139" i="20"/>
  <c r="C139" i="20"/>
  <c r="D139" i="20"/>
  <c r="E139" i="20"/>
  <c r="F139" i="20"/>
  <c r="G139" i="20"/>
  <c r="H139" i="20"/>
  <c r="I139" i="20"/>
  <c r="J139" i="20"/>
  <c r="B140" i="20"/>
  <c r="C140" i="20"/>
  <c r="D140" i="20"/>
  <c r="E140" i="20"/>
  <c r="F140" i="20"/>
  <c r="G140" i="20"/>
  <c r="H140" i="20"/>
  <c r="I140" i="20"/>
  <c r="J140" i="20"/>
  <c r="B141" i="20"/>
  <c r="C141" i="20"/>
  <c r="D141" i="20"/>
  <c r="E141" i="20"/>
  <c r="F141" i="20"/>
  <c r="G141" i="20"/>
  <c r="H141" i="20"/>
  <c r="I141" i="20"/>
  <c r="J141" i="20"/>
  <c r="B142" i="20"/>
  <c r="C142" i="20"/>
  <c r="D142" i="20"/>
  <c r="E142" i="20"/>
  <c r="F142" i="20"/>
  <c r="G142" i="20"/>
  <c r="H142" i="20"/>
  <c r="I142" i="20"/>
  <c r="J142" i="20"/>
  <c r="B143" i="20"/>
  <c r="C143" i="20"/>
  <c r="D143" i="20"/>
  <c r="E143" i="20"/>
  <c r="F143" i="20"/>
  <c r="G143" i="20"/>
  <c r="H143" i="20"/>
  <c r="I143" i="20"/>
  <c r="J143" i="20"/>
  <c r="B144" i="20"/>
  <c r="C144" i="20"/>
  <c r="D144" i="20"/>
  <c r="E144" i="20"/>
  <c r="F144" i="20"/>
  <c r="G144" i="20"/>
  <c r="H144" i="20"/>
  <c r="I144" i="20"/>
  <c r="J144" i="20"/>
  <c r="B145" i="20"/>
  <c r="C145" i="20"/>
  <c r="D145" i="20"/>
  <c r="E145" i="20"/>
  <c r="F145" i="20"/>
  <c r="G145" i="20"/>
  <c r="H145" i="20"/>
  <c r="I145" i="20"/>
  <c r="J145" i="20"/>
  <c r="B146" i="20"/>
  <c r="C146" i="20"/>
  <c r="D146" i="20"/>
  <c r="E146" i="20"/>
  <c r="F146" i="20"/>
  <c r="G146" i="20"/>
  <c r="H146" i="20"/>
  <c r="I146" i="20"/>
  <c r="J146" i="20"/>
  <c r="C136" i="20"/>
  <c r="D136" i="20"/>
  <c r="E136" i="20"/>
  <c r="F136" i="20"/>
  <c r="G136" i="20"/>
  <c r="H136" i="20"/>
  <c r="I136" i="20"/>
  <c r="J136" i="20"/>
  <c r="B136" i="20"/>
  <c r="B125" i="20"/>
  <c r="C125" i="20"/>
  <c r="D125" i="20"/>
  <c r="E125" i="20"/>
  <c r="F125" i="20"/>
  <c r="G125" i="20"/>
  <c r="H125" i="20"/>
  <c r="I125" i="20"/>
  <c r="J125" i="20"/>
  <c r="B126" i="20"/>
  <c r="C126" i="20"/>
  <c r="D126" i="20"/>
  <c r="E126" i="20"/>
  <c r="F126" i="20"/>
  <c r="G126" i="20"/>
  <c r="H126" i="20"/>
  <c r="I126" i="20"/>
  <c r="J126" i="20"/>
  <c r="B127" i="20"/>
  <c r="C127" i="20"/>
  <c r="D127" i="20"/>
  <c r="E127" i="20"/>
  <c r="F127" i="20"/>
  <c r="G127" i="20"/>
  <c r="H127" i="20"/>
  <c r="I127" i="20"/>
  <c r="J127" i="20"/>
  <c r="B128" i="20"/>
  <c r="C128" i="20"/>
  <c r="D128" i="20"/>
  <c r="E128" i="20"/>
  <c r="F128" i="20"/>
  <c r="G128" i="20"/>
  <c r="H128" i="20"/>
  <c r="I128" i="20"/>
  <c r="J128" i="20"/>
  <c r="B129" i="20"/>
  <c r="C129" i="20"/>
  <c r="D129" i="20"/>
  <c r="E129" i="20"/>
  <c r="F129" i="20"/>
  <c r="G129" i="20"/>
  <c r="H129" i="20"/>
  <c r="I129" i="20"/>
  <c r="J129" i="20"/>
  <c r="B130" i="20"/>
  <c r="C130" i="20"/>
  <c r="D130" i="20"/>
  <c r="E130" i="20"/>
  <c r="F130" i="20"/>
  <c r="G130" i="20"/>
  <c r="H130" i="20"/>
  <c r="I130" i="20"/>
  <c r="J130" i="20"/>
  <c r="B131" i="20"/>
  <c r="C131" i="20"/>
  <c r="D131" i="20"/>
  <c r="E131" i="20"/>
  <c r="F131" i="20"/>
  <c r="G131" i="20"/>
  <c r="H131" i="20"/>
  <c r="I131" i="20"/>
  <c r="J131" i="20"/>
  <c r="B132" i="20"/>
  <c r="C132" i="20"/>
  <c r="D132" i="20"/>
  <c r="E132" i="20"/>
  <c r="F132" i="20"/>
  <c r="G132" i="20"/>
  <c r="H132" i="20"/>
  <c r="I132" i="20"/>
  <c r="J132" i="20"/>
  <c r="B133" i="20"/>
  <c r="C133" i="20"/>
  <c r="D133" i="20"/>
  <c r="E133" i="20"/>
  <c r="F133" i="20"/>
  <c r="G133" i="20"/>
  <c r="H133" i="20"/>
  <c r="I133" i="20"/>
  <c r="J133" i="20"/>
  <c r="B134" i="20"/>
  <c r="C134" i="20"/>
  <c r="D134" i="20"/>
  <c r="E134" i="20"/>
  <c r="F134" i="20"/>
  <c r="G134" i="20"/>
  <c r="H134" i="20"/>
  <c r="I134" i="20"/>
  <c r="J134" i="20"/>
  <c r="C124" i="20"/>
  <c r="D124" i="20"/>
  <c r="E124" i="20"/>
  <c r="F124" i="20"/>
  <c r="G124" i="20"/>
  <c r="H124" i="20"/>
  <c r="I124" i="20"/>
  <c r="J124" i="20"/>
  <c r="B124" i="20"/>
  <c r="B122" i="20"/>
  <c r="C122" i="20"/>
  <c r="D122" i="20"/>
  <c r="E122" i="20"/>
  <c r="F122" i="20"/>
  <c r="G122" i="20"/>
  <c r="H122" i="20"/>
  <c r="I122" i="20"/>
  <c r="J122" i="20"/>
  <c r="B113" i="20"/>
  <c r="C113" i="20"/>
  <c r="D113" i="20"/>
  <c r="E113" i="20"/>
  <c r="F113" i="20"/>
  <c r="G113" i="20"/>
  <c r="H113" i="20"/>
  <c r="I113" i="20"/>
  <c r="J113" i="20"/>
  <c r="B114" i="20"/>
  <c r="C114" i="20"/>
  <c r="D114" i="20"/>
  <c r="E114" i="20"/>
  <c r="F114" i="20"/>
  <c r="G114" i="20"/>
  <c r="H114" i="20"/>
  <c r="I114" i="20"/>
  <c r="J114" i="20"/>
  <c r="B115" i="20"/>
  <c r="C115" i="20"/>
  <c r="D115" i="20"/>
  <c r="E115" i="20"/>
  <c r="F115" i="20"/>
  <c r="G115" i="20"/>
  <c r="H115" i="20"/>
  <c r="I115" i="20"/>
  <c r="J115" i="20"/>
  <c r="B116" i="20"/>
  <c r="C116" i="20"/>
  <c r="D116" i="20"/>
  <c r="E116" i="20"/>
  <c r="F116" i="20"/>
  <c r="G116" i="20"/>
  <c r="H116" i="20"/>
  <c r="I116" i="20"/>
  <c r="J116" i="20"/>
  <c r="B117" i="20"/>
  <c r="C117" i="20"/>
  <c r="D117" i="20"/>
  <c r="E117" i="20"/>
  <c r="F117" i="20"/>
  <c r="G117" i="20"/>
  <c r="H117" i="20"/>
  <c r="I117" i="20"/>
  <c r="J117" i="20"/>
  <c r="B118" i="20"/>
  <c r="C118" i="20"/>
  <c r="D118" i="20"/>
  <c r="E118" i="20"/>
  <c r="F118" i="20"/>
  <c r="G118" i="20"/>
  <c r="H118" i="20"/>
  <c r="I118" i="20"/>
  <c r="J118" i="20"/>
  <c r="B119" i="20"/>
  <c r="C119" i="20"/>
  <c r="D119" i="20"/>
  <c r="E119" i="20"/>
  <c r="F119" i="20"/>
  <c r="G119" i="20"/>
  <c r="H119" i="20"/>
  <c r="I119" i="20"/>
  <c r="J119" i="20"/>
  <c r="B120" i="20"/>
  <c r="C120" i="20"/>
  <c r="D120" i="20"/>
  <c r="E120" i="20"/>
  <c r="F120" i="20"/>
  <c r="G120" i="20"/>
  <c r="H120" i="20"/>
  <c r="I120" i="20"/>
  <c r="J120" i="20"/>
  <c r="B121" i="20"/>
  <c r="C121" i="20"/>
  <c r="D121" i="20"/>
  <c r="E121" i="20"/>
  <c r="F121" i="20"/>
  <c r="G121" i="20"/>
  <c r="H121" i="20"/>
  <c r="I121" i="20"/>
  <c r="J121" i="20"/>
  <c r="C112" i="20"/>
  <c r="D112" i="20"/>
  <c r="E112" i="20"/>
  <c r="F112" i="20"/>
  <c r="G112" i="20"/>
  <c r="H112" i="20"/>
  <c r="I112" i="20"/>
  <c r="J112" i="20"/>
  <c r="B112" i="20"/>
  <c r="B101" i="20"/>
  <c r="C101" i="20"/>
  <c r="D101" i="20"/>
  <c r="E101" i="20"/>
  <c r="F101" i="20"/>
  <c r="G101" i="20"/>
  <c r="H101" i="20"/>
  <c r="I101" i="20"/>
  <c r="J101" i="20"/>
  <c r="B102" i="20"/>
  <c r="C102" i="20"/>
  <c r="D102" i="20"/>
  <c r="E102" i="20"/>
  <c r="F102" i="20"/>
  <c r="G102" i="20"/>
  <c r="H102" i="20"/>
  <c r="I102" i="20"/>
  <c r="J102" i="20"/>
  <c r="B103" i="20"/>
  <c r="C103" i="20"/>
  <c r="D103" i="20"/>
  <c r="E103" i="20"/>
  <c r="F103" i="20"/>
  <c r="G103" i="20"/>
  <c r="H103" i="20"/>
  <c r="I103" i="20"/>
  <c r="J103" i="20"/>
  <c r="B104" i="20"/>
  <c r="C104" i="20"/>
  <c r="D104" i="20"/>
  <c r="E104" i="20"/>
  <c r="F104" i="20"/>
  <c r="G104" i="20"/>
  <c r="H104" i="20"/>
  <c r="I104" i="20"/>
  <c r="J104" i="20"/>
  <c r="B105" i="20"/>
  <c r="C105" i="20"/>
  <c r="D105" i="20"/>
  <c r="E105" i="20"/>
  <c r="F105" i="20"/>
  <c r="G105" i="20"/>
  <c r="H105" i="20"/>
  <c r="I105" i="20"/>
  <c r="J105" i="20"/>
  <c r="B106" i="20"/>
  <c r="C106" i="20"/>
  <c r="D106" i="20"/>
  <c r="E106" i="20"/>
  <c r="F106" i="20"/>
  <c r="G106" i="20"/>
  <c r="H106" i="20"/>
  <c r="I106" i="20"/>
  <c r="J106" i="20"/>
  <c r="B107" i="20"/>
  <c r="C107" i="20"/>
  <c r="D107" i="20"/>
  <c r="E107" i="20"/>
  <c r="F107" i="20"/>
  <c r="G107" i="20"/>
  <c r="H107" i="20"/>
  <c r="I107" i="20"/>
  <c r="J107" i="20"/>
  <c r="B108" i="20"/>
  <c r="C108" i="20"/>
  <c r="D108" i="20"/>
  <c r="E108" i="20"/>
  <c r="F108" i="20"/>
  <c r="G108" i="20"/>
  <c r="H108" i="20"/>
  <c r="I108" i="20"/>
  <c r="J108" i="20"/>
  <c r="B109" i="20"/>
  <c r="C109" i="20"/>
  <c r="D109" i="20"/>
  <c r="E109" i="20"/>
  <c r="F109" i="20"/>
  <c r="G109" i="20"/>
  <c r="H109" i="20"/>
  <c r="I109" i="20"/>
  <c r="J109" i="20"/>
  <c r="B110" i="20"/>
  <c r="C110" i="20"/>
  <c r="D110" i="20"/>
  <c r="E110" i="20"/>
  <c r="F110" i="20"/>
  <c r="G110" i="20"/>
  <c r="H110" i="20"/>
  <c r="I110" i="20"/>
  <c r="J110" i="20"/>
  <c r="C100" i="20"/>
  <c r="D100" i="20"/>
  <c r="E100" i="20"/>
  <c r="F100" i="20"/>
  <c r="G100" i="20"/>
  <c r="H100" i="20"/>
  <c r="I100" i="20"/>
  <c r="J100" i="20"/>
  <c r="B100" i="20"/>
  <c r="B89" i="20"/>
  <c r="C89" i="20"/>
  <c r="D89" i="20"/>
  <c r="E89" i="20"/>
  <c r="F89" i="20"/>
  <c r="G89" i="20"/>
  <c r="H89" i="20"/>
  <c r="I89" i="20"/>
  <c r="J89" i="20"/>
  <c r="B90" i="20"/>
  <c r="C90" i="20"/>
  <c r="D90" i="20"/>
  <c r="E90" i="20"/>
  <c r="F90" i="20"/>
  <c r="G90" i="20"/>
  <c r="H90" i="20"/>
  <c r="I90" i="20"/>
  <c r="J90" i="20"/>
  <c r="B91" i="20"/>
  <c r="C91" i="20"/>
  <c r="D91" i="20"/>
  <c r="E91" i="20"/>
  <c r="F91" i="20"/>
  <c r="G91" i="20"/>
  <c r="H91" i="20"/>
  <c r="I91" i="20"/>
  <c r="J91" i="20"/>
  <c r="B92" i="20"/>
  <c r="C92" i="20"/>
  <c r="D92" i="20"/>
  <c r="E92" i="20"/>
  <c r="F92" i="20"/>
  <c r="G92" i="20"/>
  <c r="H92" i="20"/>
  <c r="I92" i="20"/>
  <c r="J92" i="20"/>
  <c r="B93" i="20"/>
  <c r="C93" i="20"/>
  <c r="D93" i="20"/>
  <c r="E93" i="20"/>
  <c r="F93" i="20"/>
  <c r="G93" i="20"/>
  <c r="H93" i="20"/>
  <c r="I93" i="20"/>
  <c r="J93" i="20"/>
  <c r="B94" i="20"/>
  <c r="C94" i="20"/>
  <c r="D94" i="20"/>
  <c r="E94" i="20"/>
  <c r="F94" i="20"/>
  <c r="G94" i="20"/>
  <c r="H94" i="20"/>
  <c r="I94" i="20"/>
  <c r="J94" i="20"/>
  <c r="B95" i="20"/>
  <c r="C95" i="20"/>
  <c r="D95" i="20"/>
  <c r="E95" i="20"/>
  <c r="F95" i="20"/>
  <c r="G95" i="20"/>
  <c r="H95" i="20"/>
  <c r="I95" i="20"/>
  <c r="J95" i="20"/>
  <c r="B96" i="20"/>
  <c r="C96" i="20"/>
  <c r="D96" i="20"/>
  <c r="E96" i="20"/>
  <c r="F96" i="20"/>
  <c r="G96" i="20"/>
  <c r="H96" i="20"/>
  <c r="I96" i="20"/>
  <c r="J96" i="20"/>
  <c r="B97" i="20"/>
  <c r="C97" i="20"/>
  <c r="D97" i="20"/>
  <c r="E97" i="20"/>
  <c r="F97" i="20"/>
  <c r="G97" i="20"/>
  <c r="H97" i="20"/>
  <c r="I97" i="20"/>
  <c r="J97" i="20"/>
  <c r="B98" i="20"/>
  <c r="C98" i="20"/>
  <c r="D98" i="20"/>
  <c r="E98" i="20"/>
  <c r="F98" i="20"/>
  <c r="G98" i="20"/>
  <c r="H98" i="20"/>
  <c r="I98" i="20"/>
  <c r="J98" i="20"/>
  <c r="C88" i="20"/>
  <c r="D88" i="20"/>
  <c r="E88" i="20"/>
  <c r="F88" i="20"/>
  <c r="G88" i="20"/>
  <c r="H88" i="20"/>
  <c r="I88" i="20"/>
  <c r="J88" i="20"/>
  <c r="B88" i="20"/>
  <c r="B77" i="20"/>
  <c r="C77" i="20"/>
  <c r="D77" i="20"/>
  <c r="E77" i="20"/>
  <c r="F77" i="20"/>
  <c r="G77" i="20"/>
  <c r="H77" i="20"/>
  <c r="I77" i="20"/>
  <c r="J77" i="20"/>
  <c r="B78" i="20"/>
  <c r="C78" i="20"/>
  <c r="D78" i="20"/>
  <c r="E78" i="20"/>
  <c r="F78" i="20"/>
  <c r="G78" i="20"/>
  <c r="H78" i="20"/>
  <c r="I78" i="20"/>
  <c r="J78" i="20"/>
  <c r="B79" i="20"/>
  <c r="C79" i="20"/>
  <c r="D79" i="20"/>
  <c r="E79" i="20"/>
  <c r="F79" i="20"/>
  <c r="G79" i="20"/>
  <c r="H79" i="20"/>
  <c r="I79" i="20"/>
  <c r="J79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3" i="20"/>
  <c r="C83" i="20"/>
  <c r="D83" i="20"/>
  <c r="E83" i="20"/>
  <c r="F83" i="20"/>
  <c r="G83" i="20"/>
  <c r="H83" i="20"/>
  <c r="I83" i="20"/>
  <c r="J83" i="20"/>
  <c r="B84" i="20"/>
  <c r="C84" i="20"/>
  <c r="D84" i="20"/>
  <c r="E84" i="20"/>
  <c r="F84" i="20"/>
  <c r="G84" i="20"/>
  <c r="H84" i="20"/>
  <c r="I84" i="20"/>
  <c r="J84" i="20"/>
  <c r="B85" i="20"/>
  <c r="C85" i="20"/>
  <c r="D85" i="20"/>
  <c r="E85" i="20"/>
  <c r="F85" i="20"/>
  <c r="G85" i="20"/>
  <c r="H85" i="20"/>
  <c r="I85" i="20"/>
  <c r="J85" i="20"/>
  <c r="B86" i="20"/>
  <c r="C86" i="20"/>
  <c r="D86" i="20"/>
  <c r="E86" i="20"/>
  <c r="F86" i="20"/>
  <c r="G86" i="20"/>
  <c r="H86" i="20"/>
  <c r="I86" i="20"/>
  <c r="J86" i="20"/>
  <c r="C76" i="20"/>
  <c r="D76" i="20"/>
  <c r="E76" i="20"/>
  <c r="F76" i="20"/>
  <c r="G76" i="20"/>
  <c r="H76" i="20"/>
  <c r="I76" i="20"/>
  <c r="J76" i="20"/>
  <c r="B76" i="20"/>
  <c r="B65" i="20"/>
  <c r="C65" i="20"/>
  <c r="D65" i="20"/>
  <c r="E65" i="20"/>
  <c r="F65" i="20"/>
  <c r="G65" i="20"/>
  <c r="H65" i="20"/>
  <c r="I65" i="20"/>
  <c r="J65" i="20"/>
  <c r="B66" i="20"/>
  <c r="C66" i="20"/>
  <c r="D66" i="20"/>
  <c r="E66" i="20"/>
  <c r="F66" i="20"/>
  <c r="G66" i="20"/>
  <c r="H66" i="20"/>
  <c r="I66" i="20"/>
  <c r="J66" i="20"/>
  <c r="B67" i="20"/>
  <c r="C67" i="20"/>
  <c r="D67" i="20"/>
  <c r="E67" i="20"/>
  <c r="F67" i="20"/>
  <c r="G67" i="20"/>
  <c r="H67" i="20"/>
  <c r="I67" i="20"/>
  <c r="J67" i="20"/>
  <c r="B68" i="20"/>
  <c r="C68" i="20"/>
  <c r="D68" i="20"/>
  <c r="E68" i="20"/>
  <c r="F68" i="20"/>
  <c r="G68" i="20"/>
  <c r="H68" i="20"/>
  <c r="I68" i="20"/>
  <c r="J68" i="20"/>
  <c r="B69" i="20"/>
  <c r="C69" i="20"/>
  <c r="D69" i="20"/>
  <c r="E69" i="20"/>
  <c r="F69" i="20"/>
  <c r="G69" i="20"/>
  <c r="H69" i="20"/>
  <c r="I69" i="20"/>
  <c r="J69" i="20"/>
  <c r="B70" i="20"/>
  <c r="C70" i="20"/>
  <c r="D70" i="20"/>
  <c r="E70" i="20"/>
  <c r="F70" i="20"/>
  <c r="G70" i="20"/>
  <c r="H70" i="20"/>
  <c r="I70" i="20"/>
  <c r="J70" i="20"/>
  <c r="B71" i="20"/>
  <c r="C71" i="20"/>
  <c r="D71" i="20"/>
  <c r="E71" i="20"/>
  <c r="F71" i="20"/>
  <c r="G71" i="20"/>
  <c r="H71" i="20"/>
  <c r="I71" i="20"/>
  <c r="J71" i="20"/>
  <c r="B72" i="20"/>
  <c r="C72" i="20"/>
  <c r="D72" i="20"/>
  <c r="E72" i="20"/>
  <c r="F72" i="20"/>
  <c r="G72" i="20"/>
  <c r="H72" i="20"/>
  <c r="I72" i="20"/>
  <c r="J72" i="20"/>
  <c r="B73" i="20"/>
  <c r="C73" i="20"/>
  <c r="D73" i="20"/>
  <c r="E73" i="20"/>
  <c r="F73" i="20"/>
  <c r="G73" i="20"/>
  <c r="H73" i="20"/>
  <c r="I73" i="20"/>
  <c r="J73" i="20"/>
  <c r="B74" i="20"/>
  <c r="C74" i="20"/>
  <c r="D74" i="20"/>
  <c r="E74" i="20"/>
  <c r="F74" i="20"/>
  <c r="G74" i="20"/>
  <c r="H74" i="20"/>
  <c r="I74" i="20"/>
  <c r="J74" i="20"/>
  <c r="C64" i="20"/>
  <c r="D64" i="20"/>
  <c r="E64" i="20"/>
  <c r="F64" i="20"/>
  <c r="G64" i="20"/>
  <c r="H64" i="20"/>
  <c r="I64" i="20"/>
  <c r="J64" i="20"/>
  <c r="B64" i="20"/>
  <c r="B53" i="20"/>
  <c r="C53" i="20"/>
  <c r="D53" i="20"/>
  <c r="E53" i="20"/>
  <c r="F53" i="20"/>
  <c r="G53" i="20"/>
  <c r="H53" i="20"/>
  <c r="I53" i="20"/>
  <c r="J53" i="20"/>
  <c r="B54" i="20"/>
  <c r="C54" i="20"/>
  <c r="D54" i="20"/>
  <c r="E54" i="20"/>
  <c r="F54" i="20"/>
  <c r="G54" i="20"/>
  <c r="H54" i="20"/>
  <c r="I54" i="20"/>
  <c r="J54" i="20"/>
  <c r="B55" i="20"/>
  <c r="C55" i="20"/>
  <c r="D55" i="20"/>
  <c r="E55" i="20"/>
  <c r="F55" i="20"/>
  <c r="G55" i="20"/>
  <c r="H55" i="20"/>
  <c r="I55" i="20"/>
  <c r="J55" i="20"/>
  <c r="B56" i="20"/>
  <c r="C56" i="20"/>
  <c r="D56" i="20"/>
  <c r="E56" i="20"/>
  <c r="F56" i="20"/>
  <c r="G56" i="20"/>
  <c r="H56" i="20"/>
  <c r="I56" i="20"/>
  <c r="J56" i="20"/>
  <c r="B57" i="20"/>
  <c r="C57" i="20"/>
  <c r="D57" i="20"/>
  <c r="E57" i="20"/>
  <c r="F57" i="20"/>
  <c r="G57" i="20"/>
  <c r="H57" i="20"/>
  <c r="I57" i="20"/>
  <c r="J57" i="20"/>
  <c r="B58" i="20"/>
  <c r="C58" i="20"/>
  <c r="D58" i="20"/>
  <c r="E58" i="20"/>
  <c r="F58" i="20"/>
  <c r="G58" i="20"/>
  <c r="H58" i="20"/>
  <c r="I58" i="20"/>
  <c r="J58" i="20"/>
  <c r="B59" i="20"/>
  <c r="C59" i="20"/>
  <c r="D59" i="20"/>
  <c r="E59" i="20"/>
  <c r="F59" i="20"/>
  <c r="G59" i="20"/>
  <c r="H59" i="20"/>
  <c r="I59" i="20"/>
  <c r="J59" i="20"/>
  <c r="B60" i="20"/>
  <c r="C60" i="20"/>
  <c r="D60" i="20"/>
  <c r="E60" i="20"/>
  <c r="F60" i="20"/>
  <c r="G60" i="20"/>
  <c r="H60" i="20"/>
  <c r="I60" i="20"/>
  <c r="J60" i="20"/>
  <c r="B61" i="20"/>
  <c r="C61" i="20"/>
  <c r="D61" i="20"/>
  <c r="E61" i="20"/>
  <c r="F61" i="20"/>
  <c r="G61" i="20"/>
  <c r="H61" i="20"/>
  <c r="I61" i="20"/>
  <c r="J61" i="20"/>
  <c r="B62" i="20"/>
  <c r="C62" i="20"/>
  <c r="D62" i="20"/>
  <c r="E62" i="20"/>
  <c r="F62" i="20"/>
  <c r="G62" i="20"/>
  <c r="H62" i="20"/>
  <c r="I62" i="20"/>
  <c r="J62" i="20"/>
  <c r="C52" i="20"/>
  <c r="D52" i="20"/>
  <c r="E52" i="20"/>
  <c r="F52" i="20"/>
  <c r="G52" i="20"/>
  <c r="H52" i="20"/>
  <c r="I52" i="20"/>
  <c r="J52" i="20"/>
  <c r="B52" i="20"/>
  <c r="B41" i="20"/>
  <c r="C41" i="20"/>
  <c r="D41" i="20"/>
  <c r="E41" i="20"/>
  <c r="F41" i="20"/>
  <c r="G41" i="20"/>
  <c r="H41" i="20"/>
  <c r="I41" i="20"/>
  <c r="J41" i="20"/>
  <c r="B42" i="20"/>
  <c r="C42" i="20"/>
  <c r="D42" i="20"/>
  <c r="E42" i="20"/>
  <c r="F42" i="20"/>
  <c r="G42" i="20"/>
  <c r="H42" i="20"/>
  <c r="I42" i="20"/>
  <c r="J42" i="20"/>
  <c r="B43" i="20"/>
  <c r="C43" i="20"/>
  <c r="D43" i="20"/>
  <c r="E43" i="20"/>
  <c r="F43" i="20"/>
  <c r="G43" i="20"/>
  <c r="H43" i="20"/>
  <c r="I43" i="20"/>
  <c r="J43" i="20"/>
  <c r="B44" i="20"/>
  <c r="C44" i="20"/>
  <c r="D44" i="20"/>
  <c r="E44" i="20"/>
  <c r="F44" i="20"/>
  <c r="G44" i="20"/>
  <c r="H44" i="20"/>
  <c r="I44" i="20"/>
  <c r="J44" i="20"/>
  <c r="B45" i="20"/>
  <c r="C45" i="20"/>
  <c r="D45" i="20"/>
  <c r="E45" i="20"/>
  <c r="F45" i="20"/>
  <c r="G45" i="20"/>
  <c r="H45" i="20"/>
  <c r="I45" i="20"/>
  <c r="J45" i="20"/>
  <c r="B46" i="20"/>
  <c r="C46" i="20"/>
  <c r="D46" i="20"/>
  <c r="E46" i="20"/>
  <c r="F46" i="20"/>
  <c r="G46" i="20"/>
  <c r="H46" i="20"/>
  <c r="I46" i="20"/>
  <c r="J46" i="20"/>
  <c r="B47" i="20"/>
  <c r="C47" i="20"/>
  <c r="D47" i="20"/>
  <c r="E47" i="20"/>
  <c r="F47" i="20"/>
  <c r="G47" i="20"/>
  <c r="H47" i="20"/>
  <c r="I47" i="20"/>
  <c r="J47" i="20"/>
  <c r="B48" i="20"/>
  <c r="C48" i="20"/>
  <c r="D48" i="20"/>
  <c r="E48" i="20"/>
  <c r="F48" i="20"/>
  <c r="G48" i="20"/>
  <c r="H48" i="20"/>
  <c r="I48" i="20"/>
  <c r="J48" i="20"/>
  <c r="B49" i="20"/>
  <c r="C49" i="20"/>
  <c r="D49" i="20"/>
  <c r="E49" i="20"/>
  <c r="F49" i="20"/>
  <c r="G49" i="20"/>
  <c r="H49" i="20"/>
  <c r="I49" i="20"/>
  <c r="J49" i="20"/>
  <c r="B50" i="20"/>
  <c r="C50" i="20"/>
  <c r="D50" i="20"/>
  <c r="E50" i="20"/>
  <c r="F50" i="20"/>
  <c r="G50" i="20"/>
  <c r="H50" i="20"/>
  <c r="I50" i="20"/>
  <c r="J50" i="20"/>
  <c r="C40" i="20"/>
  <c r="D40" i="20"/>
  <c r="E40" i="20"/>
  <c r="F40" i="20"/>
  <c r="G40" i="20"/>
  <c r="H40" i="20"/>
  <c r="I40" i="20"/>
  <c r="J40" i="20"/>
  <c r="B40" i="20"/>
  <c r="C28" i="20"/>
  <c r="D28" i="20"/>
  <c r="E28" i="20"/>
  <c r="F28" i="20"/>
  <c r="G28" i="20"/>
  <c r="H28" i="20"/>
  <c r="I28" i="20"/>
  <c r="J28" i="20"/>
  <c r="C29" i="20"/>
  <c r="D29" i="20"/>
  <c r="E29" i="20"/>
  <c r="F29" i="20"/>
  <c r="G29" i="20"/>
  <c r="H29" i="20"/>
  <c r="I29" i="20"/>
  <c r="J29" i="20"/>
  <c r="C30" i="20"/>
  <c r="D30" i="20"/>
  <c r="E30" i="20"/>
  <c r="F30" i="20"/>
  <c r="G30" i="20"/>
  <c r="H30" i="20"/>
  <c r="I30" i="20"/>
  <c r="J30" i="20"/>
  <c r="C31" i="20"/>
  <c r="D31" i="20"/>
  <c r="E31" i="20"/>
  <c r="F31" i="20"/>
  <c r="G31" i="20"/>
  <c r="H31" i="20"/>
  <c r="I31" i="20"/>
  <c r="J31" i="20"/>
  <c r="C32" i="20"/>
  <c r="D32" i="20"/>
  <c r="E32" i="20"/>
  <c r="F32" i="20"/>
  <c r="G32" i="20"/>
  <c r="H32" i="20"/>
  <c r="I32" i="20"/>
  <c r="J32" i="20"/>
  <c r="C33" i="20"/>
  <c r="D33" i="20"/>
  <c r="E33" i="20"/>
  <c r="F33" i="20"/>
  <c r="G33" i="20"/>
  <c r="H33" i="20"/>
  <c r="I33" i="20"/>
  <c r="J33" i="20"/>
  <c r="C34" i="20"/>
  <c r="D34" i="20"/>
  <c r="E34" i="20"/>
  <c r="F34" i="20"/>
  <c r="G34" i="20"/>
  <c r="H34" i="20"/>
  <c r="I34" i="20"/>
  <c r="J34" i="20"/>
  <c r="C35" i="20"/>
  <c r="D35" i="20"/>
  <c r="E35" i="20"/>
  <c r="F35" i="20"/>
  <c r="G35" i="20"/>
  <c r="H35" i="20"/>
  <c r="I35" i="20"/>
  <c r="J35" i="20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F38" i="20"/>
  <c r="G38" i="20"/>
  <c r="H38" i="20"/>
  <c r="I38" i="20"/>
  <c r="J38" i="20"/>
  <c r="B29" i="20"/>
  <c r="B30" i="20"/>
  <c r="B31" i="20"/>
  <c r="B32" i="20"/>
  <c r="B33" i="20"/>
  <c r="B34" i="20"/>
  <c r="B35" i="20"/>
  <c r="B36" i="20"/>
  <c r="B37" i="20"/>
  <c r="B38" i="20"/>
  <c r="B28" i="20"/>
  <c r="B17" i="20"/>
  <c r="C17" i="20"/>
  <c r="D17" i="20"/>
  <c r="E17" i="20"/>
  <c r="F17" i="20"/>
  <c r="G17" i="20"/>
  <c r="H17" i="20"/>
  <c r="I17" i="20"/>
  <c r="J17" i="20"/>
  <c r="B18" i="20"/>
  <c r="C18" i="20"/>
  <c r="D18" i="20"/>
  <c r="E18" i="20"/>
  <c r="F18" i="20"/>
  <c r="G18" i="20"/>
  <c r="H18" i="20"/>
  <c r="I18" i="20"/>
  <c r="J18" i="20"/>
  <c r="B19" i="20"/>
  <c r="C19" i="20"/>
  <c r="D19" i="20"/>
  <c r="E19" i="20"/>
  <c r="F19" i="20"/>
  <c r="G19" i="20"/>
  <c r="H19" i="20"/>
  <c r="I19" i="20"/>
  <c r="J19" i="20"/>
  <c r="B20" i="20"/>
  <c r="C20" i="20"/>
  <c r="D20" i="20"/>
  <c r="E20" i="20"/>
  <c r="F20" i="20"/>
  <c r="G20" i="20"/>
  <c r="H20" i="20"/>
  <c r="I20" i="20"/>
  <c r="J20" i="20"/>
  <c r="B21" i="20"/>
  <c r="C21" i="20"/>
  <c r="D21" i="20"/>
  <c r="E21" i="20"/>
  <c r="F21" i="20"/>
  <c r="G21" i="20"/>
  <c r="H21" i="20"/>
  <c r="I21" i="20"/>
  <c r="J21" i="20"/>
  <c r="B22" i="20"/>
  <c r="C22" i="20"/>
  <c r="D22" i="20"/>
  <c r="E22" i="20"/>
  <c r="F22" i="20"/>
  <c r="G22" i="20"/>
  <c r="H22" i="20"/>
  <c r="I22" i="20"/>
  <c r="J22" i="20"/>
  <c r="B23" i="20"/>
  <c r="C23" i="20"/>
  <c r="D23" i="20"/>
  <c r="E23" i="20"/>
  <c r="F23" i="20"/>
  <c r="G23" i="20"/>
  <c r="H23" i="20"/>
  <c r="I23" i="20"/>
  <c r="J23" i="20"/>
  <c r="B24" i="20"/>
  <c r="C24" i="20"/>
  <c r="D24" i="20"/>
  <c r="E24" i="20"/>
  <c r="F24" i="20"/>
  <c r="G24" i="20"/>
  <c r="H24" i="20"/>
  <c r="I24" i="20"/>
  <c r="J24" i="20"/>
  <c r="B25" i="20"/>
  <c r="C25" i="20"/>
  <c r="D25" i="20"/>
  <c r="E25" i="20"/>
  <c r="F25" i="20"/>
  <c r="G25" i="20"/>
  <c r="H25" i="20"/>
  <c r="I25" i="20"/>
  <c r="J25" i="20"/>
  <c r="B26" i="20"/>
  <c r="C26" i="20"/>
  <c r="D26" i="20"/>
  <c r="E26" i="20"/>
  <c r="F26" i="20"/>
  <c r="G26" i="20"/>
  <c r="H26" i="20"/>
  <c r="I26" i="20"/>
  <c r="J26" i="20"/>
  <c r="C16" i="20"/>
  <c r="D16" i="20"/>
  <c r="E16" i="20"/>
  <c r="F16" i="20"/>
  <c r="G16" i="20"/>
  <c r="H16" i="20"/>
  <c r="I16" i="20"/>
  <c r="J16" i="20"/>
  <c r="B16" i="20"/>
  <c r="B5" i="20"/>
  <c r="C5" i="20"/>
  <c r="D5" i="20"/>
  <c r="E5" i="20"/>
  <c r="F5" i="20"/>
  <c r="G5" i="20"/>
  <c r="H5" i="20"/>
  <c r="I5" i="20"/>
  <c r="J5" i="20"/>
  <c r="B6" i="20"/>
  <c r="C6" i="20"/>
  <c r="D6" i="20"/>
  <c r="E6" i="20"/>
  <c r="F6" i="20"/>
  <c r="G6" i="20"/>
  <c r="H6" i="20"/>
  <c r="I6" i="20"/>
  <c r="J6" i="20"/>
  <c r="B7" i="20"/>
  <c r="C7" i="20"/>
  <c r="D7" i="20"/>
  <c r="E7" i="20"/>
  <c r="F7" i="20"/>
  <c r="G7" i="20"/>
  <c r="H7" i="20"/>
  <c r="I7" i="20"/>
  <c r="J7" i="20"/>
  <c r="B8" i="20"/>
  <c r="C8" i="20"/>
  <c r="D8" i="20"/>
  <c r="E8" i="20"/>
  <c r="F8" i="20"/>
  <c r="G8" i="20"/>
  <c r="H8" i="20"/>
  <c r="I8" i="20"/>
  <c r="J8" i="20"/>
  <c r="B9" i="20"/>
  <c r="C9" i="20"/>
  <c r="D9" i="20"/>
  <c r="E9" i="20"/>
  <c r="F9" i="20"/>
  <c r="G9" i="20"/>
  <c r="H9" i="20"/>
  <c r="I9" i="20"/>
  <c r="J9" i="20"/>
  <c r="B10" i="20"/>
  <c r="C10" i="20"/>
  <c r="D10" i="20"/>
  <c r="E10" i="20"/>
  <c r="F10" i="20"/>
  <c r="G10" i="20"/>
  <c r="H10" i="20"/>
  <c r="I10" i="20"/>
  <c r="J10" i="20"/>
  <c r="B11" i="20"/>
  <c r="C11" i="20"/>
  <c r="D11" i="20"/>
  <c r="E11" i="20"/>
  <c r="F11" i="20"/>
  <c r="G11" i="20"/>
  <c r="H11" i="20"/>
  <c r="I11" i="20"/>
  <c r="J11" i="20"/>
  <c r="B12" i="20"/>
  <c r="C12" i="20"/>
  <c r="D12" i="20"/>
  <c r="E12" i="20"/>
  <c r="F12" i="20"/>
  <c r="G12" i="20"/>
  <c r="H12" i="20"/>
  <c r="I12" i="20"/>
  <c r="J12" i="20"/>
  <c r="B13" i="20"/>
  <c r="C13" i="20"/>
  <c r="D13" i="20"/>
  <c r="E13" i="20"/>
  <c r="F13" i="20"/>
  <c r="G13" i="20"/>
  <c r="H13" i="20"/>
  <c r="I13" i="20"/>
  <c r="J13" i="20"/>
  <c r="B14" i="20"/>
  <c r="C14" i="20"/>
  <c r="D14" i="20"/>
  <c r="E14" i="20"/>
  <c r="F14" i="20"/>
  <c r="G14" i="20"/>
  <c r="H14" i="20"/>
  <c r="I14" i="20"/>
  <c r="J14" i="20"/>
  <c r="C4" i="20"/>
  <c r="D4" i="20"/>
  <c r="E4" i="20"/>
  <c r="F4" i="20"/>
  <c r="G4" i="20"/>
  <c r="H4" i="20"/>
  <c r="I4" i="20"/>
  <c r="J4" i="20"/>
  <c r="B4" i="20"/>
  <c r="AE3" i="20"/>
  <c r="AH3" i="20"/>
  <c r="AI3" i="20"/>
  <c r="AM3" i="20"/>
  <c r="AD3" i="20" s="1"/>
  <c r="AN3" i="20"/>
  <c r="AO3" i="20"/>
  <c r="AF3" i="20" s="1"/>
  <c r="AP3" i="20"/>
  <c r="AQ3" i="20"/>
  <c r="AR3" i="20"/>
  <c r="AS3" i="20"/>
  <c r="AT3" i="20"/>
  <c r="AL3" i="20"/>
  <c r="BM3" i="19" s="1"/>
  <c r="BG4" i="25" s="1"/>
  <c r="S4" i="25" s="1"/>
  <c r="AJ3" i="20"/>
  <c r="AN5" i="25" l="1"/>
  <c r="AA4" i="19"/>
  <c r="AM5" i="25"/>
  <c r="BC5" i="20" s="1"/>
  <c r="R4" i="20"/>
  <c r="AS4" i="20" s="1"/>
  <c r="AJ4" i="20" s="1"/>
  <c r="BK3" i="19"/>
  <c r="BE4" i="25" s="1"/>
  <c r="X3" i="19"/>
  <c r="BJ3" i="19"/>
  <c r="BB4" i="25" s="1"/>
  <c r="N4" i="25" s="1"/>
  <c r="AI5" i="25" s="1"/>
  <c r="BC5" i="25" s="1"/>
  <c r="O5" i="25" s="1"/>
  <c r="AJ6" i="25" s="1"/>
  <c r="W3" i="19"/>
  <c r="J3" i="19" s="1"/>
  <c r="P4" i="20"/>
  <c r="V3" i="19"/>
  <c r="BI3" i="19"/>
  <c r="BA4" i="25" s="1"/>
  <c r="N4" i="20"/>
  <c r="BY4" i="20" s="1"/>
  <c r="T3" i="19"/>
  <c r="BG3" i="19"/>
  <c r="AX4" i="25" s="1"/>
  <c r="M4" i="20"/>
  <c r="AN4" i="20" s="1"/>
  <c r="AE4" i="20" s="1"/>
  <c r="BF3" i="19"/>
  <c r="S3" i="19"/>
  <c r="L4" i="20"/>
  <c r="BE3" i="19"/>
  <c r="AT4" i="25" s="1"/>
  <c r="R3" i="19"/>
  <c r="E3" i="19" s="1"/>
  <c r="AA5" i="22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AA18" i="22" s="1"/>
  <c r="AA19" i="22" s="1"/>
  <c r="AA20" i="22" s="1"/>
  <c r="AA21" i="22" s="1"/>
  <c r="AA22" i="22" s="1"/>
  <c r="AA23" i="22" s="1"/>
  <c r="AA24" i="22" s="1"/>
  <c r="AA25" i="22" s="1"/>
  <c r="AA26" i="22" s="1"/>
  <c r="AA27" i="22" s="1"/>
  <c r="AA28" i="22" s="1"/>
  <c r="AA29" i="22" s="1"/>
  <c r="AA30" i="22" s="1"/>
  <c r="AA31" i="22" s="1"/>
  <c r="AA32" i="22" s="1"/>
  <c r="AA33" i="22" s="1"/>
  <c r="AA34" i="22" s="1"/>
  <c r="AA35" i="22" s="1"/>
  <c r="AA36" i="22" s="1"/>
  <c r="AA37" i="22" s="1"/>
  <c r="AA38" i="22" s="1"/>
  <c r="AA39" i="22" s="1"/>
  <c r="AA40" i="22" s="1"/>
  <c r="AA41" i="22" s="1"/>
  <c r="AA42" i="22" s="1"/>
  <c r="AA43" i="22" s="1"/>
  <c r="AA44" i="22" s="1"/>
  <c r="AA45" i="22" s="1"/>
  <c r="AA46" i="22" s="1"/>
  <c r="AA47" i="22" s="1"/>
  <c r="AA48" i="22" s="1"/>
  <c r="AA49" i="22" s="1"/>
  <c r="AA50" i="22" s="1"/>
  <c r="AA51" i="22" s="1"/>
  <c r="AA52" i="22" s="1"/>
  <c r="AA53" i="22" s="1"/>
  <c r="AA54" i="22" s="1"/>
  <c r="AA55" i="22" s="1"/>
  <c r="AA56" i="22" s="1"/>
  <c r="AA57" i="22" s="1"/>
  <c r="AA58" i="22" s="1"/>
  <c r="AA59" i="22" s="1"/>
  <c r="AA60" i="22" s="1"/>
  <c r="AA61" i="22" s="1"/>
  <c r="AA62" i="22" s="1"/>
  <c r="AA63" i="22" s="1"/>
  <c r="AA64" i="22" s="1"/>
  <c r="AA65" i="22" s="1"/>
  <c r="AA66" i="22" s="1"/>
  <c r="AA67" i="22" s="1"/>
  <c r="AA68" i="22" s="1"/>
  <c r="AA69" i="22" s="1"/>
  <c r="AA70" i="22" s="1"/>
  <c r="AA71" i="22" s="1"/>
  <c r="AA72" i="22" s="1"/>
  <c r="AA73" i="22" s="1"/>
  <c r="AA74" i="22" s="1"/>
  <c r="AA75" i="22" s="1"/>
  <c r="AA76" i="22" s="1"/>
  <c r="AA77" i="22" s="1"/>
  <c r="AA78" i="22" s="1"/>
  <c r="AA79" i="22" s="1"/>
  <c r="AA80" i="22" s="1"/>
  <c r="AA81" i="22" s="1"/>
  <c r="AA82" i="22" s="1"/>
  <c r="AA83" i="22" s="1"/>
  <c r="AA84" i="22" s="1"/>
  <c r="AA85" i="22" s="1"/>
  <c r="AA86" i="22" s="1"/>
  <c r="AA87" i="22" s="1"/>
  <c r="AA88" i="22" s="1"/>
  <c r="AA89" i="22" s="1"/>
  <c r="AA90" i="22" s="1"/>
  <c r="AA91" i="22" s="1"/>
  <c r="AA92" i="22" s="1"/>
  <c r="AA93" i="22" s="1"/>
  <c r="AA94" i="22" s="1"/>
  <c r="AA95" i="22" s="1"/>
  <c r="AA96" i="22" s="1"/>
  <c r="AA97" i="22" s="1"/>
  <c r="AA98" i="22" s="1"/>
  <c r="AA99" i="22" s="1"/>
  <c r="AA100" i="22" s="1"/>
  <c r="AA101" i="22" s="1"/>
  <c r="AA102" i="22" s="1"/>
  <c r="AA103" i="22" s="1"/>
  <c r="AA104" i="22" s="1"/>
  <c r="AA105" i="22" s="1"/>
  <c r="AA106" i="22" s="1"/>
  <c r="AA107" i="22" s="1"/>
  <c r="AA108" i="22" s="1"/>
  <c r="AA109" i="22" s="1"/>
  <c r="AA110" i="22" s="1"/>
  <c r="AA111" i="22" s="1"/>
  <c r="AA112" i="22" s="1"/>
  <c r="AA113" i="22" s="1"/>
  <c r="AA114" i="22" s="1"/>
  <c r="AA115" i="22" s="1"/>
  <c r="AA116" i="22" s="1"/>
  <c r="AA117" i="22" s="1"/>
  <c r="AA118" i="22" s="1"/>
  <c r="AA119" i="22" s="1"/>
  <c r="AA120" i="22" s="1"/>
  <c r="AA121" i="22" s="1"/>
  <c r="AA122" i="22" s="1"/>
  <c r="AA123" i="22" s="1"/>
  <c r="AA124" i="22" s="1"/>
  <c r="AA125" i="22" s="1"/>
  <c r="AA126" i="22" s="1"/>
  <c r="AA127" i="22" s="1"/>
  <c r="AA128" i="22" s="1"/>
  <c r="AA129" i="22" s="1"/>
  <c r="AA130" i="22" s="1"/>
  <c r="AA131" i="22" s="1"/>
  <c r="AA132" i="22" s="1"/>
  <c r="AA133" i="22" s="1"/>
  <c r="AA134" i="22" s="1"/>
  <c r="AA135" i="22" s="1"/>
  <c r="AA136" i="22" s="1"/>
  <c r="AA137" i="22" s="1"/>
  <c r="AA138" i="22" s="1"/>
  <c r="AA139" i="22" s="1"/>
  <c r="AA140" i="22" s="1"/>
  <c r="AA141" i="22" s="1"/>
  <c r="AA142" i="22" s="1"/>
  <c r="AA143" i="22" s="1"/>
  <c r="AA144" i="22" s="1"/>
  <c r="AA145" i="22" s="1"/>
  <c r="AA146" i="22" s="1"/>
  <c r="AA147" i="22" s="1"/>
  <c r="AA148" i="22" s="1"/>
  <c r="AA149" i="22" s="1"/>
  <c r="AA150" i="22" s="1"/>
  <c r="AA151" i="22" s="1"/>
  <c r="AA152" i="22" s="1"/>
  <c r="AA153" i="22" s="1"/>
  <c r="AA154" i="22" s="1"/>
  <c r="AA155" i="22" s="1"/>
  <c r="AA156" i="22" s="1"/>
  <c r="AA157" i="22" s="1"/>
  <c r="AA158" i="22" s="1"/>
  <c r="AA159" i="22" s="1"/>
  <c r="AA160" i="22" s="1"/>
  <c r="AA161" i="22" s="1"/>
  <c r="AA162" i="22" s="1"/>
  <c r="AA163" i="22" s="1"/>
  <c r="AA164" i="22" s="1"/>
  <c r="AA165" i="22" s="1"/>
  <c r="AA166" i="22" s="1"/>
  <c r="AA167" i="22" s="1"/>
  <c r="AA168" i="22" s="1"/>
  <c r="AA169" i="22" s="1"/>
  <c r="AA170" i="22" s="1"/>
  <c r="AA171" i="22" s="1"/>
  <c r="AA172" i="22" s="1"/>
  <c r="AA173" i="22" s="1"/>
  <c r="AA174" i="22" s="1"/>
  <c r="AA175" i="22" s="1"/>
  <c r="AA176" i="22" s="1"/>
  <c r="AA177" i="22" s="1"/>
  <c r="AA178" i="22" s="1"/>
  <c r="AA179" i="22" s="1"/>
  <c r="AA180" i="22" s="1"/>
  <c r="AA181" i="22" s="1"/>
  <c r="AA182" i="22" s="1"/>
  <c r="Q4" i="20"/>
  <c r="AQ4" i="20"/>
  <c r="AH4" i="20" s="1"/>
  <c r="CA4" i="20"/>
  <c r="G3" i="19"/>
  <c r="F3" i="19"/>
  <c r="I3" i="19"/>
  <c r="K3" i="19"/>
  <c r="AM4" i="20"/>
  <c r="AD4" i="20" s="1"/>
  <c r="BW4" i="20"/>
  <c r="AY13" i="19"/>
  <c r="AY29" i="19"/>
  <c r="AY18" i="19"/>
  <c r="AY7" i="19"/>
  <c r="AY23" i="19"/>
  <c r="AY36" i="19"/>
  <c r="AY20" i="19"/>
  <c r="AY45" i="19"/>
  <c r="AY34" i="19"/>
  <c r="AY50" i="19"/>
  <c r="AY56" i="19"/>
  <c r="AY28" i="19"/>
  <c r="AY57" i="19"/>
  <c r="AY35" i="19"/>
  <c r="AY66" i="19"/>
  <c r="AY77" i="19"/>
  <c r="AY93" i="19"/>
  <c r="AY109" i="19"/>
  <c r="AY78" i="19"/>
  <c r="AY94" i="19"/>
  <c r="AY39" i="19"/>
  <c r="AY75" i="19"/>
  <c r="AY91" i="19"/>
  <c r="AY107" i="19"/>
  <c r="AY96" i="19"/>
  <c r="AY127" i="19"/>
  <c r="AY143" i="19"/>
  <c r="AY100" i="19"/>
  <c r="AY124" i="19"/>
  <c r="AY140" i="19"/>
  <c r="AY117" i="19"/>
  <c r="AY133" i="19"/>
  <c r="AY149" i="19"/>
  <c r="AY110" i="19"/>
  <c r="AY158" i="19"/>
  <c r="AY174" i="19"/>
  <c r="AY142" i="19"/>
  <c r="AY134" i="19"/>
  <c r="AY163" i="19"/>
  <c r="AY179" i="19"/>
  <c r="AY108" i="19"/>
  <c r="AY156" i="19"/>
  <c r="AY172" i="19"/>
  <c r="AY152" i="19"/>
  <c r="AY181" i="19"/>
  <c r="AY17" i="19"/>
  <c r="AY6" i="19"/>
  <c r="AY22" i="19"/>
  <c r="AY11" i="19"/>
  <c r="AY27" i="19"/>
  <c r="AY40" i="19"/>
  <c r="AY33" i="19"/>
  <c r="AY49" i="19"/>
  <c r="AY38" i="19"/>
  <c r="AY12" i="19"/>
  <c r="AY60" i="19"/>
  <c r="AY31" i="19"/>
  <c r="AY61" i="19"/>
  <c r="AY54" i="19"/>
  <c r="AY70" i="19"/>
  <c r="AY81" i="19"/>
  <c r="AY97" i="19"/>
  <c r="AY113" i="19"/>
  <c r="AY82" i="19"/>
  <c r="AY98" i="19"/>
  <c r="AY51" i="19"/>
  <c r="AY79" i="19"/>
  <c r="AY95" i="19"/>
  <c r="AY111" i="19"/>
  <c r="AY112" i="19"/>
  <c r="AY131" i="19"/>
  <c r="AY147" i="19"/>
  <c r="AY114" i="19"/>
  <c r="AY128" i="19"/>
  <c r="AY72" i="19"/>
  <c r="AY121" i="19"/>
  <c r="AY137" i="19"/>
  <c r="AY153" i="19"/>
  <c r="AY130" i="19"/>
  <c r="AY162" i="19"/>
  <c r="AY178" i="19"/>
  <c r="AY157" i="19"/>
  <c r="AY148" i="19"/>
  <c r="AY167" i="19"/>
  <c r="AY144" i="19"/>
  <c r="AY122" i="19"/>
  <c r="AY160" i="19"/>
  <c r="AY176" i="19"/>
  <c r="AY161" i="19"/>
  <c r="AY5" i="19"/>
  <c r="AY21" i="19"/>
  <c r="AY10" i="19"/>
  <c r="AY26" i="19"/>
  <c r="AY15" i="19"/>
  <c r="AY16" i="19"/>
  <c r="AY44" i="19"/>
  <c r="AY37" i="19"/>
  <c r="AY8" i="19"/>
  <c r="AY42" i="19"/>
  <c r="AY43" i="19"/>
  <c r="AY64" i="19"/>
  <c r="AY47" i="19"/>
  <c r="AY65" i="19"/>
  <c r="AY58" i="19"/>
  <c r="AY59" i="19"/>
  <c r="AY85" i="19"/>
  <c r="AY101" i="19"/>
  <c r="AY63" i="19"/>
  <c r="AY86" i="19"/>
  <c r="AY102" i="19"/>
  <c r="AY67" i="19"/>
  <c r="AY83" i="19"/>
  <c r="AY99" i="19"/>
  <c r="AY115" i="19"/>
  <c r="AY119" i="19"/>
  <c r="AY135" i="19"/>
  <c r="AY151" i="19"/>
  <c r="AY116" i="19"/>
  <c r="AY132" i="19"/>
  <c r="AY88" i="19"/>
  <c r="AY125" i="19"/>
  <c r="AY141" i="19"/>
  <c r="AY55" i="19"/>
  <c r="AY146" i="19"/>
  <c r="AY166" i="19"/>
  <c r="AY182" i="19"/>
  <c r="AY92" i="19"/>
  <c r="AY155" i="19"/>
  <c r="AY171" i="19"/>
  <c r="AY165" i="19"/>
  <c r="AY138" i="19"/>
  <c r="AY164" i="19"/>
  <c r="AY180" i="19"/>
  <c r="AY169" i="19"/>
  <c r="AY30" i="19"/>
  <c r="AY41" i="19"/>
  <c r="AY68" i="19"/>
  <c r="AY73" i="19"/>
  <c r="AY90" i="19"/>
  <c r="AY103" i="19"/>
  <c r="AY84" i="19"/>
  <c r="AY129" i="19"/>
  <c r="AY170" i="19"/>
  <c r="AY175" i="19"/>
  <c r="AY126" i="19"/>
  <c r="AY14" i="19"/>
  <c r="AY48" i="19"/>
  <c r="AY52" i="19"/>
  <c r="AY62" i="19"/>
  <c r="AY74" i="19"/>
  <c r="AY87" i="19"/>
  <c r="AY139" i="19"/>
  <c r="AY104" i="19"/>
  <c r="AY154" i="19"/>
  <c r="AY159" i="19"/>
  <c r="AY168" i="19"/>
  <c r="AY9" i="19"/>
  <c r="AY19" i="19"/>
  <c r="AY24" i="19"/>
  <c r="AY53" i="19"/>
  <c r="AY89" i="19"/>
  <c r="AY106" i="19"/>
  <c r="AY80" i="19"/>
  <c r="AY120" i="19"/>
  <c r="AY145" i="19"/>
  <c r="AY4" i="19"/>
  <c r="AY173" i="19"/>
  <c r="AY177" i="19"/>
  <c r="AY25" i="19"/>
  <c r="AY32" i="19"/>
  <c r="AY46" i="19"/>
  <c r="AY69" i="19"/>
  <c r="AY105" i="19"/>
  <c r="AY71" i="19"/>
  <c r="AY123" i="19"/>
  <c r="AY136" i="19"/>
  <c r="AY76" i="19"/>
  <c r="AY118" i="19"/>
  <c r="AY150" i="19"/>
  <c r="AO19" i="19"/>
  <c r="AO8" i="19"/>
  <c r="AO24" i="19"/>
  <c r="AO13" i="19"/>
  <c r="AO29" i="19"/>
  <c r="AO42" i="19"/>
  <c r="AO22" i="19"/>
  <c r="AO47" i="19"/>
  <c r="AO36" i="19"/>
  <c r="AO45" i="19"/>
  <c r="AO66" i="19"/>
  <c r="AO49" i="19"/>
  <c r="AO63" i="19"/>
  <c r="AO52" i="19"/>
  <c r="AO68" i="19"/>
  <c r="AO79" i="19"/>
  <c r="AO95" i="19"/>
  <c r="AO111" i="19"/>
  <c r="AO76" i="19"/>
  <c r="AO92" i="19"/>
  <c r="AO108" i="19"/>
  <c r="AO77" i="19"/>
  <c r="AO93" i="19"/>
  <c r="AO109" i="19"/>
  <c r="AO98" i="19"/>
  <c r="AO125" i="19"/>
  <c r="AO141" i="19"/>
  <c r="AO41" i="19"/>
  <c r="AO118" i="19"/>
  <c r="AO134" i="19"/>
  <c r="AO90" i="19"/>
  <c r="AO127" i="19"/>
  <c r="AO143" i="19"/>
  <c r="AO148" i="19"/>
  <c r="AO168" i="19"/>
  <c r="AO181" i="19"/>
  <c r="AO171" i="19"/>
  <c r="AO136" i="19"/>
  <c r="AO165" i="19"/>
  <c r="AO155" i="19"/>
  <c r="AO112" i="19"/>
  <c r="AO158" i="19"/>
  <c r="AO174" i="19"/>
  <c r="AO144" i="19"/>
  <c r="AO7" i="19"/>
  <c r="AO23" i="19"/>
  <c r="AO12" i="19"/>
  <c r="AO28" i="19"/>
  <c r="AO17" i="19"/>
  <c r="AO18" i="19"/>
  <c r="AO46" i="19"/>
  <c r="AO35" i="19"/>
  <c r="AO10" i="19"/>
  <c r="AO40" i="19"/>
  <c r="AO54" i="19"/>
  <c r="AO70" i="19"/>
  <c r="AO51" i="19"/>
  <c r="AO67" i="19"/>
  <c r="AO56" i="19"/>
  <c r="AO61" i="19"/>
  <c r="AO83" i="19"/>
  <c r="AO99" i="19"/>
  <c r="AO115" i="19"/>
  <c r="AO80" i="19"/>
  <c r="AO96" i="19"/>
  <c r="AO53" i="19"/>
  <c r="AO81" i="19"/>
  <c r="AO97" i="19"/>
  <c r="AO113" i="19"/>
  <c r="AO114" i="19"/>
  <c r="AO129" i="19"/>
  <c r="AO145" i="19"/>
  <c r="AO86" i="19"/>
  <c r="AO122" i="19"/>
  <c r="AO138" i="19"/>
  <c r="AO106" i="19"/>
  <c r="AO131" i="19"/>
  <c r="AO147" i="19"/>
  <c r="AO156" i="19"/>
  <c r="AO172" i="19"/>
  <c r="AO110" i="19"/>
  <c r="AO175" i="19"/>
  <c r="AO150" i="19"/>
  <c r="AO169" i="19"/>
  <c r="AO167" i="19"/>
  <c r="AO124" i="19"/>
  <c r="AO162" i="19"/>
  <c r="AO178" i="19"/>
  <c r="AO146" i="19"/>
  <c r="AO11" i="19"/>
  <c r="AO27" i="19"/>
  <c r="AO16" i="19"/>
  <c r="AO5" i="19"/>
  <c r="AO21" i="19"/>
  <c r="AO34" i="19"/>
  <c r="AO50" i="19"/>
  <c r="AO39" i="19"/>
  <c r="AO26" i="19"/>
  <c r="AO44" i="19"/>
  <c r="AO58" i="19"/>
  <c r="AO14" i="19"/>
  <c r="AO55" i="19"/>
  <c r="AO30" i="19"/>
  <c r="AO60" i="19"/>
  <c r="AO71" i="19"/>
  <c r="AO87" i="19"/>
  <c r="AO103" i="19"/>
  <c r="AO65" i="19"/>
  <c r="AO84" i="19"/>
  <c r="AO100" i="19"/>
  <c r="AO69" i="19"/>
  <c r="AO85" i="19"/>
  <c r="AO101" i="19"/>
  <c r="AO57" i="19"/>
  <c r="AO117" i="19"/>
  <c r="AO133" i="19"/>
  <c r="AO149" i="19"/>
  <c r="AO102" i="19"/>
  <c r="AO126" i="19"/>
  <c r="AO142" i="19"/>
  <c r="AO119" i="19"/>
  <c r="AO135" i="19"/>
  <c r="AO151" i="19"/>
  <c r="AO160" i="19"/>
  <c r="AO176" i="19"/>
  <c r="AO154" i="19"/>
  <c r="AO78" i="19"/>
  <c r="AO157" i="19"/>
  <c r="AO173" i="19"/>
  <c r="AO179" i="19"/>
  <c r="AO140" i="19"/>
  <c r="AO166" i="19"/>
  <c r="AO182" i="19"/>
  <c r="AO159" i="19"/>
  <c r="AO15" i="19"/>
  <c r="AO31" i="19"/>
  <c r="AO20" i="19"/>
  <c r="AO9" i="19"/>
  <c r="AO25" i="19"/>
  <c r="AO38" i="19"/>
  <c r="AO6" i="19"/>
  <c r="AO43" i="19"/>
  <c r="AO32" i="19"/>
  <c r="AO48" i="19"/>
  <c r="AO62" i="19"/>
  <c r="AO33" i="19"/>
  <c r="AO59" i="19"/>
  <c r="AO37" i="19"/>
  <c r="AO64" i="19"/>
  <c r="AO75" i="19"/>
  <c r="AO91" i="19"/>
  <c r="AO107" i="19"/>
  <c r="AO72" i="19"/>
  <c r="AO88" i="19"/>
  <c r="AO104" i="19"/>
  <c r="AO73" i="19"/>
  <c r="AO89" i="19"/>
  <c r="AO105" i="19"/>
  <c r="AO82" i="19"/>
  <c r="AO121" i="19"/>
  <c r="AO137" i="19"/>
  <c r="AO153" i="19"/>
  <c r="AO116" i="19"/>
  <c r="AO130" i="19"/>
  <c r="AO74" i="19"/>
  <c r="AO123" i="19"/>
  <c r="AO139" i="19"/>
  <c r="AO132" i="19"/>
  <c r="AO164" i="19"/>
  <c r="AO180" i="19"/>
  <c r="AO163" i="19"/>
  <c r="AO120" i="19"/>
  <c r="AO161" i="19"/>
  <c r="AO177" i="19"/>
  <c r="AO94" i="19"/>
  <c r="AO152" i="19"/>
  <c r="AO170" i="19"/>
  <c r="AO128" i="19"/>
  <c r="AO4" i="19"/>
  <c r="Y5" i="22" s="1"/>
  <c r="N3" i="19"/>
  <c r="P5" i="20"/>
  <c r="CA5" i="20" s="1"/>
  <c r="AK3" i="20"/>
  <c r="Z3" i="19" s="1"/>
  <c r="AG3" i="20"/>
  <c r="AC3" i="20"/>
  <c r="AO4" i="20" l="1"/>
  <c r="AF4" i="20" s="1"/>
  <c r="CC4" i="20"/>
  <c r="BX4" i="20"/>
  <c r="BH5" i="25"/>
  <c r="T5" i="25" s="1"/>
  <c r="AO6" i="25" s="1"/>
  <c r="BI6" i="25" s="1"/>
  <c r="U6" i="25" s="1"/>
  <c r="CA5" i="19"/>
  <c r="BK4" i="19"/>
  <c r="X4" i="19"/>
  <c r="Q4" i="25"/>
  <c r="M4" i="25"/>
  <c r="V4" i="19"/>
  <c r="BI4" i="19"/>
  <c r="BH3" i="19"/>
  <c r="U3" i="19"/>
  <c r="T4" i="19"/>
  <c r="BG4" i="19"/>
  <c r="J4" i="25"/>
  <c r="AY4" i="25"/>
  <c r="K4" i="25" s="1"/>
  <c r="AU4" i="25"/>
  <c r="G4" i="25" s="1"/>
  <c r="AB5" i="25" s="1"/>
  <c r="AV5" i="25" s="1"/>
  <c r="H5" i="25" s="1"/>
  <c r="AC6" i="25" s="1"/>
  <c r="R4" i="19"/>
  <c r="BE4" i="19"/>
  <c r="F4" i="25"/>
  <c r="P3" i="19"/>
  <c r="BC3" i="19"/>
  <c r="AR4" i="25" s="1"/>
  <c r="Y6" i="22"/>
  <c r="AV16" i="19"/>
  <c r="AV5" i="19"/>
  <c r="AV21" i="19"/>
  <c r="AV10" i="19"/>
  <c r="AV26" i="19"/>
  <c r="AV35" i="19"/>
  <c r="AV19" i="19"/>
  <c r="AV44" i="19"/>
  <c r="AV33" i="19"/>
  <c r="AV49" i="19"/>
  <c r="AV55" i="19"/>
  <c r="AV46" i="19"/>
  <c r="AV64" i="19"/>
  <c r="AV53" i="19"/>
  <c r="AV69" i="19"/>
  <c r="AV80" i="19"/>
  <c r="AV96" i="19"/>
  <c r="AV112" i="19"/>
  <c r="AV77" i="19"/>
  <c r="AV93" i="19"/>
  <c r="AV109" i="19"/>
  <c r="AV82" i="19"/>
  <c r="AV98" i="19"/>
  <c r="AV114" i="19"/>
  <c r="AV118" i="19"/>
  <c r="AV134" i="19"/>
  <c r="AV150" i="19"/>
  <c r="AV119" i="19"/>
  <c r="AV135" i="19"/>
  <c r="AV54" i="19"/>
  <c r="AV115" i="19"/>
  <c r="AV128" i="19"/>
  <c r="AV144" i="19"/>
  <c r="AV129" i="19"/>
  <c r="AV20" i="19"/>
  <c r="AV9" i="19"/>
  <c r="AV25" i="19"/>
  <c r="AV14" i="19"/>
  <c r="AV30" i="19"/>
  <c r="AV39" i="19"/>
  <c r="AV32" i="19"/>
  <c r="AV48" i="19"/>
  <c r="AV37" i="19"/>
  <c r="AV27" i="19"/>
  <c r="AV59" i="19"/>
  <c r="AV52" i="19"/>
  <c r="AV68" i="19"/>
  <c r="AV57" i="19"/>
  <c r="AV58" i="19"/>
  <c r="AV84" i="19"/>
  <c r="AV100" i="19"/>
  <c r="AV38" i="19"/>
  <c r="AV81" i="19"/>
  <c r="AV97" i="19"/>
  <c r="AV66" i="19"/>
  <c r="AV86" i="19"/>
  <c r="AV102" i="19"/>
  <c r="AV79" i="19"/>
  <c r="AV122" i="19"/>
  <c r="AV138" i="19"/>
  <c r="AV83" i="19"/>
  <c r="AV123" i="19"/>
  <c r="AV139" i="19"/>
  <c r="AV71" i="19"/>
  <c r="AV116" i="19"/>
  <c r="AV132" i="19"/>
  <c r="AV148" i="19"/>
  <c r="AV145" i="19"/>
  <c r="AV8" i="19"/>
  <c r="AV24" i="19"/>
  <c r="AV13" i="19"/>
  <c r="AV29" i="19"/>
  <c r="AV18" i="19"/>
  <c r="AV15" i="19"/>
  <c r="AV43" i="19"/>
  <c r="AV36" i="19"/>
  <c r="AV7" i="19"/>
  <c r="AV41" i="19"/>
  <c r="AV42" i="19"/>
  <c r="AV63" i="19"/>
  <c r="AV56" i="19"/>
  <c r="AV34" i="19"/>
  <c r="AV61" i="19"/>
  <c r="AV72" i="19"/>
  <c r="AV88" i="19"/>
  <c r="AV104" i="19"/>
  <c r="AV62" i="19"/>
  <c r="AV85" i="19"/>
  <c r="AV101" i="19"/>
  <c r="AV74" i="19"/>
  <c r="AV90" i="19"/>
  <c r="AV106" i="19"/>
  <c r="AV95" i="19"/>
  <c r="AV126" i="19"/>
  <c r="AV142" i="19"/>
  <c r="AV99" i="19"/>
  <c r="AV127" i="19"/>
  <c r="AV143" i="19"/>
  <c r="AV87" i="19"/>
  <c r="AV120" i="19"/>
  <c r="AV136" i="19"/>
  <c r="AV152" i="19"/>
  <c r="AV153" i="19"/>
  <c r="AV28" i="19"/>
  <c r="AV31" i="19"/>
  <c r="AV45" i="19"/>
  <c r="AV50" i="19"/>
  <c r="AV108" i="19"/>
  <c r="AV78" i="19"/>
  <c r="AV130" i="19"/>
  <c r="AV11" i="19"/>
  <c r="AV91" i="19"/>
  <c r="AV169" i="19"/>
  <c r="AV182" i="19"/>
  <c r="AV117" i="19"/>
  <c r="AV158" i="19"/>
  <c r="AV174" i="19"/>
  <c r="AV121" i="19"/>
  <c r="AV159" i="19"/>
  <c r="AV175" i="19"/>
  <c r="AV125" i="19"/>
  <c r="AV164" i="19"/>
  <c r="AV17" i="19"/>
  <c r="AV47" i="19"/>
  <c r="AV51" i="19"/>
  <c r="AV65" i="19"/>
  <c r="AV73" i="19"/>
  <c r="AV94" i="19"/>
  <c r="AV146" i="19"/>
  <c r="AV103" i="19"/>
  <c r="AV157" i="19"/>
  <c r="AV173" i="19"/>
  <c r="AV160" i="19"/>
  <c r="AV133" i="19"/>
  <c r="AV162" i="19"/>
  <c r="AV178" i="19"/>
  <c r="AV137" i="19"/>
  <c r="AV163" i="19"/>
  <c r="AV179" i="19"/>
  <c r="AV141" i="19"/>
  <c r="AV168" i="19"/>
  <c r="AV6" i="19"/>
  <c r="AV40" i="19"/>
  <c r="AV67" i="19"/>
  <c r="AV76" i="19"/>
  <c r="AV89" i="19"/>
  <c r="AV110" i="19"/>
  <c r="AV113" i="19"/>
  <c r="AV124" i="19"/>
  <c r="AV161" i="19"/>
  <c r="AV177" i="19"/>
  <c r="AV180" i="19"/>
  <c r="AV147" i="19"/>
  <c r="AV166" i="19"/>
  <c r="AV4" i="19"/>
  <c r="AV149" i="19"/>
  <c r="AV167" i="19"/>
  <c r="AV70" i="19"/>
  <c r="AV151" i="19"/>
  <c r="AV176" i="19"/>
  <c r="AV60" i="19"/>
  <c r="AV131" i="19"/>
  <c r="AV107" i="19"/>
  <c r="AV155" i="19"/>
  <c r="AV23" i="19"/>
  <c r="AV111" i="19"/>
  <c r="AV181" i="19"/>
  <c r="AV172" i="19"/>
  <c r="AV156" i="19"/>
  <c r="AV12" i="19"/>
  <c r="AV92" i="19"/>
  <c r="AV140" i="19"/>
  <c r="AV154" i="19"/>
  <c r="AV171" i="19"/>
  <c r="AV22" i="19"/>
  <c r="AV105" i="19"/>
  <c r="AV165" i="19"/>
  <c r="AV170" i="19"/>
  <c r="AV75" i="19"/>
  <c r="AT10" i="19"/>
  <c r="AT26" i="19"/>
  <c r="AT15" i="19"/>
  <c r="AT8" i="19"/>
  <c r="AT24" i="19"/>
  <c r="AT33" i="19"/>
  <c r="AT49" i="19"/>
  <c r="AT38" i="19"/>
  <c r="AT17" i="19"/>
  <c r="AT43" i="19"/>
  <c r="AT57" i="19"/>
  <c r="AT40" i="19"/>
  <c r="AT66" i="19"/>
  <c r="AT51" i="19"/>
  <c r="AT67" i="19"/>
  <c r="AT74" i="19"/>
  <c r="AT90" i="19"/>
  <c r="AT106" i="19"/>
  <c r="AT48" i="19"/>
  <c r="AT79" i="19"/>
  <c r="AT95" i="19"/>
  <c r="AT60" i="19"/>
  <c r="AT84" i="19"/>
  <c r="AT100" i="19"/>
  <c r="AT73" i="19"/>
  <c r="AT116" i="19"/>
  <c r="AT132" i="19"/>
  <c r="AT148" i="19"/>
  <c r="AT109" i="19"/>
  <c r="AT125" i="19"/>
  <c r="AT141" i="19"/>
  <c r="AT118" i="19"/>
  <c r="AT134" i="19"/>
  <c r="AT150" i="19"/>
  <c r="AT147" i="19"/>
  <c r="AT167" i="19"/>
  <c r="AT145" i="19"/>
  <c r="AT111" i="19"/>
  <c r="AT156" i="19"/>
  <c r="AT172" i="19"/>
  <c r="AT158" i="19"/>
  <c r="AT157" i="19"/>
  <c r="AT173" i="19"/>
  <c r="AT119" i="19"/>
  <c r="AT182" i="19"/>
  <c r="AT14" i="19"/>
  <c r="AT30" i="19"/>
  <c r="AT19" i="19"/>
  <c r="AT12" i="19"/>
  <c r="AT28" i="19"/>
  <c r="AT37" i="19"/>
  <c r="AT13" i="19"/>
  <c r="AT42" i="19"/>
  <c r="AT31" i="19"/>
  <c r="AT47" i="19"/>
  <c r="AT61" i="19"/>
  <c r="AT54" i="19"/>
  <c r="AT70" i="19"/>
  <c r="AT55" i="19"/>
  <c r="AT32" i="19"/>
  <c r="AT78" i="19"/>
  <c r="AT94" i="19"/>
  <c r="AT110" i="19"/>
  <c r="AT56" i="19"/>
  <c r="AT83" i="19"/>
  <c r="AT99" i="19"/>
  <c r="AT72" i="19"/>
  <c r="AT88" i="19"/>
  <c r="AT104" i="19"/>
  <c r="AT89" i="19"/>
  <c r="AT120" i="19"/>
  <c r="AT136" i="19"/>
  <c r="AT152" i="19"/>
  <c r="AT115" i="19"/>
  <c r="AT129" i="19"/>
  <c r="AT64" i="19"/>
  <c r="AT122" i="19"/>
  <c r="AT138" i="19"/>
  <c r="AT101" i="19"/>
  <c r="AT155" i="19"/>
  <c r="AT171" i="19"/>
  <c r="AT162" i="19"/>
  <c r="AT127" i="19"/>
  <c r="AT160" i="19"/>
  <c r="AT176" i="19"/>
  <c r="AT170" i="19"/>
  <c r="AT161" i="19"/>
  <c r="AT177" i="19"/>
  <c r="AT135" i="19"/>
  <c r="AT4" i="19"/>
  <c r="AT18" i="19"/>
  <c r="AT7" i="19"/>
  <c r="AT23" i="19"/>
  <c r="AT16" i="19"/>
  <c r="AT9" i="19"/>
  <c r="AT41" i="19"/>
  <c r="AT29" i="19"/>
  <c r="AT46" i="19"/>
  <c r="AT35" i="19"/>
  <c r="AT36" i="19"/>
  <c r="AT65" i="19"/>
  <c r="AT58" i="19"/>
  <c r="AT5" i="19"/>
  <c r="AT59" i="19"/>
  <c r="AT52" i="19"/>
  <c r="AT82" i="19"/>
  <c r="AT98" i="19"/>
  <c r="AT114" i="19"/>
  <c r="AT71" i="19"/>
  <c r="AT87" i="19"/>
  <c r="AT103" i="19"/>
  <c r="AT76" i="19"/>
  <c r="AT92" i="19"/>
  <c r="AT108" i="19"/>
  <c r="AT105" i="19"/>
  <c r="AT124" i="19"/>
  <c r="AT140" i="19"/>
  <c r="AT77" i="19"/>
  <c r="AT117" i="19"/>
  <c r="AT133" i="19"/>
  <c r="AT81" i="19"/>
  <c r="AT126" i="19"/>
  <c r="AT142" i="19"/>
  <c r="AT123" i="19"/>
  <c r="AT159" i="19"/>
  <c r="AT175" i="19"/>
  <c r="AT166" i="19"/>
  <c r="AT143" i="19"/>
  <c r="AT164" i="19"/>
  <c r="AT180" i="19"/>
  <c r="AT131" i="19"/>
  <c r="AT165" i="19"/>
  <c r="AT181" i="19"/>
  <c r="AT154" i="19"/>
  <c r="AT6" i="19"/>
  <c r="AT20" i="19"/>
  <c r="AT50" i="19"/>
  <c r="AT62" i="19"/>
  <c r="AT86" i="19"/>
  <c r="AT91" i="19"/>
  <c r="AT112" i="19"/>
  <c r="AT93" i="19"/>
  <c r="AT130" i="19"/>
  <c r="AT179" i="19"/>
  <c r="AT153" i="19"/>
  <c r="AT174" i="19"/>
  <c r="AT27" i="19"/>
  <c r="AT34" i="19"/>
  <c r="AT69" i="19"/>
  <c r="AT68" i="19"/>
  <c r="AT75" i="19"/>
  <c r="AT96" i="19"/>
  <c r="AT144" i="19"/>
  <c r="AT97" i="19"/>
  <c r="AT163" i="19"/>
  <c r="AT168" i="19"/>
  <c r="AT85" i="19"/>
  <c r="AT22" i="19"/>
  <c r="AT25" i="19"/>
  <c r="AT39" i="19"/>
  <c r="AT44" i="19"/>
  <c r="AT102" i="19"/>
  <c r="AT107" i="19"/>
  <c r="AT113" i="19"/>
  <c r="AT121" i="19"/>
  <c r="AT146" i="19"/>
  <c r="AT178" i="19"/>
  <c r="AT151" i="19"/>
  <c r="AT11" i="19"/>
  <c r="AT45" i="19"/>
  <c r="AT53" i="19"/>
  <c r="AT63" i="19"/>
  <c r="AT21" i="19"/>
  <c r="AT80" i="19"/>
  <c r="AT128" i="19"/>
  <c r="AT137" i="19"/>
  <c r="AT139" i="19"/>
  <c r="AT149" i="19"/>
  <c r="AT169" i="19"/>
  <c r="O4" i="20"/>
  <c r="H3" i="19"/>
  <c r="AX10" i="19"/>
  <c r="AX26" i="19"/>
  <c r="AX15" i="19"/>
  <c r="AX8" i="19"/>
  <c r="AX24" i="19"/>
  <c r="AX33" i="19"/>
  <c r="AX49" i="19"/>
  <c r="AX38" i="19"/>
  <c r="AX13" i="19"/>
  <c r="AX39" i="19"/>
  <c r="AX32" i="19"/>
  <c r="AX61" i="19"/>
  <c r="AX54" i="19"/>
  <c r="AX40" i="19"/>
  <c r="AX63" i="19"/>
  <c r="AX78" i="19"/>
  <c r="AX94" i="19"/>
  <c r="AX110" i="19"/>
  <c r="AX70" i="19"/>
  <c r="AX83" i="19"/>
  <c r="AX99" i="19"/>
  <c r="AX56" i="19"/>
  <c r="AX84" i="19"/>
  <c r="AX100" i="19"/>
  <c r="AX85" i="19"/>
  <c r="AX124" i="19"/>
  <c r="AX140" i="19"/>
  <c r="AX73" i="19"/>
  <c r="AX117" i="19"/>
  <c r="AX133" i="19"/>
  <c r="AX93" i="19"/>
  <c r="AX122" i="19"/>
  <c r="AX138" i="19"/>
  <c r="AX81" i="19"/>
  <c r="AX151" i="19"/>
  <c r="AX167" i="19"/>
  <c r="AX180" i="19"/>
  <c r="AX123" i="19"/>
  <c r="AX156" i="19"/>
  <c r="AX172" i="19"/>
  <c r="AX4" i="19"/>
  <c r="AX157" i="19"/>
  <c r="AX173" i="19"/>
  <c r="AX149" i="19"/>
  <c r="AX170" i="19"/>
  <c r="AX14" i="19"/>
  <c r="AX30" i="19"/>
  <c r="AX19" i="19"/>
  <c r="AX12" i="19"/>
  <c r="AX28" i="19"/>
  <c r="AX37" i="19"/>
  <c r="AX9" i="19"/>
  <c r="AX42" i="19"/>
  <c r="AX29" i="19"/>
  <c r="AX43" i="19"/>
  <c r="AX48" i="19"/>
  <c r="AX65" i="19"/>
  <c r="AX58" i="19"/>
  <c r="AX51" i="19"/>
  <c r="AX67" i="19"/>
  <c r="AX82" i="19"/>
  <c r="AX98" i="19"/>
  <c r="AX114" i="19"/>
  <c r="AX71" i="19"/>
  <c r="AX87" i="19"/>
  <c r="AX103" i="19"/>
  <c r="AX72" i="19"/>
  <c r="AX88" i="19"/>
  <c r="AX104" i="19"/>
  <c r="AX101" i="19"/>
  <c r="AX128" i="19"/>
  <c r="AX144" i="19"/>
  <c r="AX89" i="19"/>
  <c r="AX121" i="19"/>
  <c r="AX137" i="19"/>
  <c r="AX109" i="19"/>
  <c r="AX126" i="19"/>
  <c r="AX142" i="19"/>
  <c r="AX115" i="19"/>
  <c r="AX155" i="19"/>
  <c r="AX171" i="19"/>
  <c r="AX158" i="19"/>
  <c r="AX139" i="19"/>
  <c r="AX160" i="19"/>
  <c r="AX176" i="19"/>
  <c r="AX127" i="19"/>
  <c r="AX161" i="19"/>
  <c r="AX177" i="19"/>
  <c r="AX154" i="19"/>
  <c r="AX178" i="19"/>
  <c r="AX18" i="19"/>
  <c r="AX7" i="19"/>
  <c r="AX23" i="19"/>
  <c r="AX16" i="19"/>
  <c r="AX5" i="19"/>
  <c r="AX41" i="19"/>
  <c r="AX25" i="19"/>
  <c r="AX46" i="19"/>
  <c r="AX31" i="19"/>
  <c r="AX47" i="19"/>
  <c r="AX53" i="19"/>
  <c r="AX69" i="19"/>
  <c r="AX62" i="19"/>
  <c r="AX55" i="19"/>
  <c r="AX64" i="19"/>
  <c r="AX86" i="19"/>
  <c r="AX102" i="19"/>
  <c r="AX52" i="19"/>
  <c r="AX75" i="19"/>
  <c r="AX91" i="19"/>
  <c r="AX107" i="19"/>
  <c r="AX76" i="19"/>
  <c r="AX92" i="19"/>
  <c r="AX108" i="19"/>
  <c r="AX116" i="19"/>
  <c r="AX132" i="19"/>
  <c r="AX148" i="19"/>
  <c r="AX105" i="19"/>
  <c r="AX125" i="19"/>
  <c r="AX141" i="19"/>
  <c r="AX113" i="19"/>
  <c r="AX130" i="19"/>
  <c r="AX146" i="19"/>
  <c r="AX119" i="19"/>
  <c r="AX159" i="19"/>
  <c r="AX175" i="19"/>
  <c r="AX60" i="19"/>
  <c r="AX145" i="19"/>
  <c r="AX164" i="19"/>
  <c r="AX174" i="19"/>
  <c r="AX143" i="19"/>
  <c r="AX165" i="19"/>
  <c r="AX181" i="19"/>
  <c r="AX162" i="19"/>
  <c r="AX11" i="19"/>
  <c r="AX45" i="19"/>
  <c r="AX17" i="19"/>
  <c r="AX59" i="19"/>
  <c r="AX68" i="19"/>
  <c r="AX80" i="19"/>
  <c r="AX136" i="19"/>
  <c r="AX77" i="19"/>
  <c r="AX135" i="19"/>
  <c r="AX153" i="19"/>
  <c r="AX169" i="19"/>
  <c r="AX27" i="19"/>
  <c r="AX34" i="19"/>
  <c r="AX57" i="19"/>
  <c r="AX74" i="19"/>
  <c r="AX79" i="19"/>
  <c r="AX96" i="19"/>
  <c r="AX152" i="19"/>
  <c r="AX118" i="19"/>
  <c r="AX163" i="19"/>
  <c r="AX168" i="19"/>
  <c r="AX131" i="19"/>
  <c r="AX6" i="19"/>
  <c r="AX20" i="19"/>
  <c r="AX50" i="19"/>
  <c r="AX36" i="19"/>
  <c r="AX90" i="19"/>
  <c r="AX95" i="19"/>
  <c r="AX112" i="19"/>
  <c r="AX111" i="19"/>
  <c r="AX134" i="19"/>
  <c r="AX179" i="19"/>
  <c r="AX182" i="19"/>
  <c r="AX166" i="19"/>
  <c r="AX35" i="19"/>
  <c r="AX120" i="19"/>
  <c r="AX147" i="19"/>
  <c r="AX21" i="19"/>
  <c r="AX44" i="19"/>
  <c r="AX97" i="19"/>
  <c r="AX66" i="19"/>
  <c r="AX129" i="19"/>
  <c r="AX22" i="19"/>
  <c r="AX106" i="19"/>
  <c r="AX150" i="19"/>
  <c r="S4" i="20"/>
  <c r="M3" i="19"/>
  <c r="AW19" i="19"/>
  <c r="AW12" i="19"/>
  <c r="AW28" i="19"/>
  <c r="AW17" i="19"/>
  <c r="AW10" i="19"/>
  <c r="AW42" i="19"/>
  <c r="AW30" i="19"/>
  <c r="AW43" i="19"/>
  <c r="AW36" i="19"/>
  <c r="AW22" i="19"/>
  <c r="AW62" i="19"/>
  <c r="AW55" i="19"/>
  <c r="AW45" i="19"/>
  <c r="AW64" i="19"/>
  <c r="AW70" i="19"/>
  <c r="AW83" i="19"/>
  <c r="AW99" i="19"/>
  <c r="AW115" i="19"/>
  <c r="AW76" i="19"/>
  <c r="AW92" i="19"/>
  <c r="AW108" i="19"/>
  <c r="AW73" i="19"/>
  <c r="AW89" i="19"/>
  <c r="AW105" i="19"/>
  <c r="AW90" i="19"/>
  <c r="AW121" i="19"/>
  <c r="AW137" i="19"/>
  <c r="AW153" i="19"/>
  <c r="AW122" i="19"/>
  <c r="AW138" i="19"/>
  <c r="AW110" i="19"/>
  <c r="AW131" i="19"/>
  <c r="AW147" i="19"/>
  <c r="AW140" i="19"/>
  <c r="AW164" i="19"/>
  <c r="AW180" i="19"/>
  <c r="AW102" i="19"/>
  <c r="AW161" i="19"/>
  <c r="AW177" i="19"/>
  <c r="AW116" i="19"/>
  <c r="AW154" i="19"/>
  <c r="AW170" i="19"/>
  <c r="AW4" i="19"/>
  <c r="AW155" i="19"/>
  <c r="AW7" i="19"/>
  <c r="AW23" i="19"/>
  <c r="AW16" i="19"/>
  <c r="AW5" i="19"/>
  <c r="AW21" i="19"/>
  <c r="AW26" i="19"/>
  <c r="AW46" i="19"/>
  <c r="AW31" i="19"/>
  <c r="AW47" i="19"/>
  <c r="AW40" i="19"/>
  <c r="AW37" i="19"/>
  <c r="AW66" i="19"/>
  <c r="AW59" i="19"/>
  <c r="AW52" i="19"/>
  <c r="AW68" i="19"/>
  <c r="AW71" i="19"/>
  <c r="AW87" i="19"/>
  <c r="AW103" i="19"/>
  <c r="AW33" i="19"/>
  <c r="AW80" i="19"/>
  <c r="AW96" i="19"/>
  <c r="AW6" i="19"/>
  <c r="AW77" i="19"/>
  <c r="AW93" i="19"/>
  <c r="AW109" i="19"/>
  <c r="AW106" i="19"/>
  <c r="AW125" i="19"/>
  <c r="AW141" i="19"/>
  <c r="AW78" i="19"/>
  <c r="AW126" i="19"/>
  <c r="AW142" i="19"/>
  <c r="AW119" i="19"/>
  <c r="AW135" i="19"/>
  <c r="AW151" i="19"/>
  <c r="AW148" i="19"/>
  <c r="AW168" i="19"/>
  <c r="AW181" i="19"/>
  <c r="AW128" i="19"/>
  <c r="AW165" i="19"/>
  <c r="AW163" i="19"/>
  <c r="AW132" i="19"/>
  <c r="AW158" i="19"/>
  <c r="AW174" i="19"/>
  <c r="AW112" i="19"/>
  <c r="AW167" i="19"/>
  <c r="AW11" i="19"/>
  <c r="AW27" i="19"/>
  <c r="AW20" i="19"/>
  <c r="AW9" i="19"/>
  <c r="AW25" i="19"/>
  <c r="AW34" i="19"/>
  <c r="AW50" i="19"/>
  <c r="AW35" i="19"/>
  <c r="AW18" i="19"/>
  <c r="AW44" i="19"/>
  <c r="AW54" i="19"/>
  <c r="AW41" i="19"/>
  <c r="AW63" i="19"/>
  <c r="AW56" i="19"/>
  <c r="AW53" i="19"/>
  <c r="AW75" i="19"/>
  <c r="AW91" i="19"/>
  <c r="AW107" i="19"/>
  <c r="AW57" i="19"/>
  <c r="AW84" i="19"/>
  <c r="AW100" i="19"/>
  <c r="AW49" i="19"/>
  <c r="AW81" i="19"/>
  <c r="AW97" i="19"/>
  <c r="AW113" i="19"/>
  <c r="AW114" i="19"/>
  <c r="AW129" i="19"/>
  <c r="AW145" i="19"/>
  <c r="AW94" i="19"/>
  <c r="AW130" i="19"/>
  <c r="AW82" i="19"/>
  <c r="AW123" i="19"/>
  <c r="AW139" i="19"/>
  <c r="AW86" i="19"/>
  <c r="AW156" i="19"/>
  <c r="AW172" i="19"/>
  <c r="AW146" i="19"/>
  <c r="AW150" i="19"/>
  <c r="AW169" i="19"/>
  <c r="AW171" i="19"/>
  <c r="AW144" i="19"/>
  <c r="AW162" i="19"/>
  <c r="AW178" i="19"/>
  <c r="AW120" i="19"/>
  <c r="AW175" i="19"/>
  <c r="AW13" i="19"/>
  <c r="AW39" i="19"/>
  <c r="AW51" i="19"/>
  <c r="AW79" i="19"/>
  <c r="AW88" i="19"/>
  <c r="AW101" i="19"/>
  <c r="AW149" i="19"/>
  <c r="AW127" i="19"/>
  <c r="AW176" i="19"/>
  <c r="AW65" i="19"/>
  <c r="AW136" i="19"/>
  <c r="AW15" i="19"/>
  <c r="AW29" i="19"/>
  <c r="AW32" i="19"/>
  <c r="AW67" i="19"/>
  <c r="AW95" i="19"/>
  <c r="AW104" i="19"/>
  <c r="AW74" i="19"/>
  <c r="AW118" i="19"/>
  <c r="AW143" i="19"/>
  <c r="AW159" i="19"/>
  <c r="AW152" i="19"/>
  <c r="AW179" i="19"/>
  <c r="AW8" i="19"/>
  <c r="AW38" i="19"/>
  <c r="AW48" i="19"/>
  <c r="AW60" i="19"/>
  <c r="AW111" i="19"/>
  <c r="AW61" i="19"/>
  <c r="AW117" i="19"/>
  <c r="AW134" i="19"/>
  <c r="AW124" i="19"/>
  <c r="AW157" i="19"/>
  <c r="AW166" i="19"/>
  <c r="AW24" i="19"/>
  <c r="AW72" i="19"/>
  <c r="AW160" i="19"/>
  <c r="AW98" i="19"/>
  <c r="AW14" i="19"/>
  <c r="AW85" i="19"/>
  <c r="AW173" i="19"/>
  <c r="AW58" i="19"/>
  <c r="AW133" i="19"/>
  <c r="AW182" i="19"/>
  <c r="AW69" i="19"/>
  <c r="K4" i="20"/>
  <c r="C3" i="19"/>
  <c r="AS7" i="19"/>
  <c r="AS23" i="19"/>
  <c r="AS16" i="19"/>
  <c r="AS5" i="19"/>
  <c r="AS21" i="19"/>
  <c r="AS30" i="19"/>
  <c r="AS46" i="19"/>
  <c r="AS35" i="19"/>
  <c r="AS6" i="19"/>
  <c r="AS40" i="19"/>
  <c r="AS54" i="19"/>
  <c r="AS70" i="19"/>
  <c r="AS59" i="19"/>
  <c r="AS33" i="19"/>
  <c r="AS60" i="19"/>
  <c r="AS57" i="19"/>
  <c r="AS83" i="19"/>
  <c r="AS99" i="19"/>
  <c r="AS115" i="19"/>
  <c r="AS80" i="19"/>
  <c r="AS96" i="19"/>
  <c r="AS26" i="19"/>
  <c r="AS81" i="19"/>
  <c r="AS97" i="19"/>
  <c r="AS113" i="19"/>
  <c r="AS117" i="19"/>
  <c r="AS133" i="19"/>
  <c r="AS149" i="19"/>
  <c r="AS98" i="19"/>
  <c r="AS126" i="19"/>
  <c r="AS142" i="19"/>
  <c r="AS114" i="19"/>
  <c r="AS131" i="19"/>
  <c r="AS147" i="19"/>
  <c r="AS144" i="19"/>
  <c r="AS164" i="19"/>
  <c r="AS180" i="19"/>
  <c r="AS167" i="19"/>
  <c r="AS146" i="19"/>
  <c r="AS169" i="19"/>
  <c r="AS74" i="19"/>
  <c r="AS154" i="19"/>
  <c r="AS170" i="19"/>
  <c r="AS4" i="19"/>
  <c r="AS163" i="19"/>
  <c r="AS11" i="19"/>
  <c r="AS27" i="19"/>
  <c r="AS20" i="19"/>
  <c r="AS9" i="19"/>
  <c r="AS25" i="19"/>
  <c r="AS34" i="19"/>
  <c r="AS50" i="19"/>
  <c r="AS39" i="19"/>
  <c r="AS22" i="19"/>
  <c r="AS44" i="19"/>
  <c r="AS58" i="19"/>
  <c r="AS45" i="19"/>
  <c r="AS63" i="19"/>
  <c r="AS49" i="19"/>
  <c r="AS64" i="19"/>
  <c r="AS71" i="19"/>
  <c r="AS87" i="19"/>
  <c r="AS103" i="19"/>
  <c r="AS61" i="19"/>
  <c r="AS84" i="19"/>
  <c r="AS100" i="19"/>
  <c r="AS65" i="19"/>
  <c r="AS85" i="19"/>
  <c r="AS101" i="19"/>
  <c r="AS78" i="19"/>
  <c r="AS121" i="19"/>
  <c r="AS137" i="19"/>
  <c r="AS153" i="19"/>
  <c r="AS112" i="19"/>
  <c r="AS130" i="19"/>
  <c r="AS69" i="19"/>
  <c r="AS119" i="19"/>
  <c r="AS135" i="19"/>
  <c r="AS151" i="19"/>
  <c r="AS152" i="19"/>
  <c r="AS168" i="19"/>
  <c r="AS140" i="19"/>
  <c r="AS179" i="19"/>
  <c r="AS157" i="19"/>
  <c r="AS173" i="19"/>
  <c r="AS120" i="19"/>
  <c r="AS158" i="19"/>
  <c r="AS174" i="19"/>
  <c r="AS90" i="19"/>
  <c r="AS171" i="19"/>
  <c r="AS15" i="19"/>
  <c r="AS8" i="19"/>
  <c r="AS24" i="19"/>
  <c r="AS13" i="19"/>
  <c r="AS29" i="19"/>
  <c r="AS38" i="19"/>
  <c r="AS18" i="19"/>
  <c r="AS43" i="19"/>
  <c r="AS32" i="19"/>
  <c r="AS48" i="19"/>
  <c r="AS62" i="19"/>
  <c r="AS51" i="19"/>
  <c r="AS67" i="19"/>
  <c r="AS52" i="19"/>
  <c r="AS68" i="19"/>
  <c r="AS75" i="19"/>
  <c r="AS91" i="19"/>
  <c r="AS107" i="19"/>
  <c r="AS72" i="19"/>
  <c r="AS88" i="19"/>
  <c r="AS104" i="19"/>
  <c r="AS73" i="19"/>
  <c r="AS89" i="19"/>
  <c r="AS105" i="19"/>
  <c r="AS94" i="19"/>
  <c r="AS125" i="19"/>
  <c r="AS141" i="19"/>
  <c r="AS53" i="19"/>
  <c r="AS118" i="19"/>
  <c r="AS134" i="19"/>
  <c r="AS86" i="19"/>
  <c r="AS123" i="19"/>
  <c r="AS139" i="19"/>
  <c r="AS106" i="19"/>
  <c r="AS156" i="19"/>
  <c r="AS172" i="19"/>
  <c r="AS150" i="19"/>
  <c r="AS116" i="19"/>
  <c r="AS161" i="19"/>
  <c r="AS177" i="19"/>
  <c r="AS136" i="19"/>
  <c r="AS162" i="19"/>
  <c r="AS178" i="19"/>
  <c r="AS124" i="19"/>
  <c r="AS175" i="19"/>
  <c r="AS28" i="19"/>
  <c r="AS31" i="19"/>
  <c r="AS66" i="19"/>
  <c r="AS37" i="19"/>
  <c r="AS76" i="19"/>
  <c r="AS93" i="19"/>
  <c r="AS145" i="19"/>
  <c r="AS102" i="19"/>
  <c r="AS160" i="19"/>
  <c r="AS165" i="19"/>
  <c r="AS182" i="19"/>
  <c r="AS17" i="19"/>
  <c r="AS47" i="19"/>
  <c r="AS55" i="19"/>
  <c r="AS79" i="19"/>
  <c r="AS92" i="19"/>
  <c r="AS109" i="19"/>
  <c r="AS82" i="19"/>
  <c r="AS127" i="19"/>
  <c r="AS176" i="19"/>
  <c r="AS181" i="19"/>
  <c r="AS159" i="19"/>
  <c r="AS19" i="19"/>
  <c r="AS14" i="19"/>
  <c r="AS36" i="19"/>
  <c r="AS10" i="19"/>
  <c r="AS95" i="19"/>
  <c r="AS108" i="19"/>
  <c r="AS110" i="19"/>
  <c r="AS122" i="19"/>
  <c r="AS143" i="19"/>
  <c r="AS155" i="19"/>
  <c r="AS148" i="19"/>
  <c r="AS42" i="19"/>
  <c r="AS77" i="19"/>
  <c r="AS132" i="19"/>
  <c r="AS111" i="19"/>
  <c r="AS128" i="19"/>
  <c r="AS41" i="19"/>
  <c r="AS129" i="19"/>
  <c r="AS166" i="19"/>
  <c r="AS12" i="19"/>
  <c r="AS56" i="19"/>
  <c r="AS138" i="19"/>
  <c r="AR4" i="20"/>
  <c r="AI4" i="20" s="1"/>
  <c r="Q5" i="20" s="1"/>
  <c r="CB5" i="20" s="1"/>
  <c r="CB4" i="20"/>
  <c r="BA7" i="19"/>
  <c r="BA23" i="19"/>
  <c r="BA16" i="19"/>
  <c r="BA5" i="19"/>
  <c r="BA21" i="19"/>
  <c r="BA22" i="19"/>
  <c r="BA46" i="19"/>
  <c r="BA35" i="19"/>
  <c r="BA14" i="19"/>
  <c r="BA40" i="19"/>
  <c r="BA49" i="19"/>
  <c r="BA62" i="19"/>
  <c r="BA51" i="19"/>
  <c r="BA67" i="19"/>
  <c r="BA60" i="19"/>
  <c r="BA71" i="19"/>
  <c r="BA87" i="19"/>
  <c r="BA103" i="19"/>
  <c r="BA53" i="19"/>
  <c r="BA80" i="19"/>
  <c r="BA96" i="19"/>
  <c r="BA57" i="19"/>
  <c r="BA85" i="19"/>
  <c r="BA101" i="19"/>
  <c r="BA61" i="19"/>
  <c r="BA110" i="19"/>
  <c r="BA129" i="19"/>
  <c r="BA145" i="19"/>
  <c r="BA90" i="19"/>
  <c r="BA122" i="19"/>
  <c r="BA138" i="19"/>
  <c r="BA94" i="19"/>
  <c r="BA127" i="19"/>
  <c r="BA143" i="19"/>
  <c r="BA136" i="19"/>
  <c r="BA160" i="19"/>
  <c r="BA176" i="19"/>
  <c r="BA82" i="19"/>
  <c r="BA157" i="19"/>
  <c r="BA173" i="19"/>
  <c r="BA11" i="19"/>
  <c r="BA27" i="19"/>
  <c r="BA20" i="19"/>
  <c r="BA9" i="19"/>
  <c r="BA25" i="19"/>
  <c r="BA34" i="19"/>
  <c r="BA10" i="19"/>
  <c r="BA39" i="19"/>
  <c r="BA30" i="19"/>
  <c r="BA44" i="19"/>
  <c r="BA50" i="19"/>
  <c r="BA66" i="19"/>
  <c r="BA55" i="19"/>
  <c r="BA41" i="19"/>
  <c r="BA64" i="19"/>
  <c r="BA75" i="19"/>
  <c r="BA91" i="19"/>
  <c r="BA107" i="19"/>
  <c r="BA69" i="19"/>
  <c r="BA84" i="19"/>
  <c r="BA100" i="19"/>
  <c r="BA73" i="19"/>
  <c r="BA89" i="19"/>
  <c r="BA105" i="19"/>
  <c r="BA70" i="19"/>
  <c r="BA117" i="19"/>
  <c r="BA133" i="19"/>
  <c r="BA149" i="19"/>
  <c r="BA106" i="19"/>
  <c r="BA126" i="19"/>
  <c r="BA142" i="19"/>
  <c r="BA114" i="19"/>
  <c r="BA15" i="19"/>
  <c r="BA8" i="19"/>
  <c r="BA24" i="19"/>
  <c r="BA13" i="19"/>
  <c r="BA29" i="19"/>
  <c r="BA38" i="19"/>
  <c r="BA26" i="19"/>
  <c r="BA43" i="19"/>
  <c r="BA32" i="19"/>
  <c r="BA48" i="19"/>
  <c r="BA54" i="19"/>
  <c r="BA18" i="19"/>
  <c r="BA59" i="19"/>
  <c r="BA52" i="19"/>
  <c r="BA68" i="19"/>
  <c r="BA79" i="19"/>
  <c r="BA95" i="19"/>
  <c r="BA111" i="19"/>
  <c r="BA72" i="19"/>
  <c r="BA88" i="19"/>
  <c r="BA104" i="19"/>
  <c r="BA77" i="19"/>
  <c r="BA93" i="19"/>
  <c r="BA109" i="19"/>
  <c r="BA86" i="19"/>
  <c r="BA121" i="19"/>
  <c r="BA137" i="19"/>
  <c r="BA153" i="19"/>
  <c r="BA112" i="19"/>
  <c r="BA130" i="19"/>
  <c r="BA45" i="19"/>
  <c r="BA119" i="19"/>
  <c r="BA135" i="19"/>
  <c r="BA151" i="19"/>
  <c r="BA152" i="19"/>
  <c r="BA19" i="19"/>
  <c r="BA12" i="19"/>
  <c r="BA28" i="19"/>
  <c r="BA17" i="19"/>
  <c r="BA6" i="19"/>
  <c r="BA42" i="19"/>
  <c r="BA31" i="19"/>
  <c r="BA47" i="19"/>
  <c r="BA36" i="19"/>
  <c r="BA33" i="19"/>
  <c r="BA58" i="19"/>
  <c r="BA37" i="19"/>
  <c r="BA63" i="19"/>
  <c r="BA56" i="19"/>
  <c r="BA65" i="19"/>
  <c r="BA83" i="19"/>
  <c r="BA99" i="19"/>
  <c r="BA115" i="19"/>
  <c r="BA76" i="19"/>
  <c r="BA92" i="19"/>
  <c r="BA108" i="19"/>
  <c r="BA81" i="19"/>
  <c r="BA97" i="19"/>
  <c r="BA113" i="19"/>
  <c r="BA102" i="19"/>
  <c r="BA125" i="19"/>
  <c r="BA141" i="19"/>
  <c r="BA74" i="19"/>
  <c r="BA118" i="19"/>
  <c r="BA134" i="19"/>
  <c r="BA78" i="19"/>
  <c r="BA123" i="19"/>
  <c r="BA139" i="19"/>
  <c r="BA120" i="19"/>
  <c r="BA156" i="19"/>
  <c r="BA172" i="19"/>
  <c r="BA171" i="19"/>
  <c r="BA146" i="19"/>
  <c r="BA169" i="19"/>
  <c r="BA150" i="19"/>
  <c r="BA131" i="19"/>
  <c r="BA168" i="19"/>
  <c r="BA140" i="19"/>
  <c r="BA181" i="19"/>
  <c r="BA98" i="19"/>
  <c r="BA158" i="19"/>
  <c r="BA174" i="19"/>
  <c r="BA116" i="19"/>
  <c r="BA147" i="19"/>
  <c r="BA180" i="19"/>
  <c r="BA161" i="19"/>
  <c r="BA159" i="19"/>
  <c r="BA128" i="19"/>
  <c r="BA162" i="19"/>
  <c r="BA178" i="19"/>
  <c r="BA132" i="19"/>
  <c r="BA144" i="19"/>
  <c r="BA155" i="19"/>
  <c r="BA165" i="19"/>
  <c r="BA167" i="19"/>
  <c r="BA148" i="19"/>
  <c r="BA166" i="19"/>
  <c r="BA182" i="19"/>
  <c r="BA163" i="19"/>
  <c r="BA164" i="19"/>
  <c r="BA124" i="19"/>
  <c r="BA177" i="19"/>
  <c r="BA175" i="19"/>
  <c r="BA154" i="19"/>
  <c r="BA170" i="19"/>
  <c r="BA4" i="19"/>
  <c r="BA179" i="19"/>
  <c r="N5" i="20"/>
  <c r="BY5" i="20" s="1"/>
  <c r="M5" i="20"/>
  <c r="BX5" i="20" s="1"/>
  <c r="L5" i="20"/>
  <c r="BW5" i="20" s="1"/>
  <c r="AQ5" i="20"/>
  <c r="AH5" i="20" s="1"/>
  <c r="R5" i="20"/>
  <c r="CC5" i="20" s="1"/>
  <c r="Y4" i="19" l="1"/>
  <c r="AK5" i="25"/>
  <c r="BB5" i="20" s="1"/>
  <c r="AL5" i="25"/>
  <c r="BJ4" i="19"/>
  <c r="AI4" i="19"/>
  <c r="I4" i="19" s="1"/>
  <c r="V5" i="19"/>
  <c r="BI5" i="19"/>
  <c r="W4" i="19"/>
  <c r="AJ4" i="19" s="1"/>
  <c r="J4" i="19" s="1"/>
  <c r="AG5" i="25"/>
  <c r="AZ5" i="20" s="1"/>
  <c r="AH5" i="25"/>
  <c r="BA5" i="20" s="1"/>
  <c r="AD5" i="25"/>
  <c r="AX5" i="20" s="1"/>
  <c r="AE5" i="25"/>
  <c r="AY5" i="20" s="1"/>
  <c r="AW6" i="25"/>
  <c r="I6" i="25" s="1"/>
  <c r="S4" i="19"/>
  <c r="AF4" i="19" s="1"/>
  <c r="F4" i="19" s="1"/>
  <c r="BF4" i="19"/>
  <c r="Z5" i="25"/>
  <c r="AA5" i="25"/>
  <c r="AW5" i="20" s="1"/>
  <c r="D4" i="25"/>
  <c r="Y7" i="22"/>
  <c r="AM5" i="20"/>
  <c r="AD5" i="20" s="1"/>
  <c r="L6" i="20" s="1"/>
  <c r="BW6" i="20" s="1"/>
  <c r="AT4" i="20"/>
  <c r="AK4" i="20" s="1"/>
  <c r="CD4" i="20"/>
  <c r="AP4" i="20"/>
  <c r="AG4" i="20" s="1"/>
  <c r="O5" i="20" s="1"/>
  <c r="BZ5" i="20" s="1"/>
  <c r="BZ4" i="20"/>
  <c r="AL4" i="20"/>
  <c r="BV4" i="20"/>
  <c r="BV183" i="20" s="1"/>
  <c r="K183" i="20"/>
  <c r="AU17" i="19"/>
  <c r="AU6" i="19"/>
  <c r="AU22" i="19"/>
  <c r="AU11" i="19"/>
  <c r="AU27" i="19"/>
  <c r="AU40" i="19"/>
  <c r="AU24" i="19"/>
  <c r="AU45" i="19"/>
  <c r="AU34" i="19"/>
  <c r="AU50" i="19"/>
  <c r="AU56" i="19"/>
  <c r="AU35" i="19"/>
  <c r="AU65" i="19"/>
  <c r="AU58" i="19"/>
  <c r="AU16" i="19"/>
  <c r="AU81" i="19"/>
  <c r="AU97" i="19"/>
  <c r="AU113" i="19"/>
  <c r="AU74" i="19"/>
  <c r="AU90" i="19"/>
  <c r="AU106" i="19"/>
  <c r="AU79" i="19"/>
  <c r="AU95" i="19"/>
  <c r="AU111" i="19"/>
  <c r="AU119" i="19"/>
  <c r="AU135" i="19"/>
  <c r="AU151" i="19"/>
  <c r="AU110" i="19"/>
  <c r="AU5" i="19"/>
  <c r="AU21" i="19"/>
  <c r="AU10" i="19"/>
  <c r="AU26" i="19"/>
  <c r="AU9" i="19"/>
  <c r="AU25" i="19"/>
  <c r="AU14" i="19"/>
  <c r="AU30" i="19"/>
  <c r="AU19" i="19"/>
  <c r="AU32" i="19"/>
  <c r="AU48" i="19"/>
  <c r="AU37" i="19"/>
  <c r="AU12" i="19"/>
  <c r="AU42" i="19"/>
  <c r="AU47" i="19"/>
  <c r="AU64" i="19"/>
  <c r="AU57" i="19"/>
  <c r="AU39" i="19"/>
  <c r="AU66" i="19"/>
  <c r="AU73" i="19"/>
  <c r="AU89" i="19"/>
  <c r="AU105" i="19"/>
  <c r="AU51" i="19"/>
  <c r="AU82" i="19"/>
  <c r="AU98" i="19"/>
  <c r="AU71" i="19"/>
  <c r="AU87" i="19"/>
  <c r="AU103" i="19"/>
  <c r="AU84" i="19"/>
  <c r="AU127" i="19"/>
  <c r="AU143" i="19"/>
  <c r="AU88" i="19"/>
  <c r="AU18" i="19"/>
  <c r="AU20" i="19"/>
  <c r="AU33" i="19"/>
  <c r="AU38" i="19"/>
  <c r="AU60" i="19"/>
  <c r="AU69" i="19"/>
  <c r="AU63" i="19"/>
  <c r="AU101" i="19"/>
  <c r="AU78" i="19"/>
  <c r="AU55" i="19"/>
  <c r="AU99" i="19"/>
  <c r="AU123" i="19"/>
  <c r="AU72" i="19"/>
  <c r="AU124" i="19"/>
  <c r="AU140" i="19"/>
  <c r="AU108" i="19"/>
  <c r="AU125" i="19"/>
  <c r="AU141" i="19"/>
  <c r="AU96" i="19"/>
  <c r="AU154" i="19"/>
  <c r="AU170" i="19"/>
  <c r="AU4" i="19"/>
  <c r="AU138" i="19"/>
  <c r="AU159" i="19"/>
  <c r="AU175" i="19"/>
  <c r="AU181" i="19"/>
  <c r="AU146" i="19"/>
  <c r="AU168" i="19"/>
  <c r="AU80" i="19"/>
  <c r="AU177" i="19"/>
  <c r="AU29" i="19"/>
  <c r="AU23" i="19"/>
  <c r="AU8" i="19"/>
  <c r="AU28" i="19"/>
  <c r="AU52" i="19"/>
  <c r="AU61" i="19"/>
  <c r="AU70" i="19"/>
  <c r="AU93" i="19"/>
  <c r="AU67" i="19"/>
  <c r="AU102" i="19"/>
  <c r="AU91" i="19"/>
  <c r="AU100" i="19"/>
  <c r="AU147" i="19"/>
  <c r="AU120" i="19"/>
  <c r="AU136" i="19"/>
  <c r="AU92" i="19"/>
  <c r="AU121" i="19"/>
  <c r="AU137" i="19"/>
  <c r="AU153" i="19"/>
  <c r="AU150" i="19"/>
  <c r="AU166" i="19"/>
  <c r="AU182" i="19"/>
  <c r="AU122" i="19"/>
  <c r="AU155" i="19"/>
  <c r="AU157" i="19"/>
  <c r="AU142" i="19"/>
  <c r="AU164" i="19"/>
  <c r="AU180" i="19"/>
  <c r="AU173" i="19"/>
  <c r="AU7" i="19"/>
  <c r="AU36" i="19"/>
  <c r="AU41" i="19"/>
  <c r="AU46" i="19"/>
  <c r="AU68" i="19"/>
  <c r="AU54" i="19"/>
  <c r="AU77" i="19"/>
  <c r="AU109" i="19"/>
  <c r="AU86" i="19"/>
  <c r="AU75" i="19"/>
  <c r="AU107" i="19"/>
  <c r="AU131" i="19"/>
  <c r="AU104" i="19"/>
  <c r="AU128" i="19"/>
  <c r="AU59" i="19"/>
  <c r="AU112" i="19"/>
  <c r="AU129" i="19"/>
  <c r="AU145" i="19"/>
  <c r="AU118" i="19"/>
  <c r="AU158" i="19"/>
  <c r="AU174" i="19"/>
  <c r="AU161" i="19"/>
  <c r="AU144" i="19"/>
  <c r="AU163" i="19"/>
  <c r="AU179" i="19"/>
  <c r="AU114" i="19"/>
  <c r="AU156" i="19"/>
  <c r="AU172" i="19"/>
  <c r="AU130" i="19"/>
  <c r="AU171" i="19"/>
  <c r="AU13" i="19"/>
  <c r="AU15" i="19"/>
  <c r="AU44" i="19"/>
  <c r="AU49" i="19"/>
  <c r="AU31" i="19"/>
  <c r="AU53" i="19"/>
  <c r="AU62" i="19"/>
  <c r="AU85" i="19"/>
  <c r="AU43" i="19"/>
  <c r="AU94" i="19"/>
  <c r="AU83" i="19"/>
  <c r="AU115" i="19"/>
  <c r="AU139" i="19"/>
  <c r="AU116" i="19"/>
  <c r="AU132" i="19"/>
  <c r="AU76" i="19"/>
  <c r="AU117" i="19"/>
  <c r="AU133" i="19"/>
  <c r="AU149" i="19"/>
  <c r="AU134" i="19"/>
  <c r="AU162" i="19"/>
  <c r="AU178" i="19"/>
  <c r="AU169" i="19"/>
  <c r="AU152" i="19"/>
  <c r="AU167" i="19"/>
  <c r="AU148" i="19"/>
  <c r="AU126" i="19"/>
  <c r="AU160" i="19"/>
  <c r="AU176" i="19"/>
  <c r="AU165" i="19"/>
  <c r="AL4" i="19"/>
  <c r="AN4" i="19"/>
  <c r="AS5" i="20"/>
  <c r="AJ5" i="20" s="1"/>
  <c r="X5" i="19" s="1"/>
  <c r="AN5" i="20"/>
  <c r="AE5" i="20" s="1"/>
  <c r="AG4" i="19"/>
  <c r="G4" i="19" s="1"/>
  <c r="P6" i="20"/>
  <c r="CA6" i="20" s="1"/>
  <c r="AR5" i="20"/>
  <c r="AI5" i="20" s="1"/>
  <c r="AK4" i="19"/>
  <c r="K4" i="19" s="1"/>
  <c r="E4" i="19"/>
  <c r="AO5" i="20"/>
  <c r="AF5" i="20" s="1"/>
  <c r="I3" i="12" l="1"/>
  <c r="AT5" i="25"/>
  <c r="F5" i="25" s="1"/>
  <c r="S5" i="19" s="1"/>
  <c r="AV5" i="20"/>
  <c r="AY5" i="25"/>
  <c r="S5" i="20"/>
  <c r="CD5" i="20" s="1"/>
  <c r="Z4" i="19"/>
  <c r="BF5" i="25"/>
  <c r="R5" i="25" s="1"/>
  <c r="BY5" i="19"/>
  <c r="BX5" i="19"/>
  <c r="BD6" i="25" s="1"/>
  <c r="P6" i="25" s="1"/>
  <c r="BE5" i="25"/>
  <c r="Q5" i="25" s="1"/>
  <c r="Y5" i="19" s="1"/>
  <c r="BW5" i="19"/>
  <c r="BB5" i="25"/>
  <c r="BV5" i="19"/>
  <c r="AZ6" i="25" s="1"/>
  <c r="BA5" i="25"/>
  <c r="U4" i="19"/>
  <c r="AH4" i="19" s="1"/>
  <c r="H4" i="19" s="1"/>
  <c r="BG5" i="19"/>
  <c r="T5" i="19"/>
  <c r="BT5" i="19"/>
  <c r="AX5" i="25"/>
  <c r="J5" i="25" s="1"/>
  <c r="BS5" i="19"/>
  <c r="AU5" i="25"/>
  <c r="BF5" i="19"/>
  <c r="K5" i="25"/>
  <c r="AC4" i="20"/>
  <c r="BM4" i="19"/>
  <c r="BG5" i="25" s="1"/>
  <c r="Q4" i="19"/>
  <c r="Y5" i="25"/>
  <c r="X5" i="25"/>
  <c r="AU5" i="20" s="1"/>
  <c r="Y8" i="22"/>
  <c r="M4" i="19"/>
  <c r="N4" i="19"/>
  <c r="X5" i="22"/>
  <c r="L4" i="19"/>
  <c r="V5" i="22"/>
  <c r="K5" i="20"/>
  <c r="BV5" i="20" s="1"/>
  <c r="BH4" i="19"/>
  <c r="AD4" i="19"/>
  <c r="D4" i="19" s="1"/>
  <c r="AP5" i="20"/>
  <c r="AG5" i="20" s="1"/>
  <c r="M6" i="20"/>
  <c r="BX6" i="20" s="1"/>
  <c r="AM6" i="20"/>
  <c r="AD6" i="20" s="1"/>
  <c r="L7" i="20" s="1"/>
  <c r="BW7" i="20" s="1"/>
  <c r="N6" i="20"/>
  <c r="BY6" i="20" s="1"/>
  <c r="Q6" i="20"/>
  <c r="CB6" i="20" s="1"/>
  <c r="AQ6" i="20"/>
  <c r="AH6" i="20" s="1"/>
  <c r="P7" i="20" s="1"/>
  <c r="CA7" i="20" s="1"/>
  <c r="R6" i="20"/>
  <c r="CC6" i="20" s="1"/>
  <c r="AT5" i="20" l="1"/>
  <c r="AK5" i="20" s="1"/>
  <c r="S6" i="20" s="1"/>
  <c r="CD6" i="20" s="1"/>
  <c r="AL6" i="25"/>
  <c r="AK6" i="25"/>
  <c r="BF6" i="25"/>
  <c r="L6" i="25"/>
  <c r="M5" i="25"/>
  <c r="N5" i="25"/>
  <c r="U5" i="19"/>
  <c r="AE6" i="25"/>
  <c r="AD6" i="25"/>
  <c r="G5" i="25"/>
  <c r="S5" i="25"/>
  <c r="BQ5" i="19"/>
  <c r="AS5" i="25"/>
  <c r="AQ6" i="25"/>
  <c r="AR5" i="25"/>
  <c r="P4" i="19"/>
  <c r="C4" i="19" s="1"/>
  <c r="BC4" i="19"/>
  <c r="BU5" i="19"/>
  <c r="Y9" i="22"/>
  <c r="AF5" i="19"/>
  <c r="F5" i="19" s="1"/>
  <c r="AL5" i="20"/>
  <c r="BH5" i="19"/>
  <c r="AI5" i="19"/>
  <c r="I5" i="19" s="1"/>
  <c r="S5" i="22" s="1"/>
  <c r="AL5" i="19"/>
  <c r="L5" i="19" s="1"/>
  <c r="T5" i="22" s="1"/>
  <c r="O6" i="20"/>
  <c r="AQ7" i="20"/>
  <c r="AH7" i="20" s="1"/>
  <c r="AH5" i="19"/>
  <c r="H5" i="19" s="1"/>
  <c r="R5" i="22" s="1"/>
  <c r="AN6" i="20"/>
  <c r="AE6" i="20" s="1"/>
  <c r="AO6" i="20"/>
  <c r="AF6" i="20" s="1"/>
  <c r="AM7" i="20"/>
  <c r="AD7" i="20" s="1"/>
  <c r="AG5" i="19"/>
  <c r="G5" i="19" s="1"/>
  <c r="AS6" i="20"/>
  <c r="AJ6" i="20" s="1"/>
  <c r="X6" i="19" s="1"/>
  <c r="AK5" i="19"/>
  <c r="K5" i="19" s="1"/>
  <c r="AR6" i="20"/>
  <c r="AI6" i="20" s="1"/>
  <c r="AT6" i="20" l="1"/>
  <c r="AK6" i="20" s="1"/>
  <c r="Z5" i="19"/>
  <c r="M5" i="19" s="1"/>
  <c r="AX6" i="25"/>
  <c r="J6" i="25" s="1"/>
  <c r="AD7" i="25" s="1"/>
  <c r="AX7" i="20" s="1"/>
  <c r="BX6" i="19"/>
  <c r="BB6" i="20"/>
  <c r="BT6" i="19"/>
  <c r="AX6" i="20"/>
  <c r="AY6" i="25"/>
  <c r="K6" i="25" s="1"/>
  <c r="AY6" i="20"/>
  <c r="BY6" i="19"/>
  <c r="R6" i="25"/>
  <c r="BJ5" i="19"/>
  <c r="W5" i="19"/>
  <c r="AJ5" i="19" s="1"/>
  <c r="J5" i="19" s="1"/>
  <c r="AG6" i="25"/>
  <c r="AZ6" i="20" s="1"/>
  <c r="AI6" i="25"/>
  <c r="AH6" i="25"/>
  <c r="BA6" i="20" s="1"/>
  <c r="BI6" i="19"/>
  <c r="V6" i="19"/>
  <c r="AF7" i="25"/>
  <c r="BG6" i="19"/>
  <c r="T6" i="19"/>
  <c r="AB6" i="25"/>
  <c r="AA6" i="25"/>
  <c r="AW6" i="20" s="1"/>
  <c r="D5" i="25"/>
  <c r="C6" i="25"/>
  <c r="E5" i="25"/>
  <c r="BM5" i="19"/>
  <c r="BK5" i="19"/>
  <c r="BE6" i="25" s="1"/>
  <c r="AM6" i="25"/>
  <c r="BC6" i="20" s="1"/>
  <c r="AN6" i="25"/>
  <c r="AA5" i="19"/>
  <c r="AN5" i="19" s="1"/>
  <c r="N5" i="19" s="1"/>
  <c r="U5" i="22" s="1"/>
  <c r="Y10" i="22"/>
  <c r="V6" i="22"/>
  <c r="AC5" i="20"/>
  <c r="AP6" i="20"/>
  <c r="AG6" i="20" s="1"/>
  <c r="O7" i="20" s="1"/>
  <c r="BZ7" i="20" s="1"/>
  <c r="BZ6" i="20"/>
  <c r="M7" i="20"/>
  <c r="BX7" i="20" s="1"/>
  <c r="P8" i="20"/>
  <c r="CA8" i="20" s="1"/>
  <c r="S7" i="20"/>
  <c r="CD7" i="20" s="1"/>
  <c r="L8" i="20"/>
  <c r="BW8" i="20" s="1"/>
  <c r="Q7" i="20"/>
  <c r="CB7" i="20" s="1"/>
  <c r="N7" i="20"/>
  <c r="BY7" i="20" s="1"/>
  <c r="R7" i="20"/>
  <c r="CC7" i="20" s="1"/>
  <c r="Z6" i="19" l="1"/>
  <c r="M6" i="19" s="1"/>
  <c r="X6" i="22"/>
  <c r="AE7" i="25"/>
  <c r="AY7" i="20" s="1"/>
  <c r="BT7" i="19"/>
  <c r="BC6" i="25"/>
  <c r="O6" i="25" s="1"/>
  <c r="BV6" i="19"/>
  <c r="AZ7" i="25" s="1"/>
  <c r="BA6" i="25"/>
  <c r="M6" i="25" s="1"/>
  <c r="BW6" i="19"/>
  <c r="BB6" i="25"/>
  <c r="U6" i="19"/>
  <c r="AH6" i="19" s="1"/>
  <c r="H6" i="19" s="1"/>
  <c r="R6" i="22" s="1"/>
  <c r="BS6" i="19"/>
  <c r="AU6" i="25"/>
  <c r="G6" i="25" s="1"/>
  <c r="AV6" i="25"/>
  <c r="H6" i="25" s="1"/>
  <c r="Q6" i="25"/>
  <c r="K6" i="20"/>
  <c r="BV6" i="20" s="1"/>
  <c r="BC5" i="19"/>
  <c r="P5" i="19"/>
  <c r="W7" i="25"/>
  <c r="BU6" i="19"/>
  <c r="AX7" i="25" s="1"/>
  <c r="J7" i="25" s="1"/>
  <c r="CA6" i="19"/>
  <c r="BH6" i="25"/>
  <c r="BG6" i="25"/>
  <c r="S6" i="25" s="1"/>
  <c r="BE5" i="19"/>
  <c r="R5" i="19"/>
  <c r="E5" i="19" s="1"/>
  <c r="O5" i="22" s="1"/>
  <c r="Z6" i="25"/>
  <c r="AV6" i="20" s="1"/>
  <c r="Y6" i="25"/>
  <c r="Q5" i="19"/>
  <c r="X6" i="25"/>
  <c r="AU6" i="20" s="1"/>
  <c r="Y11" i="22"/>
  <c r="AL6" i="20"/>
  <c r="AC6" i="20" s="1"/>
  <c r="BC6" i="19" s="1"/>
  <c r="AG6" i="19"/>
  <c r="G6" i="19" s="1"/>
  <c r="AK6" i="19"/>
  <c r="K6" i="19" s="1"/>
  <c r="BH6" i="19"/>
  <c r="AI6" i="19"/>
  <c r="I6" i="19" s="1"/>
  <c r="S6" i="22" s="1"/>
  <c r="AD5" i="19"/>
  <c r="D5" i="19" s="1"/>
  <c r="N5" i="22" s="1"/>
  <c r="AQ8" i="20"/>
  <c r="AH8" i="20" s="1"/>
  <c r="AN7" i="20"/>
  <c r="AE7" i="20" s="1"/>
  <c r="AM8" i="20"/>
  <c r="AD8" i="20" s="1"/>
  <c r="AO7" i="20"/>
  <c r="AF7" i="20" s="1"/>
  <c r="AR7" i="20"/>
  <c r="AI7" i="20" s="1"/>
  <c r="AS7" i="20"/>
  <c r="AJ7" i="20" s="1"/>
  <c r="AT7" i="20"/>
  <c r="AK7" i="20" s="1"/>
  <c r="AP7" i="20"/>
  <c r="AG7" i="20" s="1"/>
  <c r="BJ6" i="19" l="1"/>
  <c r="W6" i="19"/>
  <c r="AJ6" i="19" s="1"/>
  <c r="J6" i="19" s="1"/>
  <c r="AG7" i="25"/>
  <c r="AZ7" i="20" s="1"/>
  <c r="L7" i="25"/>
  <c r="AJ7" i="25"/>
  <c r="N6" i="25"/>
  <c r="AH7" i="25" s="1"/>
  <c r="BA7" i="25"/>
  <c r="AC7" i="25"/>
  <c r="AB7" i="25"/>
  <c r="AV7" i="25" s="1"/>
  <c r="H7" i="25" s="1"/>
  <c r="BO7" i="19"/>
  <c r="AP8" i="25" s="1"/>
  <c r="B8" i="25" s="1"/>
  <c r="AQ7" i="25"/>
  <c r="T6" i="25"/>
  <c r="P6" i="19"/>
  <c r="AR6" i="25"/>
  <c r="D6" i="25" s="1"/>
  <c r="Q6" i="19" s="1"/>
  <c r="BQ6" i="19"/>
  <c r="AS6" i="25"/>
  <c r="AA6" i="19"/>
  <c r="AN6" i="19" s="1"/>
  <c r="BK6" i="19"/>
  <c r="BM6" i="19"/>
  <c r="AT6" i="25"/>
  <c r="F6" i="25" s="1"/>
  <c r="AM7" i="25"/>
  <c r="BC7" i="20" s="1"/>
  <c r="Y6" i="19"/>
  <c r="AL6" i="19" s="1"/>
  <c r="AK7" i="25"/>
  <c r="BB7" i="20" s="1"/>
  <c r="AL7" i="25"/>
  <c r="U7" i="19"/>
  <c r="Y12" i="22"/>
  <c r="M8" i="20"/>
  <c r="BX8" i="20" s="1"/>
  <c r="S8" i="20"/>
  <c r="CD8" i="20" s="1"/>
  <c r="N8" i="20"/>
  <c r="BY8" i="20" s="1"/>
  <c r="K7" i="20"/>
  <c r="BV7" i="20" s="1"/>
  <c r="L9" i="20"/>
  <c r="BW9" i="20" s="1"/>
  <c r="P9" i="20"/>
  <c r="CA9" i="20" s="1"/>
  <c r="O8" i="20"/>
  <c r="BZ8" i="20" s="1"/>
  <c r="R8" i="20"/>
  <c r="CC8" i="20" s="1"/>
  <c r="Q8" i="20"/>
  <c r="CB8" i="20" s="1"/>
  <c r="BB7" i="25" l="1"/>
  <c r="N7" i="25" s="1"/>
  <c r="AH8" i="25" s="1"/>
  <c r="BA8" i="20" s="1"/>
  <c r="BA7" i="20"/>
  <c r="AI7" i="25"/>
  <c r="BW7" i="19"/>
  <c r="BD7" i="25"/>
  <c r="P7" i="25" s="1"/>
  <c r="X7" i="19" s="1"/>
  <c r="AK7" i="19" s="1"/>
  <c r="K7" i="19" s="1"/>
  <c r="BV7" i="19"/>
  <c r="M7" i="25"/>
  <c r="AG8" i="25"/>
  <c r="BC7" i="25"/>
  <c r="O7" i="25" s="1"/>
  <c r="BI7" i="19"/>
  <c r="V7" i="19"/>
  <c r="AI7" i="19" s="1"/>
  <c r="I7" i="19" s="1"/>
  <c r="S7" i="22" s="1"/>
  <c r="AF8" i="25"/>
  <c r="AW7" i="25"/>
  <c r="C7" i="25"/>
  <c r="BG7" i="25"/>
  <c r="S7" i="25" s="1"/>
  <c r="L6" i="19"/>
  <c r="T6" i="22" s="1"/>
  <c r="V7" i="22"/>
  <c r="BF7" i="25"/>
  <c r="BY7" i="19"/>
  <c r="S6" i="19"/>
  <c r="AF6" i="19" s="1"/>
  <c r="F6" i="19" s="1"/>
  <c r="BF6" i="19"/>
  <c r="AY7" i="25" s="1"/>
  <c r="K7" i="25" s="1"/>
  <c r="AE8" i="25" s="1"/>
  <c r="AY8" i="20" s="1"/>
  <c r="AA7" i="25"/>
  <c r="AW7" i="20" s="1"/>
  <c r="O8" i="19"/>
  <c r="V9" i="25"/>
  <c r="BX7" i="19"/>
  <c r="BE7" i="25"/>
  <c r="E6" i="25"/>
  <c r="X7" i="25"/>
  <c r="AU7" i="20" s="1"/>
  <c r="AO7" i="25"/>
  <c r="AN7" i="25"/>
  <c r="Y13" i="22"/>
  <c r="N6" i="19"/>
  <c r="U6" i="22" s="1"/>
  <c r="X7" i="22"/>
  <c r="BU7" i="19" s="1"/>
  <c r="BH7" i="19"/>
  <c r="AH7" i="19"/>
  <c r="H7" i="19" s="1"/>
  <c r="R7" i="22" s="1"/>
  <c r="AR8" i="20"/>
  <c r="AI8" i="20" s="1"/>
  <c r="AO8" i="20"/>
  <c r="AF8" i="20" s="1"/>
  <c r="AP8" i="20"/>
  <c r="AG8" i="20" s="1"/>
  <c r="AM9" i="20"/>
  <c r="AD9" i="20" s="1"/>
  <c r="AL7" i="20"/>
  <c r="AS8" i="20"/>
  <c r="AJ8" i="20" s="1"/>
  <c r="AQ9" i="20"/>
  <c r="AH9" i="20" s="1"/>
  <c r="AT8" i="20"/>
  <c r="AK8" i="20" s="1"/>
  <c r="AN8" i="20"/>
  <c r="AE8" i="20" s="1"/>
  <c r="AI8" i="25" l="1"/>
  <c r="BC8" i="25" s="1"/>
  <c r="O8" i="25" s="1"/>
  <c r="BA8" i="25"/>
  <c r="M8" i="25" s="1"/>
  <c r="AZ8" i="20"/>
  <c r="BW8" i="19"/>
  <c r="AZ8" i="25"/>
  <c r="AJ8" i="25"/>
  <c r="BD8" i="25" s="1"/>
  <c r="BV8" i="19"/>
  <c r="BJ7" i="19"/>
  <c r="BB8" i="25" s="1"/>
  <c r="W7" i="19"/>
  <c r="AJ7" i="19" s="1"/>
  <c r="J7" i="19" s="1"/>
  <c r="I7" i="25"/>
  <c r="R7" i="25"/>
  <c r="BI7" i="25"/>
  <c r="Q7" i="25"/>
  <c r="CA7" i="19"/>
  <c r="BH7" i="25"/>
  <c r="R6" i="19"/>
  <c r="E6" i="19" s="1"/>
  <c r="O6" i="22" s="1"/>
  <c r="BE6" i="19"/>
  <c r="Y7" i="25"/>
  <c r="BK7" i="19"/>
  <c r="AA7" i="19"/>
  <c r="BM7" i="19"/>
  <c r="AR7" i="25"/>
  <c r="D7" i="25" s="1"/>
  <c r="Z7" i="25"/>
  <c r="AV7" i="20" s="1"/>
  <c r="W8" i="25"/>
  <c r="BS7" i="19"/>
  <c r="AU7" i="25"/>
  <c r="G7" i="25" s="1"/>
  <c r="AM8" i="25"/>
  <c r="Y14" i="22"/>
  <c r="L10" i="20"/>
  <c r="P10" i="20"/>
  <c r="CA10" i="20" s="1"/>
  <c r="N9" i="20"/>
  <c r="BY9" i="20" s="1"/>
  <c r="Q9" i="20"/>
  <c r="CB9" i="20" s="1"/>
  <c r="S9" i="20"/>
  <c r="CD9" i="20" s="1"/>
  <c r="R9" i="20"/>
  <c r="CC9" i="20" s="1"/>
  <c r="O9" i="20"/>
  <c r="BZ9" i="20" s="1"/>
  <c r="M9" i="20"/>
  <c r="BX9" i="20" s="1"/>
  <c r="AC7" i="20"/>
  <c r="K8" i="20" s="1"/>
  <c r="BV8" i="20" s="1"/>
  <c r="BG8" i="25" l="1"/>
  <c r="BC8" i="20"/>
  <c r="N8" i="25"/>
  <c r="P8" i="25"/>
  <c r="X8" i="19" s="1"/>
  <c r="AK8" i="19" s="1"/>
  <c r="K8" i="19" s="1"/>
  <c r="L8" i="25"/>
  <c r="BJ8" i="19"/>
  <c r="W8" i="19"/>
  <c r="T7" i="19"/>
  <c r="AG7" i="19" s="1"/>
  <c r="G7" i="19" s="1"/>
  <c r="BG7" i="19"/>
  <c r="AD8" i="25"/>
  <c r="AX8" i="20" s="1"/>
  <c r="AC8" i="25"/>
  <c r="AW8" i="25" s="1"/>
  <c r="I8" i="25" s="1"/>
  <c r="Q7" i="19"/>
  <c r="X8" i="25"/>
  <c r="AU8" i="20" s="1"/>
  <c r="P7" i="19"/>
  <c r="BQ7" i="19"/>
  <c r="AS7" i="25"/>
  <c r="Y7" i="19"/>
  <c r="AL7" i="19" s="1"/>
  <c r="AK8" i="25"/>
  <c r="BB8" i="20" s="1"/>
  <c r="AB8" i="25"/>
  <c r="BC7" i="19"/>
  <c r="AR8" i="25" s="1"/>
  <c r="Z7" i="19"/>
  <c r="M7" i="19" s="1"/>
  <c r="AL8" i="25"/>
  <c r="BO8" i="19"/>
  <c r="AP9" i="25" s="1"/>
  <c r="AQ8" i="25"/>
  <c r="S8" i="25"/>
  <c r="AT7" i="25"/>
  <c r="T7" i="25"/>
  <c r="AN8" i="25" s="1"/>
  <c r="BH8" i="25" s="1"/>
  <c r="U7" i="25"/>
  <c r="AO8" i="25" s="1"/>
  <c r="BI8" i="25" s="1"/>
  <c r="Y15" i="22"/>
  <c r="AN7" i="19"/>
  <c r="N7" i="19" s="1"/>
  <c r="U7" i="22" s="1"/>
  <c r="AM10" i="20"/>
  <c r="AD10" i="20" s="1"/>
  <c r="L11" i="20" s="1"/>
  <c r="BW11" i="20" s="1"/>
  <c r="BW10" i="20"/>
  <c r="AJ8" i="19"/>
  <c r="J8" i="19" s="1"/>
  <c r="AR9" i="20"/>
  <c r="AI9" i="20" s="1"/>
  <c r="AN9" i="20"/>
  <c r="AE9" i="20" s="1"/>
  <c r="M10" i="20" s="1"/>
  <c r="BX10" i="20" s="1"/>
  <c r="AS9" i="20"/>
  <c r="AJ9" i="20" s="1"/>
  <c r="AQ10" i="20"/>
  <c r="AH10" i="20" s="1"/>
  <c r="AT9" i="20"/>
  <c r="AK9" i="20" s="1"/>
  <c r="AL8" i="20"/>
  <c r="AP9" i="20"/>
  <c r="AG9" i="20" s="1"/>
  <c r="AO9" i="20"/>
  <c r="AF9" i="20" s="1"/>
  <c r="AJ9" i="25" l="1"/>
  <c r="BI8" i="19"/>
  <c r="V8" i="19"/>
  <c r="AI8" i="19" s="1"/>
  <c r="I8" i="19" s="1"/>
  <c r="S8" i="22" s="1"/>
  <c r="AF9" i="25"/>
  <c r="AG9" i="25"/>
  <c r="AZ9" i="20" s="1"/>
  <c r="AI9" i="25"/>
  <c r="AH9" i="25"/>
  <c r="BA9" i="20" s="1"/>
  <c r="T8" i="19"/>
  <c r="BG8" i="19"/>
  <c r="BT8" i="19"/>
  <c r="AX8" i="25"/>
  <c r="J8" i="25" s="1"/>
  <c r="U8" i="19" s="1"/>
  <c r="U8" i="25"/>
  <c r="D8" i="25"/>
  <c r="Q8" i="19" s="1"/>
  <c r="T8" i="25"/>
  <c r="CA8" i="19"/>
  <c r="AN9" i="25"/>
  <c r="BX8" i="19"/>
  <c r="BE8" i="25"/>
  <c r="BD9" i="25"/>
  <c r="P9" i="25" s="1"/>
  <c r="X9" i="19" s="1"/>
  <c r="B9" i="25"/>
  <c r="L7" i="19"/>
  <c r="T7" i="22" s="1"/>
  <c r="V8" i="22"/>
  <c r="C8" i="25"/>
  <c r="X9" i="25" s="1"/>
  <c r="AU9" i="20" s="1"/>
  <c r="AV8" i="25"/>
  <c r="H8" i="25" s="1"/>
  <c r="AC9" i="25" s="1"/>
  <c r="AW9" i="25" s="1"/>
  <c r="F7" i="25"/>
  <c r="BK8" i="19"/>
  <c r="AA8" i="19"/>
  <c r="BM8" i="19"/>
  <c r="BY8" i="19"/>
  <c r="BF8" i="25"/>
  <c r="E7" i="25"/>
  <c r="Y16" i="22"/>
  <c r="X8" i="22"/>
  <c r="AM11" i="20"/>
  <c r="AD11" i="20" s="1"/>
  <c r="L12" i="20" s="1"/>
  <c r="BW12" i="20" s="1"/>
  <c r="AN8" i="19"/>
  <c r="P11" i="20"/>
  <c r="CA11" i="20" s="1"/>
  <c r="N10" i="20"/>
  <c r="BY10" i="20" s="1"/>
  <c r="R10" i="20"/>
  <c r="CC10" i="20" s="1"/>
  <c r="S10" i="20"/>
  <c r="CD10" i="20" s="1"/>
  <c r="AC8" i="20"/>
  <c r="Q10" i="20"/>
  <c r="CB10" i="20" s="1"/>
  <c r="O10" i="20"/>
  <c r="BZ10" i="20" s="1"/>
  <c r="AN10" i="20"/>
  <c r="AE10" i="20" s="1"/>
  <c r="M11" i="20" s="1"/>
  <c r="BX11" i="20" s="1"/>
  <c r="AZ9" i="25" l="1"/>
  <c r="BW9" i="19"/>
  <c r="BB9" i="25"/>
  <c r="BV9" i="19"/>
  <c r="BA9" i="25"/>
  <c r="M9" i="25" s="1"/>
  <c r="BC9" i="25"/>
  <c r="AD9" i="25"/>
  <c r="CA9" i="19"/>
  <c r="Q8" i="25"/>
  <c r="BF7" i="19"/>
  <c r="AY8" i="25" s="1"/>
  <c r="S7" i="19"/>
  <c r="AA8" i="25"/>
  <c r="AW8" i="20" s="1"/>
  <c r="Z8" i="25"/>
  <c r="AV8" i="20" s="1"/>
  <c r="BH9" i="25"/>
  <c r="BE7" i="19"/>
  <c r="R7" i="19"/>
  <c r="Y8" i="25"/>
  <c r="R8" i="25"/>
  <c r="BC8" i="19"/>
  <c r="P8" i="19"/>
  <c r="W9" i="25"/>
  <c r="O9" i="19"/>
  <c r="V10" i="25"/>
  <c r="AO9" i="25"/>
  <c r="BU8" i="19"/>
  <c r="AX9" i="25" s="1"/>
  <c r="J9" i="25" s="1"/>
  <c r="I9" i="25"/>
  <c r="Y17" i="22"/>
  <c r="N8" i="19"/>
  <c r="U8" i="22" s="1"/>
  <c r="X9" i="22"/>
  <c r="AM12" i="20"/>
  <c r="AD12" i="20" s="1"/>
  <c r="L13" i="20" s="1"/>
  <c r="BW13" i="20" s="1"/>
  <c r="AN11" i="20"/>
  <c r="AE11" i="20" s="1"/>
  <c r="AQ11" i="20"/>
  <c r="AH11" i="20" s="1"/>
  <c r="AP10" i="20"/>
  <c r="AG10" i="20" s="1"/>
  <c r="AR10" i="20"/>
  <c r="AI10" i="20" s="1"/>
  <c r="AO10" i="20"/>
  <c r="AF10" i="20" s="1"/>
  <c r="K9" i="20"/>
  <c r="BV9" i="20" s="1"/>
  <c r="AT10" i="20"/>
  <c r="AK10" i="20" s="1"/>
  <c r="AS10" i="20"/>
  <c r="AJ10" i="20" s="1"/>
  <c r="BT9" i="19" l="1"/>
  <c r="AX9" i="20"/>
  <c r="BJ9" i="19"/>
  <c r="W9" i="19"/>
  <c r="O9" i="25"/>
  <c r="N9" i="25"/>
  <c r="AH10" i="25" s="1"/>
  <c r="L9" i="25"/>
  <c r="BI9" i="25"/>
  <c r="U9" i="25" s="1"/>
  <c r="BO9" i="19"/>
  <c r="AP10" i="25" s="1"/>
  <c r="B10" i="25" s="1"/>
  <c r="AQ9" i="25"/>
  <c r="AM9" i="25"/>
  <c r="BC9" i="20" s="1"/>
  <c r="Z8" i="19"/>
  <c r="M8" i="19" s="1"/>
  <c r="AL9" i="25"/>
  <c r="K8" i="25"/>
  <c r="AE9" i="25" s="1"/>
  <c r="AY9" i="20" s="1"/>
  <c r="BQ8" i="19"/>
  <c r="AR9" i="25" s="1"/>
  <c r="D9" i="25" s="1"/>
  <c r="AS8" i="25"/>
  <c r="T9" i="25"/>
  <c r="AT8" i="25"/>
  <c r="BS8" i="19"/>
  <c r="AU8" i="25"/>
  <c r="Y8" i="19"/>
  <c r="AK9" i="25"/>
  <c r="BB9" i="20" s="1"/>
  <c r="U9" i="19"/>
  <c r="T9" i="19"/>
  <c r="BG9" i="19"/>
  <c r="AD10" i="25"/>
  <c r="Y18" i="22"/>
  <c r="AK9" i="19"/>
  <c r="K9" i="19" s="1"/>
  <c r="R11" i="20"/>
  <c r="CC11" i="20" s="1"/>
  <c r="S11" i="20"/>
  <c r="CD11" i="20" s="1"/>
  <c r="AM13" i="20"/>
  <c r="AD13" i="20" s="1"/>
  <c r="O11" i="20"/>
  <c r="BZ11" i="20" s="1"/>
  <c r="M12" i="20"/>
  <c r="BX12" i="20" s="1"/>
  <c r="P12" i="20"/>
  <c r="CA12" i="20" s="1"/>
  <c r="AL9" i="20"/>
  <c r="N11" i="20"/>
  <c r="BY11" i="20" s="1"/>
  <c r="Q11" i="20"/>
  <c r="CB11" i="20" s="1"/>
  <c r="BT10" i="19" l="1"/>
  <c r="AX10" i="20"/>
  <c r="BB10" i="25"/>
  <c r="N10" i="25" s="1"/>
  <c r="BA10" i="20"/>
  <c r="AJ10" i="25"/>
  <c r="AI10" i="25"/>
  <c r="BC10" i="25" s="1"/>
  <c r="BI9" i="19"/>
  <c r="V9" i="19"/>
  <c r="AF10" i="25"/>
  <c r="BW10" i="19"/>
  <c r="AG10" i="25"/>
  <c r="AZ10" i="20" s="1"/>
  <c r="O10" i="19"/>
  <c r="V11" i="25"/>
  <c r="Q9" i="19"/>
  <c r="BX9" i="19"/>
  <c r="BD10" i="25" s="1"/>
  <c r="BE9" i="25"/>
  <c r="Q9" i="25" s="1"/>
  <c r="Y9" i="19" s="1"/>
  <c r="AL9" i="19" s="1"/>
  <c r="L9" i="19" s="1"/>
  <c r="T9" i="22" s="1"/>
  <c r="E8" i="25"/>
  <c r="AL8" i="19"/>
  <c r="V9" i="22" s="1"/>
  <c r="BY9" i="19"/>
  <c r="BF9" i="25"/>
  <c r="C9" i="25"/>
  <c r="AO10" i="25"/>
  <c r="BI10" i="25" s="1"/>
  <c r="F8" i="25"/>
  <c r="G8" i="25"/>
  <c r="BG9" i="25"/>
  <c r="S9" i="25" s="1"/>
  <c r="AN10" i="25" s="1"/>
  <c r="Y19" i="22"/>
  <c r="AO11" i="20"/>
  <c r="AF11" i="20" s="1"/>
  <c r="N12" i="20" s="1"/>
  <c r="BY12" i="20" s="1"/>
  <c r="AC9" i="20"/>
  <c r="AQ12" i="20"/>
  <c r="AH12" i="20" s="1"/>
  <c r="L14" i="20"/>
  <c r="BW14" i="20" s="1"/>
  <c r="AR11" i="20"/>
  <c r="AI11" i="20" s="1"/>
  <c r="AP11" i="20"/>
  <c r="AG11" i="20" s="1"/>
  <c r="O12" i="20" s="1"/>
  <c r="BZ12" i="20" s="1"/>
  <c r="AN12" i="20"/>
  <c r="AE12" i="20" s="1"/>
  <c r="M13" i="20" s="1"/>
  <c r="BX13" i="20" s="1"/>
  <c r="AT11" i="20"/>
  <c r="AK11" i="20" s="1"/>
  <c r="AS11" i="20"/>
  <c r="AJ11" i="20" s="1"/>
  <c r="O10" i="25" l="1"/>
  <c r="AI11" i="25" s="1"/>
  <c r="BC11" i="25" s="1"/>
  <c r="O11" i="25" s="1"/>
  <c r="AZ10" i="25"/>
  <c r="L10" i="25" s="1"/>
  <c r="BV10" i="19"/>
  <c r="BA10" i="25"/>
  <c r="CA10" i="19"/>
  <c r="BH10" i="25"/>
  <c r="U10" i="25"/>
  <c r="R9" i="25"/>
  <c r="AB9" i="25"/>
  <c r="AA9" i="25"/>
  <c r="AW9" i="20" s="1"/>
  <c r="BE8" i="19"/>
  <c r="R8" i="19"/>
  <c r="Y9" i="25"/>
  <c r="P10" i="25"/>
  <c r="BM9" i="19"/>
  <c r="BK9" i="19"/>
  <c r="AA9" i="19"/>
  <c r="AN9" i="19" s="1"/>
  <c r="BC9" i="19"/>
  <c r="P9" i="19"/>
  <c r="W10" i="25"/>
  <c r="X10" i="25"/>
  <c r="AU10" i="20" s="1"/>
  <c r="BU9" i="19"/>
  <c r="AX10" i="25" s="1"/>
  <c r="J10" i="25" s="1"/>
  <c r="U10" i="19" s="1"/>
  <c r="V10" i="22"/>
  <c r="AM10" i="25"/>
  <c r="BC10" i="20" s="1"/>
  <c r="BF8" i="19"/>
  <c r="AY9" i="25" s="1"/>
  <c r="K9" i="25" s="1"/>
  <c r="AE10" i="25" s="1"/>
  <c r="AY10" i="20" s="1"/>
  <c r="S8" i="19"/>
  <c r="Z9" i="25"/>
  <c r="AV9" i="20" s="1"/>
  <c r="L8" i="19"/>
  <c r="T8" i="22" s="1"/>
  <c r="AK10" i="25"/>
  <c r="Y20" i="22"/>
  <c r="AN13" i="20"/>
  <c r="AE13" i="20" s="1"/>
  <c r="M14" i="20" s="1"/>
  <c r="BX14" i="20" s="1"/>
  <c r="AP12" i="20"/>
  <c r="AG12" i="20" s="1"/>
  <c r="K10" i="20"/>
  <c r="BV10" i="20" s="1"/>
  <c r="AO12" i="20"/>
  <c r="AF12" i="20" s="1"/>
  <c r="N13" i="20" s="1"/>
  <c r="BY13" i="20" s="1"/>
  <c r="R12" i="20"/>
  <c r="CC12" i="20" s="1"/>
  <c r="Q12" i="20"/>
  <c r="CB12" i="20" s="1"/>
  <c r="AM14" i="20"/>
  <c r="AD14" i="20" s="1"/>
  <c r="S12" i="20"/>
  <c r="CD12" i="20" s="1"/>
  <c r="P13" i="20"/>
  <c r="CA13" i="20" s="1"/>
  <c r="BE10" i="25" l="1"/>
  <c r="Q10" i="25" s="1"/>
  <c r="Y10" i="19" s="1"/>
  <c r="BB10" i="20"/>
  <c r="BG10" i="25"/>
  <c r="S10" i="25" s="1"/>
  <c r="BI10" i="19"/>
  <c r="V10" i="19"/>
  <c r="M10" i="25"/>
  <c r="BJ10" i="19" s="1"/>
  <c r="AF11" i="25"/>
  <c r="BO10" i="19"/>
  <c r="AP11" i="25" s="1"/>
  <c r="AQ10" i="25"/>
  <c r="N9" i="19"/>
  <c r="U9" i="22" s="1"/>
  <c r="X10" i="22"/>
  <c r="BU10" i="19" s="1"/>
  <c r="X10" i="19"/>
  <c r="AJ11" i="25"/>
  <c r="Z9" i="19"/>
  <c r="M9" i="19" s="1"/>
  <c r="AL10" i="25"/>
  <c r="BX10" i="19"/>
  <c r="AA10" i="19"/>
  <c r="BK10" i="19"/>
  <c r="AT9" i="25"/>
  <c r="F9" i="25" s="1"/>
  <c r="BS9" i="19"/>
  <c r="AU9" i="25"/>
  <c r="T10" i="25"/>
  <c r="BQ9" i="19"/>
  <c r="AR10" i="25" s="1"/>
  <c r="D10" i="25" s="1"/>
  <c r="AS9" i="25"/>
  <c r="AV9" i="25"/>
  <c r="H9" i="25" s="1"/>
  <c r="Y21" i="22"/>
  <c r="AN10" i="19"/>
  <c r="AR12" i="20"/>
  <c r="AI12" i="20" s="1"/>
  <c r="AS12" i="20"/>
  <c r="AJ12" i="20" s="1"/>
  <c r="O13" i="20"/>
  <c r="BZ13" i="20" s="1"/>
  <c r="AQ13" i="20"/>
  <c r="AH13" i="20" s="1"/>
  <c r="AO13" i="20"/>
  <c r="AF13" i="20" s="1"/>
  <c r="N14" i="20" s="1"/>
  <c r="BY14" i="20" s="1"/>
  <c r="AN14" i="20"/>
  <c r="AE14" i="20" s="1"/>
  <c r="M15" i="20" s="1"/>
  <c r="BX15" i="20" s="1"/>
  <c r="AT12" i="20"/>
  <c r="AK12" i="20" s="1"/>
  <c r="L15" i="20"/>
  <c r="BW15" i="20" s="1"/>
  <c r="AL10" i="20"/>
  <c r="BM10" i="19" s="1"/>
  <c r="AL10" i="19" l="1"/>
  <c r="V11" i="22" s="1"/>
  <c r="W10" i="19"/>
  <c r="AH11" i="25"/>
  <c r="BA11" i="20" s="1"/>
  <c r="AG11" i="25"/>
  <c r="AZ11" i="20" s="1"/>
  <c r="AK11" i="25"/>
  <c r="AZ11" i="25"/>
  <c r="L11" i="25" s="1"/>
  <c r="Q10" i="19"/>
  <c r="AC10" i="25"/>
  <c r="C10" i="25"/>
  <c r="G9" i="25"/>
  <c r="AA10" i="25" s="1"/>
  <c r="AW10" i="20" s="1"/>
  <c r="BD11" i="25"/>
  <c r="E9" i="25"/>
  <c r="BY10" i="19"/>
  <c r="BF10" i="25"/>
  <c r="B11" i="25"/>
  <c r="AO11" i="25"/>
  <c r="AN11" i="25"/>
  <c r="BF9" i="19"/>
  <c r="AY10" i="25" s="1"/>
  <c r="K10" i="25" s="1"/>
  <c r="AE11" i="25" s="1"/>
  <c r="AY11" i="20" s="1"/>
  <c r="S9" i="19"/>
  <c r="Y22" i="22"/>
  <c r="N10" i="19"/>
  <c r="U10" i="22" s="1"/>
  <c r="X11" i="22"/>
  <c r="AN15" i="20"/>
  <c r="AE15" i="20" s="1"/>
  <c r="R13" i="20"/>
  <c r="CC13" i="20" s="1"/>
  <c r="AC10" i="20"/>
  <c r="S13" i="20"/>
  <c r="CD13" i="20" s="1"/>
  <c r="AP13" i="20"/>
  <c r="AG13" i="20" s="1"/>
  <c r="Q13" i="20"/>
  <c r="CB13" i="20" s="1"/>
  <c r="AO14" i="20"/>
  <c r="AF14" i="20" s="1"/>
  <c r="AM15" i="20"/>
  <c r="AD15" i="20" s="1"/>
  <c r="P14" i="20"/>
  <c r="CA14" i="20" s="1"/>
  <c r="L10" i="19" l="1"/>
  <c r="T10" i="22" s="1"/>
  <c r="BX11" i="19"/>
  <c r="BB11" i="20"/>
  <c r="BI11" i="19"/>
  <c r="V11" i="19"/>
  <c r="AF12" i="25"/>
  <c r="BE11" i="25"/>
  <c r="Q11" i="25" s="1"/>
  <c r="AU10" i="25"/>
  <c r="G10" i="25" s="1"/>
  <c r="BV11" i="19"/>
  <c r="AZ12" i="25" s="1"/>
  <c r="BA11" i="25"/>
  <c r="BW11" i="19"/>
  <c r="BB11" i="25"/>
  <c r="BU11" i="19"/>
  <c r="AB10" i="25"/>
  <c r="AV10" i="25" s="1"/>
  <c r="CA11" i="19"/>
  <c r="BH11" i="25"/>
  <c r="R9" i="19"/>
  <c r="BE9" i="19"/>
  <c r="Y10" i="25"/>
  <c r="Z10" i="25"/>
  <c r="AV10" i="20" s="1"/>
  <c r="P10" i="19"/>
  <c r="BC10" i="19"/>
  <c r="W11" i="25"/>
  <c r="X11" i="25"/>
  <c r="AU11" i="20" s="1"/>
  <c r="BI11" i="25"/>
  <c r="O11" i="19"/>
  <c r="V12" i="25"/>
  <c r="R10" i="25"/>
  <c r="P11" i="25"/>
  <c r="BS10" i="19"/>
  <c r="AW10" i="25"/>
  <c r="I10" i="25" s="1"/>
  <c r="Y23" i="22"/>
  <c r="M16" i="20"/>
  <c r="BX16" i="20" s="1"/>
  <c r="K11" i="20"/>
  <c r="BV11" i="20" s="1"/>
  <c r="L16" i="20"/>
  <c r="BW16" i="20" s="1"/>
  <c r="N15" i="20"/>
  <c r="BY15" i="20" s="1"/>
  <c r="O14" i="20"/>
  <c r="BZ14" i="20" s="1"/>
  <c r="AQ14" i="20"/>
  <c r="AH14" i="20" s="1"/>
  <c r="AR13" i="20"/>
  <c r="AI13" i="20" s="1"/>
  <c r="AT13" i="20"/>
  <c r="AK13" i="20" s="1"/>
  <c r="AS13" i="20"/>
  <c r="AJ13" i="20" s="1"/>
  <c r="L12" i="25" l="1"/>
  <c r="M11" i="25"/>
  <c r="BJ11" i="19" s="1"/>
  <c r="N11" i="25"/>
  <c r="AF13" i="25"/>
  <c r="H10" i="25"/>
  <c r="AB11" i="25" s="1"/>
  <c r="AV11" i="25" s="1"/>
  <c r="H11" i="25" s="1"/>
  <c r="BG10" i="19"/>
  <c r="AD11" i="25"/>
  <c r="AX11" i="20" s="1"/>
  <c r="T10" i="19"/>
  <c r="AC11" i="25"/>
  <c r="T11" i="25"/>
  <c r="X11" i="19"/>
  <c r="AJ12" i="25"/>
  <c r="U11" i="25"/>
  <c r="AO12" i="25" s="1"/>
  <c r="BO11" i="19"/>
  <c r="AP12" i="25" s="1"/>
  <c r="B12" i="25" s="1"/>
  <c r="AQ11" i="25"/>
  <c r="BQ10" i="19"/>
  <c r="AR11" i="25" s="1"/>
  <c r="AS10" i="25"/>
  <c r="Z10" i="19"/>
  <c r="M10" i="19" s="1"/>
  <c r="AM11" i="25"/>
  <c r="BC11" i="20" s="1"/>
  <c r="AL11" i="25"/>
  <c r="Y11" i="19"/>
  <c r="AK12" i="25"/>
  <c r="BB12" i="20" s="1"/>
  <c r="Y24" i="22"/>
  <c r="AN16" i="20"/>
  <c r="AE16" i="20" s="1"/>
  <c r="M17" i="20" s="1"/>
  <c r="BX17" i="20" s="1"/>
  <c r="AO15" i="20"/>
  <c r="AF15" i="20" s="1"/>
  <c r="AM16" i="20"/>
  <c r="AD16" i="20" s="1"/>
  <c r="S14" i="20"/>
  <c r="CD14" i="20" s="1"/>
  <c r="Q14" i="20"/>
  <c r="CB14" i="20" s="1"/>
  <c r="AL11" i="20"/>
  <c r="P15" i="20"/>
  <c r="CA15" i="20" s="1"/>
  <c r="R14" i="20"/>
  <c r="CC14" i="20" s="1"/>
  <c r="AP14" i="20"/>
  <c r="AG14" i="20" s="1"/>
  <c r="W11" i="19" l="1"/>
  <c r="AG12" i="25"/>
  <c r="AZ12" i="20" s="1"/>
  <c r="AI12" i="25"/>
  <c r="BC12" i="25" s="1"/>
  <c r="O12" i="25" s="1"/>
  <c r="AH12" i="25"/>
  <c r="BA12" i="20" s="1"/>
  <c r="V12" i="19"/>
  <c r="BI12" i="19"/>
  <c r="O12" i="19"/>
  <c r="V13" i="25"/>
  <c r="C11" i="25"/>
  <c r="E10" i="25"/>
  <c r="BD12" i="25"/>
  <c r="P12" i="25" s="1"/>
  <c r="AW11" i="25"/>
  <c r="I11" i="25" s="1"/>
  <c r="BX12" i="19"/>
  <c r="BT11" i="19"/>
  <c r="AX11" i="25"/>
  <c r="BY11" i="19"/>
  <c r="BF11" i="25"/>
  <c r="R11" i="25" s="1"/>
  <c r="Z11" i="19" s="1"/>
  <c r="M11" i="19" s="1"/>
  <c r="BG11" i="25"/>
  <c r="S11" i="25" s="1"/>
  <c r="BI12" i="25"/>
  <c r="U12" i="25" s="1"/>
  <c r="D11" i="25"/>
  <c r="Y25" i="22"/>
  <c r="AS14" i="20"/>
  <c r="AJ14" i="20" s="1"/>
  <c r="L17" i="20"/>
  <c r="BW17" i="20" s="1"/>
  <c r="AC11" i="20"/>
  <c r="AT14" i="20"/>
  <c r="AK14" i="20" s="1"/>
  <c r="AQ15" i="20"/>
  <c r="AH15" i="20" s="1"/>
  <c r="O15" i="20"/>
  <c r="BZ15" i="20" s="1"/>
  <c r="AR14" i="20"/>
  <c r="AI14" i="20" s="1"/>
  <c r="AN17" i="20"/>
  <c r="AE17" i="20" s="1"/>
  <c r="N16" i="20"/>
  <c r="BY16" i="20" s="1"/>
  <c r="BV12" i="19" l="1"/>
  <c r="AZ13" i="25" s="1"/>
  <c r="BA12" i="25"/>
  <c r="AL12" i="25"/>
  <c r="BF12" i="25" s="1"/>
  <c r="BW12" i="19"/>
  <c r="BB12" i="25"/>
  <c r="N12" i="25" s="1"/>
  <c r="BG11" i="19"/>
  <c r="T11" i="19"/>
  <c r="AC12" i="25"/>
  <c r="X12" i="19"/>
  <c r="AJ13" i="25"/>
  <c r="BM11" i="19"/>
  <c r="BK11" i="19"/>
  <c r="BE12" i="25" s="1"/>
  <c r="AA11" i="19"/>
  <c r="AN11" i="19" s="1"/>
  <c r="X12" i="22" s="1"/>
  <c r="AM12" i="25"/>
  <c r="BC12" i="20" s="1"/>
  <c r="AN12" i="25"/>
  <c r="J11" i="25"/>
  <c r="Q11" i="19"/>
  <c r="X12" i="25"/>
  <c r="AU12" i="20" s="1"/>
  <c r="BC11" i="19"/>
  <c r="P11" i="19"/>
  <c r="W12" i="25"/>
  <c r="BD13" i="25"/>
  <c r="P13" i="25" s="1"/>
  <c r="X13" i="19" s="1"/>
  <c r="BE10" i="19"/>
  <c r="R10" i="19"/>
  <c r="Y11" i="25"/>
  <c r="Y26" i="22"/>
  <c r="AM17" i="20"/>
  <c r="AD17" i="20" s="1"/>
  <c r="R15" i="20"/>
  <c r="CC15" i="20" s="1"/>
  <c r="M18" i="20"/>
  <c r="BX18" i="20" s="1"/>
  <c r="AO16" i="20"/>
  <c r="AF16" i="20" s="1"/>
  <c r="P16" i="20"/>
  <c r="CA16" i="20" s="1"/>
  <c r="K12" i="20"/>
  <c r="BV12" i="20" s="1"/>
  <c r="Q15" i="20"/>
  <c r="CB15" i="20" s="1"/>
  <c r="AP15" i="20"/>
  <c r="AG15" i="20" s="1"/>
  <c r="O16" i="20" s="1"/>
  <c r="BZ16" i="20" s="1"/>
  <c r="S15" i="20"/>
  <c r="CD15" i="20" s="1"/>
  <c r="BG12" i="25" l="1"/>
  <c r="S12" i="25" s="1"/>
  <c r="AA12" i="19" s="1"/>
  <c r="AN12" i="19" s="1"/>
  <c r="AI13" i="25"/>
  <c r="M12" i="25"/>
  <c r="AH13" i="25" s="1"/>
  <c r="BA13" i="20" s="1"/>
  <c r="BY12" i="19"/>
  <c r="L13" i="25"/>
  <c r="R12" i="25"/>
  <c r="N11" i="19"/>
  <c r="U11" i="22" s="1"/>
  <c r="BO12" i="19"/>
  <c r="AP13" i="25" s="1"/>
  <c r="B13" i="25" s="1"/>
  <c r="AQ12" i="25"/>
  <c r="C12" i="25" s="1"/>
  <c r="Q12" i="25"/>
  <c r="AW12" i="25"/>
  <c r="I12" i="25" s="1"/>
  <c r="BK12" i="19"/>
  <c r="CA12" i="19"/>
  <c r="BH12" i="25"/>
  <c r="T12" i="25" s="1"/>
  <c r="U11" i="19"/>
  <c r="AD12" i="25"/>
  <c r="AX12" i="20" s="1"/>
  <c r="BQ11" i="19"/>
  <c r="AR12" i="25" s="1"/>
  <c r="AS11" i="25"/>
  <c r="E11" i="25" s="1"/>
  <c r="Y12" i="25" s="1"/>
  <c r="BQ12" i="19" s="1"/>
  <c r="Y27" i="22"/>
  <c r="AL12" i="20"/>
  <c r="AQ16" i="20"/>
  <c r="AH16" i="20" s="1"/>
  <c r="AN18" i="20"/>
  <c r="AE18" i="20" s="1"/>
  <c r="AT15" i="20"/>
  <c r="AK15" i="20" s="1"/>
  <c r="AP16" i="20"/>
  <c r="AG16" i="20" s="1"/>
  <c r="AS15" i="20"/>
  <c r="AJ15" i="20" s="1"/>
  <c r="AR15" i="20"/>
  <c r="AI15" i="20" s="1"/>
  <c r="N17" i="20"/>
  <c r="BY17" i="20" s="1"/>
  <c r="L18" i="20"/>
  <c r="BW18" i="20" s="1"/>
  <c r="AM13" i="25" l="1"/>
  <c r="BC13" i="20" s="1"/>
  <c r="BM12" i="19"/>
  <c r="V13" i="19"/>
  <c r="BI13" i="19"/>
  <c r="AF14" i="25"/>
  <c r="BJ12" i="19"/>
  <c r="BB13" i="25" s="1"/>
  <c r="W12" i="19"/>
  <c r="AG13" i="25"/>
  <c r="AZ13" i="20" s="1"/>
  <c r="BC13" i="25"/>
  <c r="O13" i="25" s="1"/>
  <c r="BW13" i="19"/>
  <c r="BG13" i="25"/>
  <c r="O13" i="19"/>
  <c r="V14" i="25"/>
  <c r="BT12" i="19"/>
  <c r="AX12" i="25"/>
  <c r="J12" i="25" s="1"/>
  <c r="U12" i="19" s="1"/>
  <c r="BG12" i="19"/>
  <c r="T12" i="19"/>
  <c r="D12" i="25"/>
  <c r="AN13" i="25"/>
  <c r="BH13" i="25" s="1"/>
  <c r="AO13" i="25"/>
  <c r="Y12" i="19"/>
  <c r="AK13" i="25"/>
  <c r="BB13" i="20" s="1"/>
  <c r="BE11" i="19"/>
  <c r="R11" i="19"/>
  <c r="W13" i="25"/>
  <c r="Z12" i="19"/>
  <c r="AL13" i="25"/>
  <c r="Y28" i="22"/>
  <c r="N12" i="19"/>
  <c r="U12" i="22" s="1"/>
  <c r="X13" i="22"/>
  <c r="S16" i="20"/>
  <c r="CD16" i="20" s="1"/>
  <c r="Q16" i="20"/>
  <c r="CB16" i="20" s="1"/>
  <c r="R16" i="20"/>
  <c r="CC16" i="20" s="1"/>
  <c r="M19" i="20"/>
  <c r="BX19" i="20" s="1"/>
  <c r="P17" i="20"/>
  <c r="CA17" i="20" s="1"/>
  <c r="AC12" i="20"/>
  <c r="P12" i="19" s="1"/>
  <c r="O17" i="20"/>
  <c r="BZ17" i="20" s="1"/>
  <c r="AM18" i="20"/>
  <c r="AD18" i="20" s="1"/>
  <c r="L19" i="20" s="1"/>
  <c r="BW19" i="20" s="1"/>
  <c r="AO17" i="20"/>
  <c r="AF17" i="20" s="1"/>
  <c r="N13" i="25" l="1"/>
  <c r="AI14" i="25" s="1"/>
  <c r="AJ14" i="25"/>
  <c r="BV13" i="19"/>
  <c r="AZ14" i="25" s="1"/>
  <c r="L14" i="25" s="1"/>
  <c r="BA13" i="25"/>
  <c r="Q12" i="19"/>
  <c r="X13" i="25"/>
  <c r="AU13" i="20" s="1"/>
  <c r="BO13" i="19"/>
  <c r="AP14" i="25" s="1"/>
  <c r="B14" i="25" s="1"/>
  <c r="O14" i="19" s="1"/>
  <c r="AQ13" i="25"/>
  <c r="BI13" i="25"/>
  <c r="BC12" i="19"/>
  <c r="BY13" i="19"/>
  <c r="BF13" i="25"/>
  <c r="BX13" i="19"/>
  <c r="BD14" i="25" s="1"/>
  <c r="P14" i="25" s="1"/>
  <c r="BE13" i="25"/>
  <c r="CA13" i="19"/>
  <c r="T13" i="25"/>
  <c r="AD13" i="25"/>
  <c r="S13" i="25"/>
  <c r="Y29" i="22"/>
  <c r="AQ17" i="20"/>
  <c r="AH17" i="20" s="1"/>
  <c r="AN19" i="20"/>
  <c r="AE19" i="20" s="1"/>
  <c r="AS16" i="20"/>
  <c r="AJ16" i="20" s="1"/>
  <c r="AR16" i="20"/>
  <c r="AI16" i="20" s="1"/>
  <c r="AP17" i="20"/>
  <c r="AG17" i="20" s="1"/>
  <c r="N18" i="20"/>
  <c r="BY18" i="20" s="1"/>
  <c r="AM19" i="20"/>
  <c r="AD19" i="20" s="1"/>
  <c r="L20" i="20" s="1"/>
  <c r="BW20" i="20" s="1"/>
  <c r="K13" i="20"/>
  <c r="BV13" i="20" s="1"/>
  <c r="AT16" i="20"/>
  <c r="AK16" i="20" s="1"/>
  <c r="BT13" i="19" l="1"/>
  <c r="AX13" i="20"/>
  <c r="V14" i="19"/>
  <c r="BI14" i="19"/>
  <c r="AF15" i="25"/>
  <c r="BC14" i="25"/>
  <c r="O14" i="25" s="1"/>
  <c r="M13" i="25"/>
  <c r="AH14" i="25" s="1"/>
  <c r="BA14" i="20" s="1"/>
  <c r="Q13" i="25"/>
  <c r="V15" i="25"/>
  <c r="AA13" i="19"/>
  <c r="BK13" i="19"/>
  <c r="AN14" i="25"/>
  <c r="R13" i="25"/>
  <c r="AM14" i="25" s="1"/>
  <c r="BC14" i="20" s="1"/>
  <c r="U13" i="25"/>
  <c r="AO14" i="25" s="1"/>
  <c r="BI14" i="25" s="1"/>
  <c r="X14" i="19"/>
  <c r="C13" i="25"/>
  <c r="AR13" i="25"/>
  <c r="D13" i="25" s="1"/>
  <c r="Y30" i="22"/>
  <c r="AM20" i="20"/>
  <c r="AD20" i="20" s="1"/>
  <c r="O18" i="20"/>
  <c r="BZ18" i="20" s="1"/>
  <c r="R17" i="20"/>
  <c r="CC17" i="20" s="1"/>
  <c r="S17" i="20"/>
  <c r="CD17" i="20" s="1"/>
  <c r="Q17" i="20"/>
  <c r="CB17" i="20" s="1"/>
  <c r="AL13" i="20"/>
  <c r="BM13" i="19" s="1"/>
  <c r="AO18" i="20"/>
  <c r="AF18" i="20" s="1"/>
  <c r="N19" i="20" s="1"/>
  <c r="BY19" i="20" s="1"/>
  <c r="M20" i="20"/>
  <c r="BX20" i="20" s="1"/>
  <c r="P18" i="20"/>
  <c r="CA18" i="20" s="1"/>
  <c r="BJ13" i="19" l="1"/>
  <c r="BB14" i="25" s="1"/>
  <c r="N14" i="25" s="1"/>
  <c r="AJ15" i="25"/>
  <c r="BW14" i="19"/>
  <c r="W13" i="19"/>
  <c r="AG14" i="25"/>
  <c r="AZ14" i="20" s="1"/>
  <c r="Q13" i="19"/>
  <c r="X14" i="25"/>
  <c r="AU14" i="20" s="1"/>
  <c r="BG14" i="25"/>
  <c r="Y13" i="19"/>
  <c r="AK14" i="25"/>
  <c r="BB14" i="20" s="1"/>
  <c r="U14" i="25"/>
  <c r="Z13" i="19"/>
  <c r="AL14" i="25"/>
  <c r="W14" i="25"/>
  <c r="CA14" i="19"/>
  <c r="BH14" i="25"/>
  <c r="T14" i="25" s="1"/>
  <c r="Y31" i="22"/>
  <c r="AO19" i="20"/>
  <c r="AF19" i="20" s="1"/>
  <c r="N20" i="20" s="1"/>
  <c r="BY20" i="20" s="1"/>
  <c r="AN20" i="20"/>
  <c r="AE20" i="20" s="1"/>
  <c r="AT17" i="20"/>
  <c r="AK17" i="20" s="1"/>
  <c r="L21" i="20"/>
  <c r="BW21" i="20" s="1"/>
  <c r="AR17" i="20"/>
  <c r="AI17" i="20" s="1"/>
  <c r="AS17" i="20"/>
  <c r="AJ17" i="20" s="1"/>
  <c r="AC13" i="20"/>
  <c r="BC13" i="19" s="1"/>
  <c r="AQ18" i="20"/>
  <c r="AH18" i="20" s="1"/>
  <c r="AP18" i="20"/>
  <c r="AG18" i="20" s="1"/>
  <c r="BV14" i="19" l="1"/>
  <c r="AZ15" i="25" s="1"/>
  <c r="L15" i="25" s="1"/>
  <c r="BA14" i="25"/>
  <c r="AI15" i="25"/>
  <c r="P13" i="19"/>
  <c r="BX14" i="19"/>
  <c r="BD15" i="25" s="1"/>
  <c r="BE14" i="25"/>
  <c r="AO15" i="25"/>
  <c r="S14" i="25"/>
  <c r="BO14" i="19"/>
  <c r="AP15" i="25" s="1"/>
  <c r="B15" i="25" s="1"/>
  <c r="AQ14" i="25"/>
  <c r="BY14" i="19"/>
  <c r="BF14" i="25"/>
  <c r="Y32" i="22"/>
  <c r="Q18" i="20"/>
  <c r="CB18" i="20" s="1"/>
  <c r="AO20" i="20"/>
  <c r="AF20" i="20" s="1"/>
  <c r="N21" i="20" s="1"/>
  <c r="BY21" i="20" s="1"/>
  <c r="AM21" i="20"/>
  <c r="AD21" i="20" s="1"/>
  <c r="L22" i="20" s="1"/>
  <c r="BW22" i="20" s="1"/>
  <c r="R18" i="20"/>
  <c r="CC18" i="20" s="1"/>
  <c r="M21" i="20"/>
  <c r="BX21" i="20" s="1"/>
  <c r="P19" i="20"/>
  <c r="CA19" i="20" s="1"/>
  <c r="O19" i="20"/>
  <c r="BZ19" i="20" s="1"/>
  <c r="K14" i="20"/>
  <c r="BV14" i="20" s="1"/>
  <c r="S18" i="20"/>
  <c r="CD18" i="20" s="1"/>
  <c r="M14" i="25" l="1"/>
  <c r="BJ14" i="19" s="1"/>
  <c r="BC15" i="25"/>
  <c r="BI15" i="19"/>
  <c r="V15" i="19"/>
  <c r="AF16" i="25"/>
  <c r="C14" i="25"/>
  <c r="Q14" i="25"/>
  <c r="R14" i="25"/>
  <c r="AM15" i="25" s="1"/>
  <c r="BC15" i="20" s="1"/>
  <c r="BK14" i="19"/>
  <c r="AA14" i="19"/>
  <c r="O15" i="19"/>
  <c r="V16" i="25"/>
  <c r="BI15" i="25"/>
  <c r="P15" i="25"/>
  <c r="AN15" i="25"/>
  <c r="Y33" i="22"/>
  <c r="AM22" i="20"/>
  <c r="AD22" i="20" s="1"/>
  <c r="L23" i="20" s="1"/>
  <c r="AQ19" i="20"/>
  <c r="AH19" i="20" s="1"/>
  <c r="AP19" i="20"/>
  <c r="AG19" i="20" s="1"/>
  <c r="O20" i="20" s="1"/>
  <c r="BZ20" i="20" s="1"/>
  <c r="AN21" i="20"/>
  <c r="AE21" i="20" s="1"/>
  <c r="AS18" i="20"/>
  <c r="AJ18" i="20" s="1"/>
  <c r="AO21" i="20"/>
  <c r="AF21" i="20" s="1"/>
  <c r="N22" i="20" s="1"/>
  <c r="BY22" i="20" s="1"/>
  <c r="AR18" i="20"/>
  <c r="AI18" i="20" s="1"/>
  <c r="AL14" i="20"/>
  <c r="BM14" i="19" s="1"/>
  <c r="AT18" i="20"/>
  <c r="AK18" i="20" s="1"/>
  <c r="O15" i="25" l="1"/>
  <c r="W14" i="19"/>
  <c r="AH15" i="25"/>
  <c r="BA15" i="20" s="1"/>
  <c r="AG15" i="25"/>
  <c r="AZ15" i="20" s="1"/>
  <c r="BG15" i="25"/>
  <c r="X15" i="19"/>
  <c r="AJ16" i="25"/>
  <c r="Y14" i="19"/>
  <c r="AK15" i="25"/>
  <c r="BB15" i="20" s="1"/>
  <c r="CA15" i="19"/>
  <c r="BH15" i="25"/>
  <c r="T15" i="25" s="1"/>
  <c r="W15" i="25"/>
  <c r="U15" i="25"/>
  <c r="Z14" i="19"/>
  <c r="AL15" i="25"/>
  <c r="Y34" i="22"/>
  <c r="AM23" i="20"/>
  <c r="AD23" i="20" s="1"/>
  <c r="L24" i="20" s="1"/>
  <c r="BW24" i="20" s="1"/>
  <c r="BW23" i="20"/>
  <c r="AP20" i="20"/>
  <c r="AG20" i="20" s="1"/>
  <c r="Q19" i="20"/>
  <c r="CB19" i="20" s="1"/>
  <c r="M22" i="20"/>
  <c r="BX22" i="20" s="1"/>
  <c r="S19" i="20"/>
  <c r="CD19" i="20" s="1"/>
  <c r="AC14" i="20"/>
  <c r="BC14" i="19" s="1"/>
  <c r="AO22" i="20"/>
  <c r="AF22" i="20" s="1"/>
  <c r="R19" i="20"/>
  <c r="CC19" i="20" s="1"/>
  <c r="P20" i="20"/>
  <c r="CA20" i="20" s="1"/>
  <c r="BV15" i="19" l="1"/>
  <c r="AZ16" i="25" s="1"/>
  <c r="L16" i="25" s="1"/>
  <c r="BA15" i="25"/>
  <c r="M15" i="25" s="1"/>
  <c r="AG16" i="25" s="1"/>
  <c r="AZ16" i="20" s="1"/>
  <c r="BW15" i="19"/>
  <c r="BB15" i="25"/>
  <c r="N15" i="25" s="1"/>
  <c r="AO16" i="25"/>
  <c r="BI16" i="25" s="1"/>
  <c r="BO15" i="19"/>
  <c r="AP16" i="25" s="1"/>
  <c r="B16" i="25" s="1"/>
  <c r="AQ15" i="25"/>
  <c r="C15" i="25" s="1"/>
  <c r="P14" i="19"/>
  <c r="BX15" i="19"/>
  <c r="BD16" i="25" s="1"/>
  <c r="P16" i="25" s="1"/>
  <c r="X16" i="19" s="1"/>
  <c r="BE15" i="25"/>
  <c r="Q15" i="25" s="1"/>
  <c r="Y15" i="19" s="1"/>
  <c r="BY15" i="19"/>
  <c r="BF15" i="25"/>
  <c r="R15" i="25" s="1"/>
  <c r="Z15" i="19" s="1"/>
  <c r="S15" i="25"/>
  <c r="Y35" i="22"/>
  <c r="AT19" i="20"/>
  <c r="AK19" i="20" s="1"/>
  <c r="O21" i="20"/>
  <c r="BZ21" i="20" s="1"/>
  <c r="AS19" i="20"/>
  <c r="AJ19" i="20" s="1"/>
  <c r="K15" i="20"/>
  <c r="BV15" i="20" s="1"/>
  <c r="AQ20" i="20"/>
  <c r="AH20" i="20" s="1"/>
  <c r="AN22" i="20"/>
  <c r="AE22" i="20" s="1"/>
  <c r="M23" i="20" s="1"/>
  <c r="BX23" i="20" s="1"/>
  <c r="N23" i="20"/>
  <c r="BY23" i="20" s="1"/>
  <c r="AR19" i="20"/>
  <c r="AI19" i="20" s="1"/>
  <c r="AM24" i="20"/>
  <c r="AD24" i="20" s="1"/>
  <c r="AK16" i="25" l="1"/>
  <c r="BV16" i="19"/>
  <c r="AH16" i="25"/>
  <c r="BA16" i="20" s="1"/>
  <c r="AI16" i="25"/>
  <c r="U16" i="25"/>
  <c r="AL16" i="25"/>
  <c r="BJ15" i="19"/>
  <c r="W15" i="19"/>
  <c r="BA16" i="25"/>
  <c r="M16" i="25" s="1"/>
  <c r="AG17" i="25" s="1"/>
  <c r="AZ17" i="20" s="1"/>
  <c r="BI16" i="19"/>
  <c r="V16" i="19"/>
  <c r="AF17" i="25"/>
  <c r="W16" i="25"/>
  <c r="BO16" i="19" s="1"/>
  <c r="BY16" i="19"/>
  <c r="AA15" i="19"/>
  <c r="BK15" i="19"/>
  <c r="BE16" i="25" s="1"/>
  <c r="Q16" i="25" s="1"/>
  <c r="AM16" i="25"/>
  <c r="BC16" i="20" s="1"/>
  <c r="AN16" i="25"/>
  <c r="BF16" i="25"/>
  <c r="O16" i="19"/>
  <c r="V17" i="25"/>
  <c r="Y36" i="22"/>
  <c r="S20" i="20"/>
  <c r="CD20" i="20" s="1"/>
  <c r="Q20" i="20"/>
  <c r="CB20" i="20" s="1"/>
  <c r="AL15" i="20"/>
  <c r="BM15" i="19" s="1"/>
  <c r="R20" i="20"/>
  <c r="CC20" i="20" s="1"/>
  <c r="AN23" i="20"/>
  <c r="AE23" i="20" s="1"/>
  <c r="P21" i="20"/>
  <c r="CA21" i="20" s="1"/>
  <c r="AP21" i="20"/>
  <c r="AG21" i="20" s="1"/>
  <c r="AO23" i="20"/>
  <c r="AF23" i="20" s="1"/>
  <c r="L25" i="20"/>
  <c r="BW25" i="20" s="1"/>
  <c r="BX16" i="19" l="1"/>
  <c r="BB16" i="20"/>
  <c r="BV17" i="19"/>
  <c r="BC16" i="25"/>
  <c r="O16" i="25" s="1"/>
  <c r="BB16" i="25"/>
  <c r="N16" i="25" s="1"/>
  <c r="AH17" i="25" s="1"/>
  <c r="BA17" i="20" s="1"/>
  <c r="BW16" i="19"/>
  <c r="BA17" i="25" s="1"/>
  <c r="AZ17" i="25"/>
  <c r="L17" i="25" s="1"/>
  <c r="BJ16" i="19"/>
  <c r="W16" i="19"/>
  <c r="CA16" i="19"/>
  <c r="BH16" i="25"/>
  <c r="T16" i="25" s="1"/>
  <c r="BG16" i="25"/>
  <c r="AP17" i="25"/>
  <c r="B17" i="25" s="1"/>
  <c r="AK17" i="25"/>
  <c r="BB17" i="20" s="1"/>
  <c r="Y16" i="19"/>
  <c r="R16" i="25"/>
  <c r="Y37" i="22"/>
  <c r="N24" i="20"/>
  <c r="BY24" i="20" s="1"/>
  <c r="M24" i="20"/>
  <c r="BX24" i="20" s="1"/>
  <c r="AC15" i="20"/>
  <c r="AS20" i="20"/>
  <c r="AJ20" i="20" s="1"/>
  <c r="AR20" i="20"/>
  <c r="AI20" i="20" s="1"/>
  <c r="O22" i="20"/>
  <c r="BZ22" i="20" s="1"/>
  <c r="AQ21" i="20"/>
  <c r="AH21" i="20" s="1"/>
  <c r="AT20" i="20"/>
  <c r="AK20" i="20" s="1"/>
  <c r="AM25" i="20"/>
  <c r="AD25" i="20" s="1"/>
  <c r="BB17" i="25" l="1"/>
  <c r="N17" i="25" s="1"/>
  <c r="BW17" i="19"/>
  <c r="BI17" i="19"/>
  <c r="V17" i="19"/>
  <c r="AF18" i="25"/>
  <c r="AZ18" i="25" s="1"/>
  <c r="L18" i="25" s="1"/>
  <c r="AI17" i="25"/>
  <c r="AJ17" i="25"/>
  <c r="M17" i="25"/>
  <c r="BJ17" i="19" s="1"/>
  <c r="BC17" i="25"/>
  <c r="AO17" i="25"/>
  <c r="BI17" i="25" s="1"/>
  <c r="O17" i="19"/>
  <c r="V18" i="25"/>
  <c r="BX17" i="19"/>
  <c r="S16" i="25"/>
  <c r="P15" i="19"/>
  <c r="BC15" i="19"/>
  <c r="Z16" i="19"/>
  <c r="AL17" i="25"/>
  <c r="Y38" i="22"/>
  <c r="AO24" i="20"/>
  <c r="AF24" i="20" s="1"/>
  <c r="N25" i="20" s="1"/>
  <c r="BY25" i="20" s="1"/>
  <c r="AN24" i="20"/>
  <c r="AE24" i="20" s="1"/>
  <c r="M25" i="20" s="1"/>
  <c r="BX25" i="20" s="1"/>
  <c r="P22" i="20"/>
  <c r="CA22" i="20" s="1"/>
  <c r="R21" i="20"/>
  <c r="CC21" i="20" s="1"/>
  <c r="S21" i="20"/>
  <c r="CD21" i="20" s="1"/>
  <c r="AP22" i="20"/>
  <c r="AG22" i="20" s="1"/>
  <c r="Q21" i="20"/>
  <c r="CB21" i="20" s="1"/>
  <c r="K16" i="20"/>
  <c r="BV16" i="20" s="1"/>
  <c r="L26" i="20"/>
  <c r="BW26" i="20" s="1"/>
  <c r="AH18" i="25" l="1"/>
  <c r="V18" i="19"/>
  <c r="BI18" i="19"/>
  <c r="AF19" i="25"/>
  <c r="O17" i="25"/>
  <c r="AI18" i="25" s="1"/>
  <c r="BC18" i="25" s="1"/>
  <c r="O18" i="25" s="1"/>
  <c r="BD17" i="25"/>
  <c r="P17" i="25" s="1"/>
  <c r="W17" i="19"/>
  <c r="AG18" i="25"/>
  <c r="AZ18" i="20" s="1"/>
  <c r="BB18" i="25"/>
  <c r="BY17" i="19"/>
  <c r="BF17" i="25"/>
  <c r="R17" i="25" s="1"/>
  <c r="Z17" i="19" s="1"/>
  <c r="BK16" i="19"/>
  <c r="BE17" i="25" s="1"/>
  <c r="AA16" i="19"/>
  <c r="AM17" i="25"/>
  <c r="BC17" i="20" s="1"/>
  <c r="U17" i="25"/>
  <c r="AN17" i="25"/>
  <c r="Y39" i="22"/>
  <c r="AN25" i="20"/>
  <c r="AE25" i="20" s="1"/>
  <c r="AL16" i="20"/>
  <c r="BM16" i="19" s="1"/>
  <c r="AT21" i="20"/>
  <c r="AK21" i="20" s="1"/>
  <c r="AR21" i="20"/>
  <c r="AI21" i="20" s="1"/>
  <c r="O23" i="20"/>
  <c r="BZ23" i="20" s="1"/>
  <c r="AS21" i="20"/>
  <c r="AJ21" i="20" s="1"/>
  <c r="AQ22" i="20"/>
  <c r="AH22" i="20" s="1"/>
  <c r="AO25" i="20"/>
  <c r="AF25" i="20" s="1"/>
  <c r="N26" i="20" s="1"/>
  <c r="BY26" i="20" s="1"/>
  <c r="AM26" i="20"/>
  <c r="AD26" i="20" s="1"/>
  <c r="L27" i="20" s="1"/>
  <c r="BW27" i="20" s="1"/>
  <c r="BW18" i="19" l="1"/>
  <c r="BA18" i="20"/>
  <c r="X17" i="19"/>
  <c r="AJ18" i="25"/>
  <c r="N18" i="25"/>
  <c r="BV18" i="19"/>
  <c r="AZ19" i="25" s="1"/>
  <c r="L19" i="25" s="1"/>
  <c r="BA18" i="25"/>
  <c r="BD18" i="25"/>
  <c r="CA17" i="19"/>
  <c r="BH17" i="25"/>
  <c r="T17" i="25" s="1"/>
  <c r="AO18" i="25" s="1"/>
  <c r="Q17" i="25"/>
  <c r="AL18" i="25" s="1"/>
  <c r="BG17" i="25"/>
  <c r="Y40" i="22"/>
  <c r="M26" i="20"/>
  <c r="BX26" i="20" s="1"/>
  <c r="AO26" i="20"/>
  <c r="AF26" i="20" s="1"/>
  <c r="AC16" i="20"/>
  <c r="S22" i="20"/>
  <c r="CD22" i="20" s="1"/>
  <c r="P23" i="20"/>
  <c r="CA23" i="20" s="1"/>
  <c r="R22" i="20"/>
  <c r="CC22" i="20" s="1"/>
  <c r="Q22" i="20"/>
  <c r="CB22" i="20" s="1"/>
  <c r="AP23" i="20"/>
  <c r="AG23" i="20" s="1"/>
  <c r="O24" i="20" s="1"/>
  <c r="BZ24" i="20" s="1"/>
  <c r="AM27" i="20"/>
  <c r="AD27" i="20" s="1"/>
  <c r="BI19" i="19" l="1"/>
  <c r="V19" i="19"/>
  <c r="AI19" i="25"/>
  <c r="AF20" i="25"/>
  <c r="P18" i="25"/>
  <c r="M18" i="25"/>
  <c r="BJ18" i="19" s="1"/>
  <c r="BY18" i="19"/>
  <c r="Y17" i="19"/>
  <c r="AK18" i="25"/>
  <c r="BB18" i="20" s="1"/>
  <c r="S17" i="25"/>
  <c r="AN18" i="25" s="1"/>
  <c r="BI18" i="25"/>
  <c r="U18" i="25" s="1"/>
  <c r="BF18" i="25"/>
  <c r="Y41" i="22"/>
  <c r="AN26" i="20"/>
  <c r="AE26" i="20" s="1"/>
  <c r="K17" i="20"/>
  <c r="BV17" i="20" s="1"/>
  <c r="N27" i="20"/>
  <c r="BY27" i="20" s="1"/>
  <c r="AP24" i="20"/>
  <c r="AG24" i="20" s="1"/>
  <c r="AT22" i="20"/>
  <c r="AK22" i="20" s="1"/>
  <c r="AR22" i="20"/>
  <c r="AI22" i="20" s="1"/>
  <c r="AS22" i="20"/>
  <c r="AJ22" i="20" s="1"/>
  <c r="AQ23" i="20"/>
  <c r="AH23" i="20" s="1"/>
  <c r="L28" i="20"/>
  <c r="BW28" i="20" s="1"/>
  <c r="BC19" i="25" l="1"/>
  <c r="W18" i="19"/>
  <c r="AG19" i="25"/>
  <c r="AZ19" i="20" s="1"/>
  <c r="X18" i="19"/>
  <c r="AJ19" i="25"/>
  <c r="AH19" i="25"/>
  <c r="BA19" i="20" s="1"/>
  <c r="CA18" i="19"/>
  <c r="BH18" i="25"/>
  <c r="T18" i="25" s="1"/>
  <c r="R18" i="25"/>
  <c r="BX18" i="19"/>
  <c r="BK17" i="19"/>
  <c r="BE18" i="25" s="1"/>
  <c r="AA17" i="19"/>
  <c r="AM18" i="25"/>
  <c r="BC18" i="20" s="1"/>
  <c r="Y42" i="22"/>
  <c r="M27" i="20"/>
  <c r="BX27" i="20" s="1"/>
  <c r="AL17" i="20"/>
  <c r="BM17" i="19" s="1"/>
  <c r="R23" i="20"/>
  <c r="CC23" i="20" s="1"/>
  <c r="S23" i="20"/>
  <c r="CD23" i="20" s="1"/>
  <c r="P24" i="20"/>
  <c r="CA24" i="20" s="1"/>
  <c r="Q23" i="20"/>
  <c r="CB23" i="20" s="1"/>
  <c r="O25" i="20"/>
  <c r="BZ25" i="20" s="1"/>
  <c r="AO27" i="20"/>
  <c r="AF27" i="20" s="1"/>
  <c r="N28" i="20" s="1"/>
  <c r="BY28" i="20" s="1"/>
  <c r="AM28" i="20"/>
  <c r="AD28" i="20" s="1"/>
  <c r="BW19" i="19" l="1"/>
  <c r="BB19" i="25"/>
  <c r="BV19" i="19"/>
  <c r="AZ20" i="25" s="1"/>
  <c r="L20" i="25" s="1"/>
  <c r="BA19" i="25"/>
  <c r="BD19" i="25"/>
  <c r="P19" i="25" s="1"/>
  <c r="O19" i="25"/>
  <c r="Q18" i="25"/>
  <c r="AO19" i="25"/>
  <c r="BG18" i="25"/>
  <c r="Z18" i="19"/>
  <c r="Y43" i="22"/>
  <c r="AN27" i="20"/>
  <c r="AE27" i="20" s="1"/>
  <c r="M28" i="20" s="1"/>
  <c r="BX28" i="20" s="1"/>
  <c r="AO28" i="20"/>
  <c r="AF28" i="20" s="1"/>
  <c r="N29" i="20" s="1"/>
  <c r="BY29" i="20" s="1"/>
  <c r="AT23" i="20"/>
  <c r="AK23" i="20" s="1"/>
  <c r="AS23" i="20"/>
  <c r="AJ23" i="20" s="1"/>
  <c r="AP25" i="20"/>
  <c r="AG25" i="20" s="1"/>
  <c r="AR23" i="20"/>
  <c r="AI23" i="20" s="1"/>
  <c r="AQ24" i="20"/>
  <c r="AH24" i="20" s="1"/>
  <c r="AC17" i="20"/>
  <c r="L29" i="20"/>
  <c r="BW29" i="20" s="1"/>
  <c r="M19" i="25" l="1"/>
  <c r="BJ19" i="19" s="1"/>
  <c r="N19" i="25"/>
  <c r="AI20" i="25" s="1"/>
  <c r="BI20" i="19"/>
  <c r="V20" i="19"/>
  <c r="AF21" i="25"/>
  <c r="X19" i="19"/>
  <c r="AJ20" i="25"/>
  <c r="Y18" i="19"/>
  <c r="AK19" i="25"/>
  <c r="BB19" i="20" s="1"/>
  <c r="S18" i="25"/>
  <c r="BI19" i="25"/>
  <c r="U19" i="25" s="1"/>
  <c r="AL19" i="25"/>
  <c r="Y44" i="22"/>
  <c r="AN28" i="20"/>
  <c r="AE28" i="20" s="1"/>
  <c r="K18" i="20"/>
  <c r="BV18" i="20" s="1"/>
  <c r="Q24" i="20"/>
  <c r="CB24" i="20" s="1"/>
  <c r="R24" i="20"/>
  <c r="CC24" i="20" s="1"/>
  <c r="P25" i="20"/>
  <c r="CA25" i="20" s="1"/>
  <c r="O26" i="20"/>
  <c r="BZ26" i="20" s="1"/>
  <c r="S24" i="20"/>
  <c r="CD24" i="20" s="1"/>
  <c r="AO29" i="20"/>
  <c r="AF29" i="20" s="1"/>
  <c r="AM29" i="20"/>
  <c r="AD29" i="20" s="1"/>
  <c r="BC20" i="25" l="1"/>
  <c r="O20" i="25" s="1"/>
  <c r="W19" i="19"/>
  <c r="AG20" i="25"/>
  <c r="AZ20" i="20" s="1"/>
  <c r="AH20" i="25"/>
  <c r="BA20" i="20" s="1"/>
  <c r="BY19" i="19"/>
  <c r="BF19" i="25"/>
  <c r="AA18" i="19"/>
  <c r="BK18" i="19"/>
  <c r="BE19" i="25" s="1"/>
  <c r="AN19" i="25"/>
  <c r="AM19" i="25"/>
  <c r="BC19" i="20" s="1"/>
  <c r="BX19" i="19"/>
  <c r="BD20" i="25" s="1"/>
  <c r="Y45" i="22"/>
  <c r="M29" i="20"/>
  <c r="BX29" i="20" s="1"/>
  <c r="N30" i="20"/>
  <c r="BY30" i="20" s="1"/>
  <c r="AP26" i="20"/>
  <c r="AG26" i="20" s="1"/>
  <c r="AL18" i="20"/>
  <c r="BM18" i="19" s="1"/>
  <c r="AQ25" i="20"/>
  <c r="AH25" i="20" s="1"/>
  <c r="AS24" i="20"/>
  <c r="AJ24" i="20" s="1"/>
  <c r="AR24" i="20"/>
  <c r="AI24" i="20" s="1"/>
  <c r="AT24" i="20"/>
  <c r="AK24" i="20" s="1"/>
  <c r="L30" i="20"/>
  <c r="BW30" i="20" s="1"/>
  <c r="BV20" i="19" l="1"/>
  <c r="AZ21" i="25" s="1"/>
  <c r="L21" i="25" s="1"/>
  <c r="BA20" i="25"/>
  <c r="BW20" i="19"/>
  <c r="BB20" i="25"/>
  <c r="N20" i="25" s="1"/>
  <c r="CA19" i="19"/>
  <c r="BH19" i="25"/>
  <c r="Q19" i="25"/>
  <c r="BG19" i="25"/>
  <c r="P20" i="25"/>
  <c r="R19" i="25"/>
  <c r="Y46" i="22"/>
  <c r="AN29" i="20"/>
  <c r="AE29" i="20" s="1"/>
  <c r="R25" i="20"/>
  <c r="CC25" i="20" s="1"/>
  <c r="AC18" i="20"/>
  <c r="S25" i="20"/>
  <c r="CD25" i="20" s="1"/>
  <c r="AO30" i="20"/>
  <c r="AF30" i="20" s="1"/>
  <c r="Q25" i="20"/>
  <c r="CB25" i="20" s="1"/>
  <c r="P26" i="20"/>
  <c r="CA26" i="20" s="1"/>
  <c r="O27" i="20"/>
  <c r="BZ27" i="20" s="1"/>
  <c r="AM30" i="20"/>
  <c r="AD30" i="20" s="1"/>
  <c r="L31" i="20" s="1"/>
  <c r="BW31" i="20" s="1"/>
  <c r="M20" i="25" l="1"/>
  <c r="AH21" i="25" s="1"/>
  <c r="AF22" i="25"/>
  <c r="BI21" i="19"/>
  <c r="V21" i="19"/>
  <c r="AI21" i="25"/>
  <c r="X20" i="19"/>
  <c r="AJ21" i="25"/>
  <c r="Y19" i="19"/>
  <c r="AK20" i="25"/>
  <c r="BB20" i="20" s="1"/>
  <c r="S19" i="25"/>
  <c r="Z19" i="19"/>
  <c r="AL20" i="25"/>
  <c r="T19" i="25"/>
  <c r="Y47" i="22"/>
  <c r="M30" i="20"/>
  <c r="BX30" i="20" s="1"/>
  <c r="AP27" i="20"/>
  <c r="AG27" i="20" s="1"/>
  <c r="O28" i="20" s="1"/>
  <c r="BZ28" i="20" s="1"/>
  <c r="AQ26" i="20"/>
  <c r="AH26" i="20" s="1"/>
  <c r="AR25" i="20"/>
  <c r="AI25" i="20" s="1"/>
  <c r="AT25" i="20"/>
  <c r="AK25" i="20" s="1"/>
  <c r="N31" i="20"/>
  <c r="BY31" i="20" s="1"/>
  <c r="AS25" i="20"/>
  <c r="AJ25" i="20" s="1"/>
  <c r="K19" i="20"/>
  <c r="BV19" i="20" s="1"/>
  <c r="AM31" i="20"/>
  <c r="AD31" i="20" s="1"/>
  <c r="BW21" i="19" l="1"/>
  <c r="BA21" i="20"/>
  <c r="BJ20" i="19"/>
  <c r="BB21" i="25" s="1"/>
  <c r="N21" i="25" s="1"/>
  <c r="BC21" i="25"/>
  <c r="O21" i="25" s="1"/>
  <c r="W20" i="19"/>
  <c r="AG21" i="25"/>
  <c r="AZ21" i="20" s="1"/>
  <c r="AO20" i="25"/>
  <c r="AN20" i="25"/>
  <c r="BY20" i="19"/>
  <c r="BF20" i="25"/>
  <c r="AA19" i="19"/>
  <c r="BK19" i="19"/>
  <c r="BE20" i="25" s="1"/>
  <c r="AM20" i="25"/>
  <c r="BC20" i="20" s="1"/>
  <c r="BX20" i="19"/>
  <c r="BD21" i="25" s="1"/>
  <c r="P21" i="25" s="1"/>
  <c r="Y48" i="22"/>
  <c r="AN30" i="20"/>
  <c r="AE30" i="20" s="1"/>
  <c r="R26" i="20"/>
  <c r="CC26" i="20" s="1"/>
  <c r="S26" i="20"/>
  <c r="CD26" i="20" s="1"/>
  <c r="P27" i="20"/>
  <c r="CA27" i="20" s="1"/>
  <c r="AL19" i="20"/>
  <c r="BM19" i="19" s="1"/>
  <c r="AO31" i="20"/>
  <c r="AF31" i="20" s="1"/>
  <c r="Q26" i="20"/>
  <c r="CB26" i="20" s="1"/>
  <c r="AP28" i="20"/>
  <c r="AG28" i="20" s="1"/>
  <c r="L32" i="20"/>
  <c r="BW32" i="20" s="1"/>
  <c r="AI22" i="25" l="1"/>
  <c r="BC22" i="25" s="1"/>
  <c r="O22" i="25" s="1"/>
  <c r="BV21" i="19"/>
  <c r="AZ22" i="25" s="1"/>
  <c r="L22" i="25" s="1"/>
  <c r="BA21" i="25"/>
  <c r="M21" i="25" s="1"/>
  <c r="W21" i="19" s="1"/>
  <c r="X21" i="19"/>
  <c r="AJ22" i="25"/>
  <c r="BG20" i="25"/>
  <c r="R20" i="25"/>
  <c r="CA20" i="19"/>
  <c r="BH20" i="25"/>
  <c r="BI20" i="25"/>
  <c r="Q20" i="25"/>
  <c r="Y49" i="22"/>
  <c r="M31" i="20"/>
  <c r="BX31" i="20" s="1"/>
  <c r="AR26" i="20"/>
  <c r="AI26" i="20" s="1"/>
  <c r="AC19" i="20"/>
  <c r="O29" i="20"/>
  <c r="BZ29" i="20" s="1"/>
  <c r="N32" i="20"/>
  <c r="BY32" i="20" s="1"/>
  <c r="AT26" i="20"/>
  <c r="AK26" i="20" s="1"/>
  <c r="AS26" i="20"/>
  <c r="AJ26" i="20" s="1"/>
  <c r="AQ27" i="20"/>
  <c r="AH27" i="20" s="1"/>
  <c r="AM32" i="20"/>
  <c r="AD32" i="20" s="1"/>
  <c r="AH22" i="25" l="1"/>
  <c r="BA22" i="20" s="1"/>
  <c r="V22" i="19"/>
  <c r="BI22" i="19"/>
  <c r="AF23" i="25"/>
  <c r="AG22" i="25"/>
  <c r="AZ22" i="20" s="1"/>
  <c r="BJ21" i="19"/>
  <c r="Y20" i="19"/>
  <c r="AK21" i="25"/>
  <c r="BB21" i="20" s="1"/>
  <c r="Z20" i="19"/>
  <c r="AL21" i="25"/>
  <c r="U20" i="25"/>
  <c r="T20" i="25"/>
  <c r="S20" i="25"/>
  <c r="Y50" i="22"/>
  <c r="AN31" i="20"/>
  <c r="AE31" i="20" s="1"/>
  <c r="M32" i="20" s="1"/>
  <c r="BX32" i="20" s="1"/>
  <c r="K20" i="20"/>
  <c r="BV20" i="20" s="1"/>
  <c r="P28" i="20"/>
  <c r="CA28" i="20" s="1"/>
  <c r="S27" i="20"/>
  <c r="CD27" i="20" s="1"/>
  <c r="AP29" i="20"/>
  <c r="AG29" i="20" s="1"/>
  <c r="R27" i="20"/>
  <c r="CC27" i="20" s="1"/>
  <c r="AO32" i="20"/>
  <c r="AF32" i="20" s="1"/>
  <c r="N33" i="20" s="1"/>
  <c r="BY33" i="20" s="1"/>
  <c r="Q27" i="20"/>
  <c r="CB27" i="20" s="1"/>
  <c r="L33" i="20"/>
  <c r="BW33" i="20" s="1"/>
  <c r="BA22" i="25" l="1"/>
  <c r="BB22" i="25"/>
  <c r="N22" i="25" s="1"/>
  <c r="AI23" i="25" s="1"/>
  <c r="AO21" i="25"/>
  <c r="BV22" i="19"/>
  <c r="AZ23" i="25" s="1"/>
  <c r="L23" i="25" s="1"/>
  <c r="M22" i="25"/>
  <c r="BJ22" i="19" s="1"/>
  <c r="BW22" i="19"/>
  <c r="BI21" i="25"/>
  <c r="U21" i="25" s="1"/>
  <c r="AA20" i="19"/>
  <c r="BK20" i="19"/>
  <c r="BE21" i="25" s="1"/>
  <c r="Q21" i="25" s="1"/>
  <c r="AM21" i="25"/>
  <c r="BC21" i="20" s="1"/>
  <c r="BY21" i="19"/>
  <c r="BF21" i="25"/>
  <c r="BX21" i="19"/>
  <c r="BD22" i="25" s="1"/>
  <c r="AN21" i="25"/>
  <c r="Y51" i="22"/>
  <c r="AN32" i="20"/>
  <c r="AE32" i="20" s="1"/>
  <c r="AT27" i="20"/>
  <c r="AK27" i="20" s="1"/>
  <c r="AO33" i="20"/>
  <c r="AF33" i="20" s="1"/>
  <c r="O30" i="20"/>
  <c r="BZ30" i="20" s="1"/>
  <c r="AL20" i="20"/>
  <c r="BM20" i="19" s="1"/>
  <c r="AR27" i="20"/>
  <c r="AI27" i="20" s="1"/>
  <c r="AS27" i="20"/>
  <c r="AJ27" i="20" s="1"/>
  <c r="AQ28" i="20"/>
  <c r="AH28" i="20" s="1"/>
  <c r="AM33" i="20"/>
  <c r="AD33" i="20" s="1"/>
  <c r="AG23" i="25" l="1"/>
  <c r="BC23" i="25"/>
  <c r="O23" i="25" s="1"/>
  <c r="AH23" i="25"/>
  <c r="BA23" i="20" s="1"/>
  <c r="W22" i="19"/>
  <c r="BA23" i="25"/>
  <c r="V23" i="19"/>
  <c r="BI23" i="19"/>
  <c r="AF24" i="25"/>
  <c r="Y21" i="19"/>
  <c r="AK22" i="25"/>
  <c r="BB22" i="20" s="1"/>
  <c r="R21" i="25"/>
  <c r="CA21" i="19"/>
  <c r="BH21" i="25"/>
  <c r="T21" i="25" s="1"/>
  <c r="P22" i="25"/>
  <c r="BG21" i="25"/>
  <c r="Y52" i="22"/>
  <c r="M33" i="20"/>
  <c r="BX33" i="20" s="1"/>
  <c r="P29" i="20"/>
  <c r="CA29" i="20" s="1"/>
  <c r="AP30" i="20"/>
  <c r="AG30" i="20" s="1"/>
  <c r="S28" i="20"/>
  <c r="CD28" i="20" s="1"/>
  <c r="Q28" i="20"/>
  <c r="CB28" i="20" s="1"/>
  <c r="R28" i="20"/>
  <c r="CC28" i="20" s="1"/>
  <c r="AC20" i="20"/>
  <c r="N34" i="20"/>
  <c r="BY34" i="20" s="1"/>
  <c r="L34" i="20"/>
  <c r="BW34" i="20" s="1"/>
  <c r="BV23" i="19" l="1"/>
  <c r="AZ23" i="20"/>
  <c r="M23" i="25"/>
  <c r="AZ24" i="25"/>
  <c r="L24" i="25" s="1"/>
  <c r="BW23" i="19"/>
  <c r="BB23" i="25"/>
  <c r="N23" i="25" s="1"/>
  <c r="X22" i="19"/>
  <c r="AJ23" i="25"/>
  <c r="Z21" i="19"/>
  <c r="AL22" i="25"/>
  <c r="S21" i="25"/>
  <c r="AN22" i="25" s="1"/>
  <c r="AO22" i="25"/>
  <c r="BX22" i="19"/>
  <c r="Y53" i="22"/>
  <c r="AN33" i="20"/>
  <c r="AE33" i="20" s="1"/>
  <c r="K21" i="20"/>
  <c r="BV21" i="20" s="1"/>
  <c r="AS28" i="20"/>
  <c r="AJ28" i="20" s="1"/>
  <c r="AT28" i="20"/>
  <c r="AK28" i="20" s="1"/>
  <c r="AO34" i="20"/>
  <c r="AF34" i="20" s="1"/>
  <c r="N35" i="20" s="1"/>
  <c r="BY35" i="20" s="1"/>
  <c r="O31" i="20"/>
  <c r="BZ31" i="20" s="1"/>
  <c r="AR28" i="20"/>
  <c r="AI28" i="20" s="1"/>
  <c r="AQ29" i="20"/>
  <c r="AH29" i="20" s="1"/>
  <c r="AM34" i="20"/>
  <c r="AD34" i="20" s="1"/>
  <c r="L35" i="20" s="1"/>
  <c r="BW35" i="20" s="1"/>
  <c r="AH24" i="25" l="1"/>
  <c r="BA24" i="20" s="1"/>
  <c r="W23" i="19"/>
  <c r="AG24" i="25"/>
  <c r="AZ24" i="20" s="1"/>
  <c r="V24" i="19"/>
  <c r="BI24" i="19"/>
  <c r="BJ23" i="19"/>
  <c r="BW24" i="19"/>
  <c r="AF25" i="25"/>
  <c r="AI24" i="25"/>
  <c r="BC24" i="25" s="1"/>
  <c r="CA22" i="19"/>
  <c r="BH22" i="25"/>
  <c r="T22" i="25" s="1"/>
  <c r="BI22" i="25"/>
  <c r="BK21" i="19"/>
  <c r="BE22" i="25" s="1"/>
  <c r="AA21" i="19"/>
  <c r="AM22" i="25"/>
  <c r="BC22" i="20" s="1"/>
  <c r="BD23" i="25"/>
  <c r="BY22" i="19"/>
  <c r="BF22" i="25"/>
  <c r="Y54" i="22"/>
  <c r="M34" i="20"/>
  <c r="BX34" i="20" s="1"/>
  <c r="AO35" i="20"/>
  <c r="AF35" i="20" s="1"/>
  <c r="N36" i="20" s="1"/>
  <c r="BY36" i="20" s="1"/>
  <c r="AL21" i="20"/>
  <c r="BM21" i="19" s="1"/>
  <c r="S29" i="20"/>
  <c r="CD29" i="20" s="1"/>
  <c r="P30" i="20"/>
  <c r="CA30" i="20" s="1"/>
  <c r="Q29" i="20"/>
  <c r="CB29" i="20" s="1"/>
  <c r="AP31" i="20"/>
  <c r="AG31" i="20" s="1"/>
  <c r="O32" i="20" s="1"/>
  <c r="BZ32" i="20" s="1"/>
  <c r="R29" i="20"/>
  <c r="CC29" i="20" s="1"/>
  <c r="AM35" i="20"/>
  <c r="AD35" i="20" s="1"/>
  <c r="BB24" i="25" l="1"/>
  <c r="N24" i="25" s="1"/>
  <c r="BV24" i="19"/>
  <c r="AZ25" i="25" s="1"/>
  <c r="L25" i="25" s="1"/>
  <c r="BA24" i="25"/>
  <c r="M24" i="25" s="1"/>
  <c r="W24" i="19" s="1"/>
  <c r="O24" i="25"/>
  <c r="R22" i="25"/>
  <c r="Q22" i="25"/>
  <c r="U22" i="25"/>
  <c r="AO23" i="25" s="1"/>
  <c r="BI23" i="25" s="1"/>
  <c r="BG22" i="25"/>
  <c r="P23" i="25"/>
  <c r="Y55" i="22"/>
  <c r="AN34" i="20"/>
  <c r="AE34" i="20" s="1"/>
  <c r="AP32" i="20"/>
  <c r="AG32" i="20" s="1"/>
  <c r="AR29" i="20"/>
  <c r="AI29" i="20" s="1"/>
  <c r="AS29" i="20"/>
  <c r="AJ29" i="20" s="1"/>
  <c r="AQ30" i="20"/>
  <c r="AH30" i="20" s="1"/>
  <c r="AT29" i="20"/>
  <c r="AK29" i="20" s="1"/>
  <c r="AC21" i="20"/>
  <c r="L36" i="20"/>
  <c r="BW36" i="20" s="1"/>
  <c r="AO36" i="20"/>
  <c r="AF36" i="20" s="1"/>
  <c r="N37" i="20" s="1"/>
  <c r="BY37" i="20" s="1"/>
  <c r="AI25" i="25" l="1"/>
  <c r="BI25" i="19"/>
  <c r="V25" i="19"/>
  <c r="AF26" i="25"/>
  <c r="BJ24" i="19"/>
  <c r="AG25" i="25"/>
  <c r="AZ25" i="20" s="1"/>
  <c r="AH25" i="25"/>
  <c r="BA25" i="20" s="1"/>
  <c r="U23" i="25"/>
  <c r="X23" i="19"/>
  <c r="AJ24" i="25"/>
  <c r="S22" i="25"/>
  <c r="Z22" i="19"/>
  <c r="AL23" i="25"/>
  <c r="Y22" i="19"/>
  <c r="AK23" i="25"/>
  <c r="BB23" i="20" s="1"/>
  <c r="Y56" i="22"/>
  <c r="M35" i="20"/>
  <c r="BX35" i="20" s="1"/>
  <c r="Q30" i="20"/>
  <c r="CB30" i="20" s="1"/>
  <c r="S30" i="20"/>
  <c r="CD30" i="20" s="1"/>
  <c r="R30" i="20"/>
  <c r="CC30" i="20" s="1"/>
  <c r="P31" i="20"/>
  <c r="CA31" i="20" s="1"/>
  <c r="K22" i="20"/>
  <c r="BV22" i="20" s="1"/>
  <c r="O33" i="20"/>
  <c r="BZ33" i="20" s="1"/>
  <c r="AM36" i="20"/>
  <c r="AD36" i="20" s="1"/>
  <c r="AO37" i="20"/>
  <c r="AF37" i="20" s="1"/>
  <c r="BV25" i="19" l="1"/>
  <c r="AZ26" i="25" s="1"/>
  <c r="L26" i="25" s="1"/>
  <c r="AF27" i="25" s="1"/>
  <c r="BA25" i="25"/>
  <c r="BW25" i="19"/>
  <c r="BB25" i="25"/>
  <c r="AA22" i="19"/>
  <c r="BK22" i="19"/>
  <c r="AM23" i="25"/>
  <c r="BC23" i="20" s="1"/>
  <c r="AN23" i="25"/>
  <c r="BY23" i="19"/>
  <c r="BF23" i="25"/>
  <c r="BC25" i="25"/>
  <c r="BX23" i="19"/>
  <c r="BD24" i="25" s="1"/>
  <c r="BE23" i="25"/>
  <c r="Y57" i="22"/>
  <c r="AN35" i="20"/>
  <c r="AE35" i="20" s="1"/>
  <c r="AT30" i="20"/>
  <c r="AK30" i="20" s="1"/>
  <c r="AP33" i="20"/>
  <c r="AG33" i="20" s="1"/>
  <c r="AQ31" i="20"/>
  <c r="AH31" i="20" s="1"/>
  <c r="AS30" i="20"/>
  <c r="AJ30" i="20" s="1"/>
  <c r="AL22" i="20"/>
  <c r="BM22" i="19" s="1"/>
  <c r="AR30" i="20"/>
  <c r="AI30" i="20" s="1"/>
  <c r="N38" i="20"/>
  <c r="BY38" i="20" s="1"/>
  <c r="L37" i="20"/>
  <c r="BW37" i="20" s="1"/>
  <c r="N25" i="25" l="1"/>
  <c r="M25" i="25"/>
  <c r="V26" i="19"/>
  <c r="BI26" i="19"/>
  <c r="R23" i="25"/>
  <c r="O25" i="25"/>
  <c r="AI26" i="25" s="1"/>
  <c r="Q23" i="25"/>
  <c r="P24" i="25"/>
  <c r="CA23" i="19"/>
  <c r="BH23" i="25"/>
  <c r="BG23" i="25"/>
  <c r="Y58" i="22"/>
  <c r="M36" i="20"/>
  <c r="O34" i="20"/>
  <c r="BZ34" i="20" s="1"/>
  <c r="P32" i="20"/>
  <c r="CA32" i="20" s="1"/>
  <c r="S31" i="20"/>
  <c r="CD31" i="20" s="1"/>
  <c r="Q31" i="20"/>
  <c r="CB31" i="20" s="1"/>
  <c r="R31" i="20"/>
  <c r="CC31" i="20" s="1"/>
  <c r="AC22" i="20"/>
  <c r="AM37" i="20"/>
  <c r="AD37" i="20" s="1"/>
  <c r="AO38" i="20"/>
  <c r="AF38" i="20" s="1"/>
  <c r="AH26" i="25" l="1"/>
  <c r="BA26" i="20" s="1"/>
  <c r="W25" i="19"/>
  <c r="AG26" i="25"/>
  <c r="AZ26" i="20" s="1"/>
  <c r="BJ25" i="19"/>
  <c r="BW26" i="19"/>
  <c r="S23" i="25"/>
  <c r="Y23" i="19"/>
  <c r="AK24" i="25"/>
  <c r="BB24" i="20" s="1"/>
  <c r="T23" i="25"/>
  <c r="X24" i="19"/>
  <c r="AJ25" i="25"/>
  <c r="BC26" i="25" s="1"/>
  <c r="Z23" i="19"/>
  <c r="AL24" i="25"/>
  <c r="Y59" i="22"/>
  <c r="AN36" i="20"/>
  <c r="AE36" i="20" s="1"/>
  <c r="M37" i="20" s="1"/>
  <c r="BX37" i="20" s="1"/>
  <c r="BX36" i="20"/>
  <c r="AS31" i="20"/>
  <c r="AJ31" i="20" s="1"/>
  <c r="AP34" i="20"/>
  <c r="AG34" i="20" s="1"/>
  <c r="K23" i="20"/>
  <c r="BV23" i="20" s="1"/>
  <c r="AR31" i="20"/>
  <c r="AI31" i="20" s="1"/>
  <c r="AT31" i="20"/>
  <c r="AK31" i="20" s="1"/>
  <c r="AQ32" i="20"/>
  <c r="AH32" i="20" s="1"/>
  <c r="N39" i="20"/>
  <c r="BY39" i="20" s="1"/>
  <c r="L38" i="20"/>
  <c r="BW38" i="20" s="1"/>
  <c r="BB26" i="25" l="1"/>
  <c r="N26" i="25" s="1"/>
  <c r="BV26" i="19"/>
  <c r="AZ27" i="25" s="1"/>
  <c r="L27" i="25" s="1"/>
  <c r="BA26" i="25"/>
  <c r="O26" i="25"/>
  <c r="BY24" i="19"/>
  <c r="BF24" i="25"/>
  <c r="BX24" i="19"/>
  <c r="BD25" i="25" s="1"/>
  <c r="AO24" i="25"/>
  <c r="AN24" i="25"/>
  <c r="BK23" i="19"/>
  <c r="BE24" i="25" s="1"/>
  <c r="Q24" i="25" s="1"/>
  <c r="AA23" i="19"/>
  <c r="AM24" i="25"/>
  <c r="BC24" i="20" s="1"/>
  <c r="Y60" i="22"/>
  <c r="AN37" i="20"/>
  <c r="AE37" i="20" s="1"/>
  <c r="P33" i="20"/>
  <c r="CA33" i="20" s="1"/>
  <c r="AL23" i="20"/>
  <c r="BM23" i="19" s="1"/>
  <c r="O35" i="20"/>
  <c r="BZ35" i="20" s="1"/>
  <c r="Q32" i="20"/>
  <c r="CB32" i="20" s="1"/>
  <c r="S32" i="20"/>
  <c r="CD32" i="20" s="1"/>
  <c r="R32" i="20"/>
  <c r="CC32" i="20" s="1"/>
  <c r="AM38" i="20"/>
  <c r="AD38" i="20" s="1"/>
  <c r="L39" i="20" s="1"/>
  <c r="BW39" i="20" s="1"/>
  <c r="AO39" i="20"/>
  <c r="AF39" i="20" s="1"/>
  <c r="AI27" i="25" l="1"/>
  <c r="M26" i="25"/>
  <c r="V27" i="19"/>
  <c r="BI27" i="19"/>
  <c r="AF28" i="25"/>
  <c r="Y24" i="19"/>
  <c r="AK25" i="25"/>
  <c r="BB25" i="20" s="1"/>
  <c r="BI24" i="25"/>
  <c r="U24" i="25" s="1"/>
  <c r="R24" i="25"/>
  <c r="BG24" i="25"/>
  <c r="P25" i="25"/>
  <c r="CA24" i="19"/>
  <c r="BH24" i="25"/>
  <c r="Y61" i="22"/>
  <c r="M38" i="20"/>
  <c r="BX38" i="20" s="1"/>
  <c r="AP35" i="20"/>
  <c r="AG35" i="20" s="1"/>
  <c r="O36" i="20" s="1"/>
  <c r="BZ36" i="20" s="1"/>
  <c r="AT32" i="20"/>
  <c r="AK32" i="20" s="1"/>
  <c r="AS32" i="20"/>
  <c r="AJ32" i="20" s="1"/>
  <c r="AR32" i="20"/>
  <c r="AI32" i="20" s="1"/>
  <c r="AC23" i="20"/>
  <c r="AQ33" i="20"/>
  <c r="AH33" i="20" s="1"/>
  <c r="N40" i="20"/>
  <c r="BY40" i="20" s="1"/>
  <c r="AM39" i="20"/>
  <c r="AD39" i="20" s="1"/>
  <c r="AG27" i="25" l="1"/>
  <c r="AZ27" i="20" s="1"/>
  <c r="W26" i="19"/>
  <c r="AH27" i="25"/>
  <c r="BA27" i="20" s="1"/>
  <c r="BJ26" i="19"/>
  <c r="T24" i="25"/>
  <c r="X25" i="19"/>
  <c r="AJ26" i="25"/>
  <c r="Z24" i="19"/>
  <c r="AL25" i="25"/>
  <c r="S24" i="25"/>
  <c r="BX25" i="19"/>
  <c r="Y62" i="22"/>
  <c r="AN38" i="20"/>
  <c r="AE38" i="20" s="1"/>
  <c r="P34" i="20"/>
  <c r="CA34" i="20" s="1"/>
  <c r="Q33" i="20"/>
  <c r="CB33" i="20" s="1"/>
  <c r="S33" i="20"/>
  <c r="CD33" i="20" s="1"/>
  <c r="AP36" i="20"/>
  <c r="AG36" i="20" s="1"/>
  <c r="K24" i="20"/>
  <c r="BV24" i="20" s="1"/>
  <c r="R33" i="20"/>
  <c r="CC33" i="20" s="1"/>
  <c r="L40" i="20"/>
  <c r="BW40" i="20" s="1"/>
  <c r="AO40" i="20"/>
  <c r="AF40" i="20" s="1"/>
  <c r="N41" i="20" s="1"/>
  <c r="BY41" i="20" s="1"/>
  <c r="BW27" i="19" l="1"/>
  <c r="BB27" i="25"/>
  <c r="N27" i="25" s="1"/>
  <c r="BV27" i="19"/>
  <c r="AZ28" i="25" s="1"/>
  <c r="BA27" i="25"/>
  <c r="AA24" i="19"/>
  <c r="BK24" i="19"/>
  <c r="BE25" i="25" s="1"/>
  <c r="AM25" i="25"/>
  <c r="BC25" i="20" s="1"/>
  <c r="BY25" i="19"/>
  <c r="BF25" i="25"/>
  <c r="AO25" i="25"/>
  <c r="AN25" i="25"/>
  <c r="BC27" i="25"/>
  <c r="O27" i="25" s="1"/>
  <c r="BD26" i="25"/>
  <c r="Y63" i="22"/>
  <c r="M39" i="20"/>
  <c r="AR33" i="20"/>
  <c r="AI33" i="20" s="1"/>
  <c r="AQ34" i="20"/>
  <c r="AH34" i="20" s="1"/>
  <c r="AS33" i="20"/>
  <c r="AJ33" i="20" s="1"/>
  <c r="AT33" i="20"/>
  <c r="AK33" i="20" s="1"/>
  <c r="O37" i="20"/>
  <c r="BZ37" i="20" s="1"/>
  <c r="AL24" i="20"/>
  <c r="BM24" i="19" s="1"/>
  <c r="AO41" i="20"/>
  <c r="AF41" i="20" s="1"/>
  <c r="AM40" i="20"/>
  <c r="AD40" i="20" s="1"/>
  <c r="L28" i="25" l="1"/>
  <c r="AI28" i="25"/>
  <c r="M27" i="25"/>
  <c r="BJ27" i="19" s="1"/>
  <c r="BG25" i="25"/>
  <c r="Q25" i="25"/>
  <c r="CA25" i="19"/>
  <c r="BH25" i="25"/>
  <c r="P26" i="25"/>
  <c r="BI25" i="25"/>
  <c r="U25" i="25" s="1"/>
  <c r="R25" i="25"/>
  <c r="Y64" i="22"/>
  <c r="AN39" i="20"/>
  <c r="AE39" i="20" s="1"/>
  <c r="M40" i="20" s="1"/>
  <c r="BX40" i="20" s="1"/>
  <c r="BX39" i="20"/>
  <c r="AC24" i="20"/>
  <c r="S34" i="20"/>
  <c r="CD34" i="20" s="1"/>
  <c r="P35" i="20"/>
  <c r="CA35" i="20" s="1"/>
  <c r="AP37" i="20"/>
  <c r="AG37" i="20" s="1"/>
  <c r="R34" i="20"/>
  <c r="CC34" i="20" s="1"/>
  <c r="Q34" i="20"/>
  <c r="CB34" i="20" s="1"/>
  <c r="L41" i="20"/>
  <c r="BW41" i="20" s="1"/>
  <c r="N42" i="20"/>
  <c r="BY42" i="20" s="1"/>
  <c r="AF29" i="25" l="1"/>
  <c r="V28" i="19"/>
  <c r="BI28" i="19"/>
  <c r="W27" i="19"/>
  <c r="AG28" i="25"/>
  <c r="AZ28" i="20" s="1"/>
  <c r="AH28" i="25"/>
  <c r="BA28" i="20" s="1"/>
  <c r="T25" i="25"/>
  <c r="AO26" i="25" s="1"/>
  <c r="BI26" i="25" s="1"/>
  <c r="U26" i="25" s="1"/>
  <c r="Y25" i="19"/>
  <c r="AK26" i="25"/>
  <c r="BB26" i="20" s="1"/>
  <c r="S25" i="25"/>
  <c r="Z25" i="19"/>
  <c r="AL26" i="25"/>
  <c r="X26" i="19"/>
  <c r="AJ27" i="25"/>
  <c r="Y65" i="22"/>
  <c r="AN40" i="20"/>
  <c r="AE40" i="20" s="1"/>
  <c r="AS34" i="20"/>
  <c r="AJ34" i="20" s="1"/>
  <c r="AQ35" i="20"/>
  <c r="AH35" i="20" s="1"/>
  <c r="K25" i="20"/>
  <c r="BV25" i="20" s="1"/>
  <c r="AR34" i="20"/>
  <c r="AI34" i="20" s="1"/>
  <c r="O38" i="20"/>
  <c r="BZ38" i="20" s="1"/>
  <c r="AT34" i="20"/>
  <c r="AK34" i="20" s="1"/>
  <c r="AO42" i="20"/>
  <c r="AF42" i="20" s="1"/>
  <c r="AM41" i="20"/>
  <c r="AD41" i="20" s="1"/>
  <c r="BW28" i="19" l="1"/>
  <c r="BB28" i="25"/>
  <c r="BV28" i="19"/>
  <c r="AZ29" i="25" s="1"/>
  <c r="L29" i="25" s="1"/>
  <c r="BA28" i="25"/>
  <c r="M28" i="25" s="1"/>
  <c r="AG29" i="25" s="1"/>
  <c r="AZ29" i="20" s="1"/>
  <c r="AA25" i="19"/>
  <c r="BK25" i="19"/>
  <c r="BE26" i="25" s="1"/>
  <c r="AM26" i="25"/>
  <c r="BC26" i="20" s="1"/>
  <c r="BY26" i="19"/>
  <c r="BF26" i="25"/>
  <c r="AN26" i="25"/>
  <c r="BC28" i="25"/>
  <c r="O28" i="25" s="1"/>
  <c r="BX26" i="19"/>
  <c r="BD27" i="25" s="1"/>
  <c r="Y66" i="22"/>
  <c r="M41" i="20"/>
  <c r="BX41" i="20" s="1"/>
  <c r="Q35" i="20"/>
  <c r="CB35" i="20" s="1"/>
  <c r="S35" i="20"/>
  <c r="CD35" i="20" s="1"/>
  <c r="AP38" i="20"/>
  <c r="AG38" i="20" s="1"/>
  <c r="R35" i="20"/>
  <c r="CC35" i="20" s="1"/>
  <c r="P36" i="20"/>
  <c r="CA36" i="20" s="1"/>
  <c r="AL25" i="20"/>
  <c r="BM25" i="19" s="1"/>
  <c r="L42" i="20"/>
  <c r="BW42" i="20" s="1"/>
  <c r="N43" i="20"/>
  <c r="BY43" i="20" s="1"/>
  <c r="BI29" i="19" l="1"/>
  <c r="V29" i="19"/>
  <c r="AF30" i="25"/>
  <c r="BV29" i="19"/>
  <c r="AZ30" i="25" s="1"/>
  <c r="N28" i="25"/>
  <c r="AH29" i="25" s="1"/>
  <c r="BA29" i="20" s="1"/>
  <c r="BJ28" i="19"/>
  <c r="W28" i="19"/>
  <c r="BA29" i="25"/>
  <c r="Q26" i="25"/>
  <c r="CA26" i="19"/>
  <c r="BH26" i="25"/>
  <c r="T26" i="25" s="1"/>
  <c r="BG26" i="25"/>
  <c r="S26" i="25" s="1"/>
  <c r="P27" i="25"/>
  <c r="R26" i="25"/>
  <c r="AI29" i="25"/>
  <c r="Y67" i="22"/>
  <c r="AN41" i="20"/>
  <c r="AE41" i="20" s="1"/>
  <c r="AS35" i="20"/>
  <c r="AJ35" i="20" s="1"/>
  <c r="AC25" i="20"/>
  <c r="AT35" i="20"/>
  <c r="AK35" i="20" s="1"/>
  <c r="O39" i="20"/>
  <c r="BZ39" i="20" s="1"/>
  <c r="AQ36" i="20"/>
  <c r="AH36" i="20" s="1"/>
  <c r="AR35" i="20"/>
  <c r="AI35" i="20" s="1"/>
  <c r="AO43" i="20"/>
  <c r="AF43" i="20" s="1"/>
  <c r="AM42" i="20"/>
  <c r="AD42" i="20" s="1"/>
  <c r="L43" i="20" s="1"/>
  <c r="BW43" i="20" s="1"/>
  <c r="BB29" i="25" l="1"/>
  <c r="N29" i="25" s="1"/>
  <c r="AH30" i="25" s="1"/>
  <c r="L30" i="25"/>
  <c r="AF31" i="25" s="1"/>
  <c r="M29" i="25"/>
  <c r="BW29" i="19"/>
  <c r="AO27" i="25"/>
  <c r="AN27" i="25"/>
  <c r="AM27" i="25"/>
  <c r="BC27" i="20" s="1"/>
  <c r="BK26" i="19"/>
  <c r="AA26" i="19"/>
  <c r="Y26" i="19"/>
  <c r="AK27" i="25"/>
  <c r="BB27" i="20" s="1"/>
  <c r="X27" i="19"/>
  <c r="AJ28" i="25"/>
  <c r="Z26" i="19"/>
  <c r="AL27" i="25"/>
  <c r="BH27" i="25"/>
  <c r="Y68" i="22"/>
  <c r="M42" i="20"/>
  <c r="BX42" i="20" s="1"/>
  <c r="S36" i="20"/>
  <c r="CD36" i="20" s="1"/>
  <c r="P37" i="20"/>
  <c r="CA37" i="20" s="1"/>
  <c r="K26" i="20"/>
  <c r="BV26" i="20" s="1"/>
  <c r="R36" i="20"/>
  <c r="CC36" i="20" s="1"/>
  <c r="AP39" i="20"/>
  <c r="AG39" i="20" s="1"/>
  <c r="O40" i="20" s="1"/>
  <c r="BZ40" i="20" s="1"/>
  <c r="Q36" i="20"/>
  <c r="CB36" i="20" s="1"/>
  <c r="AM43" i="20"/>
  <c r="AD43" i="20" s="1"/>
  <c r="N44" i="20"/>
  <c r="BY44" i="20" s="1"/>
  <c r="BW30" i="19" l="1"/>
  <c r="BA30" i="20"/>
  <c r="BJ29" i="19"/>
  <c r="BB30" i="25" s="1"/>
  <c r="W29" i="19"/>
  <c r="AG30" i="25"/>
  <c r="AZ30" i="20" s="1"/>
  <c r="V30" i="19"/>
  <c r="BI30" i="19"/>
  <c r="BY27" i="19"/>
  <c r="BF27" i="25"/>
  <c r="R27" i="25" s="1"/>
  <c r="Z27" i="19" s="1"/>
  <c r="BX27" i="19"/>
  <c r="BD28" i="25" s="1"/>
  <c r="BE27" i="25"/>
  <c r="BC29" i="25"/>
  <c r="CA27" i="19"/>
  <c r="T27" i="25"/>
  <c r="N30" i="25"/>
  <c r="BI27" i="25"/>
  <c r="Y69" i="22"/>
  <c r="AN42" i="20"/>
  <c r="AE42" i="20" s="1"/>
  <c r="AP40" i="20"/>
  <c r="AG40" i="20" s="1"/>
  <c r="AT36" i="20"/>
  <c r="AK36" i="20" s="1"/>
  <c r="AR36" i="20"/>
  <c r="AI36" i="20" s="1"/>
  <c r="AL26" i="20"/>
  <c r="BM26" i="19" s="1"/>
  <c r="BG27" i="25" s="1"/>
  <c r="AS36" i="20"/>
  <c r="AJ36" i="20" s="1"/>
  <c r="AQ37" i="20"/>
  <c r="AH37" i="20" s="1"/>
  <c r="AO44" i="20"/>
  <c r="AF44" i="20" s="1"/>
  <c r="N45" i="20" s="1"/>
  <c r="BY45" i="20" s="1"/>
  <c r="L44" i="20"/>
  <c r="BW44" i="20" s="1"/>
  <c r="BV30" i="19" l="1"/>
  <c r="AZ31" i="25" s="1"/>
  <c r="L31" i="25" s="1"/>
  <c r="BA30" i="25"/>
  <c r="P28" i="25"/>
  <c r="O29" i="25"/>
  <c r="AI30" i="25" s="1"/>
  <c r="Q27" i="25"/>
  <c r="AL28" i="25" s="1"/>
  <c r="BF28" i="25" s="1"/>
  <c r="S27" i="25"/>
  <c r="U27" i="25"/>
  <c r="AO28" i="25" s="1"/>
  <c r="BI28" i="25" s="1"/>
  <c r="U28" i="25" s="1"/>
  <c r="Y70" i="22"/>
  <c r="M43" i="20"/>
  <c r="BX43" i="20" s="1"/>
  <c r="P38" i="20"/>
  <c r="CA38" i="20" s="1"/>
  <c r="AC26" i="20"/>
  <c r="Q37" i="20"/>
  <c r="CB37" i="20" s="1"/>
  <c r="S37" i="20"/>
  <c r="CD37" i="20" s="1"/>
  <c r="R37" i="20"/>
  <c r="CC37" i="20" s="1"/>
  <c r="O41" i="20"/>
  <c r="BZ41" i="20" s="1"/>
  <c r="AM44" i="20"/>
  <c r="AD44" i="20" s="1"/>
  <c r="AO45" i="20"/>
  <c r="AF45" i="20" s="1"/>
  <c r="M30" i="25" l="1"/>
  <c r="V31" i="19"/>
  <c r="BI31" i="19"/>
  <c r="AF32" i="25"/>
  <c r="X28" i="19"/>
  <c r="AJ29" i="25"/>
  <c r="BC30" i="25" s="1"/>
  <c r="O30" i="25" s="1"/>
  <c r="AI31" i="25" s="1"/>
  <c r="Y27" i="19"/>
  <c r="AK28" i="25"/>
  <c r="BB28" i="20" s="1"/>
  <c r="AA27" i="19"/>
  <c r="BK27" i="19"/>
  <c r="AM28" i="25"/>
  <c r="BC28" i="20" s="1"/>
  <c r="AN28" i="25"/>
  <c r="R28" i="25"/>
  <c r="Z28" i="19" s="1"/>
  <c r="BY28" i="19"/>
  <c r="Y71" i="22"/>
  <c r="AN43" i="20"/>
  <c r="AE43" i="20" s="1"/>
  <c r="AP41" i="20"/>
  <c r="AG41" i="20" s="1"/>
  <c r="AT37" i="20"/>
  <c r="AK37" i="20" s="1"/>
  <c r="AR37" i="20"/>
  <c r="AI37" i="20" s="1"/>
  <c r="AS37" i="20"/>
  <c r="AJ37" i="20" s="1"/>
  <c r="K27" i="20"/>
  <c r="BV27" i="20" s="1"/>
  <c r="AQ38" i="20"/>
  <c r="AH38" i="20" s="1"/>
  <c r="N46" i="20"/>
  <c r="BY46" i="20" s="1"/>
  <c r="L45" i="20"/>
  <c r="BW45" i="20" s="1"/>
  <c r="BJ30" i="19" l="1"/>
  <c r="W30" i="19"/>
  <c r="AH31" i="25"/>
  <c r="BA31" i="20" s="1"/>
  <c r="AG31" i="25"/>
  <c r="AZ31" i="20" s="1"/>
  <c r="CA28" i="19"/>
  <c r="BH28" i="25"/>
  <c r="BX28" i="19"/>
  <c r="BD29" i="25" s="1"/>
  <c r="P29" i="25" s="1"/>
  <c r="BE28" i="25"/>
  <c r="Y72" i="22"/>
  <c r="M44" i="20"/>
  <c r="BX44" i="20" s="1"/>
  <c r="O42" i="20"/>
  <c r="BZ42" i="20" s="1"/>
  <c r="S38" i="20"/>
  <c r="CD38" i="20" s="1"/>
  <c r="P39" i="20"/>
  <c r="CA39" i="20" s="1"/>
  <c r="R38" i="20"/>
  <c r="CC38" i="20" s="1"/>
  <c r="Q38" i="20"/>
  <c r="CB38" i="20" s="1"/>
  <c r="AL27" i="20"/>
  <c r="BM27" i="19" s="1"/>
  <c r="BG28" i="25" s="1"/>
  <c r="S28" i="25" s="1"/>
  <c r="AM45" i="20"/>
  <c r="AD45" i="20" s="1"/>
  <c r="AO46" i="20"/>
  <c r="AF46" i="20" s="1"/>
  <c r="BB31" i="25" l="1"/>
  <c r="N31" i="25" s="1"/>
  <c r="BW31" i="19"/>
  <c r="BV31" i="19"/>
  <c r="AZ32" i="25" s="1"/>
  <c r="L32" i="25" s="1"/>
  <c r="BA31" i="25"/>
  <c r="M31" i="25" s="1"/>
  <c r="AA28" i="19"/>
  <c r="BK28" i="19"/>
  <c r="AM29" i="25"/>
  <c r="BC29" i="20" s="1"/>
  <c r="X29" i="19"/>
  <c r="AJ30" i="25"/>
  <c r="Q28" i="25"/>
  <c r="T28" i="25"/>
  <c r="Y73" i="22"/>
  <c r="AN44" i="20"/>
  <c r="AE44" i="20" s="1"/>
  <c r="M45" i="20" s="1"/>
  <c r="BX45" i="20" s="1"/>
  <c r="AR38" i="20"/>
  <c r="AI38" i="20" s="1"/>
  <c r="AT38" i="20"/>
  <c r="AK38" i="20" s="1"/>
  <c r="AS38" i="20"/>
  <c r="AJ38" i="20" s="1"/>
  <c r="AP42" i="20"/>
  <c r="AG42" i="20" s="1"/>
  <c r="AC27" i="20"/>
  <c r="AQ39" i="20"/>
  <c r="AH39" i="20" s="1"/>
  <c r="N47" i="20"/>
  <c r="BY47" i="20" s="1"/>
  <c r="L46" i="20"/>
  <c r="BW46" i="20" s="1"/>
  <c r="W31" i="19" l="1"/>
  <c r="AG32" i="25"/>
  <c r="AZ32" i="20" s="1"/>
  <c r="AH32" i="25"/>
  <c r="BA32" i="20" s="1"/>
  <c r="BI32" i="19"/>
  <c r="V32" i="19"/>
  <c r="AF33" i="25"/>
  <c r="BJ31" i="19"/>
  <c r="BA32" i="25"/>
  <c r="BC31" i="25"/>
  <c r="AO29" i="25"/>
  <c r="AN29" i="25"/>
  <c r="Y28" i="19"/>
  <c r="AL29" i="25"/>
  <c r="AK29" i="25"/>
  <c r="BB29" i="20" s="1"/>
  <c r="Y74" i="22"/>
  <c r="AN45" i="20"/>
  <c r="AE45" i="20" s="1"/>
  <c r="S39" i="20"/>
  <c r="CD39" i="20" s="1"/>
  <c r="P40" i="20"/>
  <c r="CA40" i="20" s="1"/>
  <c r="O43" i="20"/>
  <c r="BZ43" i="20" s="1"/>
  <c r="R39" i="20"/>
  <c r="CC39" i="20" s="1"/>
  <c r="Q39" i="20"/>
  <c r="CB39" i="20" s="1"/>
  <c r="K28" i="20"/>
  <c r="BV28" i="20" s="1"/>
  <c r="AM46" i="20"/>
  <c r="AD46" i="20" s="1"/>
  <c r="L47" i="20" s="1"/>
  <c r="BW47" i="20" s="1"/>
  <c r="AO47" i="20"/>
  <c r="AF47" i="20" s="1"/>
  <c r="BB32" i="25" l="1"/>
  <c r="N32" i="25" s="1"/>
  <c r="BW32" i="19"/>
  <c r="BV32" i="19"/>
  <c r="AZ33" i="25" s="1"/>
  <c r="L33" i="25" s="1"/>
  <c r="M32" i="25"/>
  <c r="W32" i="19" s="1"/>
  <c r="BI29" i="25"/>
  <c r="U29" i="25" s="1"/>
  <c r="O31" i="25"/>
  <c r="BY29" i="19"/>
  <c r="BF29" i="25"/>
  <c r="R29" i="25" s="1"/>
  <c r="BX29" i="19"/>
  <c r="BD30" i="25" s="1"/>
  <c r="BE29" i="25"/>
  <c r="CA29" i="19"/>
  <c r="BH29" i="25"/>
  <c r="Y75" i="22"/>
  <c r="M46" i="20"/>
  <c r="BX46" i="20" s="1"/>
  <c r="AS39" i="20"/>
  <c r="AJ39" i="20" s="1"/>
  <c r="AP43" i="20"/>
  <c r="AG43" i="20" s="1"/>
  <c r="O44" i="20" s="1"/>
  <c r="BZ44" i="20" s="1"/>
  <c r="AL28" i="20"/>
  <c r="BM28" i="19" s="1"/>
  <c r="BG29" i="25" s="1"/>
  <c r="AQ40" i="20"/>
  <c r="AH40" i="20" s="1"/>
  <c r="AR39" i="20"/>
  <c r="AI39" i="20" s="1"/>
  <c r="AT39" i="20"/>
  <c r="AK39" i="20" s="1"/>
  <c r="N48" i="20"/>
  <c r="BY48" i="20" s="1"/>
  <c r="AM47" i="20"/>
  <c r="AD47" i="20" s="1"/>
  <c r="AG33" i="25" l="1"/>
  <c r="BA33" i="25" s="1"/>
  <c r="AH33" i="25"/>
  <c r="V33" i="19"/>
  <c r="BI33" i="19"/>
  <c r="AF34" i="25"/>
  <c r="BJ32" i="19"/>
  <c r="Z29" i="19"/>
  <c r="S29" i="25"/>
  <c r="Q29" i="25"/>
  <c r="T29" i="25"/>
  <c r="AI32" i="25"/>
  <c r="P30" i="25"/>
  <c r="Y76" i="22"/>
  <c r="AN46" i="20"/>
  <c r="AE46" i="20" s="1"/>
  <c r="Q40" i="20"/>
  <c r="CB40" i="20" s="1"/>
  <c r="S40" i="20"/>
  <c r="CD40" i="20" s="1"/>
  <c r="R40" i="20"/>
  <c r="CC40" i="20" s="1"/>
  <c r="AC28" i="20"/>
  <c r="P41" i="20"/>
  <c r="CA41" i="20" s="1"/>
  <c r="AP44" i="20"/>
  <c r="AG44" i="20" s="1"/>
  <c r="L48" i="20"/>
  <c r="BW48" i="20" s="1"/>
  <c r="AO48" i="20"/>
  <c r="AF48" i="20" s="1"/>
  <c r="N49" i="20" s="1"/>
  <c r="BY49" i="20" s="1"/>
  <c r="BW33" i="19" l="1"/>
  <c r="BA33" i="20"/>
  <c r="BV33" i="19"/>
  <c r="AZ34" i="25" s="1"/>
  <c r="L34" i="25" s="1"/>
  <c r="AZ33" i="20"/>
  <c r="AN30" i="25"/>
  <c r="BH30" i="25" s="1"/>
  <c r="M33" i="25"/>
  <c r="AA29" i="19"/>
  <c r="BK29" i="19"/>
  <c r="AM30" i="25"/>
  <c r="BC30" i="20" s="1"/>
  <c r="AO30" i="25"/>
  <c r="X30" i="19"/>
  <c r="AJ31" i="25"/>
  <c r="BC32" i="25" s="1"/>
  <c r="O32" i="25" s="1"/>
  <c r="AI33" i="25" s="1"/>
  <c r="BB33" i="25"/>
  <c r="Y29" i="19"/>
  <c r="AK30" i="25"/>
  <c r="BB30" i="20" s="1"/>
  <c r="AL30" i="25"/>
  <c r="Y77" i="22"/>
  <c r="M47" i="20"/>
  <c r="BX47" i="20" s="1"/>
  <c r="O45" i="20"/>
  <c r="BZ45" i="20" s="1"/>
  <c r="AQ41" i="20"/>
  <c r="AH41" i="20" s="1"/>
  <c r="AT40" i="20"/>
  <c r="AK40" i="20" s="1"/>
  <c r="AR40" i="20"/>
  <c r="AI40" i="20" s="1"/>
  <c r="K29" i="20"/>
  <c r="BV29" i="20" s="1"/>
  <c r="AS40" i="20"/>
  <c r="AJ40" i="20" s="1"/>
  <c r="AO49" i="20"/>
  <c r="AF49" i="20" s="1"/>
  <c r="AM48" i="20"/>
  <c r="AD48" i="20" s="1"/>
  <c r="T30" i="25" l="1"/>
  <c r="CA30" i="19"/>
  <c r="AG34" i="25"/>
  <c r="AZ34" i="20" s="1"/>
  <c r="W33" i="19"/>
  <c r="BJ33" i="19"/>
  <c r="AF35" i="25"/>
  <c r="BI34" i="19"/>
  <c r="V34" i="19"/>
  <c r="BY30" i="19"/>
  <c r="BF30" i="25"/>
  <c r="BI30" i="25"/>
  <c r="U30" i="25" s="1"/>
  <c r="AO31" i="25" s="1"/>
  <c r="BX30" i="19"/>
  <c r="BD31" i="25" s="1"/>
  <c r="BE30" i="25"/>
  <c r="N33" i="25"/>
  <c r="AH34" i="25" s="1"/>
  <c r="BA34" i="20" s="1"/>
  <c r="Y78" i="22"/>
  <c r="AN47" i="20"/>
  <c r="AE47" i="20" s="1"/>
  <c r="M48" i="20" s="1"/>
  <c r="BX48" i="20" s="1"/>
  <c r="S41" i="20"/>
  <c r="CD41" i="20" s="1"/>
  <c r="P42" i="20"/>
  <c r="CA42" i="20" s="1"/>
  <c r="AL29" i="20"/>
  <c r="BM29" i="19" s="1"/>
  <c r="BG30" i="25" s="1"/>
  <c r="Q41" i="20"/>
  <c r="CB41" i="20" s="1"/>
  <c r="R41" i="20"/>
  <c r="CC41" i="20" s="1"/>
  <c r="AP45" i="20"/>
  <c r="AG45" i="20" s="1"/>
  <c r="L49" i="20"/>
  <c r="BW49" i="20" s="1"/>
  <c r="N50" i="20"/>
  <c r="BY50" i="20" s="1"/>
  <c r="BV34" i="19" l="1"/>
  <c r="AZ35" i="25" s="1"/>
  <c r="L35" i="25" s="1"/>
  <c r="BA34" i="25"/>
  <c r="M34" i="25" s="1"/>
  <c r="BJ34" i="19" s="1"/>
  <c r="BW34" i="19"/>
  <c r="S30" i="25"/>
  <c r="P31" i="25"/>
  <c r="W34" i="19"/>
  <c r="Q30" i="25"/>
  <c r="BB34" i="25"/>
  <c r="R30" i="25"/>
  <c r="BI31" i="25"/>
  <c r="Y79" i="22"/>
  <c r="AN48" i="20"/>
  <c r="AE48" i="20" s="1"/>
  <c r="O46" i="20"/>
  <c r="BZ46" i="20" s="1"/>
  <c r="AR41" i="20"/>
  <c r="AI41" i="20" s="1"/>
  <c r="AC29" i="20"/>
  <c r="AQ42" i="20"/>
  <c r="AH42" i="20" s="1"/>
  <c r="AT41" i="20"/>
  <c r="AK41" i="20" s="1"/>
  <c r="AS41" i="20"/>
  <c r="AJ41" i="20" s="1"/>
  <c r="AO50" i="20"/>
  <c r="AF50" i="20" s="1"/>
  <c r="AM49" i="20"/>
  <c r="AD49" i="20" s="1"/>
  <c r="AG35" i="25" l="1"/>
  <c r="BI35" i="19"/>
  <c r="AF36" i="25"/>
  <c r="V35" i="19"/>
  <c r="Y30" i="19"/>
  <c r="AK31" i="25"/>
  <c r="BB31" i="20" s="1"/>
  <c r="BK30" i="19"/>
  <c r="AA30" i="19"/>
  <c r="AM31" i="25"/>
  <c r="BC31" i="20" s="1"/>
  <c r="AN31" i="25"/>
  <c r="BV35" i="19"/>
  <c r="AZ36" i="25" s="1"/>
  <c r="N34" i="25"/>
  <c r="AH35" i="25" s="1"/>
  <c r="BA35" i="20" s="1"/>
  <c r="U31" i="25"/>
  <c r="Z30" i="19"/>
  <c r="AL31" i="25"/>
  <c r="X31" i="19"/>
  <c r="AJ32" i="25"/>
  <c r="Y80" i="22"/>
  <c r="M49" i="20"/>
  <c r="BX49" i="20" s="1"/>
  <c r="S42" i="20"/>
  <c r="CD42" i="20" s="1"/>
  <c r="K30" i="20"/>
  <c r="BV30" i="20" s="1"/>
  <c r="R42" i="20"/>
  <c r="CC42" i="20" s="1"/>
  <c r="P43" i="20"/>
  <c r="CA43" i="20" s="1"/>
  <c r="Q42" i="20"/>
  <c r="CB42" i="20" s="1"/>
  <c r="AP46" i="20"/>
  <c r="AG46" i="20" s="1"/>
  <c r="L50" i="20"/>
  <c r="BW50" i="20" s="1"/>
  <c r="N51" i="20"/>
  <c r="BY51" i="20" s="1"/>
  <c r="BA35" i="25" l="1"/>
  <c r="AZ35" i="20"/>
  <c r="L36" i="25"/>
  <c r="BY31" i="19"/>
  <c r="BF31" i="25"/>
  <c r="BW35" i="19"/>
  <c r="CA31" i="19"/>
  <c r="BH31" i="25"/>
  <c r="T31" i="25" s="1"/>
  <c r="AO32" i="25" s="1"/>
  <c r="M35" i="25"/>
  <c r="BJ35" i="19" s="1"/>
  <c r="BX31" i="19"/>
  <c r="BD32" i="25" s="1"/>
  <c r="BE31" i="25"/>
  <c r="Q31" i="25" s="1"/>
  <c r="BC33" i="25"/>
  <c r="O33" i="25" s="1"/>
  <c r="AI34" i="25" s="1"/>
  <c r="Y81" i="22"/>
  <c r="AN49" i="20"/>
  <c r="AE49" i="20" s="1"/>
  <c r="AQ43" i="20"/>
  <c r="AH43" i="20" s="1"/>
  <c r="AS42" i="20"/>
  <c r="AJ42" i="20" s="1"/>
  <c r="AR42" i="20"/>
  <c r="AI42" i="20" s="1"/>
  <c r="AL30" i="20"/>
  <c r="BM30" i="19" s="1"/>
  <c r="BG31" i="25" s="1"/>
  <c r="AT42" i="20"/>
  <c r="AK42" i="20" s="1"/>
  <c r="O47" i="20"/>
  <c r="BZ47" i="20" s="1"/>
  <c r="AO51" i="20"/>
  <c r="AF51" i="20" s="1"/>
  <c r="AM50" i="20"/>
  <c r="AD50" i="20" s="1"/>
  <c r="L51" i="20" s="1"/>
  <c r="BW51" i="20" s="1"/>
  <c r="Y31" i="19" l="1"/>
  <c r="AK32" i="25"/>
  <c r="P32" i="25"/>
  <c r="S31" i="25"/>
  <c r="AN32" i="25" s="1"/>
  <c r="BH32" i="25" s="1"/>
  <c r="BI32" i="25"/>
  <c r="BB35" i="25"/>
  <c r="W35" i="19"/>
  <c r="AG36" i="25"/>
  <c r="AZ36" i="20" s="1"/>
  <c r="R31" i="25"/>
  <c r="BI36" i="19"/>
  <c r="V36" i="19"/>
  <c r="AF37" i="25"/>
  <c r="Y82" i="22"/>
  <c r="M50" i="20"/>
  <c r="BX50" i="20" s="1"/>
  <c r="S43" i="20"/>
  <c r="CD43" i="20" s="1"/>
  <c r="P44" i="20"/>
  <c r="CA44" i="20" s="1"/>
  <c r="AP47" i="20"/>
  <c r="AG47" i="20" s="1"/>
  <c r="O48" i="20" s="1"/>
  <c r="BZ48" i="20" s="1"/>
  <c r="AC30" i="20"/>
  <c r="Q43" i="20"/>
  <c r="CB43" i="20" s="1"/>
  <c r="R43" i="20"/>
  <c r="CC43" i="20" s="1"/>
  <c r="AM51" i="20"/>
  <c r="AD51" i="20" s="1"/>
  <c r="N52" i="20"/>
  <c r="BY52" i="20" s="1"/>
  <c r="BX32" i="19" l="1"/>
  <c r="BB32" i="20"/>
  <c r="T32" i="25"/>
  <c r="AA31" i="19"/>
  <c r="BK31" i="19"/>
  <c r="BE32" i="25" s="1"/>
  <c r="Q32" i="25" s="1"/>
  <c r="Y32" i="19" s="1"/>
  <c r="AM32" i="25"/>
  <c r="BC32" i="20" s="1"/>
  <c r="U32" i="25"/>
  <c r="X32" i="19"/>
  <c r="AJ33" i="25"/>
  <c r="CA32" i="19"/>
  <c r="N35" i="25"/>
  <c r="AH36" i="25" s="1"/>
  <c r="BA36" i="20" s="1"/>
  <c r="BV36" i="19"/>
  <c r="AZ37" i="25" s="1"/>
  <c r="BA36" i="25"/>
  <c r="M36" i="25" s="1"/>
  <c r="Z31" i="19"/>
  <c r="AL32" i="25"/>
  <c r="Y83" i="22"/>
  <c r="AN50" i="20"/>
  <c r="AE50" i="20" s="1"/>
  <c r="M51" i="20" s="1"/>
  <c r="BX51" i="20" s="1"/>
  <c r="AP48" i="20"/>
  <c r="AG48" i="20" s="1"/>
  <c r="K31" i="20"/>
  <c r="BV31" i="20" s="1"/>
  <c r="AQ44" i="20"/>
  <c r="AH44" i="20" s="1"/>
  <c r="AS43" i="20"/>
  <c r="AJ43" i="20" s="1"/>
  <c r="AR43" i="20"/>
  <c r="AI43" i="20" s="1"/>
  <c r="AT43" i="20"/>
  <c r="AK43" i="20" s="1"/>
  <c r="AO52" i="20"/>
  <c r="AF52" i="20" s="1"/>
  <c r="N53" i="20" s="1"/>
  <c r="BY53" i="20" s="1"/>
  <c r="L52" i="20"/>
  <c r="BW52" i="20" s="1"/>
  <c r="AK33" i="25" l="1"/>
  <c r="W36" i="19"/>
  <c r="AG37" i="25"/>
  <c r="AZ37" i="20" s="1"/>
  <c r="L37" i="25"/>
  <c r="BY32" i="19"/>
  <c r="BF32" i="25"/>
  <c r="BD33" i="25"/>
  <c r="BC34" i="25"/>
  <c r="BJ36" i="19"/>
  <c r="BW36" i="19"/>
  <c r="AO33" i="25"/>
  <c r="Y84" i="22"/>
  <c r="AN51" i="20"/>
  <c r="AE51" i="20" s="1"/>
  <c r="O49" i="20"/>
  <c r="BZ49" i="20" s="1"/>
  <c r="R44" i="20"/>
  <c r="CC44" i="20" s="1"/>
  <c r="AL31" i="20"/>
  <c r="BM31" i="19" s="1"/>
  <c r="BG32" i="25" s="1"/>
  <c r="P45" i="20"/>
  <c r="CA45" i="20" s="1"/>
  <c r="S44" i="20"/>
  <c r="CD44" i="20" s="1"/>
  <c r="Q44" i="20"/>
  <c r="CB44" i="20" s="1"/>
  <c r="AM52" i="20"/>
  <c r="AD52" i="20" s="1"/>
  <c r="AO53" i="20"/>
  <c r="AF53" i="20" s="1"/>
  <c r="BX33" i="19" l="1"/>
  <c r="BB33" i="20"/>
  <c r="BA37" i="25"/>
  <c r="M37" i="25" s="1"/>
  <c r="W37" i="19" s="1"/>
  <c r="S32" i="25"/>
  <c r="V37" i="19"/>
  <c r="BI37" i="19"/>
  <c r="AF38" i="25"/>
  <c r="O34" i="25"/>
  <c r="AI35" i="25" s="1"/>
  <c r="P33" i="25"/>
  <c r="R32" i="25"/>
  <c r="BV37" i="19"/>
  <c r="BI33" i="25"/>
  <c r="Y85" i="22"/>
  <c r="M52" i="20"/>
  <c r="BX52" i="20" s="1"/>
  <c r="AR44" i="20"/>
  <c r="AI44" i="20" s="1"/>
  <c r="AC31" i="20"/>
  <c r="AS44" i="20"/>
  <c r="AJ44" i="20" s="1"/>
  <c r="AT44" i="20"/>
  <c r="AK44" i="20" s="1"/>
  <c r="AQ45" i="20"/>
  <c r="AH45" i="20" s="1"/>
  <c r="AP49" i="20"/>
  <c r="AG49" i="20" s="1"/>
  <c r="N54" i="20"/>
  <c r="BY54" i="20" s="1"/>
  <c r="L53" i="20"/>
  <c r="BW53" i="20" s="1"/>
  <c r="Z32" i="19" l="1"/>
  <c r="AL33" i="25"/>
  <c r="BB36" i="25"/>
  <c r="AG38" i="25"/>
  <c r="AZ38" i="20" s="1"/>
  <c r="AZ38" i="25"/>
  <c r="X33" i="19"/>
  <c r="AJ34" i="25"/>
  <c r="BC35" i="25" s="1"/>
  <c r="O35" i="25" s="1"/>
  <c r="AI36" i="25" s="1"/>
  <c r="BJ37" i="19"/>
  <c r="U33" i="25"/>
  <c r="AA32" i="19"/>
  <c r="BK32" i="19"/>
  <c r="BE33" i="25" s="1"/>
  <c r="AN33" i="25"/>
  <c r="AM33" i="25"/>
  <c r="BC33" i="20" s="1"/>
  <c r="Y86" i="22"/>
  <c r="AN52" i="20"/>
  <c r="AE52" i="20" s="1"/>
  <c r="O50" i="20"/>
  <c r="BZ50" i="20" s="1"/>
  <c r="K32" i="20"/>
  <c r="BV32" i="20" s="1"/>
  <c r="P46" i="20"/>
  <c r="CA46" i="20" s="1"/>
  <c r="S45" i="20"/>
  <c r="CD45" i="20" s="1"/>
  <c r="R45" i="20"/>
  <c r="CC45" i="20" s="1"/>
  <c r="Q45" i="20"/>
  <c r="CB45" i="20" s="1"/>
  <c r="AM53" i="20"/>
  <c r="AD53" i="20" s="1"/>
  <c r="AO54" i="20"/>
  <c r="AF54" i="20" s="1"/>
  <c r="N36" i="25" l="1"/>
  <c r="AH37" i="25" s="1"/>
  <c r="CA33" i="19"/>
  <c r="BH33" i="25"/>
  <c r="BD34" i="25"/>
  <c r="L38" i="25"/>
  <c r="BY33" i="19"/>
  <c r="BF33" i="25"/>
  <c r="Q33" i="25"/>
  <c r="BV38" i="19"/>
  <c r="Y87" i="22"/>
  <c r="M53" i="20"/>
  <c r="BX53" i="20" s="1"/>
  <c r="AQ46" i="20"/>
  <c r="AH46" i="20" s="1"/>
  <c r="AS45" i="20"/>
  <c r="AJ45" i="20" s="1"/>
  <c r="AT45" i="20"/>
  <c r="AK45" i="20" s="1"/>
  <c r="AR45" i="20"/>
  <c r="AI45" i="20" s="1"/>
  <c r="AL32" i="20"/>
  <c r="BM32" i="19" s="1"/>
  <c r="BG33" i="25" s="1"/>
  <c r="AP50" i="20"/>
  <c r="AG50" i="20" s="1"/>
  <c r="N55" i="20"/>
  <c r="BY55" i="20" s="1"/>
  <c r="L54" i="20"/>
  <c r="BW54" i="20" s="1"/>
  <c r="BB37" i="25" l="1"/>
  <c r="N37" i="25" s="1"/>
  <c r="AH38" i="25" s="1"/>
  <c r="BA38" i="20" s="1"/>
  <c r="BA37" i="20"/>
  <c r="S33" i="25"/>
  <c r="Y33" i="19"/>
  <c r="AK34" i="25"/>
  <c r="BB34" i="20" s="1"/>
  <c r="R33" i="25"/>
  <c r="T33" i="25"/>
  <c r="P34" i="25"/>
  <c r="BI38" i="19"/>
  <c r="V38" i="19"/>
  <c r="AF39" i="25"/>
  <c r="BW37" i="19"/>
  <c r="BA38" i="25" s="1"/>
  <c r="Y88" i="22"/>
  <c r="AN53" i="20"/>
  <c r="AE53" i="20" s="1"/>
  <c r="O51" i="20"/>
  <c r="BZ51" i="20" s="1"/>
  <c r="S46" i="20"/>
  <c r="CD46" i="20" s="1"/>
  <c r="R46" i="20"/>
  <c r="CC46" i="20" s="1"/>
  <c r="Q46" i="20"/>
  <c r="CB46" i="20" s="1"/>
  <c r="AC32" i="20"/>
  <c r="P47" i="20"/>
  <c r="CA47" i="20" s="1"/>
  <c r="AO55" i="20"/>
  <c r="AF55" i="20" s="1"/>
  <c r="AM54" i="20"/>
  <c r="AD54" i="20" s="1"/>
  <c r="L55" i="20" s="1"/>
  <c r="BW55" i="20" s="1"/>
  <c r="BW38" i="19" l="1"/>
  <c r="BX34" i="19"/>
  <c r="M38" i="25"/>
  <c r="X34" i="19"/>
  <c r="AJ35" i="25"/>
  <c r="AZ39" i="25"/>
  <c r="AO34" i="25"/>
  <c r="AN34" i="25"/>
  <c r="Z33" i="19"/>
  <c r="AL34" i="25"/>
  <c r="BK33" i="19"/>
  <c r="BE34" i="25" s="1"/>
  <c r="AA33" i="19"/>
  <c r="AM34" i="25"/>
  <c r="BC34" i="20" s="1"/>
  <c r="Y89" i="22"/>
  <c r="M54" i="20"/>
  <c r="BX54" i="20" s="1"/>
  <c r="AQ47" i="20"/>
  <c r="AH47" i="20" s="1"/>
  <c r="AT46" i="20"/>
  <c r="AK46" i="20" s="1"/>
  <c r="K33" i="20"/>
  <c r="BV33" i="20" s="1"/>
  <c r="AS46" i="20"/>
  <c r="AJ46" i="20" s="1"/>
  <c r="AR46" i="20"/>
  <c r="AI46" i="20" s="1"/>
  <c r="AP51" i="20"/>
  <c r="AG51" i="20" s="1"/>
  <c r="O52" i="20" s="1"/>
  <c r="BZ52" i="20" s="1"/>
  <c r="N56" i="20"/>
  <c r="BY56" i="20" s="1"/>
  <c r="AM55" i="20"/>
  <c r="AD55" i="20" s="1"/>
  <c r="Q34" i="25" l="1"/>
  <c r="L39" i="25"/>
  <c r="BJ38" i="19"/>
  <c r="W38" i="19"/>
  <c r="AG39" i="25"/>
  <c r="AZ39" i="20" s="1"/>
  <c r="CA34" i="19"/>
  <c r="BH34" i="25"/>
  <c r="T34" i="25" s="1"/>
  <c r="BI34" i="25"/>
  <c r="BC36" i="25"/>
  <c r="BD35" i="25"/>
  <c r="BY34" i="19"/>
  <c r="BF34" i="25"/>
  <c r="Y90" i="22"/>
  <c r="AN54" i="20"/>
  <c r="AE54" i="20" s="1"/>
  <c r="M55" i="20" s="1"/>
  <c r="BX55" i="20" s="1"/>
  <c r="Q47" i="20"/>
  <c r="CB47" i="20" s="1"/>
  <c r="R47" i="20"/>
  <c r="CC47" i="20" s="1"/>
  <c r="AP52" i="20"/>
  <c r="AG52" i="20" s="1"/>
  <c r="AL33" i="20"/>
  <c r="BM33" i="19" s="1"/>
  <c r="BG34" i="25" s="1"/>
  <c r="S47" i="20"/>
  <c r="CD47" i="20" s="1"/>
  <c r="P48" i="20"/>
  <c r="CA48" i="20" s="1"/>
  <c r="AO56" i="20"/>
  <c r="AF56" i="20" s="1"/>
  <c r="N57" i="20" s="1"/>
  <c r="BY57" i="20" s="1"/>
  <c r="L56" i="20"/>
  <c r="BW56" i="20" s="1"/>
  <c r="S34" i="25" l="1"/>
  <c r="O36" i="25"/>
  <c r="AI37" i="25" s="1"/>
  <c r="Y34" i="19"/>
  <c r="AK35" i="25"/>
  <c r="BB35" i="20" s="1"/>
  <c r="U34" i="25"/>
  <c r="AO35" i="25" s="1"/>
  <c r="BI35" i="25" s="1"/>
  <c r="R34" i="25"/>
  <c r="BV39" i="19"/>
  <c r="BA39" i="25"/>
  <c r="P35" i="25"/>
  <c r="BI39" i="19"/>
  <c r="V39" i="19"/>
  <c r="AF40" i="25"/>
  <c r="AN35" i="25"/>
  <c r="Y91" i="22"/>
  <c r="AN55" i="20"/>
  <c r="AE55" i="20" s="1"/>
  <c r="AT47" i="20"/>
  <c r="AK47" i="20" s="1"/>
  <c r="AQ48" i="20"/>
  <c r="AH48" i="20" s="1"/>
  <c r="AS47" i="20"/>
  <c r="AJ47" i="20" s="1"/>
  <c r="O53" i="20"/>
  <c r="BZ53" i="20" s="1"/>
  <c r="AC33" i="20"/>
  <c r="AR47" i="20"/>
  <c r="AI47" i="20" s="1"/>
  <c r="AM56" i="20"/>
  <c r="AD56" i="20" s="1"/>
  <c r="AO57" i="20"/>
  <c r="AF57" i="20" s="1"/>
  <c r="U35" i="25" l="1"/>
  <c r="CA35" i="19"/>
  <c r="BX35" i="19"/>
  <c r="BH35" i="25"/>
  <c r="T35" i="25" s="1"/>
  <c r="AZ40" i="25"/>
  <c r="L40" i="25" s="1"/>
  <c r="X35" i="19"/>
  <c r="AJ36" i="25"/>
  <c r="Z34" i="19"/>
  <c r="AL35" i="25"/>
  <c r="M39" i="25"/>
  <c r="BJ39" i="19" s="1"/>
  <c r="BB38" i="25"/>
  <c r="AA34" i="19"/>
  <c r="BK34" i="19"/>
  <c r="BE35" i="25" s="1"/>
  <c r="AM35" i="25"/>
  <c r="BC35" i="20" s="1"/>
  <c r="Y92" i="22"/>
  <c r="M56" i="20"/>
  <c r="BX56" i="20" s="1"/>
  <c r="K34" i="20"/>
  <c r="BV34" i="20" s="1"/>
  <c r="P49" i="20"/>
  <c r="CA49" i="20" s="1"/>
  <c r="Q48" i="20"/>
  <c r="CB48" i="20" s="1"/>
  <c r="R48" i="20"/>
  <c r="CC48" i="20" s="1"/>
  <c r="AP53" i="20"/>
  <c r="AG53" i="20" s="1"/>
  <c r="S48" i="20"/>
  <c r="CD48" i="20" s="1"/>
  <c r="N58" i="20"/>
  <c r="BY58" i="20" s="1"/>
  <c r="L57" i="20"/>
  <c r="BW57" i="20" s="1"/>
  <c r="Q35" i="25" l="1"/>
  <c r="BY35" i="19"/>
  <c r="BF35" i="25"/>
  <c r="BI40" i="19"/>
  <c r="V40" i="19"/>
  <c r="AF41" i="25"/>
  <c r="BD36" i="25"/>
  <c r="BC37" i="25"/>
  <c r="N38" i="25"/>
  <c r="AH39" i="25" s="1"/>
  <c r="BA39" i="20" s="1"/>
  <c r="W39" i="19"/>
  <c r="AG40" i="25"/>
  <c r="AZ40" i="20" s="1"/>
  <c r="AO36" i="25"/>
  <c r="Y93" i="22"/>
  <c r="AN56" i="20"/>
  <c r="AE56" i="20" s="1"/>
  <c r="AL34" i="20"/>
  <c r="BM34" i="19" s="1"/>
  <c r="BG35" i="25" s="1"/>
  <c r="AT48" i="20"/>
  <c r="AK48" i="20" s="1"/>
  <c r="O54" i="20"/>
  <c r="BZ54" i="20" s="1"/>
  <c r="AQ49" i="20"/>
  <c r="AH49" i="20" s="1"/>
  <c r="AS48" i="20"/>
  <c r="AJ48" i="20" s="1"/>
  <c r="AR48" i="20"/>
  <c r="AI48" i="20" s="1"/>
  <c r="AM57" i="20"/>
  <c r="AD57" i="20" s="1"/>
  <c r="AO58" i="20"/>
  <c r="AF58" i="20" s="1"/>
  <c r="S35" i="25" l="1"/>
  <c r="BV40" i="19"/>
  <c r="Y35" i="19"/>
  <c r="AK36" i="25"/>
  <c r="BB36" i="20" s="1"/>
  <c r="BW39" i="19"/>
  <c r="BA40" i="25" s="1"/>
  <c r="P36" i="25"/>
  <c r="R35" i="25"/>
  <c r="BI36" i="25"/>
  <c r="O37" i="25"/>
  <c r="AI38" i="25" s="1"/>
  <c r="AZ41" i="25"/>
  <c r="Y94" i="22"/>
  <c r="M57" i="20"/>
  <c r="S49" i="20"/>
  <c r="CD49" i="20" s="1"/>
  <c r="Q49" i="20"/>
  <c r="CB49" i="20" s="1"/>
  <c r="R49" i="20"/>
  <c r="CC49" i="20" s="1"/>
  <c r="AC34" i="20"/>
  <c r="P50" i="20"/>
  <c r="CA50" i="20" s="1"/>
  <c r="AP54" i="20"/>
  <c r="AG54" i="20" s="1"/>
  <c r="N59" i="20"/>
  <c r="BY59" i="20" s="1"/>
  <c r="L58" i="20"/>
  <c r="BW58" i="20" s="1"/>
  <c r="U36" i="25" l="1"/>
  <c r="X36" i="19"/>
  <c r="AJ37" i="25"/>
  <c r="BC38" i="25" s="1"/>
  <c r="O38" i="25" s="1"/>
  <c r="AI39" i="25" s="1"/>
  <c r="L41" i="25"/>
  <c r="BB39" i="25"/>
  <c r="Z35" i="19"/>
  <c r="AL36" i="25"/>
  <c r="BX36" i="19"/>
  <c r="M40" i="25"/>
  <c r="BJ40" i="19" s="1"/>
  <c r="BK35" i="19"/>
  <c r="BE36" i="25" s="1"/>
  <c r="AA35" i="19"/>
  <c r="AN36" i="25"/>
  <c r="AM36" i="25"/>
  <c r="BC36" i="20" s="1"/>
  <c r="Y95" i="22"/>
  <c r="AN57" i="20"/>
  <c r="AE57" i="20" s="1"/>
  <c r="M58" i="20" s="1"/>
  <c r="BX57" i="20"/>
  <c r="K35" i="20"/>
  <c r="BV35" i="20" s="1"/>
  <c r="O55" i="20"/>
  <c r="BZ55" i="20" s="1"/>
  <c r="AQ50" i="20"/>
  <c r="AH50" i="20" s="1"/>
  <c r="AR49" i="20"/>
  <c r="AI49" i="20" s="1"/>
  <c r="AS49" i="20"/>
  <c r="AJ49" i="20" s="1"/>
  <c r="AT49" i="20"/>
  <c r="AK49" i="20" s="1"/>
  <c r="AM58" i="20"/>
  <c r="AD58" i="20" s="1"/>
  <c r="L59" i="20" s="1"/>
  <c r="BW59" i="20" s="1"/>
  <c r="AO59" i="20"/>
  <c r="AF59" i="20" s="1"/>
  <c r="BY36" i="19" l="1"/>
  <c r="BF36" i="25"/>
  <c r="BD37" i="25"/>
  <c r="N39" i="25"/>
  <c r="AH40" i="25" s="1"/>
  <c r="Q36" i="25"/>
  <c r="CA36" i="19"/>
  <c r="BH36" i="25"/>
  <c r="W40" i="19"/>
  <c r="AG41" i="25"/>
  <c r="AZ41" i="20" s="1"/>
  <c r="V41" i="19"/>
  <c r="BI41" i="19"/>
  <c r="AF42" i="25"/>
  <c r="Y96" i="22"/>
  <c r="AN58" i="20"/>
  <c r="AE58" i="20" s="1"/>
  <c r="M59" i="20" s="1"/>
  <c r="BX59" i="20" s="1"/>
  <c r="BX58" i="20"/>
  <c r="P51" i="20"/>
  <c r="CA51" i="20" s="1"/>
  <c r="S50" i="20"/>
  <c r="CD50" i="20" s="1"/>
  <c r="R50" i="20"/>
  <c r="CC50" i="20" s="1"/>
  <c r="Q50" i="20"/>
  <c r="CB50" i="20" s="1"/>
  <c r="AP55" i="20"/>
  <c r="AG55" i="20" s="1"/>
  <c r="O56" i="20" s="1"/>
  <c r="BZ56" i="20" s="1"/>
  <c r="AL35" i="20"/>
  <c r="BM35" i="19" s="1"/>
  <c r="BG36" i="25" s="1"/>
  <c r="S36" i="25" s="1"/>
  <c r="AM59" i="20"/>
  <c r="AD59" i="20" s="1"/>
  <c r="N60" i="20"/>
  <c r="BY60" i="20" s="1"/>
  <c r="BB40" i="25" l="1"/>
  <c r="N40" i="25" s="1"/>
  <c r="AH41" i="25" s="1"/>
  <c r="BA41" i="20" s="1"/>
  <c r="BA40" i="20"/>
  <c r="BK36" i="19"/>
  <c r="AA36" i="19"/>
  <c r="BV41" i="19"/>
  <c r="AZ42" i="25" s="1"/>
  <c r="L42" i="25" s="1"/>
  <c r="P37" i="25"/>
  <c r="T36" i="25"/>
  <c r="Y36" i="19"/>
  <c r="AK37" i="25"/>
  <c r="BB37" i="20" s="1"/>
  <c r="BW40" i="19"/>
  <c r="BA41" i="25" s="1"/>
  <c r="M41" i="25" s="1"/>
  <c r="R36" i="25"/>
  <c r="Z36" i="19" s="1"/>
  <c r="Y97" i="22"/>
  <c r="AN59" i="20"/>
  <c r="AE59" i="20" s="1"/>
  <c r="M60" i="20" s="1"/>
  <c r="BX60" i="20" s="1"/>
  <c r="AP56" i="20"/>
  <c r="AG56" i="20" s="1"/>
  <c r="AR50" i="20"/>
  <c r="AI50" i="20" s="1"/>
  <c r="AS50" i="20"/>
  <c r="AJ50" i="20" s="1"/>
  <c r="AQ51" i="20"/>
  <c r="AH51" i="20" s="1"/>
  <c r="AC35" i="20"/>
  <c r="AT50" i="20"/>
  <c r="AK50" i="20" s="1"/>
  <c r="AO60" i="20"/>
  <c r="AF60" i="20" s="1"/>
  <c r="N61" i="20" s="1"/>
  <c r="BY61" i="20" s="1"/>
  <c r="L60" i="20"/>
  <c r="BW60" i="20" s="1"/>
  <c r="W41" i="19" l="1"/>
  <c r="AG42" i="25"/>
  <c r="AZ42" i="20" s="1"/>
  <c r="BW41" i="19"/>
  <c r="BI42" i="19"/>
  <c r="V42" i="19"/>
  <c r="AF43" i="25"/>
  <c r="AL37" i="25"/>
  <c r="AM37" i="25"/>
  <c r="BC37" i="20" s="1"/>
  <c r="AN37" i="25"/>
  <c r="AO37" i="25"/>
  <c r="BX37" i="19"/>
  <c r="BE37" i="25"/>
  <c r="Q37" i="25" s="1"/>
  <c r="X37" i="19"/>
  <c r="AJ38" i="25"/>
  <c r="BJ41" i="19"/>
  <c r="Y98" i="22"/>
  <c r="R51" i="20"/>
  <c r="CC51" i="20" s="1"/>
  <c r="Q51" i="20"/>
  <c r="CB51" i="20" s="1"/>
  <c r="O57" i="20"/>
  <c r="BZ57" i="20" s="1"/>
  <c r="K36" i="20"/>
  <c r="BV36" i="20" s="1"/>
  <c r="S51" i="20"/>
  <c r="CD51" i="20" s="1"/>
  <c r="P52" i="20"/>
  <c r="CA52" i="20" s="1"/>
  <c r="AO61" i="20"/>
  <c r="AF61" i="20" s="1"/>
  <c r="AM60" i="20"/>
  <c r="AD60" i="20" s="1"/>
  <c r="AN60" i="20"/>
  <c r="AE60" i="20" s="1"/>
  <c r="BA42" i="25" l="1"/>
  <c r="M42" i="25" s="1"/>
  <c r="AG43" i="25" s="1"/>
  <c r="AZ43" i="20" s="1"/>
  <c r="Y37" i="19"/>
  <c r="AK38" i="25"/>
  <c r="BB38" i="20" s="1"/>
  <c r="BI37" i="25"/>
  <c r="BC39" i="25"/>
  <c r="BD38" i="25"/>
  <c r="CA37" i="19"/>
  <c r="BH37" i="25"/>
  <c r="T37" i="25" s="1"/>
  <c r="BY37" i="19"/>
  <c r="BF37" i="25"/>
  <c r="BV42" i="19"/>
  <c r="AZ43" i="25" s="1"/>
  <c r="Y99" i="22"/>
  <c r="AT51" i="20"/>
  <c r="AK51" i="20" s="1"/>
  <c r="AL36" i="20"/>
  <c r="BM36" i="19" s="1"/>
  <c r="BG37" i="25" s="1"/>
  <c r="AQ52" i="20"/>
  <c r="AH52" i="20" s="1"/>
  <c r="AP57" i="20"/>
  <c r="AG57" i="20" s="1"/>
  <c r="AR51" i="20"/>
  <c r="AI51" i="20" s="1"/>
  <c r="AS51" i="20"/>
  <c r="AJ51" i="20" s="1"/>
  <c r="M61" i="20"/>
  <c r="BX61" i="20" s="1"/>
  <c r="L61" i="20"/>
  <c r="BW61" i="20" s="1"/>
  <c r="N62" i="20"/>
  <c r="BY62" i="20" s="1"/>
  <c r="BV43" i="19" l="1"/>
  <c r="L43" i="25"/>
  <c r="O39" i="25"/>
  <c r="AI40" i="25" s="1"/>
  <c r="S37" i="25"/>
  <c r="BX38" i="19"/>
  <c r="R37" i="25"/>
  <c r="P38" i="25"/>
  <c r="BJ42" i="19"/>
  <c r="W42" i="19"/>
  <c r="U37" i="25"/>
  <c r="AO38" i="25" s="1"/>
  <c r="BI38" i="25" s="1"/>
  <c r="Y100" i="22"/>
  <c r="P53" i="20"/>
  <c r="CA53" i="20" s="1"/>
  <c r="AC36" i="20"/>
  <c r="R52" i="20"/>
  <c r="CC52" i="20" s="1"/>
  <c r="O58" i="20"/>
  <c r="BZ58" i="20" s="1"/>
  <c r="Q52" i="20"/>
  <c r="CB52" i="20" s="1"/>
  <c r="S52" i="20"/>
  <c r="CD52" i="20" s="1"/>
  <c r="AO62" i="20"/>
  <c r="AF62" i="20" s="1"/>
  <c r="AN61" i="20"/>
  <c r="AE61" i="20" s="1"/>
  <c r="M62" i="20" s="1"/>
  <c r="BX62" i="20" s="1"/>
  <c r="AM61" i="20"/>
  <c r="AD61" i="20" s="1"/>
  <c r="Z37" i="19" l="1"/>
  <c r="AL38" i="25"/>
  <c r="BB41" i="25"/>
  <c r="V43" i="19"/>
  <c r="BI43" i="19"/>
  <c r="AF44" i="25"/>
  <c r="BC40" i="25"/>
  <c r="O40" i="25" s="1"/>
  <c r="AI41" i="25" s="1"/>
  <c r="U38" i="25"/>
  <c r="X38" i="19"/>
  <c r="AJ39" i="25"/>
  <c r="BK37" i="19"/>
  <c r="BE38" i="25" s="1"/>
  <c r="AA37" i="19"/>
  <c r="AM38" i="25"/>
  <c r="BC38" i="20" s="1"/>
  <c r="AN38" i="25"/>
  <c r="Y101" i="22"/>
  <c r="AR52" i="20"/>
  <c r="AI52" i="20" s="1"/>
  <c r="AT52" i="20"/>
  <c r="AK52" i="20" s="1"/>
  <c r="AP58" i="20"/>
  <c r="AG58" i="20" s="1"/>
  <c r="AS52" i="20"/>
  <c r="AJ52" i="20" s="1"/>
  <c r="K37" i="20"/>
  <c r="BV37" i="20" s="1"/>
  <c r="AQ53" i="20"/>
  <c r="AH53" i="20" s="1"/>
  <c r="AN62" i="20"/>
  <c r="AE62" i="20" s="1"/>
  <c r="L62" i="20"/>
  <c r="BW62" i="20" s="1"/>
  <c r="N63" i="20"/>
  <c r="BY63" i="20" s="1"/>
  <c r="N41" i="25" l="1"/>
  <c r="AH42" i="25" s="1"/>
  <c r="BA42" i="20" s="1"/>
  <c r="BD39" i="25"/>
  <c r="P39" i="25" s="1"/>
  <c r="X39" i="19" s="1"/>
  <c r="AZ44" i="25"/>
  <c r="CA38" i="19"/>
  <c r="BH38" i="25"/>
  <c r="Q38" i="25"/>
  <c r="BY38" i="19"/>
  <c r="BF38" i="25"/>
  <c r="R38" i="25" s="1"/>
  <c r="Y102" i="22"/>
  <c r="O59" i="20"/>
  <c r="BZ59" i="20" s="1"/>
  <c r="AL37" i="20"/>
  <c r="BM37" i="19" s="1"/>
  <c r="BG38" i="25" s="1"/>
  <c r="Q53" i="20"/>
  <c r="CB53" i="20" s="1"/>
  <c r="P54" i="20"/>
  <c r="CA54" i="20" s="1"/>
  <c r="R53" i="20"/>
  <c r="CC53" i="20" s="1"/>
  <c r="S53" i="20"/>
  <c r="CD53" i="20" s="1"/>
  <c r="M63" i="20"/>
  <c r="BX63" i="20" s="1"/>
  <c r="AO63" i="20"/>
  <c r="AF63" i="20" s="1"/>
  <c r="AM62" i="20"/>
  <c r="AD62" i="20" s="1"/>
  <c r="L63" i="20" s="1"/>
  <c r="BW63" i="20" s="1"/>
  <c r="AJ40" i="25" l="1"/>
  <c r="S38" i="25"/>
  <c r="Z38" i="19"/>
  <c r="AL39" i="25"/>
  <c r="T38" i="25"/>
  <c r="BW42" i="19"/>
  <c r="BA43" i="25" s="1"/>
  <c r="Y38" i="19"/>
  <c r="AK39" i="25"/>
  <c r="BB39" i="20" s="1"/>
  <c r="BC41" i="25"/>
  <c r="L44" i="25"/>
  <c r="BB42" i="25"/>
  <c r="BF39" i="25"/>
  <c r="Y103" i="22"/>
  <c r="AC37" i="20"/>
  <c r="AP59" i="20"/>
  <c r="AG59" i="20" s="1"/>
  <c r="O60" i="20" s="1"/>
  <c r="BZ60" i="20" s="1"/>
  <c r="AS53" i="20"/>
  <c r="AJ53" i="20" s="1"/>
  <c r="AQ54" i="20"/>
  <c r="AH54" i="20" s="1"/>
  <c r="AR53" i="20"/>
  <c r="AI53" i="20" s="1"/>
  <c r="AT53" i="20"/>
  <c r="AK53" i="20" s="1"/>
  <c r="N64" i="20"/>
  <c r="BY64" i="20" s="1"/>
  <c r="AM63" i="20"/>
  <c r="AD63" i="20" s="1"/>
  <c r="AN63" i="20"/>
  <c r="AE63" i="20" s="1"/>
  <c r="BX39" i="19" l="1"/>
  <c r="BD40" i="25" s="1"/>
  <c r="M43" i="25"/>
  <c r="BJ43" i="19" s="1"/>
  <c r="BY39" i="19"/>
  <c r="R39" i="25"/>
  <c r="Z39" i="19" s="1"/>
  <c r="BI44" i="19"/>
  <c r="V44" i="19"/>
  <c r="AF45" i="25"/>
  <c r="AA38" i="19"/>
  <c r="BK38" i="19"/>
  <c r="BE39" i="25" s="1"/>
  <c r="Q39" i="25" s="1"/>
  <c r="AM39" i="25"/>
  <c r="BC39" i="20" s="1"/>
  <c r="O41" i="25"/>
  <c r="AI42" i="25" s="1"/>
  <c r="N42" i="25"/>
  <c r="AH43" i="25" s="1"/>
  <c r="BA43" i="20" s="1"/>
  <c r="AO39" i="25"/>
  <c r="AN39" i="25"/>
  <c r="Y104" i="22"/>
  <c r="AP60" i="20"/>
  <c r="AG60" i="20" s="1"/>
  <c r="P55" i="20"/>
  <c r="CA55" i="20" s="1"/>
  <c r="S54" i="20"/>
  <c r="CD54" i="20" s="1"/>
  <c r="Q54" i="20"/>
  <c r="CB54" i="20" s="1"/>
  <c r="R54" i="20"/>
  <c r="CC54" i="20" s="1"/>
  <c r="K38" i="20"/>
  <c r="BV38" i="20" s="1"/>
  <c r="M64" i="20"/>
  <c r="BX64" i="20" s="1"/>
  <c r="AO64" i="20"/>
  <c r="AF64" i="20" s="1"/>
  <c r="N65" i="20" s="1"/>
  <c r="BY65" i="20" s="1"/>
  <c r="L64" i="20"/>
  <c r="BW64" i="20" s="1"/>
  <c r="Y39" i="19" l="1"/>
  <c r="AL40" i="25"/>
  <c r="AK40" i="25"/>
  <c r="BB40" i="20" s="1"/>
  <c r="CA39" i="19"/>
  <c r="BH39" i="25"/>
  <c r="P40" i="25"/>
  <c r="BI39" i="25"/>
  <c r="U39" i="25" s="1"/>
  <c r="BW43" i="19"/>
  <c r="W43" i="19"/>
  <c r="AG44" i="25"/>
  <c r="AZ44" i="20" s="1"/>
  <c r="BB43" i="25"/>
  <c r="Y105" i="22"/>
  <c r="AT54" i="20"/>
  <c r="AK54" i="20" s="1"/>
  <c r="AL38" i="20"/>
  <c r="BM38" i="19" s="1"/>
  <c r="BG39" i="25" s="1"/>
  <c r="AQ55" i="20"/>
  <c r="AH55" i="20" s="1"/>
  <c r="O61" i="20"/>
  <c r="BZ61" i="20" s="1"/>
  <c r="AS54" i="20"/>
  <c r="AJ54" i="20" s="1"/>
  <c r="AR54" i="20"/>
  <c r="AI54" i="20" s="1"/>
  <c r="AM64" i="20"/>
  <c r="AD64" i="20" s="1"/>
  <c r="AO65" i="20"/>
  <c r="AF65" i="20" s="1"/>
  <c r="AN64" i="20"/>
  <c r="AE64" i="20" s="1"/>
  <c r="S39" i="25" l="1"/>
  <c r="N43" i="25"/>
  <c r="AH44" i="25" s="1"/>
  <c r="BA44" i="20" s="1"/>
  <c r="T39" i="25"/>
  <c r="AO40" i="25" s="1"/>
  <c r="BV44" i="19"/>
  <c r="AZ45" i="25" s="1"/>
  <c r="BA44" i="25"/>
  <c r="X40" i="19"/>
  <c r="AJ41" i="25"/>
  <c r="BX40" i="19"/>
  <c r="BY40" i="19"/>
  <c r="BF40" i="25"/>
  <c r="R40" i="25" s="1"/>
  <c r="Y106" i="22"/>
  <c r="AP61" i="20"/>
  <c r="AG61" i="20" s="1"/>
  <c r="Q55" i="20"/>
  <c r="CB55" i="20" s="1"/>
  <c r="S55" i="20"/>
  <c r="CD55" i="20" s="1"/>
  <c r="AC38" i="20"/>
  <c r="R55" i="20"/>
  <c r="CC55" i="20" s="1"/>
  <c r="P56" i="20"/>
  <c r="CA56" i="20" s="1"/>
  <c r="N66" i="20"/>
  <c r="BY66" i="20" s="1"/>
  <c r="M65" i="20"/>
  <c r="BX65" i="20" s="1"/>
  <c r="L65" i="20"/>
  <c r="BW65" i="20" s="1"/>
  <c r="Z40" i="19" l="1"/>
  <c r="BC42" i="25"/>
  <c r="BD41" i="25"/>
  <c r="P41" i="25" s="1"/>
  <c r="L45" i="25"/>
  <c r="BW44" i="19"/>
  <c r="AA39" i="19"/>
  <c r="BK39" i="19"/>
  <c r="BE40" i="25" s="1"/>
  <c r="Q40" i="25" s="1"/>
  <c r="AM40" i="25"/>
  <c r="BC40" i="20" s="1"/>
  <c r="M44" i="25"/>
  <c r="AN40" i="25"/>
  <c r="BI40" i="25"/>
  <c r="Y107" i="22"/>
  <c r="AQ56" i="20"/>
  <c r="AH56" i="20" s="1"/>
  <c r="AS55" i="20"/>
  <c r="AJ55" i="20" s="1"/>
  <c r="K39" i="20"/>
  <c r="BV39" i="20" s="1"/>
  <c r="AT55" i="20"/>
  <c r="AK55" i="20" s="1"/>
  <c r="AR55" i="20"/>
  <c r="AI55" i="20" s="1"/>
  <c r="O62" i="20"/>
  <c r="BZ62" i="20" s="1"/>
  <c r="AM65" i="20"/>
  <c r="AD65" i="20" s="1"/>
  <c r="AN65" i="20"/>
  <c r="AE65" i="20" s="1"/>
  <c r="M66" i="20" s="1"/>
  <c r="BX66" i="20" s="1"/>
  <c r="AO66" i="20"/>
  <c r="AF66" i="20" s="1"/>
  <c r="X41" i="19" l="1"/>
  <c r="AJ42" i="25"/>
  <c r="W44" i="19"/>
  <c r="AG45" i="25"/>
  <c r="AZ45" i="20" s="1"/>
  <c r="Y40" i="19"/>
  <c r="AK41" i="25"/>
  <c r="BB41" i="20" s="1"/>
  <c r="V45" i="19"/>
  <c r="BI45" i="19"/>
  <c r="AF46" i="25"/>
  <c r="CA40" i="19"/>
  <c r="BH40" i="25"/>
  <c r="T40" i="25" s="1"/>
  <c r="AL41" i="25"/>
  <c r="U40" i="25"/>
  <c r="BJ44" i="19"/>
  <c r="O42" i="25"/>
  <c r="AI43" i="25" s="1"/>
  <c r="BC43" i="25" s="1"/>
  <c r="Y108" i="22"/>
  <c r="R56" i="20"/>
  <c r="CC56" i="20" s="1"/>
  <c r="AP62" i="20"/>
  <c r="AG62" i="20" s="1"/>
  <c r="S56" i="20"/>
  <c r="CD56" i="20" s="1"/>
  <c r="AL39" i="20"/>
  <c r="BM39" i="19" s="1"/>
  <c r="BG40" i="25" s="1"/>
  <c r="P57" i="20"/>
  <c r="CA57" i="20" s="1"/>
  <c r="Q56" i="20"/>
  <c r="CB56" i="20" s="1"/>
  <c r="AN66" i="20"/>
  <c r="AE66" i="20" s="1"/>
  <c r="N67" i="20"/>
  <c r="BY67" i="20" s="1"/>
  <c r="L66" i="20"/>
  <c r="BW66" i="20" s="1"/>
  <c r="S40" i="25" l="1"/>
  <c r="AO41" i="25"/>
  <c r="O43" i="25"/>
  <c r="AI44" i="25" s="1"/>
  <c r="BB44" i="25"/>
  <c r="BY41" i="19"/>
  <c r="BF41" i="25"/>
  <c r="BX41" i="19"/>
  <c r="BD42" i="25" s="1"/>
  <c r="BV45" i="19"/>
  <c r="AZ46" i="25" s="1"/>
  <c r="BA45" i="25"/>
  <c r="Y109" i="22"/>
  <c r="O63" i="20"/>
  <c r="BZ63" i="20" s="1"/>
  <c r="AR56" i="20"/>
  <c r="AI56" i="20" s="1"/>
  <c r="AS56" i="20"/>
  <c r="AJ56" i="20" s="1"/>
  <c r="AC39" i="20"/>
  <c r="AQ57" i="20"/>
  <c r="AH57" i="20" s="1"/>
  <c r="AT56" i="20"/>
  <c r="AK56" i="20" s="1"/>
  <c r="AO67" i="20"/>
  <c r="AF67" i="20" s="1"/>
  <c r="AM66" i="20"/>
  <c r="AD66" i="20" s="1"/>
  <c r="L67" i="20" s="1"/>
  <c r="BW67" i="20" s="1"/>
  <c r="M67" i="20"/>
  <c r="BX67" i="20" s="1"/>
  <c r="L46" i="25" l="1"/>
  <c r="M45" i="25"/>
  <c r="BI41" i="25"/>
  <c r="U41" i="25" s="1"/>
  <c r="BK40" i="19"/>
  <c r="BE41" i="25" s="1"/>
  <c r="Q41" i="25" s="1"/>
  <c r="AA40" i="19"/>
  <c r="AM41" i="25"/>
  <c r="BC41" i="20" s="1"/>
  <c r="N44" i="25"/>
  <c r="AH45" i="25" s="1"/>
  <c r="P42" i="25"/>
  <c r="R41" i="25"/>
  <c r="AN41" i="25"/>
  <c r="Y110" i="22"/>
  <c r="K40" i="20"/>
  <c r="BV40" i="20" s="1"/>
  <c r="Q57" i="20"/>
  <c r="CB57" i="20" s="1"/>
  <c r="P58" i="20"/>
  <c r="CA58" i="20" s="1"/>
  <c r="AP63" i="20"/>
  <c r="AG63" i="20" s="1"/>
  <c r="O64" i="20" s="1"/>
  <c r="BZ64" i="20" s="1"/>
  <c r="S57" i="20"/>
  <c r="CD57" i="20" s="1"/>
  <c r="R57" i="20"/>
  <c r="CC57" i="20" s="1"/>
  <c r="AN67" i="20"/>
  <c r="AE67" i="20" s="1"/>
  <c r="AM67" i="20"/>
  <c r="AD67" i="20" s="1"/>
  <c r="N68" i="20"/>
  <c r="BY68" i="20" s="1"/>
  <c r="BB45" i="25" l="1"/>
  <c r="N45" i="25" s="1"/>
  <c r="AH46" i="25" s="1"/>
  <c r="BA46" i="20" s="1"/>
  <c r="BA45" i="20"/>
  <c r="CA41" i="19"/>
  <c r="BH41" i="25"/>
  <c r="Z41" i="19"/>
  <c r="AL42" i="25"/>
  <c r="Y41" i="19"/>
  <c r="AK42" i="25"/>
  <c r="BB42" i="20" s="1"/>
  <c r="BJ45" i="19"/>
  <c r="W45" i="19"/>
  <c r="AG46" i="25"/>
  <c r="AZ46" i="20" s="1"/>
  <c r="X42" i="19"/>
  <c r="AJ43" i="25"/>
  <c r="BW45" i="19"/>
  <c r="V46" i="19"/>
  <c r="BI46" i="19"/>
  <c r="AF47" i="25"/>
  <c r="Y111" i="22"/>
  <c r="AP64" i="20"/>
  <c r="AG64" i="20" s="1"/>
  <c r="AT57" i="20"/>
  <c r="AK57" i="20" s="1"/>
  <c r="AS57" i="20"/>
  <c r="AJ57" i="20" s="1"/>
  <c r="AL40" i="20"/>
  <c r="BM40" i="19" s="1"/>
  <c r="BG41" i="25" s="1"/>
  <c r="AR57" i="20"/>
  <c r="AI57" i="20" s="1"/>
  <c r="AQ58" i="20"/>
  <c r="AH58" i="20" s="1"/>
  <c r="AO68" i="20"/>
  <c r="AF68" i="20" s="1"/>
  <c r="N69" i="20" s="1"/>
  <c r="BY69" i="20" s="1"/>
  <c r="L68" i="20"/>
  <c r="BW68" i="20" s="1"/>
  <c r="M68" i="20"/>
  <c r="BX68" i="20" s="1"/>
  <c r="S41" i="25" l="1"/>
  <c r="BX42" i="19"/>
  <c r="BD43" i="25" s="1"/>
  <c r="BC44" i="25"/>
  <c r="BV46" i="19"/>
  <c r="AZ47" i="25" s="1"/>
  <c r="BA46" i="25"/>
  <c r="BW46" i="19"/>
  <c r="BY42" i="19"/>
  <c r="BF42" i="25"/>
  <c r="R42" i="25" s="1"/>
  <c r="T41" i="25"/>
  <c r="Y112" i="22"/>
  <c r="P59" i="20"/>
  <c r="CA59" i="20" s="1"/>
  <c r="Q58" i="20"/>
  <c r="CB58" i="20" s="1"/>
  <c r="AC40" i="20"/>
  <c r="S58" i="20"/>
  <c r="CD58" i="20" s="1"/>
  <c r="O65" i="20"/>
  <c r="BZ65" i="20" s="1"/>
  <c r="R58" i="20"/>
  <c r="CC58" i="20" s="1"/>
  <c r="AN68" i="20"/>
  <c r="AE68" i="20" s="1"/>
  <c r="AM68" i="20"/>
  <c r="AD68" i="20" s="1"/>
  <c r="AO69" i="20"/>
  <c r="AF69" i="20" s="1"/>
  <c r="Z42" i="19" l="1"/>
  <c r="L47" i="25"/>
  <c r="P43" i="25"/>
  <c r="M46" i="25"/>
  <c r="BJ46" i="19" s="1"/>
  <c r="O44" i="25"/>
  <c r="AI45" i="25" s="1"/>
  <c r="AO42" i="25"/>
  <c r="AN42" i="25"/>
  <c r="AA41" i="19"/>
  <c r="BK41" i="19"/>
  <c r="BE42" i="25" s="1"/>
  <c r="Q42" i="25" s="1"/>
  <c r="AM42" i="25"/>
  <c r="BC42" i="20" s="1"/>
  <c r="Y113" i="22"/>
  <c r="AQ59" i="20"/>
  <c r="AH59" i="20" s="1"/>
  <c r="AS58" i="20"/>
  <c r="AJ58" i="20" s="1"/>
  <c r="AT58" i="20"/>
  <c r="AK58" i="20" s="1"/>
  <c r="AP65" i="20"/>
  <c r="AG65" i="20" s="1"/>
  <c r="K41" i="20"/>
  <c r="BV41" i="20" s="1"/>
  <c r="AR58" i="20"/>
  <c r="AI58" i="20" s="1"/>
  <c r="N70" i="20"/>
  <c r="BY70" i="20" s="1"/>
  <c r="L69" i="20"/>
  <c r="BW69" i="20" s="1"/>
  <c r="M69" i="20"/>
  <c r="BX69" i="20" s="1"/>
  <c r="Y42" i="19" l="1"/>
  <c r="AK43" i="25"/>
  <c r="BB43" i="20" s="1"/>
  <c r="CA42" i="19"/>
  <c r="BH42" i="25"/>
  <c r="BI42" i="25"/>
  <c r="U42" i="25" s="1"/>
  <c r="BI47" i="19"/>
  <c r="V47" i="19"/>
  <c r="AF48" i="25"/>
  <c r="BB46" i="25"/>
  <c r="W46" i="19"/>
  <c r="AG47" i="25"/>
  <c r="AZ47" i="20" s="1"/>
  <c r="BC45" i="25"/>
  <c r="O45" i="25" s="1"/>
  <c r="AI46" i="25" s="1"/>
  <c r="X43" i="19"/>
  <c r="AJ44" i="25"/>
  <c r="AL43" i="25"/>
  <c r="Y114" i="22"/>
  <c r="P60" i="20"/>
  <c r="CA60" i="20" s="1"/>
  <c r="Q59" i="20"/>
  <c r="CB59" i="20" s="1"/>
  <c r="O66" i="20"/>
  <c r="BZ66" i="20" s="1"/>
  <c r="AL41" i="20"/>
  <c r="BM41" i="19" s="1"/>
  <c r="BG42" i="25" s="1"/>
  <c r="S42" i="25" s="1"/>
  <c r="S59" i="20"/>
  <c r="CD59" i="20" s="1"/>
  <c r="R59" i="20"/>
  <c r="CC59" i="20" s="1"/>
  <c r="AM69" i="20"/>
  <c r="AD69" i="20" s="1"/>
  <c r="AN69" i="20"/>
  <c r="AE69" i="20" s="1"/>
  <c r="M70" i="20" s="1"/>
  <c r="BX70" i="20" s="1"/>
  <c r="AO70" i="20"/>
  <c r="AF70" i="20" s="1"/>
  <c r="AM43" i="25" l="1"/>
  <c r="BC43" i="20" s="1"/>
  <c r="BK42" i="19"/>
  <c r="BE43" i="25" s="1"/>
  <c r="AA42" i="19"/>
  <c r="BY43" i="19"/>
  <c r="BF43" i="25"/>
  <c r="R43" i="25" s="1"/>
  <c r="BV47" i="19"/>
  <c r="AZ48" i="25" s="1"/>
  <c r="BA47" i="25"/>
  <c r="BX43" i="19"/>
  <c r="BD44" i="25" s="1"/>
  <c r="N46" i="25"/>
  <c r="AH47" i="25" s="1"/>
  <c r="BA47" i="20" s="1"/>
  <c r="T42" i="25"/>
  <c r="AN43" i="25" s="1"/>
  <c r="BH43" i="25" s="1"/>
  <c r="Y115" i="22"/>
  <c r="AQ60" i="20"/>
  <c r="AH60" i="20" s="1"/>
  <c r="AC41" i="20"/>
  <c r="AP66" i="20"/>
  <c r="AG66" i="20" s="1"/>
  <c r="AR59" i="20"/>
  <c r="AI59" i="20" s="1"/>
  <c r="AT59" i="20"/>
  <c r="AK59" i="20" s="1"/>
  <c r="AS59" i="20"/>
  <c r="AJ59" i="20" s="1"/>
  <c r="AN70" i="20"/>
  <c r="AE70" i="20" s="1"/>
  <c r="N71" i="20"/>
  <c r="BY71" i="20" s="1"/>
  <c r="L70" i="20"/>
  <c r="BW70" i="20" s="1"/>
  <c r="P44" i="25" l="1"/>
  <c r="Z43" i="19"/>
  <c r="BW47" i="19"/>
  <c r="CA43" i="19"/>
  <c r="T43" i="25"/>
  <c r="BB47" i="25"/>
  <c r="Q43" i="25"/>
  <c r="AL44" i="25" s="1"/>
  <c r="M47" i="25"/>
  <c r="AO43" i="25"/>
  <c r="L48" i="25"/>
  <c r="Y116" i="22"/>
  <c r="R60" i="20"/>
  <c r="CC60" i="20" s="1"/>
  <c r="Q60" i="20"/>
  <c r="CB60" i="20" s="1"/>
  <c r="P61" i="20"/>
  <c r="CA61" i="20" s="1"/>
  <c r="K42" i="20"/>
  <c r="BV42" i="20" s="1"/>
  <c r="S60" i="20"/>
  <c r="CD60" i="20" s="1"/>
  <c r="O67" i="20"/>
  <c r="BZ67" i="20" s="1"/>
  <c r="AM70" i="20"/>
  <c r="AD70" i="20" s="1"/>
  <c r="L71" i="20" s="1"/>
  <c r="BW71" i="20" s="1"/>
  <c r="AO71" i="20"/>
  <c r="AF71" i="20" s="1"/>
  <c r="M71" i="20"/>
  <c r="BX71" i="20" s="1"/>
  <c r="BY44" i="19" l="1"/>
  <c r="BF44" i="25"/>
  <c r="X44" i="19"/>
  <c r="AJ45" i="25"/>
  <c r="V48" i="19"/>
  <c r="BI48" i="19"/>
  <c r="AF49" i="25"/>
  <c r="W47" i="19"/>
  <c r="AG48" i="25"/>
  <c r="AZ48" i="20" s="1"/>
  <c r="BJ47" i="19"/>
  <c r="Y43" i="19"/>
  <c r="AK44" i="25"/>
  <c r="BB44" i="20" s="1"/>
  <c r="BI43" i="25"/>
  <c r="U43" i="25" s="1"/>
  <c r="AO44" i="25" s="1"/>
  <c r="N47" i="25"/>
  <c r="AH48" i="25" s="1"/>
  <c r="BA48" i="20" s="1"/>
  <c r="Y117" i="22"/>
  <c r="AL42" i="20"/>
  <c r="BM42" i="19" s="1"/>
  <c r="BG43" i="25" s="1"/>
  <c r="AT60" i="20"/>
  <c r="AK60" i="20" s="1"/>
  <c r="AQ61" i="20"/>
  <c r="AH61" i="20" s="1"/>
  <c r="AR60" i="20"/>
  <c r="AI60" i="20" s="1"/>
  <c r="AS60" i="20"/>
  <c r="AJ60" i="20" s="1"/>
  <c r="AP67" i="20"/>
  <c r="AG67" i="20" s="1"/>
  <c r="O68" i="20" s="1"/>
  <c r="BZ68" i="20" s="1"/>
  <c r="AN71" i="20"/>
  <c r="AE71" i="20" s="1"/>
  <c r="AM71" i="20"/>
  <c r="AD71" i="20" s="1"/>
  <c r="N72" i="20"/>
  <c r="BY72" i="20" s="1"/>
  <c r="BI44" i="25" l="1"/>
  <c r="U44" i="25" s="1"/>
  <c r="BV48" i="19"/>
  <c r="AZ49" i="25" s="1"/>
  <c r="BA48" i="25"/>
  <c r="S43" i="25"/>
  <c r="BW48" i="19"/>
  <c r="BX44" i="19"/>
  <c r="BD45" i="25" s="1"/>
  <c r="P45" i="25" s="1"/>
  <c r="X45" i="19" s="1"/>
  <c r="BC46" i="25"/>
  <c r="R44" i="25"/>
  <c r="Y118" i="22"/>
  <c r="Q61" i="20"/>
  <c r="CB61" i="20" s="1"/>
  <c r="S61" i="20"/>
  <c r="CD61" i="20" s="1"/>
  <c r="AC42" i="20"/>
  <c r="AP68" i="20"/>
  <c r="AG68" i="20" s="1"/>
  <c r="R61" i="20"/>
  <c r="CC61" i="20" s="1"/>
  <c r="P62" i="20"/>
  <c r="CA62" i="20" s="1"/>
  <c r="AO72" i="20"/>
  <c r="AF72" i="20" s="1"/>
  <c r="N73" i="20" s="1"/>
  <c r="BY73" i="20" s="1"/>
  <c r="L72" i="20"/>
  <c r="BW72" i="20" s="1"/>
  <c r="M72" i="20"/>
  <c r="BX72" i="20" s="1"/>
  <c r="L49" i="25" l="1"/>
  <c r="O46" i="25"/>
  <c r="AI47" i="25" s="1"/>
  <c r="AJ46" i="25"/>
  <c r="Z44" i="19"/>
  <c r="AA43" i="19"/>
  <c r="BK43" i="19"/>
  <c r="BE44" i="25" s="1"/>
  <c r="AM44" i="25"/>
  <c r="BC44" i="20" s="1"/>
  <c r="AN44" i="25"/>
  <c r="M48" i="25"/>
  <c r="BJ48" i="19"/>
  <c r="Y119" i="22"/>
  <c r="AT61" i="20"/>
  <c r="AK61" i="20" s="1"/>
  <c r="K43" i="20"/>
  <c r="BV43" i="20" s="1"/>
  <c r="AR61" i="20"/>
  <c r="AI61" i="20" s="1"/>
  <c r="AQ62" i="20"/>
  <c r="AH62" i="20" s="1"/>
  <c r="AS61" i="20"/>
  <c r="AJ61" i="20" s="1"/>
  <c r="O69" i="20"/>
  <c r="BZ69" i="20" s="1"/>
  <c r="AM72" i="20"/>
  <c r="AD72" i="20" s="1"/>
  <c r="AN72" i="20"/>
  <c r="AE72" i="20" s="1"/>
  <c r="AO73" i="20"/>
  <c r="AF73" i="20" s="1"/>
  <c r="BC47" i="25" l="1"/>
  <c r="O47" i="25" s="1"/>
  <c r="AI48" i="25" s="1"/>
  <c r="Q44" i="25"/>
  <c r="W48" i="19"/>
  <c r="AG49" i="25"/>
  <c r="AZ49" i="20" s="1"/>
  <c r="V49" i="19"/>
  <c r="BI49" i="19"/>
  <c r="AF50" i="25"/>
  <c r="CA44" i="19"/>
  <c r="BH44" i="25"/>
  <c r="BB48" i="25"/>
  <c r="Y120" i="22"/>
  <c r="P63" i="20"/>
  <c r="CA63" i="20" s="1"/>
  <c r="AP69" i="20"/>
  <c r="AG69" i="20" s="1"/>
  <c r="AL43" i="20"/>
  <c r="BM43" i="19" s="1"/>
  <c r="BG44" i="25" s="1"/>
  <c r="S62" i="20"/>
  <c r="CD62" i="20" s="1"/>
  <c r="R62" i="20"/>
  <c r="CC62" i="20" s="1"/>
  <c r="Q62" i="20"/>
  <c r="CB62" i="20" s="1"/>
  <c r="M73" i="20"/>
  <c r="BX73" i="20" s="1"/>
  <c r="N74" i="20"/>
  <c r="BY74" i="20" s="1"/>
  <c r="L73" i="20"/>
  <c r="BW73" i="20" s="1"/>
  <c r="S44" i="25" l="1"/>
  <c r="BV49" i="19"/>
  <c r="AZ50" i="25" s="1"/>
  <c r="BA49" i="25"/>
  <c r="M49" i="25" s="1"/>
  <c r="N48" i="25"/>
  <c r="AH49" i="25" s="1"/>
  <c r="BA49" i="20" s="1"/>
  <c r="T44" i="25"/>
  <c r="Y44" i="19"/>
  <c r="AK45" i="25"/>
  <c r="BB45" i="20" s="1"/>
  <c r="AL45" i="25"/>
  <c r="Y121" i="22"/>
  <c r="AT62" i="20"/>
  <c r="AK62" i="20" s="1"/>
  <c r="AC43" i="20"/>
  <c r="O70" i="20"/>
  <c r="BZ70" i="20" s="1"/>
  <c r="AQ63" i="20"/>
  <c r="AH63" i="20" s="1"/>
  <c r="AR62" i="20"/>
  <c r="AI62" i="20" s="1"/>
  <c r="AS62" i="20"/>
  <c r="AJ62" i="20" s="1"/>
  <c r="AM73" i="20"/>
  <c r="AD73" i="20" s="1"/>
  <c r="AO74" i="20"/>
  <c r="AF74" i="20" s="1"/>
  <c r="AN73" i="20"/>
  <c r="AE73" i="20" s="1"/>
  <c r="M74" i="20" s="1"/>
  <c r="BX74" i="20" s="1"/>
  <c r="W49" i="19" l="1"/>
  <c r="AG50" i="25"/>
  <c r="AZ50" i="20" s="1"/>
  <c r="BY45" i="19"/>
  <c r="BF45" i="25"/>
  <c r="R45" i="25" s="1"/>
  <c r="L50" i="25"/>
  <c r="AA44" i="19"/>
  <c r="BK44" i="19"/>
  <c r="BE45" i="25" s="1"/>
  <c r="Q45" i="25" s="1"/>
  <c r="Y45" i="19" s="1"/>
  <c r="AM45" i="25"/>
  <c r="BC45" i="20" s="1"/>
  <c r="BX45" i="19"/>
  <c r="BD46" i="25" s="1"/>
  <c r="BW49" i="19"/>
  <c r="AO45" i="25"/>
  <c r="AN45" i="25"/>
  <c r="BB49" i="25"/>
  <c r="BJ49" i="19"/>
  <c r="BA50" i="25"/>
  <c r="Y122" i="22"/>
  <c r="AP70" i="20"/>
  <c r="AG70" i="20" s="1"/>
  <c r="S63" i="20"/>
  <c r="CD63" i="20" s="1"/>
  <c r="R63" i="20"/>
  <c r="CC63" i="20" s="1"/>
  <c r="Q63" i="20"/>
  <c r="CB63" i="20" s="1"/>
  <c r="P64" i="20"/>
  <c r="CA64" i="20" s="1"/>
  <c r="K44" i="20"/>
  <c r="BV44" i="20" s="1"/>
  <c r="AN74" i="20"/>
  <c r="AE74" i="20" s="1"/>
  <c r="L74" i="20"/>
  <c r="BW74" i="20" s="1"/>
  <c r="N75" i="20"/>
  <c r="BY75" i="20" s="1"/>
  <c r="Z45" i="19" l="1"/>
  <c r="AL46" i="25"/>
  <c r="BF46" i="25" s="1"/>
  <c r="P46" i="25"/>
  <c r="N49" i="25"/>
  <c r="AH50" i="25" s="1"/>
  <c r="BA50" i="20" s="1"/>
  <c r="CA45" i="19"/>
  <c r="BH45" i="25"/>
  <c r="BI50" i="19"/>
  <c r="V50" i="19"/>
  <c r="AF51" i="25"/>
  <c r="M50" i="25"/>
  <c r="W50" i="19" s="1"/>
  <c r="BI45" i="25"/>
  <c r="U45" i="25" s="1"/>
  <c r="AK46" i="25"/>
  <c r="BB46" i="20" s="1"/>
  <c r="BV50" i="19"/>
  <c r="Y123" i="22"/>
  <c r="O71" i="20"/>
  <c r="BZ71" i="20" s="1"/>
  <c r="AL44" i="20"/>
  <c r="BM44" i="19" s="1"/>
  <c r="BG45" i="25" s="1"/>
  <c r="AQ64" i="20"/>
  <c r="AH64" i="20" s="1"/>
  <c r="AR63" i="20"/>
  <c r="AI63" i="20" s="1"/>
  <c r="AS63" i="20"/>
  <c r="AJ63" i="20" s="1"/>
  <c r="AT63" i="20"/>
  <c r="AK63" i="20" s="1"/>
  <c r="AM74" i="20"/>
  <c r="AD74" i="20" s="1"/>
  <c r="L75" i="20" s="1"/>
  <c r="BW75" i="20" s="1"/>
  <c r="AO75" i="20"/>
  <c r="AF75" i="20" s="1"/>
  <c r="M75" i="20"/>
  <c r="BX75" i="20" s="1"/>
  <c r="S45" i="25" l="1"/>
  <c r="BW50" i="19"/>
  <c r="R46" i="25"/>
  <c r="Z46" i="19" s="1"/>
  <c r="AZ51" i="25"/>
  <c r="X46" i="19"/>
  <c r="AJ47" i="25"/>
  <c r="BX46" i="19"/>
  <c r="T45" i="25"/>
  <c r="AN46" i="25" s="1"/>
  <c r="BH46" i="25" s="1"/>
  <c r="AG51" i="25"/>
  <c r="AZ51" i="20" s="1"/>
  <c r="BJ50" i="19"/>
  <c r="BY46" i="19"/>
  <c r="Y124" i="22"/>
  <c r="AP71" i="20"/>
  <c r="AG71" i="20" s="1"/>
  <c r="O72" i="20" s="1"/>
  <c r="BZ72" i="20" s="1"/>
  <c r="Q64" i="20"/>
  <c r="CB64" i="20" s="1"/>
  <c r="AC44" i="20"/>
  <c r="S64" i="20"/>
  <c r="CD64" i="20" s="1"/>
  <c r="R64" i="20"/>
  <c r="CC64" i="20" s="1"/>
  <c r="P65" i="20"/>
  <c r="CA65" i="20" s="1"/>
  <c r="AM75" i="20"/>
  <c r="AD75" i="20" s="1"/>
  <c r="AN75" i="20"/>
  <c r="AE75" i="20" s="1"/>
  <c r="N76" i="20"/>
  <c r="BY76" i="20" s="1"/>
  <c r="L51" i="25" l="1"/>
  <c r="BK45" i="19"/>
  <c r="BE46" i="25" s="1"/>
  <c r="Q46" i="25" s="1"/>
  <c r="AA45" i="19"/>
  <c r="AM46" i="25"/>
  <c r="BC46" i="20" s="1"/>
  <c r="BV51" i="19"/>
  <c r="BA51" i="25"/>
  <c r="M51" i="25" s="1"/>
  <c r="W51" i="19" s="1"/>
  <c r="CA46" i="19"/>
  <c r="T46" i="25"/>
  <c r="BC48" i="25"/>
  <c r="BD47" i="25"/>
  <c r="P47" i="25" s="1"/>
  <c r="AO46" i="25"/>
  <c r="Y125" i="22"/>
  <c r="AQ65" i="20"/>
  <c r="AH65" i="20" s="1"/>
  <c r="AS64" i="20"/>
  <c r="AJ64" i="20" s="1"/>
  <c r="AR64" i="20"/>
  <c r="AI64" i="20" s="1"/>
  <c r="K45" i="20"/>
  <c r="BV45" i="20" s="1"/>
  <c r="AT64" i="20"/>
  <c r="AK64" i="20" s="1"/>
  <c r="AP72" i="20"/>
  <c r="AG72" i="20" s="1"/>
  <c r="M76" i="20"/>
  <c r="BX76" i="20" s="1"/>
  <c r="AO76" i="20"/>
  <c r="AF76" i="20" s="1"/>
  <c r="N77" i="20" s="1"/>
  <c r="BY77" i="20" s="1"/>
  <c r="L76" i="20"/>
  <c r="BW76" i="20" s="1"/>
  <c r="X47" i="19" l="1"/>
  <c r="AJ48" i="25"/>
  <c r="Y46" i="19"/>
  <c r="AL47" i="25"/>
  <c r="AK47" i="25"/>
  <c r="BB47" i="20" s="1"/>
  <c r="BI46" i="25"/>
  <c r="BJ51" i="19"/>
  <c r="BI51" i="19"/>
  <c r="V51" i="19"/>
  <c r="AF52" i="25"/>
  <c r="AG52" i="25"/>
  <c r="AZ52" i="20" s="1"/>
  <c r="O48" i="25"/>
  <c r="AI49" i="25" s="1"/>
  <c r="Y126" i="22"/>
  <c r="S65" i="20"/>
  <c r="CD65" i="20" s="1"/>
  <c r="Q65" i="20"/>
  <c r="CB65" i="20" s="1"/>
  <c r="P66" i="20"/>
  <c r="CA66" i="20" s="1"/>
  <c r="R65" i="20"/>
  <c r="CC65" i="20" s="1"/>
  <c r="O73" i="20"/>
  <c r="BZ73" i="20" s="1"/>
  <c r="AL45" i="20"/>
  <c r="BM45" i="19" s="1"/>
  <c r="BG46" i="25" s="1"/>
  <c r="AM76" i="20"/>
  <c r="AD76" i="20" s="1"/>
  <c r="AN76" i="20"/>
  <c r="AE76" i="20" s="1"/>
  <c r="AO77" i="20"/>
  <c r="AF77" i="20" s="1"/>
  <c r="S46" i="25" l="1"/>
  <c r="BV52" i="19"/>
  <c r="BY47" i="19"/>
  <c r="BF47" i="25"/>
  <c r="AZ52" i="25"/>
  <c r="U46" i="25"/>
  <c r="AO47" i="25" s="1"/>
  <c r="BI47" i="25" s="1"/>
  <c r="BB50" i="25"/>
  <c r="BC49" i="25"/>
  <c r="BX47" i="19"/>
  <c r="BD48" i="25" s="1"/>
  <c r="P48" i="25" s="1"/>
  <c r="X48" i="19" s="1"/>
  <c r="Y127" i="22"/>
  <c r="AR65" i="20"/>
  <c r="AI65" i="20" s="1"/>
  <c r="AS65" i="20"/>
  <c r="AJ65" i="20" s="1"/>
  <c r="AQ66" i="20"/>
  <c r="AH66" i="20" s="1"/>
  <c r="AP73" i="20"/>
  <c r="AG73" i="20" s="1"/>
  <c r="AT65" i="20"/>
  <c r="AK65" i="20" s="1"/>
  <c r="AC45" i="20"/>
  <c r="N78" i="20"/>
  <c r="BY78" i="20" s="1"/>
  <c r="M77" i="20"/>
  <c r="BX77" i="20" s="1"/>
  <c r="L77" i="20"/>
  <c r="BW77" i="20" s="1"/>
  <c r="AJ49" i="25" l="1"/>
  <c r="N50" i="25"/>
  <c r="L52" i="25"/>
  <c r="O49" i="25"/>
  <c r="AI50" i="25" s="1"/>
  <c r="R47" i="25"/>
  <c r="AA46" i="19"/>
  <c r="BK46" i="19"/>
  <c r="BE47" i="25" s="1"/>
  <c r="Q47" i="25" s="1"/>
  <c r="AN47" i="25"/>
  <c r="AM47" i="25"/>
  <c r="BC47" i="20" s="1"/>
  <c r="U47" i="25"/>
  <c r="Y128" i="22"/>
  <c r="S66" i="20"/>
  <c r="CD66" i="20" s="1"/>
  <c r="O74" i="20"/>
  <c r="BZ74" i="20" s="1"/>
  <c r="K46" i="20"/>
  <c r="BV46" i="20" s="1"/>
  <c r="P67" i="20"/>
  <c r="CA67" i="20" s="1"/>
  <c r="R66" i="20"/>
  <c r="CC66" i="20" s="1"/>
  <c r="Q66" i="20"/>
  <c r="CB66" i="20" s="1"/>
  <c r="AM77" i="20"/>
  <c r="AD77" i="20" s="1"/>
  <c r="AN77" i="20"/>
  <c r="AE77" i="20" s="1"/>
  <c r="M78" i="20" s="1"/>
  <c r="BX78" i="20" s="1"/>
  <c r="AO78" i="20"/>
  <c r="AF78" i="20" s="1"/>
  <c r="BC50" i="25" l="1"/>
  <c r="O50" i="25" s="1"/>
  <c r="AI51" i="25" s="1"/>
  <c r="Y47" i="19"/>
  <c r="AK48" i="25"/>
  <c r="BB48" i="20" s="1"/>
  <c r="BI52" i="19"/>
  <c r="V52" i="19"/>
  <c r="AF53" i="25"/>
  <c r="CA47" i="19"/>
  <c r="BH47" i="25"/>
  <c r="Z47" i="19"/>
  <c r="AL48" i="25"/>
  <c r="AH51" i="25"/>
  <c r="BA51" i="20" s="1"/>
  <c r="Y129" i="22"/>
  <c r="AQ67" i="20"/>
  <c r="AH67" i="20" s="1"/>
  <c r="AT66" i="20"/>
  <c r="AK66" i="20" s="1"/>
  <c r="AR66" i="20"/>
  <c r="AI66" i="20" s="1"/>
  <c r="AS66" i="20"/>
  <c r="AJ66" i="20" s="1"/>
  <c r="AL46" i="20"/>
  <c r="BM46" i="19" s="1"/>
  <c r="BG47" i="25" s="1"/>
  <c r="AP74" i="20"/>
  <c r="AG74" i="20" s="1"/>
  <c r="AN78" i="20"/>
  <c r="AE78" i="20" s="1"/>
  <c r="L78" i="20"/>
  <c r="BW78" i="20" s="1"/>
  <c r="N79" i="20"/>
  <c r="BY79" i="20" s="1"/>
  <c r="AZ53" i="25" l="1"/>
  <c r="BW51" i="19"/>
  <c r="BA52" i="25" s="1"/>
  <c r="BB51" i="25"/>
  <c r="N51" i="25" s="1"/>
  <c r="AH52" i="25" s="1"/>
  <c r="BA52" i="20" s="1"/>
  <c r="BY48" i="19"/>
  <c r="BF48" i="25"/>
  <c r="T47" i="25"/>
  <c r="S47" i="25"/>
  <c r="BX48" i="19"/>
  <c r="BD49" i="25" s="1"/>
  <c r="P49" i="25" s="1"/>
  <c r="Y130" i="22"/>
  <c r="P68" i="20"/>
  <c r="CA68" i="20" s="1"/>
  <c r="R67" i="20"/>
  <c r="CC67" i="20" s="1"/>
  <c r="O75" i="20"/>
  <c r="BZ75" i="20" s="1"/>
  <c r="S67" i="20"/>
  <c r="CD67" i="20" s="1"/>
  <c r="AC46" i="20"/>
  <c r="Q67" i="20"/>
  <c r="CB67" i="20" s="1"/>
  <c r="AM78" i="20"/>
  <c r="AD78" i="20" s="1"/>
  <c r="L79" i="20" s="1"/>
  <c r="BW79" i="20" s="1"/>
  <c r="AO79" i="20"/>
  <c r="AF79" i="20" s="1"/>
  <c r="M79" i="20"/>
  <c r="BX79" i="20" s="1"/>
  <c r="BW52" i="19" l="1"/>
  <c r="R48" i="25"/>
  <c r="AA47" i="19"/>
  <c r="BK47" i="19"/>
  <c r="BE48" i="25" s="1"/>
  <c r="AM48" i="25"/>
  <c r="BC48" i="20" s="1"/>
  <c r="M52" i="25"/>
  <c r="BJ52" i="19" s="1"/>
  <c r="AN48" i="25"/>
  <c r="AO48" i="25"/>
  <c r="BB52" i="25"/>
  <c r="L53" i="25"/>
  <c r="X49" i="19"/>
  <c r="AJ50" i="25"/>
  <c r="Y131" i="22"/>
  <c r="AT67" i="20"/>
  <c r="AK67" i="20" s="1"/>
  <c r="AP75" i="20"/>
  <c r="AG75" i="20" s="1"/>
  <c r="O76" i="20" s="1"/>
  <c r="BZ76" i="20" s="1"/>
  <c r="K47" i="20"/>
  <c r="BV47" i="20" s="1"/>
  <c r="AR67" i="20"/>
  <c r="AI67" i="20" s="1"/>
  <c r="AS67" i="20"/>
  <c r="AJ67" i="20" s="1"/>
  <c r="AQ68" i="20"/>
  <c r="AH68" i="20" s="1"/>
  <c r="AN79" i="20"/>
  <c r="AE79" i="20" s="1"/>
  <c r="AM79" i="20"/>
  <c r="AD79" i="20" s="1"/>
  <c r="N80" i="20"/>
  <c r="BY80" i="20" s="1"/>
  <c r="BI48" i="25" l="1"/>
  <c r="CA48" i="19"/>
  <c r="BH48" i="25"/>
  <c r="V53" i="19"/>
  <c r="BI53" i="19"/>
  <c r="AF54" i="25"/>
  <c r="W52" i="19"/>
  <c r="AG53" i="25"/>
  <c r="AZ53" i="20" s="1"/>
  <c r="Q48" i="25"/>
  <c r="Z48" i="19"/>
  <c r="BC51" i="25"/>
  <c r="N52" i="25"/>
  <c r="AH53" i="25" s="1"/>
  <c r="BA53" i="20" s="1"/>
  <c r="Y132" i="22"/>
  <c r="R68" i="20"/>
  <c r="CC68" i="20" s="1"/>
  <c r="AP76" i="20"/>
  <c r="AG76" i="20" s="1"/>
  <c r="S68" i="20"/>
  <c r="CD68" i="20" s="1"/>
  <c r="AL47" i="20"/>
  <c r="BM47" i="19" s="1"/>
  <c r="BG48" i="25" s="1"/>
  <c r="P69" i="20"/>
  <c r="CA69" i="20" s="1"/>
  <c r="Q68" i="20"/>
  <c r="CB68" i="20" s="1"/>
  <c r="AO80" i="20"/>
  <c r="AF80" i="20" s="1"/>
  <c r="N81" i="20" s="1"/>
  <c r="BY81" i="20" s="1"/>
  <c r="L80" i="20"/>
  <c r="BW80" i="20" s="1"/>
  <c r="M80" i="20"/>
  <c r="BX80" i="20" s="1"/>
  <c r="S48" i="25" l="1"/>
  <c r="BV53" i="19"/>
  <c r="AZ54" i="25" s="1"/>
  <c r="L54" i="25" s="1"/>
  <c r="BA53" i="25"/>
  <c r="M53" i="25" s="1"/>
  <c r="BW53" i="19"/>
  <c r="O51" i="25"/>
  <c r="AI52" i="25" s="1"/>
  <c r="Y48" i="19"/>
  <c r="AK49" i="25"/>
  <c r="BB49" i="20" s="1"/>
  <c r="T48" i="25"/>
  <c r="AL49" i="25"/>
  <c r="U48" i="25"/>
  <c r="Y133" i="22"/>
  <c r="AC47" i="20"/>
  <c r="AT68" i="20"/>
  <c r="AK68" i="20" s="1"/>
  <c r="AR68" i="20"/>
  <c r="AI68" i="20" s="1"/>
  <c r="AQ69" i="20"/>
  <c r="AH69" i="20" s="1"/>
  <c r="O77" i="20"/>
  <c r="BZ77" i="20" s="1"/>
  <c r="AS68" i="20"/>
  <c r="AJ68" i="20" s="1"/>
  <c r="AN80" i="20"/>
  <c r="AE80" i="20" s="1"/>
  <c r="AO81" i="20"/>
  <c r="AF81" i="20" s="1"/>
  <c r="AM80" i="20"/>
  <c r="AD80" i="20" s="1"/>
  <c r="AO49" i="25" l="1"/>
  <c r="BI49" i="25" s="1"/>
  <c r="AF55" i="25"/>
  <c r="V54" i="19"/>
  <c r="BI54" i="19"/>
  <c r="W53" i="19"/>
  <c r="AG54" i="25"/>
  <c r="AZ54" i="20" s="1"/>
  <c r="BB53" i="25"/>
  <c r="BX49" i="19"/>
  <c r="BD50" i="25" s="1"/>
  <c r="P50" i="25" s="1"/>
  <c r="BK48" i="19"/>
  <c r="BE49" i="25" s="1"/>
  <c r="AA48" i="19"/>
  <c r="AM49" i="25"/>
  <c r="BC49" i="20" s="1"/>
  <c r="AN49" i="25"/>
  <c r="BY49" i="19"/>
  <c r="BF49" i="25"/>
  <c r="BJ53" i="19"/>
  <c r="U49" i="25"/>
  <c r="Y134" i="22"/>
  <c r="R69" i="20"/>
  <c r="CC69" i="20" s="1"/>
  <c r="S69" i="20"/>
  <c r="CD69" i="20" s="1"/>
  <c r="P70" i="20"/>
  <c r="CA70" i="20" s="1"/>
  <c r="AP77" i="20"/>
  <c r="AG77" i="20" s="1"/>
  <c r="Q69" i="20"/>
  <c r="CB69" i="20" s="1"/>
  <c r="K48" i="20"/>
  <c r="BV48" i="20" s="1"/>
  <c r="N82" i="20"/>
  <c r="BY82" i="20" s="1"/>
  <c r="L81" i="20"/>
  <c r="BW81" i="20" s="1"/>
  <c r="M81" i="20"/>
  <c r="BX81" i="20" s="1"/>
  <c r="Q49" i="25" l="1"/>
  <c r="X50" i="19"/>
  <c r="AJ51" i="25"/>
  <c r="BV54" i="19"/>
  <c r="AZ55" i="25" s="1"/>
  <c r="L55" i="25" s="1"/>
  <c r="AF56" i="25" s="1"/>
  <c r="CA49" i="19"/>
  <c r="BH49" i="25"/>
  <c r="N53" i="25"/>
  <c r="AH54" i="25" s="1"/>
  <c r="BA54" i="20" s="1"/>
  <c r="R49" i="25"/>
  <c r="BA54" i="25"/>
  <c r="Y135" i="22"/>
  <c r="O78" i="20"/>
  <c r="BZ78" i="20" s="1"/>
  <c r="AQ70" i="20"/>
  <c r="AH70" i="20" s="1"/>
  <c r="AS69" i="20"/>
  <c r="AJ69" i="20" s="1"/>
  <c r="AL48" i="20"/>
  <c r="BM48" i="19" s="1"/>
  <c r="BG49" i="25" s="1"/>
  <c r="AR69" i="20"/>
  <c r="AI69" i="20" s="1"/>
  <c r="AT69" i="20"/>
  <c r="AK69" i="20" s="1"/>
  <c r="AN81" i="20"/>
  <c r="AE81" i="20" s="1"/>
  <c r="M82" i="20" s="1"/>
  <c r="BX82" i="20" s="1"/>
  <c r="AO82" i="20"/>
  <c r="AF82" i="20" s="1"/>
  <c r="AM81" i="20"/>
  <c r="AD81" i="20" s="1"/>
  <c r="S49" i="25" l="1"/>
  <c r="BI55" i="19"/>
  <c r="V55" i="19"/>
  <c r="BW54" i="19"/>
  <c r="BC52" i="25"/>
  <c r="O52" i="25" s="1"/>
  <c r="AI53" i="25" s="1"/>
  <c r="M54" i="25"/>
  <c r="BJ54" i="19" s="1"/>
  <c r="Z49" i="19"/>
  <c r="AL50" i="25"/>
  <c r="T49" i="25"/>
  <c r="Y49" i="19"/>
  <c r="AK50" i="25"/>
  <c r="BB50" i="20" s="1"/>
  <c r="Y136" i="22"/>
  <c r="AC48" i="20"/>
  <c r="R70" i="20"/>
  <c r="CC70" i="20" s="1"/>
  <c r="P71" i="20"/>
  <c r="CA71" i="20" s="1"/>
  <c r="S70" i="20"/>
  <c r="CD70" i="20" s="1"/>
  <c r="Q70" i="20"/>
  <c r="CB70" i="20" s="1"/>
  <c r="AP78" i="20"/>
  <c r="AG78" i="20" s="1"/>
  <c r="N83" i="20"/>
  <c r="BY83" i="20" s="1"/>
  <c r="L82" i="20"/>
  <c r="BW82" i="20" s="1"/>
  <c r="AN82" i="20"/>
  <c r="AE82" i="20" s="1"/>
  <c r="AN50" i="25" l="1"/>
  <c r="AO50" i="25"/>
  <c r="BK49" i="19"/>
  <c r="AA49" i="19"/>
  <c r="AM50" i="25"/>
  <c r="BC50" i="20" s="1"/>
  <c r="BY50" i="19"/>
  <c r="BF50" i="25"/>
  <c r="R50" i="25" s="1"/>
  <c r="W54" i="19"/>
  <c r="AG55" i="25"/>
  <c r="AZ55" i="20" s="1"/>
  <c r="BB54" i="25"/>
  <c r="N54" i="25" s="1"/>
  <c r="BX50" i="19"/>
  <c r="BD51" i="25" s="1"/>
  <c r="P51" i="25" s="1"/>
  <c r="BE50" i="25"/>
  <c r="Q50" i="25" s="1"/>
  <c r="Y50" i="19" s="1"/>
  <c r="Y137" i="22"/>
  <c r="AT70" i="20"/>
  <c r="AK70" i="20" s="1"/>
  <c r="AS70" i="20"/>
  <c r="AJ70" i="20" s="1"/>
  <c r="O79" i="20"/>
  <c r="BZ79" i="20" s="1"/>
  <c r="AR70" i="20"/>
  <c r="AI70" i="20" s="1"/>
  <c r="AQ71" i="20"/>
  <c r="AH71" i="20" s="1"/>
  <c r="K49" i="20"/>
  <c r="BV49" i="20" s="1"/>
  <c r="M83" i="20"/>
  <c r="BX83" i="20" s="1"/>
  <c r="AM82" i="20"/>
  <c r="AD82" i="20" s="1"/>
  <c r="L83" i="20" s="1"/>
  <c r="BW83" i="20" s="1"/>
  <c r="AO83" i="20"/>
  <c r="AF83" i="20" s="1"/>
  <c r="Z50" i="19" l="1"/>
  <c r="AL51" i="25"/>
  <c r="BF51" i="25" s="1"/>
  <c r="CA50" i="19"/>
  <c r="BH50" i="25"/>
  <c r="AH55" i="25"/>
  <c r="BA55" i="20" s="1"/>
  <c r="BV55" i="19"/>
  <c r="AZ56" i="25" s="1"/>
  <c r="L56" i="25" s="1"/>
  <c r="BA55" i="25"/>
  <c r="M55" i="25" s="1"/>
  <c r="AK51" i="25"/>
  <c r="BB51" i="20" s="1"/>
  <c r="BI50" i="25"/>
  <c r="X51" i="19"/>
  <c r="AJ52" i="25"/>
  <c r="Y138" i="22"/>
  <c r="AL49" i="20"/>
  <c r="BM49" i="19" s="1"/>
  <c r="BG50" i="25" s="1"/>
  <c r="Q71" i="20"/>
  <c r="CB71" i="20" s="1"/>
  <c r="R71" i="20"/>
  <c r="CC71" i="20" s="1"/>
  <c r="P72" i="20"/>
  <c r="CA72" i="20" s="1"/>
  <c r="AP79" i="20"/>
  <c r="AG79" i="20" s="1"/>
  <c r="O80" i="20" s="1"/>
  <c r="BZ80" i="20" s="1"/>
  <c r="S71" i="20"/>
  <c r="CD71" i="20" s="1"/>
  <c r="AN83" i="20"/>
  <c r="AE83" i="20" s="1"/>
  <c r="N84" i="20"/>
  <c r="BY84" i="20" s="1"/>
  <c r="AM83" i="20"/>
  <c r="AD83" i="20" s="1"/>
  <c r="W55" i="19" l="1"/>
  <c r="AG56" i="25"/>
  <c r="AZ56" i="20" s="1"/>
  <c r="S50" i="25"/>
  <c r="U50" i="25"/>
  <c r="R51" i="25"/>
  <c r="Z51" i="19" s="1"/>
  <c r="T50" i="25"/>
  <c r="BX51" i="19"/>
  <c r="BD52" i="25" s="1"/>
  <c r="P52" i="25" s="1"/>
  <c r="X52" i="19" s="1"/>
  <c r="BI56" i="19"/>
  <c r="V56" i="19"/>
  <c r="AF57" i="25"/>
  <c r="BC53" i="25"/>
  <c r="BJ55" i="19"/>
  <c r="BW55" i="19"/>
  <c r="BA56" i="25" s="1"/>
  <c r="BY51" i="19"/>
  <c r="Y139" i="22"/>
  <c r="AP80" i="20"/>
  <c r="AG80" i="20" s="1"/>
  <c r="AS71" i="20"/>
  <c r="AJ71" i="20" s="1"/>
  <c r="AR71" i="20"/>
  <c r="AI71" i="20" s="1"/>
  <c r="AQ72" i="20"/>
  <c r="AH72" i="20" s="1"/>
  <c r="AT71" i="20"/>
  <c r="AK71" i="20" s="1"/>
  <c r="AC49" i="20"/>
  <c r="AO84" i="20"/>
  <c r="AF84" i="20" s="1"/>
  <c r="N85" i="20" s="1"/>
  <c r="BY85" i="20" s="1"/>
  <c r="L84" i="20"/>
  <c r="BW84" i="20" s="1"/>
  <c r="M84" i="20"/>
  <c r="BX84" i="20" s="1"/>
  <c r="AO51" i="25" l="1"/>
  <c r="BI51" i="25" s="1"/>
  <c r="AN51" i="25"/>
  <c r="AA50" i="19"/>
  <c r="BK50" i="19"/>
  <c r="BE51" i="25" s="1"/>
  <c r="AM51" i="25"/>
  <c r="BC51" i="20" s="1"/>
  <c r="O53" i="25"/>
  <c r="AI54" i="25" s="1"/>
  <c r="BV56" i="19"/>
  <c r="AZ57" i="25" s="1"/>
  <c r="L57" i="25" s="1"/>
  <c r="M56" i="25"/>
  <c r="W56" i="19" s="1"/>
  <c r="AJ53" i="25"/>
  <c r="Y140" i="22"/>
  <c r="O81" i="20"/>
  <c r="BZ81" i="20" s="1"/>
  <c r="S72" i="20"/>
  <c r="CD72" i="20" s="1"/>
  <c r="Q72" i="20"/>
  <c r="CB72" i="20" s="1"/>
  <c r="P73" i="20"/>
  <c r="CA73" i="20" s="1"/>
  <c r="R72" i="20"/>
  <c r="CC72" i="20" s="1"/>
  <c r="K50" i="20"/>
  <c r="BV50" i="20" s="1"/>
  <c r="AO85" i="20"/>
  <c r="AF85" i="20" s="1"/>
  <c r="AM84" i="20"/>
  <c r="AD84" i="20" s="1"/>
  <c r="AN84" i="20"/>
  <c r="AE84" i="20" s="1"/>
  <c r="BJ56" i="19" l="1"/>
  <c r="AG57" i="25"/>
  <c r="AZ57" i="20" s="1"/>
  <c r="V57" i="19"/>
  <c r="BI57" i="19"/>
  <c r="AF58" i="25"/>
  <c r="CA51" i="19"/>
  <c r="BH51" i="25"/>
  <c r="Q51" i="25"/>
  <c r="BB55" i="25"/>
  <c r="BC54" i="25"/>
  <c r="O54" i="25" s="1"/>
  <c r="AI55" i="25" s="1"/>
  <c r="U51" i="25"/>
  <c r="Y141" i="22"/>
  <c r="AS72" i="20"/>
  <c r="AJ72" i="20" s="1"/>
  <c r="AQ73" i="20"/>
  <c r="AH73" i="20" s="1"/>
  <c r="AT72" i="20"/>
  <c r="AK72" i="20" s="1"/>
  <c r="AP81" i="20"/>
  <c r="AG81" i="20" s="1"/>
  <c r="AL50" i="20"/>
  <c r="BM50" i="19" s="1"/>
  <c r="BG51" i="25" s="1"/>
  <c r="AR72" i="20"/>
  <c r="AI72" i="20" s="1"/>
  <c r="L85" i="20"/>
  <c r="BW85" i="20" s="1"/>
  <c r="M85" i="20"/>
  <c r="BX85" i="20" s="1"/>
  <c r="N86" i="20"/>
  <c r="BY86" i="20" s="1"/>
  <c r="BV57" i="19" l="1"/>
  <c r="S51" i="25"/>
  <c r="N55" i="25"/>
  <c r="T51" i="25"/>
  <c r="AO52" i="25" s="1"/>
  <c r="AZ58" i="25"/>
  <c r="L58" i="25" s="1"/>
  <c r="Y51" i="19"/>
  <c r="AK52" i="25"/>
  <c r="BB52" i="20" s="1"/>
  <c r="AL52" i="25"/>
  <c r="Y142" i="22"/>
  <c r="O82" i="20"/>
  <c r="BZ82" i="20" s="1"/>
  <c r="R73" i="20"/>
  <c r="CC73" i="20" s="1"/>
  <c r="Q73" i="20"/>
  <c r="CB73" i="20" s="1"/>
  <c r="AC50" i="20"/>
  <c r="S73" i="20"/>
  <c r="CD73" i="20" s="1"/>
  <c r="P74" i="20"/>
  <c r="CA74" i="20" s="1"/>
  <c r="AM85" i="20"/>
  <c r="AD85" i="20" s="1"/>
  <c r="AO86" i="20"/>
  <c r="AF86" i="20" s="1"/>
  <c r="AN85" i="20"/>
  <c r="AE85" i="20" s="1"/>
  <c r="M86" i="20" s="1"/>
  <c r="BX86" i="20" s="1"/>
  <c r="V58" i="19" l="1"/>
  <c r="BI58" i="19"/>
  <c r="AF59" i="25"/>
  <c r="BI52" i="25"/>
  <c r="U52" i="25" s="1"/>
  <c r="BX52" i="19"/>
  <c r="BD53" i="25" s="1"/>
  <c r="P53" i="25" s="1"/>
  <c r="AH56" i="25"/>
  <c r="BA56" i="20" s="1"/>
  <c r="BY52" i="19"/>
  <c r="BF52" i="25"/>
  <c r="AN52" i="25"/>
  <c r="BK51" i="19"/>
  <c r="BE52" i="25" s="1"/>
  <c r="AA51" i="19"/>
  <c r="AM52" i="25"/>
  <c r="BC52" i="20" s="1"/>
  <c r="Y143" i="22"/>
  <c r="AQ74" i="20"/>
  <c r="AH74" i="20" s="1"/>
  <c r="K51" i="20"/>
  <c r="BV51" i="20" s="1"/>
  <c r="AS73" i="20"/>
  <c r="AJ73" i="20" s="1"/>
  <c r="AT73" i="20"/>
  <c r="AK73" i="20" s="1"/>
  <c r="AR73" i="20"/>
  <c r="AI73" i="20" s="1"/>
  <c r="AP82" i="20"/>
  <c r="AG82" i="20" s="1"/>
  <c r="AN86" i="20"/>
  <c r="AE86" i="20" s="1"/>
  <c r="N87" i="20"/>
  <c r="BY87" i="20" s="1"/>
  <c r="L86" i="20"/>
  <c r="BW86" i="20" s="1"/>
  <c r="Q52" i="25" l="1"/>
  <c r="CA52" i="19"/>
  <c r="BH52" i="25"/>
  <c r="BW56" i="19"/>
  <c r="BA57" i="25" s="1"/>
  <c r="BB56" i="25"/>
  <c r="R52" i="25"/>
  <c r="Z52" i="19" s="1"/>
  <c r="X53" i="19"/>
  <c r="AJ54" i="25"/>
  <c r="Y144" i="22"/>
  <c r="R74" i="20"/>
  <c r="CC74" i="20" s="1"/>
  <c r="P75" i="20"/>
  <c r="CA75" i="20" s="1"/>
  <c r="O83" i="20"/>
  <c r="BZ83" i="20" s="1"/>
  <c r="AL51" i="20"/>
  <c r="BM51" i="19" s="1"/>
  <c r="BG52" i="25" s="1"/>
  <c r="S74" i="20"/>
  <c r="CD74" i="20" s="1"/>
  <c r="Q74" i="20"/>
  <c r="CB74" i="20" s="1"/>
  <c r="AM86" i="20"/>
  <c r="AD86" i="20" s="1"/>
  <c r="L87" i="20" s="1"/>
  <c r="BW87" i="20" s="1"/>
  <c r="AO87" i="20"/>
  <c r="AF87" i="20" s="1"/>
  <c r="M87" i="20"/>
  <c r="BX87" i="20" s="1"/>
  <c r="BC55" i="25" l="1"/>
  <c r="T52" i="25"/>
  <c r="M57" i="25"/>
  <c r="BJ57" i="19" s="1"/>
  <c r="N56" i="25"/>
  <c r="AH57" i="25" s="1"/>
  <c r="BA57" i="20" s="1"/>
  <c r="AL53" i="25"/>
  <c r="Y52" i="19"/>
  <c r="AK53" i="25"/>
  <c r="BB53" i="20" s="1"/>
  <c r="S52" i="25"/>
  <c r="Y145" i="22"/>
  <c r="AP83" i="20"/>
  <c r="AG83" i="20" s="1"/>
  <c r="O84" i="20" s="1"/>
  <c r="BZ84" i="20" s="1"/>
  <c r="AQ75" i="20"/>
  <c r="AH75" i="20" s="1"/>
  <c r="AS74" i="20"/>
  <c r="AJ74" i="20" s="1"/>
  <c r="AC51" i="20"/>
  <c r="AR74" i="20"/>
  <c r="AI74" i="20" s="1"/>
  <c r="AT74" i="20"/>
  <c r="AK74" i="20" s="1"/>
  <c r="AN87" i="20"/>
  <c r="AE87" i="20" s="1"/>
  <c r="AM87" i="20"/>
  <c r="AD87" i="20" s="1"/>
  <c r="N88" i="20"/>
  <c r="BY88" i="20" s="1"/>
  <c r="BX53" i="19" l="1"/>
  <c r="BD54" i="25" s="1"/>
  <c r="BW57" i="19"/>
  <c r="AO53" i="25"/>
  <c r="AN53" i="25"/>
  <c r="BY53" i="19"/>
  <c r="BF53" i="25"/>
  <c r="O55" i="25"/>
  <c r="AI56" i="25" s="1"/>
  <c r="AA52" i="19"/>
  <c r="BK52" i="19"/>
  <c r="BE53" i="25" s="1"/>
  <c r="AM53" i="25"/>
  <c r="BC53" i="20" s="1"/>
  <c r="W57" i="19"/>
  <c r="AG58" i="25"/>
  <c r="AZ58" i="20" s="1"/>
  <c r="Y146" i="22"/>
  <c r="Q75" i="20"/>
  <c r="CB75" i="20" s="1"/>
  <c r="K52" i="20"/>
  <c r="BV52" i="20" s="1"/>
  <c r="P76" i="20"/>
  <c r="CA76" i="20" s="1"/>
  <c r="S75" i="20"/>
  <c r="CD75" i="20" s="1"/>
  <c r="R75" i="20"/>
  <c r="CC75" i="20" s="1"/>
  <c r="AP84" i="20"/>
  <c r="AG84" i="20" s="1"/>
  <c r="AO88" i="20"/>
  <c r="AF88" i="20" s="1"/>
  <c r="N89" i="20" s="1"/>
  <c r="BY89" i="20" s="1"/>
  <c r="L88" i="20"/>
  <c r="BW88" i="20" s="1"/>
  <c r="M88" i="20"/>
  <c r="BX88" i="20" s="1"/>
  <c r="Q53" i="25" l="1"/>
  <c r="R53" i="25"/>
  <c r="BI53" i="25"/>
  <c r="U53" i="25" s="1"/>
  <c r="CA53" i="19"/>
  <c r="BH53" i="25"/>
  <c r="BB57" i="25"/>
  <c r="BV58" i="19"/>
  <c r="AZ59" i="25" s="1"/>
  <c r="BA58" i="25"/>
  <c r="P54" i="25"/>
  <c r="Y147" i="22"/>
  <c r="AL52" i="20"/>
  <c r="BM52" i="19" s="1"/>
  <c r="BG53" i="25" s="1"/>
  <c r="AR75" i="20"/>
  <c r="AI75" i="20" s="1"/>
  <c r="O85" i="20"/>
  <c r="BZ85" i="20" s="1"/>
  <c r="AS75" i="20"/>
  <c r="AJ75" i="20" s="1"/>
  <c r="AT75" i="20"/>
  <c r="AK75" i="20" s="1"/>
  <c r="AQ76" i="20"/>
  <c r="AH76" i="20" s="1"/>
  <c r="AO89" i="20"/>
  <c r="AF89" i="20" s="1"/>
  <c r="AN88" i="20"/>
  <c r="AE88" i="20" s="1"/>
  <c r="AM88" i="20"/>
  <c r="AD88" i="20" s="1"/>
  <c r="N57" i="25" l="1"/>
  <c r="AH58" i="25" s="1"/>
  <c r="BA58" i="20" s="1"/>
  <c r="X54" i="19"/>
  <c r="AJ55" i="25"/>
  <c r="M58" i="25"/>
  <c r="BJ58" i="19" s="1"/>
  <c r="T53" i="25"/>
  <c r="Z53" i="19"/>
  <c r="AL54" i="25"/>
  <c r="S53" i="25"/>
  <c r="L59" i="25"/>
  <c r="Y53" i="19"/>
  <c r="AK54" i="25"/>
  <c r="BB54" i="20" s="1"/>
  <c r="Y148" i="22"/>
  <c r="Q76" i="20"/>
  <c r="CB76" i="20" s="1"/>
  <c r="R76" i="20"/>
  <c r="CC76" i="20" s="1"/>
  <c r="AC52" i="20"/>
  <c r="P77" i="20"/>
  <c r="CA77" i="20" s="1"/>
  <c r="S76" i="20"/>
  <c r="CD76" i="20" s="1"/>
  <c r="AP85" i="20"/>
  <c r="AG85" i="20" s="1"/>
  <c r="M89" i="20"/>
  <c r="BX89" i="20" s="1"/>
  <c r="L89" i="20"/>
  <c r="BW89" i="20" s="1"/>
  <c r="N90" i="20"/>
  <c r="BY90" i="20" s="1"/>
  <c r="AN54" i="25" l="1"/>
  <c r="BH54" i="25" s="1"/>
  <c r="BK53" i="19"/>
  <c r="AA53" i="19"/>
  <c r="AM54" i="25"/>
  <c r="BC54" i="20" s="1"/>
  <c r="V59" i="19"/>
  <c r="BI59" i="19"/>
  <c r="AF60" i="25"/>
  <c r="BY54" i="19"/>
  <c r="BF54" i="25"/>
  <c r="BW58" i="19"/>
  <c r="BX54" i="19"/>
  <c r="BD55" i="25" s="1"/>
  <c r="P55" i="25" s="1"/>
  <c r="X55" i="19" s="1"/>
  <c r="BE54" i="25"/>
  <c r="Q54" i="25" s="1"/>
  <c r="W58" i="19"/>
  <c r="AG59" i="25"/>
  <c r="AZ59" i="20" s="1"/>
  <c r="CA54" i="19"/>
  <c r="BC56" i="25"/>
  <c r="AO54" i="25"/>
  <c r="Y149" i="22"/>
  <c r="AT76" i="20"/>
  <c r="AK76" i="20" s="1"/>
  <c r="K53" i="20"/>
  <c r="BV53" i="20" s="1"/>
  <c r="AR76" i="20"/>
  <c r="AI76" i="20" s="1"/>
  <c r="AS76" i="20"/>
  <c r="AJ76" i="20" s="1"/>
  <c r="O86" i="20"/>
  <c r="BZ86" i="20" s="1"/>
  <c r="AQ77" i="20"/>
  <c r="AH77" i="20" s="1"/>
  <c r="AO90" i="20"/>
  <c r="AF90" i="20" s="1"/>
  <c r="AN89" i="20"/>
  <c r="AE89" i="20" s="1"/>
  <c r="M90" i="20" s="1"/>
  <c r="BX90" i="20" s="1"/>
  <c r="AM89" i="20"/>
  <c r="AD89" i="20" s="1"/>
  <c r="Y54" i="19" l="1"/>
  <c r="AK55" i="25"/>
  <c r="BB55" i="20" s="1"/>
  <c r="BI54" i="25"/>
  <c r="T54" i="25"/>
  <c r="BA59" i="25"/>
  <c r="M59" i="25" s="1"/>
  <c r="BV59" i="19"/>
  <c r="AZ60" i="25" s="1"/>
  <c r="O56" i="25"/>
  <c r="AI57" i="25" s="1"/>
  <c r="AJ56" i="25"/>
  <c r="R54" i="25"/>
  <c r="Y150" i="22"/>
  <c r="S77" i="20"/>
  <c r="CD77" i="20" s="1"/>
  <c r="P78" i="20"/>
  <c r="CA78" i="20" s="1"/>
  <c r="AL53" i="20"/>
  <c r="BM53" i="19" s="1"/>
  <c r="BG54" i="25" s="1"/>
  <c r="AP86" i="20"/>
  <c r="AG86" i="20" s="1"/>
  <c r="R77" i="20"/>
  <c r="CC77" i="20" s="1"/>
  <c r="Q77" i="20"/>
  <c r="CB77" i="20" s="1"/>
  <c r="AN90" i="20"/>
  <c r="AE90" i="20" s="1"/>
  <c r="L90" i="20"/>
  <c r="BW90" i="20" s="1"/>
  <c r="N91" i="20"/>
  <c r="BY91" i="20" s="1"/>
  <c r="S54" i="25" l="1"/>
  <c r="AM55" i="25" s="1"/>
  <c r="BC55" i="20" s="1"/>
  <c r="W59" i="19"/>
  <c r="AG60" i="25"/>
  <c r="BB58" i="25"/>
  <c r="U54" i="25"/>
  <c r="AO55" i="25" s="1"/>
  <c r="BI55" i="25" s="1"/>
  <c r="Z54" i="19"/>
  <c r="AL55" i="25"/>
  <c r="AN55" i="25"/>
  <c r="BX55" i="19"/>
  <c r="BD56" i="25" s="1"/>
  <c r="BJ59" i="19"/>
  <c r="BC57" i="25"/>
  <c r="L60" i="25"/>
  <c r="Y151" i="22"/>
  <c r="AQ78" i="20"/>
  <c r="AH78" i="20" s="1"/>
  <c r="AT77" i="20"/>
  <c r="AK77" i="20" s="1"/>
  <c r="AS77" i="20"/>
  <c r="AJ77" i="20" s="1"/>
  <c r="AR77" i="20"/>
  <c r="AI77" i="20" s="1"/>
  <c r="O87" i="20"/>
  <c r="BZ87" i="20" s="1"/>
  <c r="AC53" i="20"/>
  <c r="AO91" i="20"/>
  <c r="AF91" i="20" s="1"/>
  <c r="AM90" i="20"/>
  <c r="AD90" i="20" s="1"/>
  <c r="L91" i="20" s="1"/>
  <c r="BW91" i="20" s="1"/>
  <c r="M91" i="20"/>
  <c r="BX91" i="20" s="1"/>
  <c r="BV60" i="19" l="1"/>
  <c r="AZ60" i="20"/>
  <c r="P56" i="25"/>
  <c r="O57" i="25"/>
  <c r="AI58" i="25" s="1"/>
  <c r="CA55" i="19"/>
  <c r="BH55" i="25"/>
  <c r="T55" i="25" s="1"/>
  <c r="N58" i="25"/>
  <c r="AH59" i="25" s="1"/>
  <c r="U55" i="25"/>
  <c r="BY55" i="19"/>
  <c r="BF55" i="25"/>
  <c r="BI60" i="19"/>
  <c r="V60" i="19"/>
  <c r="AF61" i="25"/>
  <c r="BK54" i="19"/>
  <c r="BE55" i="25" s="1"/>
  <c r="Q55" i="25" s="1"/>
  <c r="AA54" i="19"/>
  <c r="Y152" i="22"/>
  <c r="AP87" i="20"/>
  <c r="AG87" i="20" s="1"/>
  <c r="O88" i="20" s="1"/>
  <c r="BZ88" i="20" s="1"/>
  <c r="R78" i="20"/>
  <c r="CC78" i="20" s="1"/>
  <c r="K54" i="20"/>
  <c r="BV54" i="20" s="1"/>
  <c r="Q78" i="20"/>
  <c r="CB78" i="20" s="1"/>
  <c r="P79" i="20"/>
  <c r="CA79" i="20" s="1"/>
  <c r="S78" i="20"/>
  <c r="CD78" i="20" s="1"/>
  <c r="AM91" i="20"/>
  <c r="AD91" i="20" s="1"/>
  <c r="AN91" i="20"/>
  <c r="AE91" i="20" s="1"/>
  <c r="N92" i="20"/>
  <c r="BY92" i="20" s="1"/>
  <c r="BW59" i="19" l="1"/>
  <c r="BA60" i="25" s="1"/>
  <c r="BA59" i="20"/>
  <c r="BB59" i="25"/>
  <c r="N59" i="25" s="1"/>
  <c r="AH60" i="25" s="1"/>
  <c r="BA60" i="20" s="1"/>
  <c r="AO56" i="25"/>
  <c r="BI56" i="25" s="1"/>
  <c r="U56" i="25" s="1"/>
  <c r="AZ61" i="25"/>
  <c r="L61" i="25" s="1"/>
  <c r="R55" i="25"/>
  <c r="M60" i="25"/>
  <c r="BJ60" i="19" s="1"/>
  <c r="X56" i="19"/>
  <c r="AJ57" i="25"/>
  <c r="Y55" i="19"/>
  <c r="AK56" i="25"/>
  <c r="BB56" i="20" s="1"/>
  <c r="Y153" i="22"/>
  <c r="AQ79" i="20"/>
  <c r="AH79" i="20" s="1"/>
  <c r="AL54" i="20"/>
  <c r="BM54" i="19" s="1"/>
  <c r="BG55" i="25" s="1"/>
  <c r="AP88" i="20"/>
  <c r="AG88" i="20" s="1"/>
  <c r="AT78" i="20"/>
  <c r="AK78" i="20" s="1"/>
  <c r="AR78" i="20"/>
  <c r="AI78" i="20" s="1"/>
  <c r="AS78" i="20"/>
  <c r="AJ78" i="20" s="1"/>
  <c r="AO92" i="20"/>
  <c r="AF92" i="20" s="1"/>
  <c r="N93" i="20" s="1"/>
  <c r="BY93" i="20" s="1"/>
  <c r="M92" i="20"/>
  <c r="BX92" i="20" s="1"/>
  <c r="L92" i="20"/>
  <c r="BW92" i="20" s="1"/>
  <c r="V61" i="19" l="1"/>
  <c r="BI61" i="19"/>
  <c r="AF62" i="25"/>
  <c r="S55" i="25"/>
  <c r="BW60" i="19"/>
  <c r="BX56" i="19"/>
  <c r="BD57" i="25" s="1"/>
  <c r="W60" i="19"/>
  <c r="AG61" i="25"/>
  <c r="AZ61" i="20" s="1"/>
  <c r="BC58" i="25"/>
  <c r="O58" i="25" s="1"/>
  <c r="AI59" i="25" s="1"/>
  <c r="BB60" i="25" s="1"/>
  <c r="Z55" i="19"/>
  <c r="AL56" i="25"/>
  <c r="Y154" i="22"/>
  <c r="AC54" i="20"/>
  <c r="Q79" i="20"/>
  <c r="CB79" i="20" s="1"/>
  <c r="P80" i="20"/>
  <c r="CA80" i="20" s="1"/>
  <c r="O89" i="20"/>
  <c r="BZ89" i="20" s="1"/>
  <c r="R79" i="20"/>
  <c r="CC79" i="20" s="1"/>
  <c r="S79" i="20"/>
  <c r="CD79" i="20" s="1"/>
  <c r="AM92" i="20"/>
  <c r="AD92" i="20" s="1"/>
  <c r="AN92" i="20"/>
  <c r="AE92" i="20" s="1"/>
  <c r="AO93" i="20"/>
  <c r="AF93" i="20" s="1"/>
  <c r="BY56" i="19" l="1"/>
  <c r="BF56" i="25"/>
  <c r="P57" i="25"/>
  <c r="AA55" i="19"/>
  <c r="BK55" i="19"/>
  <c r="BE56" i="25" s="1"/>
  <c r="Q56" i="25" s="1"/>
  <c r="AM56" i="25"/>
  <c r="BC56" i="20" s="1"/>
  <c r="AN56" i="25"/>
  <c r="BV61" i="19"/>
  <c r="AZ62" i="25" s="1"/>
  <c r="BA61" i="25"/>
  <c r="N60" i="25"/>
  <c r="AH61" i="25" s="1"/>
  <c r="BA61" i="20" s="1"/>
  <c r="Y155" i="22"/>
  <c r="AT79" i="20"/>
  <c r="AK79" i="20" s="1"/>
  <c r="AS79" i="20"/>
  <c r="AJ79" i="20" s="1"/>
  <c r="K55" i="20"/>
  <c r="BV55" i="20" s="1"/>
  <c r="AQ80" i="20"/>
  <c r="AH80" i="20" s="1"/>
  <c r="AP89" i="20"/>
  <c r="AG89" i="20" s="1"/>
  <c r="AR79" i="20"/>
  <c r="AI79" i="20" s="1"/>
  <c r="M93" i="20"/>
  <c r="BX93" i="20" s="1"/>
  <c r="N94" i="20"/>
  <c r="BY94" i="20" s="1"/>
  <c r="L93" i="20"/>
  <c r="BW93" i="20" s="1"/>
  <c r="L62" i="25" l="1"/>
  <c r="R56" i="25"/>
  <c r="M61" i="25"/>
  <c r="BJ61" i="19" s="1"/>
  <c r="Y56" i="19"/>
  <c r="AK57" i="25"/>
  <c r="BB57" i="20" s="1"/>
  <c r="X57" i="19"/>
  <c r="AJ58" i="25"/>
  <c r="CA56" i="19"/>
  <c r="BH56" i="25"/>
  <c r="BW61" i="19"/>
  <c r="Y156" i="22"/>
  <c r="Q80" i="20"/>
  <c r="CB80" i="20" s="1"/>
  <c r="O90" i="20"/>
  <c r="BZ90" i="20" s="1"/>
  <c r="P81" i="20"/>
  <c r="CA81" i="20" s="1"/>
  <c r="R80" i="20"/>
  <c r="CC80" i="20" s="1"/>
  <c r="AL55" i="20"/>
  <c r="BM55" i="19" s="1"/>
  <c r="BG56" i="25" s="1"/>
  <c r="S80" i="20"/>
  <c r="CD80" i="20" s="1"/>
  <c r="AM93" i="20"/>
  <c r="AD93" i="20" s="1"/>
  <c r="AO94" i="20"/>
  <c r="AF94" i="20" s="1"/>
  <c r="AN93" i="20"/>
  <c r="AE93" i="20" s="1"/>
  <c r="M94" i="20" s="1"/>
  <c r="BX94" i="20" s="1"/>
  <c r="S56" i="25" l="1"/>
  <c r="Z56" i="19"/>
  <c r="AL57" i="25"/>
  <c r="T56" i="25"/>
  <c r="BX57" i="19"/>
  <c r="BD58" i="25" s="1"/>
  <c r="W61" i="19"/>
  <c r="AG62" i="25"/>
  <c r="AZ62" i="20" s="1"/>
  <c r="V62" i="19"/>
  <c r="BI62" i="19"/>
  <c r="AF63" i="25"/>
  <c r="BC59" i="25"/>
  <c r="Y157" i="22"/>
  <c r="AQ81" i="20"/>
  <c r="AH81" i="20" s="1"/>
  <c r="AP90" i="20"/>
  <c r="AG90" i="20" s="1"/>
  <c r="AR80" i="20"/>
  <c r="AI80" i="20" s="1"/>
  <c r="AT80" i="20"/>
  <c r="AK80" i="20" s="1"/>
  <c r="AS80" i="20"/>
  <c r="AJ80" i="20" s="1"/>
  <c r="AC55" i="20"/>
  <c r="L94" i="20"/>
  <c r="BW94" i="20" s="1"/>
  <c r="AN94" i="20"/>
  <c r="AE94" i="20" s="1"/>
  <c r="N95" i="20"/>
  <c r="BY95" i="20" s="1"/>
  <c r="BV62" i="19" l="1"/>
  <c r="AZ63" i="25" s="1"/>
  <c r="BA62" i="25"/>
  <c r="P58" i="25"/>
  <c r="O59" i="25"/>
  <c r="AI60" i="25" s="1"/>
  <c r="BB61" i="25" s="1"/>
  <c r="AO57" i="25"/>
  <c r="AN57" i="25"/>
  <c r="AA56" i="19"/>
  <c r="BK56" i="19"/>
  <c r="BE57" i="25" s="1"/>
  <c r="Q57" i="25" s="1"/>
  <c r="AM57" i="25"/>
  <c r="BC57" i="20" s="1"/>
  <c r="BY57" i="19"/>
  <c r="BF57" i="25"/>
  <c r="R57" i="25" s="1"/>
  <c r="Z57" i="19" s="1"/>
  <c r="Y158" i="22"/>
  <c r="S81" i="20"/>
  <c r="CD81" i="20" s="1"/>
  <c r="Q81" i="20"/>
  <c r="CB81" i="20" s="1"/>
  <c r="K56" i="20"/>
  <c r="BV56" i="20" s="1"/>
  <c r="R81" i="20"/>
  <c r="CC81" i="20" s="1"/>
  <c r="O91" i="20"/>
  <c r="BZ91" i="20" s="1"/>
  <c r="P82" i="20"/>
  <c r="CA82" i="20" s="1"/>
  <c r="M95" i="20"/>
  <c r="BX95" i="20" s="1"/>
  <c r="AO95" i="20"/>
  <c r="AF95" i="20" s="1"/>
  <c r="AM94" i="20"/>
  <c r="AD94" i="20" s="1"/>
  <c r="L95" i="20" s="1"/>
  <c r="BW95" i="20" s="1"/>
  <c r="AL58" i="25" l="1"/>
  <c r="BY58" i="19" s="1"/>
  <c r="BI57" i="25"/>
  <c r="X58" i="19"/>
  <c r="AJ59" i="25"/>
  <c r="N61" i="25"/>
  <c r="AH62" i="25" s="1"/>
  <c r="BA62" i="20" s="1"/>
  <c r="M62" i="25"/>
  <c r="L63" i="25"/>
  <c r="Y57" i="19"/>
  <c r="AK58" i="25"/>
  <c r="BB58" i="20" s="1"/>
  <c r="CA57" i="19"/>
  <c r="BH57" i="25"/>
  <c r="Y159" i="22"/>
  <c r="AP91" i="20"/>
  <c r="AG91" i="20" s="1"/>
  <c r="O92" i="20" s="1"/>
  <c r="BZ92" i="20" s="1"/>
  <c r="AT81" i="20"/>
  <c r="AK81" i="20" s="1"/>
  <c r="AQ82" i="20"/>
  <c r="AH82" i="20" s="1"/>
  <c r="AR81" i="20"/>
  <c r="AI81" i="20" s="1"/>
  <c r="AS81" i="20"/>
  <c r="AJ81" i="20" s="1"/>
  <c r="AL56" i="20"/>
  <c r="BM56" i="19" s="1"/>
  <c r="BG57" i="25" s="1"/>
  <c r="AM95" i="20"/>
  <c r="AD95" i="20" s="1"/>
  <c r="N96" i="20"/>
  <c r="BY96" i="20" s="1"/>
  <c r="AN95" i="20"/>
  <c r="AE95" i="20" s="1"/>
  <c r="BF58" i="25" l="1"/>
  <c r="R58" i="25" s="1"/>
  <c r="Z58" i="19" s="1"/>
  <c r="BX58" i="19"/>
  <c r="BD59" i="25" s="1"/>
  <c r="P59" i="25" s="1"/>
  <c r="BC60" i="25"/>
  <c r="T57" i="25"/>
  <c r="BW62" i="19"/>
  <c r="S57" i="25"/>
  <c r="BI63" i="19"/>
  <c r="V63" i="19"/>
  <c r="AF64" i="25"/>
  <c r="W62" i="19"/>
  <c r="AG63" i="25"/>
  <c r="AZ63" i="20" s="1"/>
  <c r="BJ62" i="19"/>
  <c r="U57" i="25"/>
  <c r="Y160" i="22"/>
  <c r="P83" i="20"/>
  <c r="CA83" i="20" s="1"/>
  <c r="AP92" i="20"/>
  <c r="AG92" i="20" s="1"/>
  <c r="R82" i="20"/>
  <c r="CC82" i="20" s="1"/>
  <c r="AC56" i="20"/>
  <c r="Q82" i="20"/>
  <c r="CB82" i="20" s="1"/>
  <c r="S82" i="20"/>
  <c r="CD82" i="20" s="1"/>
  <c r="L96" i="20"/>
  <c r="BW96" i="20" s="1"/>
  <c r="M96" i="20"/>
  <c r="BX96" i="20" s="1"/>
  <c r="AO96" i="20"/>
  <c r="AF96" i="20" s="1"/>
  <c r="N97" i="20" s="1"/>
  <c r="BY97" i="20" s="1"/>
  <c r="AO58" i="25" l="1"/>
  <c r="BI58" i="25" s="1"/>
  <c r="U58" i="25" s="1"/>
  <c r="X59" i="19"/>
  <c r="AJ60" i="25"/>
  <c r="BV63" i="19"/>
  <c r="AZ64" i="25" s="1"/>
  <c r="BA63" i="25"/>
  <c r="AN58" i="25"/>
  <c r="O60" i="25"/>
  <c r="AI61" i="25" s="1"/>
  <c r="AA57" i="19"/>
  <c r="BK57" i="19"/>
  <c r="BE58" i="25" s="1"/>
  <c r="Q58" i="25" s="1"/>
  <c r="AM58" i="25"/>
  <c r="BC58" i="20" s="1"/>
  <c r="Y161" i="22"/>
  <c r="AR82" i="20"/>
  <c r="AI82" i="20" s="1"/>
  <c r="K57" i="20"/>
  <c r="BV57" i="20" s="1"/>
  <c r="AS82" i="20"/>
  <c r="AJ82" i="20" s="1"/>
  <c r="O93" i="20"/>
  <c r="BZ93" i="20" s="1"/>
  <c r="AT82" i="20"/>
  <c r="AK82" i="20" s="1"/>
  <c r="AQ83" i="20"/>
  <c r="AH83" i="20" s="1"/>
  <c r="AN96" i="20"/>
  <c r="AE96" i="20" s="1"/>
  <c r="AO97" i="20"/>
  <c r="AF97" i="20" s="1"/>
  <c r="AM96" i="20"/>
  <c r="AD96" i="20" s="1"/>
  <c r="M63" i="25" l="1"/>
  <c r="BB62" i="25"/>
  <c r="L64" i="25"/>
  <c r="Y58" i="19"/>
  <c r="AK59" i="25"/>
  <c r="BB59" i="20" s="1"/>
  <c r="AL59" i="25"/>
  <c r="BC61" i="25"/>
  <c r="CA58" i="19"/>
  <c r="BH58" i="25"/>
  <c r="Y162" i="22"/>
  <c r="AL57" i="20"/>
  <c r="BM57" i="19" s="1"/>
  <c r="BG58" i="25" s="1"/>
  <c r="P84" i="20"/>
  <c r="CA84" i="20" s="1"/>
  <c r="AP93" i="20"/>
  <c r="AG93" i="20" s="1"/>
  <c r="S83" i="20"/>
  <c r="CD83" i="20" s="1"/>
  <c r="Q83" i="20"/>
  <c r="CB83" i="20" s="1"/>
  <c r="R83" i="20"/>
  <c r="CC83" i="20" s="1"/>
  <c r="L97" i="20"/>
  <c r="BW97" i="20" s="1"/>
  <c r="N98" i="20"/>
  <c r="BY98" i="20" s="1"/>
  <c r="M97" i="20"/>
  <c r="BX97" i="20" s="1"/>
  <c r="S58" i="25" l="1"/>
  <c r="T58" i="25"/>
  <c r="BY59" i="19"/>
  <c r="BF59" i="25"/>
  <c r="BI64" i="19"/>
  <c r="V64" i="19"/>
  <c r="AF65" i="25"/>
  <c r="O61" i="25"/>
  <c r="AI62" i="25" s="1"/>
  <c r="BX59" i="19"/>
  <c r="BD60" i="25" s="1"/>
  <c r="N62" i="25"/>
  <c r="AH63" i="25" s="1"/>
  <c r="BA63" i="20" s="1"/>
  <c r="W63" i="19"/>
  <c r="AG64" i="25"/>
  <c r="AZ64" i="20" s="1"/>
  <c r="BJ63" i="19"/>
  <c r="Y163" i="22"/>
  <c r="AS83" i="20"/>
  <c r="AJ83" i="20" s="1"/>
  <c r="AT83" i="20"/>
  <c r="AK83" i="20" s="1"/>
  <c r="AR83" i="20"/>
  <c r="AI83" i="20" s="1"/>
  <c r="AC57" i="20"/>
  <c r="O94" i="20"/>
  <c r="BZ94" i="20" s="1"/>
  <c r="AQ84" i="20"/>
  <c r="AH84" i="20" s="1"/>
  <c r="AO98" i="20"/>
  <c r="AF98" i="20" s="1"/>
  <c r="AN97" i="20"/>
  <c r="AE97" i="20" s="1"/>
  <c r="M98" i="20" s="1"/>
  <c r="BX98" i="20" s="1"/>
  <c r="AM97" i="20"/>
  <c r="AD97" i="20" s="1"/>
  <c r="BW63" i="19" l="1"/>
  <c r="R59" i="25"/>
  <c r="AO59" i="25"/>
  <c r="AN59" i="25"/>
  <c r="BB63" i="25"/>
  <c r="BK58" i="19"/>
  <c r="BE59" i="25" s="1"/>
  <c r="AA58" i="19"/>
  <c r="AM59" i="25"/>
  <c r="BC59" i="20" s="1"/>
  <c r="BV64" i="19"/>
  <c r="AZ65" i="25" s="1"/>
  <c r="L65" i="25" s="1"/>
  <c r="BA64" i="25"/>
  <c r="P60" i="25"/>
  <c r="Y164" i="22"/>
  <c r="K58" i="20"/>
  <c r="BV58" i="20" s="1"/>
  <c r="R84" i="20"/>
  <c r="CC84" i="20" s="1"/>
  <c r="P85" i="20"/>
  <c r="CA85" i="20" s="1"/>
  <c r="AP94" i="20"/>
  <c r="AG94" i="20" s="1"/>
  <c r="Q84" i="20"/>
  <c r="CB84" i="20" s="1"/>
  <c r="S84" i="20"/>
  <c r="CD84" i="20" s="1"/>
  <c r="L98" i="20"/>
  <c r="BW98" i="20" s="1"/>
  <c r="AN98" i="20"/>
  <c r="AE98" i="20" s="1"/>
  <c r="N99" i="20"/>
  <c r="BY99" i="20" s="1"/>
  <c r="V65" i="19" l="1"/>
  <c r="BI65" i="19"/>
  <c r="CA59" i="19"/>
  <c r="BH59" i="25"/>
  <c r="AF66" i="25"/>
  <c r="BI59" i="25"/>
  <c r="X60" i="19"/>
  <c r="AJ61" i="25"/>
  <c r="M64" i="25"/>
  <c r="N63" i="25"/>
  <c r="AH64" i="25" s="1"/>
  <c r="BA64" i="20" s="1"/>
  <c r="Q59" i="25"/>
  <c r="Z59" i="19"/>
  <c r="Y165" i="22"/>
  <c r="AS84" i="20"/>
  <c r="AJ84" i="20" s="1"/>
  <c r="AT84" i="20"/>
  <c r="AK84" i="20" s="1"/>
  <c r="AR84" i="20"/>
  <c r="AI84" i="20" s="1"/>
  <c r="O95" i="20"/>
  <c r="BZ95" i="20" s="1"/>
  <c r="AQ85" i="20"/>
  <c r="AH85" i="20" s="1"/>
  <c r="AL58" i="20"/>
  <c r="BM58" i="19" s="1"/>
  <c r="BG59" i="25" s="1"/>
  <c r="AO99" i="20"/>
  <c r="AF99" i="20" s="1"/>
  <c r="M99" i="20"/>
  <c r="BX99" i="20" s="1"/>
  <c r="AM98" i="20"/>
  <c r="AD98" i="20" s="1"/>
  <c r="L99" i="20" s="1"/>
  <c r="BW99" i="20" s="1"/>
  <c r="S59" i="25" l="1"/>
  <c r="Y59" i="19"/>
  <c r="AK60" i="25"/>
  <c r="BB60" i="20" s="1"/>
  <c r="AL60" i="25"/>
  <c r="BW64" i="19"/>
  <c r="T59" i="25"/>
  <c r="W64" i="19"/>
  <c r="AG65" i="25"/>
  <c r="AZ65" i="20" s="1"/>
  <c r="BJ64" i="19"/>
  <c r="BC62" i="25"/>
  <c r="U59" i="25"/>
  <c r="Y166" i="22"/>
  <c r="AP95" i="20"/>
  <c r="AG95" i="20" s="1"/>
  <c r="O96" i="20" s="1"/>
  <c r="BZ96" i="20" s="1"/>
  <c r="S85" i="20"/>
  <c r="CD85" i="20" s="1"/>
  <c r="R85" i="20"/>
  <c r="CC85" i="20" s="1"/>
  <c r="AC58" i="20"/>
  <c r="P86" i="20"/>
  <c r="CA86" i="20" s="1"/>
  <c r="Q85" i="20"/>
  <c r="CB85" i="20" s="1"/>
  <c r="AM99" i="20"/>
  <c r="AD99" i="20" s="1"/>
  <c r="AN99" i="20"/>
  <c r="AE99" i="20" s="1"/>
  <c r="N100" i="20"/>
  <c r="BY100" i="20" s="1"/>
  <c r="AN60" i="25" l="1"/>
  <c r="BH60" i="25" s="1"/>
  <c r="AO60" i="25"/>
  <c r="BV65" i="19"/>
  <c r="AZ66" i="25" s="1"/>
  <c r="BA65" i="25"/>
  <c r="BX60" i="19"/>
  <c r="BD61" i="25" s="1"/>
  <c r="O62" i="25"/>
  <c r="AI63" i="25" s="1"/>
  <c r="BK59" i="19"/>
  <c r="BE60" i="25" s="1"/>
  <c r="AA59" i="19"/>
  <c r="AM60" i="25"/>
  <c r="BC60" i="20" s="1"/>
  <c r="BI60" i="25"/>
  <c r="CA60" i="19"/>
  <c r="T60" i="25"/>
  <c r="BY60" i="19"/>
  <c r="BF60" i="25"/>
  <c r="R60" i="25" s="1"/>
  <c r="Z60" i="19" s="1"/>
  <c r="Y167" i="22"/>
  <c r="AP96" i="20"/>
  <c r="AG96" i="20" s="1"/>
  <c r="AS85" i="20"/>
  <c r="AJ85" i="20" s="1"/>
  <c r="AR85" i="20"/>
  <c r="AI85" i="20" s="1"/>
  <c r="AQ86" i="20"/>
  <c r="AH86" i="20" s="1"/>
  <c r="AT85" i="20"/>
  <c r="AK85" i="20" s="1"/>
  <c r="K59" i="20"/>
  <c r="BV59" i="20" s="1"/>
  <c r="M100" i="20"/>
  <c r="BX100" i="20" s="1"/>
  <c r="AO100" i="20"/>
  <c r="AF100" i="20" s="1"/>
  <c r="N101" i="20" s="1"/>
  <c r="BY101" i="20" s="1"/>
  <c r="L100" i="20"/>
  <c r="BW100" i="20" s="1"/>
  <c r="Q60" i="25" l="1"/>
  <c r="M65" i="25"/>
  <c r="BJ65" i="19" s="1"/>
  <c r="L66" i="25"/>
  <c r="AL61" i="25"/>
  <c r="BB64" i="25"/>
  <c r="P61" i="25"/>
  <c r="U60" i="25"/>
  <c r="AO61" i="25" s="1"/>
  <c r="Y168" i="22"/>
  <c r="S86" i="20"/>
  <c r="CD86" i="20" s="1"/>
  <c r="P87" i="20"/>
  <c r="CA87" i="20" s="1"/>
  <c r="R86" i="20"/>
  <c r="CC86" i="20" s="1"/>
  <c r="O97" i="20"/>
  <c r="BZ97" i="20" s="1"/>
  <c r="AL59" i="20"/>
  <c r="BM59" i="19" s="1"/>
  <c r="BG60" i="25" s="1"/>
  <c r="Q86" i="20"/>
  <c r="CB86" i="20" s="1"/>
  <c r="AM100" i="20"/>
  <c r="AD100" i="20" s="1"/>
  <c r="AO101" i="20"/>
  <c r="AF101" i="20" s="1"/>
  <c r="AN100" i="20"/>
  <c r="AE100" i="20" s="1"/>
  <c r="S60" i="25" l="1"/>
  <c r="V66" i="19"/>
  <c r="BI66" i="19"/>
  <c r="AF67" i="25"/>
  <c r="W65" i="19"/>
  <c r="AG66" i="25"/>
  <c r="AZ66" i="20" s="1"/>
  <c r="BI61" i="25"/>
  <c r="U61" i="25" s="1"/>
  <c r="N64" i="25"/>
  <c r="AH65" i="25" s="1"/>
  <c r="BA65" i="20" s="1"/>
  <c r="X61" i="19"/>
  <c r="AJ62" i="25"/>
  <c r="BY61" i="19"/>
  <c r="BF61" i="25"/>
  <c r="R61" i="25" s="1"/>
  <c r="Y60" i="19"/>
  <c r="AK61" i="25"/>
  <c r="BB61" i="20" s="1"/>
  <c r="Y169" i="22"/>
  <c r="AR86" i="20"/>
  <c r="AI86" i="20" s="1"/>
  <c r="AQ87" i="20"/>
  <c r="AH87" i="20" s="1"/>
  <c r="AS86" i="20"/>
  <c r="AJ86" i="20" s="1"/>
  <c r="AC59" i="20"/>
  <c r="AP97" i="20"/>
  <c r="AG97" i="20" s="1"/>
  <c r="AT86" i="20"/>
  <c r="AK86" i="20" s="1"/>
  <c r="L101" i="20"/>
  <c r="BW101" i="20" s="1"/>
  <c r="N102" i="20"/>
  <c r="BY102" i="20" s="1"/>
  <c r="M101" i="20"/>
  <c r="BX101" i="20" s="1"/>
  <c r="Z61" i="19" l="1"/>
  <c r="BX61" i="19"/>
  <c r="BW65" i="19"/>
  <c r="BA66" i="25" s="1"/>
  <c r="BV66" i="19"/>
  <c r="AZ67" i="25" s="1"/>
  <c r="BK60" i="19"/>
  <c r="BE61" i="25" s="1"/>
  <c r="AA60" i="19"/>
  <c r="AN61" i="25"/>
  <c r="AM61" i="25"/>
  <c r="BC61" i="20" s="1"/>
  <c r="BC63" i="25"/>
  <c r="O63" i="25" s="1"/>
  <c r="AI64" i="25" s="1"/>
  <c r="BD62" i="25"/>
  <c r="Y170" i="22"/>
  <c r="Q87" i="20"/>
  <c r="CB87" i="20" s="1"/>
  <c r="S87" i="20"/>
  <c r="CD87" i="20" s="1"/>
  <c r="P88" i="20"/>
  <c r="CA88" i="20" s="1"/>
  <c r="K60" i="20"/>
  <c r="BV60" i="20" s="1"/>
  <c r="R87" i="20"/>
  <c r="CC87" i="20" s="1"/>
  <c r="O98" i="20"/>
  <c r="BZ98" i="20" s="1"/>
  <c r="AO102" i="20"/>
  <c r="AF102" i="20" s="1"/>
  <c r="AN101" i="20"/>
  <c r="AE101" i="20" s="1"/>
  <c r="M102" i="20" s="1"/>
  <c r="BX102" i="20" s="1"/>
  <c r="AM101" i="20"/>
  <c r="AD101" i="20" s="1"/>
  <c r="P62" i="25" l="1"/>
  <c r="CA61" i="19"/>
  <c r="BH61" i="25"/>
  <c r="T61" i="25" s="1"/>
  <c r="BB65" i="25"/>
  <c r="M66" i="25"/>
  <c r="BJ66" i="19" s="1"/>
  <c r="L67" i="25"/>
  <c r="Q61" i="25"/>
  <c r="Y171" i="22"/>
  <c r="AQ88" i="20"/>
  <c r="AH88" i="20" s="1"/>
  <c r="AP98" i="20"/>
  <c r="AG98" i="20" s="1"/>
  <c r="AL60" i="20"/>
  <c r="BM60" i="19" s="1"/>
  <c r="BG61" i="25" s="1"/>
  <c r="AS87" i="20"/>
  <c r="AJ87" i="20" s="1"/>
  <c r="AR87" i="20"/>
  <c r="AI87" i="20" s="1"/>
  <c r="AT87" i="20"/>
  <c r="AK87" i="20" s="1"/>
  <c r="L102" i="20"/>
  <c r="BW102" i="20" s="1"/>
  <c r="N103" i="20"/>
  <c r="BY103" i="20" s="1"/>
  <c r="AN102" i="20"/>
  <c r="AE102" i="20" s="1"/>
  <c r="S61" i="25" l="1"/>
  <c r="N65" i="25"/>
  <c r="AN62" i="25"/>
  <c r="BH62" i="25" s="1"/>
  <c r="AO62" i="25"/>
  <c r="BI67" i="19"/>
  <c r="V67" i="19"/>
  <c r="AF68" i="25"/>
  <c r="Y61" i="19"/>
  <c r="AK62" i="25"/>
  <c r="BB62" i="20" s="1"/>
  <c r="AL62" i="25"/>
  <c r="W66" i="19"/>
  <c r="AG67" i="25"/>
  <c r="AZ67" i="20" s="1"/>
  <c r="X62" i="19"/>
  <c r="AJ63" i="25"/>
  <c r="Y172" i="22"/>
  <c r="R88" i="20"/>
  <c r="CC88" i="20" s="1"/>
  <c r="O99" i="20"/>
  <c r="BZ99" i="20" s="1"/>
  <c r="Q88" i="20"/>
  <c r="CB88" i="20" s="1"/>
  <c r="P89" i="20"/>
  <c r="CA89" i="20" s="1"/>
  <c r="S88" i="20"/>
  <c r="CD88" i="20" s="1"/>
  <c r="AC60" i="20"/>
  <c r="AO103" i="20"/>
  <c r="AF103" i="20" s="1"/>
  <c r="M103" i="20"/>
  <c r="BX103" i="20" s="1"/>
  <c r="AM102" i="20"/>
  <c r="AD102" i="20" s="1"/>
  <c r="L103" i="20" s="1"/>
  <c r="BW103" i="20" s="1"/>
  <c r="BX62" i="19" l="1"/>
  <c r="AH66" i="25"/>
  <c r="BA66" i="20" s="1"/>
  <c r="BV67" i="19"/>
  <c r="AZ68" i="25" s="1"/>
  <c r="BI62" i="25"/>
  <c r="U62" i="25" s="1"/>
  <c r="BY62" i="19"/>
  <c r="BF62" i="25"/>
  <c r="BD63" i="25"/>
  <c r="P63" i="25" s="1"/>
  <c r="BC64" i="25"/>
  <c r="CA62" i="19"/>
  <c r="T62" i="25"/>
  <c r="BK61" i="19"/>
  <c r="BE62" i="25" s="1"/>
  <c r="AA61" i="19"/>
  <c r="AM62" i="25"/>
  <c r="BC62" i="20" s="1"/>
  <c r="Y173" i="22"/>
  <c r="AQ89" i="20"/>
  <c r="AH89" i="20" s="1"/>
  <c r="AT88" i="20"/>
  <c r="AK88" i="20" s="1"/>
  <c r="K61" i="20"/>
  <c r="BV61" i="20" s="1"/>
  <c r="AR88" i="20"/>
  <c r="AI88" i="20" s="1"/>
  <c r="AP99" i="20"/>
  <c r="AG99" i="20" s="1"/>
  <c r="O100" i="20" s="1"/>
  <c r="BZ100" i="20" s="1"/>
  <c r="AS88" i="20"/>
  <c r="AJ88" i="20" s="1"/>
  <c r="AM103" i="20"/>
  <c r="AD103" i="20" s="1"/>
  <c r="N104" i="20"/>
  <c r="BY104" i="20" s="1"/>
  <c r="AN103" i="20"/>
  <c r="AE103" i="20" s="1"/>
  <c r="AO63" i="25" l="1"/>
  <c r="BI63" i="25" s="1"/>
  <c r="L68" i="25"/>
  <c r="X63" i="19"/>
  <c r="AJ64" i="25"/>
  <c r="O64" i="25"/>
  <c r="AI65" i="25" s="1"/>
  <c r="Q62" i="25"/>
  <c r="BW66" i="19"/>
  <c r="BA67" i="25" s="1"/>
  <c r="R62" i="25"/>
  <c r="Y174" i="22"/>
  <c r="P90" i="20"/>
  <c r="CA90" i="20" s="1"/>
  <c r="AL61" i="20"/>
  <c r="BM61" i="19" s="1"/>
  <c r="BG62" i="25" s="1"/>
  <c r="R89" i="20"/>
  <c r="CC89" i="20" s="1"/>
  <c r="AP100" i="20"/>
  <c r="AG100" i="20" s="1"/>
  <c r="Q89" i="20"/>
  <c r="CB89" i="20" s="1"/>
  <c r="S89" i="20"/>
  <c r="CD89" i="20" s="1"/>
  <c r="M104" i="20"/>
  <c r="BX104" i="20" s="1"/>
  <c r="L104" i="20"/>
  <c r="BW104" i="20" s="1"/>
  <c r="AO104" i="20"/>
  <c r="AF104" i="20" s="1"/>
  <c r="N105" i="20" s="1"/>
  <c r="BY105" i="20" s="1"/>
  <c r="BC65" i="25" l="1"/>
  <c r="O65" i="25" s="1"/>
  <c r="AI66" i="25" s="1"/>
  <c r="BB66" i="25"/>
  <c r="N66" i="25" s="1"/>
  <c r="AH67" i="25" s="1"/>
  <c r="BA67" i="20" s="1"/>
  <c r="S62" i="25"/>
  <c r="AM63" i="25" s="1"/>
  <c r="BC63" i="20" s="1"/>
  <c r="Y62" i="19"/>
  <c r="AK63" i="25"/>
  <c r="BB63" i="20" s="1"/>
  <c r="M67" i="25"/>
  <c r="BJ67" i="19" s="1"/>
  <c r="V68" i="19"/>
  <c r="BI68" i="19"/>
  <c r="AF69" i="25"/>
  <c r="Z62" i="19"/>
  <c r="AL63" i="25"/>
  <c r="U63" i="25"/>
  <c r="Y175" i="22"/>
  <c r="AT89" i="20"/>
  <c r="AK89" i="20" s="1"/>
  <c r="AR89" i="20"/>
  <c r="AI89" i="20" s="1"/>
  <c r="AC61" i="20"/>
  <c r="O101" i="20"/>
  <c r="BZ101" i="20" s="1"/>
  <c r="AS89" i="20"/>
  <c r="AJ89" i="20" s="1"/>
  <c r="AQ90" i="20"/>
  <c r="AH90" i="20" s="1"/>
  <c r="AM104" i="20"/>
  <c r="AD104" i="20" s="1"/>
  <c r="AO105" i="20"/>
  <c r="AF105" i="20" s="1"/>
  <c r="AN104" i="20"/>
  <c r="AE104" i="20" s="1"/>
  <c r="BB67" i="25" l="1"/>
  <c r="N67" i="25" s="1"/>
  <c r="AH68" i="25" s="1"/>
  <c r="BX63" i="19"/>
  <c r="BD64" i="25" s="1"/>
  <c r="W67" i="19"/>
  <c r="AG68" i="25"/>
  <c r="AZ68" i="20" s="1"/>
  <c r="BY63" i="19"/>
  <c r="BF63" i="25"/>
  <c r="BW67" i="19"/>
  <c r="AA62" i="19"/>
  <c r="BK62" i="19"/>
  <c r="BE63" i="25" s="1"/>
  <c r="AN63" i="25"/>
  <c r="Y176" i="22"/>
  <c r="R90" i="20"/>
  <c r="CC90" i="20" s="1"/>
  <c r="Q90" i="20"/>
  <c r="CB90" i="20" s="1"/>
  <c r="P91" i="20"/>
  <c r="CA91" i="20" s="1"/>
  <c r="K62" i="20"/>
  <c r="BV62" i="20" s="1"/>
  <c r="AP101" i="20"/>
  <c r="AG101" i="20" s="1"/>
  <c r="S90" i="20"/>
  <c r="CD90" i="20" s="1"/>
  <c r="L105" i="20"/>
  <c r="BW105" i="20" s="1"/>
  <c r="N106" i="20"/>
  <c r="BY106" i="20" s="1"/>
  <c r="M105" i="20"/>
  <c r="BX105" i="20" s="1"/>
  <c r="BW68" i="19" l="1"/>
  <c r="BA68" i="20"/>
  <c r="BV68" i="19"/>
  <c r="AZ69" i="25" s="1"/>
  <c r="BA68" i="25"/>
  <c r="Q63" i="25"/>
  <c r="CA63" i="19"/>
  <c r="BH63" i="25"/>
  <c r="T63" i="25" s="1"/>
  <c r="P64" i="25"/>
  <c r="R63" i="25"/>
  <c r="Y177" i="22"/>
  <c r="AQ91" i="20"/>
  <c r="AH91" i="20" s="1"/>
  <c r="O102" i="20"/>
  <c r="BZ102" i="20" s="1"/>
  <c r="AT90" i="20"/>
  <c r="AK90" i="20" s="1"/>
  <c r="AL62" i="20"/>
  <c r="BM62" i="19" s="1"/>
  <c r="BG63" i="25" s="1"/>
  <c r="AR90" i="20"/>
  <c r="AI90" i="20" s="1"/>
  <c r="AS90" i="20"/>
  <c r="AJ90" i="20" s="1"/>
  <c r="AO106" i="20"/>
  <c r="AF106" i="20" s="1"/>
  <c r="AN105" i="20"/>
  <c r="AE105" i="20" s="1"/>
  <c r="M106" i="20" s="1"/>
  <c r="BX106" i="20" s="1"/>
  <c r="AM105" i="20"/>
  <c r="AD105" i="20" s="1"/>
  <c r="AO64" i="25" l="1"/>
  <c r="Z63" i="19"/>
  <c r="AL64" i="25"/>
  <c r="Y63" i="19"/>
  <c r="AK64" i="25"/>
  <c r="BB64" i="20" s="1"/>
  <c r="X64" i="19"/>
  <c r="AJ65" i="25"/>
  <c r="M68" i="25"/>
  <c r="BJ68" i="19" s="1"/>
  <c r="S63" i="25"/>
  <c r="AN64" i="25" s="1"/>
  <c r="BH64" i="25" s="1"/>
  <c r="L69" i="25"/>
  <c r="Y178" i="22"/>
  <c r="R91" i="20"/>
  <c r="CC91" i="20" s="1"/>
  <c r="AP102" i="20"/>
  <c r="AG102" i="20" s="1"/>
  <c r="P92" i="20"/>
  <c r="CA92" i="20" s="1"/>
  <c r="Q91" i="20"/>
  <c r="CB91" i="20" s="1"/>
  <c r="S91" i="20"/>
  <c r="CD91" i="20" s="1"/>
  <c r="AC62" i="20"/>
  <c r="L106" i="20"/>
  <c r="BW106" i="20" s="1"/>
  <c r="AN106" i="20"/>
  <c r="AE106" i="20" s="1"/>
  <c r="N107" i="20"/>
  <c r="BY107" i="20" s="1"/>
  <c r="V69" i="19" l="1"/>
  <c r="BI69" i="19"/>
  <c r="AF70" i="25"/>
  <c r="BC66" i="25"/>
  <c r="BY64" i="19"/>
  <c r="BF64" i="25"/>
  <c r="BX64" i="19"/>
  <c r="BD65" i="25" s="1"/>
  <c r="CA64" i="19"/>
  <c r="T64" i="25"/>
  <c r="AA63" i="19"/>
  <c r="BK63" i="19"/>
  <c r="BE64" i="25" s="1"/>
  <c r="AM64" i="25"/>
  <c r="BC64" i="20" s="1"/>
  <c r="W68" i="19"/>
  <c r="AG69" i="25"/>
  <c r="AZ69" i="20" s="1"/>
  <c r="BI64" i="25"/>
  <c r="Y179" i="22"/>
  <c r="O103" i="20"/>
  <c r="BZ103" i="20" s="1"/>
  <c r="AS91" i="20"/>
  <c r="AJ91" i="20" s="1"/>
  <c r="AQ92" i="20"/>
  <c r="AH92" i="20" s="1"/>
  <c r="K63" i="20"/>
  <c r="BV63" i="20" s="1"/>
  <c r="AT91" i="20"/>
  <c r="AK91" i="20" s="1"/>
  <c r="AR91" i="20"/>
  <c r="AI91" i="20" s="1"/>
  <c r="AM106" i="20"/>
  <c r="AD106" i="20" s="1"/>
  <c r="L107" i="20" s="1"/>
  <c r="BW107" i="20" s="1"/>
  <c r="M107" i="20"/>
  <c r="BX107" i="20" s="1"/>
  <c r="AO107" i="20"/>
  <c r="AF107" i="20" s="1"/>
  <c r="Q64" i="25" l="1"/>
  <c r="P65" i="25"/>
  <c r="U64" i="25"/>
  <c r="AO65" i="25" s="1"/>
  <c r="BI65" i="25" s="1"/>
  <c r="BV69" i="19"/>
  <c r="AZ70" i="25" s="1"/>
  <c r="L70" i="25" s="1"/>
  <c r="AF71" i="25" s="1"/>
  <c r="BA69" i="25"/>
  <c r="R64" i="25"/>
  <c r="O66" i="25"/>
  <c r="AI67" i="25" s="1"/>
  <c r="Y180" i="22"/>
  <c r="Q92" i="20"/>
  <c r="CB92" i="20" s="1"/>
  <c r="R92" i="20"/>
  <c r="CC92" i="20" s="1"/>
  <c r="S92" i="20"/>
  <c r="CD92" i="20" s="1"/>
  <c r="AL63" i="20"/>
  <c r="BM63" i="19" s="1"/>
  <c r="BG64" i="25" s="1"/>
  <c r="P93" i="20"/>
  <c r="CA93" i="20" s="1"/>
  <c r="AP103" i="20"/>
  <c r="AG103" i="20" s="1"/>
  <c r="O104" i="20" s="1"/>
  <c r="BZ104" i="20" s="1"/>
  <c r="AN107" i="20"/>
  <c r="AE107" i="20" s="1"/>
  <c r="N108" i="20"/>
  <c r="BY108" i="20" s="1"/>
  <c r="AM107" i="20"/>
  <c r="AD107" i="20" s="1"/>
  <c r="S64" i="25" l="1"/>
  <c r="AM65" i="25" s="1"/>
  <c r="BC65" i="20" s="1"/>
  <c r="Z64" i="19"/>
  <c r="AL65" i="25"/>
  <c r="X65" i="19"/>
  <c r="AJ66" i="25"/>
  <c r="U65" i="25"/>
  <c r="BI70" i="19"/>
  <c r="V70" i="19"/>
  <c r="BB68" i="25"/>
  <c r="M69" i="25"/>
  <c r="Y64" i="19"/>
  <c r="AK65" i="25"/>
  <c r="BB65" i="20" s="1"/>
  <c r="Y181" i="22"/>
  <c r="AT92" i="20"/>
  <c r="AK92" i="20" s="1"/>
  <c r="AQ93" i="20"/>
  <c r="AH93" i="20" s="1"/>
  <c r="AS92" i="20"/>
  <c r="AJ92" i="20" s="1"/>
  <c r="AP104" i="20"/>
  <c r="AG104" i="20" s="1"/>
  <c r="AC63" i="20"/>
  <c r="AR92" i="20"/>
  <c r="AI92" i="20" s="1"/>
  <c r="L108" i="20"/>
  <c r="BW108" i="20" s="1"/>
  <c r="AO108" i="20"/>
  <c r="AF108" i="20" s="1"/>
  <c r="N109" i="20" s="1"/>
  <c r="BY109" i="20" s="1"/>
  <c r="M108" i="20"/>
  <c r="BX108" i="20" s="1"/>
  <c r="W69" i="19" l="1"/>
  <c r="AG70" i="25"/>
  <c r="AZ70" i="20" s="1"/>
  <c r="N68" i="25"/>
  <c r="AH69" i="25" s="1"/>
  <c r="BA69" i="20" s="1"/>
  <c r="BY65" i="19"/>
  <c r="BF65" i="25"/>
  <c r="BX65" i="19"/>
  <c r="BD66" i="25" s="1"/>
  <c r="BJ69" i="19"/>
  <c r="BC67" i="25"/>
  <c r="BK64" i="19"/>
  <c r="BE65" i="25" s="1"/>
  <c r="Q65" i="25" s="1"/>
  <c r="AA64" i="19"/>
  <c r="AN65" i="25"/>
  <c r="Y182" i="22"/>
  <c r="Q93" i="20"/>
  <c r="CB93" i="20" s="1"/>
  <c r="S93" i="20"/>
  <c r="CD93" i="20" s="1"/>
  <c r="P94" i="20"/>
  <c r="CA94" i="20" s="1"/>
  <c r="K64" i="20"/>
  <c r="BV64" i="20" s="1"/>
  <c r="R93" i="20"/>
  <c r="CC93" i="20" s="1"/>
  <c r="O105" i="20"/>
  <c r="BZ105" i="20" s="1"/>
  <c r="AO109" i="20"/>
  <c r="AF109" i="20" s="1"/>
  <c r="AN108" i="20"/>
  <c r="AE108" i="20" s="1"/>
  <c r="AM108" i="20"/>
  <c r="AD108" i="20" s="1"/>
  <c r="P66" i="25" l="1"/>
  <c r="AK66" i="25"/>
  <c r="BB66" i="20" s="1"/>
  <c r="Y65" i="19"/>
  <c r="R65" i="25"/>
  <c r="BW69" i="19"/>
  <c r="CA65" i="19"/>
  <c r="BH65" i="25"/>
  <c r="BV70" i="19"/>
  <c r="AZ71" i="25" s="1"/>
  <c r="BA70" i="25"/>
  <c r="O67" i="25"/>
  <c r="AI68" i="25" s="1"/>
  <c r="AP105" i="20"/>
  <c r="AG105" i="20" s="1"/>
  <c r="AQ94" i="20"/>
  <c r="AH94" i="20" s="1"/>
  <c r="AS93" i="20"/>
  <c r="AJ93" i="20" s="1"/>
  <c r="AL64" i="20"/>
  <c r="BM64" i="19" s="1"/>
  <c r="BG65" i="25" s="1"/>
  <c r="S65" i="25" s="1"/>
  <c r="AT93" i="20"/>
  <c r="AK93" i="20" s="1"/>
  <c r="AR93" i="20"/>
  <c r="AI93" i="20" s="1"/>
  <c r="M109" i="20"/>
  <c r="BX109" i="20" s="1"/>
  <c r="L109" i="20"/>
  <c r="BW109" i="20" s="1"/>
  <c r="N110" i="20"/>
  <c r="BY110" i="20" s="1"/>
  <c r="L71" i="25" l="1"/>
  <c r="T65" i="25"/>
  <c r="BX66" i="19"/>
  <c r="AA65" i="19"/>
  <c r="BK65" i="19"/>
  <c r="BE66" i="25" s="1"/>
  <c r="AM66" i="25"/>
  <c r="BC66" i="20" s="1"/>
  <c r="BB69" i="25"/>
  <c r="N69" i="25" s="1"/>
  <c r="AH70" i="25" s="1"/>
  <c r="BA70" i="20" s="1"/>
  <c r="M70" i="25"/>
  <c r="Z65" i="19"/>
  <c r="AL66" i="25"/>
  <c r="X66" i="19"/>
  <c r="AJ67" i="25"/>
  <c r="BC68" i="25" s="1"/>
  <c r="S94" i="20"/>
  <c r="CD94" i="20" s="1"/>
  <c r="R94" i="20"/>
  <c r="CC94" i="20" s="1"/>
  <c r="AC64" i="20"/>
  <c r="Q94" i="20"/>
  <c r="CB94" i="20" s="1"/>
  <c r="P95" i="20"/>
  <c r="CA95" i="20" s="1"/>
  <c r="O106" i="20"/>
  <c r="BZ106" i="20" s="1"/>
  <c r="AO110" i="20"/>
  <c r="AF110" i="20" s="1"/>
  <c r="AM109" i="20"/>
  <c r="AD109" i="20" s="1"/>
  <c r="AN109" i="20"/>
  <c r="AE109" i="20" s="1"/>
  <c r="M110" i="20" s="1"/>
  <c r="BX110" i="20" s="1"/>
  <c r="AB4" i="19"/>
  <c r="O68" i="25" l="1"/>
  <c r="AI69" i="25" s="1"/>
  <c r="BB70" i="25" s="1"/>
  <c r="N70" i="25" s="1"/>
  <c r="AH71" i="25" s="1"/>
  <c r="BA71" i="20" s="1"/>
  <c r="BW70" i="19"/>
  <c r="AO66" i="25"/>
  <c r="AN66" i="25"/>
  <c r="BY66" i="19"/>
  <c r="BF66" i="25"/>
  <c r="BD67" i="25"/>
  <c r="W70" i="19"/>
  <c r="AG71" i="25"/>
  <c r="AZ71" i="20" s="1"/>
  <c r="BJ70" i="19"/>
  <c r="Q66" i="25"/>
  <c r="V71" i="19"/>
  <c r="BI71" i="19"/>
  <c r="AF72" i="25"/>
  <c r="AQ95" i="20"/>
  <c r="AH95" i="20" s="1"/>
  <c r="AS94" i="20"/>
  <c r="AJ94" i="20" s="1"/>
  <c r="AT94" i="20"/>
  <c r="AK94" i="20" s="1"/>
  <c r="K65" i="20"/>
  <c r="BV65" i="20" s="1"/>
  <c r="AP106" i="20"/>
  <c r="AG106" i="20" s="1"/>
  <c r="AR94" i="20"/>
  <c r="AI94" i="20" s="1"/>
  <c r="AN110" i="20"/>
  <c r="AE110" i="20" s="1"/>
  <c r="L110" i="20"/>
  <c r="BW110" i="20" s="1"/>
  <c r="N111" i="20"/>
  <c r="BY111" i="20" s="1"/>
  <c r="BW71" i="19" l="1"/>
  <c r="Y66" i="19"/>
  <c r="AK67" i="25"/>
  <c r="BB67" i="20" s="1"/>
  <c r="P67" i="25"/>
  <c r="CA66" i="19"/>
  <c r="BH66" i="25"/>
  <c r="BI66" i="25"/>
  <c r="BV71" i="19"/>
  <c r="AZ72" i="25" s="1"/>
  <c r="BA71" i="25"/>
  <c r="R66" i="25"/>
  <c r="Q95" i="20"/>
  <c r="CB95" i="20" s="1"/>
  <c r="O107" i="20"/>
  <c r="BZ107" i="20" s="1"/>
  <c r="S95" i="20"/>
  <c r="CD95" i="20" s="1"/>
  <c r="R95" i="20"/>
  <c r="CC95" i="20" s="1"/>
  <c r="P96" i="20"/>
  <c r="CA96" i="20" s="1"/>
  <c r="AL65" i="20"/>
  <c r="BM65" i="19" s="1"/>
  <c r="BG66" i="25" s="1"/>
  <c r="AM110" i="20"/>
  <c r="AD110" i="20" s="1"/>
  <c r="L111" i="20" s="1"/>
  <c r="BW111" i="20" s="1"/>
  <c r="AO111" i="20"/>
  <c r="AF111" i="20" s="1"/>
  <c r="M111" i="20"/>
  <c r="BX111" i="20" s="1"/>
  <c r="L72" i="25" l="1"/>
  <c r="S66" i="25"/>
  <c r="Z66" i="19"/>
  <c r="AL67" i="25"/>
  <c r="M71" i="25"/>
  <c r="BJ71" i="19" s="1"/>
  <c r="U66" i="25"/>
  <c r="X67" i="19"/>
  <c r="AJ68" i="25"/>
  <c r="T66" i="25"/>
  <c r="BX67" i="19"/>
  <c r="AQ96" i="20"/>
  <c r="AH96" i="20" s="1"/>
  <c r="AP107" i="20"/>
  <c r="AG107" i="20" s="1"/>
  <c r="O108" i="20" s="1"/>
  <c r="BZ108" i="20" s="1"/>
  <c r="AC65" i="20"/>
  <c r="AS95" i="20"/>
  <c r="AJ95" i="20" s="1"/>
  <c r="AT95" i="20"/>
  <c r="AK95" i="20" s="1"/>
  <c r="AR95" i="20"/>
  <c r="AI95" i="20" s="1"/>
  <c r="N112" i="20"/>
  <c r="BY112" i="20" s="1"/>
  <c r="AN111" i="20"/>
  <c r="AE111" i="20" s="1"/>
  <c r="AM111" i="20"/>
  <c r="AD111" i="20" s="1"/>
  <c r="AO67" i="25" l="1"/>
  <c r="BI67" i="25" s="1"/>
  <c r="U67" i="25" s="1"/>
  <c r="AA66" i="19"/>
  <c r="BK66" i="19"/>
  <c r="BE67" i="25" s="1"/>
  <c r="Q67" i="25" s="1"/>
  <c r="AM67" i="25"/>
  <c r="BC67" i="20" s="1"/>
  <c r="AN67" i="25"/>
  <c r="W71" i="19"/>
  <c r="AG72" i="25"/>
  <c r="AZ72" i="20" s="1"/>
  <c r="BY67" i="19"/>
  <c r="BF67" i="25"/>
  <c r="R67" i="25" s="1"/>
  <c r="BC69" i="25"/>
  <c r="BD68" i="25"/>
  <c r="P68" i="25" s="1"/>
  <c r="AF73" i="25"/>
  <c r="V72" i="19"/>
  <c r="BI72" i="19"/>
  <c r="K66" i="20"/>
  <c r="BV66" i="20" s="1"/>
  <c r="Q96" i="20"/>
  <c r="CB96" i="20" s="1"/>
  <c r="S96" i="20"/>
  <c r="CD96" i="20" s="1"/>
  <c r="R96" i="20"/>
  <c r="CC96" i="20" s="1"/>
  <c r="AP108" i="20"/>
  <c r="AG108" i="20" s="1"/>
  <c r="P97" i="20"/>
  <c r="CA97" i="20" s="1"/>
  <c r="C5" i="19"/>
  <c r="L112" i="20"/>
  <c r="BW112" i="20" s="1"/>
  <c r="M112" i="20"/>
  <c r="BX112" i="20" s="1"/>
  <c r="AO112" i="20"/>
  <c r="AF112" i="20" s="1"/>
  <c r="N113" i="20" s="1"/>
  <c r="BY113" i="20" s="1"/>
  <c r="X68" i="19" l="1"/>
  <c r="AJ69" i="25"/>
  <c r="Z67" i="19"/>
  <c r="AL68" i="25"/>
  <c r="Y67" i="19"/>
  <c r="AK68" i="25"/>
  <c r="BB68" i="20" s="1"/>
  <c r="O69" i="25"/>
  <c r="AI70" i="25" s="1"/>
  <c r="BB71" i="25" s="1"/>
  <c r="BV72" i="19"/>
  <c r="AZ73" i="25" s="1"/>
  <c r="BA72" i="25"/>
  <c r="CA67" i="19"/>
  <c r="BH67" i="25"/>
  <c r="AL66" i="20"/>
  <c r="BM66" i="19" s="1"/>
  <c r="BG67" i="25" s="1"/>
  <c r="AR96" i="20"/>
  <c r="AI96" i="20" s="1"/>
  <c r="AQ97" i="20"/>
  <c r="AH97" i="20" s="1"/>
  <c r="O109" i="20"/>
  <c r="BZ109" i="20" s="1"/>
  <c r="AS96" i="20"/>
  <c r="AJ96" i="20" s="1"/>
  <c r="AT96" i="20"/>
  <c r="AK96" i="20" s="1"/>
  <c r="AM112" i="20"/>
  <c r="AD112" i="20" s="1"/>
  <c r="AN112" i="20"/>
  <c r="AE112" i="20" s="1"/>
  <c r="AO113" i="20"/>
  <c r="AF113" i="20" s="1"/>
  <c r="M5" i="22"/>
  <c r="BC70" i="25" l="1"/>
  <c r="O70" i="25" s="1"/>
  <c r="AI71" i="25" s="1"/>
  <c r="S67" i="25"/>
  <c r="M72" i="25"/>
  <c r="BJ72" i="19" s="1"/>
  <c r="N71" i="25"/>
  <c r="AH72" i="25" s="1"/>
  <c r="BA72" i="20" s="1"/>
  <c r="T67" i="25"/>
  <c r="BY68" i="19"/>
  <c r="BF68" i="25"/>
  <c r="BX68" i="19"/>
  <c r="BD69" i="25" s="1"/>
  <c r="L73" i="25"/>
  <c r="R97" i="20"/>
  <c r="CC97" i="20" s="1"/>
  <c r="AC66" i="20"/>
  <c r="Q97" i="20"/>
  <c r="CB97" i="20" s="1"/>
  <c r="S97" i="20"/>
  <c r="CD97" i="20" s="1"/>
  <c r="AP109" i="20"/>
  <c r="AG109" i="20" s="1"/>
  <c r="P98" i="20"/>
  <c r="CA98" i="20" s="1"/>
  <c r="N114" i="20"/>
  <c r="BY114" i="20" s="1"/>
  <c r="M113" i="20"/>
  <c r="BX113" i="20" s="1"/>
  <c r="L113" i="20"/>
  <c r="BW113" i="20" s="1"/>
  <c r="BW72" i="19" l="1"/>
  <c r="BI73" i="19"/>
  <c r="V73" i="19"/>
  <c r="AF74" i="25"/>
  <c r="P69" i="25"/>
  <c r="R68" i="25"/>
  <c r="AN68" i="25"/>
  <c r="AO68" i="25"/>
  <c r="AA67" i="19"/>
  <c r="BK67" i="19"/>
  <c r="BE68" i="25" s="1"/>
  <c r="Q68" i="25" s="1"/>
  <c r="AM68" i="25"/>
  <c r="BC68" i="20" s="1"/>
  <c r="BB72" i="25"/>
  <c r="W72" i="19"/>
  <c r="AG73" i="25"/>
  <c r="AZ73" i="20" s="1"/>
  <c r="AD6" i="19"/>
  <c r="D6" i="19" s="1"/>
  <c r="N6" i="22" s="1"/>
  <c r="AQ98" i="20"/>
  <c r="AH98" i="20" s="1"/>
  <c r="AT97" i="20"/>
  <c r="AK97" i="20" s="1"/>
  <c r="O110" i="20"/>
  <c r="BZ110" i="20" s="1"/>
  <c r="AS97" i="20"/>
  <c r="AJ97" i="20" s="1"/>
  <c r="AR97" i="20"/>
  <c r="AI97" i="20" s="1"/>
  <c r="K67" i="20"/>
  <c r="BV67" i="20" s="1"/>
  <c r="AN113" i="20"/>
  <c r="AE113" i="20" s="1"/>
  <c r="M114" i="20" s="1"/>
  <c r="BX114" i="20" s="1"/>
  <c r="AM113" i="20"/>
  <c r="AD113" i="20" s="1"/>
  <c r="AO114" i="20"/>
  <c r="AF114" i="20" s="1"/>
  <c r="BV73" i="19" l="1"/>
  <c r="AZ74" i="25" s="1"/>
  <c r="BA73" i="25"/>
  <c r="X69" i="19"/>
  <c r="AJ70" i="25"/>
  <c r="Z68" i="19"/>
  <c r="AL69" i="25"/>
  <c r="N72" i="25"/>
  <c r="AH73" i="25" s="1"/>
  <c r="BA73" i="20" s="1"/>
  <c r="Y68" i="19"/>
  <c r="AK69" i="25"/>
  <c r="BB69" i="20" s="1"/>
  <c r="CA68" i="19"/>
  <c r="BH68" i="25"/>
  <c r="BI68" i="25"/>
  <c r="U68" i="25" s="1"/>
  <c r="AP110" i="20"/>
  <c r="AG110" i="20" s="1"/>
  <c r="S98" i="20"/>
  <c r="CD98" i="20" s="1"/>
  <c r="Q98" i="20"/>
  <c r="CB98" i="20" s="1"/>
  <c r="R98" i="20"/>
  <c r="CC98" i="20" s="1"/>
  <c r="AL67" i="20"/>
  <c r="BM67" i="19" s="1"/>
  <c r="BG68" i="25" s="1"/>
  <c r="P99" i="20"/>
  <c r="CA99" i="20" s="1"/>
  <c r="N115" i="20"/>
  <c r="BY115" i="20" s="1"/>
  <c r="AN114" i="20"/>
  <c r="AE114" i="20" s="1"/>
  <c r="L114" i="20"/>
  <c r="BW114" i="20" s="1"/>
  <c r="S68" i="25" l="1"/>
  <c r="BW73" i="19"/>
  <c r="L74" i="25"/>
  <c r="T68" i="25"/>
  <c r="BY69" i="19"/>
  <c r="BF69" i="25"/>
  <c r="M73" i="25"/>
  <c r="BX69" i="19"/>
  <c r="BD70" i="25" s="1"/>
  <c r="BC71" i="25"/>
  <c r="E7" i="19"/>
  <c r="O7" i="22" s="1"/>
  <c r="AF7" i="19"/>
  <c r="F7" i="19" s="1"/>
  <c r="AC67" i="20"/>
  <c r="AR98" i="20"/>
  <c r="AI98" i="20" s="1"/>
  <c r="AQ99" i="20"/>
  <c r="AH99" i="20" s="1"/>
  <c r="AS98" i="20"/>
  <c r="AJ98" i="20" s="1"/>
  <c r="AT98" i="20"/>
  <c r="AK98" i="20" s="1"/>
  <c r="O111" i="20"/>
  <c r="BZ111" i="20" s="1"/>
  <c r="M115" i="20"/>
  <c r="BX115" i="20" s="1"/>
  <c r="AM114" i="20"/>
  <c r="AD114" i="20" s="1"/>
  <c r="L115" i="20" s="1"/>
  <c r="BW115" i="20" s="1"/>
  <c r="AO115" i="20"/>
  <c r="AF115" i="20" s="1"/>
  <c r="AN69" i="25" l="1"/>
  <c r="BH69" i="25" s="1"/>
  <c r="W73" i="19"/>
  <c r="AG74" i="25"/>
  <c r="AZ74" i="20" s="1"/>
  <c r="O71" i="25"/>
  <c r="AI72" i="25" s="1"/>
  <c r="V74" i="19"/>
  <c r="BI74" i="19"/>
  <c r="AF75" i="25"/>
  <c r="BK68" i="19"/>
  <c r="BE69" i="25" s="1"/>
  <c r="Q69" i="25" s="1"/>
  <c r="AA68" i="19"/>
  <c r="AM69" i="25"/>
  <c r="BC69" i="20" s="1"/>
  <c r="P70" i="25"/>
  <c r="BJ73" i="19"/>
  <c r="R69" i="25"/>
  <c r="AO69" i="25"/>
  <c r="K68" i="20"/>
  <c r="BV68" i="20" s="1"/>
  <c r="S99" i="20"/>
  <c r="CD99" i="20" s="1"/>
  <c r="P100" i="20"/>
  <c r="CA100" i="20" s="1"/>
  <c r="Q99" i="20"/>
  <c r="CB99" i="20" s="1"/>
  <c r="AP111" i="20"/>
  <c r="AG111" i="20" s="1"/>
  <c r="O112" i="20" s="1"/>
  <c r="BZ112" i="20" s="1"/>
  <c r="R99" i="20"/>
  <c r="CC99" i="20" s="1"/>
  <c r="AM115" i="20"/>
  <c r="AD115" i="20" s="1"/>
  <c r="AN115" i="20"/>
  <c r="AE115" i="20" s="1"/>
  <c r="N116" i="20"/>
  <c r="BY116" i="20" s="1"/>
  <c r="T69" i="25" l="1"/>
  <c r="CA69" i="19"/>
  <c r="BB73" i="25"/>
  <c r="Y69" i="19"/>
  <c r="AK70" i="25"/>
  <c r="BB70" i="20" s="1"/>
  <c r="Z69" i="19"/>
  <c r="AL70" i="25"/>
  <c r="BV74" i="19"/>
  <c r="AZ75" i="25" s="1"/>
  <c r="L75" i="25" s="1"/>
  <c r="BA74" i="25"/>
  <c r="M74" i="25" s="1"/>
  <c r="X70" i="19"/>
  <c r="AJ71" i="25"/>
  <c r="BC72" i="25" s="1"/>
  <c r="BI69" i="25"/>
  <c r="U69" i="25" s="1"/>
  <c r="AO70" i="25" s="1"/>
  <c r="AG8" i="19"/>
  <c r="G8" i="19" s="1"/>
  <c r="AT10" i="25"/>
  <c r="AH8" i="19"/>
  <c r="H8" i="19" s="1"/>
  <c r="R8" i="22" s="1"/>
  <c r="BH8" i="19"/>
  <c r="AS99" i="20"/>
  <c r="AJ99" i="20" s="1"/>
  <c r="AQ100" i="20"/>
  <c r="AH100" i="20" s="1"/>
  <c r="AR99" i="20"/>
  <c r="AI99" i="20" s="1"/>
  <c r="AT99" i="20"/>
  <c r="AK99" i="20" s="1"/>
  <c r="AP112" i="20"/>
  <c r="AG112" i="20" s="1"/>
  <c r="AL68" i="20"/>
  <c r="BM68" i="19" s="1"/>
  <c r="BG69" i="25" s="1"/>
  <c r="M116" i="20"/>
  <c r="BX116" i="20" s="1"/>
  <c r="AO116" i="20"/>
  <c r="AF116" i="20" s="1"/>
  <c r="N117" i="20" s="1"/>
  <c r="BY117" i="20" s="1"/>
  <c r="L116" i="20"/>
  <c r="BW116" i="20" s="1"/>
  <c r="S69" i="25" l="1"/>
  <c r="BJ74" i="19"/>
  <c r="W74" i="19"/>
  <c r="AG75" i="25"/>
  <c r="AZ75" i="20" s="1"/>
  <c r="V75" i="19"/>
  <c r="BI75" i="19"/>
  <c r="AF76" i="25"/>
  <c r="N73" i="25"/>
  <c r="AH74" i="25" s="1"/>
  <c r="BA74" i="20" s="1"/>
  <c r="BI70" i="25"/>
  <c r="O72" i="25"/>
  <c r="AI73" i="25" s="1"/>
  <c r="BY70" i="19"/>
  <c r="BF70" i="25"/>
  <c r="BX70" i="19"/>
  <c r="BD71" i="25" s="1"/>
  <c r="F10" i="25"/>
  <c r="P101" i="20"/>
  <c r="CA101" i="20" s="1"/>
  <c r="Q100" i="20"/>
  <c r="CB100" i="20" s="1"/>
  <c r="R100" i="20"/>
  <c r="CC100" i="20" s="1"/>
  <c r="AC68" i="20"/>
  <c r="O113" i="20"/>
  <c r="BZ113" i="20" s="1"/>
  <c r="S100" i="20"/>
  <c r="CD100" i="20" s="1"/>
  <c r="AM116" i="20"/>
  <c r="AD116" i="20" s="1"/>
  <c r="AO117" i="20"/>
  <c r="AF117" i="20" s="1"/>
  <c r="AN116" i="20"/>
  <c r="AE116" i="20" s="1"/>
  <c r="R70" i="25" l="1"/>
  <c r="BW74" i="19"/>
  <c r="BA75" i="25" s="1"/>
  <c r="U70" i="25"/>
  <c r="AA69" i="19"/>
  <c r="BK69" i="19"/>
  <c r="BE70" i="25" s="1"/>
  <c r="AN70" i="25"/>
  <c r="AM70" i="25"/>
  <c r="BC70" i="20" s="1"/>
  <c r="BB74" i="25"/>
  <c r="P71" i="25"/>
  <c r="BV75" i="19"/>
  <c r="AZ76" i="25" s="1"/>
  <c r="L76" i="25" s="1"/>
  <c r="S10" i="19"/>
  <c r="BF10" i="19"/>
  <c r="AY11" i="25" s="1"/>
  <c r="Z11" i="25"/>
  <c r="AV11" i="20" s="1"/>
  <c r="AA11" i="25"/>
  <c r="AJ9" i="19"/>
  <c r="J9" i="19" s="1"/>
  <c r="AI9" i="19"/>
  <c r="I9" i="19" s="1"/>
  <c r="S9" i="22" s="1"/>
  <c r="AP113" i="20"/>
  <c r="AG113" i="20" s="1"/>
  <c r="AT100" i="20"/>
  <c r="AK100" i="20" s="1"/>
  <c r="K69" i="20"/>
  <c r="BV69" i="20" s="1"/>
  <c r="AR100" i="20"/>
  <c r="AI100" i="20" s="1"/>
  <c r="AQ101" i="20"/>
  <c r="AH101" i="20" s="1"/>
  <c r="AS100" i="20"/>
  <c r="AJ100" i="20" s="1"/>
  <c r="N118" i="20"/>
  <c r="BY118" i="20" s="1"/>
  <c r="L117" i="20"/>
  <c r="BW117" i="20" s="1"/>
  <c r="M117" i="20"/>
  <c r="BX117" i="20" s="1"/>
  <c r="BS11" i="19" l="1"/>
  <c r="AW11" i="20"/>
  <c r="Q70" i="25"/>
  <c r="AL71" i="25" s="1"/>
  <c r="V76" i="19"/>
  <c r="BI76" i="19"/>
  <c r="CA70" i="19"/>
  <c r="BH70" i="25"/>
  <c r="AF77" i="25"/>
  <c r="Z70" i="19"/>
  <c r="M75" i="25"/>
  <c r="BJ75" i="19" s="1"/>
  <c r="X71" i="19"/>
  <c r="AJ72" i="25"/>
  <c r="N74" i="25"/>
  <c r="AH75" i="25" s="1"/>
  <c r="BA75" i="20" s="1"/>
  <c r="K11" i="25"/>
  <c r="AE12" i="25" s="1"/>
  <c r="AY12" i="20" s="1"/>
  <c r="AU11" i="25"/>
  <c r="AS12" i="25"/>
  <c r="E12" i="25" s="1"/>
  <c r="BE12" i="19" s="1"/>
  <c r="R101" i="20"/>
  <c r="CC101" i="20" s="1"/>
  <c r="AL69" i="20"/>
  <c r="BM69" i="19" s="1"/>
  <c r="BG70" i="25" s="1"/>
  <c r="O114" i="20"/>
  <c r="BZ114" i="20" s="1"/>
  <c r="Q101" i="20"/>
  <c r="CB101" i="20" s="1"/>
  <c r="P102" i="20"/>
  <c r="CA102" i="20" s="1"/>
  <c r="S101" i="20"/>
  <c r="CD101" i="20" s="1"/>
  <c r="AM117" i="20"/>
  <c r="AD117" i="20" s="1"/>
  <c r="AN117" i="20"/>
  <c r="AE117" i="20" s="1"/>
  <c r="M118" i="20" s="1"/>
  <c r="BX118" i="20" s="1"/>
  <c r="AO118" i="20"/>
  <c r="AF118" i="20" s="1"/>
  <c r="S70" i="25" l="1"/>
  <c r="BW75" i="19"/>
  <c r="BY71" i="19"/>
  <c r="BF71" i="25"/>
  <c r="R71" i="25" s="1"/>
  <c r="BC73" i="25"/>
  <c r="T70" i="25"/>
  <c r="Y70" i="19"/>
  <c r="AK71" i="25"/>
  <c r="BB71" i="20" s="1"/>
  <c r="W75" i="19"/>
  <c r="AG76" i="25"/>
  <c r="AZ76" i="20" s="1"/>
  <c r="Y13" i="25"/>
  <c r="BQ13" i="19" s="1"/>
  <c r="AR14" i="25" s="1"/>
  <c r="R12" i="19"/>
  <c r="G11" i="25"/>
  <c r="AK10" i="19"/>
  <c r="K10" i="19" s="1"/>
  <c r="AT101" i="20"/>
  <c r="AK101" i="20" s="1"/>
  <c r="AQ102" i="20"/>
  <c r="AH102" i="20" s="1"/>
  <c r="AP114" i="20"/>
  <c r="AG114" i="20" s="1"/>
  <c r="AR101" i="20"/>
  <c r="AI101" i="20" s="1"/>
  <c r="AC69" i="20"/>
  <c r="AS101" i="20"/>
  <c r="AJ101" i="20" s="1"/>
  <c r="N119" i="20"/>
  <c r="BY119" i="20" s="1"/>
  <c r="AN118" i="20"/>
  <c r="AE118" i="20" s="1"/>
  <c r="L118" i="20"/>
  <c r="BW118" i="20" s="1"/>
  <c r="Z71" i="19" l="1"/>
  <c r="BX71" i="19"/>
  <c r="BD72" i="25" s="1"/>
  <c r="P72" i="25" s="1"/>
  <c r="O73" i="25"/>
  <c r="AI74" i="25" s="1"/>
  <c r="BB75" i="25" s="1"/>
  <c r="AA70" i="19"/>
  <c r="BK70" i="19"/>
  <c r="BE71" i="25" s="1"/>
  <c r="Q71" i="25" s="1"/>
  <c r="Y71" i="19" s="1"/>
  <c r="AM71" i="25"/>
  <c r="BC71" i="20" s="1"/>
  <c r="BV76" i="19"/>
  <c r="AZ77" i="25" s="1"/>
  <c r="BA76" i="25"/>
  <c r="AO71" i="25"/>
  <c r="AN71" i="25"/>
  <c r="D14" i="25"/>
  <c r="AB12" i="25"/>
  <c r="P103" i="20"/>
  <c r="CA103" i="20" s="1"/>
  <c r="O115" i="20"/>
  <c r="BZ115" i="20" s="1"/>
  <c r="R102" i="20"/>
  <c r="CC102" i="20" s="1"/>
  <c r="K70" i="20"/>
  <c r="BV70" i="20" s="1"/>
  <c r="Q102" i="20"/>
  <c r="CB102" i="20" s="1"/>
  <c r="S102" i="20"/>
  <c r="CD102" i="20" s="1"/>
  <c r="AM118" i="20"/>
  <c r="AD118" i="20" s="1"/>
  <c r="AO119" i="20"/>
  <c r="AF119" i="20" s="1"/>
  <c r="M119" i="20"/>
  <c r="BX119" i="20" s="1"/>
  <c r="CA71" i="19" l="1"/>
  <c r="BH71" i="25"/>
  <c r="BI71" i="25"/>
  <c r="X72" i="19"/>
  <c r="AJ73" i="25"/>
  <c r="N75" i="25"/>
  <c r="AH76" i="25" s="1"/>
  <c r="BA76" i="20" s="1"/>
  <c r="AL72" i="25"/>
  <c r="L77" i="25"/>
  <c r="M76" i="25"/>
  <c r="AK72" i="25"/>
  <c r="BB72" i="20" s="1"/>
  <c r="Q14" i="19"/>
  <c r="X15" i="25"/>
  <c r="AU15" i="20" s="1"/>
  <c r="AV12" i="25"/>
  <c r="AL11" i="19"/>
  <c r="AL70" i="20"/>
  <c r="BM70" i="19" s="1"/>
  <c r="BG71" i="25" s="1"/>
  <c r="AR102" i="20"/>
  <c r="AI102" i="20" s="1"/>
  <c r="AP115" i="20"/>
  <c r="AG115" i="20" s="1"/>
  <c r="O116" i="20" s="1"/>
  <c r="BZ116" i="20" s="1"/>
  <c r="AQ103" i="20"/>
  <c r="AH103" i="20" s="1"/>
  <c r="AT102" i="20"/>
  <c r="AK102" i="20" s="1"/>
  <c r="AS102" i="20"/>
  <c r="AJ102" i="20" s="1"/>
  <c r="L119" i="20"/>
  <c r="BW119" i="20" s="1"/>
  <c r="AN119" i="20"/>
  <c r="AE119" i="20" s="1"/>
  <c r="N120" i="20"/>
  <c r="BY120" i="20" s="1"/>
  <c r="V77" i="19" l="1"/>
  <c r="BI77" i="19"/>
  <c r="AF78" i="25"/>
  <c r="BW76" i="19"/>
  <c r="BX72" i="19"/>
  <c r="BD73" i="25" s="1"/>
  <c r="P73" i="25" s="1"/>
  <c r="BC74" i="25"/>
  <c r="O74" i="25" s="1"/>
  <c r="AI75" i="25" s="1"/>
  <c r="BB76" i="25" s="1"/>
  <c r="N76" i="25" s="1"/>
  <c r="AH77" i="25" s="1"/>
  <c r="BA77" i="20" s="1"/>
  <c r="U71" i="25"/>
  <c r="T71" i="25"/>
  <c r="W76" i="19"/>
  <c r="AG77" i="25"/>
  <c r="AZ77" i="20" s="1"/>
  <c r="S71" i="25"/>
  <c r="BJ76" i="19"/>
  <c r="BY72" i="19"/>
  <c r="BF72" i="25"/>
  <c r="AQ16" i="25"/>
  <c r="H12" i="25"/>
  <c r="L11" i="19"/>
  <c r="T11" i="22" s="1"/>
  <c r="V12" i="22"/>
  <c r="BU12" i="19" s="1"/>
  <c r="AX13" i="25" s="1"/>
  <c r="J13" i="25" s="1"/>
  <c r="U13" i="19" s="1"/>
  <c r="Q103" i="20"/>
  <c r="CB103" i="20" s="1"/>
  <c r="R103" i="20"/>
  <c r="CC103" i="20" s="1"/>
  <c r="AC70" i="20"/>
  <c r="AP116" i="20"/>
  <c r="AG116" i="20" s="1"/>
  <c r="P104" i="20"/>
  <c r="CA104" i="20" s="1"/>
  <c r="S103" i="20"/>
  <c r="CD103" i="20" s="1"/>
  <c r="AO120" i="20"/>
  <c r="AF120" i="20" s="1"/>
  <c r="AM119" i="20"/>
  <c r="AD119" i="20" s="1"/>
  <c r="M120" i="20"/>
  <c r="BX120" i="20" s="1"/>
  <c r="AO72" i="25" l="1"/>
  <c r="BI72" i="25" s="1"/>
  <c r="AN72" i="25"/>
  <c r="BW77" i="19"/>
  <c r="X73" i="19"/>
  <c r="AJ74" i="25"/>
  <c r="R72" i="25"/>
  <c r="CA72" i="19"/>
  <c r="BK71" i="19"/>
  <c r="BE72" i="25" s="1"/>
  <c r="Q72" i="25" s="1"/>
  <c r="AA71" i="19"/>
  <c r="AM72" i="25"/>
  <c r="BC72" i="20" s="1"/>
  <c r="BA77" i="25"/>
  <c r="M77" i="25" s="1"/>
  <c r="W77" i="19" s="1"/>
  <c r="BV77" i="19"/>
  <c r="AZ78" i="25" s="1"/>
  <c r="L78" i="25" s="1"/>
  <c r="BH72" i="25"/>
  <c r="C16" i="25"/>
  <c r="AC13" i="25"/>
  <c r="M12" i="19"/>
  <c r="AS103" i="20"/>
  <c r="AJ103" i="20" s="1"/>
  <c r="AT103" i="20"/>
  <c r="AK103" i="20" s="1"/>
  <c r="AQ104" i="20"/>
  <c r="AH104" i="20" s="1"/>
  <c r="AR103" i="20"/>
  <c r="AI103" i="20" s="1"/>
  <c r="O117" i="20"/>
  <c r="BZ117" i="20" s="1"/>
  <c r="K71" i="20"/>
  <c r="BV71" i="20" s="1"/>
  <c r="AN120" i="20"/>
  <c r="AE120" i="20" s="1"/>
  <c r="L120" i="20"/>
  <c r="BW120" i="20" s="1"/>
  <c r="N121" i="20"/>
  <c r="BY121" i="20" s="1"/>
  <c r="U72" i="25" l="1"/>
  <c r="V78" i="19"/>
  <c r="BI78" i="19"/>
  <c r="AF79" i="25"/>
  <c r="BJ77" i="19"/>
  <c r="Y72" i="19"/>
  <c r="AK73" i="25"/>
  <c r="BB73" i="20" s="1"/>
  <c r="Z72" i="19"/>
  <c r="AL73" i="25"/>
  <c r="BC75" i="25"/>
  <c r="T72" i="25"/>
  <c r="AG78" i="25"/>
  <c r="W17" i="25"/>
  <c r="BC16" i="19"/>
  <c r="P16" i="19"/>
  <c r="AW13" i="25"/>
  <c r="AN13" i="19"/>
  <c r="AP117" i="20"/>
  <c r="AG117" i="20" s="1"/>
  <c r="AL71" i="20"/>
  <c r="BM71" i="19" s="1"/>
  <c r="BG72" i="25" s="1"/>
  <c r="S104" i="20"/>
  <c r="CD104" i="20" s="1"/>
  <c r="R104" i="20"/>
  <c r="CC104" i="20" s="1"/>
  <c r="Q104" i="20"/>
  <c r="CB104" i="20" s="1"/>
  <c r="P105" i="20"/>
  <c r="CA105" i="20" s="1"/>
  <c r="AM120" i="20"/>
  <c r="AD120" i="20" s="1"/>
  <c r="AO121" i="20"/>
  <c r="AF121" i="20" s="1"/>
  <c r="M121" i="20"/>
  <c r="BX121" i="20" s="1"/>
  <c r="BA78" i="25" l="1"/>
  <c r="M78" i="25" s="1"/>
  <c r="W78" i="19" s="1"/>
  <c r="AZ78" i="20"/>
  <c r="AO73" i="25"/>
  <c r="S72" i="25"/>
  <c r="AN73" i="25" s="1"/>
  <c r="BI73" i="25"/>
  <c r="U73" i="25" s="1"/>
  <c r="BX73" i="19"/>
  <c r="BD74" i="25" s="1"/>
  <c r="O75" i="25"/>
  <c r="AI76" i="25" s="1"/>
  <c r="BY73" i="19"/>
  <c r="BF73" i="25"/>
  <c r="BV78" i="19"/>
  <c r="AZ79" i="25" s="1"/>
  <c r="BO17" i="19"/>
  <c r="AP18" i="25" s="1"/>
  <c r="I13" i="25"/>
  <c r="N13" i="19"/>
  <c r="U13" i="22" s="1"/>
  <c r="X14" i="22"/>
  <c r="AS104" i="20"/>
  <c r="AJ104" i="20" s="1"/>
  <c r="AT104" i="20"/>
  <c r="AK104" i="20" s="1"/>
  <c r="AQ105" i="20"/>
  <c r="AH105" i="20" s="1"/>
  <c r="O118" i="20"/>
  <c r="BZ118" i="20" s="1"/>
  <c r="AR104" i="20"/>
  <c r="AI104" i="20" s="1"/>
  <c r="AC71" i="20"/>
  <c r="AN121" i="20"/>
  <c r="AE121" i="20" s="1"/>
  <c r="N122" i="20"/>
  <c r="BY122" i="20" s="1"/>
  <c r="L121" i="20"/>
  <c r="BW121" i="20" s="1"/>
  <c r="AG79" i="25" l="1"/>
  <c r="AZ79" i="20" s="1"/>
  <c r="BJ78" i="19"/>
  <c r="L79" i="25"/>
  <c r="P74" i="25"/>
  <c r="CA73" i="19"/>
  <c r="BH73" i="25"/>
  <c r="T73" i="25" s="1"/>
  <c r="AO74" i="25" s="1"/>
  <c r="BV79" i="19"/>
  <c r="R73" i="25"/>
  <c r="BB77" i="25"/>
  <c r="BK72" i="19"/>
  <c r="BE73" i="25" s="1"/>
  <c r="Q73" i="25" s="1"/>
  <c r="AA72" i="19"/>
  <c r="AM73" i="25"/>
  <c r="BC73" i="20" s="1"/>
  <c r="B18" i="25"/>
  <c r="T13" i="19"/>
  <c r="BG13" i="19"/>
  <c r="AD14" i="25"/>
  <c r="K72" i="20"/>
  <c r="BV72" i="20" s="1"/>
  <c r="AP118" i="20"/>
  <c r="AG118" i="20" s="1"/>
  <c r="S105" i="20"/>
  <c r="CD105" i="20" s="1"/>
  <c r="Q105" i="20"/>
  <c r="CB105" i="20" s="1"/>
  <c r="P106" i="20"/>
  <c r="CA106" i="20" s="1"/>
  <c r="R105" i="20"/>
  <c r="CC105" i="20" s="1"/>
  <c r="M122" i="20"/>
  <c r="BX122" i="20" s="1"/>
  <c r="AO122" i="20"/>
  <c r="AF122" i="20" s="1"/>
  <c r="AM121" i="20"/>
  <c r="AD121" i="20" s="1"/>
  <c r="BT14" i="19" l="1"/>
  <c r="AX14" i="20"/>
  <c r="BI74" i="25"/>
  <c r="Z73" i="19"/>
  <c r="AL74" i="25"/>
  <c r="Y73" i="19"/>
  <c r="AK74" i="25"/>
  <c r="BB74" i="20" s="1"/>
  <c r="V79" i="19"/>
  <c r="BI79" i="19"/>
  <c r="AF80" i="25"/>
  <c r="N77" i="25"/>
  <c r="AH78" i="25" s="1"/>
  <c r="BA78" i="20" s="1"/>
  <c r="X74" i="19"/>
  <c r="AJ75" i="25"/>
  <c r="O18" i="19"/>
  <c r="V19" i="25"/>
  <c r="AS105" i="20"/>
  <c r="AJ105" i="20" s="1"/>
  <c r="AR105" i="20"/>
  <c r="AI105" i="20" s="1"/>
  <c r="AQ106" i="20"/>
  <c r="AH106" i="20" s="1"/>
  <c r="AT105" i="20"/>
  <c r="AK105" i="20" s="1"/>
  <c r="O119" i="20"/>
  <c r="BZ119" i="20" s="1"/>
  <c r="AL72" i="20"/>
  <c r="BM72" i="19" s="1"/>
  <c r="BG73" i="25" s="1"/>
  <c r="L122" i="20"/>
  <c r="BW122" i="20" s="1"/>
  <c r="N123" i="20"/>
  <c r="BY123" i="20" s="1"/>
  <c r="AN122" i="20"/>
  <c r="AE122" i="20" s="1"/>
  <c r="U74" i="25" l="1"/>
  <c r="BY74" i="19"/>
  <c r="BF74" i="25"/>
  <c r="BW78" i="19"/>
  <c r="BA79" i="25" s="1"/>
  <c r="S73" i="25"/>
  <c r="BX74" i="19"/>
  <c r="BC76" i="25"/>
  <c r="O76" i="25" s="1"/>
  <c r="AI77" i="25" s="1"/>
  <c r="BB78" i="25" s="1"/>
  <c r="BD75" i="25"/>
  <c r="AZ80" i="25"/>
  <c r="L80" i="25" s="1"/>
  <c r="AP119" i="20"/>
  <c r="AG119" i="20" s="1"/>
  <c r="P107" i="20"/>
  <c r="CA107" i="20" s="1"/>
  <c r="Q106" i="20"/>
  <c r="CB106" i="20" s="1"/>
  <c r="AC72" i="20"/>
  <c r="S106" i="20"/>
  <c r="CD106" i="20" s="1"/>
  <c r="R106" i="20"/>
  <c r="CC106" i="20" s="1"/>
  <c r="M123" i="20"/>
  <c r="BX123" i="20" s="1"/>
  <c r="AM122" i="20"/>
  <c r="AD122" i="20" s="1"/>
  <c r="AO123" i="20"/>
  <c r="AF123" i="20" s="1"/>
  <c r="N78" i="25" l="1"/>
  <c r="AH79" i="25" s="1"/>
  <c r="BA79" i="20" s="1"/>
  <c r="BI80" i="19"/>
  <c r="V80" i="19"/>
  <c r="AN74" i="25"/>
  <c r="BK73" i="19"/>
  <c r="BE74" i="25" s="1"/>
  <c r="Q74" i="25" s="1"/>
  <c r="AA73" i="19"/>
  <c r="AM74" i="25"/>
  <c r="BC74" i="20" s="1"/>
  <c r="M79" i="25"/>
  <c r="P75" i="25"/>
  <c r="AF81" i="25"/>
  <c r="R74" i="25"/>
  <c r="O120" i="20"/>
  <c r="BZ120" i="20" s="1"/>
  <c r="AT106" i="20"/>
  <c r="AK106" i="20" s="1"/>
  <c r="AS106" i="20"/>
  <c r="AJ106" i="20" s="1"/>
  <c r="K73" i="20"/>
  <c r="BV73" i="20" s="1"/>
  <c r="AQ107" i="20"/>
  <c r="AH107" i="20" s="1"/>
  <c r="AR106" i="20"/>
  <c r="AI106" i="20" s="1"/>
  <c r="L123" i="20"/>
  <c r="BW123" i="20" s="1"/>
  <c r="AN123" i="20"/>
  <c r="AE123" i="20" s="1"/>
  <c r="N124" i="20"/>
  <c r="BY124" i="20" s="1"/>
  <c r="CA74" i="19" l="1"/>
  <c r="BH74" i="25"/>
  <c r="X75" i="19"/>
  <c r="AJ76" i="25"/>
  <c r="Y74" i="19"/>
  <c r="AK75" i="25"/>
  <c r="BB75" i="20" s="1"/>
  <c r="Z74" i="19"/>
  <c r="AL75" i="25"/>
  <c r="BJ79" i="19"/>
  <c r="W79" i="19"/>
  <c r="AG80" i="25"/>
  <c r="AZ80" i="20" s="1"/>
  <c r="BW79" i="19"/>
  <c r="R107" i="20"/>
  <c r="CC107" i="20" s="1"/>
  <c r="Q107" i="20"/>
  <c r="CB107" i="20" s="1"/>
  <c r="AL73" i="20"/>
  <c r="BM73" i="19" s="1"/>
  <c r="BG74" i="25" s="1"/>
  <c r="S107" i="20"/>
  <c r="CD107" i="20" s="1"/>
  <c r="AP120" i="20"/>
  <c r="AG120" i="20" s="1"/>
  <c r="P108" i="20"/>
  <c r="CA108" i="20" s="1"/>
  <c r="AO124" i="20"/>
  <c r="AF124" i="20" s="1"/>
  <c r="AM123" i="20"/>
  <c r="AD123" i="20" s="1"/>
  <c r="M124" i="20"/>
  <c r="BX124" i="20" s="1"/>
  <c r="S74" i="25" l="1"/>
  <c r="BY75" i="19"/>
  <c r="BF75" i="25"/>
  <c r="BC77" i="25"/>
  <c r="BV80" i="19"/>
  <c r="AZ81" i="25" s="1"/>
  <c r="L81" i="25" s="1"/>
  <c r="BA80" i="25"/>
  <c r="M80" i="25" s="1"/>
  <c r="BX75" i="19"/>
  <c r="BD76" i="25" s="1"/>
  <c r="T74" i="25"/>
  <c r="AO75" i="25" s="1"/>
  <c r="AC73" i="20"/>
  <c r="AQ108" i="20"/>
  <c r="AH108" i="20" s="1"/>
  <c r="AR107" i="20"/>
  <c r="AI107" i="20" s="1"/>
  <c r="AT107" i="20"/>
  <c r="AK107" i="20" s="1"/>
  <c r="O121" i="20"/>
  <c r="BZ121" i="20" s="1"/>
  <c r="AS107" i="20"/>
  <c r="AJ107" i="20" s="1"/>
  <c r="AN124" i="20"/>
  <c r="AE124" i="20" s="1"/>
  <c r="L124" i="20"/>
  <c r="BW124" i="20" s="1"/>
  <c r="N125" i="20"/>
  <c r="BY125" i="20" s="1"/>
  <c r="W80" i="19" l="1"/>
  <c r="AG81" i="25"/>
  <c r="AZ81" i="20" s="1"/>
  <c r="V81" i="19"/>
  <c r="BI81" i="19"/>
  <c r="AF82" i="25"/>
  <c r="P76" i="25"/>
  <c r="AN75" i="25"/>
  <c r="BK74" i="19"/>
  <c r="BE75" i="25" s="1"/>
  <c r="Q75" i="25" s="1"/>
  <c r="AA74" i="19"/>
  <c r="AM75" i="25"/>
  <c r="BC75" i="20" s="1"/>
  <c r="BI75" i="25"/>
  <c r="U75" i="25" s="1"/>
  <c r="BJ80" i="19"/>
  <c r="O77" i="25"/>
  <c r="AI78" i="25" s="1"/>
  <c r="R75" i="25"/>
  <c r="P109" i="20"/>
  <c r="CA109" i="20" s="1"/>
  <c r="K74" i="20"/>
  <c r="BV74" i="20" s="1"/>
  <c r="R108" i="20"/>
  <c r="CC108" i="20" s="1"/>
  <c r="S108" i="20"/>
  <c r="CD108" i="20" s="1"/>
  <c r="Q108" i="20"/>
  <c r="CB108" i="20" s="1"/>
  <c r="AP121" i="20"/>
  <c r="AG121" i="20" s="1"/>
  <c r="AM124" i="20"/>
  <c r="AD124" i="20" s="1"/>
  <c r="AO125" i="20"/>
  <c r="AF125" i="20" s="1"/>
  <c r="M125" i="20"/>
  <c r="BX125" i="20" s="1"/>
  <c r="CA75" i="19" l="1"/>
  <c r="BH75" i="25"/>
  <c r="Z75" i="19"/>
  <c r="AL76" i="25"/>
  <c r="X76" i="19"/>
  <c r="AJ77" i="25"/>
  <c r="BB79" i="25"/>
  <c r="BV81" i="19"/>
  <c r="AZ82" i="25" s="1"/>
  <c r="L82" i="25" s="1"/>
  <c r="Y75" i="19"/>
  <c r="AK76" i="25"/>
  <c r="BB76" i="20" s="1"/>
  <c r="AL74" i="20"/>
  <c r="BM74" i="19" s="1"/>
  <c r="BG75" i="25" s="1"/>
  <c r="AT108" i="20"/>
  <c r="AK108" i="20" s="1"/>
  <c r="O122" i="20"/>
  <c r="BZ122" i="20" s="1"/>
  <c r="AR108" i="20"/>
  <c r="AI108" i="20" s="1"/>
  <c r="AS108" i="20"/>
  <c r="AJ108" i="20" s="1"/>
  <c r="AQ109" i="20"/>
  <c r="AH109" i="20" s="1"/>
  <c r="L125" i="20"/>
  <c r="BW125" i="20" s="1"/>
  <c r="AN125" i="20"/>
  <c r="AE125" i="20" s="1"/>
  <c r="N126" i="20"/>
  <c r="BY126" i="20" s="1"/>
  <c r="S75" i="25" l="1"/>
  <c r="BI82" i="19"/>
  <c r="V82" i="19"/>
  <c r="T75" i="25"/>
  <c r="BY76" i="19"/>
  <c r="BF76" i="25"/>
  <c r="R76" i="25" s="1"/>
  <c r="Z76" i="19" s="1"/>
  <c r="BX76" i="19"/>
  <c r="BD77" i="25" s="1"/>
  <c r="BC78" i="25"/>
  <c r="AF83" i="25"/>
  <c r="N79" i="25"/>
  <c r="AH80" i="25" s="1"/>
  <c r="BA80" i="20" s="1"/>
  <c r="R109" i="20"/>
  <c r="CC109" i="20" s="1"/>
  <c r="S109" i="20"/>
  <c r="CD109" i="20" s="1"/>
  <c r="AP122" i="20"/>
  <c r="AG122" i="20" s="1"/>
  <c r="P110" i="20"/>
  <c r="CA110" i="20" s="1"/>
  <c r="Q109" i="20"/>
  <c r="CB109" i="20" s="1"/>
  <c r="AC74" i="20"/>
  <c r="AM125" i="20"/>
  <c r="AD125" i="20" s="1"/>
  <c r="M126" i="20"/>
  <c r="BX126" i="20" s="1"/>
  <c r="AO126" i="20"/>
  <c r="AF126" i="20" s="1"/>
  <c r="P77" i="25" l="1"/>
  <c r="AO76" i="25"/>
  <c r="AN76" i="25"/>
  <c r="BW80" i="19"/>
  <c r="BA81" i="25" s="1"/>
  <c r="O78" i="25"/>
  <c r="AI79" i="25" s="1"/>
  <c r="BB80" i="25" s="1"/>
  <c r="AA75" i="19"/>
  <c r="BK75" i="19"/>
  <c r="BE76" i="25" s="1"/>
  <c r="Q76" i="25" s="1"/>
  <c r="AM76" i="25"/>
  <c r="BC76" i="20" s="1"/>
  <c r="AS109" i="20"/>
  <c r="AJ109" i="20" s="1"/>
  <c r="O123" i="20"/>
  <c r="BZ123" i="20" s="1"/>
  <c r="AT109" i="20"/>
  <c r="AK109" i="20" s="1"/>
  <c r="K75" i="20"/>
  <c r="BV75" i="20" s="1"/>
  <c r="AR109" i="20"/>
  <c r="AI109" i="20" s="1"/>
  <c r="AQ110" i="20"/>
  <c r="AH110" i="20" s="1"/>
  <c r="AN126" i="20"/>
  <c r="AE126" i="20" s="1"/>
  <c r="N127" i="20"/>
  <c r="BY127" i="20" s="1"/>
  <c r="L126" i="20"/>
  <c r="BW126" i="20" s="1"/>
  <c r="Y76" i="19" l="1"/>
  <c r="AK77" i="25"/>
  <c r="BB77" i="20" s="1"/>
  <c r="AL77" i="25"/>
  <c r="N80" i="25"/>
  <c r="AH81" i="25" s="1"/>
  <c r="BA81" i="20" s="1"/>
  <c r="CA76" i="19"/>
  <c r="BH76" i="25"/>
  <c r="X77" i="19"/>
  <c r="AJ78" i="25"/>
  <c r="M81" i="25"/>
  <c r="BI76" i="25"/>
  <c r="AP123" i="20"/>
  <c r="AG123" i="20" s="1"/>
  <c r="Q110" i="20"/>
  <c r="CB110" i="20" s="1"/>
  <c r="S110" i="20"/>
  <c r="CD110" i="20" s="1"/>
  <c r="P111" i="20"/>
  <c r="CA111" i="20" s="1"/>
  <c r="R110" i="20"/>
  <c r="CC110" i="20" s="1"/>
  <c r="AL75" i="20"/>
  <c r="BM75" i="19" s="1"/>
  <c r="BG76" i="25" s="1"/>
  <c r="AM126" i="20"/>
  <c r="AD126" i="20" s="1"/>
  <c r="AO127" i="20"/>
  <c r="AF127" i="20" s="1"/>
  <c r="M127" i="20"/>
  <c r="BX127" i="20" s="1"/>
  <c r="S76" i="25" l="1"/>
  <c r="BJ81" i="19"/>
  <c r="W81" i="19"/>
  <c r="AG82" i="25"/>
  <c r="AZ82" i="20" s="1"/>
  <c r="BY77" i="19"/>
  <c r="BF77" i="25"/>
  <c r="U76" i="25"/>
  <c r="BX77" i="19"/>
  <c r="BD78" i="25" s="1"/>
  <c r="BW81" i="19"/>
  <c r="BC79" i="25"/>
  <c r="T76" i="25"/>
  <c r="AQ111" i="20"/>
  <c r="AH111" i="20" s="1"/>
  <c r="O124" i="20"/>
  <c r="BZ124" i="20" s="1"/>
  <c r="AS110" i="20"/>
  <c r="AJ110" i="20" s="1"/>
  <c r="AT110" i="20"/>
  <c r="AK110" i="20" s="1"/>
  <c r="AC75" i="20"/>
  <c r="AR110" i="20"/>
  <c r="AI110" i="20" s="1"/>
  <c r="AN127" i="20"/>
  <c r="AE127" i="20" s="1"/>
  <c r="N128" i="20"/>
  <c r="BY128" i="20" s="1"/>
  <c r="L127" i="20"/>
  <c r="BW127" i="20" s="1"/>
  <c r="AN77" i="25" l="1"/>
  <c r="BH77" i="25" s="1"/>
  <c r="O79" i="25"/>
  <c r="AI80" i="25" s="1"/>
  <c r="P78" i="25"/>
  <c r="AA76" i="19"/>
  <c r="BK76" i="19"/>
  <c r="BE77" i="25" s="1"/>
  <c r="Q77" i="25" s="1"/>
  <c r="AM77" i="25"/>
  <c r="BC77" i="20" s="1"/>
  <c r="AO77" i="25"/>
  <c r="R77" i="25"/>
  <c r="BV82" i="19"/>
  <c r="AZ83" i="25" s="1"/>
  <c r="BA82" i="25"/>
  <c r="R111" i="20"/>
  <c r="CC111" i="20" s="1"/>
  <c r="P112" i="20"/>
  <c r="CA112" i="20" s="1"/>
  <c r="S111" i="20"/>
  <c r="CD111" i="20" s="1"/>
  <c r="Q111" i="20"/>
  <c r="CB111" i="20" s="1"/>
  <c r="AP124" i="20"/>
  <c r="AG124" i="20" s="1"/>
  <c r="K76" i="20"/>
  <c r="BV76" i="20" s="1"/>
  <c r="M128" i="20"/>
  <c r="BX128" i="20" s="1"/>
  <c r="AM127" i="20"/>
  <c r="AD127" i="20" s="1"/>
  <c r="AO128" i="20"/>
  <c r="AF128" i="20" s="1"/>
  <c r="CA77" i="19" l="1"/>
  <c r="Z77" i="19"/>
  <c r="AL78" i="25"/>
  <c r="X78" i="19"/>
  <c r="AJ79" i="25"/>
  <c r="BC80" i="25" s="1"/>
  <c r="Y77" i="19"/>
  <c r="AK78" i="25"/>
  <c r="BB78" i="20" s="1"/>
  <c r="BB81" i="25"/>
  <c r="L83" i="25"/>
  <c r="BI77" i="25"/>
  <c r="U77" i="25" s="1"/>
  <c r="T77" i="25"/>
  <c r="M82" i="25"/>
  <c r="BJ82" i="19" s="1"/>
  <c r="AL76" i="20"/>
  <c r="BM76" i="19" s="1"/>
  <c r="BG77" i="25" s="1"/>
  <c r="O125" i="20"/>
  <c r="BZ125" i="20" s="1"/>
  <c r="AT111" i="20"/>
  <c r="AK111" i="20" s="1"/>
  <c r="AR111" i="20"/>
  <c r="AI111" i="20" s="1"/>
  <c r="AQ112" i="20"/>
  <c r="AH112" i="20" s="1"/>
  <c r="AS111" i="20"/>
  <c r="AJ111" i="20" s="1"/>
  <c r="N129" i="20"/>
  <c r="BY129" i="20" s="1"/>
  <c r="L128" i="20"/>
  <c r="BW128" i="20" s="1"/>
  <c r="AN128" i="20"/>
  <c r="AE128" i="20" s="1"/>
  <c r="AO78" i="25" l="1"/>
  <c r="BI78" i="25" s="1"/>
  <c r="U78" i="25" s="1"/>
  <c r="S77" i="25"/>
  <c r="AN78" i="25" s="1"/>
  <c r="V83" i="19"/>
  <c r="BI83" i="19"/>
  <c r="AF84" i="25"/>
  <c r="BX78" i="19"/>
  <c r="BD79" i="25" s="1"/>
  <c r="W82" i="19"/>
  <c r="AG83" i="25"/>
  <c r="AZ83" i="20" s="1"/>
  <c r="N81" i="25"/>
  <c r="AH82" i="25" s="1"/>
  <c r="BA82" i="20" s="1"/>
  <c r="BY78" i="19"/>
  <c r="BF78" i="25"/>
  <c r="O80" i="25"/>
  <c r="AI81" i="25" s="1"/>
  <c r="P113" i="20"/>
  <c r="CA113" i="20" s="1"/>
  <c r="Q112" i="20"/>
  <c r="CB112" i="20" s="1"/>
  <c r="AP125" i="20"/>
  <c r="AG125" i="20" s="1"/>
  <c r="R112" i="20"/>
  <c r="CC112" i="20" s="1"/>
  <c r="S112" i="20"/>
  <c r="CD112" i="20" s="1"/>
  <c r="AC76" i="20"/>
  <c r="AM128" i="20"/>
  <c r="AD128" i="20" s="1"/>
  <c r="M129" i="20"/>
  <c r="BX129" i="20" s="1"/>
  <c r="AO129" i="20"/>
  <c r="AF129" i="20" s="1"/>
  <c r="P79" i="25" l="1"/>
  <c r="R78" i="25"/>
  <c r="CA78" i="19"/>
  <c r="BH78" i="25"/>
  <c r="AA77" i="19"/>
  <c r="BK77" i="19"/>
  <c r="BE78" i="25" s="1"/>
  <c r="Q78" i="25" s="1"/>
  <c r="AM78" i="25"/>
  <c r="BC78" i="20" s="1"/>
  <c r="BV83" i="19"/>
  <c r="AZ84" i="25" s="1"/>
  <c r="L84" i="25" s="1"/>
  <c r="AF85" i="25" s="1"/>
  <c r="BW82" i="19"/>
  <c r="BA83" i="25" s="1"/>
  <c r="BB82" i="25"/>
  <c r="K77" i="20"/>
  <c r="BV77" i="20" s="1"/>
  <c r="AS112" i="20"/>
  <c r="AJ112" i="20" s="1"/>
  <c r="AR112" i="20"/>
  <c r="AI112" i="20" s="1"/>
  <c r="AT112" i="20"/>
  <c r="AK112" i="20" s="1"/>
  <c r="O126" i="20"/>
  <c r="BZ126" i="20" s="1"/>
  <c r="AQ113" i="20"/>
  <c r="AH113" i="20" s="1"/>
  <c r="N130" i="20"/>
  <c r="BY130" i="20" s="1"/>
  <c r="AN129" i="20"/>
  <c r="AE129" i="20" s="1"/>
  <c r="L129" i="20"/>
  <c r="BW129" i="20" s="1"/>
  <c r="T78" i="25" l="1"/>
  <c r="Z78" i="19"/>
  <c r="AL79" i="25"/>
  <c r="M83" i="25"/>
  <c r="BJ83" i="19" s="1"/>
  <c r="N82" i="25"/>
  <c r="AH83" i="25" s="1"/>
  <c r="BA83" i="20" s="1"/>
  <c r="Y78" i="19"/>
  <c r="AK79" i="25"/>
  <c r="BB79" i="20" s="1"/>
  <c r="X79" i="19"/>
  <c r="AJ80" i="25"/>
  <c r="BI84" i="19"/>
  <c r="V84" i="19"/>
  <c r="Q113" i="20"/>
  <c r="CB113" i="20" s="1"/>
  <c r="P114" i="20"/>
  <c r="CA114" i="20" s="1"/>
  <c r="AL77" i="20"/>
  <c r="BM77" i="19" s="1"/>
  <c r="BG78" i="25" s="1"/>
  <c r="R113" i="20"/>
  <c r="CC113" i="20" s="1"/>
  <c r="AP126" i="20"/>
  <c r="AG126" i="20" s="1"/>
  <c r="S113" i="20"/>
  <c r="CD113" i="20" s="1"/>
  <c r="AM129" i="20"/>
  <c r="AD129" i="20" s="1"/>
  <c r="AO130" i="20"/>
  <c r="AF130" i="20" s="1"/>
  <c r="M130" i="20"/>
  <c r="BX130" i="20" s="1"/>
  <c r="BY79" i="19" l="1"/>
  <c r="BF79" i="25"/>
  <c r="BC81" i="25"/>
  <c r="BW83" i="19"/>
  <c r="BX79" i="19"/>
  <c r="BD80" i="25" s="1"/>
  <c r="W83" i="19"/>
  <c r="AG84" i="25"/>
  <c r="AZ84" i="20" s="1"/>
  <c r="AO79" i="25"/>
  <c r="S78" i="25"/>
  <c r="AN79" i="25" s="1"/>
  <c r="O127" i="20"/>
  <c r="BZ127" i="20" s="1"/>
  <c r="AC77" i="20"/>
  <c r="AT113" i="20"/>
  <c r="AK113" i="20" s="1"/>
  <c r="AR113" i="20"/>
  <c r="AI113" i="20" s="1"/>
  <c r="AS113" i="20"/>
  <c r="AJ113" i="20" s="1"/>
  <c r="AQ114" i="20"/>
  <c r="AH114" i="20" s="1"/>
  <c r="N131" i="20"/>
  <c r="BY131" i="20" s="1"/>
  <c r="AN130" i="20"/>
  <c r="AE130" i="20" s="1"/>
  <c r="L130" i="20"/>
  <c r="BW130" i="20" s="1"/>
  <c r="P80" i="25" l="1"/>
  <c r="BA84" i="25"/>
  <c r="M84" i="25" s="1"/>
  <c r="BV84" i="19"/>
  <c r="AZ85" i="25" s="1"/>
  <c r="O81" i="25"/>
  <c r="AI82" i="25" s="1"/>
  <c r="BB83" i="25" s="1"/>
  <c r="AA78" i="19"/>
  <c r="BK78" i="19"/>
  <c r="BE79" i="25" s="1"/>
  <c r="AM79" i="25"/>
  <c r="BC79" i="20" s="1"/>
  <c r="CA79" i="19"/>
  <c r="BH79" i="25"/>
  <c r="BI79" i="25"/>
  <c r="R79" i="25"/>
  <c r="Z79" i="19" s="1"/>
  <c r="Q114" i="20"/>
  <c r="CB114" i="20" s="1"/>
  <c r="AP127" i="20"/>
  <c r="AG127" i="20" s="1"/>
  <c r="R114" i="20"/>
  <c r="CC114" i="20" s="1"/>
  <c r="K78" i="20"/>
  <c r="BV78" i="20" s="1"/>
  <c r="S114" i="20"/>
  <c r="CD114" i="20" s="1"/>
  <c r="P115" i="20"/>
  <c r="CA115" i="20" s="1"/>
  <c r="AM130" i="20"/>
  <c r="AD130" i="20" s="1"/>
  <c r="M131" i="20"/>
  <c r="BX131" i="20" s="1"/>
  <c r="AO131" i="20"/>
  <c r="AF131" i="20" s="1"/>
  <c r="W84" i="19" l="1"/>
  <c r="AG85" i="25"/>
  <c r="AZ85" i="20" s="1"/>
  <c r="L85" i="25"/>
  <c r="N83" i="25"/>
  <c r="AH84" i="25" s="1"/>
  <c r="BA84" i="20" s="1"/>
  <c r="Q79" i="25"/>
  <c r="T79" i="25"/>
  <c r="BJ84" i="19"/>
  <c r="U79" i="25"/>
  <c r="X80" i="19"/>
  <c r="AJ81" i="25"/>
  <c r="AT114" i="20"/>
  <c r="AK114" i="20" s="1"/>
  <c r="AQ115" i="20"/>
  <c r="AH115" i="20" s="1"/>
  <c r="AS114" i="20"/>
  <c r="AJ114" i="20" s="1"/>
  <c r="AL78" i="20"/>
  <c r="BM78" i="19" s="1"/>
  <c r="BG79" i="25" s="1"/>
  <c r="AR114" i="20"/>
  <c r="AI114" i="20" s="1"/>
  <c r="O128" i="20"/>
  <c r="BZ128" i="20" s="1"/>
  <c r="L131" i="20"/>
  <c r="BW131" i="20" s="1"/>
  <c r="AN131" i="20"/>
  <c r="AE131" i="20" s="1"/>
  <c r="N132" i="20"/>
  <c r="BY132" i="20" s="1"/>
  <c r="AO80" i="25" l="1"/>
  <c r="BI80" i="25" s="1"/>
  <c r="S79" i="25"/>
  <c r="AN80" i="25" s="1"/>
  <c r="BW84" i="19"/>
  <c r="BA85" i="25" s="1"/>
  <c r="M85" i="25" s="1"/>
  <c r="W85" i="19" s="1"/>
  <c r="AL80" i="25"/>
  <c r="Y79" i="19"/>
  <c r="AK80" i="25"/>
  <c r="BB80" i="20" s="1"/>
  <c r="BC82" i="25"/>
  <c r="BV85" i="19"/>
  <c r="AF86" i="25"/>
  <c r="BI85" i="19"/>
  <c r="V85" i="19"/>
  <c r="AC78" i="20"/>
  <c r="P116" i="20"/>
  <c r="CA116" i="20" s="1"/>
  <c r="AP128" i="20"/>
  <c r="AG128" i="20" s="1"/>
  <c r="Q115" i="20"/>
  <c r="CB115" i="20" s="1"/>
  <c r="R115" i="20"/>
  <c r="CC115" i="20" s="1"/>
  <c r="S115" i="20"/>
  <c r="CD115" i="20" s="1"/>
  <c r="AO132" i="20"/>
  <c r="AF132" i="20" s="1"/>
  <c r="M132" i="20"/>
  <c r="BX132" i="20" s="1"/>
  <c r="AM131" i="20"/>
  <c r="AD131" i="20" s="1"/>
  <c r="U80" i="25" l="1"/>
  <c r="O82" i="25"/>
  <c r="AI83" i="25" s="1"/>
  <c r="AA79" i="19"/>
  <c r="BK79" i="19"/>
  <c r="BE80" i="25" s="1"/>
  <c r="AM80" i="25"/>
  <c r="BC80" i="20" s="1"/>
  <c r="AG86" i="25"/>
  <c r="AZ86" i="20" s="1"/>
  <c r="BY80" i="19"/>
  <c r="BF80" i="25"/>
  <c r="CA80" i="19"/>
  <c r="BH80" i="25"/>
  <c r="BJ85" i="19"/>
  <c r="AZ86" i="25"/>
  <c r="BX80" i="19"/>
  <c r="BD81" i="25" s="1"/>
  <c r="AT115" i="20"/>
  <c r="AK115" i="20" s="1"/>
  <c r="O129" i="20"/>
  <c r="BZ129" i="20" s="1"/>
  <c r="AS115" i="20"/>
  <c r="AJ115" i="20" s="1"/>
  <c r="AR115" i="20"/>
  <c r="AI115" i="20" s="1"/>
  <c r="AQ116" i="20"/>
  <c r="AH116" i="20" s="1"/>
  <c r="K79" i="20"/>
  <c r="BV79" i="20" s="1"/>
  <c r="N133" i="20"/>
  <c r="BY133" i="20" s="1"/>
  <c r="L132" i="20"/>
  <c r="BW132" i="20" s="1"/>
  <c r="AN132" i="20"/>
  <c r="AE132" i="20" s="1"/>
  <c r="P81" i="25" l="1"/>
  <c r="BV86" i="19"/>
  <c r="Q80" i="25"/>
  <c r="T80" i="25"/>
  <c r="L86" i="25"/>
  <c r="R80" i="25"/>
  <c r="BB84" i="25"/>
  <c r="N84" i="25" s="1"/>
  <c r="AH85" i="25" s="1"/>
  <c r="BA85" i="20" s="1"/>
  <c r="S116" i="20"/>
  <c r="CD116" i="20" s="1"/>
  <c r="AL79" i="20"/>
  <c r="BM79" i="19" s="1"/>
  <c r="BG80" i="25" s="1"/>
  <c r="S80" i="25" s="1"/>
  <c r="Q116" i="20"/>
  <c r="CB116" i="20" s="1"/>
  <c r="P117" i="20"/>
  <c r="CA117" i="20" s="1"/>
  <c r="R116" i="20"/>
  <c r="CC116" i="20" s="1"/>
  <c r="AP129" i="20"/>
  <c r="AG129" i="20" s="1"/>
  <c r="M133" i="20"/>
  <c r="BX133" i="20" s="1"/>
  <c r="AM132" i="20"/>
  <c r="AD132" i="20" s="1"/>
  <c r="AO133" i="20"/>
  <c r="AF133" i="20" s="1"/>
  <c r="BK80" i="19" l="1"/>
  <c r="AA80" i="19"/>
  <c r="AM81" i="25"/>
  <c r="BC81" i="20" s="1"/>
  <c r="BW85" i="19"/>
  <c r="BA86" i="25" s="1"/>
  <c r="AO81" i="25"/>
  <c r="AN81" i="25"/>
  <c r="Y80" i="19"/>
  <c r="AK81" i="25"/>
  <c r="BB81" i="20" s="1"/>
  <c r="Z80" i="19"/>
  <c r="AL81" i="25"/>
  <c r="BI86" i="19"/>
  <c r="V86" i="19"/>
  <c r="AF87" i="25"/>
  <c r="X81" i="19"/>
  <c r="AJ82" i="25"/>
  <c r="O130" i="20"/>
  <c r="BZ130" i="20" s="1"/>
  <c r="AR116" i="20"/>
  <c r="AI116" i="20" s="1"/>
  <c r="AC79" i="20"/>
  <c r="AQ117" i="20"/>
  <c r="AH117" i="20" s="1"/>
  <c r="AS116" i="20"/>
  <c r="AJ116" i="20" s="1"/>
  <c r="AT116" i="20"/>
  <c r="AK116" i="20" s="1"/>
  <c r="N134" i="20"/>
  <c r="BY134" i="20" s="1"/>
  <c r="L133" i="20"/>
  <c r="BW133" i="20" s="1"/>
  <c r="AN133" i="20"/>
  <c r="AE133" i="20" s="1"/>
  <c r="BY81" i="19" l="1"/>
  <c r="BF81" i="25"/>
  <c r="CA81" i="19"/>
  <c r="BH81" i="25"/>
  <c r="AZ87" i="25"/>
  <c r="L87" i="25" s="1"/>
  <c r="BI81" i="25"/>
  <c r="BC83" i="25"/>
  <c r="BX81" i="19"/>
  <c r="BD82" i="25" s="1"/>
  <c r="BE81" i="25"/>
  <c r="M86" i="25"/>
  <c r="S117" i="20"/>
  <c r="CD117" i="20" s="1"/>
  <c r="P118" i="20"/>
  <c r="CA118" i="20" s="1"/>
  <c r="Q117" i="20"/>
  <c r="CB117" i="20" s="1"/>
  <c r="R117" i="20"/>
  <c r="CC117" i="20" s="1"/>
  <c r="K80" i="20"/>
  <c r="BV80" i="20" s="1"/>
  <c r="AP130" i="20"/>
  <c r="AG130" i="20" s="1"/>
  <c r="M134" i="20"/>
  <c r="BX134" i="20" s="1"/>
  <c r="AO134" i="20"/>
  <c r="AF134" i="20" s="1"/>
  <c r="AM133" i="20"/>
  <c r="AD133" i="20" s="1"/>
  <c r="P82" i="25" l="1"/>
  <c r="U81" i="25"/>
  <c r="R81" i="25"/>
  <c r="O83" i="25"/>
  <c r="AI84" i="25" s="1"/>
  <c r="V87" i="19"/>
  <c r="BI87" i="19"/>
  <c r="BJ86" i="19"/>
  <c r="W86" i="19"/>
  <c r="AG87" i="25"/>
  <c r="AZ87" i="20" s="1"/>
  <c r="Q81" i="25"/>
  <c r="AF88" i="25"/>
  <c r="T81" i="25"/>
  <c r="O131" i="20"/>
  <c r="BZ131" i="20" s="1"/>
  <c r="AS117" i="20"/>
  <c r="AJ117" i="20" s="1"/>
  <c r="AQ118" i="20"/>
  <c r="AH118" i="20" s="1"/>
  <c r="AT117" i="20"/>
  <c r="AK117" i="20" s="1"/>
  <c r="AR117" i="20"/>
  <c r="AI117" i="20" s="1"/>
  <c r="AL80" i="20"/>
  <c r="BM80" i="19" s="1"/>
  <c r="BG81" i="25" s="1"/>
  <c r="L134" i="20"/>
  <c r="BW134" i="20" s="1"/>
  <c r="N135" i="20"/>
  <c r="BY135" i="20" s="1"/>
  <c r="AN134" i="20"/>
  <c r="AE134" i="20" s="1"/>
  <c r="Y81" i="19" l="1"/>
  <c r="AK82" i="25"/>
  <c r="BB82" i="20" s="1"/>
  <c r="AO82" i="25"/>
  <c r="BV87" i="19"/>
  <c r="AZ88" i="25" s="1"/>
  <c r="L88" i="25" s="1"/>
  <c r="Z81" i="19"/>
  <c r="AL82" i="25"/>
  <c r="S81" i="25"/>
  <c r="AN82" i="25" s="1"/>
  <c r="BB85" i="25"/>
  <c r="N85" i="25" s="1"/>
  <c r="AH86" i="25" s="1"/>
  <c r="BA86" i="20" s="1"/>
  <c r="X82" i="19"/>
  <c r="AJ83" i="25"/>
  <c r="S118" i="20"/>
  <c r="CD118" i="20" s="1"/>
  <c r="AC80" i="20"/>
  <c r="P119" i="20"/>
  <c r="CA119" i="20" s="1"/>
  <c r="Q118" i="20"/>
  <c r="CB118" i="20" s="1"/>
  <c r="R118" i="20"/>
  <c r="CC118" i="20" s="1"/>
  <c r="AP131" i="20"/>
  <c r="AG131" i="20" s="1"/>
  <c r="AO135" i="20"/>
  <c r="AF135" i="20" s="1"/>
  <c r="M135" i="20"/>
  <c r="BX135" i="20" s="1"/>
  <c r="AM134" i="20"/>
  <c r="AD134" i="20" s="1"/>
  <c r="V88" i="19" l="1"/>
  <c r="BI88" i="19"/>
  <c r="AF89" i="25"/>
  <c r="BW86" i="19"/>
  <c r="BA87" i="25" s="1"/>
  <c r="BI82" i="25"/>
  <c r="U82" i="25" s="1"/>
  <c r="CA82" i="19"/>
  <c r="BH82" i="25"/>
  <c r="BC84" i="25"/>
  <c r="AA81" i="19"/>
  <c r="BK81" i="19"/>
  <c r="BE82" i="25" s="1"/>
  <c r="AM82" i="25"/>
  <c r="BC82" i="20" s="1"/>
  <c r="BX82" i="19"/>
  <c r="BD83" i="25" s="1"/>
  <c r="BY82" i="19"/>
  <c r="BF82" i="25"/>
  <c r="AT118" i="20"/>
  <c r="AK118" i="20" s="1"/>
  <c r="O132" i="20"/>
  <c r="BZ132" i="20" s="1"/>
  <c r="AS118" i="20"/>
  <c r="AJ118" i="20" s="1"/>
  <c r="AR118" i="20"/>
  <c r="AI118" i="20" s="1"/>
  <c r="AQ119" i="20"/>
  <c r="AH119" i="20" s="1"/>
  <c r="K81" i="20"/>
  <c r="BV81" i="20" s="1"/>
  <c r="L135" i="20"/>
  <c r="BW135" i="20" s="1"/>
  <c r="N136" i="20"/>
  <c r="BY136" i="20" s="1"/>
  <c r="AN135" i="20"/>
  <c r="AE135" i="20" s="1"/>
  <c r="P83" i="25" l="1"/>
  <c r="R82" i="25"/>
  <c r="M87" i="25"/>
  <c r="O84" i="25"/>
  <c r="AI85" i="25" s="1"/>
  <c r="Q82" i="25"/>
  <c r="T82" i="25"/>
  <c r="Q119" i="20"/>
  <c r="CB119" i="20" s="1"/>
  <c r="AP132" i="20"/>
  <c r="AG132" i="20" s="1"/>
  <c r="S119" i="20"/>
  <c r="CD119" i="20" s="1"/>
  <c r="AL81" i="20"/>
  <c r="BM81" i="19" s="1"/>
  <c r="BG82" i="25" s="1"/>
  <c r="P120" i="20"/>
  <c r="CA120" i="20" s="1"/>
  <c r="R119" i="20"/>
  <c r="CC119" i="20" s="1"/>
  <c r="AM135" i="20"/>
  <c r="AD135" i="20" s="1"/>
  <c r="M136" i="20"/>
  <c r="BX136" i="20" s="1"/>
  <c r="AO136" i="20"/>
  <c r="AF136" i="20" s="1"/>
  <c r="S82" i="25" l="1"/>
  <c r="AO83" i="25"/>
  <c r="BB86" i="25"/>
  <c r="Z82" i="19"/>
  <c r="AL83" i="25"/>
  <c r="Y82" i="19"/>
  <c r="AK83" i="25"/>
  <c r="BB83" i="20" s="1"/>
  <c r="BJ87" i="19"/>
  <c r="W87" i="19"/>
  <c r="AG88" i="25"/>
  <c r="AZ88" i="20" s="1"/>
  <c r="X83" i="19"/>
  <c r="AJ84" i="25"/>
  <c r="BC85" i="25" s="1"/>
  <c r="AR119" i="20"/>
  <c r="AI119" i="20" s="1"/>
  <c r="AS119" i="20"/>
  <c r="AJ119" i="20" s="1"/>
  <c r="AQ120" i="20"/>
  <c r="AH120" i="20" s="1"/>
  <c r="AC81" i="20"/>
  <c r="AT119" i="20"/>
  <c r="AK119" i="20" s="1"/>
  <c r="O133" i="20"/>
  <c r="BZ133" i="20" s="1"/>
  <c r="AN136" i="20"/>
  <c r="AE136" i="20" s="1"/>
  <c r="N137" i="20"/>
  <c r="BY137" i="20" s="1"/>
  <c r="L136" i="20"/>
  <c r="BW136" i="20" s="1"/>
  <c r="N86" i="25" l="1"/>
  <c r="AH87" i="25" s="1"/>
  <c r="AA82" i="19"/>
  <c r="BK82" i="19"/>
  <c r="BE83" i="25" s="1"/>
  <c r="AM83" i="25"/>
  <c r="BC83" i="20" s="1"/>
  <c r="BI83" i="25"/>
  <c r="U83" i="25" s="1"/>
  <c r="BX83" i="19"/>
  <c r="BD84" i="25" s="1"/>
  <c r="AN83" i="25"/>
  <c r="BV88" i="19"/>
  <c r="AZ89" i="25" s="1"/>
  <c r="L89" i="25" s="1"/>
  <c r="O85" i="25"/>
  <c r="AI86" i="25" s="1"/>
  <c r="BY83" i="19"/>
  <c r="BF83" i="25"/>
  <c r="S120" i="20"/>
  <c r="CD120" i="20" s="1"/>
  <c r="P121" i="20"/>
  <c r="CA121" i="20" s="1"/>
  <c r="Q120" i="20"/>
  <c r="CB120" i="20" s="1"/>
  <c r="AP133" i="20"/>
  <c r="AG133" i="20" s="1"/>
  <c r="K82" i="20"/>
  <c r="BV82" i="20" s="1"/>
  <c r="R120" i="20"/>
  <c r="CC120" i="20" s="1"/>
  <c r="AO137" i="20"/>
  <c r="AF137" i="20" s="1"/>
  <c r="M137" i="20"/>
  <c r="BX137" i="20" s="1"/>
  <c r="AM136" i="20"/>
  <c r="AD136" i="20" s="1"/>
  <c r="BW87" i="19" l="1"/>
  <c r="BA88" i="25" s="1"/>
  <c r="M88" i="25" s="1"/>
  <c r="W88" i="19" s="1"/>
  <c r="BA87" i="20"/>
  <c r="P84" i="25"/>
  <c r="CA83" i="19"/>
  <c r="BH83" i="25"/>
  <c r="R83" i="25"/>
  <c r="Z83" i="19" s="1"/>
  <c r="V89" i="19"/>
  <c r="BI89" i="19"/>
  <c r="AF90" i="25"/>
  <c r="Q83" i="25"/>
  <c r="BB87" i="25"/>
  <c r="AQ121" i="20"/>
  <c r="AH121" i="20" s="1"/>
  <c r="AS120" i="20"/>
  <c r="AJ120" i="20" s="1"/>
  <c r="O134" i="20"/>
  <c r="BZ134" i="20" s="1"/>
  <c r="AL82" i="20"/>
  <c r="BM82" i="19" s="1"/>
  <c r="BG83" i="25" s="1"/>
  <c r="AR120" i="20"/>
  <c r="AI120" i="20" s="1"/>
  <c r="AT120" i="20"/>
  <c r="AK120" i="20" s="1"/>
  <c r="N138" i="20"/>
  <c r="BY138" i="20" s="1"/>
  <c r="L137" i="20"/>
  <c r="BW137" i="20" s="1"/>
  <c r="AN137" i="20"/>
  <c r="AE137" i="20" s="1"/>
  <c r="BJ88" i="19" l="1"/>
  <c r="AG89" i="25"/>
  <c r="S83" i="25"/>
  <c r="T83" i="25"/>
  <c r="AL84" i="25"/>
  <c r="Y83" i="19"/>
  <c r="AK84" i="25"/>
  <c r="BB84" i="20" s="1"/>
  <c r="N87" i="25"/>
  <c r="AH88" i="25" s="1"/>
  <c r="BA88" i="20" s="1"/>
  <c r="X84" i="19"/>
  <c r="AJ85" i="25"/>
  <c r="AP134" i="20"/>
  <c r="AG134" i="20" s="1"/>
  <c r="AC82" i="20"/>
  <c r="S121" i="20"/>
  <c r="CD121" i="20" s="1"/>
  <c r="P122" i="20"/>
  <c r="CA122" i="20" s="1"/>
  <c r="R121" i="20"/>
  <c r="CC121" i="20" s="1"/>
  <c r="Q121" i="20"/>
  <c r="CB121" i="20" s="1"/>
  <c r="AM137" i="20"/>
  <c r="AD137" i="20" s="1"/>
  <c r="M138" i="20"/>
  <c r="BX138" i="20" s="1"/>
  <c r="AO138" i="20"/>
  <c r="AF138" i="20" s="1"/>
  <c r="BV89" i="19" l="1"/>
  <c r="AZ90" i="25" s="1"/>
  <c r="L90" i="25" s="1"/>
  <c r="BI90" i="19" s="1"/>
  <c r="AZ89" i="20"/>
  <c r="BW88" i="19"/>
  <c r="BA89" i="25" s="1"/>
  <c r="BC86" i="25"/>
  <c r="BX84" i="19"/>
  <c r="BD85" i="25" s="1"/>
  <c r="BY84" i="19"/>
  <c r="BF84" i="25"/>
  <c r="AN84" i="25"/>
  <c r="AO84" i="25"/>
  <c r="AM84" i="25"/>
  <c r="BC84" i="20" s="1"/>
  <c r="BK83" i="19"/>
  <c r="BE84" i="25" s="1"/>
  <c r="AA83" i="19"/>
  <c r="AR121" i="20"/>
  <c r="AI121" i="20" s="1"/>
  <c r="AQ122" i="20"/>
  <c r="AH122" i="20" s="1"/>
  <c r="O135" i="20"/>
  <c r="BZ135" i="20" s="1"/>
  <c r="K83" i="20"/>
  <c r="BV83" i="20" s="1"/>
  <c r="AS121" i="20"/>
  <c r="AJ121" i="20" s="1"/>
  <c r="AT121" i="20"/>
  <c r="AK121" i="20" s="1"/>
  <c r="L138" i="20"/>
  <c r="BW138" i="20" s="1"/>
  <c r="N139" i="20"/>
  <c r="BY139" i="20" s="1"/>
  <c r="AN138" i="20"/>
  <c r="AE138" i="20" s="1"/>
  <c r="V90" i="19" l="1"/>
  <c r="AF91" i="25"/>
  <c r="P85" i="25"/>
  <c r="BI84" i="25"/>
  <c r="U84" i="25" s="1"/>
  <c r="Q84" i="25"/>
  <c r="O86" i="25"/>
  <c r="AI87" i="25" s="1"/>
  <c r="CA84" i="19"/>
  <c r="BH84" i="25"/>
  <c r="R84" i="25"/>
  <c r="Z84" i="19" s="1"/>
  <c r="M89" i="25"/>
  <c r="BJ89" i="19" s="1"/>
  <c r="AP135" i="20"/>
  <c r="AG135" i="20" s="1"/>
  <c r="R122" i="20"/>
  <c r="CC122" i="20" s="1"/>
  <c r="P123" i="20"/>
  <c r="CA123" i="20" s="1"/>
  <c r="Q122" i="20"/>
  <c r="CB122" i="20" s="1"/>
  <c r="S122" i="20"/>
  <c r="CD122" i="20" s="1"/>
  <c r="AL83" i="20"/>
  <c r="BM83" i="19" s="1"/>
  <c r="BG84" i="25" s="1"/>
  <c r="AO139" i="20"/>
  <c r="AF139" i="20" s="1"/>
  <c r="AM138" i="20"/>
  <c r="AD138" i="20" s="1"/>
  <c r="M139" i="20"/>
  <c r="BX139" i="20" s="1"/>
  <c r="S84" i="25" l="1"/>
  <c r="T84" i="25"/>
  <c r="AO85" i="25" s="1"/>
  <c r="AL85" i="25"/>
  <c r="Y84" i="19"/>
  <c r="AK85" i="25"/>
  <c r="BB85" i="20" s="1"/>
  <c r="W89" i="19"/>
  <c r="AG90" i="25"/>
  <c r="AZ90" i="20" s="1"/>
  <c r="BB88" i="25"/>
  <c r="X85" i="19"/>
  <c r="AJ86" i="25"/>
  <c r="AR122" i="20"/>
  <c r="AI122" i="20" s="1"/>
  <c r="AS122" i="20"/>
  <c r="AJ122" i="20" s="1"/>
  <c r="AT122" i="20"/>
  <c r="AK122" i="20" s="1"/>
  <c r="AQ123" i="20"/>
  <c r="AH123" i="20" s="1"/>
  <c r="AC83" i="20"/>
  <c r="O136" i="20"/>
  <c r="BZ136" i="20" s="1"/>
  <c r="AN139" i="20"/>
  <c r="AE139" i="20" s="1"/>
  <c r="N140" i="20"/>
  <c r="BY140" i="20" s="1"/>
  <c r="L139" i="20"/>
  <c r="BW139" i="20" s="1"/>
  <c r="N88" i="25" l="1"/>
  <c r="AH89" i="25" s="1"/>
  <c r="BA89" i="20" s="1"/>
  <c r="BX85" i="19"/>
  <c r="BI85" i="25"/>
  <c r="U85" i="25" s="1"/>
  <c r="BD86" i="25"/>
  <c r="P86" i="25" s="1"/>
  <c r="X86" i="19" s="1"/>
  <c r="BC87" i="25"/>
  <c r="O87" i="25" s="1"/>
  <c r="AI88" i="25" s="1"/>
  <c r="BV90" i="19"/>
  <c r="AZ91" i="25" s="1"/>
  <c r="L91" i="25" s="1"/>
  <c r="BY85" i="19"/>
  <c r="BF85" i="25"/>
  <c r="R85" i="25" s="1"/>
  <c r="Z85" i="19" s="1"/>
  <c r="AN85" i="25"/>
  <c r="AA84" i="19"/>
  <c r="BK84" i="19"/>
  <c r="BE85" i="25" s="1"/>
  <c r="AM85" i="25"/>
  <c r="BC85" i="20" s="1"/>
  <c r="R123" i="20"/>
  <c r="CC123" i="20" s="1"/>
  <c r="AP136" i="20"/>
  <c r="AG136" i="20" s="1"/>
  <c r="P124" i="20"/>
  <c r="CA124" i="20" s="1"/>
  <c r="S123" i="20"/>
  <c r="CD123" i="20" s="1"/>
  <c r="K84" i="20"/>
  <c r="BV84" i="20" s="1"/>
  <c r="Q123" i="20"/>
  <c r="CB123" i="20" s="1"/>
  <c r="M140" i="20"/>
  <c r="BX140" i="20" s="1"/>
  <c r="AM139" i="20"/>
  <c r="AD139" i="20" s="1"/>
  <c r="AO140" i="20"/>
  <c r="AF140" i="20" s="1"/>
  <c r="Q85" i="25" l="1"/>
  <c r="AL86" i="25" s="1"/>
  <c r="V91" i="19"/>
  <c r="BI91" i="19"/>
  <c r="AF92" i="25"/>
  <c r="CA85" i="19"/>
  <c r="BH85" i="25"/>
  <c r="BW89" i="19"/>
  <c r="BA90" i="25" s="1"/>
  <c r="AJ87" i="25"/>
  <c r="BB89" i="25"/>
  <c r="N89" i="25" s="1"/>
  <c r="AH90" i="25" s="1"/>
  <c r="AL84" i="20"/>
  <c r="BM84" i="19" s="1"/>
  <c r="BG85" i="25" s="1"/>
  <c r="AT123" i="20"/>
  <c r="AK123" i="20" s="1"/>
  <c r="AQ124" i="20"/>
  <c r="AH124" i="20" s="1"/>
  <c r="O137" i="20"/>
  <c r="BZ137" i="20" s="1"/>
  <c r="AS123" i="20"/>
  <c r="AJ123" i="20" s="1"/>
  <c r="AR123" i="20"/>
  <c r="AI123" i="20" s="1"/>
  <c r="L140" i="20"/>
  <c r="BW140" i="20" s="1"/>
  <c r="AN140" i="20"/>
  <c r="AE140" i="20" s="1"/>
  <c r="N141" i="20"/>
  <c r="BY141" i="20" s="1"/>
  <c r="BW90" i="19" l="1"/>
  <c r="BA90" i="20"/>
  <c r="S85" i="25"/>
  <c r="BY86" i="19"/>
  <c r="BF86" i="25"/>
  <c r="T85" i="25"/>
  <c r="M90" i="25"/>
  <c r="BJ90" i="19" s="1"/>
  <c r="BC88" i="25"/>
  <c r="Y85" i="19"/>
  <c r="AK86" i="25"/>
  <c r="BB86" i="20" s="1"/>
  <c r="AP137" i="20"/>
  <c r="AG137" i="20" s="1"/>
  <c r="S124" i="20"/>
  <c r="CD124" i="20" s="1"/>
  <c r="Q124" i="20"/>
  <c r="CB124" i="20" s="1"/>
  <c r="R124" i="20"/>
  <c r="CC124" i="20" s="1"/>
  <c r="P125" i="20"/>
  <c r="CA125" i="20" s="1"/>
  <c r="AC84" i="20"/>
  <c r="AO141" i="20"/>
  <c r="AF141" i="20" s="1"/>
  <c r="M141" i="20"/>
  <c r="BX141" i="20" s="1"/>
  <c r="AM140" i="20"/>
  <c r="AD140" i="20" s="1"/>
  <c r="O88" i="25" l="1"/>
  <c r="AI89" i="25" s="1"/>
  <c r="AO86" i="25"/>
  <c r="AN86" i="25"/>
  <c r="R86" i="25"/>
  <c r="BX86" i="19"/>
  <c r="BD87" i="25" s="1"/>
  <c r="W90" i="19"/>
  <c r="AG91" i="25"/>
  <c r="AZ91" i="20" s="1"/>
  <c r="AA85" i="19"/>
  <c r="BK85" i="19"/>
  <c r="BE86" i="25" s="1"/>
  <c r="AM86" i="25"/>
  <c r="BC86" i="20" s="1"/>
  <c r="AR124" i="20"/>
  <c r="AI124" i="20" s="1"/>
  <c r="K85" i="20"/>
  <c r="BV85" i="20" s="1"/>
  <c r="AT124" i="20"/>
  <c r="AK124" i="20" s="1"/>
  <c r="AQ125" i="20"/>
  <c r="AH125" i="20" s="1"/>
  <c r="AS124" i="20"/>
  <c r="AJ124" i="20" s="1"/>
  <c r="O138" i="20"/>
  <c r="BZ138" i="20" s="1"/>
  <c r="N142" i="20"/>
  <c r="BY142" i="20" s="1"/>
  <c r="AN141" i="20"/>
  <c r="AE141" i="20" s="1"/>
  <c r="L141" i="20"/>
  <c r="BW141" i="20" s="1"/>
  <c r="Q86" i="25" l="1"/>
  <c r="AL87" i="25" s="1"/>
  <c r="BA91" i="25"/>
  <c r="M91" i="25" s="1"/>
  <c r="BV91" i="19"/>
  <c r="AZ92" i="25" s="1"/>
  <c r="P87" i="25"/>
  <c r="BI86" i="25"/>
  <c r="CA86" i="19"/>
  <c r="BH86" i="25"/>
  <c r="BB90" i="25"/>
  <c r="N90" i="25" s="1"/>
  <c r="AH91" i="25" s="1"/>
  <c r="BA91" i="20" s="1"/>
  <c r="Z86" i="19"/>
  <c r="P126" i="20"/>
  <c r="CA126" i="20" s="1"/>
  <c r="AL85" i="20"/>
  <c r="BM85" i="19" s="1"/>
  <c r="BG86" i="25" s="1"/>
  <c r="AP138" i="20"/>
  <c r="AG138" i="20" s="1"/>
  <c r="R125" i="20"/>
  <c r="CC125" i="20" s="1"/>
  <c r="S125" i="20"/>
  <c r="CD125" i="20" s="1"/>
  <c r="Q125" i="20"/>
  <c r="CB125" i="20" s="1"/>
  <c r="AM141" i="20"/>
  <c r="AD141" i="20" s="1"/>
  <c r="M142" i="20"/>
  <c r="BX142" i="20" s="1"/>
  <c r="AO142" i="20"/>
  <c r="AF142" i="20" s="1"/>
  <c r="S86" i="25" l="1"/>
  <c r="BW91" i="19"/>
  <c r="AG92" i="25"/>
  <c r="AZ92" i="20" s="1"/>
  <c r="W91" i="19"/>
  <c r="L92" i="25"/>
  <c r="U86" i="25"/>
  <c r="BY87" i="19"/>
  <c r="BF87" i="25"/>
  <c r="T86" i="25"/>
  <c r="AN87" i="25" s="1"/>
  <c r="X87" i="19"/>
  <c r="AJ88" i="25"/>
  <c r="BJ91" i="19"/>
  <c r="Y86" i="19"/>
  <c r="AK87" i="25"/>
  <c r="BB87" i="20" s="1"/>
  <c r="O139" i="20"/>
  <c r="BZ139" i="20" s="1"/>
  <c r="AC85" i="20"/>
  <c r="AS125" i="20"/>
  <c r="AJ125" i="20" s="1"/>
  <c r="AT125" i="20"/>
  <c r="AK125" i="20" s="1"/>
  <c r="AR125" i="20"/>
  <c r="AI125" i="20" s="1"/>
  <c r="AQ126" i="20"/>
  <c r="AH126" i="20" s="1"/>
  <c r="N143" i="20"/>
  <c r="BY143" i="20" s="1"/>
  <c r="AN142" i="20"/>
  <c r="AE142" i="20" s="1"/>
  <c r="L142" i="20"/>
  <c r="BW142" i="20" s="1"/>
  <c r="BX87" i="19" l="1"/>
  <c r="BD88" i="25" s="1"/>
  <c r="BI92" i="19"/>
  <c r="V92" i="19"/>
  <c r="AF93" i="25"/>
  <c r="CA87" i="19"/>
  <c r="BH87" i="25"/>
  <c r="R87" i="25"/>
  <c r="AO87" i="25"/>
  <c r="BC89" i="25"/>
  <c r="BA92" i="25"/>
  <c r="BV92" i="19"/>
  <c r="AA86" i="19"/>
  <c r="BK86" i="19"/>
  <c r="BE87" i="25" s="1"/>
  <c r="AM87" i="25"/>
  <c r="BC87" i="20" s="1"/>
  <c r="P127" i="20"/>
  <c r="CA127" i="20" s="1"/>
  <c r="S126" i="20"/>
  <c r="CD126" i="20" s="1"/>
  <c r="K86" i="20"/>
  <c r="BV86" i="20" s="1"/>
  <c r="Q126" i="20"/>
  <c r="CB126" i="20" s="1"/>
  <c r="AP139" i="20"/>
  <c r="AG139" i="20" s="1"/>
  <c r="R126" i="20"/>
  <c r="CC126" i="20" s="1"/>
  <c r="M143" i="20"/>
  <c r="BX143" i="20" s="1"/>
  <c r="AM142" i="20"/>
  <c r="AD142" i="20" s="1"/>
  <c r="AO143" i="20"/>
  <c r="AF143" i="20" s="1"/>
  <c r="Q87" i="25" l="1"/>
  <c r="AL88" i="25" s="1"/>
  <c r="BI87" i="25"/>
  <c r="U87" i="25" s="1"/>
  <c r="P88" i="25"/>
  <c r="O89" i="25"/>
  <c r="AI90" i="25" s="1"/>
  <c r="BB91" i="25" s="1"/>
  <c r="Z87" i="19"/>
  <c r="AZ93" i="25"/>
  <c r="M92" i="25"/>
  <c r="BJ92" i="19" s="1"/>
  <c r="T87" i="25"/>
  <c r="O140" i="20"/>
  <c r="BZ140" i="20" s="1"/>
  <c r="AL86" i="20"/>
  <c r="BM86" i="19" s="1"/>
  <c r="BG87" i="25" s="1"/>
  <c r="AS126" i="20"/>
  <c r="AJ126" i="20" s="1"/>
  <c r="AR126" i="20"/>
  <c r="AI126" i="20" s="1"/>
  <c r="AT126" i="20"/>
  <c r="AK126" i="20" s="1"/>
  <c r="AQ127" i="20"/>
  <c r="AH127" i="20" s="1"/>
  <c r="N144" i="20"/>
  <c r="BY144" i="20" s="1"/>
  <c r="AN143" i="20"/>
  <c r="AE143" i="20" s="1"/>
  <c r="L143" i="20"/>
  <c r="BW143" i="20" s="1"/>
  <c r="AO88" i="25" l="1"/>
  <c r="BI88" i="25" s="1"/>
  <c r="U88" i="25" s="1"/>
  <c r="N91" i="25"/>
  <c r="AH92" i="25" s="1"/>
  <c r="L93" i="25"/>
  <c r="X88" i="19"/>
  <c r="AJ89" i="25"/>
  <c r="BC90" i="25" s="1"/>
  <c r="O90" i="25" s="1"/>
  <c r="AI91" i="25" s="1"/>
  <c r="W92" i="19"/>
  <c r="AG93" i="25"/>
  <c r="AZ93" i="20" s="1"/>
  <c r="BY88" i="19"/>
  <c r="BF88" i="25"/>
  <c r="R88" i="25" s="1"/>
  <c r="Z88" i="19" s="1"/>
  <c r="S87" i="25"/>
  <c r="Y87" i="19"/>
  <c r="AK88" i="25"/>
  <c r="BB88" i="20" s="1"/>
  <c r="S127" i="20"/>
  <c r="CD127" i="20" s="1"/>
  <c r="AC86" i="20"/>
  <c r="P128" i="20"/>
  <c r="CA128" i="20" s="1"/>
  <c r="Q127" i="20"/>
  <c r="CB127" i="20" s="1"/>
  <c r="R127" i="20"/>
  <c r="CC127" i="20" s="1"/>
  <c r="AP140" i="20"/>
  <c r="AG140" i="20" s="1"/>
  <c r="AM143" i="20"/>
  <c r="AD143" i="20" s="1"/>
  <c r="AO144" i="20"/>
  <c r="AF144" i="20" s="1"/>
  <c r="M144" i="20"/>
  <c r="BX144" i="20" s="1"/>
  <c r="BW92" i="19" l="1"/>
  <c r="BA93" i="25" s="1"/>
  <c r="BA92" i="20"/>
  <c r="BK87" i="19"/>
  <c r="BE88" i="25" s="1"/>
  <c r="AA87" i="19"/>
  <c r="AM88" i="25"/>
  <c r="BC88" i="20" s="1"/>
  <c r="AF94" i="25"/>
  <c r="BI93" i="19"/>
  <c r="V93" i="19"/>
  <c r="BV93" i="19"/>
  <c r="AN88" i="25"/>
  <c r="BX88" i="19"/>
  <c r="BD89" i="25" s="1"/>
  <c r="BB92" i="25"/>
  <c r="K87" i="20"/>
  <c r="BV87" i="20" s="1"/>
  <c r="O141" i="20"/>
  <c r="BZ141" i="20" s="1"/>
  <c r="AS127" i="20"/>
  <c r="AJ127" i="20" s="1"/>
  <c r="AR127" i="20"/>
  <c r="AI127" i="20" s="1"/>
  <c r="AQ128" i="20"/>
  <c r="AH128" i="20" s="1"/>
  <c r="AT127" i="20"/>
  <c r="AK127" i="20" s="1"/>
  <c r="AN144" i="20"/>
  <c r="AE144" i="20" s="1"/>
  <c r="N145" i="20"/>
  <c r="BY145" i="20" s="1"/>
  <c r="L144" i="20"/>
  <c r="BW144" i="20" s="1"/>
  <c r="P89" i="25" l="1"/>
  <c r="CA88" i="19"/>
  <c r="BH88" i="25"/>
  <c r="M93" i="25"/>
  <c r="BJ93" i="19" s="1"/>
  <c r="N92" i="25"/>
  <c r="AH93" i="25" s="1"/>
  <c r="AZ94" i="25"/>
  <c r="L94" i="25" s="1"/>
  <c r="Q88" i="25"/>
  <c r="P129" i="20"/>
  <c r="CA129" i="20" s="1"/>
  <c r="R128" i="20"/>
  <c r="CC128" i="20" s="1"/>
  <c r="Q128" i="20"/>
  <c r="CB128" i="20" s="1"/>
  <c r="AP141" i="20"/>
  <c r="AG141" i="20" s="1"/>
  <c r="AL87" i="20"/>
  <c r="BM87" i="19" s="1"/>
  <c r="BG88" i="25" s="1"/>
  <c r="S128" i="20"/>
  <c r="CD128" i="20" s="1"/>
  <c r="M145" i="20"/>
  <c r="BX145" i="20" s="1"/>
  <c r="AO145" i="20"/>
  <c r="AF145" i="20" s="1"/>
  <c r="AM144" i="20"/>
  <c r="AD144" i="20" s="1"/>
  <c r="BW93" i="19" l="1"/>
  <c r="BA93" i="20"/>
  <c r="AF95" i="25"/>
  <c r="BI94" i="19"/>
  <c r="V94" i="19"/>
  <c r="S88" i="25"/>
  <c r="W93" i="19"/>
  <c r="AG94" i="25"/>
  <c r="AZ94" i="20" s="1"/>
  <c r="Y88" i="19"/>
  <c r="AK89" i="25"/>
  <c r="BB89" i="20" s="1"/>
  <c r="AL89" i="25"/>
  <c r="T88" i="25"/>
  <c r="X89" i="19"/>
  <c r="AJ90" i="25"/>
  <c r="O142" i="20"/>
  <c r="BZ142" i="20" s="1"/>
  <c r="AR128" i="20"/>
  <c r="AI128" i="20" s="1"/>
  <c r="AS128" i="20"/>
  <c r="AJ128" i="20" s="1"/>
  <c r="AQ129" i="20"/>
  <c r="AH129" i="20" s="1"/>
  <c r="AT128" i="20"/>
  <c r="AK128" i="20" s="1"/>
  <c r="AC87" i="20"/>
  <c r="N146" i="20"/>
  <c r="BY146" i="20" s="1"/>
  <c r="AN145" i="20"/>
  <c r="AE145" i="20" s="1"/>
  <c r="L145" i="20"/>
  <c r="BW145" i="20" s="1"/>
  <c r="AO89" i="25" l="1"/>
  <c r="AN89" i="25"/>
  <c r="BV94" i="19"/>
  <c r="AZ95" i="25" s="1"/>
  <c r="BA94" i="25"/>
  <c r="AA88" i="19"/>
  <c r="BK88" i="19"/>
  <c r="BE89" i="25" s="1"/>
  <c r="AM89" i="25"/>
  <c r="BC89" i="20" s="1"/>
  <c r="BC91" i="25"/>
  <c r="BY89" i="19"/>
  <c r="BF89" i="25"/>
  <c r="BX89" i="19"/>
  <c r="BD90" i="25" s="1"/>
  <c r="Q129" i="20"/>
  <c r="CB129" i="20" s="1"/>
  <c r="R129" i="20"/>
  <c r="CC129" i="20" s="1"/>
  <c r="AP142" i="20"/>
  <c r="AG142" i="20" s="1"/>
  <c r="K88" i="20"/>
  <c r="BV88" i="20" s="1"/>
  <c r="S129" i="20"/>
  <c r="CD129" i="20" s="1"/>
  <c r="P130" i="20"/>
  <c r="CA130" i="20" s="1"/>
  <c r="AO146" i="20"/>
  <c r="AF146" i="20" s="1"/>
  <c r="M146" i="20"/>
  <c r="BX146" i="20" s="1"/>
  <c r="AM145" i="20"/>
  <c r="AD145" i="20" s="1"/>
  <c r="Q89" i="25" l="1"/>
  <c r="P90" i="25"/>
  <c r="R89" i="25"/>
  <c r="L95" i="25"/>
  <c r="O91" i="25"/>
  <c r="AI92" i="25" s="1"/>
  <c r="BB93" i="25" s="1"/>
  <c r="CA89" i="19"/>
  <c r="BH89" i="25"/>
  <c r="T89" i="25" s="1"/>
  <c r="M94" i="25"/>
  <c r="BI89" i="25"/>
  <c r="AQ130" i="20"/>
  <c r="AH130" i="20" s="1"/>
  <c r="O143" i="20"/>
  <c r="BZ143" i="20" s="1"/>
  <c r="AR129" i="20"/>
  <c r="AI129" i="20" s="1"/>
  <c r="AL88" i="20"/>
  <c r="BM88" i="19" s="1"/>
  <c r="BG89" i="25" s="1"/>
  <c r="AT129" i="20"/>
  <c r="AK129" i="20" s="1"/>
  <c r="AS129" i="20"/>
  <c r="AJ129" i="20" s="1"/>
  <c r="AN146" i="20"/>
  <c r="AE146" i="20" s="1"/>
  <c r="N147" i="20"/>
  <c r="BY147" i="20" s="1"/>
  <c r="L146" i="20"/>
  <c r="BW146" i="20" s="1"/>
  <c r="S89" i="25" l="1"/>
  <c r="W94" i="19"/>
  <c r="AG95" i="25"/>
  <c r="AZ95" i="20" s="1"/>
  <c r="U89" i="25"/>
  <c r="AO90" i="25" s="1"/>
  <c r="BI90" i="25" s="1"/>
  <c r="BI95" i="19"/>
  <c r="V95" i="19"/>
  <c r="AF96" i="25"/>
  <c r="X90" i="19"/>
  <c r="AJ91" i="25"/>
  <c r="BC92" i="25" s="1"/>
  <c r="BJ94" i="19"/>
  <c r="N93" i="25"/>
  <c r="AH94" i="25" s="1"/>
  <c r="BA94" i="20" s="1"/>
  <c r="Z89" i="19"/>
  <c r="AL90" i="25"/>
  <c r="Y89" i="19"/>
  <c r="AK90" i="25"/>
  <c r="BB90" i="20" s="1"/>
  <c r="AP143" i="20"/>
  <c r="AG143" i="20" s="1"/>
  <c r="S130" i="20"/>
  <c r="CD130" i="20" s="1"/>
  <c r="Q130" i="20"/>
  <c r="CB130" i="20" s="1"/>
  <c r="P131" i="20"/>
  <c r="CA131" i="20" s="1"/>
  <c r="R130" i="20"/>
  <c r="CC130" i="20" s="1"/>
  <c r="AC88" i="20"/>
  <c r="AM146" i="20"/>
  <c r="AD146" i="20" s="1"/>
  <c r="AO147" i="20"/>
  <c r="AF147" i="20" s="1"/>
  <c r="M147" i="20"/>
  <c r="BX147" i="20" s="1"/>
  <c r="BX90" i="19" l="1"/>
  <c r="BD91" i="25" s="1"/>
  <c r="BV95" i="19"/>
  <c r="BW94" i="19"/>
  <c r="BA95" i="25" s="1"/>
  <c r="BY90" i="19"/>
  <c r="BF90" i="25"/>
  <c r="O92" i="25"/>
  <c r="AI93" i="25" s="1"/>
  <c r="BB94" i="25" s="1"/>
  <c r="U90" i="25"/>
  <c r="AZ96" i="25"/>
  <c r="L96" i="25" s="1"/>
  <c r="BK89" i="19"/>
  <c r="BE90" i="25" s="1"/>
  <c r="AA89" i="19"/>
  <c r="AN90" i="25"/>
  <c r="AM90" i="25"/>
  <c r="BC90" i="20" s="1"/>
  <c r="K89" i="20"/>
  <c r="BV89" i="20" s="1"/>
  <c r="AS130" i="20"/>
  <c r="AJ130" i="20" s="1"/>
  <c r="AQ131" i="20"/>
  <c r="AH131" i="20" s="1"/>
  <c r="AT130" i="20"/>
  <c r="AK130" i="20" s="1"/>
  <c r="O144" i="20"/>
  <c r="BZ144" i="20" s="1"/>
  <c r="AR130" i="20"/>
  <c r="AI130" i="20" s="1"/>
  <c r="L147" i="20"/>
  <c r="BW147" i="20" s="1"/>
  <c r="N148" i="20"/>
  <c r="BY148" i="20" s="1"/>
  <c r="AN147" i="20"/>
  <c r="AE147" i="20" s="1"/>
  <c r="Q90" i="25" l="1"/>
  <c r="AF97" i="25"/>
  <c r="V96" i="19"/>
  <c r="BI96" i="19"/>
  <c r="P91" i="25"/>
  <c r="M95" i="25"/>
  <c r="CA90" i="19"/>
  <c r="BH90" i="25"/>
  <c r="T90" i="25" s="1"/>
  <c r="R90" i="25"/>
  <c r="N94" i="25"/>
  <c r="AH95" i="25" s="1"/>
  <c r="AP144" i="20"/>
  <c r="AG144" i="20" s="1"/>
  <c r="R131" i="20"/>
  <c r="CC131" i="20" s="1"/>
  <c r="Q131" i="20"/>
  <c r="CB131" i="20" s="1"/>
  <c r="AL89" i="20"/>
  <c r="BM89" i="19" s="1"/>
  <c r="BG90" i="25" s="1"/>
  <c r="S131" i="20"/>
  <c r="CD131" i="20" s="1"/>
  <c r="P132" i="20"/>
  <c r="CA132" i="20" s="1"/>
  <c r="AO148" i="20"/>
  <c r="AF148" i="20" s="1"/>
  <c r="M148" i="20"/>
  <c r="BX148" i="20" s="1"/>
  <c r="AM147" i="20"/>
  <c r="AD147" i="20" s="1"/>
  <c r="BW95" i="19" l="1"/>
  <c r="BA95" i="20"/>
  <c r="AO91" i="25"/>
  <c r="S90" i="25"/>
  <c r="BJ95" i="19"/>
  <c r="W95" i="19"/>
  <c r="AG96" i="25"/>
  <c r="AZ96" i="20" s="1"/>
  <c r="Z90" i="19"/>
  <c r="AL91" i="25"/>
  <c r="X91" i="19"/>
  <c r="AJ92" i="25"/>
  <c r="Y90" i="19"/>
  <c r="AK91" i="25"/>
  <c r="BB91" i="20" s="1"/>
  <c r="AS131" i="20"/>
  <c r="AJ131" i="20" s="1"/>
  <c r="AC89" i="20"/>
  <c r="O145" i="20"/>
  <c r="BZ145" i="20" s="1"/>
  <c r="AQ132" i="20"/>
  <c r="AH132" i="20" s="1"/>
  <c r="AT131" i="20"/>
  <c r="AK131" i="20" s="1"/>
  <c r="AR131" i="20"/>
  <c r="AI131" i="20" s="1"/>
  <c r="L148" i="20"/>
  <c r="BW148" i="20" s="1"/>
  <c r="AN148" i="20"/>
  <c r="AE148" i="20" s="1"/>
  <c r="N149" i="20"/>
  <c r="BY149" i="20" s="1"/>
  <c r="BC93" i="25" l="1"/>
  <c r="BK90" i="19"/>
  <c r="AA90" i="19"/>
  <c r="AM91" i="25"/>
  <c r="BC91" i="20" s="1"/>
  <c r="AN91" i="25"/>
  <c r="BV96" i="19"/>
  <c r="AZ97" i="25" s="1"/>
  <c r="L97" i="25" s="1"/>
  <c r="BA96" i="25"/>
  <c r="BX91" i="19"/>
  <c r="BD92" i="25" s="1"/>
  <c r="BE91" i="25"/>
  <c r="BY91" i="19"/>
  <c r="BF91" i="25"/>
  <c r="R91" i="25" s="1"/>
  <c r="BI91" i="25"/>
  <c r="U91" i="25" s="1"/>
  <c r="K90" i="20"/>
  <c r="BV90" i="20" s="1"/>
  <c r="S132" i="20"/>
  <c r="CD132" i="20" s="1"/>
  <c r="P133" i="20"/>
  <c r="CA133" i="20" s="1"/>
  <c r="R132" i="20"/>
  <c r="CC132" i="20" s="1"/>
  <c r="Q132" i="20"/>
  <c r="CB132" i="20" s="1"/>
  <c r="AP145" i="20"/>
  <c r="AG145" i="20" s="1"/>
  <c r="AM148" i="20"/>
  <c r="AD148" i="20" s="1"/>
  <c r="M149" i="20"/>
  <c r="BX149" i="20" s="1"/>
  <c r="AO149" i="20"/>
  <c r="AF149" i="20" s="1"/>
  <c r="P92" i="25" l="1"/>
  <c r="Z91" i="19"/>
  <c r="BI97" i="19"/>
  <c r="V97" i="19"/>
  <c r="AF98" i="25"/>
  <c r="CA91" i="19"/>
  <c r="BH91" i="25"/>
  <c r="Q91" i="25"/>
  <c r="M96" i="25"/>
  <c r="O93" i="25"/>
  <c r="AI94" i="25" s="1"/>
  <c r="AR132" i="20"/>
  <c r="AI132" i="20" s="1"/>
  <c r="AQ133" i="20"/>
  <c r="AH133" i="20" s="1"/>
  <c r="AT132" i="20"/>
  <c r="AK132" i="20" s="1"/>
  <c r="AL90" i="20"/>
  <c r="BM90" i="19" s="1"/>
  <c r="BG91" i="25" s="1"/>
  <c r="AS132" i="20"/>
  <c r="AJ132" i="20" s="1"/>
  <c r="O146" i="20"/>
  <c r="BZ146" i="20" s="1"/>
  <c r="N150" i="20"/>
  <c r="BY150" i="20" s="1"/>
  <c r="AN149" i="20"/>
  <c r="AE149" i="20" s="1"/>
  <c r="L149" i="20"/>
  <c r="BW149" i="20" s="1"/>
  <c r="S91" i="25" l="1"/>
  <c r="BB95" i="25"/>
  <c r="T91" i="25"/>
  <c r="BJ96" i="19"/>
  <c r="W96" i="19"/>
  <c r="AG97" i="25"/>
  <c r="AZ97" i="20" s="1"/>
  <c r="Y91" i="19"/>
  <c r="AK92" i="25"/>
  <c r="BB92" i="20" s="1"/>
  <c r="AL92" i="25"/>
  <c r="X92" i="19"/>
  <c r="AJ93" i="25"/>
  <c r="AP146" i="20"/>
  <c r="AG146" i="20" s="1"/>
  <c r="AC90" i="20"/>
  <c r="P134" i="20"/>
  <c r="CA134" i="20" s="1"/>
  <c r="R133" i="20"/>
  <c r="CC133" i="20" s="1"/>
  <c r="S133" i="20"/>
  <c r="CD133" i="20" s="1"/>
  <c r="Q133" i="20"/>
  <c r="CB133" i="20" s="1"/>
  <c r="AM149" i="20"/>
  <c r="AD149" i="20" s="1"/>
  <c r="AO150" i="20"/>
  <c r="AF150" i="20" s="1"/>
  <c r="M150" i="20"/>
  <c r="BX150" i="20" s="1"/>
  <c r="BC94" i="25" l="1"/>
  <c r="O94" i="25" s="1"/>
  <c r="AI95" i="25" s="1"/>
  <c r="BV97" i="19"/>
  <c r="AZ98" i="25" s="1"/>
  <c r="BY92" i="19"/>
  <c r="BF92" i="25"/>
  <c r="R92" i="25" s="1"/>
  <c r="Z92" i="19" s="1"/>
  <c r="N95" i="25"/>
  <c r="AH96" i="25" s="1"/>
  <c r="BA96" i="20" s="1"/>
  <c r="AO92" i="25"/>
  <c r="AN92" i="25"/>
  <c r="BX92" i="19"/>
  <c r="BD93" i="25" s="1"/>
  <c r="BK91" i="19"/>
  <c r="BE92" i="25" s="1"/>
  <c r="AA91" i="19"/>
  <c r="AM92" i="25"/>
  <c r="BC92" i="20" s="1"/>
  <c r="AQ134" i="20"/>
  <c r="AH134" i="20" s="1"/>
  <c r="K91" i="20"/>
  <c r="BV91" i="20" s="1"/>
  <c r="AR133" i="20"/>
  <c r="AI133" i="20" s="1"/>
  <c r="AT133" i="20"/>
  <c r="AK133" i="20" s="1"/>
  <c r="AS133" i="20"/>
  <c r="AJ133" i="20" s="1"/>
  <c r="O147" i="20"/>
  <c r="BZ147" i="20" s="1"/>
  <c r="AN150" i="20"/>
  <c r="AE150" i="20" s="1"/>
  <c r="N151" i="20"/>
  <c r="BY151" i="20" s="1"/>
  <c r="L150" i="20"/>
  <c r="BW150" i="20" s="1"/>
  <c r="BB96" i="25" l="1"/>
  <c r="N96" i="25" s="1"/>
  <c r="AH97" i="25" s="1"/>
  <c r="P93" i="25"/>
  <c r="Q92" i="25"/>
  <c r="L98" i="25"/>
  <c r="BW96" i="19"/>
  <c r="BA97" i="25" s="1"/>
  <c r="CA92" i="19"/>
  <c r="BH92" i="25"/>
  <c r="BI92" i="25"/>
  <c r="AL93" i="25"/>
  <c r="BF93" i="25" s="1"/>
  <c r="AP147" i="20"/>
  <c r="AG147" i="20" s="1"/>
  <c r="S134" i="20"/>
  <c r="CD134" i="20" s="1"/>
  <c r="P135" i="20"/>
  <c r="CA135" i="20" s="1"/>
  <c r="R134" i="20"/>
  <c r="CC134" i="20" s="1"/>
  <c r="Q134" i="20"/>
  <c r="CB134" i="20" s="1"/>
  <c r="AL91" i="20"/>
  <c r="BM91" i="19" s="1"/>
  <c r="BG92" i="25" s="1"/>
  <c r="AM150" i="20"/>
  <c r="AD150" i="20" s="1"/>
  <c r="AO151" i="20"/>
  <c r="AF151" i="20" s="1"/>
  <c r="M151" i="20"/>
  <c r="BX151" i="20" s="1"/>
  <c r="BW97" i="19" l="1"/>
  <c r="BA97" i="20"/>
  <c r="BY93" i="19"/>
  <c r="R93" i="25"/>
  <c r="Z93" i="19" s="1"/>
  <c r="M97" i="25"/>
  <c r="BJ97" i="19" s="1"/>
  <c r="Y92" i="19"/>
  <c r="AK93" i="25"/>
  <c r="BB93" i="20" s="1"/>
  <c r="S92" i="25"/>
  <c r="U92" i="25"/>
  <c r="T92" i="25"/>
  <c r="V98" i="19"/>
  <c r="BI98" i="19"/>
  <c r="AF99" i="25"/>
  <c r="X93" i="19"/>
  <c r="AJ94" i="25"/>
  <c r="AT134" i="20"/>
  <c r="AK134" i="20" s="1"/>
  <c r="AQ135" i="20"/>
  <c r="AH135" i="20" s="1"/>
  <c r="AC91" i="20"/>
  <c r="O148" i="20"/>
  <c r="BZ148" i="20" s="1"/>
  <c r="AR134" i="20"/>
  <c r="AI134" i="20" s="1"/>
  <c r="AS134" i="20"/>
  <c r="AJ134" i="20" s="1"/>
  <c r="L151" i="20"/>
  <c r="BW151" i="20" s="1"/>
  <c r="AN151" i="20"/>
  <c r="AE151" i="20" s="1"/>
  <c r="N152" i="20"/>
  <c r="BY152" i="20" s="1"/>
  <c r="AO93" i="25" l="1"/>
  <c r="AN93" i="25"/>
  <c r="BK92" i="19"/>
  <c r="BE93" i="25" s="1"/>
  <c r="Q93" i="25" s="1"/>
  <c r="Y93" i="19" s="1"/>
  <c r="AA92" i="19"/>
  <c r="AM93" i="25"/>
  <c r="BC93" i="20" s="1"/>
  <c r="W97" i="19"/>
  <c r="AG98" i="25"/>
  <c r="AZ98" i="20" s="1"/>
  <c r="BC95" i="25"/>
  <c r="BX93" i="19"/>
  <c r="BD94" i="25" s="1"/>
  <c r="AP148" i="20"/>
  <c r="AG148" i="20" s="1"/>
  <c r="K92" i="20"/>
  <c r="BV92" i="20" s="1"/>
  <c r="P136" i="20"/>
  <c r="CA136" i="20" s="1"/>
  <c r="R135" i="20"/>
  <c r="CC135" i="20" s="1"/>
  <c r="S135" i="20"/>
  <c r="CD135" i="20" s="1"/>
  <c r="Q135" i="20"/>
  <c r="CB135" i="20" s="1"/>
  <c r="M152" i="20"/>
  <c r="BX152" i="20" s="1"/>
  <c r="AM151" i="20"/>
  <c r="AD151" i="20" s="1"/>
  <c r="AO152" i="20"/>
  <c r="AF152" i="20" s="1"/>
  <c r="P94" i="25" l="1"/>
  <c r="AK94" i="25"/>
  <c r="BB94" i="20" s="1"/>
  <c r="CA93" i="19"/>
  <c r="BH93" i="25"/>
  <c r="T93" i="25" s="1"/>
  <c r="BV98" i="19"/>
  <c r="AZ99" i="25" s="1"/>
  <c r="L99" i="25" s="1"/>
  <c r="BA98" i="25"/>
  <c r="AL94" i="25"/>
  <c r="O95" i="25"/>
  <c r="AI96" i="25" s="1"/>
  <c r="BI93" i="25"/>
  <c r="AS135" i="20"/>
  <c r="AJ135" i="20" s="1"/>
  <c r="AQ136" i="20"/>
  <c r="AH136" i="20" s="1"/>
  <c r="O149" i="20"/>
  <c r="BZ149" i="20" s="1"/>
  <c r="AR135" i="20"/>
  <c r="AI135" i="20" s="1"/>
  <c r="AT135" i="20"/>
  <c r="AK135" i="20" s="1"/>
  <c r="AL92" i="20"/>
  <c r="BM92" i="19" s="1"/>
  <c r="BG93" i="25" s="1"/>
  <c r="L152" i="20"/>
  <c r="BW152" i="20" s="1"/>
  <c r="N153" i="20"/>
  <c r="BY153" i="20" s="1"/>
  <c r="AN152" i="20"/>
  <c r="AE152" i="20" s="1"/>
  <c r="S93" i="25" l="1"/>
  <c r="AF100" i="25"/>
  <c r="V99" i="19"/>
  <c r="BI99" i="19"/>
  <c r="BX94" i="19"/>
  <c r="BY94" i="19"/>
  <c r="BF94" i="25"/>
  <c r="R94" i="25" s="1"/>
  <c r="Z94" i="19" s="1"/>
  <c r="X94" i="19"/>
  <c r="AJ95" i="25"/>
  <c r="BC96" i="25" s="1"/>
  <c r="BB97" i="25"/>
  <c r="U93" i="25"/>
  <c r="AO94" i="25" s="1"/>
  <c r="BI94" i="25" s="1"/>
  <c r="U94" i="25" s="1"/>
  <c r="M98" i="25"/>
  <c r="BJ98" i="19" s="1"/>
  <c r="AP149" i="20"/>
  <c r="AG149" i="20" s="1"/>
  <c r="R136" i="20"/>
  <c r="CC136" i="20" s="1"/>
  <c r="AC92" i="20"/>
  <c r="S136" i="20"/>
  <c r="CD136" i="20" s="1"/>
  <c r="Q136" i="20"/>
  <c r="CB136" i="20" s="1"/>
  <c r="P137" i="20"/>
  <c r="CA137" i="20" s="1"/>
  <c r="AM152" i="20"/>
  <c r="AD152" i="20" s="1"/>
  <c r="M153" i="20"/>
  <c r="BX153" i="20" s="1"/>
  <c r="AO153" i="20"/>
  <c r="AF153" i="20" s="1"/>
  <c r="O96" i="25" l="1"/>
  <c r="AI97" i="25" s="1"/>
  <c r="BD95" i="25"/>
  <c r="P95" i="25" s="1"/>
  <c r="BK93" i="19"/>
  <c r="BE94" i="25" s="1"/>
  <c r="Q94" i="25" s="1"/>
  <c r="AA93" i="19"/>
  <c r="AM94" i="25"/>
  <c r="BC94" i="20" s="1"/>
  <c r="N97" i="25"/>
  <c r="AH98" i="25" s="1"/>
  <c r="W98" i="19"/>
  <c r="AG99" i="25"/>
  <c r="AZ99" i="20" s="1"/>
  <c r="AN94" i="25"/>
  <c r="AT136" i="20"/>
  <c r="AK136" i="20" s="1"/>
  <c r="AS136" i="20"/>
  <c r="AJ136" i="20" s="1"/>
  <c r="AQ137" i="20"/>
  <c r="AH137" i="20" s="1"/>
  <c r="AR136" i="20"/>
  <c r="AI136" i="20" s="1"/>
  <c r="K93" i="20"/>
  <c r="BV93" i="20" s="1"/>
  <c r="O150" i="20"/>
  <c r="BZ150" i="20" s="1"/>
  <c r="AN153" i="20"/>
  <c r="AE153" i="20" s="1"/>
  <c r="N154" i="20"/>
  <c r="BY154" i="20" s="1"/>
  <c r="L153" i="20"/>
  <c r="BW153" i="20" s="1"/>
  <c r="BB98" i="25" l="1"/>
  <c r="N98" i="25" s="1"/>
  <c r="AH99" i="25" s="1"/>
  <c r="BA99" i="20" s="1"/>
  <c r="BA98" i="20"/>
  <c r="X95" i="19"/>
  <c r="AJ96" i="25"/>
  <c r="BC97" i="25" s="1"/>
  <c r="BW98" i="19"/>
  <c r="Y94" i="19"/>
  <c r="AK95" i="25"/>
  <c r="BB95" i="20" s="1"/>
  <c r="AL95" i="25"/>
  <c r="CA94" i="19"/>
  <c r="BH94" i="25"/>
  <c r="BV99" i="19"/>
  <c r="AZ100" i="25" s="1"/>
  <c r="L100" i="25" s="1"/>
  <c r="BA99" i="25"/>
  <c r="M99" i="25" s="1"/>
  <c r="AL93" i="20"/>
  <c r="BM93" i="19" s="1"/>
  <c r="BG94" i="25" s="1"/>
  <c r="Q137" i="20"/>
  <c r="CB137" i="20" s="1"/>
  <c r="S137" i="20"/>
  <c r="CD137" i="20" s="1"/>
  <c r="AP150" i="20"/>
  <c r="AG150" i="20" s="1"/>
  <c r="P138" i="20"/>
  <c r="CA138" i="20" s="1"/>
  <c r="R137" i="20"/>
  <c r="CC137" i="20" s="1"/>
  <c r="AM153" i="20"/>
  <c r="AD153" i="20" s="1"/>
  <c r="AO154" i="20"/>
  <c r="AF154" i="20" s="1"/>
  <c r="M154" i="20"/>
  <c r="BX154" i="20" s="1"/>
  <c r="W99" i="19" l="1"/>
  <c r="AG100" i="25"/>
  <c r="AZ100" i="20" s="1"/>
  <c r="S94" i="25"/>
  <c r="T94" i="25"/>
  <c r="BY95" i="19"/>
  <c r="BF95" i="25"/>
  <c r="BX95" i="19"/>
  <c r="BD96" i="25" s="1"/>
  <c r="BJ99" i="19"/>
  <c r="V100" i="19"/>
  <c r="BI100" i="19"/>
  <c r="AF101" i="25"/>
  <c r="O97" i="25"/>
  <c r="AI98" i="25" s="1"/>
  <c r="BB99" i="25" s="1"/>
  <c r="BW99" i="19"/>
  <c r="AS137" i="20"/>
  <c r="AJ137" i="20" s="1"/>
  <c r="AQ138" i="20"/>
  <c r="AH138" i="20" s="1"/>
  <c r="O151" i="20"/>
  <c r="BZ151" i="20" s="1"/>
  <c r="AT137" i="20"/>
  <c r="AK137" i="20" s="1"/>
  <c r="AR137" i="20"/>
  <c r="AI137" i="20" s="1"/>
  <c r="AC93" i="20"/>
  <c r="N155" i="20"/>
  <c r="BY155" i="20" s="1"/>
  <c r="AN154" i="20"/>
  <c r="AE154" i="20" s="1"/>
  <c r="L154" i="20"/>
  <c r="BW154" i="20" s="1"/>
  <c r="BA100" i="25" l="1"/>
  <c r="AA94" i="19"/>
  <c r="BK94" i="19"/>
  <c r="BE95" i="25" s="1"/>
  <c r="AM95" i="25"/>
  <c r="BC95" i="20" s="1"/>
  <c r="N99" i="25"/>
  <c r="AH100" i="25" s="1"/>
  <c r="BA100" i="20" s="1"/>
  <c r="BV100" i="19"/>
  <c r="AZ101" i="25" s="1"/>
  <c r="M100" i="25"/>
  <c r="W100" i="19" s="1"/>
  <c r="P96" i="25"/>
  <c r="R95" i="25"/>
  <c r="AO95" i="25"/>
  <c r="AN95" i="25"/>
  <c r="S138" i="20"/>
  <c r="CD138" i="20" s="1"/>
  <c r="P139" i="20"/>
  <c r="CA139" i="20" s="1"/>
  <c r="K94" i="20"/>
  <c r="BV94" i="20" s="1"/>
  <c r="Q138" i="20"/>
  <c r="CB138" i="20" s="1"/>
  <c r="AP151" i="20"/>
  <c r="AG151" i="20" s="1"/>
  <c r="R138" i="20"/>
  <c r="CC138" i="20" s="1"/>
  <c r="M155" i="20"/>
  <c r="BX155" i="20" s="1"/>
  <c r="AO155" i="20"/>
  <c r="AF155" i="20" s="1"/>
  <c r="AM154" i="20"/>
  <c r="AD154" i="20" s="1"/>
  <c r="AG101" i="25" l="1"/>
  <c r="AZ101" i="20" s="1"/>
  <c r="Q95" i="25"/>
  <c r="AL96" i="25" s="1"/>
  <c r="BI95" i="25"/>
  <c r="Z95" i="19"/>
  <c r="BV101" i="19"/>
  <c r="BW100" i="19"/>
  <c r="BA101" i="25" s="1"/>
  <c r="L101" i="25"/>
  <c r="CA95" i="19"/>
  <c r="BH95" i="25"/>
  <c r="T95" i="25" s="1"/>
  <c r="X96" i="19"/>
  <c r="AJ97" i="25"/>
  <c r="BJ100" i="19"/>
  <c r="AL94" i="20"/>
  <c r="BM94" i="19" s="1"/>
  <c r="BG95" i="25" s="1"/>
  <c r="O152" i="20"/>
  <c r="BZ152" i="20" s="1"/>
  <c r="AR138" i="20"/>
  <c r="AI138" i="20" s="1"/>
  <c r="AT138" i="20"/>
  <c r="AK138" i="20" s="1"/>
  <c r="AS138" i="20"/>
  <c r="AJ138" i="20" s="1"/>
  <c r="AQ139" i="20"/>
  <c r="AH139" i="20" s="1"/>
  <c r="L155" i="20"/>
  <c r="BW155" i="20" s="1"/>
  <c r="AN155" i="20"/>
  <c r="AE155" i="20" s="1"/>
  <c r="N156" i="20"/>
  <c r="BY156" i="20" s="1"/>
  <c r="M101" i="25" l="1"/>
  <c r="Y95" i="19"/>
  <c r="AK96" i="25"/>
  <c r="BB96" i="20" s="1"/>
  <c r="S95" i="25"/>
  <c r="AN96" i="25" s="1"/>
  <c r="V101" i="19"/>
  <c r="BI101" i="19"/>
  <c r="AF102" i="25"/>
  <c r="BY96" i="19"/>
  <c r="BF96" i="25"/>
  <c r="BC98" i="25"/>
  <c r="U95" i="25"/>
  <c r="AO96" i="25" s="1"/>
  <c r="S139" i="20"/>
  <c r="CD139" i="20" s="1"/>
  <c r="Q139" i="20"/>
  <c r="CB139" i="20" s="1"/>
  <c r="R139" i="20"/>
  <c r="CC139" i="20" s="1"/>
  <c r="AC94" i="20"/>
  <c r="P140" i="20"/>
  <c r="CA140" i="20" s="1"/>
  <c r="AP152" i="20"/>
  <c r="AG152" i="20" s="1"/>
  <c r="AO156" i="20"/>
  <c r="AF156" i="20" s="1"/>
  <c r="M156" i="20"/>
  <c r="BX156" i="20" s="1"/>
  <c r="AM155" i="20"/>
  <c r="AD155" i="20" s="1"/>
  <c r="CA96" i="19" l="1"/>
  <c r="BH96" i="25"/>
  <c r="O98" i="25"/>
  <c r="AI99" i="25" s="1"/>
  <c r="BX96" i="19"/>
  <c r="BD97" i="25" s="1"/>
  <c r="W101" i="19"/>
  <c r="AG102" i="25"/>
  <c r="AZ102" i="20" s="1"/>
  <c r="R96" i="25"/>
  <c r="AZ102" i="25"/>
  <c r="L102" i="25" s="1"/>
  <c r="BK95" i="19"/>
  <c r="BE96" i="25" s="1"/>
  <c r="Q96" i="25" s="1"/>
  <c r="AA95" i="19"/>
  <c r="AM96" i="25"/>
  <c r="BC96" i="20" s="1"/>
  <c r="BI96" i="25"/>
  <c r="U96" i="25" s="1"/>
  <c r="BJ101" i="19"/>
  <c r="AT139" i="20"/>
  <c r="AK139" i="20" s="1"/>
  <c r="O153" i="20"/>
  <c r="BZ153" i="20" s="1"/>
  <c r="AQ140" i="20"/>
  <c r="AH140" i="20" s="1"/>
  <c r="AR139" i="20"/>
  <c r="AI139" i="20" s="1"/>
  <c r="K95" i="20"/>
  <c r="BV95" i="20" s="1"/>
  <c r="AS139" i="20"/>
  <c r="AJ139" i="20" s="1"/>
  <c r="AN156" i="20"/>
  <c r="AE156" i="20" s="1"/>
  <c r="L156" i="20"/>
  <c r="BW156" i="20" s="1"/>
  <c r="N157" i="20"/>
  <c r="BY157" i="20" s="1"/>
  <c r="Y96" i="19" l="1"/>
  <c r="AK97" i="25"/>
  <c r="BB97" i="20" s="1"/>
  <c r="V102" i="19"/>
  <c r="BI102" i="19"/>
  <c r="AF103" i="25"/>
  <c r="Z96" i="19"/>
  <c r="AL97" i="25"/>
  <c r="P97" i="25"/>
  <c r="BV102" i="19"/>
  <c r="AZ103" i="25" s="1"/>
  <c r="BB100" i="25"/>
  <c r="T96" i="25"/>
  <c r="AP153" i="20"/>
  <c r="AG153" i="20" s="1"/>
  <c r="R140" i="20"/>
  <c r="CC140" i="20" s="1"/>
  <c r="AL95" i="20"/>
  <c r="BM95" i="19" s="1"/>
  <c r="BG96" i="25" s="1"/>
  <c r="Q140" i="20"/>
  <c r="CB140" i="20" s="1"/>
  <c r="P141" i="20"/>
  <c r="CA141" i="20" s="1"/>
  <c r="S140" i="20"/>
  <c r="CD140" i="20" s="1"/>
  <c r="AM156" i="20"/>
  <c r="AD156" i="20" s="1"/>
  <c r="M157" i="20"/>
  <c r="BX157" i="20" s="1"/>
  <c r="AO157" i="20"/>
  <c r="AF157" i="20" s="1"/>
  <c r="S96" i="25" l="1"/>
  <c r="AN97" i="25" s="1"/>
  <c r="X97" i="19"/>
  <c r="AJ98" i="25"/>
  <c r="AO97" i="25"/>
  <c r="BY97" i="19"/>
  <c r="BF97" i="25"/>
  <c r="BX97" i="19"/>
  <c r="N100" i="25"/>
  <c r="AH101" i="25" s="1"/>
  <c r="L103" i="25"/>
  <c r="AF104" i="25" s="1"/>
  <c r="AT140" i="20"/>
  <c r="AK140" i="20" s="1"/>
  <c r="AR140" i="20"/>
  <c r="AI140" i="20" s="1"/>
  <c r="AS140" i="20"/>
  <c r="AJ140" i="20" s="1"/>
  <c r="O154" i="20"/>
  <c r="BZ154" i="20" s="1"/>
  <c r="AQ141" i="20"/>
  <c r="AH141" i="20" s="1"/>
  <c r="AC95" i="20"/>
  <c r="N158" i="20"/>
  <c r="BY158" i="20" s="1"/>
  <c r="AN157" i="20"/>
  <c r="AE157" i="20" s="1"/>
  <c r="L157" i="20"/>
  <c r="BW157" i="20" s="1"/>
  <c r="BW101" i="19" l="1"/>
  <c r="BA102" i="25" s="1"/>
  <c r="M102" i="25" s="1"/>
  <c r="BJ102" i="19" s="1"/>
  <c r="BA101" i="20"/>
  <c r="R97" i="25"/>
  <c r="CA97" i="19"/>
  <c r="BH97" i="25"/>
  <c r="V103" i="19"/>
  <c r="BI103" i="19"/>
  <c r="BC99" i="25"/>
  <c r="BD98" i="25"/>
  <c r="BI97" i="25"/>
  <c r="BK96" i="19"/>
  <c r="BE97" i="25" s="1"/>
  <c r="Q97" i="25" s="1"/>
  <c r="AA96" i="19"/>
  <c r="AM97" i="25"/>
  <c r="BC97" i="20" s="1"/>
  <c r="Q141" i="20"/>
  <c r="CB141" i="20" s="1"/>
  <c r="K96" i="20"/>
  <c r="BV96" i="20" s="1"/>
  <c r="P142" i="20"/>
  <c r="CA142" i="20" s="1"/>
  <c r="AP154" i="20"/>
  <c r="AG154" i="20" s="1"/>
  <c r="R141" i="20"/>
  <c r="CC141" i="20" s="1"/>
  <c r="S141" i="20"/>
  <c r="CD141" i="20" s="1"/>
  <c r="M158" i="20"/>
  <c r="BX158" i="20" s="1"/>
  <c r="AO158" i="20"/>
  <c r="AF158" i="20" s="1"/>
  <c r="AM157" i="20"/>
  <c r="AD157" i="20" s="1"/>
  <c r="O99" i="25" l="1"/>
  <c r="AI100" i="25" s="1"/>
  <c r="BB101" i="25" s="1"/>
  <c r="U97" i="25"/>
  <c r="Z97" i="19"/>
  <c r="AL98" i="25"/>
  <c r="Y97" i="19"/>
  <c r="AK98" i="25"/>
  <c r="BB98" i="20" s="1"/>
  <c r="W102" i="19"/>
  <c r="AG103" i="25"/>
  <c r="AZ103" i="20" s="1"/>
  <c r="T97" i="25"/>
  <c r="P98" i="25"/>
  <c r="O155" i="20"/>
  <c r="BZ155" i="20" s="1"/>
  <c r="AQ142" i="20"/>
  <c r="AH142" i="20" s="1"/>
  <c r="AR141" i="20"/>
  <c r="AI141" i="20" s="1"/>
  <c r="AT141" i="20"/>
  <c r="AK141" i="20" s="1"/>
  <c r="AS141" i="20"/>
  <c r="AJ141" i="20" s="1"/>
  <c r="AL96" i="20"/>
  <c r="BM96" i="19" s="1"/>
  <c r="BG97" i="25" s="1"/>
  <c r="L158" i="20"/>
  <c r="BW158" i="20" s="1"/>
  <c r="AN158" i="20"/>
  <c r="AE158" i="20" s="1"/>
  <c r="N159" i="20"/>
  <c r="BY159" i="20" s="1"/>
  <c r="AO98" i="25" l="1"/>
  <c r="BI98" i="25" s="1"/>
  <c r="U98" i="25" s="1"/>
  <c r="S97" i="25"/>
  <c r="AN98" i="25" s="1"/>
  <c r="X98" i="19"/>
  <c r="AJ99" i="25"/>
  <c r="BC100" i="25" s="1"/>
  <c r="BV103" i="19"/>
  <c r="AZ104" i="25" s="1"/>
  <c r="BY98" i="19"/>
  <c r="BF98" i="25"/>
  <c r="N101" i="25"/>
  <c r="AH102" i="25" s="1"/>
  <c r="BX98" i="19"/>
  <c r="AP155" i="20"/>
  <c r="AG155" i="20" s="1"/>
  <c r="AC96" i="20"/>
  <c r="R142" i="20"/>
  <c r="CC142" i="20" s="1"/>
  <c r="Q142" i="20"/>
  <c r="CB142" i="20" s="1"/>
  <c r="P143" i="20"/>
  <c r="CA143" i="20" s="1"/>
  <c r="S142" i="20"/>
  <c r="CD142" i="20" s="1"/>
  <c r="AM158" i="20"/>
  <c r="AD158" i="20" s="1"/>
  <c r="AO159" i="20"/>
  <c r="AF159" i="20" s="1"/>
  <c r="M159" i="20"/>
  <c r="BX159" i="20" s="1"/>
  <c r="BW102" i="19" l="1"/>
  <c r="BA103" i="25" s="1"/>
  <c r="M103" i="25" s="1"/>
  <c r="BA102" i="20"/>
  <c r="R98" i="25"/>
  <c r="Z98" i="19" s="1"/>
  <c r="O100" i="25"/>
  <c r="AI101" i="25" s="1"/>
  <c r="BB102" i="25" s="1"/>
  <c r="L104" i="25"/>
  <c r="CA98" i="19"/>
  <c r="BH98" i="25"/>
  <c r="BK97" i="19"/>
  <c r="BE98" i="25" s="1"/>
  <c r="AA97" i="19"/>
  <c r="AM98" i="25"/>
  <c r="BC98" i="20" s="1"/>
  <c r="BD99" i="25"/>
  <c r="P99" i="25" s="1"/>
  <c r="X99" i="19" s="1"/>
  <c r="AT142" i="20"/>
  <c r="AK142" i="20" s="1"/>
  <c r="O156" i="20"/>
  <c r="BZ156" i="20" s="1"/>
  <c r="K97" i="20"/>
  <c r="BV97" i="20" s="1"/>
  <c r="AQ143" i="20"/>
  <c r="AH143" i="20" s="1"/>
  <c r="AR142" i="20"/>
  <c r="AI142" i="20" s="1"/>
  <c r="AS142" i="20"/>
  <c r="AJ142" i="20" s="1"/>
  <c r="L159" i="20"/>
  <c r="BW159" i="20" s="1"/>
  <c r="AN159" i="20"/>
  <c r="AE159" i="20" s="1"/>
  <c r="N160" i="20"/>
  <c r="BY160" i="20" s="1"/>
  <c r="T98" i="25" l="1"/>
  <c r="N102" i="25"/>
  <c r="AH103" i="25" s="1"/>
  <c r="BJ103" i="19"/>
  <c r="W103" i="19"/>
  <c r="AG104" i="25"/>
  <c r="AZ104" i="20" s="1"/>
  <c r="AJ100" i="25"/>
  <c r="Q98" i="25"/>
  <c r="BI104" i="19"/>
  <c r="V104" i="19"/>
  <c r="AF105" i="25"/>
  <c r="Q143" i="20"/>
  <c r="CB143" i="20" s="1"/>
  <c r="AP156" i="20"/>
  <c r="AG156" i="20" s="1"/>
  <c r="S143" i="20"/>
  <c r="CD143" i="20" s="1"/>
  <c r="AL97" i="20"/>
  <c r="BM97" i="19" s="1"/>
  <c r="BG98" i="25" s="1"/>
  <c r="R143" i="20"/>
  <c r="CC143" i="20" s="1"/>
  <c r="P144" i="20"/>
  <c r="CA144" i="20" s="1"/>
  <c r="M160" i="20"/>
  <c r="BX160" i="20" s="1"/>
  <c r="AO160" i="20"/>
  <c r="AF160" i="20" s="1"/>
  <c r="AM159" i="20"/>
  <c r="AD159" i="20" s="1"/>
  <c r="BW103" i="19" l="1"/>
  <c r="BA104" i="25" s="1"/>
  <c r="BA103" i="20"/>
  <c r="S98" i="25"/>
  <c r="AN99" i="25" s="1"/>
  <c r="AO99" i="25"/>
  <c r="AL99" i="25"/>
  <c r="Y98" i="19"/>
  <c r="AK99" i="25"/>
  <c r="BB99" i="20" s="1"/>
  <c r="BC101" i="25"/>
  <c r="O101" i="25" s="1"/>
  <c r="AI102" i="25" s="1"/>
  <c r="BV104" i="19"/>
  <c r="AZ105" i="25" s="1"/>
  <c r="AS143" i="20"/>
  <c r="AJ143" i="20" s="1"/>
  <c r="AC97" i="20"/>
  <c r="AQ144" i="20"/>
  <c r="AH144" i="20" s="1"/>
  <c r="AT143" i="20"/>
  <c r="AK143" i="20" s="1"/>
  <c r="O157" i="20"/>
  <c r="BZ157" i="20" s="1"/>
  <c r="AR143" i="20"/>
  <c r="AI143" i="20" s="1"/>
  <c r="N161" i="20"/>
  <c r="BY161" i="20" s="1"/>
  <c r="L160" i="20"/>
  <c r="BW160" i="20" s="1"/>
  <c r="AN160" i="20"/>
  <c r="AE160" i="20" s="1"/>
  <c r="L105" i="25" l="1"/>
  <c r="BB103" i="25"/>
  <c r="BY99" i="19"/>
  <c r="BF99" i="25"/>
  <c r="CA99" i="19"/>
  <c r="BH99" i="25"/>
  <c r="M104" i="25"/>
  <c r="BJ104" i="19" s="1"/>
  <c r="BX99" i="19"/>
  <c r="BD100" i="25" s="1"/>
  <c r="P100" i="25" s="1"/>
  <c r="BI99" i="25"/>
  <c r="U99" i="25" s="1"/>
  <c r="BK98" i="19"/>
  <c r="BE99" i="25" s="1"/>
  <c r="AA98" i="19"/>
  <c r="AM99" i="25"/>
  <c r="BC99" i="20" s="1"/>
  <c r="K98" i="20"/>
  <c r="BV98" i="20" s="1"/>
  <c r="S144" i="20"/>
  <c r="CD144" i="20" s="1"/>
  <c r="R144" i="20"/>
  <c r="CC144" i="20" s="1"/>
  <c r="AP157" i="20"/>
  <c r="AG157" i="20" s="1"/>
  <c r="Q144" i="20"/>
  <c r="CB144" i="20" s="1"/>
  <c r="P145" i="20"/>
  <c r="CA145" i="20" s="1"/>
  <c r="AO161" i="20"/>
  <c r="AF161" i="20" s="1"/>
  <c r="AM160" i="20"/>
  <c r="AD160" i="20" s="1"/>
  <c r="M161" i="20"/>
  <c r="BX161" i="20" s="1"/>
  <c r="Q99" i="25" l="1"/>
  <c r="T99" i="25"/>
  <c r="AO100" i="25" s="1"/>
  <c r="X100" i="19"/>
  <c r="AJ101" i="25"/>
  <c r="N103" i="25"/>
  <c r="AH104" i="25" s="1"/>
  <c r="BA104" i="20" s="1"/>
  <c r="V105" i="19"/>
  <c r="BI105" i="19"/>
  <c r="AF106" i="25"/>
  <c r="W104" i="19"/>
  <c r="AG105" i="25"/>
  <c r="AZ105" i="20" s="1"/>
  <c r="R99" i="25"/>
  <c r="AR144" i="20"/>
  <c r="AI144" i="20" s="1"/>
  <c r="AT144" i="20"/>
  <c r="AK144" i="20" s="1"/>
  <c r="AL98" i="20"/>
  <c r="BM98" i="19" s="1"/>
  <c r="BG99" i="25" s="1"/>
  <c r="AQ145" i="20"/>
  <c r="AH145" i="20" s="1"/>
  <c r="O158" i="20"/>
  <c r="BZ158" i="20" s="1"/>
  <c r="AS144" i="20"/>
  <c r="AJ144" i="20" s="1"/>
  <c r="L161" i="20"/>
  <c r="BW161" i="20" s="1"/>
  <c r="N162" i="20"/>
  <c r="BY162" i="20" s="1"/>
  <c r="AN161" i="20"/>
  <c r="AE161" i="20" s="1"/>
  <c r="S99" i="25" l="1"/>
  <c r="BW104" i="19"/>
  <c r="BA105" i="25" s="1"/>
  <c r="AN100" i="25"/>
  <c r="Z99" i="19"/>
  <c r="AL100" i="25"/>
  <c r="BC102" i="25"/>
  <c r="O102" i="25" s="1"/>
  <c r="AI103" i="25" s="1"/>
  <c r="BB104" i="25" s="1"/>
  <c r="N104" i="25" s="1"/>
  <c r="AH105" i="25" s="1"/>
  <c r="BA105" i="20" s="1"/>
  <c r="Y99" i="19"/>
  <c r="AK100" i="25"/>
  <c r="BB100" i="20" s="1"/>
  <c r="BI100" i="25"/>
  <c r="U100" i="25" s="1"/>
  <c r="BV105" i="19"/>
  <c r="AZ106" i="25" s="1"/>
  <c r="L106" i="25" s="1"/>
  <c r="AC98" i="20"/>
  <c r="AP158" i="20"/>
  <c r="AG158" i="20" s="1"/>
  <c r="Q145" i="20"/>
  <c r="CB145" i="20" s="1"/>
  <c r="S145" i="20"/>
  <c r="CD145" i="20" s="1"/>
  <c r="R145" i="20"/>
  <c r="CC145" i="20" s="1"/>
  <c r="P146" i="20"/>
  <c r="CA146" i="20" s="1"/>
  <c r="M162" i="20"/>
  <c r="BX162" i="20" s="1"/>
  <c r="AO162" i="20"/>
  <c r="AF162" i="20" s="1"/>
  <c r="AM161" i="20"/>
  <c r="AD161" i="20" s="1"/>
  <c r="BI106" i="19" l="1"/>
  <c r="V106" i="19"/>
  <c r="AF107" i="25"/>
  <c r="M105" i="25"/>
  <c r="BW105" i="19"/>
  <c r="BX100" i="19"/>
  <c r="BD101" i="25" s="1"/>
  <c r="P101" i="25" s="1"/>
  <c r="BY100" i="19"/>
  <c r="BF100" i="25"/>
  <c r="CA100" i="19"/>
  <c r="BH100" i="25"/>
  <c r="BK99" i="19"/>
  <c r="BE100" i="25" s="1"/>
  <c r="AA99" i="19"/>
  <c r="AM100" i="25"/>
  <c r="BC100" i="20" s="1"/>
  <c r="AR145" i="20"/>
  <c r="AI145" i="20" s="1"/>
  <c r="O159" i="20"/>
  <c r="BZ159" i="20" s="1"/>
  <c r="AT145" i="20"/>
  <c r="AK145" i="20" s="1"/>
  <c r="K99" i="20"/>
  <c r="BV99" i="20" s="1"/>
  <c r="AQ146" i="20"/>
  <c r="AH146" i="20" s="1"/>
  <c r="AS145" i="20"/>
  <c r="AJ145" i="20" s="1"/>
  <c r="AN162" i="20"/>
  <c r="AE162" i="20" s="1"/>
  <c r="L162" i="20"/>
  <c r="BW162" i="20" s="1"/>
  <c r="N163" i="20"/>
  <c r="BY163" i="20" s="1"/>
  <c r="Q100" i="25" l="1"/>
  <c r="R100" i="25"/>
  <c r="W105" i="19"/>
  <c r="AG106" i="25"/>
  <c r="AZ106" i="20" s="1"/>
  <c r="X101" i="19"/>
  <c r="AJ102" i="25"/>
  <c r="T100" i="25"/>
  <c r="BJ105" i="19"/>
  <c r="S146" i="20"/>
  <c r="CD146" i="20" s="1"/>
  <c r="Q146" i="20"/>
  <c r="CB146" i="20" s="1"/>
  <c r="P147" i="20"/>
  <c r="CA147" i="20" s="1"/>
  <c r="AL99" i="20"/>
  <c r="BM99" i="19" s="1"/>
  <c r="BG100" i="25" s="1"/>
  <c r="AP159" i="20"/>
  <c r="AG159" i="20" s="1"/>
  <c r="R146" i="20"/>
  <c r="CC146" i="20" s="1"/>
  <c r="AM162" i="20"/>
  <c r="AD162" i="20" s="1"/>
  <c r="AO163" i="20"/>
  <c r="AF163" i="20" s="1"/>
  <c r="M163" i="20"/>
  <c r="BX163" i="20" s="1"/>
  <c r="S100" i="25" l="1"/>
  <c r="AN101" i="25" s="1"/>
  <c r="BC103" i="25"/>
  <c r="Y100" i="19"/>
  <c r="AK101" i="25"/>
  <c r="BB101" i="20" s="1"/>
  <c r="AO101" i="25"/>
  <c r="BV106" i="19"/>
  <c r="AZ107" i="25" s="1"/>
  <c r="L107" i="25" s="1"/>
  <c r="BA106" i="25"/>
  <c r="M106" i="25" s="1"/>
  <c r="W106" i="19" s="1"/>
  <c r="Z100" i="19"/>
  <c r="AL101" i="25"/>
  <c r="O160" i="20"/>
  <c r="BZ160" i="20" s="1"/>
  <c r="AC99" i="20"/>
  <c r="AS146" i="20"/>
  <c r="AJ146" i="20" s="1"/>
  <c r="AT146" i="20"/>
  <c r="AK146" i="20" s="1"/>
  <c r="AQ147" i="20"/>
  <c r="AH147" i="20" s="1"/>
  <c r="AR146" i="20"/>
  <c r="AI146" i="20" s="1"/>
  <c r="AN163" i="20"/>
  <c r="AE163" i="20" s="1"/>
  <c r="L163" i="20"/>
  <c r="BW163" i="20" s="1"/>
  <c r="N164" i="20"/>
  <c r="BY164" i="20" s="1"/>
  <c r="AG107" i="25" l="1"/>
  <c r="BY101" i="19"/>
  <c r="BF101" i="25"/>
  <c r="BX101" i="19"/>
  <c r="BD102" i="25" s="1"/>
  <c r="BI107" i="19"/>
  <c r="V107" i="19"/>
  <c r="AF108" i="25"/>
  <c r="CA101" i="19"/>
  <c r="BH101" i="25"/>
  <c r="O103" i="25"/>
  <c r="AI104" i="25" s="1"/>
  <c r="BJ106" i="19"/>
  <c r="BI101" i="25"/>
  <c r="U101" i="25" s="1"/>
  <c r="BK100" i="19"/>
  <c r="BE101" i="25" s="1"/>
  <c r="Q101" i="25" s="1"/>
  <c r="AA100" i="19"/>
  <c r="AM101" i="25"/>
  <c r="BC101" i="20" s="1"/>
  <c r="R147" i="20"/>
  <c r="CC147" i="20" s="1"/>
  <c r="Q147" i="20"/>
  <c r="CB147" i="20" s="1"/>
  <c r="S147" i="20"/>
  <c r="CD147" i="20" s="1"/>
  <c r="P148" i="20"/>
  <c r="CA148" i="20" s="1"/>
  <c r="K100" i="20"/>
  <c r="BV100" i="20" s="1"/>
  <c r="AP160" i="20"/>
  <c r="AG160" i="20" s="1"/>
  <c r="AO164" i="20"/>
  <c r="AF164" i="20" s="1"/>
  <c r="AM163" i="20"/>
  <c r="AD163" i="20" s="1"/>
  <c r="M164" i="20"/>
  <c r="BX164" i="20" s="1"/>
  <c r="BV107" i="19" l="1"/>
  <c r="AZ107" i="20"/>
  <c r="Y101" i="19"/>
  <c r="AK102" i="25"/>
  <c r="BB102" i="20" s="1"/>
  <c r="BB105" i="25"/>
  <c r="P102" i="25"/>
  <c r="T101" i="25"/>
  <c r="R101" i="25"/>
  <c r="AZ108" i="25"/>
  <c r="L108" i="25" s="1"/>
  <c r="AQ148" i="20"/>
  <c r="AH148" i="20" s="1"/>
  <c r="AT147" i="20"/>
  <c r="AK147" i="20" s="1"/>
  <c r="AR147" i="20"/>
  <c r="AI147" i="20" s="1"/>
  <c r="AS147" i="20"/>
  <c r="AJ147" i="20" s="1"/>
  <c r="O161" i="20"/>
  <c r="BZ161" i="20" s="1"/>
  <c r="AL100" i="20"/>
  <c r="BM100" i="19" s="1"/>
  <c r="BG101" i="25" s="1"/>
  <c r="L164" i="20"/>
  <c r="BW164" i="20" s="1"/>
  <c r="N165" i="20"/>
  <c r="BY165" i="20" s="1"/>
  <c r="AN164" i="20"/>
  <c r="AE164" i="20" s="1"/>
  <c r="BI108" i="19" l="1"/>
  <c r="V108" i="19"/>
  <c r="AF109" i="25"/>
  <c r="S101" i="25"/>
  <c r="AN102" i="25" s="1"/>
  <c r="Z101" i="19"/>
  <c r="AL102" i="25"/>
  <c r="BX102" i="19"/>
  <c r="X102" i="19"/>
  <c r="AJ103" i="25"/>
  <c r="N105" i="25"/>
  <c r="AH106" i="25" s="1"/>
  <c r="BA106" i="20" s="1"/>
  <c r="AO102" i="25"/>
  <c r="AC100" i="20"/>
  <c r="Q148" i="20"/>
  <c r="CB148" i="20" s="1"/>
  <c r="P149" i="20"/>
  <c r="CA149" i="20" s="1"/>
  <c r="AP161" i="20"/>
  <c r="AG161" i="20" s="1"/>
  <c r="R148" i="20"/>
  <c r="CC148" i="20" s="1"/>
  <c r="S148" i="20"/>
  <c r="CD148" i="20" s="1"/>
  <c r="AO165" i="20"/>
  <c r="AF165" i="20" s="1"/>
  <c r="M165" i="20"/>
  <c r="BX165" i="20" s="1"/>
  <c r="AM164" i="20"/>
  <c r="AD164" i="20" s="1"/>
  <c r="BI102" i="25" l="1"/>
  <c r="U102" i="25" s="1"/>
  <c r="BY102" i="19"/>
  <c r="BF102" i="25"/>
  <c r="BW106" i="19"/>
  <c r="BA107" i="25" s="1"/>
  <c r="CA102" i="19"/>
  <c r="BH102" i="25"/>
  <c r="BC104" i="25"/>
  <c r="BD103" i="25"/>
  <c r="BK101" i="19"/>
  <c r="BE102" i="25" s="1"/>
  <c r="Q102" i="25" s="1"/>
  <c r="AA101" i="19"/>
  <c r="AM102" i="25"/>
  <c r="BC102" i="20" s="1"/>
  <c r="O162" i="20"/>
  <c r="BZ162" i="20" s="1"/>
  <c r="AQ149" i="20"/>
  <c r="AH149" i="20" s="1"/>
  <c r="AR148" i="20"/>
  <c r="AI148" i="20" s="1"/>
  <c r="AT148" i="20"/>
  <c r="AK148" i="20" s="1"/>
  <c r="AS148" i="20"/>
  <c r="AJ148" i="20" s="1"/>
  <c r="K101" i="20"/>
  <c r="BV101" i="20" s="1"/>
  <c r="N166" i="20"/>
  <c r="BY166" i="20" s="1"/>
  <c r="L165" i="20"/>
  <c r="BW165" i="20" s="1"/>
  <c r="AN165" i="20"/>
  <c r="AE165" i="20" s="1"/>
  <c r="P103" i="25" l="1"/>
  <c r="O104" i="25"/>
  <c r="AI105" i="25" s="1"/>
  <c r="T102" i="25"/>
  <c r="M107" i="25"/>
  <c r="R102" i="25"/>
  <c r="Y102" i="19"/>
  <c r="AK103" i="25"/>
  <c r="BB103" i="20" s="1"/>
  <c r="R149" i="20"/>
  <c r="CC149" i="20" s="1"/>
  <c r="Q149" i="20"/>
  <c r="CB149" i="20" s="1"/>
  <c r="S149" i="20"/>
  <c r="CD149" i="20" s="1"/>
  <c r="P150" i="20"/>
  <c r="CA150" i="20" s="1"/>
  <c r="AP162" i="20"/>
  <c r="AG162" i="20" s="1"/>
  <c r="AL101" i="20"/>
  <c r="BM101" i="19" s="1"/>
  <c r="BG102" i="25" s="1"/>
  <c r="M166" i="20"/>
  <c r="BX166" i="20" s="1"/>
  <c r="AM165" i="20"/>
  <c r="AD165" i="20" s="1"/>
  <c r="AO166" i="20"/>
  <c r="AF166" i="20" s="1"/>
  <c r="S102" i="25" l="1"/>
  <c r="AN103" i="25" s="1"/>
  <c r="Z102" i="19"/>
  <c r="AL103" i="25"/>
  <c r="BX103" i="19"/>
  <c r="BJ107" i="19"/>
  <c r="W107" i="19"/>
  <c r="AG108" i="25"/>
  <c r="AZ108" i="20" s="1"/>
  <c r="BB106" i="25"/>
  <c r="X103" i="19"/>
  <c r="AJ104" i="25"/>
  <c r="AO103" i="25"/>
  <c r="BI103" i="25" s="1"/>
  <c r="O163" i="20"/>
  <c r="BZ163" i="20" s="1"/>
  <c r="AC101" i="20"/>
  <c r="AQ150" i="20"/>
  <c r="AH150" i="20" s="1"/>
  <c r="AT149" i="20"/>
  <c r="AK149" i="20" s="1"/>
  <c r="AR149" i="20"/>
  <c r="AI149" i="20" s="1"/>
  <c r="AS149" i="20"/>
  <c r="AJ149" i="20" s="1"/>
  <c r="AN166" i="20"/>
  <c r="AE166" i="20" s="1"/>
  <c r="N167" i="20"/>
  <c r="BY167" i="20" s="1"/>
  <c r="L166" i="20"/>
  <c r="BW166" i="20" s="1"/>
  <c r="N106" i="25" l="1"/>
  <c r="AH107" i="25" s="1"/>
  <c r="BA107" i="20" s="1"/>
  <c r="BY103" i="19"/>
  <c r="BF103" i="25"/>
  <c r="U103" i="25"/>
  <c r="BC105" i="25"/>
  <c r="BD104" i="25"/>
  <c r="P104" i="25" s="1"/>
  <c r="BV108" i="19"/>
  <c r="AZ109" i="25" s="1"/>
  <c r="CA103" i="19"/>
  <c r="BH103" i="25"/>
  <c r="T103" i="25" s="1"/>
  <c r="AA102" i="19"/>
  <c r="BK102" i="19"/>
  <c r="BE103" i="25" s="1"/>
  <c r="Q103" i="25" s="1"/>
  <c r="AM103" i="25"/>
  <c r="BC103" i="20" s="1"/>
  <c r="R150" i="20"/>
  <c r="CC150" i="20" s="1"/>
  <c r="AP163" i="20"/>
  <c r="AG163" i="20" s="1"/>
  <c r="S150" i="20"/>
  <c r="CD150" i="20" s="1"/>
  <c r="Q150" i="20"/>
  <c r="CB150" i="20" s="1"/>
  <c r="K102" i="20"/>
  <c r="BV102" i="20" s="1"/>
  <c r="P151" i="20"/>
  <c r="CA151" i="20" s="1"/>
  <c r="AM166" i="20"/>
  <c r="AD166" i="20" s="1"/>
  <c r="AO167" i="20"/>
  <c r="AF167" i="20" s="1"/>
  <c r="M167" i="20"/>
  <c r="BX167" i="20" s="1"/>
  <c r="AO104" i="25" l="1"/>
  <c r="X104" i="19"/>
  <c r="AJ105" i="25"/>
  <c r="Y103" i="19"/>
  <c r="AK104" i="25"/>
  <c r="BB104" i="20" s="1"/>
  <c r="L109" i="25"/>
  <c r="O105" i="25"/>
  <c r="AI106" i="25" s="1"/>
  <c r="BB107" i="25" s="1"/>
  <c r="R103" i="25"/>
  <c r="BW107" i="19"/>
  <c r="BA108" i="25" s="1"/>
  <c r="AQ151" i="20"/>
  <c r="AH151" i="20" s="1"/>
  <c r="O164" i="20"/>
  <c r="BZ164" i="20" s="1"/>
  <c r="AS150" i="20"/>
  <c r="AJ150" i="20" s="1"/>
  <c r="AL102" i="20"/>
  <c r="BM102" i="19" s="1"/>
  <c r="BG103" i="25" s="1"/>
  <c r="AR150" i="20"/>
  <c r="AI150" i="20" s="1"/>
  <c r="AT150" i="20"/>
  <c r="AK150" i="20" s="1"/>
  <c r="AN167" i="20"/>
  <c r="AE167" i="20" s="1"/>
  <c r="N168" i="20"/>
  <c r="BY168" i="20" s="1"/>
  <c r="L167" i="20"/>
  <c r="BW167" i="20" s="1"/>
  <c r="N107" i="25" l="1"/>
  <c r="AH108" i="25" s="1"/>
  <c r="BA108" i="20" s="1"/>
  <c r="S103" i="25"/>
  <c r="M108" i="25"/>
  <c r="BJ108" i="19" s="1"/>
  <c r="BC106" i="25"/>
  <c r="BX104" i="19"/>
  <c r="BD105" i="25" s="1"/>
  <c r="BI104" i="25"/>
  <c r="U104" i="25" s="1"/>
  <c r="Z103" i="19"/>
  <c r="AL104" i="25"/>
  <c r="V109" i="19"/>
  <c r="BI109" i="19"/>
  <c r="AF110" i="25"/>
  <c r="AC102" i="20"/>
  <c r="S151" i="20"/>
  <c r="CD151" i="20" s="1"/>
  <c r="AP164" i="20"/>
  <c r="AG164" i="20" s="1"/>
  <c r="P152" i="20"/>
  <c r="CA152" i="20" s="1"/>
  <c r="Q151" i="20"/>
  <c r="CB151" i="20" s="1"/>
  <c r="R151" i="20"/>
  <c r="CC151" i="20" s="1"/>
  <c r="M168" i="20"/>
  <c r="BX168" i="20" s="1"/>
  <c r="AM167" i="20"/>
  <c r="AD167" i="20" s="1"/>
  <c r="AO168" i="20"/>
  <c r="AF168" i="20" s="1"/>
  <c r="P105" i="25" l="1"/>
  <c r="O106" i="25"/>
  <c r="AI107" i="25" s="1"/>
  <c r="BB108" i="25" s="1"/>
  <c r="BY104" i="19"/>
  <c r="BF104" i="25"/>
  <c r="W108" i="19"/>
  <c r="AG109" i="25"/>
  <c r="AZ109" i="20" s="1"/>
  <c r="BW108" i="19"/>
  <c r="BK103" i="19"/>
  <c r="BE104" i="25" s="1"/>
  <c r="Q104" i="25" s="1"/>
  <c r="AA103" i="19"/>
  <c r="AM104" i="25"/>
  <c r="BC104" i="20" s="1"/>
  <c r="AN104" i="25"/>
  <c r="AS151" i="20"/>
  <c r="AJ151" i="20" s="1"/>
  <c r="AQ152" i="20"/>
  <c r="AH152" i="20" s="1"/>
  <c r="K103" i="20"/>
  <c r="BV103" i="20" s="1"/>
  <c r="AT151" i="20"/>
  <c r="AK151" i="20" s="1"/>
  <c r="AR151" i="20"/>
  <c r="AI151" i="20" s="1"/>
  <c r="O165" i="20"/>
  <c r="BZ165" i="20" s="1"/>
  <c r="N169" i="20"/>
  <c r="BY169" i="20" s="1"/>
  <c r="L168" i="20"/>
  <c r="BW168" i="20" s="1"/>
  <c r="AN168" i="20"/>
  <c r="AE168" i="20" s="1"/>
  <c r="N108" i="25" l="1"/>
  <c r="AH109" i="25" s="1"/>
  <c r="BA109" i="20" s="1"/>
  <c r="Y104" i="19"/>
  <c r="AK105" i="25"/>
  <c r="BB105" i="20" s="1"/>
  <c r="BA109" i="25"/>
  <c r="M109" i="25" s="1"/>
  <c r="BV109" i="19"/>
  <c r="AZ110" i="25" s="1"/>
  <c r="L110" i="25" s="1"/>
  <c r="R104" i="25"/>
  <c r="CA104" i="19"/>
  <c r="BH104" i="25"/>
  <c r="T104" i="25" s="1"/>
  <c r="X105" i="19"/>
  <c r="AJ106" i="25"/>
  <c r="BC107" i="25" s="1"/>
  <c r="S152" i="20"/>
  <c r="CD152" i="20" s="1"/>
  <c r="Q152" i="20"/>
  <c r="CB152" i="20" s="1"/>
  <c r="R152" i="20"/>
  <c r="CC152" i="20" s="1"/>
  <c r="AL103" i="20"/>
  <c r="BM103" i="19" s="1"/>
  <c r="BG104" i="25" s="1"/>
  <c r="AP165" i="20"/>
  <c r="AG165" i="20" s="1"/>
  <c r="P153" i="20"/>
  <c r="CA153" i="20" s="1"/>
  <c r="M169" i="20"/>
  <c r="BX169" i="20" s="1"/>
  <c r="AM168" i="20"/>
  <c r="AD168" i="20" s="1"/>
  <c r="AO169" i="20"/>
  <c r="AF169" i="20" s="1"/>
  <c r="AO105" i="25" l="1"/>
  <c r="W109" i="19"/>
  <c r="AG110" i="25"/>
  <c r="AZ110" i="20" s="1"/>
  <c r="S104" i="25"/>
  <c r="O107" i="25"/>
  <c r="AI108" i="25" s="1"/>
  <c r="BB109" i="25" s="1"/>
  <c r="N109" i="25" s="1"/>
  <c r="AH110" i="25" s="1"/>
  <c r="BA110" i="20" s="1"/>
  <c r="V110" i="19"/>
  <c r="BI110" i="19"/>
  <c r="AF111" i="25"/>
  <c r="BJ109" i="19"/>
  <c r="Z104" i="19"/>
  <c r="AL105" i="25"/>
  <c r="BX105" i="19"/>
  <c r="BD106" i="25" s="1"/>
  <c r="BW109" i="19"/>
  <c r="O166" i="20"/>
  <c r="BZ166" i="20" s="1"/>
  <c r="AS152" i="20"/>
  <c r="AJ152" i="20" s="1"/>
  <c r="AR152" i="20"/>
  <c r="AI152" i="20" s="1"/>
  <c r="AQ153" i="20"/>
  <c r="AH153" i="20" s="1"/>
  <c r="AC103" i="20"/>
  <c r="AT152" i="20"/>
  <c r="AK152" i="20" s="1"/>
  <c r="L169" i="20"/>
  <c r="BW169" i="20" s="1"/>
  <c r="N170" i="20"/>
  <c r="BY170" i="20" s="1"/>
  <c r="AN169" i="20"/>
  <c r="AE169" i="20" s="1"/>
  <c r="P106" i="25" l="1"/>
  <c r="BV110" i="19"/>
  <c r="AZ111" i="25" s="1"/>
  <c r="L111" i="25" s="1"/>
  <c r="BW110" i="19"/>
  <c r="BY105" i="19"/>
  <c r="BF105" i="25"/>
  <c r="BI105" i="25"/>
  <c r="U105" i="25" s="1"/>
  <c r="BA110" i="25"/>
  <c r="AA104" i="19"/>
  <c r="BK104" i="19"/>
  <c r="BE105" i="25" s="1"/>
  <c r="Q105" i="25" s="1"/>
  <c r="AM105" i="25"/>
  <c r="BC105" i="20" s="1"/>
  <c r="AN105" i="25"/>
  <c r="P154" i="20"/>
  <c r="CA154" i="20" s="1"/>
  <c r="K104" i="20"/>
  <c r="BV104" i="20" s="1"/>
  <c r="S153" i="20"/>
  <c r="CD153" i="20" s="1"/>
  <c r="AP166" i="20"/>
  <c r="AG166" i="20" s="1"/>
  <c r="Q153" i="20"/>
  <c r="CB153" i="20" s="1"/>
  <c r="R153" i="20"/>
  <c r="CC153" i="20" s="1"/>
  <c r="M170" i="20"/>
  <c r="BX170" i="20" s="1"/>
  <c r="AM169" i="20"/>
  <c r="AD169" i="20" s="1"/>
  <c r="AO170" i="20"/>
  <c r="AF170" i="20" s="1"/>
  <c r="AF112" i="25" l="1"/>
  <c r="V111" i="19"/>
  <c r="BI111" i="19"/>
  <c r="CA105" i="19"/>
  <c r="BH105" i="25"/>
  <c r="T105" i="25" s="1"/>
  <c r="R105" i="25"/>
  <c r="M110" i="25"/>
  <c r="BJ110" i="19" s="1"/>
  <c r="Y105" i="19"/>
  <c r="AK106" i="25"/>
  <c r="X106" i="19"/>
  <c r="AJ107" i="25"/>
  <c r="AS153" i="20"/>
  <c r="AJ153" i="20" s="1"/>
  <c r="AL104" i="20"/>
  <c r="BM104" i="19" s="1"/>
  <c r="BG105" i="25" s="1"/>
  <c r="O167" i="20"/>
  <c r="BZ167" i="20" s="1"/>
  <c r="AR153" i="20"/>
  <c r="AI153" i="20" s="1"/>
  <c r="AT153" i="20"/>
  <c r="AK153" i="20" s="1"/>
  <c r="AQ154" i="20"/>
  <c r="AH154" i="20" s="1"/>
  <c r="AN170" i="20"/>
  <c r="AE170" i="20" s="1"/>
  <c r="N171" i="20"/>
  <c r="BY171" i="20" s="1"/>
  <c r="L170" i="20"/>
  <c r="BW170" i="20" s="1"/>
  <c r="BX106" i="19" l="1"/>
  <c r="BD107" i="25" s="1"/>
  <c r="BB106" i="20"/>
  <c r="S105" i="25"/>
  <c r="AN106" i="25" s="1"/>
  <c r="AO106" i="25"/>
  <c r="BC108" i="25"/>
  <c r="W110" i="19"/>
  <c r="AG111" i="25"/>
  <c r="AZ111" i="20" s="1"/>
  <c r="Z105" i="19"/>
  <c r="AL106" i="25"/>
  <c r="Q154" i="20"/>
  <c r="CB154" i="20" s="1"/>
  <c r="S154" i="20"/>
  <c r="CD154" i="20" s="1"/>
  <c r="AC104" i="20"/>
  <c r="AP167" i="20"/>
  <c r="AG167" i="20" s="1"/>
  <c r="P155" i="20"/>
  <c r="CA155" i="20" s="1"/>
  <c r="R154" i="20"/>
  <c r="CC154" i="20" s="1"/>
  <c r="AM170" i="20"/>
  <c r="AD170" i="20" s="1"/>
  <c r="M171" i="20"/>
  <c r="BX171" i="20" s="1"/>
  <c r="AO171" i="20"/>
  <c r="AF171" i="20" s="1"/>
  <c r="CA106" i="19" l="1"/>
  <c r="BH106" i="25"/>
  <c r="T106" i="25" s="1"/>
  <c r="P107" i="25"/>
  <c r="O108" i="25"/>
  <c r="AI109" i="25" s="1"/>
  <c r="BY106" i="19"/>
  <c r="BF106" i="25"/>
  <c r="R106" i="25" s="1"/>
  <c r="BI106" i="25"/>
  <c r="U106" i="25" s="1"/>
  <c r="BV111" i="19"/>
  <c r="AZ112" i="25" s="1"/>
  <c r="BA111" i="25"/>
  <c r="AA105" i="19"/>
  <c r="BK105" i="19"/>
  <c r="BE106" i="25" s="1"/>
  <c r="Q106" i="25" s="1"/>
  <c r="AM106" i="25"/>
  <c r="BC106" i="20" s="1"/>
  <c r="K105" i="20"/>
  <c r="BV105" i="20" s="1"/>
  <c r="AS154" i="20"/>
  <c r="AJ154" i="20" s="1"/>
  <c r="AQ155" i="20"/>
  <c r="AH155" i="20" s="1"/>
  <c r="O168" i="20"/>
  <c r="BZ168" i="20" s="1"/>
  <c r="AT154" i="20"/>
  <c r="AK154" i="20" s="1"/>
  <c r="AR154" i="20"/>
  <c r="AI154" i="20" s="1"/>
  <c r="AN171" i="20"/>
  <c r="AE171" i="20" s="1"/>
  <c r="N172" i="20"/>
  <c r="BY172" i="20" s="1"/>
  <c r="L171" i="20"/>
  <c r="BW171" i="20" s="1"/>
  <c r="AO107" i="25" l="1"/>
  <c r="BI107" i="25" s="1"/>
  <c r="Z106" i="19"/>
  <c r="AL107" i="25"/>
  <c r="BY107" i="19" s="1"/>
  <c r="AK107" i="25"/>
  <c r="BB107" i="20" s="1"/>
  <c r="Y106" i="19"/>
  <c r="M111" i="25"/>
  <c r="L112" i="25"/>
  <c r="BB110" i="25"/>
  <c r="X107" i="19"/>
  <c r="AJ108" i="25"/>
  <c r="S155" i="20"/>
  <c r="CD155" i="20" s="1"/>
  <c r="AP168" i="20"/>
  <c r="AG168" i="20" s="1"/>
  <c r="R155" i="20"/>
  <c r="CC155" i="20" s="1"/>
  <c r="AL105" i="20"/>
  <c r="BM105" i="19" s="1"/>
  <c r="BG106" i="25" s="1"/>
  <c r="Q155" i="20"/>
  <c r="CB155" i="20" s="1"/>
  <c r="P156" i="20"/>
  <c r="CA156" i="20" s="1"/>
  <c r="AO172" i="20"/>
  <c r="AF172" i="20" s="1"/>
  <c r="AM171" i="20"/>
  <c r="AD171" i="20" s="1"/>
  <c r="M172" i="20"/>
  <c r="BX172" i="20" s="1"/>
  <c r="BF107" i="25" l="1"/>
  <c r="R107" i="25" s="1"/>
  <c r="Z107" i="19" s="1"/>
  <c r="S106" i="25"/>
  <c r="BX107" i="19"/>
  <c r="BI112" i="19"/>
  <c r="V112" i="19"/>
  <c r="AF113" i="25"/>
  <c r="N110" i="25"/>
  <c r="AH111" i="25" s="1"/>
  <c r="BA111" i="20" s="1"/>
  <c r="U107" i="25"/>
  <c r="W111" i="19"/>
  <c r="AG112" i="25"/>
  <c r="AZ112" i="20" s="1"/>
  <c r="BD108" i="25"/>
  <c r="BC109" i="25"/>
  <c r="BJ111" i="19"/>
  <c r="AC105" i="20"/>
  <c r="O169" i="20"/>
  <c r="BZ169" i="20" s="1"/>
  <c r="AQ156" i="20"/>
  <c r="AH156" i="20" s="1"/>
  <c r="AR155" i="20"/>
  <c r="AI155" i="20" s="1"/>
  <c r="AS155" i="20"/>
  <c r="AJ155" i="20" s="1"/>
  <c r="AT155" i="20"/>
  <c r="AK155" i="20" s="1"/>
  <c r="AN172" i="20"/>
  <c r="AE172" i="20" s="1"/>
  <c r="L172" i="20"/>
  <c r="BW172" i="20" s="1"/>
  <c r="N173" i="20"/>
  <c r="BY173" i="20" s="1"/>
  <c r="BV112" i="19" l="1"/>
  <c r="AZ113" i="25" s="1"/>
  <c r="O109" i="25"/>
  <c r="AI110" i="25" s="1"/>
  <c r="BW111" i="19"/>
  <c r="BA112" i="25" s="1"/>
  <c r="P108" i="25"/>
  <c r="BB111" i="25"/>
  <c r="BK106" i="19"/>
  <c r="BE107" i="25" s="1"/>
  <c r="AA106" i="19"/>
  <c r="AN107" i="25"/>
  <c r="AM107" i="25"/>
  <c r="BC107" i="20" s="1"/>
  <c r="S156" i="20"/>
  <c r="CD156" i="20" s="1"/>
  <c r="R156" i="20"/>
  <c r="CC156" i="20" s="1"/>
  <c r="P157" i="20"/>
  <c r="CA157" i="20" s="1"/>
  <c r="AP169" i="20"/>
  <c r="AG169" i="20" s="1"/>
  <c r="Q156" i="20"/>
  <c r="CB156" i="20" s="1"/>
  <c r="K106" i="20"/>
  <c r="BV106" i="20" s="1"/>
  <c r="AM172" i="20"/>
  <c r="AD172" i="20" s="1"/>
  <c r="AO173" i="20"/>
  <c r="AF173" i="20" s="1"/>
  <c r="M173" i="20"/>
  <c r="BX173" i="20" s="1"/>
  <c r="M112" i="25" l="1"/>
  <c r="L113" i="25"/>
  <c r="X108" i="19"/>
  <c r="AJ109" i="25"/>
  <c r="Q107" i="25"/>
  <c r="N111" i="25"/>
  <c r="AH112" i="25" s="1"/>
  <c r="CA107" i="19"/>
  <c r="BH107" i="25"/>
  <c r="T107" i="25" s="1"/>
  <c r="AL106" i="20"/>
  <c r="BM106" i="19" s="1"/>
  <c r="BG107" i="25" s="1"/>
  <c r="S107" i="25" s="1"/>
  <c r="AR156" i="20"/>
  <c r="AI156" i="20" s="1"/>
  <c r="O170" i="20"/>
  <c r="BZ170" i="20" s="1"/>
  <c r="AQ157" i="20"/>
  <c r="AH157" i="20" s="1"/>
  <c r="AS156" i="20"/>
  <c r="AJ156" i="20" s="1"/>
  <c r="AT156" i="20"/>
  <c r="AK156" i="20" s="1"/>
  <c r="N174" i="20"/>
  <c r="BY174" i="20" s="1"/>
  <c r="L173" i="20"/>
  <c r="BW173" i="20" s="1"/>
  <c r="AN173" i="20"/>
  <c r="AE173" i="20" s="1"/>
  <c r="BW112" i="19" l="1"/>
  <c r="BA112" i="20"/>
  <c r="AO108" i="25"/>
  <c r="AN108" i="25"/>
  <c r="BH108" i="25" s="1"/>
  <c r="AM108" i="25"/>
  <c r="BC108" i="20" s="1"/>
  <c r="BK107" i="19"/>
  <c r="AA107" i="19"/>
  <c r="W112" i="19"/>
  <c r="AG113" i="25"/>
  <c r="AZ113" i="20" s="1"/>
  <c r="AL108" i="25"/>
  <c r="Y107" i="19"/>
  <c r="AK108" i="25"/>
  <c r="BB108" i="20" s="1"/>
  <c r="BJ112" i="19"/>
  <c r="BI113" i="19"/>
  <c r="V113" i="19"/>
  <c r="AF114" i="25"/>
  <c r="BC110" i="25"/>
  <c r="AP170" i="20"/>
  <c r="AG170" i="20" s="1"/>
  <c r="S157" i="20"/>
  <c r="CD157" i="20" s="1"/>
  <c r="R157" i="20"/>
  <c r="CC157" i="20" s="1"/>
  <c r="P158" i="20"/>
  <c r="CA158" i="20" s="1"/>
  <c r="Q157" i="20"/>
  <c r="CB157" i="20" s="1"/>
  <c r="AC106" i="20"/>
  <c r="M174" i="20"/>
  <c r="BX174" i="20" s="1"/>
  <c r="AM173" i="20"/>
  <c r="AD173" i="20" s="1"/>
  <c r="AO174" i="20"/>
  <c r="AF174" i="20" s="1"/>
  <c r="O110" i="25" l="1"/>
  <c r="AI111" i="25" s="1"/>
  <c r="BY108" i="19"/>
  <c r="BF108" i="25"/>
  <c r="BV113" i="19"/>
  <c r="AZ114" i="25" s="1"/>
  <c r="L114" i="25" s="1"/>
  <c r="BA113" i="25"/>
  <c r="M113" i="25" s="1"/>
  <c r="T108" i="25"/>
  <c r="BX108" i="19"/>
  <c r="BD109" i="25" s="1"/>
  <c r="BE108" i="25"/>
  <c r="CA108" i="19"/>
  <c r="BI108" i="25"/>
  <c r="U108" i="25" s="1"/>
  <c r="AO109" i="25" s="1"/>
  <c r="AT157" i="20"/>
  <c r="AK157" i="20" s="1"/>
  <c r="K107" i="20"/>
  <c r="BV107" i="20" s="1"/>
  <c r="AR157" i="20"/>
  <c r="AI157" i="20" s="1"/>
  <c r="AQ158" i="20"/>
  <c r="AH158" i="20" s="1"/>
  <c r="AS157" i="20"/>
  <c r="AJ157" i="20" s="1"/>
  <c r="O171" i="20"/>
  <c r="BZ171" i="20" s="1"/>
  <c r="N175" i="20"/>
  <c r="BY175" i="20" s="1"/>
  <c r="L174" i="20"/>
  <c r="BW174" i="20" s="1"/>
  <c r="AN174" i="20"/>
  <c r="AE174" i="20" s="1"/>
  <c r="R108" i="25" l="1"/>
  <c r="P109" i="25"/>
  <c r="BI109" i="25"/>
  <c r="U109" i="25" s="1"/>
  <c r="V114" i="19"/>
  <c r="BI114" i="19"/>
  <c r="BJ113" i="19"/>
  <c r="W113" i="19"/>
  <c r="Q108" i="25"/>
  <c r="AG114" i="25"/>
  <c r="AZ114" i="20" s="1"/>
  <c r="AF115" i="25"/>
  <c r="BB112" i="25"/>
  <c r="N112" i="25" s="1"/>
  <c r="AH113" i="25" s="1"/>
  <c r="AP171" i="20"/>
  <c r="AG171" i="20" s="1"/>
  <c r="R158" i="20"/>
  <c r="CC158" i="20" s="1"/>
  <c r="Q158" i="20"/>
  <c r="CB158" i="20" s="1"/>
  <c r="AL107" i="20"/>
  <c r="BM107" i="19" s="1"/>
  <c r="BG108" i="25" s="1"/>
  <c r="P159" i="20"/>
  <c r="CA159" i="20" s="1"/>
  <c r="S158" i="20"/>
  <c r="CD158" i="20" s="1"/>
  <c r="AO175" i="20"/>
  <c r="AF175" i="20" s="1"/>
  <c r="M175" i="20"/>
  <c r="BX175" i="20" s="1"/>
  <c r="AM174" i="20"/>
  <c r="AD174" i="20" s="1"/>
  <c r="BW113" i="19" l="1"/>
  <c r="BA114" i="25" s="1"/>
  <c r="M114" i="25" s="1"/>
  <c r="W114" i="19" s="1"/>
  <c r="BA113" i="20"/>
  <c r="X109" i="19"/>
  <c r="AJ110" i="25"/>
  <c r="BV114" i="19"/>
  <c r="AZ115" i="25" s="1"/>
  <c r="L115" i="25" s="1"/>
  <c r="AF116" i="25" s="1"/>
  <c r="S108" i="25"/>
  <c r="Y108" i="19"/>
  <c r="AK109" i="25"/>
  <c r="BB109" i="20" s="1"/>
  <c r="Z108" i="19"/>
  <c r="AL109" i="25"/>
  <c r="AC107" i="20"/>
  <c r="AR158" i="20"/>
  <c r="AI158" i="20" s="1"/>
  <c r="AS158" i="20"/>
  <c r="AJ158" i="20" s="1"/>
  <c r="AT158" i="20"/>
  <c r="AK158" i="20" s="1"/>
  <c r="AQ159" i="20"/>
  <c r="AH159" i="20" s="1"/>
  <c r="O172" i="20"/>
  <c r="BZ172" i="20" s="1"/>
  <c r="N176" i="20"/>
  <c r="BY176" i="20" s="1"/>
  <c r="AN175" i="20"/>
  <c r="AE175" i="20" s="1"/>
  <c r="L175" i="20"/>
  <c r="BW175" i="20" s="1"/>
  <c r="BX109" i="19" l="1"/>
  <c r="AA108" i="19"/>
  <c r="BK108" i="19"/>
  <c r="BE109" i="25" s="1"/>
  <c r="Q109" i="25" s="1"/>
  <c r="AM109" i="25"/>
  <c r="BC109" i="20" s="1"/>
  <c r="AN109" i="25"/>
  <c r="BC111" i="25"/>
  <c r="BD110" i="25"/>
  <c r="P110" i="25" s="1"/>
  <c r="BY109" i="19"/>
  <c r="BF109" i="25"/>
  <c r="AG115" i="25"/>
  <c r="AZ115" i="20" s="1"/>
  <c r="BI115" i="19"/>
  <c r="V115" i="19"/>
  <c r="BJ114" i="19"/>
  <c r="P160" i="20"/>
  <c r="CA160" i="20" s="1"/>
  <c r="R159" i="20"/>
  <c r="CC159" i="20" s="1"/>
  <c r="K108" i="20"/>
  <c r="BV108" i="20" s="1"/>
  <c r="AP172" i="20"/>
  <c r="AG172" i="20" s="1"/>
  <c r="S159" i="20"/>
  <c r="CD159" i="20" s="1"/>
  <c r="Q159" i="20"/>
  <c r="CB159" i="20" s="1"/>
  <c r="AM175" i="20"/>
  <c r="AD175" i="20" s="1"/>
  <c r="M176" i="20"/>
  <c r="BX176" i="20" s="1"/>
  <c r="AO176" i="20"/>
  <c r="AF176" i="20" s="1"/>
  <c r="X110" i="19" l="1"/>
  <c r="AJ111" i="25"/>
  <c r="Y109" i="19"/>
  <c r="AK110" i="25"/>
  <c r="BB110" i="20" s="1"/>
  <c r="R109" i="25"/>
  <c r="BV115" i="19"/>
  <c r="AZ116" i="25" s="1"/>
  <c r="CA109" i="19"/>
  <c r="BH109" i="25"/>
  <c r="O111" i="25"/>
  <c r="AI112" i="25" s="1"/>
  <c r="BB113" i="25" s="1"/>
  <c r="N113" i="25" s="1"/>
  <c r="AH114" i="25" s="1"/>
  <c r="O173" i="20"/>
  <c r="BZ173" i="20" s="1"/>
  <c r="AR159" i="20"/>
  <c r="AI159" i="20" s="1"/>
  <c r="AT159" i="20"/>
  <c r="AK159" i="20" s="1"/>
  <c r="AL108" i="20"/>
  <c r="BM108" i="19" s="1"/>
  <c r="BG109" i="25" s="1"/>
  <c r="AS159" i="20"/>
  <c r="AJ159" i="20" s="1"/>
  <c r="AQ160" i="20"/>
  <c r="AH160" i="20" s="1"/>
  <c r="AN176" i="20"/>
  <c r="AE176" i="20" s="1"/>
  <c r="N177" i="20"/>
  <c r="BY177" i="20" s="1"/>
  <c r="L176" i="20"/>
  <c r="BW176" i="20" s="1"/>
  <c r="BW114" i="19" l="1"/>
  <c r="BA115" i="25" s="1"/>
  <c r="BA114" i="20"/>
  <c r="BC112" i="25"/>
  <c r="O112" i="25" s="1"/>
  <c r="AI113" i="25" s="1"/>
  <c r="S109" i="25"/>
  <c r="M115" i="25"/>
  <c r="BX110" i="19"/>
  <c r="BD111" i="25" s="1"/>
  <c r="T109" i="25"/>
  <c r="L116" i="25"/>
  <c r="Z109" i="19"/>
  <c r="AL110" i="25"/>
  <c r="R160" i="20"/>
  <c r="CC160" i="20" s="1"/>
  <c r="S160" i="20"/>
  <c r="CD160" i="20" s="1"/>
  <c r="Q160" i="20"/>
  <c r="CB160" i="20" s="1"/>
  <c r="P161" i="20"/>
  <c r="CA161" i="20" s="1"/>
  <c r="AC108" i="20"/>
  <c r="AP173" i="20"/>
  <c r="AG173" i="20" s="1"/>
  <c r="AM176" i="20"/>
  <c r="AD176" i="20" s="1"/>
  <c r="AO177" i="20"/>
  <c r="AF177" i="20" s="1"/>
  <c r="M177" i="20"/>
  <c r="BX177" i="20" s="1"/>
  <c r="BY110" i="19" l="1"/>
  <c r="BF110" i="25"/>
  <c r="W115" i="19"/>
  <c r="AG116" i="25"/>
  <c r="AZ116" i="20" s="1"/>
  <c r="BJ115" i="19"/>
  <c r="AO110" i="25"/>
  <c r="BI110" i="25" s="1"/>
  <c r="AN110" i="25"/>
  <c r="BI116" i="19"/>
  <c r="V116" i="19"/>
  <c r="AF117" i="25"/>
  <c r="P111" i="25"/>
  <c r="AA109" i="19"/>
  <c r="BK109" i="19"/>
  <c r="BE110" i="25" s="1"/>
  <c r="Q110" i="25" s="1"/>
  <c r="AM110" i="25"/>
  <c r="BC110" i="20" s="1"/>
  <c r="BB114" i="25"/>
  <c r="AQ161" i="20"/>
  <c r="AH161" i="20" s="1"/>
  <c r="AR160" i="20"/>
  <c r="AI160" i="20" s="1"/>
  <c r="O174" i="20"/>
  <c r="BZ174" i="20" s="1"/>
  <c r="K109" i="20"/>
  <c r="BV109" i="20" s="1"/>
  <c r="AT160" i="20"/>
  <c r="AK160" i="20" s="1"/>
  <c r="AS160" i="20"/>
  <c r="AJ160" i="20" s="1"/>
  <c r="N178" i="20"/>
  <c r="BY178" i="20" s="1"/>
  <c r="L177" i="20"/>
  <c r="BW177" i="20" s="1"/>
  <c r="AN177" i="20"/>
  <c r="AE177" i="20" s="1"/>
  <c r="R110" i="25" l="1"/>
  <c r="Z110" i="19" s="1"/>
  <c r="X111" i="19"/>
  <c r="AJ112" i="25"/>
  <c r="CA110" i="19"/>
  <c r="BH110" i="25"/>
  <c r="BV116" i="19"/>
  <c r="AL111" i="25"/>
  <c r="Y110" i="19"/>
  <c r="AK111" i="25"/>
  <c r="BB111" i="20" s="1"/>
  <c r="AZ117" i="25"/>
  <c r="L117" i="25" s="1"/>
  <c r="U110" i="25"/>
  <c r="N114" i="25"/>
  <c r="AH115" i="25" s="1"/>
  <c r="BA115" i="20" s="1"/>
  <c r="R161" i="20"/>
  <c r="CC161" i="20" s="1"/>
  <c r="Q161" i="20"/>
  <c r="CB161" i="20" s="1"/>
  <c r="S161" i="20"/>
  <c r="CD161" i="20" s="1"/>
  <c r="AP174" i="20"/>
  <c r="AG174" i="20" s="1"/>
  <c r="AL109" i="20"/>
  <c r="BM109" i="19" s="1"/>
  <c r="BG110" i="25" s="1"/>
  <c r="P162" i="20"/>
  <c r="CA162" i="20" s="1"/>
  <c r="M178" i="20"/>
  <c r="BX178" i="20" s="1"/>
  <c r="AM177" i="20"/>
  <c r="AD177" i="20" s="1"/>
  <c r="AO178" i="20"/>
  <c r="AF178" i="20" s="1"/>
  <c r="V117" i="19" l="1"/>
  <c r="BI117" i="19"/>
  <c r="AF118" i="25"/>
  <c r="S110" i="25"/>
  <c r="BY111" i="19"/>
  <c r="BC113" i="25"/>
  <c r="BD112" i="25"/>
  <c r="BW115" i="19"/>
  <c r="BA116" i="25" s="1"/>
  <c r="BX111" i="19"/>
  <c r="BF111" i="25"/>
  <c r="T110" i="25"/>
  <c r="AC109" i="20"/>
  <c r="O175" i="20"/>
  <c r="BZ175" i="20" s="1"/>
  <c r="AQ162" i="20"/>
  <c r="AH162" i="20" s="1"/>
  <c r="AT161" i="20"/>
  <c r="AK161" i="20" s="1"/>
  <c r="AR161" i="20"/>
  <c r="AI161" i="20" s="1"/>
  <c r="AS161" i="20"/>
  <c r="AJ161" i="20" s="1"/>
  <c r="L178" i="20"/>
  <c r="BW178" i="20" s="1"/>
  <c r="AN178" i="20"/>
  <c r="AE178" i="20" s="1"/>
  <c r="N179" i="20"/>
  <c r="BY179" i="20" s="1"/>
  <c r="AO111" i="25" l="1"/>
  <c r="AN111" i="25"/>
  <c r="O113" i="25"/>
  <c r="AI114" i="25" s="1"/>
  <c r="R111" i="25"/>
  <c r="M116" i="25"/>
  <c r="BJ116" i="19" s="1"/>
  <c r="P112" i="25"/>
  <c r="BK110" i="19"/>
  <c r="BE111" i="25" s="1"/>
  <c r="Q111" i="25" s="1"/>
  <c r="AA110" i="19"/>
  <c r="AM111" i="25"/>
  <c r="BC111" i="20" s="1"/>
  <c r="R162" i="20"/>
  <c r="CC162" i="20" s="1"/>
  <c r="S162" i="20"/>
  <c r="CD162" i="20" s="1"/>
  <c r="K110" i="20"/>
  <c r="BV110" i="20" s="1"/>
  <c r="Q162" i="20"/>
  <c r="CB162" i="20" s="1"/>
  <c r="P163" i="20"/>
  <c r="CA163" i="20" s="1"/>
  <c r="AP175" i="20"/>
  <c r="AG175" i="20" s="1"/>
  <c r="AO179" i="20"/>
  <c r="AF179" i="20" s="1"/>
  <c r="AM178" i="20"/>
  <c r="AD178" i="20" s="1"/>
  <c r="M179" i="20"/>
  <c r="BX179" i="20" s="1"/>
  <c r="Y111" i="19" l="1"/>
  <c r="AK112" i="25"/>
  <c r="BB112" i="20" s="1"/>
  <c r="CA111" i="19"/>
  <c r="BH111" i="25"/>
  <c r="X112" i="19"/>
  <c r="AJ113" i="25"/>
  <c r="Z111" i="19"/>
  <c r="AL112" i="25"/>
  <c r="BI111" i="25"/>
  <c r="U111" i="25" s="1"/>
  <c r="W116" i="19"/>
  <c r="AG117" i="25"/>
  <c r="AZ117" i="20" s="1"/>
  <c r="BB115" i="25"/>
  <c r="O176" i="20"/>
  <c r="BZ176" i="20" s="1"/>
  <c r="AQ163" i="20"/>
  <c r="AH163" i="20" s="1"/>
  <c r="AR162" i="20"/>
  <c r="AI162" i="20" s="1"/>
  <c r="AL110" i="20"/>
  <c r="BM110" i="19" s="1"/>
  <c r="BG111" i="25" s="1"/>
  <c r="AT162" i="20"/>
  <c r="AK162" i="20" s="1"/>
  <c r="AS162" i="20"/>
  <c r="AJ162" i="20" s="1"/>
  <c r="L179" i="20"/>
  <c r="BW179" i="20" s="1"/>
  <c r="N180" i="20"/>
  <c r="BY180" i="20" s="1"/>
  <c r="AN179" i="20"/>
  <c r="AE179" i="20" s="1"/>
  <c r="S111" i="25" l="1"/>
  <c r="BV117" i="19"/>
  <c r="AZ118" i="25" s="1"/>
  <c r="L118" i="25" s="1"/>
  <c r="BY112" i="19"/>
  <c r="BF112" i="25"/>
  <c r="N115" i="25"/>
  <c r="AH116" i="25" s="1"/>
  <c r="BA116" i="20" s="1"/>
  <c r="BX112" i="19"/>
  <c r="BD113" i="25" s="1"/>
  <c r="BC114" i="25"/>
  <c r="T111" i="25"/>
  <c r="P164" i="20"/>
  <c r="CA164" i="20" s="1"/>
  <c r="R163" i="20"/>
  <c r="CC163" i="20" s="1"/>
  <c r="S163" i="20"/>
  <c r="CD163" i="20" s="1"/>
  <c r="AC110" i="20"/>
  <c r="Q163" i="20"/>
  <c r="CB163" i="20" s="1"/>
  <c r="AP176" i="20"/>
  <c r="AG176" i="20" s="1"/>
  <c r="AO180" i="20"/>
  <c r="AF180" i="20" s="1"/>
  <c r="AM179" i="20"/>
  <c r="AD179" i="20" s="1"/>
  <c r="M180" i="20"/>
  <c r="BX180" i="20" s="1"/>
  <c r="AN112" i="25" l="1"/>
  <c r="BH112" i="25" s="1"/>
  <c r="BW116" i="19"/>
  <c r="BA117" i="25" s="1"/>
  <c r="AO112" i="25"/>
  <c r="V118" i="19"/>
  <c r="BI118" i="19"/>
  <c r="AF119" i="25"/>
  <c r="O114" i="25"/>
  <c r="AI115" i="25" s="1"/>
  <c r="BB116" i="25" s="1"/>
  <c r="N116" i="25" s="1"/>
  <c r="AH117" i="25" s="1"/>
  <c r="BA117" i="20" s="1"/>
  <c r="CA112" i="19"/>
  <c r="P113" i="25"/>
  <c r="R112" i="25"/>
  <c r="BK111" i="19"/>
  <c r="BE112" i="25" s="1"/>
  <c r="AA111" i="19"/>
  <c r="AM112" i="25"/>
  <c r="BC112" i="20" s="1"/>
  <c r="O177" i="20"/>
  <c r="BZ177" i="20" s="1"/>
  <c r="AR163" i="20"/>
  <c r="AI163" i="20" s="1"/>
  <c r="K111" i="20"/>
  <c r="BV111" i="20" s="1"/>
  <c r="AT163" i="20"/>
  <c r="AK163" i="20" s="1"/>
  <c r="AS163" i="20"/>
  <c r="AJ163" i="20" s="1"/>
  <c r="AQ164" i="20"/>
  <c r="AH164" i="20" s="1"/>
  <c r="L180" i="20"/>
  <c r="BW180" i="20" s="1"/>
  <c r="AN180" i="20"/>
  <c r="AE180" i="20" s="1"/>
  <c r="N181" i="20"/>
  <c r="BY181" i="20" s="1"/>
  <c r="T112" i="25" l="1"/>
  <c r="BW117" i="19"/>
  <c r="Q112" i="25"/>
  <c r="X113" i="19"/>
  <c r="AJ114" i="25"/>
  <c r="Z112" i="19"/>
  <c r="AL113" i="25"/>
  <c r="BI112" i="25"/>
  <c r="M117" i="25"/>
  <c r="BJ117" i="19" s="1"/>
  <c r="AL111" i="20"/>
  <c r="BM111" i="19" s="1"/>
  <c r="BG112" i="25" s="1"/>
  <c r="S112" i="25" s="1"/>
  <c r="R164" i="20"/>
  <c r="CC164" i="20" s="1"/>
  <c r="Q164" i="20"/>
  <c r="CB164" i="20" s="1"/>
  <c r="P165" i="20"/>
  <c r="CA165" i="20" s="1"/>
  <c r="S164" i="20"/>
  <c r="CD164" i="20" s="1"/>
  <c r="AP177" i="20"/>
  <c r="AG177" i="20" s="1"/>
  <c r="M181" i="20"/>
  <c r="BX181" i="20" s="1"/>
  <c r="AM180" i="20"/>
  <c r="AD180" i="20" s="1"/>
  <c r="AO181" i="20"/>
  <c r="AF181" i="20" s="1"/>
  <c r="AM113" i="25" l="1"/>
  <c r="BC113" i="20" s="1"/>
  <c r="AA112" i="19"/>
  <c r="BK112" i="19"/>
  <c r="AN113" i="25"/>
  <c r="BC115" i="25"/>
  <c r="BY113" i="19"/>
  <c r="BF113" i="25"/>
  <c r="W117" i="19"/>
  <c r="AG118" i="25"/>
  <c r="AZ118" i="20" s="1"/>
  <c r="U112" i="25"/>
  <c r="AO113" i="25" s="1"/>
  <c r="Y112" i="19"/>
  <c r="AK113" i="25"/>
  <c r="BB113" i="20" s="1"/>
  <c r="AT164" i="20"/>
  <c r="AK164" i="20" s="1"/>
  <c r="AQ165" i="20"/>
  <c r="AH165" i="20" s="1"/>
  <c r="AR164" i="20"/>
  <c r="AI164" i="20" s="1"/>
  <c r="AS164" i="20"/>
  <c r="AJ164" i="20" s="1"/>
  <c r="O178" i="20"/>
  <c r="BZ178" i="20" s="1"/>
  <c r="AC111" i="20"/>
  <c r="AN181" i="20"/>
  <c r="AE181" i="20" s="1"/>
  <c r="L181" i="20"/>
  <c r="BW181" i="20" s="1"/>
  <c r="N182" i="20"/>
  <c r="BY182" i="20" s="1"/>
  <c r="BV118" i="19" l="1"/>
  <c r="AZ119" i="25" s="1"/>
  <c r="L119" i="25" s="1"/>
  <c r="BA118" i="25"/>
  <c r="BX113" i="19"/>
  <c r="BD114" i="25" s="1"/>
  <c r="BE113" i="25"/>
  <c r="O115" i="25"/>
  <c r="AI116" i="25" s="1"/>
  <c r="BI113" i="25"/>
  <c r="U113" i="25" s="1"/>
  <c r="R113" i="25"/>
  <c r="Z113" i="19" s="1"/>
  <c r="CA113" i="19"/>
  <c r="BH113" i="25"/>
  <c r="K112" i="20"/>
  <c r="BV112" i="20" s="1"/>
  <c r="R165" i="20"/>
  <c r="CC165" i="20" s="1"/>
  <c r="P166" i="20"/>
  <c r="CA166" i="20" s="1"/>
  <c r="AP178" i="20"/>
  <c r="AG178" i="20" s="1"/>
  <c r="Q165" i="20"/>
  <c r="CB165" i="20" s="1"/>
  <c r="S165" i="20"/>
  <c r="CD165" i="20" s="1"/>
  <c r="AO182" i="20"/>
  <c r="AF182" i="20" s="1"/>
  <c r="M182" i="20"/>
  <c r="BX182" i="20" s="1"/>
  <c r="AM181" i="20"/>
  <c r="AD181" i="20" s="1"/>
  <c r="M118" i="25" l="1"/>
  <c r="BJ118" i="19" s="1"/>
  <c r="T113" i="25"/>
  <c r="AO114" i="25" s="1"/>
  <c r="Q113" i="25"/>
  <c r="AF120" i="25"/>
  <c r="V119" i="19"/>
  <c r="BI119" i="19"/>
  <c r="BB117" i="25"/>
  <c r="P114" i="25"/>
  <c r="O179" i="20"/>
  <c r="BZ179" i="20" s="1"/>
  <c r="AQ166" i="20"/>
  <c r="AH166" i="20" s="1"/>
  <c r="AS165" i="20"/>
  <c r="AJ165" i="20" s="1"/>
  <c r="AT165" i="20"/>
  <c r="AK165" i="20" s="1"/>
  <c r="AR165" i="20"/>
  <c r="AI165" i="20" s="1"/>
  <c r="AL112" i="20"/>
  <c r="BM112" i="19" s="1"/>
  <c r="BG113" i="25" s="1"/>
  <c r="L182" i="20"/>
  <c r="BW182" i="20" s="1"/>
  <c r="AN182" i="20"/>
  <c r="AE182" i="20" s="1"/>
  <c r="N117" i="25" l="1"/>
  <c r="AH118" i="25" s="1"/>
  <c r="BA118" i="20" s="1"/>
  <c r="BI114" i="25"/>
  <c r="AL114" i="25"/>
  <c r="Y113" i="19"/>
  <c r="AK114" i="25"/>
  <c r="BB114" i="20" s="1"/>
  <c r="W118" i="19"/>
  <c r="AG119" i="25"/>
  <c r="AZ119" i="20" s="1"/>
  <c r="X114" i="19"/>
  <c r="AJ115" i="25"/>
  <c r="S113" i="25"/>
  <c r="R166" i="20"/>
  <c r="CC166" i="20" s="1"/>
  <c r="AP179" i="20"/>
  <c r="AG179" i="20" s="1"/>
  <c r="AC112" i="20"/>
  <c r="Q166" i="20"/>
  <c r="CB166" i="20" s="1"/>
  <c r="P167" i="20"/>
  <c r="CA167" i="20" s="1"/>
  <c r="S166" i="20"/>
  <c r="CD166" i="20" s="1"/>
  <c r="AM182" i="20"/>
  <c r="AD182" i="20" s="1"/>
  <c r="BC116" i="25" l="1"/>
  <c r="AN114" i="25"/>
  <c r="BK113" i="19"/>
  <c r="AA113" i="19"/>
  <c r="AM114" i="25"/>
  <c r="BC114" i="20" s="1"/>
  <c r="BV119" i="19"/>
  <c r="AZ120" i="25" s="1"/>
  <c r="L120" i="25" s="1"/>
  <c r="BY114" i="19"/>
  <c r="BF114" i="25"/>
  <c r="R114" i="25" s="1"/>
  <c r="Z114" i="19" s="1"/>
  <c r="BW118" i="19"/>
  <c r="BA119" i="25" s="1"/>
  <c r="M119" i="25" s="1"/>
  <c r="BX114" i="19"/>
  <c r="BD115" i="25" s="1"/>
  <c r="BE114" i="25"/>
  <c r="U114" i="25"/>
  <c r="K113" i="20"/>
  <c r="BV113" i="20" s="1"/>
  <c r="AT166" i="20"/>
  <c r="AK166" i="20" s="1"/>
  <c r="AQ167" i="20"/>
  <c r="AH167" i="20" s="1"/>
  <c r="AR166" i="20"/>
  <c r="AI166" i="20" s="1"/>
  <c r="O180" i="20"/>
  <c r="BZ180" i="20" s="1"/>
  <c r="AS166" i="20"/>
  <c r="AJ166" i="20" s="1"/>
  <c r="P115" i="25" l="1"/>
  <c r="BJ119" i="19"/>
  <c r="W119" i="19"/>
  <c r="AG120" i="25"/>
  <c r="AZ120" i="20" s="1"/>
  <c r="O116" i="25"/>
  <c r="AI117" i="25" s="1"/>
  <c r="BB118" i="25" s="1"/>
  <c r="BI120" i="19"/>
  <c r="V120" i="19"/>
  <c r="AF121" i="25"/>
  <c r="Q114" i="25"/>
  <c r="CA114" i="19"/>
  <c r="BH114" i="25"/>
  <c r="AP180" i="20"/>
  <c r="AG180" i="20" s="1"/>
  <c r="P168" i="20"/>
  <c r="CA168" i="20" s="1"/>
  <c r="AL113" i="20"/>
  <c r="BM113" i="19" s="1"/>
  <c r="BG114" i="25" s="1"/>
  <c r="R167" i="20"/>
  <c r="CC167" i="20" s="1"/>
  <c r="Q167" i="20"/>
  <c r="CB167" i="20" s="1"/>
  <c r="S167" i="20"/>
  <c r="CD167" i="20" s="1"/>
  <c r="T114" i="25" l="1"/>
  <c r="S114" i="25"/>
  <c r="N118" i="25"/>
  <c r="AH119" i="25" s="1"/>
  <c r="BA119" i="20" s="1"/>
  <c r="Y114" i="19"/>
  <c r="AK115" i="25"/>
  <c r="BB115" i="20" s="1"/>
  <c r="AL115" i="25"/>
  <c r="BV120" i="19"/>
  <c r="AZ121" i="25" s="1"/>
  <c r="L121" i="25" s="1"/>
  <c r="X115" i="19"/>
  <c r="AJ116" i="25"/>
  <c r="AT167" i="20"/>
  <c r="AK167" i="20" s="1"/>
  <c r="AR167" i="20"/>
  <c r="AI167" i="20" s="1"/>
  <c r="AS167" i="20"/>
  <c r="AJ167" i="20" s="1"/>
  <c r="AC113" i="20"/>
  <c r="AQ168" i="20"/>
  <c r="AH168" i="20" s="1"/>
  <c r="O181" i="20"/>
  <c r="BZ181" i="20" s="1"/>
  <c r="BW119" i="19" l="1"/>
  <c r="BA120" i="25" s="1"/>
  <c r="V121" i="19"/>
  <c r="BI121" i="19"/>
  <c r="BC117" i="25"/>
  <c r="BY115" i="19"/>
  <c r="BF115" i="25"/>
  <c r="AF122" i="25"/>
  <c r="BX115" i="19"/>
  <c r="BD116" i="25" s="1"/>
  <c r="P116" i="25" s="1"/>
  <c r="AO115" i="25"/>
  <c r="AN115" i="25"/>
  <c r="BK114" i="19"/>
  <c r="BE115" i="25" s="1"/>
  <c r="AA114" i="19"/>
  <c r="AM115" i="25"/>
  <c r="BC115" i="20" s="1"/>
  <c r="K114" i="20"/>
  <c r="BV114" i="20" s="1"/>
  <c r="Q168" i="20"/>
  <c r="CB168" i="20" s="1"/>
  <c r="AP181" i="20"/>
  <c r="AG181" i="20" s="1"/>
  <c r="P169" i="20"/>
  <c r="CA169" i="20" s="1"/>
  <c r="R168" i="20"/>
  <c r="CC168" i="20" s="1"/>
  <c r="S168" i="20"/>
  <c r="CD168" i="20" s="1"/>
  <c r="X116" i="19" l="1"/>
  <c r="AJ117" i="25"/>
  <c r="Q115" i="25"/>
  <c r="O117" i="25"/>
  <c r="AI118" i="25" s="1"/>
  <c r="BC118" i="25" s="1"/>
  <c r="M120" i="25"/>
  <c r="BI115" i="25"/>
  <c r="U115" i="25" s="1"/>
  <c r="CA115" i="19"/>
  <c r="BH115" i="25"/>
  <c r="R115" i="25"/>
  <c r="Z115" i="19" s="1"/>
  <c r="O182" i="20"/>
  <c r="BZ182" i="20" s="1"/>
  <c r="AR168" i="20"/>
  <c r="AI168" i="20" s="1"/>
  <c r="AL114" i="20"/>
  <c r="BM114" i="19" s="1"/>
  <c r="BG115" i="25" s="1"/>
  <c r="AT168" i="20"/>
  <c r="AK168" i="20" s="1"/>
  <c r="AS168" i="20"/>
  <c r="AJ168" i="20" s="1"/>
  <c r="AQ169" i="20"/>
  <c r="AH169" i="20" s="1"/>
  <c r="S115" i="25" l="1"/>
  <c r="O118" i="25"/>
  <c r="AI119" i="25" s="1"/>
  <c r="BB119" i="25"/>
  <c r="T115" i="25"/>
  <c r="AL116" i="25"/>
  <c r="Y115" i="19"/>
  <c r="AK116" i="25"/>
  <c r="BB116" i="20" s="1"/>
  <c r="BJ120" i="19"/>
  <c r="W120" i="19"/>
  <c r="AG121" i="25"/>
  <c r="AZ121" i="20" s="1"/>
  <c r="AP182" i="20"/>
  <c r="AG182" i="20" s="1"/>
  <c r="P170" i="20"/>
  <c r="CA170" i="20" s="1"/>
  <c r="R169" i="20"/>
  <c r="CC169" i="20" s="1"/>
  <c r="S169" i="20"/>
  <c r="CD169" i="20" s="1"/>
  <c r="AC114" i="20"/>
  <c r="Q169" i="20"/>
  <c r="CB169" i="20" s="1"/>
  <c r="AN116" i="25" l="1"/>
  <c r="BH116" i="25" s="1"/>
  <c r="T116" i="25" s="1"/>
  <c r="BY116" i="19"/>
  <c r="BF116" i="25"/>
  <c r="R116" i="25" s="1"/>
  <c r="N119" i="25"/>
  <c r="AH120" i="25" s="1"/>
  <c r="BK115" i="19"/>
  <c r="BE116" i="25" s="1"/>
  <c r="AA115" i="19"/>
  <c r="AM116" i="25"/>
  <c r="BC116" i="20" s="1"/>
  <c r="BX116" i="19"/>
  <c r="BD117" i="25" s="1"/>
  <c r="P117" i="25" s="1"/>
  <c r="BV121" i="19"/>
  <c r="AZ122" i="25" s="1"/>
  <c r="L122" i="25" s="1"/>
  <c r="AO116" i="25"/>
  <c r="AS169" i="20"/>
  <c r="AJ169" i="20" s="1"/>
  <c r="K115" i="20"/>
  <c r="BV115" i="20" s="1"/>
  <c r="AT169" i="20"/>
  <c r="AK169" i="20" s="1"/>
  <c r="AQ170" i="20"/>
  <c r="AH170" i="20" s="1"/>
  <c r="AR169" i="20"/>
  <c r="AI169" i="20" s="1"/>
  <c r="BB120" i="25" l="1"/>
  <c r="BA120" i="20"/>
  <c r="CA116" i="19"/>
  <c r="Z116" i="19"/>
  <c r="Q116" i="25"/>
  <c r="X117" i="19"/>
  <c r="AJ118" i="25"/>
  <c r="BI116" i="25"/>
  <c r="U116" i="25" s="1"/>
  <c r="AO117" i="25" s="1"/>
  <c r="BI122" i="19"/>
  <c r="V122" i="19"/>
  <c r="AF123" i="25"/>
  <c r="BW120" i="19"/>
  <c r="BA121" i="25" s="1"/>
  <c r="N120" i="25"/>
  <c r="AH121" i="25" s="1"/>
  <c r="BA121" i="20" s="1"/>
  <c r="P171" i="20"/>
  <c r="CA171" i="20" s="1"/>
  <c r="R170" i="20"/>
  <c r="CC170" i="20" s="1"/>
  <c r="AL115" i="20"/>
  <c r="BM115" i="19" s="1"/>
  <c r="BG116" i="25" s="1"/>
  <c r="Q170" i="20"/>
  <c r="CB170" i="20" s="1"/>
  <c r="S170" i="20"/>
  <c r="CD170" i="20" s="1"/>
  <c r="S116" i="25" l="1"/>
  <c r="Y116" i="19"/>
  <c r="AK117" i="25"/>
  <c r="BB117" i="20" s="1"/>
  <c r="BC119" i="25"/>
  <c r="AL117" i="25"/>
  <c r="BW121" i="19"/>
  <c r="M121" i="25"/>
  <c r="BI117" i="25"/>
  <c r="AT170" i="20"/>
  <c r="AK170" i="20" s="1"/>
  <c r="AR170" i="20"/>
  <c r="AI170" i="20" s="1"/>
  <c r="AC115" i="20"/>
  <c r="AS170" i="20"/>
  <c r="AJ170" i="20" s="1"/>
  <c r="AQ171" i="20"/>
  <c r="AH171" i="20" s="1"/>
  <c r="W121" i="19" l="1"/>
  <c r="AG122" i="25"/>
  <c r="AZ122" i="20" s="1"/>
  <c r="BY117" i="19"/>
  <c r="BF117" i="25"/>
  <c r="R117" i="25" s="1"/>
  <c r="Z117" i="19" s="1"/>
  <c r="U117" i="25"/>
  <c r="BJ121" i="19"/>
  <c r="O119" i="25"/>
  <c r="AI120" i="25" s="1"/>
  <c r="BX117" i="19"/>
  <c r="BD118" i="25" s="1"/>
  <c r="AA116" i="19"/>
  <c r="BK116" i="19"/>
  <c r="BE117" i="25" s="1"/>
  <c r="Q117" i="25" s="1"/>
  <c r="Y117" i="19" s="1"/>
  <c r="AN117" i="25"/>
  <c r="AM117" i="25"/>
  <c r="BC117" i="20" s="1"/>
  <c r="P172" i="20"/>
  <c r="CA172" i="20" s="1"/>
  <c r="S171" i="20"/>
  <c r="CD171" i="20" s="1"/>
  <c r="K116" i="20"/>
  <c r="BV116" i="20" s="1"/>
  <c r="R171" i="20"/>
  <c r="CC171" i="20" s="1"/>
  <c r="Q171" i="20"/>
  <c r="CB171" i="20" s="1"/>
  <c r="CA117" i="19" l="1"/>
  <c r="BH117" i="25"/>
  <c r="T117" i="25" s="1"/>
  <c r="AK118" i="25"/>
  <c r="BB118" i="20" s="1"/>
  <c r="BB121" i="25"/>
  <c r="BV122" i="19"/>
  <c r="AZ123" i="25" s="1"/>
  <c r="L123" i="25" s="1"/>
  <c r="BA122" i="25"/>
  <c r="M122" i="25" s="1"/>
  <c r="W122" i="19" s="1"/>
  <c r="P118" i="25"/>
  <c r="AL118" i="25"/>
  <c r="AL116" i="20"/>
  <c r="BM116" i="19" s="1"/>
  <c r="BG117" i="25" s="1"/>
  <c r="AR171" i="20"/>
  <c r="AI171" i="20" s="1"/>
  <c r="AS171" i="20"/>
  <c r="AJ171" i="20" s="1"/>
  <c r="AT171" i="20"/>
  <c r="AK171" i="20" s="1"/>
  <c r="AQ172" i="20"/>
  <c r="AH172" i="20" s="1"/>
  <c r="BX118" i="19" l="1"/>
  <c r="V123" i="19"/>
  <c r="BI123" i="19"/>
  <c r="AF124" i="25"/>
  <c r="BY118" i="19"/>
  <c r="BJ122" i="19"/>
  <c r="BF118" i="25"/>
  <c r="AO118" i="25"/>
  <c r="BI118" i="25" s="1"/>
  <c r="S117" i="25"/>
  <c r="X118" i="19"/>
  <c r="AJ119" i="25"/>
  <c r="AG123" i="25"/>
  <c r="AZ123" i="20" s="1"/>
  <c r="N121" i="25"/>
  <c r="AH122" i="25" s="1"/>
  <c r="BA122" i="20" s="1"/>
  <c r="P173" i="20"/>
  <c r="CA173" i="20" s="1"/>
  <c r="S172" i="20"/>
  <c r="CD172" i="20" s="1"/>
  <c r="R172" i="20"/>
  <c r="CC172" i="20" s="1"/>
  <c r="Q172" i="20"/>
  <c r="CB172" i="20" s="1"/>
  <c r="AC116" i="20"/>
  <c r="BW122" i="19" l="1"/>
  <c r="BA123" i="25" s="1"/>
  <c r="M123" i="25" s="1"/>
  <c r="W123" i="19" s="1"/>
  <c r="R118" i="25"/>
  <c r="BV123" i="19"/>
  <c r="AZ124" i="25" s="1"/>
  <c r="L124" i="25" s="1"/>
  <c r="AF125" i="25" s="1"/>
  <c r="BK117" i="19"/>
  <c r="BE118" i="25" s="1"/>
  <c r="AA117" i="19"/>
  <c r="AM118" i="25"/>
  <c r="BC118" i="20" s="1"/>
  <c r="BC120" i="25"/>
  <c r="BD119" i="25"/>
  <c r="U118" i="25"/>
  <c r="AN118" i="25"/>
  <c r="AR172" i="20"/>
  <c r="AI172" i="20" s="1"/>
  <c r="AS172" i="20"/>
  <c r="AJ172" i="20" s="1"/>
  <c r="K117" i="20"/>
  <c r="BV117" i="20" s="1"/>
  <c r="AT172" i="20"/>
  <c r="AK172" i="20" s="1"/>
  <c r="AQ173" i="20"/>
  <c r="AH173" i="20" s="1"/>
  <c r="O120" i="25" l="1"/>
  <c r="AI121" i="25" s="1"/>
  <c r="Q118" i="25"/>
  <c r="AL119" i="25" s="1"/>
  <c r="Z118" i="19"/>
  <c r="AG124" i="25"/>
  <c r="AZ124" i="20" s="1"/>
  <c r="CA118" i="19"/>
  <c r="BH118" i="25"/>
  <c r="V124" i="19"/>
  <c r="BI124" i="19"/>
  <c r="P119" i="25"/>
  <c r="BJ123" i="19"/>
  <c r="S173" i="20"/>
  <c r="CD173" i="20" s="1"/>
  <c r="R173" i="20"/>
  <c r="CC173" i="20" s="1"/>
  <c r="AL117" i="20"/>
  <c r="BM117" i="19" s="1"/>
  <c r="BG118" i="25" s="1"/>
  <c r="P174" i="20"/>
  <c r="CA174" i="20" s="1"/>
  <c r="Q173" i="20"/>
  <c r="CB173" i="20" s="1"/>
  <c r="S118" i="25" l="1"/>
  <c r="Y118" i="19"/>
  <c r="AK119" i="25"/>
  <c r="BB119" i="20" s="1"/>
  <c r="BV124" i="19"/>
  <c r="AZ125" i="25" s="1"/>
  <c r="L125" i="25" s="1"/>
  <c r="BY119" i="19"/>
  <c r="BF119" i="25"/>
  <c r="BB122" i="25"/>
  <c r="N122" i="25" s="1"/>
  <c r="AH123" i="25" s="1"/>
  <c r="BA123" i="20" s="1"/>
  <c r="X119" i="19"/>
  <c r="AJ120" i="25"/>
  <c r="T118" i="25"/>
  <c r="AR173" i="20"/>
  <c r="AI173" i="20" s="1"/>
  <c r="AQ174" i="20"/>
  <c r="AH174" i="20" s="1"/>
  <c r="AS173" i="20"/>
  <c r="AJ173" i="20" s="1"/>
  <c r="AC117" i="20"/>
  <c r="AT173" i="20"/>
  <c r="AK173" i="20" s="1"/>
  <c r="AO119" i="25" l="1"/>
  <c r="AN119" i="25"/>
  <c r="BX119" i="19"/>
  <c r="BD120" i="25" s="1"/>
  <c r="P120" i="25" s="1"/>
  <c r="X120" i="19" s="1"/>
  <c r="V125" i="19"/>
  <c r="BI125" i="19"/>
  <c r="AF126" i="25"/>
  <c r="BW123" i="19"/>
  <c r="BA124" i="25" s="1"/>
  <c r="R119" i="25"/>
  <c r="BC121" i="25"/>
  <c r="AA118" i="19"/>
  <c r="BK118" i="19"/>
  <c r="BE119" i="25" s="1"/>
  <c r="AM119" i="25"/>
  <c r="BC119" i="20" s="1"/>
  <c r="R174" i="20"/>
  <c r="CC174" i="20" s="1"/>
  <c r="P175" i="20"/>
  <c r="CA175" i="20" s="1"/>
  <c r="K118" i="20"/>
  <c r="BV118" i="20" s="1"/>
  <c r="S174" i="20"/>
  <c r="CD174" i="20" s="1"/>
  <c r="Q174" i="20"/>
  <c r="CB174" i="20" s="1"/>
  <c r="M124" i="25" l="1"/>
  <c r="O121" i="25"/>
  <c r="AI122" i="25" s="1"/>
  <c r="BB123" i="25" s="1"/>
  <c r="AJ121" i="25"/>
  <c r="Z119" i="19"/>
  <c r="CA119" i="19"/>
  <c r="BH119" i="25"/>
  <c r="Q119" i="25"/>
  <c r="BI119" i="25"/>
  <c r="AT174" i="20"/>
  <c r="AK174" i="20" s="1"/>
  <c r="AR174" i="20"/>
  <c r="AI174" i="20" s="1"/>
  <c r="AL118" i="20"/>
  <c r="BM118" i="19" s="1"/>
  <c r="BG119" i="25" s="1"/>
  <c r="S119" i="25" s="1"/>
  <c r="AQ175" i="20"/>
  <c r="AH175" i="20" s="1"/>
  <c r="AS174" i="20"/>
  <c r="AJ174" i="20" s="1"/>
  <c r="BK119" i="19" l="1"/>
  <c r="AA119" i="19"/>
  <c r="AM120" i="25"/>
  <c r="BC120" i="20" s="1"/>
  <c r="Y119" i="19"/>
  <c r="AK120" i="25"/>
  <c r="BB120" i="20" s="1"/>
  <c r="T119" i="25"/>
  <c r="AN120" i="25" s="1"/>
  <c r="BH120" i="25" s="1"/>
  <c r="BC122" i="25"/>
  <c r="O122" i="25" s="1"/>
  <c r="AI123" i="25" s="1"/>
  <c r="AL120" i="25"/>
  <c r="U119" i="25"/>
  <c r="AO120" i="25" s="1"/>
  <c r="N123" i="25"/>
  <c r="AH124" i="25" s="1"/>
  <c r="BA124" i="20" s="1"/>
  <c r="W124" i="19"/>
  <c r="AG125" i="25"/>
  <c r="AZ125" i="20" s="1"/>
  <c r="BJ124" i="19"/>
  <c r="R175" i="20"/>
  <c r="CC175" i="20" s="1"/>
  <c r="P176" i="20"/>
  <c r="CA176" i="20" s="1"/>
  <c r="AC118" i="20"/>
  <c r="Q175" i="20"/>
  <c r="CB175" i="20" s="1"/>
  <c r="S175" i="20"/>
  <c r="CD175" i="20" s="1"/>
  <c r="BB124" i="25" l="1"/>
  <c r="BX120" i="19"/>
  <c r="BD121" i="25" s="1"/>
  <c r="BE120" i="25"/>
  <c r="Q120" i="25" s="1"/>
  <c r="BY120" i="19"/>
  <c r="BF120" i="25"/>
  <c r="R120" i="25" s="1"/>
  <c r="Z120" i="19" s="1"/>
  <c r="CA120" i="19"/>
  <c r="T120" i="25"/>
  <c r="BW124" i="19"/>
  <c r="BA125" i="25" s="1"/>
  <c r="N124" i="25"/>
  <c r="AH125" i="25" s="1"/>
  <c r="BA125" i="20" s="1"/>
  <c r="BV125" i="19"/>
  <c r="AZ126" i="25" s="1"/>
  <c r="BI120" i="25"/>
  <c r="U120" i="25" s="1"/>
  <c r="AO121" i="25" s="1"/>
  <c r="AT175" i="20"/>
  <c r="AK175" i="20" s="1"/>
  <c r="AR175" i="20"/>
  <c r="AI175" i="20" s="1"/>
  <c r="K119" i="20"/>
  <c r="BV119" i="20" s="1"/>
  <c r="AQ176" i="20"/>
  <c r="AH176" i="20" s="1"/>
  <c r="AS175" i="20"/>
  <c r="AJ175" i="20" s="1"/>
  <c r="BI121" i="25" l="1"/>
  <c r="U121" i="25" s="1"/>
  <c r="Y120" i="19"/>
  <c r="AK121" i="25"/>
  <c r="BB121" i="20" s="1"/>
  <c r="BW125" i="19"/>
  <c r="M125" i="25"/>
  <c r="AL121" i="25"/>
  <c r="P121" i="25"/>
  <c r="L126" i="25"/>
  <c r="R176" i="20"/>
  <c r="CC176" i="20" s="1"/>
  <c r="Q176" i="20"/>
  <c r="CB176" i="20" s="1"/>
  <c r="AL119" i="20"/>
  <c r="BM119" i="19" s="1"/>
  <c r="BG120" i="25" s="1"/>
  <c r="P177" i="20"/>
  <c r="CA177" i="20" s="1"/>
  <c r="S176" i="20"/>
  <c r="CD176" i="20" s="1"/>
  <c r="BY121" i="19" l="1"/>
  <c r="W125" i="19"/>
  <c r="AG126" i="25"/>
  <c r="AZ126" i="20" s="1"/>
  <c r="BF121" i="25"/>
  <c r="S120" i="25"/>
  <c r="V126" i="19"/>
  <c r="BI126" i="19"/>
  <c r="AF127" i="25"/>
  <c r="BX121" i="19"/>
  <c r="X121" i="19"/>
  <c r="AJ122" i="25"/>
  <c r="BJ125" i="19"/>
  <c r="AQ177" i="20"/>
  <c r="AH177" i="20" s="1"/>
  <c r="AT176" i="20"/>
  <c r="AK176" i="20" s="1"/>
  <c r="AC119" i="20"/>
  <c r="AR176" i="20"/>
  <c r="AI176" i="20" s="1"/>
  <c r="AS176" i="20"/>
  <c r="AJ176" i="20" s="1"/>
  <c r="R121" i="25" l="1"/>
  <c r="BV126" i="19"/>
  <c r="AZ127" i="25" s="1"/>
  <c r="BA126" i="25"/>
  <c r="M126" i="25" s="1"/>
  <c r="BC123" i="25"/>
  <c r="BD122" i="25"/>
  <c r="P122" i="25" s="1"/>
  <c r="X122" i="19" s="1"/>
  <c r="BK120" i="19"/>
  <c r="BE121" i="25" s="1"/>
  <c r="Q121" i="25" s="1"/>
  <c r="AA120" i="19"/>
  <c r="AM121" i="25"/>
  <c r="BC121" i="20" s="1"/>
  <c r="AN121" i="25"/>
  <c r="Q177" i="20"/>
  <c r="CB177" i="20" s="1"/>
  <c r="R177" i="20"/>
  <c r="CC177" i="20" s="1"/>
  <c r="K120" i="20"/>
  <c r="BV120" i="20" s="1"/>
  <c r="S177" i="20"/>
  <c r="CD177" i="20" s="1"/>
  <c r="P178" i="20"/>
  <c r="CA178" i="20" s="1"/>
  <c r="W126" i="19" l="1"/>
  <c r="AG127" i="25"/>
  <c r="AZ127" i="20" s="1"/>
  <c r="L127" i="25"/>
  <c r="O123" i="25"/>
  <c r="AI124" i="25" s="1"/>
  <c r="Y121" i="19"/>
  <c r="AK122" i="25"/>
  <c r="BB122" i="20" s="1"/>
  <c r="CA121" i="19"/>
  <c r="BH121" i="25"/>
  <c r="BJ126" i="19"/>
  <c r="AJ123" i="25"/>
  <c r="Z121" i="19"/>
  <c r="AL122" i="25"/>
  <c r="AT177" i="20"/>
  <c r="AK177" i="20" s="1"/>
  <c r="AQ178" i="20"/>
  <c r="AH178" i="20" s="1"/>
  <c r="AL120" i="20"/>
  <c r="BM120" i="19" s="1"/>
  <c r="BG121" i="25" s="1"/>
  <c r="AS177" i="20"/>
  <c r="AJ177" i="20" s="1"/>
  <c r="AR177" i="20"/>
  <c r="AI177" i="20" s="1"/>
  <c r="S121" i="25" l="1"/>
  <c r="T121" i="25"/>
  <c r="BX122" i="19"/>
  <c r="BD123" i="25" s="1"/>
  <c r="AF128" i="25"/>
  <c r="BI127" i="19"/>
  <c r="V127" i="19"/>
  <c r="BY122" i="19"/>
  <c r="BF122" i="25"/>
  <c r="BB125" i="25"/>
  <c r="BV127" i="19"/>
  <c r="BC124" i="25"/>
  <c r="O124" i="25" s="1"/>
  <c r="AI125" i="25" s="1"/>
  <c r="R178" i="20"/>
  <c r="CC178" i="20" s="1"/>
  <c r="AC120" i="20"/>
  <c r="Q178" i="20"/>
  <c r="CB178" i="20" s="1"/>
  <c r="S178" i="20"/>
  <c r="CD178" i="20" s="1"/>
  <c r="P179" i="20"/>
  <c r="CA179" i="20" s="1"/>
  <c r="R122" i="25" l="1"/>
  <c r="Z122" i="19" s="1"/>
  <c r="N125" i="25"/>
  <c r="AH126" i="25" s="1"/>
  <c r="AA121" i="19"/>
  <c r="BK121" i="19"/>
  <c r="BE122" i="25" s="1"/>
  <c r="Q122" i="25" s="1"/>
  <c r="AM122" i="25"/>
  <c r="BC122" i="20" s="1"/>
  <c r="AZ128" i="25"/>
  <c r="L128" i="25" s="1"/>
  <c r="AO122" i="25"/>
  <c r="AN122" i="25"/>
  <c r="P123" i="25"/>
  <c r="AT178" i="20"/>
  <c r="AK178" i="20" s="1"/>
  <c r="AQ179" i="20"/>
  <c r="AH179" i="20" s="1"/>
  <c r="AR178" i="20"/>
  <c r="AI178" i="20" s="1"/>
  <c r="K121" i="20"/>
  <c r="BV121" i="20" s="1"/>
  <c r="AS178" i="20"/>
  <c r="AJ178" i="20" s="1"/>
  <c r="BB126" i="25" l="1"/>
  <c r="N126" i="25" s="1"/>
  <c r="AH127" i="25" s="1"/>
  <c r="BA127" i="20" s="1"/>
  <c r="BA126" i="20"/>
  <c r="BI122" i="25"/>
  <c r="AF129" i="25"/>
  <c r="BI128" i="19"/>
  <c r="V128" i="19"/>
  <c r="X123" i="19"/>
  <c r="AJ124" i="25"/>
  <c r="CA122" i="19"/>
  <c r="BH122" i="25"/>
  <c r="AL123" i="25"/>
  <c r="Y122" i="19"/>
  <c r="AK123" i="25"/>
  <c r="BB123" i="20" s="1"/>
  <c r="BW126" i="19"/>
  <c r="BA127" i="25" s="1"/>
  <c r="R179" i="20"/>
  <c r="CC179" i="20" s="1"/>
  <c r="Q179" i="20"/>
  <c r="CB179" i="20" s="1"/>
  <c r="P180" i="20"/>
  <c r="CA180" i="20" s="1"/>
  <c r="AL121" i="20"/>
  <c r="BM121" i="19" s="1"/>
  <c r="BG122" i="25" s="1"/>
  <c r="S122" i="25" s="1"/>
  <c r="S179" i="20"/>
  <c r="CD179" i="20" s="1"/>
  <c r="BK122" i="19" l="1"/>
  <c r="BE123" i="25" s="1"/>
  <c r="Q123" i="25" s="1"/>
  <c r="Y123" i="19" s="1"/>
  <c r="AA122" i="19"/>
  <c r="AM123" i="25"/>
  <c r="BC123" i="20" s="1"/>
  <c r="BW127" i="19"/>
  <c r="BY123" i="19"/>
  <c r="BF123" i="25"/>
  <c r="U122" i="25"/>
  <c r="M127" i="25"/>
  <c r="BX123" i="19"/>
  <c r="BD124" i="25" s="1"/>
  <c r="P124" i="25" s="1"/>
  <c r="X124" i="19" s="1"/>
  <c r="T122" i="25"/>
  <c r="AN123" i="25" s="1"/>
  <c r="CA123" i="19" s="1"/>
  <c r="BC125" i="25"/>
  <c r="AT179" i="20"/>
  <c r="AK179" i="20" s="1"/>
  <c r="AC121" i="20"/>
  <c r="AQ180" i="20"/>
  <c r="AH180" i="20" s="1"/>
  <c r="AR179" i="20"/>
  <c r="AI179" i="20" s="1"/>
  <c r="AS179" i="20"/>
  <c r="AJ179" i="20" s="1"/>
  <c r="AO123" i="25" l="1"/>
  <c r="BI123" i="25" s="1"/>
  <c r="U123" i="25" s="1"/>
  <c r="AK124" i="25"/>
  <c r="O125" i="25"/>
  <c r="AI126" i="25" s="1"/>
  <c r="R123" i="25"/>
  <c r="BJ127" i="19"/>
  <c r="W127" i="19"/>
  <c r="AG128" i="25"/>
  <c r="AZ128" i="20" s="1"/>
  <c r="BH123" i="25"/>
  <c r="AJ125" i="25"/>
  <c r="R180" i="20"/>
  <c r="CC180" i="20" s="1"/>
  <c r="P181" i="20"/>
  <c r="CA181" i="20" s="1"/>
  <c r="Q180" i="20"/>
  <c r="CB180" i="20" s="1"/>
  <c r="K122" i="20"/>
  <c r="BV122" i="20" s="1"/>
  <c r="S180" i="20"/>
  <c r="CD180" i="20" s="1"/>
  <c r="BX124" i="19" l="1"/>
  <c r="BB124" i="20"/>
  <c r="BC126" i="25"/>
  <c r="O126" i="25" s="1"/>
  <c r="AI127" i="25" s="1"/>
  <c r="Z123" i="19"/>
  <c r="AL124" i="25"/>
  <c r="T123" i="25"/>
  <c r="BD125" i="25"/>
  <c r="BV128" i="19"/>
  <c r="AZ129" i="25" s="1"/>
  <c r="L129" i="25" s="1"/>
  <c r="BA128" i="25"/>
  <c r="BB127" i="25"/>
  <c r="AT180" i="20"/>
  <c r="AK180" i="20" s="1"/>
  <c r="AL122" i="20"/>
  <c r="BM122" i="19" s="1"/>
  <c r="BG123" i="25" s="1"/>
  <c r="S123" i="25" s="1"/>
  <c r="AR180" i="20"/>
  <c r="AI180" i="20" s="1"/>
  <c r="AQ181" i="20"/>
  <c r="AH181" i="20" s="1"/>
  <c r="AS180" i="20"/>
  <c r="AJ180" i="20" s="1"/>
  <c r="BY124" i="19" l="1"/>
  <c r="BF124" i="25"/>
  <c r="R124" i="25" s="1"/>
  <c r="Z124" i="19" s="1"/>
  <c r="AM124" i="25"/>
  <c r="BC124" i="20" s="1"/>
  <c r="AA123" i="19"/>
  <c r="BK123" i="19"/>
  <c r="BE124" i="25" s="1"/>
  <c r="Q124" i="25" s="1"/>
  <c r="M128" i="25"/>
  <c r="BJ128" i="19" s="1"/>
  <c r="AN124" i="25"/>
  <c r="P125" i="25"/>
  <c r="N127" i="25"/>
  <c r="AH128" i="25" s="1"/>
  <c r="BI129" i="19"/>
  <c r="V129" i="19"/>
  <c r="AF130" i="25"/>
  <c r="AO124" i="25"/>
  <c r="R181" i="20"/>
  <c r="CC181" i="20" s="1"/>
  <c r="Q181" i="20"/>
  <c r="CB181" i="20" s="1"/>
  <c r="AC122" i="20"/>
  <c r="P182" i="20"/>
  <c r="CA182" i="20" s="1"/>
  <c r="S181" i="20"/>
  <c r="CD181" i="20" s="1"/>
  <c r="BW128" i="19" l="1"/>
  <c r="BA128" i="20"/>
  <c r="BI124" i="25"/>
  <c r="U124" i="25" s="1"/>
  <c r="CA124" i="19"/>
  <c r="BH124" i="25"/>
  <c r="X125" i="19"/>
  <c r="AJ126" i="25"/>
  <c r="W128" i="19"/>
  <c r="AG129" i="25"/>
  <c r="AZ129" i="20" s="1"/>
  <c r="BB128" i="25"/>
  <c r="N128" i="25" s="1"/>
  <c r="AH129" i="25" s="1"/>
  <c r="BA129" i="20" s="1"/>
  <c r="Y124" i="19"/>
  <c r="AK125" i="25"/>
  <c r="BB125" i="20" s="1"/>
  <c r="AL125" i="25"/>
  <c r="BF125" i="25" s="1"/>
  <c r="AT181" i="20"/>
  <c r="AK181" i="20" s="1"/>
  <c r="AQ182" i="20"/>
  <c r="AH182" i="20" s="1"/>
  <c r="K123" i="20"/>
  <c r="BV123" i="20" s="1"/>
  <c r="AR181" i="20"/>
  <c r="AI181" i="20" s="1"/>
  <c r="AS181" i="20"/>
  <c r="AJ181" i="20" s="1"/>
  <c r="BW129" i="19" l="1"/>
  <c r="BV129" i="19"/>
  <c r="AZ130" i="25" s="1"/>
  <c r="BA129" i="25"/>
  <c r="BX125" i="19"/>
  <c r="BD126" i="25" s="1"/>
  <c r="P126" i="25" s="1"/>
  <c r="BY125" i="19"/>
  <c r="R125" i="25"/>
  <c r="Z125" i="19" s="1"/>
  <c r="BC127" i="25"/>
  <c r="T124" i="25"/>
  <c r="Q182" i="20"/>
  <c r="CB182" i="20" s="1"/>
  <c r="S182" i="20"/>
  <c r="CD182" i="20" s="1"/>
  <c r="AL123" i="20"/>
  <c r="BM123" i="19" s="1"/>
  <c r="BG124" i="25" s="1"/>
  <c r="R182" i="20"/>
  <c r="CC182" i="20" s="1"/>
  <c r="X126" i="19" l="1"/>
  <c r="AJ127" i="25"/>
  <c r="M129" i="25"/>
  <c r="BJ129" i="19" s="1"/>
  <c r="S124" i="25"/>
  <c r="AN125" i="25" s="1"/>
  <c r="AO125" i="25"/>
  <c r="O127" i="25"/>
  <c r="AI128" i="25" s="1"/>
  <c r="BB129" i="25" s="1"/>
  <c r="L130" i="25"/>
  <c r="AC123" i="20"/>
  <c r="AT182" i="20"/>
  <c r="AK182" i="20" s="1"/>
  <c r="AS182" i="20"/>
  <c r="AJ182" i="20" s="1"/>
  <c r="AR182" i="20"/>
  <c r="AI182" i="20" s="1"/>
  <c r="CA125" i="19" l="1"/>
  <c r="BH125" i="25"/>
  <c r="W129" i="19"/>
  <c r="AG130" i="25"/>
  <c r="AZ130" i="20" s="1"/>
  <c r="N129" i="25"/>
  <c r="AH130" i="25" s="1"/>
  <c r="BK124" i="19"/>
  <c r="BE125" i="25" s="1"/>
  <c r="Q125" i="25" s="1"/>
  <c r="AA124" i="19"/>
  <c r="AM125" i="25"/>
  <c r="BC125" i="20" s="1"/>
  <c r="BI125" i="25"/>
  <c r="U125" i="25" s="1"/>
  <c r="BI130" i="19"/>
  <c r="V130" i="19"/>
  <c r="AF131" i="25"/>
  <c r="BC128" i="25"/>
  <c r="K124" i="20"/>
  <c r="BV124" i="20" s="1"/>
  <c r="BW130" i="19" l="1"/>
  <c r="BA130" i="20"/>
  <c r="O128" i="25"/>
  <c r="AI129" i="25" s="1"/>
  <c r="Y125" i="19"/>
  <c r="AK126" i="25"/>
  <c r="BB126" i="20" s="1"/>
  <c r="AL126" i="25"/>
  <c r="T125" i="25"/>
  <c r="BA130" i="25"/>
  <c r="BV130" i="19"/>
  <c r="AZ131" i="25" s="1"/>
  <c r="AL124" i="20"/>
  <c r="BM124" i="19" s="1"/>
  <c r="BG125" i="25" s="1"/>
  <c r="S125" i="25" l="1"/>
  <c r="L131" i="25"/>
  <c r="AN126" i="25"/>
  <c r="BY126" i="19"/>
  <c r="BF126" i="25"/>
  <c r="BB130" i="25"/>
  <c r="N130" i="25" s="1"/>
  <c r="M130" i="25"/>
  <c r="BX126" i="19"/>
  <c r="BD127" i="25" s="1"/>
  <c r="P127" i="25" s="1"/>
  <c r="AO126" i="25"/>
  <c r="AC124" i="20"/>
  <c r="AH131" i="25" l="1"/>
  <c r="BA131" i="20" s="1"/>
  <c r="BI131" i="19"/>
  <c r="V131" i="19"/>
  <c r="AF132" i="25"/>
  <c r="X127" i="19"/>
  <c r="AJ128" i="25"/>
  <c r="CA126" i="19"/>
  <c r="BH126" i="25"/>
  <c r="BI126" i="25"/>
  <c r="W130" i="19"/>
  <c r="AG131" i="25"/>
  <c r="AZ131" i="20" s="1"/>
  <c r="AA125" i="19"/>
  <c r="BK125" i="19"/>
  <c r="BE126" i="25" s="1"/>
  <c r="Q126" i="25" s="1"/>
  <c r="AM126" i="25"/>
  <c r="BC126" i="20" s="1"/>
  <c r="BW131" i="19"/>
  <c r="R126" i="25"/>
  <c r="BJ130" i="19"/>
  <c r="K125" i="20"/>
  <c r="BV125" i="20" s="1"/>
  <c r="U126" i="25" l="1"/>
  <c r="Z126" i="19"/>
  <c r="AL127" i="25"/>
  <c r="BV131" i="19"/>
  <c r="AZ132" i="25" s="1"/>
  <c r="BA131" i="25"/>
  <c r="Y126" i="19"/>
  <c r="AK127" i="25"/>
  <c r="BB127" i="20" s="1"/>
  <c r="T126" i="25"/>
  <c r="BC129" i="25"/>
  <c r="AL125" i="20"/>
  <c r="BM125" i="19" s="1"/>
  <c r="BG126" i="25" s="1"/>
  <c r="AO127" i="25" l="1"/>
  <c r="BI127" i="25" s="1"/>
  <c r="L132" i="25"/>
  <c r="S126" i="25"/>
  <c r="AN127" i="25" s="1"/>
  <c r="BX127" i="19"/>
  <c r="BD128" i="25" s="1"/>
  <c r="P128" i="25" s="1"/>
  <c r="O129" i="25"/>
  <c r="AI130" i="25" s="1"/>
  <c r="BY127" i="19"/>
  <c r="BF127" i="25"/>
  <c r="R127" i="25" s="1"/>
  <c r="Z127" i="19" s="1"/>
  <c r="M131" i="25"/>
  <c r="BJ131" i="19" s="1"/>
  <c r="AC125" i="20"/>
  <c r="CA127" i="19" l="1"/>
  <c r="BH127" i="25"/>
  <c r="W131" i="19"/>
  <c r="AG132" i="25"/>
  <c r="AZ132" i="20" s="1"/>
  <c r="U127" i="25"/>
  <c r="BB131" i="25"/>
  <c r="N131" i="25" s="1"/>
  <c r="AH132" i="25" s="1"/>
  <c r="BA132" i="20" s="1"/>
  <c r="BI132" i="19"/>
  <c r="V132" i="19"/>
  <c r="AF133" i="25"/>
  <c r="BK126" i="19"/>
  <c r="BE127" i="25" s="1"/>
  <c r="Q127" i="25" s="1"/>
  <c r="AA126" i="19"/>
  <c r="AM127" i="25"/>
  <c r="BC127" i="20" s="1"/>
  <c r="X128" i="19"/>
  <c r="AJ129" i="25"/>
  <c r="K126" i="20"/>
  <c r="BV126" i="20" s="1"/>
  <c r="Y127" i="19" l="1"/>
  <c r="AK128" i="25"/>
  <c r="BB128" i="20" s="1"/>
  <c r="T127" i="25"/>
  <c r="AO128" i="25" s="1"/>
  <c r="BC130" i="25"/>
  <c r="BW132" i="19"/>
  <c r="BV132" i="19"/>
  <c r="AZ133" i="25" s="1"/>
  <c r="L133" i="25" s="1"/>
  <c r="BA132" i="25"/>
  <c r="AL128" i="25"/>
  <c r="AL126" i="20"/>
  <c r="BM126" i="19" s="1"/>
  <c r="BG127" i="25" s="1"/>
  <c r="S127" i="25" l="1"/>
  <c r="AN128" i="25" s="1"/>
  <c r="BI128" i="25"/>
  <c r="U128" i="25" s="1"/>
  <c r="V133" i="19"/>
  <c r="BI133" i="19"/>
  <c r="O130" i="25"/>
  <c r="AI131" i="25" s="1"/>
  <c r="M132" i="25"/>
  <c r="BJ132" i="19" s="1"/>
  <c r="BX128" i="19"/>
  <c r="BD129" i="25" s="1"/>
  <c r="P129" i="25" s="1"/>
  <c r="AF134" i="25"/>
  <c r="BY128" i="19"/>
  <c r="BF128" i="25"/>
  <c r="AC126" i="20"/>
  <c r="R128" i="25" l="1"/>
  <c r="CA128" i="19"/>
  <c r="BH128" i="25"/>
  <c r="BB132" i="25"/>
  <c r="X129" i="19"/>
  <c r="AJ130" i="25"/>
  <c r="BC131" i="25" s="1"/>
  <c r="W132" i="19"/>
  <c r="AG133" i="25"/>
  <c r="AZ133" i="20" s="1"/>
  <c r="AA127" i="19"/>
  <c r="BK127" i="19"/>
  <c r="BE128" i="25" s="1"/>
  <c r="Q128" i="25" s="1"/>
  <c r="AM128" i="25"/>
  <c r="BC128" i="20" s="1"/>
  <c r="K127" i="20"/>
  <c r="BV127" i="20" s="1"/>
  <c r="O131" i="25" l="1"/>
  <c r="AI132" i="25" s="1"/>
  <c r="BV133" i="19"/>
  <c r="AZ134" i="25" s="1"/>
  <c r="L134" i="25" s="1"/>
  <c r="BA133" i="25"/>
  <c r="Z128" i="19"/>
  <c r="AL129" i="25"/>
  <c r="Y128" i="19"/>
  <c r="AK129" i="25"/>
  <c r="BB129" i="20" s="1"/>
  <c r="N132" i="25"/>
  <c r="AH133" i="25" s="1"/>
  <c r="BA133" i="20" s="1"/>
  <c r="T128" i="25"/>
  <c r="AL127" i="20"/>
  <c r="BM127" i="19" s="1"/>
  <c r="BG128" i="25" s="1"/>
  <c r="BB133" i="25" l="1"/>
  <c r="S128" i="25"/>
  <c r="BY129" i="19"/>
  <c r="BF129" i="25"/>
  <c r="BI134" i="19"/>
  <c r="V134" i="19"/>
  <c r="AF135" i="25"/>
  <c r="BW133" i="19"/>
  <c r="N133" i="25"/>
  <c r="AO129" i="25"/>
  <c r="AN129" i="25"/>
  <c r="BX129" i="19"/>
  <c r="BD130" i="25" s="1"/>
  <c r="P130" i="25" s="1"/>
  <c r="M133" i="25"/>
  <c r="BJ133" i="19" s="1"/>
  <c r="AC127" i="20"/>
  <c r="AH134" i="25" l="1"/>
  <c r="X130" i="19"/>
  <c r="AJ131" i="25"/>
  <c r="W133" i="19"/>
  <c r="AG134" i="25"/>
  <c r="AZ134" i="20" s="1"/>
  <c r="CA129" i="19"/>
  <c r="BH129" i="25"/>
  <c r="R129" i="25"/>
  <c r="BK128" i="19"/>
  <c r="BE129" i="25" s="1"/>
  <c r="AA128" i="19"/>
  <c r="AM129" i="25"/>
  <c r="BC129" i="20" s="1"/>
  <c r="BI129" i="25"/>
  <c r="U129" i="25" s="1"/>
  <c r="K128" i="20"/>
  <c r="BV128" i="20" s="1"/>
  <c r="BW134" i="19" l="1"/>
  <c r="BA134" i="20"/>
  <c r="Q129" i="25"/>
  <c r="AL130" i="25" s="1"/>
  <c r="BV134" i="19"/>
  <c r="AZ135" i="25" s="1"/>
  <c r="BA134" i="25"/>
  <c r="T129" i="25"/>
  <c r="BC132" i="25"/>
  <c r="Z129" i="19"/>
  <c r="AL128" i="20"/>
  <c r="BM128" i="19" s="1"/>
  <c r="BG129" i="25" s="1"/>
  <c r="S129" i="25" l="1"/>
  <c r="BY130" i="19"/>
  <c r="BF130" i="25"/>
  <c r="R130" i="25" s="1"/>
  <c r="M134" i="25"/>
  <c r="BJ134" i="19" s="1"/>
  <c r="Y129" i="19"/>
  <c r="AK130" i="25"/>
  <c r="BB130" i="20" s="1"/>
  <c r="AN130" i="25"/>
  <c r="O132" i="25"/>
  <c r="AI133" i="25" s="1"/>
  <c r="L135" i="25"/>
  <c r="AO130" i="25"/>
  <c r="AC128" i="20"/>
  <c r="Z130" i="19" l="1"/>
  <c r="AF136" i="25"/>
  <c r="V135" i="19"/>
  <c r="BI135" i="19"/>
  <c r="CA130" i="19"/>
  <c r="BH130" i="25"/>
  <c r="T130" i="25" s="1"/>
  <c r="BX130" i="19"/>
  <c r="BD131" i="25" s="1"/>
  <c r="W134" i="19"/>
  <c r="AG135" i="25"/>
  <c r="AZ135" i="20" s="1"/>
  <c r="BI130" i="25"/>
  <c r="BB134" i="25"/>
  <c r="AA129" i="19"/>
  <c r="BK129" i="19"/>
  <c r="BE130" i="25" s="1"/>
  <c r="Q130" i="25" s="1"/>
  <c r="Y130" i="19" s="1"/>
  <c r="AM130" i="25"/>
  <c r="BC130" i="20" s="1"/>
  <c r="K129" i="20"/>
  <c r="BV129" i="20" s="1"/>
  <c r="N134" i="25" l="1"/>
  <c r="AH135" i="25" s="1"/>
  <c r="AK131" i="25"/>
  <c r="BB131" i="20" s="1"/>
  <c r="BV135" i="19"/>
  <c r="AZ136" i="25" s="1"/>
  <c r="L136" i="25" s="1"/>
  <c r="BA135" i="25"/>
  <c r="M135" i="25" s="1"/>
  <c r="P131" i="25"/>
  <c r="AL131" i="25"/>
  <c r="U130" i="25"/>
  <c r="AO131" i="25" s="1"/>
  <c r="AL129" i="20"/>
  <c r="BM129" i="19" s="1"/>
  <c r="BG130" i="25" s="1"/>
  <c r="BW135" i="19" l="1"/>
  <c r="BA135" i="20"/>
  <c r="W135" i="19"/>
  <c r="AG136" i="25"/>
  <c r="AZ136" i="20" s="1"/>
  <c r="S130" i="25"/>
  <c r="BI136" i="19"/>
  <c r="V136" i="19"/>
  <c r="AF137" i="25"/>
  <c r="BI131" i="25"/>
  <c r="BY131" i="19"/>
  <c r="BF131" i="25"/>
  <c r="R131" i="25" s="1"/>
  <c r="X131" i="19"/>
  <c r="AJ132" i="25"/>
  <c r="BX131" i="19"/>
  <c r="BJ135" i="19"/>
  <c r="BA136" i="25"/>
  <c r="AC129" i="20"/>
  <c r="Z131" i="19" l="1"/>
  <c r="BK130" i="19"/>
  <c r="BE131" i="25" s="1"/>
  <c r="Q131" i="25" s="1"/>
  <c r="AA130" i="19"/>
  <c r="AN131" i="25"/>
  <c r="AM131" i="25"/>
  <c r="BC131" i="20" s="1"/>
  <c r="BC133" i="25"/>
  <c r="BD132" i="25"/>
  <c r="P132" i="25" s="1"/>
  <c r="BV136" i="19"/>
  <c r="AZ137" i="25" s="1"/>
  <c r="L137" i="25" s="1"/>
  <c r="M136" i="25"/>
  <c r="W136" i="19" s="1"/>
  <c r="U131" i="25"/>
  <c r="K130" i="20"/>
  <c r="BV130" i="20" s="1"/>
  <c r="BJ136" i="19" l="1"/>
  <c r="X132" i="19"/>
  <c r="AJ133" i="25"/>
  <c r="BI137" i="19"/>
  <c r="V137" i="19"/>
  <c r="AF138" i="25"/>
  <c r="Y131" i="19"/>
  <c r="AK132" i="25"/>
  <c r="BB132" i="20" s="1"/>
  <c r="AG137" i="25"/>
  <c r="AZ137" i="20" s="1"/>
  <c r="CA131" i="19"/>
  <c r="BH131" i="25"/>
  <c r="AL132" i="25"/>
  <c r="O133" i="25"/>
  <c r="AI134" i="25" s="1"/>
  <c r="AL130" i="20"/>
  <c r="BM130" i="19" s="1"/>
  <c r="BG131" i="25" s="1"/>
  <c r="BC134" i="25" l="1"/>
  <c r="O134" i="25" s="1"/>
  <c r="AI135" i="25" s="1"/>
  <c r="S131" i="25"/>
  <c r="BY132" i="19"/>
  <c r="BF132" i="25"/>
  <c r="BB135" i="25"/>
  <c r="T131" i="25"/>
  <c r="BX132" i="19"/>
  <c r="BD133" i="25" s="1"/>
  <c r="BV137" i="19"/>
  <c r="AZ138" i="25" s="1"/>
  <c r="AC130" i="20"/>
  <c r="P133" i="25" l="1"/>
  <c r="L138" i="25"/>
  <c r="N135" i="25"/>
  <c r="AH136" i="25" s="1"/>
  <c r="BK131" i="19"/>
  <c r="BE132" i="25" s="1"/>
  <c r="Q132" i="25" s="1"/>
  <c r="AA131" i="19"/>
  <c r="AM132" i="25"/>
  <c r="BC132" i="20" s="1"/>
  <c r="AN132" i="25"/>
  <c r="AO132" i="25"/>
  <c r="R132" i="25"/>
  <c r="K131" i="20"/>
  <c r="BV131" i="20" s="1"/>
  <c r="BB136" i="25" l="1"/>
  <c r="N136" i="25" s="1"/>
  <c r="AH137" i="25" s="1"/>
  <c r="BA137" i="20" s="1"/>
  <c r="BA136" i="20"/>
  <c r="CA132" i="19"/>
  <c r="BH132" i="25"/>
  <c r="V138" i="19"/>
  <c r="BI138" i="19"/>
  <c r="AF139" i="25"/>
  <c r="BI132" i="25"/>
  <c r="Z132" i="19"/>
  <c r="AL133" i="25"/>
  <c r="X133" i="19"/>
  <c r="AJ134" i="25"/>
  <c r="Y132" i="19"/>
  <c r="AK133" i="25"/>
  <c r="BB133" i="20" s="1"/>
  <c r="BW136" i="19"/>
  <c r="BA137" i="25" s="1"/>
  <c r="AL131" i="20"/>
  <c r="BM131" i="19" s="1"/>
  <c r="BG132" i="25" s="1"/>
  <c r="BW137" i="19" l="1"/>
  <c r="S132" i="25"/>
  <c r="BX133" i="19"/>
  <c r="BD134" i="25" s="1"/>
  <c r="U132" i="25"/>
  <c r="M137" i="25"/>
  <c r="BC135" i="25"/>
  <c r="O135" i="25" s="1"/>
  <c r="AI136" i="25" s="1"/>
  <c r="BB137" i="25" s="1"/>
  <c r="BY133" i="19"/>
  <c r="BF133" i="25"/>
  <c r="T132" i="25"/>
  <c r="AC131" i="20"/>
  <c r="AN133" i="25" l="1"/>
  <c r="BH133" i="25" s="1"/>
  <c r="N137" i="25"/>
  <c r="AH138" i="25" s="1"/>
  <c r="BA138" i="20" s="1"/>
  <c r="CA133" i="19"/>
  <c r="R133" i="25"/>
  <c r="W137" i="19"/>
  <c r="AG138" i="25"/>
  <c r="AZ138" i="20" s="1"/>
  <c r="P134" i="25"/>
  <c r="BJ137" i="19"/>
  <c r="AO133" i="25"/>
  <c r="BK132" i="19"/>
  <c r="BE133" i="25" s="1"/>
  <c r="Q133" i="25" s="1"/>
  <c r="AA132" i="19"/>
  <c r="AM133" i="25"/>
  <c r="BC133" i="20" s="1"/>
  <c r="K132" i="20"/>
  <c r="BV132" i="20" s="1"/>
  <c r="T133" i="25" l="1"/>
  <c r="BA138" i="25"/>
  <c r="M138" i="25" s="1"/>
  <c r="BV138" i="19"/>
  <c r="AZ139" i="25" s="1"/>
  <c r="Z133" i="19"/>
  <c r="AL134" i="25"/>
  <c r="BI133" i="25"/>
  <c r="U133" i="25" s="1"/>
  <c r="BW138" i="19"/>
  <c r="Y133" i="19"/>
  <c r="AK134" i="25"/>
  <c r="BB134" i="20" s="1"/>
  <c r="X134" i="19"/>
  <c r="AJ135" i="25"/>
  <c r="AL132" i="20"/>
  <c r="BM132" i="19" s="1"/>
  <c r="BG133" i="25" s="1"/>
  <c r="AO134" i="25" l="1"/>
  <c r="S133" i="25"/>
  <c r="BI134" i="25"/>
  <c r="U134" i="25" s="1"/>
  <c r="W138" i="19"/>
  <c r="AG139" i="25"/>
  <c r="L139" i="25"/>
  <c r="BC136" i="25"/>
  <c r="BY134" i="19"/>
  <c r="BF134" i="25"/>
  <c r="BX134" i="19"/>
  <c r="BD135" i="25" s="1"/>
  <c r="BJ138" i="19"/>
  <c r="AC132" i="20"/>
  <c r="BA139" i="25" l="1"/>
  <c r="M139" i="25" s="1"/>
  <c r="W139" i="19" s="1"/>
  <c r="AZ139" i="20"/>
  <c r="P135" i="25"/>
  <c r="R134" i="25"/>
  <c r="Z134" i="19" s="1"/>
  <c r="BV139" i="19"/>
  <c r="O136" i="25"/>
  <c r="AI137" i="25" s="1"/>
  <c r="AA133" i="19"/>
  <c r="BK133" i="19"/>
  <c r="BE134" i="25" s="1"/>
  <c r="AN134" i="25"/>
  <c r="AM134" i="25"/>
  <c r="BC134" i="20" s="1"/>
  <c r="V139" i="19"/>
  <c r="BI139" i="19"/>
  <c r="AF140" i="25"/>
  <c r="K133" i="20"/>
  <c r="BV133" i="20" s="1"/>
  <c r="Q134" i="25" l="1"/>
  <c r="X135" i="19"/>
  <c r="AJ136" i="25"/>
  <c r="AZ140" i="25"/>
  <c r="BB138" i="25"/>
  <c r="CA134" i="19"/>
  <c r="BH134" i="25"/>
  <c r="AG140" i="25"/>
  <c r="AZ140" i="20" s="1"/>
  <c r="BJ139" i="19"/>
  <c r="AL133" i="20"/>
  <c r="BM133" i="19" s="1"/>
  <c r="BG134" i="25" s="1"/>
  <c r="AL135" i="25" l="1"/>
  <c r="Y134" i="19"/>
  <c r="AK135" i="25"/>
  <c r="BB135" i="20" s="1"/>
  <c r="S134" i="25"/>
  <c r="N138" i="25"/>
  <c r="AH139" i="25" s="1"/>
  <c r="BA139" i="20" s="1"/>
  <c r="L140" i="25"/>
  <c r="BV140" i="19"/>
  <c r="T134" i="25"/>
  <c r="BC137" i="25"/>
  <c r="O137" i="25" s="1"/>
  <c r="AI138" i="25" s="1"/>
  <c r="AC133" i="20"/>
  <c r="AO135" i="25" l="1"/>
  <c r="BI135" i="25" s="1"/>
  <c r="AN135" i="25"/>
  <c r="BW139" i="19"/>
  <c r="BA140" i="25" s="1"/>
  <c r="BX135" i="19"/>
  <c r="BD136" i="25" s="1"/>
  <c r="BB139" i="25"/>
  <c r="N139" i="25" s="1"/>
  <c r="AH140" i="25" s="1"/>
  <c r="BA140" i="20" s="1"/>
  <c r="AA134" i="19"/>
  <c r="BK134" i="19"/>
  <c r="BE135" i="25" s="1"/>
  <c r="AM135" i="25"/>
  <c r="BC135" i="20" s="1"/>
  <c r="BY135" i="19"/>
  <c r="BF135" i="25"/>
  <c r="BI140" i="19"/>
  <c r="V140" i="19"/>
  <c r="AF141" i="25"/>
  <c r="K134" i="20"/>
  <c r="BV134" i="20" s="1"/>
  <c r="BW140" i="19" l="1"/>
  <c r="AZ141" i="25"/>
  <c r="M140" i="25"/>
  <c r="R135" i="25"/>
  <c r="Q135" i="25"/>
  <c r="CA135" i="19"/>
  <c r="BH135" i="25"/>
  <c r="P136" i="25"/>
  <c r="U135" i="25"/>
  <c r="AL134" i="20"/>
  <c r="BM134" i="19" s="1"/>
  <c r="BG135" i="25" s="1"/>
  <c r="S135" i="25" s="1"/>
  <c r="BK135" i="19" l="1"/>
  <c r="AA135" i="19"/>
  <c r="AM136" i="25"/>
  <c r="BC136" i="20" s="1"/>
  <c r="Y135" i="19"/>
  <c r="AK136" i="25"/>
  <c r="BB136" i="20" s="1"/>
  <c r="W140" i="19"/>
  <c r="AG141" i="25"/>
  <c r="AZ141" i="20" s="1"/>
  <c r="X136" i="19"/>
  <c r="AJ137" i="25"/>
  <c r="Z135" i="19"/>
  <c r="AL136" i="25"/>
  <c r="T135" i="25"/>
  <c r="BJ140" i="19"/>
  <c r="L141" i="25"/>
  <c r="AC134" i="20"/>
  <c r="AO136" i="25" l="1"/>
  <c r="AN136" i="25"/>
  <c r="BC138" i="25"/>
  <c r="BX136" i="19"/>
  <c r="BD137" i="25" s="1"/>
  <c r="BE136" i="25"/>
  <c r="V141" i="19"/>
  <c r="BI141" i="19"/>
  <c r="AF142" i="25"/>
  <c r="BY136" i="19"/>
  <c r="BF136" i="25"/>
  <c r="BV141" i="19"/>
  <c r="BA141" i="25"/>
  <c r="M141" i="25" s="1"/>
  <c r="W141" i="19" s="1"/>
  <c r="K135" i="20"/>
  <c r="BV135" i="20" s="1"/>
  <c r="P137" i="25" l="1"/>
  <c r="Q136" i="25"/>
  <c r="BI136" i="25"/>
  <c r="U136" i="25" s="1"/>
  <c r="AZ142" i="25"/>
  <c r="L142" i="25" s="1"/>
  <c r="AF143" i="25" s="1"/>
  <c r="BJ141" i="19"/>
  <c r="O138" i="25"/>
  <c r="AI139" i="25" s="1"/>
  <c r="BB140" i="25" s="1"/>
  <c r="R136" i="25"/>
  <c r="AG142" i="25"/>
  <c r="AZ142" i="20" s="1"/>
  <c r="CA136" i="19"/>
  <c r="BH136" i="25"/>
  <c r="AL135" i="20"/>
  <c r="BM135" i="19" s="1"/>
  <c r="BG136" i="25" s="1"/>
  <c r="BV142" i="19" l="1"/>
  <c r="AZ143" i="25" s="1"/>
  <c r="L143" i="25" s="1"/>
  <c r="Y136" i="19"/>
  <c r="AK137" i="25"/>
  <c r="BB137" i="20" s="1"/>
  <c r="N140" i="25"/>
  <c r="AH141" i="25" s="1"/>
  <c r="BA141" i="20" s="1"/>
  <c r="Z136" i="19"/>
  <c r="AL137" i="25"/>
  <c r="X137" i="19"/>
  <c r="AJ138" i="25"/>
  <c r="BC139" i="25" s="1"/>
  <c r="S136" i="25"/>
  <c r="T136" i="25"/>
  <c r="BI142" i="19"/>
  <c r="V142" i="19"/>
  <c r="AC135" i="20"/>
  <c r="BY137" i="19" l="1"/>
  <c r="BF137" i="25"/>
  <c r="AA136" i="19"/>
  <c r="BK136" i="19"/>
  <c r="BE137" i="25" s="1"/>
  <c r="Q137" i="25" s="1"/>
  <c r="AM137" i="25"/>
  <c r="BC137" i="20" s="1"/>
  <c r="BX137" i="19"/>
  <c r="O139" i="25"/>
  <c r="AI140" i="25" s="1"/>
  <c r="BW141" i="19"/>
  <c r="BA142" i="25" s="1"/>
  <c r="AF144" i="25"/>
  <c r="BI143" i="19"/>
  <c r="V143" i="19"/>
  <c r="BD138" i="25"/>
  <c r="AN137" i="25"/>
  <c r="AO137" i="25"/>
  <c r="K136" i="20"/>
  <c r="BV136" i="20" s="1"/>
  <c r="Y137" i="19" l="1"/>
  <c r="AK138" i="25"/>
  <c r="BB138" i="20" s="1"/>
  <c r="M142" i="25"/>
  <c r="BJ142" i="19" s="1"/>
  <c r="CA137" i="19"/>
  <c r="BH137" i="25"/>
  <c r="R137" i="25"/>
  <c r="BI137" i="25"/>
  <c r="U137" i="25" s="1"/>
  <c r="BB141" i="25"/>
  <c r="N141" i="25" s="1"/>
  <c r="AH142" i="25" s="1"/>
  <c r="BA142" i="20" s="1"/>
  <c r="P138" i="25"/>
  <c r="AL136" i="20"/>
  <c r="BM136" i="19" s="1"/>
  <c r="BG137" i="25" s="1"/>
  <c r="S137" i="25" l="1"/>
  <c r="Z137" i="19"/>
  <c r="AL138" i="25"/>
  <c r="T137" i="25"/>
  <c r="AO138" i="25" s="1"/>
  <c r="W142" i="19"/>
  <c r="AG143" i="25"/>
  <c r="AZ143" i="20" s="1"/>
  <c r="BX138" i="19"/>
  <c r="BW142" i="19"/>
  <c r="X138" i="19"/>
  <c r="AJ139" i="25"/>
  <c r="AC136" i="20"/>
  <c r="BY138" i="19" l="1"/>
  <c r="BF138" i="25"/>
  <c r="BI138" i="25"/>
  <c r="AA137" i="19"/>
  <c r="BK137" i="19"/>
  <c r="BE138" i="25" s="1"/>
  <c r="Q138" i="25" s="1"/>
  <c r="AM138" i="25"/>
  <c r="BC138" i="20" s="1"/>
  <c r="BC140" i="25"/>
  <c r="BD139" i="25"/>
  <c r="BV143" i="19"/>
  <c r="AZ144" i="25" s="1"/>
  <c r="L144" i="25" s="1"/>
  <c r="BA143" i="25"/>
  <c r="AN138" i="25"/>
  <c r="K137" i="20"/>
  <c r="BV137" i="20" s="1"/>
  <c r="CA138" i="19" l="1"/>
  <c r="BH138" i="25"/>
  <c r="O140" i="25"/>
  <c r="AI141" i="25" s="1"/>
  <c r="BI144" i="19"/>
  <c r="V144" i="19"/>
  <c r="AF145" i="25"/>
  <c r="P139" i="25"/>
  <c r="M143" i="25"/>
  <c r="BJ143" i="19" s="1"/>
  <c r="Y138" i="19"/>
  <c r="AK139" i="25"/>
  <c r="BB139" i="20" s="1"/>
  <c r="U138" i="25"/>
  <c r="R138" i="25"/>
  <c r="AL137" i="20"/>
  <c r="BM137" i="19" s="1"/>
  <c r="BG138" i="25" s="1"/>
  <c r="S138" i="25" l="1"/>
  <c r="BB142" i="25"/>
  <c r="N142" i="25" s="1"/>
  <c r="AH143" i="25" s="1"/>
  <c r="BA143" i="20" s="1"/>
  <c r="Z138" i="19"/>
  <c r="AL139" i="25"/>
  <c r="X139" i="19"/>
  <c r="AJ140" i="25"/>
  <c r="T138" i="25"/>
  <c r="AO139" i="25" s="1"/>
  <c r="W143" i="19"/>
  <c r="AG144" i="25"/>
  <c r="AZ144" i="20" s="1"/>
  <c r="BX139" i="19"/>
  <c r="AC137" i="20"/>
  <c r="BY139" i="19" l="1"/>
  <c r="BF139" i="25"/>
  <c r="BW143" i="19"/>
  <c r="BA144" i="25" s="1"/>
  <c r="M144" i="25" s="1"/>
  <c r="BI139" i="25"/>
  <c r="U139" i="25" s="1"/>
  <c r="BV144" i="19"/>
  <c r="AZ145" i="25" s="1"/>
  <c r="L145" i="25" s="1"/>
  <c r="BD140" i="25"/>
  <c r="P140" i="25" s="1"/>
  <c r="X140" i="19" s="1"/>
  <c r="AN139" i="25"/>
  <c r="BK138" i="19"/>
  <c r="BE139" i="25" s="1"/>
  <c r="Q139" i="25" s="1"/>
  <c r="AA138" i="19"/>
  <c r="AM139" i="25"/>
  <c r="BC139" i="20" s="1"/>
  <c r="BC141" i="25"/>
  <c r="K138" i="20"/>
  <c r="BV138" i="20" s="1"/>
  <c r="AJ141" i="25" l="1"/>
  <c r="W144" i="19"/>
  <c r="AG145" i="25"/>
  <c r="AZ145" i="20" s="1"/>
  <c r="O141" i="25"/>
  <c r="AI142" i="25" s="1"/>
  <c r="Y139" i="19"/>
  <c r="AK140" i="25"/>
  <c r="BB140" i="20" s="1"/>
  <c r="CA139" i="19"/>
  <c r="BH139" i="25"/>
  <c r="T139" i="25" s="1"/>
  <c r="R139" i="25"/>
  <c r="BI145" i="19"/>
  <c r="V145" i="19"/>
  <c r="AF146" i="25"/>
  <c r="BJ144" i="19"/>
  <c r="AL138" i="20"/>
  <c r="BM138" i="19" s="1"/>
  <c r="BG139" i="25" s="1"/>
  <c r="BC142" i="25" l="1"/>
  <c r="AO140" i="25"/>
  <c r="S139" i="25"/>
  <c r="AN140" i="25" s="1"/>
  <c r="Z139" i="19"/>
  <c r="AL140" i="25"/>
  <c r="BX140" i="19"/>
  <c r="BD141" i="25" s="1"/>
  <c r="P141" i="25" s="1"/>
  <c r="BV145" i="19"/>
  <c r="AZ146" i="25" s="1"/>
  <c r="L146" i="25" s="1"/>
  <c r="BB143" i="25"/>
  <c r="O142" i="25"/>
  <c r="AI143" i="25" s="1"/>
  <c r="AC138" i="20"/>
  <c r="CA140" i="19" l="1"/>
  <c r="BH140" i="25"/>
  <c r="V146" i="19"/>
  <c r="BI146" i="19"/>
  <c r="BY140" i="19"/>
  <c r="BF140" i="25"/>
  <c r="R140" i="25" s="1"/>
  <c r="Z140" i="19" s="1"/>
  <c r="X141" i="19"/>
  <c r="AJ142" i="25"/>
  <c r="N143" i="25"/>
  <c r="AH144" i="25" s="1"/>
  <c r="BA144" i="20" s="1"/>
  <c r="BK139" i="19"/>
  <c r="BE140" i="25" s="1"/>
  <c r="AA139" i="19"/>
  <c r="AM140" i="25"/>
  <c r="BC140" i="20" s="1"/>
  <c r="AF147" i="25"/>
  <c r="BI140" i="25"/>
  <c r="K139" i="20"/>
  <c r="BV139" i="20" s="1"/>
  <c r="Q140" i="25" l="1"/>
  <c r="BW144" i="19"/>
  <c r="BA145" i="25" s="1"/>
  <c r="T140" i="25"/>
  <c r="U140" i="25"/>
  <c r="BC143" i="25"/>
  <c r="BB144" i="25"/>
  <c r="AL139" i="20"/>
  <c r="BM139" i="19" s="1"/>
  <c r="BG140" i="25" s="1"/>
  <c r="S140" i="25" l="1"/>
  <c r="N144" i="25"/>
  <c r="AH145" i="25" s="1"/>
  <c r="Y140" i="19"/>
  <c r="AK141" i="25"/>
  <c r="BB141" i="20" s="1"/>
  <c r="O143" i="25"/>
  <c r="AI144" i="25" s="1"/>
  <c r="M145" i="25"/>
  <c r="AN141" i="25"/>
  <c r="AL141" i="25"/>
  <c r="AO141" i="25"/>
  <c r="AC139" i="20"/>
  <c r="BW145" i="19" l="1"/>
  <c r="BA145" i="20"/>
  <c r="W145" i="19"/>
  <c r="AG146" i="25"/>
  <c r="AZ146" i="20" s="1"/>
  <c r="BB145" i="25"/>
  <c r="CA141" i="19"/>
  <c r="BH141" i="25"/>
  <c r="BI141" i="25"/>
  <c r="BX141" i="19"/>
  <c r="BD142" i="25" s="1"/>
  <c r="P142" i="25" s="1"/>
  <c r="BY141" i="19"/>
  <c r="BF141" i="25"/>
  <c r="R141" i="25" s="1"/>
  <c r="Z141" i="19" s="1"/>
  <c r="BJ145" i="19"/>
  <c r="BK140" i="19"/>
  <c r="BE141" i="25" s="1"/>
  <c r="AA140" i="19"/>
  <c r="AM141" i="25"/>
  <c r="BC141" i="20" s="1"/>
  <c r="K140" i="20"/>
  <c r="BV140" i="20" s="1"/>
  <c r="Q141" i="25" l="1"/>
  <c r="AL142" i="25" s="1"/>
  <c r="BV146" i="19"/>
  <c r="AZ147" i="25" s="1"/>
  <c r="L147" i="25" s="1"/>
  <c r="BA146" i="25"/>
  <c r="M146" i="25" s="1"/>
  <c r="N145" i="25"/>
  <c r="AH146" i="25" s="1"/>
  <c r="BA146" i="20" s="1"/>
  <c r="X142" i="19"/>
  <c r="AJ143" i="25"/>
  <c r="T141" i="25"/>
  <c r="U141" i="25"/>
  <c r="AL140" i="20"/>
  <c r="BM140" i="19" s="1"/>
  <c r="BG141" i="25" s="1"/>
  <c r="W146" i="19" l="1"/>
  <c r="AG147" i="25"/>
  <c r="AZ147" i="20" s="1"/>
  <c r="S141" i="25"/>
  <c r="AN142" i="25" s="1"/>
  <c r="BY142" i="19"/>
  <c r="BC144" i="25"/>
  <c r="BW146" i="19"/>
  <c r="BI147" i="19"/>
  <c r="V147" i="19"/>
  <c r="AF148" i="25"/>
  <c r="Y141" i="19"/>
  <c r="AK142" i="25"/>
  <c r="BB142" i="20" s="1"/>
  <c r="BF142" i="25"/>
  <c r="AO142" i="25"/>
  <c r="BI142" i="25" s="1"/>
  <c r="U142" i="25" s="1"/>
  <c r="BJ146" i="19"/>
  <c r="BA147" i="25"/>
  <c r="AC140" i="20"/>
  <c r="O144" i="25" l="1"/>
  <c r="AI145" i="25" s="1"/>
  <c r="R142" i="25"/>
  <c r="BK141" i="19"/>
  <c r="AA141" i="19"/>
  <c r="AM142" i="25"/>
  <c r="BC142" i="20" s="1"/>
  <c r="BX142" i="19"/>
  <c r="BD143" i="25" s="1"/>
  <c r="P143" i="25" s="1"/>
  <c r="BE142" i="25"/>
  <c r="CA142" i="19"/>
  <c r="BH142" i="25"/>
  <c r="BV147" i="19"/>
  <c r="AZ148" i="25" s="1"/>
  <c r="L148" i="25" s="1"/>
  <c r="M147" i="25"/>
  <c r="W147" i="19" s="1"/>
  <c r="K141" i="20"/>
  <c r="BV141" i="20" s="1"/>
  <c r="BI148" i="19" l="1"/>
  <c r="V148" i="19"/>
  <c r="X143" i="19"/>
  <c r="AJ144" i="25"/>
  <c r="BJ147" i="19"/>
  <c r="BB146" i="25"/>
  <c r="AF149" i="25"/>
  <c r="AG148" i="25"/>
  <c r="AZ148" i="20" s="1"/>
  <c r="T142" i="25"/>
  <c r="Q142" i="25"/>
  <c r="AL143" i="25" s="1"/>
  <c r="Z142" i="19"/>
  <c r="AL141" i="20"/>
  <c r="BM141" i="19" s="1"/>
  <c r="BG142" i="25" s="1"/>
  <c r="S142" i="25" s="1"/>
  <c r="BK142" i="19" l="1"/>
  <c r="AA142" i="19"/>
  <c r="AM143" i="25"/>
  <c r="BC143" i="20" s="1"/>
  <c r="BY143" i="19"/>
  <c r="BF143" i="25"/>
  <c r="Y142" i="19"/>
  <c r="AK143" i="25"/>
  <c r="BB143" i="20" s="1"/>
  <c r="N146" i="25"/>
  <c r="AH147" i="25" s="1"/>
  <c r="BA147" i="20" s="1"/>
  <c r="BV148" i="19"/>
  <c r="AZ149" i="25" s="1"/>
  <c r="L149" i="25" s="1"/>
  <c r="AF150" i="25" s="1"/>
  <c r="AN143" i="25"/>
  <c r="AO143" i="25"/>
  <c r="BC145" i="25"/>
  <c r="AC141" i="20"/>
  <c r="BI143" i="25" l="1"/>
  <c r="U143" i="25" s="1"/>
  <c r="CA143" i="19"/>
  <c r="BH143" i="25"/>
  <c r="T143" i="25" s="1"/>
  <c r="R143" i="25"/>
  <c r="V149" i="19"/>
  <c r="BI149" i="19"/>
  <c r="BW147" i="19"/>
  <c r="BA148" i="25" s="1"/>
  <c r="O145" i="25"/>
  <c r="AI146" i="25" s="1"/>
  <c r="BX143" i="19"/>
  <c r="BD144" i="25" s="1"/>
  <c r="BE143" i="25"/>
  <c r="K142" i="20"/>
  <c r="BV142" i="20" s="1"/>
  <c r="AO144" i="25" l="1"/>
  <c r="BI144" i="25" s="1"/>
  <c r="P144" i="25"/>
  <c r="M148" i="25"/>
  <c r="BJ148" i="19" s="1"/>
  <c r="BB147" i="25"/>
  <c r="Z143" i="19"/>
  <c r="Q143" i="25"/>
  <c r="AL144" i="25" s="1"/>
  <c r="AL142" i="20"/>
  <c r="BM142" i="19" s="1"/>
  <c r="BG143" i="25" s="1"/>
  <c r="BY144" i="19" l="1"/>
  <c r="BF144" i="25"/>
  <c r="N147" i="25"/>
  <c r="AH148" i="25" s="1"/>
  <c r="BA148" i="20" s="1"/>
  <c r="U144" i="25"/>
  <c r="W148" i="19"/>
  <c r="AG149" i="25"/>
  <c r="AZ149" i="20" s="1"/>
  <c r="S143" i="25"/>
  <c r="Y143" i="19"/>
  <c r="AK144" i="25"/>
  <c r="BB144" i="20" s="1"/>
  <c r="X144" i="19"/>
  <c r="AJ145" i="25"/>
  <c r="AC142" i="20"/>
  <c r="BC146" i="25" l="1"/>
  <c r="AN144" i="25"/>
  <c r="BK143" i="19"/>
  <c r="AA143" i="19"/>
  <c r="AM144" i="25"/>
  <c r="BC144" i="20" s="1"/>
  <c r="BX144" i="19"/>
  <c r="BD145" i="25" s="1"/>
  <c r="BE144" i="25"/>
  <c r="Q144" i="25" s="1"/>
  <c r="Y144" i="19" s="1"/>
  <c r="BV149" i="19"/>
  <c r="AZ150" i="25" s="1"/>
  <c r="BW148" i="19"/>
  <c r="BA149" i="25" s="1"/>
  <c r="R144" i="25"/>
  <c r="K143" i="20"/>
  <c r="BV143" i="20" s="1"/>
  <c r="M149" i="25" l="1"/>
  <c r="BJ149" i="19" s="1"/>
  <c r="L150" i="25"/>
  <c r="O146" i="25"/>
  <c r="AI147" i="25" s="1"/>
  <c r="Z144" i="19"/>
  <c r="AL145" i="25"/>
  <c r="AK145" i="25"/>
  <c r="BB145" i="20" s="1"/>
  <c r="CA144" i="19"/>
  <c r="BH144" i="25"/>
  <c r="T144" i="25" s="1"/>
  <c r="P145" i="25"/>
  <c r="AL143" i="20"/>
  <c r="BM143" i="19" s="1"/>
  <c r="BG144" i="25" s="1"/>
  <c r="S144" i="25" l="1"/>
  <c r="AO145" i="25"/>
  <c r="AN145" i="25"/>
  <c r="V150" i="19"/>
  <c r="BI150" i="19"/>
  <c r="AF151" i="25"/>
  <c r="X145" i="19"/>
  <c r="AJ146" i="25"/>
  <c r="BX145" i="19"/>
  <c r="BB148" i="25"/>
  <c r="BY145" i="19"/>
  <c r="BF145" i="25"/>
  <c r="W149" i="19"/>
  <c r="AG150" i="25"/>
  <c r="AZ150" i="20" s="1"/>
  <c r="AC143" i="20"/>
  <c r="CA145" i="19" l="1"/>
  <c r="BV150" i="19"/>
  <c r="AZ151" i="25" s="1"/>
  <c r="L151" i="25" s="1"/>
  <c r="BI145" i="25"/>
  <c r="BH145" i="25"/>
  <c r="BK144" i="19"/>
  <c r="BE145" i="25" s="1"/>
  <c r="Q145" i="25" s="1"/>
  <c r="AA144" i="19"/>
  <c r="AM145" i="25"/>
  <c r="BC145" i="20" s="1"/>
  <c r="R145" i="25"/>
  <c r="N148" i="25"/>
  <c r="AH149" i="25" s="1"/>
  <c r="BA149" i="20" s="1"/>
  <c r="BC147" i="25"/>
  <c r="BD146" i="25"/>
  <c r="K144" i="20"/>
  <c r="BV144" i="20" s="1"/>
  <c r="BI151" i="19" l="1"/>
  <c r="V151" i="19"/>
  <c r="P146" i="25"/>
  <c r="AF152" i="25"/>
  <c r="BW149" i="19"/>
  <c r="BA150" i="25" s="1"/>
  <c r="O147" i="25"/>
  <c r="AI148" i="25" s="1"/>
  <c r="T145" i="25"/>
  <c r="Z145" i="19"/>
  <c r="AL146" i="25"/>
  <c r="Y145" i="19"/>
  <c r="AK146" i="25"/>
  <c r="BB146" i="20" s="1"/>
  <c r="U145" i="25"/>
  <c r="AL144" i="20"/>
  <c r="BM144" i="19" s="1"/>
  <c r="BG145" i="25" s="1"/>
  <c r="AO146" i="25" l="1"/>
  <c r="BI146" i="25" s="1"/>
  <c r="S145" i="25"/>
  <c r="X146" i="19"/>
  <c r="AJ147" i="25"/>
  <c r="BX146" i="19"/>
  <c r="M150" i="25"/>
  <c r="BY146" i="19"/>
  <c r="BF146" i="25"/>
  <c r="BB149" i="25"/>
  <c r="AC144" i="20"/>
  <c r="U146" i="25" l="1"/>
  <c r="W150" i="19"/>
  <c r="AG151" i="25"/>
  <c r="AZ151" i="20" s="1"/>
  <c r="AA145" i="19"/>
  <c r="BK145" i="19"/>
  <c r="BE146" i="25" s="1"/>
  <c r="Q146" i="25" s="1"/>
  <c r="AM146" i="25"/>
  <c r="BC146" i="20" s="1"/>
  <c r="BJ150" i="19"/>
  <c r="BD147" i="25"/>
  <c r="P147" i="25" s="1"/>
  <c r="BC148" i="25"/>
  <c r="R146" i="25"/>
  <c r="N149" i="25"/>
  <c r="AH150" i="25" s="1"/>
  <c r="AN146" i="25"/>
  <c r="K145" i="20"/>
  <c r="BV145" i="20" s="1"/>
  <c r="BW150" i="19" l="1"/>
  <c r="BA150" i="20"/>
  <c r="X147" i="19"/>
  <c r="AJ148" i="25"/>
  <c r="CA146" i="19"/>
  <c r="BH146" i="25"/>
  <c r="Z146" i="19"/>
  <c r="AL147" i="25"/>
  <c r="O148" i="25"/>
  <c r="AI149" i="25" s="1"/>
  <c r="BB150" i="25" s="1"/>
  <c r="BV151" i="19"/>
  <c r="AZ152" i="25" s="1"/>
  <c r="L152" i="25" s="1"/>
  <c r="BA151" i="25"/>
  <c r="M151" i="25" s="1"/>
  <c r="AG152" i="25" s="1"/>
  <c r="AZ152" i="20" s="1"/>
  <c r="Y146" i="19"/>
  <c r="AK147" i="25"/>
  <c r="BB147" i="20" s="1"/>
  <c r="AL145" i="20"/>
  <c r="BM145" i="19" s="1"/>
  <c r="BG146" i="25" s="1"/>
  <c r="BC149" i="25" l="1"/>
  <c r="S146" i="25"/>
  <c r="BV152" i="19"/>
  <c r="BX147" i="19"/>
  <c r="BD148" i="25" s="1"/>
  <c r="P148" i="25" s="1"/>
  <c r="BJ151" i="19"/>
  <c r="W151" i="19"/>
  <c r="BY147" i="19"/>
  <c r="BF147" i="25"/>
  <c r="V152" i="19"/>
  <c r="BI152" i="19"/>
  <c r="AF153" i="25"/>
  <c r="N150" i="25"/>
  <c r="AH151" i="25" s="1"/>
  <c r="BA151" i="20" s="1"/>
  <c r="O149" i="25"/>
  <c r="AI150" i="25" s="1"/>
  <c r="T146" i="25"/>
  <c r="AC145" i="20"/>
  <c r="X148" i="19" l="1"/>
  <c r="AJ149" i="25"/>
  <c r="BC150" i="25"/>
  <c r="O150" i="25" s="1"/>
  <c r="AI151" i="25" s="1"/>
  <c r="AZ153" i="25"/>
  <c r="L153" i="25" s="1"/>
  <c r="AO147" i="25"/>
  <c r="BI147" i="25" s="1"/>
  <c r="AN147" i="25"/>
  <c r="BB151" i="25"/>
  <c r="BW151" i="19"/>
  <c r="BA152" i="25" s="1"/>
  <c r="R147" i="25"/>
  <c r="Z147" i="19" s="1"/>
  <c r="AA146" i="19"/>
  <c r="BK146" i="19"/>
  <c r="BE147" i="25" s="1"/>
  <c r="AM147" i="25"/>
  <c r="BC147" i="20" s="1"/>
  <c r="K146" i="20"/>
  <c r="BV146" i="20" s="1"/>
  <c r="V153" i="19" l="1"/>
  <c r="BI153" i="19"/>
  <c r="CA147" i="19"/>
  <c r="BH147" i="25"/>
  <c r="M152" i="25"/>
  <c r="U147" i="25"/>
  <c r="Q147" i="25"/>
  <c r="N151" i="25"/>
  <c r="AH152" i="25" s="1"/>
  <c r="AF154" i="25"/>
  <c r="AL146" i="20"/>
  <c r="BM146" i="19" s="1"/>
  <c r="BG147" i="25" s="1"/>
  <c r="BB152" i="25" l="1"/>
  <c r="N152" i="25" s="1"/>
  <c r="AH153" i="25" s="1"/>
  <c r="BA153" i="20" s="1"/>
  <c r="BA152" i="20"/>
  <c r="S147" i="25"/>
  <c r="AL148" i="25"/>
  <c r="Y147" i="19"/>
  <c r="AK148" i="25"/>
  <c r="BB148" i="20" s="1"/>
  <c r="BJ152" i="19"/>
  <c r="W152" i="19"/>
  <c r="AG153" i="25"/>
  <c r="AZ153" i="20" s="1"/>
  <c r="BW152" i="19"/>
  <c r="T147" i="25"/>
  <c r="AC146" i="20"/>
  <c r="BW153" i="19" l="1"/>
  <c r="BY148" i="19"/>
  <c r="BF148" i="25"/>
  <c r="BV153" i="19"/>
  <c r="AZ154" i="25" s="1"/>
  <c r="L154" i="25" s="1"/>
  <c r="BA153" i="25"/>
  <c r="AO148" i="25"/>
  <c r="BI148" i="25" s="1"/>
  <c r="AN148" i="25"/>
  <c r="BX148" i="19"/>
  <c r="BD149" i="25" s="1"/>
  <c r="P149" i="25" s="1"/>
  <c r="BK147" i="19"/>
  <c r="BE148" i="25" s="1"/>
  <c r="AA147" i="19"/>
  <c r="AM148" i="25"/>
  <c r="BC148" i="20" s="1"/>
  <c r="K147" i="20"/>
  <c r="BV147" i="20" s="1"/>
  <c r="Q148" i="25" l="1"/>
  <c r="X149" i="19"/>
  <c r="AJ150" i="25"/>
  <c r="CA148" i="19"/>
  <c r="BH148" i="25"/>
  <c r="M153" i="25"/>
  <c r="R148" i="25"/>
  <c r="U148" i="25"/>
  <c r="V154" i="19"/>
  <c r="BI154" i="19"/>
  <c r="AF155" i="25"/>
  <c r="AL147" i="20"/>
  <c r="BM147" i="19" s="1"/>
  <c r="BG148" i="25" s="1"/>
  <c r="S148" i="25" l="1"/>
  <c r="T148" i="25"/>
  <c r="AO149" i="25" s="1"/>
  <c r="BJ153" i="19"/>
  <c r="W153" i="19"/>
  <c r="AG154" i="25"/>
  <c r="AZ154" i="20" s="1"/>
  <c r="Y148" i="19"/>
  <c r="AK149" i="25"/>
  <c r="BB149" i="20" s="1"/>
  <c r="Z148" i="19"/>
  <c r="AL149" i="25"/>
  <c r="BC151" i="25"/>
  <c r="O151" i="25" s="1"/>
  <c r="AI152" i="25" s="1"/>
  <c r="AC147" i="20"/>
  <c r="BX149" i="19" l="1"/>
  <c r="BD150" i="25" s="1"/>
  <c r="P150" i="25" s="1"/>
  <c r="BV154" i="19"/>
  <c r="AZ155" i="25" s="1"/>
  <c r="BA154" i="25"/>
  <c r="AN149" i="25"/>
  <c r="AA148" i="19"/>
  <c r="BK148" i="19"/>
  <c r="BE149" i="25" s="1"/>
  <c r="Q149" i="25" s="1"/>
  <c r="AM149" i="25"/>
  <c r="BC149" i="20" s="1"/>
  <c r="BB153" i="25"/>
  <c r="BI149" i="25"/>
  <c r="U149" i="25" s="1"/>
  <c r="BY149" i="19"/>
  <c r="BF149" i="25"/>
  <c r="K148" i="20"/>
  <c r="BV148" i="20" s="1"/>
  <c r="Y149" i="19" l="1"/>
  <c r="AK150" i="25"/>
  <c r="BB150" i="20" s="1"/>
  <c r="L155" i="25"/>
  <c r="R149" i="25"/>
  <c r="CA149" i="19"/>
  <c r="BH149" i="25"/>
  <c r="N153" i="25"/>
  <c r="AH154" i="25" s="1"/>
  <c r="BA154" i="20" s="1"/>
  <c r="M154" i="25"/>
  <c r="X150" i="19"/>
  <c r="AJ151" i="25"/>
  <c r="AL148" i="20"/>
  <c r="BM148" i="19" s="1"/>
  <c r="BG149" i="25" s="1"/>
  <c r="S149" i="25" l="1"/>
  <c r="BC152" i="25"/>
  <c r="W154" i="19"/>
  <c r="AG155" i="25"/>
  <c r="AZ155" i="20" s="1"/>
  <c r="BW154" i="19"/>
  <c r="Z149" i="19"/>
  <c r="AL150" i="25"/>
  <c r="BX150" i="19"/>
  <c r="BD151" i="25" s="1"/>
  <c r="P151" i="25" s="1"/>
  <c r="BJ154" i="19"/>
  <c r="T149" i="25"/>
  <c r="V155" i="19"/>
  <c r="BI155" i="19"/>
  <c r="AF156" i="25"/>
  <c r="AC148" i="20"/>
  <c r="X151" i="19" l="1"/>
  <c r="AJ152" i="25"/>
  <c r="AO150" i="25"/>
  <c r="AN150" i="25"/>
  <c r="BY150" i="19"/>
  <c r="BF150" i="25"/>
  <c r="BV155" i="19"/>
  <c r="AZ156" i="25" s="1"/>
  <c r="BA155" i="25"/>
  <c r="M155" i="25" s="1"/>
  <c r="BK149" i="19"/>
  <c r="BE150" i="25" s="1"/>
  <c r="AA149" i="19"/>
  <c r="AM150" i="25"/>
  <c r="BC150" i="20" s="1"/>
  <c r="O152" i="25"/>
  <c r="AI153" i="25" s="1"/>
  <c r="BC153" i="25" s="1"/>
  <c r="K149" i="20"/>
  <c r="BV149" i="20" s="1"/>
  <c r="BJ155" i="19" l="1"/>
  <c r="W155" i="19"/>
  <c r="AG156" i="25"/>
  <c r="AZ156" i="20" s="1"/>
  <c r="L156" i="25"/>
  <c r="O153" i="25"/>
  <c r="AI154" i="25" s="1"/>
  <c r="BB154" i="25"/>
  <c r="Q150" i="25"/>
  <c r="CA150" i="19"/>
  <c r="BH150" i="25"/>
  <c r="R150" i="25"/>
  <c r="BI150" i="25"/>
  <c r="AL149" i="20"/>
  <c r="BM149" i="19" s="1"/>
  <c r="BG150" i="25" s="1"/>
  <c r="N154" i="25" l="1"/>
  <c r="AH155" i="25" s="1"/>
  <c r="BA155" i="20" s="1"/>
  <c r="BV156" i="19"/>
  <c r="Z150" i="19"/>
  <c r="AL151" i="25"/>
  <c r="S150" i="25"/>
  <c r="T150" i="25"/>
  <c r="U150" i="25"/>
  <c r="Y150" i="19"/>
  <c r="AK151" i="25"/>
  <c r="BB151" i="20" s="1"/>
  <c r="V156" i="19"/>
  <c r="BI156" i="19"/>
  <c r="AF157" i="25"/>
  <c r="AC149" i="20"/>
  <c r="AN151" i="25" l="1"/>
  <c r="CA151" i="19" s="1"/>
  <c r="BW155" i="19"/>
  <c r="BA156" i="25" s="1"/>
  <c r="AZ157" i="25"/>
  <c r="L157" i="25" s="1"/>
  <c r="AF158" i="25" s="1"/>
  <c r="AA150" i="19"/>
  <c r="BK150" i="19"/>
  <c r="BE151" i="25" s="1"/>
  <c r="Q151" i="25" s="1"/>
  <c r="Y151" i="19" s="1"/>
  <c r="AM151" i="25"/>
  <c r="BC151" i="20" s="1"/>
  <c r="BB155" i="25"/>
  <c r="AO151" i="25"/>
  <c r="BY151" i="19"/>
  <c r="BF151" i="25"/>
  <c r="BX151" i="19"/>
  <c r="BD152" i="25" s="1"/>
  <c r="BH151" i="25"/>
  <c r="T151" i="25" s="1"/>
  <c r="K150" i="20"/>
  <c r="BV150" i="20" s="1"/>
  <c r="M156" i="25" l="1"/>
  <c r="AK152" i="25"/>
  <c r="BB152" i="20" s="1"/>
  <c r="V157" i="19"/>
  <c r="BI157" i="19"/>
  <c r="P152" i="25"/>
  <c r="BI151" i="25"/>
  <c r="R151" i="25"/>
  <c r="N155" i="25"/>
  <c r="AH156" i="25" s="1"/>
  <c r="BA156" i="20" s="1"/>
  <c r="AL150" i="20"/>
  <c r="BM150" i="19" s="1"/>
  <c r="BG151" i="25" s="1"/>
  <c r="BX152" i="19" l="1"/>
  <c r="S151" i="25"/>
  <c r="BW156" i="19"/>
  <c r="X152" i="19"/>
  <c r="AJ153" i="25"/>
  <c r="W156" i="19"/>
  <c r="AG157" i="25"/>
  <c r="AZ157" i="20" s="1"/>
  <c r="Z151" i="19"/>
  <c r="AL152" i="25"/>
  <c r="U151" i="25"/>
  <c r="AO152" i="25" s="1"/>
  <c r="BI152" i="25" s="1"/>
  <c r="BJ156" i="19"/>
  <c r="AC150" i="20"/>
  <c r="BC154" i="25" l="1"/>
  <c r="BD153" i="25"/>
  <c r="P153" i="25" s="1"/>
  <c r="X153" i="19" s="1"/>
  <c r="BY152" i="19"/>
  <c r="BF152" i="25"/>
  <c r="BV157" i="19"/>
  <c r="AZ158" i="25" s="1"/>
  <c r="L158" i="25" s="1"/>
  <c r="BA157" i="25"/>
  <c r="M157" i="25" s="1"/>
  <c r="BK151" i="19"/>
  <c r="BE152" i="25" s="1"/>
  <c r="AA151" i="19"/>
  <c r="AN152" i="25"/>
  <c r="AM152" i="25"/>
  <c r="BC152" i="20" s="1"/>
  <c r="U152" i="25"/>
  <c r="K151" i="20"/>
  <c r="BV151" i="20" s="1"/>
  <c r="B4" i="19"/>
  <c r="Q152" i="25" l="1"/>
  <c r="AF159" i="25"/>
  <c r="V158" i="19"/>
  <c r="BI158" i="19"/>
  <c r="BJ157" i="19"/>
  <c r="O154" i="25"/>
  <c r="AI155" i="25" s="1"/>
  <c r="W157" i="19"/>
  <c r="CA152" i="19"/>
  <c r="BH152" i="25"/>
  <c r="R152" i="25"/>
  <c r="AG158" i="25"/>
  <c r="AZ158" i="20" s="1"/>
  <c r="AJ154" i="25"/>
  <c r="AL151" i="20"/>
  <c r="BM151" i="19" s="1"/>
  <c r="BG152" i="25" s="1"/>
  <c r="BC155" i="25" l="1"/>
  <c r="O155" i="25" s="1"/>
  <c r="AI156" i="25" s="1"/>
  <c r="S152" i="25"/>
  <c r="BV158" i="19"/>
  <c r="AZ159" i="25" s="1"/>
  <c r="L159" i="25" s="1"/>
  <c r="Z152" i="19"/>
  <c r="AL153" i="25"/>
  <c r="BB156" i="25"/>
  <c r="Y152" i="19"/>
  <c r="AK153" i="25"/>
  <c r="BB153" i="20" s="1"/>
  <c r="T152" i="25"/>
  <c r="AB5" i="19"/>
  <c r="B5" i="19" s="1"/>
  <c r="L5" i="22" s="1"/>
  <c r="AC151" i="20"/>
  <c r="BI159" i="19" l="1"/>
  <c r="V159" i="19"/>
  <c r="AF160" i="25"/>
  <c r="BX153" i="19"/>
  <c r="BD154" i="25" s="1"/>
  <c r="P154" i="25" s="1"/>
  <c r="BY153" i="19"/>
  <c r="BF153" i="25"/>
  <c r="AO153" i="25"/>
  <c r="AN153" i="25"/>
  <c r="AA152" i="19"/>
  <c r="BK152" i="19"/>
  <c r="BE153" i="25" s="1"/>
  <c r="AM153" i="25"/>
  <c r="BC153" i="20" s="1"/>
  <c r="N156" i="25"/>
  <c r="AH157" i="25" s="1"/>
  <c r="AB6" i="19"/>
  <c r="B6" i="19" s="1"/>
  <c r="L6" i="22" s="1"/>
  <c r="K152" i="20"/>
  <c r="BV152" i="20" s="1"/>
  <c r="BB157" i="25" l="1"/>
  <c r="N157" i="25" s="1"/>
  <c r="AH158" i="25" s="1"/>
  <c r="BA158" i="20" s="1"/>
  <c r="BA157" i="20"/>
  <c r="Q153" i="25"/>
  <c r="BW157" i="19"/>
  <c r="BA158" i="25" s="1"/>
  <c r="CA153" i="19"/>
  <c r="BH153" i="25"/>
  <c r="R153" i="25"/>
  <c r="BI153" i="25"/>
  <c r="U153" i="25" s="1"/>
  <c r="X154" i="19"/>
  <c r="AJ155" i="25"/>
  <c r="C6" i="19"/>
  <c r="AB7" i="19"/>
  <c r="B7" i="19" s="1"/>
  <c r="L7" i="22" s="1"/>
  <c r="AL152" i="20"/>
  <c r="BM152" i="19" s="1"/>
  <c r="BG153" i="25" s="1"/>
  <c r="S153" i="25" s="1"/>
  <c r="BK153" i="19" l="1"/>
  <c r="AA153" i="19"/>
  <c r="AM154" i="25"/>
  <c r="BC154" i="20" s="1"/>
  <c r="M158" i="25"/>
  <c r="Y153" i="19"/>
  <c r="AK154" i="25"/>
  <c r="BB154" i="20" s="1"/>
  <c r="BC156" i="25"/>
  <c r="O156" i="25" s="1"/>
  <c r="AI157" i="25" s="1"/>
  <c r="BB158" i="25" s="1"/>
  <c r="Z153" i="19"/>
  <c r="AL154" i="25"/>
  <c r="T153" i="25"/>
  <c r="AN154" i="25" s="1"/>
  <c r="BH154" i="25" s="1"/>
  <c r="BW158" i="19"/>
  <c r="M6" i="22"/>
  <c r="C7" i="19"/>
  <c r="M7" i="22" s="1"/>
  <c r="AC152" i="20"/>
  <c r="T154" i="25" l="1"/>
  <c r="BY154" i="19"/>
  <c r="BF154" i="25"/>
  <c r="R154" i="25" s="1"/>
  <c r="Z154" i="19" s="1"/>
  <c r="BJ158" i="19"/>
  <c r="W158" i="19"/>
  <c r="AG159" i="25"/>
  <c r="AZ159" i="20" s="1"/>
  <c r="CA154" i="19"/>
  <c r="N158" i="25"/>
  <c r="AH159" i="25" s="1"/>
  <c r="BA159" i="20" s="1"/>
  <c r="BX154" i="19"/>
  <c r="BD155" i="25" s="1"/>
  <c r="P155" i="25" s="1"/>
  <c r="BE154" i="25"/>
  <c r="Q154" i="25" s="1"/>
  <c r="Y154" i="19" s="1"/>
  <c r="AO154" i="25"/>
  <c r="BI154" i="25" s="1"/>
  <c r="AB8" i="19"/>
  <c r="B8" i="19" s="1"/>
  <c r="L8" i="22" s="1"/>
  <c r="K153" i="20"/>
  <c r="BV153" i="20" s="1"/>
  <c r="U154" i="25" l="1"/>
  <c r="AK155" i="25"/>
  <c r="BB155" i="20" s="1"/>
  <c r="BV159" i="19"/>
  <c r="AZ160" i="25" s="1"/>
  <c r="BA159" i="25"/>
  <c r="AL155" i="25"/>
  <c r="X155" i="19"/>
  <c r="AJ156" i="25"/>
  <c r="BW159" i="19"/>
  <c r="AO155" i="25"/>
  <c r="BI155" i="25" s="1"/>
  <c r="AB9" i="19"/>
  <c r="B9" i="19" s="1"/>
  <c r="L9" i="22" s="1"/>
  <c r="AD7" i="19"/>
  <c r="D7" i="19" s="1"/>
  <c r="N7" i="22" s="1"/>
  <c r="AD8" i="19"/>
  <c r="D8" i="19" s="1"/>
  <c r="N8" i="22" s="1"/>
  <c r="C8" i="19"/>
  <c r="M8" i="22" s="1"/>
  <c r="AL153" i="20"/>
  <c r="BM153" i="19" s="1"/>
  <c r="BG154" i="25" s="1"/>
  <c r="U155" i="25" l="1"/>
  <c r="BY155" i="19"/>
  <c r="M159" i="25"/>
  <c r="BJ159" i="19" s="1"/>
  <c r="BF155" i="25"/>
  <c r="BC157" i="25"/>
  <c r="S154" i="25"/>
  <c r="L160" i="25"/>
  <c r="BX155" i="19"/>
  <c r="BD156" i="25" s="1"/>
  <c r="P156" i="25" s="1"/>
  <c r="AF8" i="19"/>
  <c r="F8" i="19" s="1"/>
  <c r="AT11" i="25" s="1"/>
  <c r="E8" i="19"/>
  <c r="O8" i="22" s="1"/>
  <c r="E9" i="19"/>
  <c r="O9" i="22" s="1"/>
  <c r="C9" i="19"/>
  <c r="M9" i="22" s="1"/>
  <c r="AC153" i="20"/>
  <c r="X156" i="19" l="1"/>
  <c r="AJ157" i="25"/>
  <c r="BK154" i="19"/>
  <c r="BE155" i="25" s="1"/>
  <c r="AA154" i="19"/>
  <c r="AM155" i="25"/>
  <c r="BC155" i="20" s="1"/>
  <c r="AN155" i="25"/>
  <c r="O157" i="25"/>
  <c r="AI158" i="25" s="1"/>
  <c r="R155" i="25"/>
  <c r="V160" i="19"/>
  <c r="BI160" i="19"/>
  <c r="AF161" i="25"/>
  <c r="W159" i="19"/>
  <c r="AG160" i="25"/>
  <c r="AZ160" i="20" s="1"/>
  <c r="F11" i="25"/>
  <c r="AF9" i="19"/>
  <c r="F9" i="19" s="1"/>
  <c r="AH9" i="19"/>
  <c r="H9" i="19" s="1"/>
  <c r="R9" i="22" s="1"/>
  <c r="BH9" i="19"/>
  <c r="AG9" i="19"/>
  <c r="G9" i="19" s="1"/>
  <c r="AD9" i="19"/>
  <c r="D9" i="19" s="1"/>
  <c r="N9" i="22" s="1"/>
  <c r="K154" i="20"/>
  <c r="BV154" i="20" s="1"/>
  <c r="Z155" i="19" l="1"/>
  <c r="BA160" i="25"/>
  <c r="M160" i="25" s="1"/>
  <c r="W160" i="19" s="1"/>
  <c r="BV160" i="19"/>
  <c r="AZ161" i="25" s="1"/>
  <c r="L161" i="25" s="1"/>
  <c r="BB159" i="25"/>
  <c r="Q155" i="25"/>
  <c r="CA155" i="19"/>
  <c r="BH155" i="25"/>
  <c r="BC158" i="25"/>
  <c r="S11" i="19"/>
  <c r="BF11" i="19"/>
  <c r="AY12" i="25" s="1"/>
  <c r="Z12" i="25"/>
  <c r="AV12" i="20" s="1"/>
  <c r="AA12" i="25"/>
  <c r="AJ10" i="19"/>
  <c r="J10" i="19" s="1"/>
  <c r="AI10" i="19"/>
  <c r="I10" i="19" s="1"/>
  <c r="S10" i="22" s="1"/>
  <c r="AB10" i="19"/>
  <c r="B10" i="19" s="1"/>
  <c r="L10" i="22" s="1"/>
  <c r="AL154" i="20"/>
  <c r="BM154" i="19" s="1"/>
  <c r="BG155" i="25" s="1"/>
  <c r="S155" i="25" s="1"/>
  <c r="BS12" i="19" l="1"/>
  <c r="AW12" i="20"/>
  <c r="AA155" i="19"/>
  <c r="BK155" i="19"/>
  <c r="AM156" i="25"/>
  <c r="BC156" i="20" s="1"/>
  <c r="V161" i="19"/>
  <c r="BI161" i="19"/>
  <c r="Y155" i="19"/>
  <c r="AK156" i="25"/>
  <c r="BB156" i="20" s="1"/>
  <c r="AL156" i="25"/>
  <c r="T155" i="25"/>
  <c r="N159" i="25"/>
  <c r="AH160" i="25" s="1"/>
  <c r="AG161" i="25"/>
  <c r="AZ161" i="20" s="1"/>
  <c r="O158" i="25"/>
  <c r="AI159" i="25" s="1"/>
  <c r="BJ160" i="19"/>
  <c r="AF162" i="25"/>
  <c r="K12" i="25"/>
  <c r="AE13" i="25" s="1"/>
  <c r="AY13" i="20" s="1"/>
  <c r="AU12" i="25"/>
  <c r="G12" i="25" s="1"/>
  <c r="AS13" i="25"/>
  <c r="AK11" i="19"/>
  <c r="K11" i="19" s="1"/>
  <c r="AH10" i="19"/>
  <c r="H10" i="19" s="1"/>
  <c r="R10" i="22" s="1"/>
  <c r="BH10" i="19"/>
  <c r="AT12" i="25"/>
  <c r="C10" i="19"/>
  <c r="M10" i="22" s="1"/>
  <c r="AB11" i="19"/>
  <c r="B11" i="19" s="1"/>
  <c r="L11" i="22" s="1"/>
  <c r="AG10" i="19"/>
  <c r="G10" i="19" s="1"/>
  <c r="AD10" i="19"/>
  <c r="D10" i="19" s="1"/>
  <c r="N10" i="22" s="1"/>
  <c r="AF10" i="19"/>
  <c r="F10" i="19" s="1"/>
  <c r="AC154" i="20"/>
  <c r="BW160" i="19" l="1"/>
  <c r="BA160" i="20"/>
  <c r="BA161" i="25"/>
  <c r="M161" i="25" s="1"/>
  <c r="W161" i="19" s="1"/>
  <c r="BY156" i="19"/>
  <c r="BF156" i="25"/>
  <c r="BV161" i="19"/>
  <c r="AZ162" i="25" s="1"/>
  <c r="AO156" i="25"/>
  <c r="AN156" i="25"/>
  <c r="BB160" i="25"/>
  <c r="BX156" i="19"/>
  <c r="BD157" i="25" s="1"/>
  <c r="BE156" i="25"/>
  <c r="F12" i="25"/>
  <c r="BF12" i="19" s="1"/>
  <c r="AY13" i="25" s="1"/>
  <c r="K13" i="25" s="1"/>
  <c r="AE14" i="25" s="1"/>
  <c r="AY14" i="20" s="1"/>
  <c r="AB13" i="25"/>
  <c r="E13" i="25"/>
  <c r="BE13" i="19" s="1"/>
  <c r="AJ11" i="19"/>
  <c r="J11" i="19" s="1"/>
  <c r="E10" i="19"/>
  <c r="O10" i="22" s="1"/>
  <c r="AI11" i="19"/>
  <c r="I11" i="19" s="1"/>
  <c r="S11" i="22" s="1"/>
  <c r="C11" i="19"/>
  <c r="M11" i="22" s="1"/>
  <c r="K155" i="20"/>
  <c r="BV155" i="20" s="1"/>
  <c r="L162" i="25" l="1"/>
  <c r="BI156" i="25"/>
  <c r="U156" i="25" s="1"/>
  <c r="P157" i="25"/>
  <c r="N160" i="25"/>
  <c r="AH161" i="25" s="1"/>
  <c r="BA161" i="20" s="1"/>
  <c r="AG162" i="25"/>
  <c r="AZ162" i="20" s="1"/>
  <c r="CA156" i="19"/>
  <c r="BH156" i="25"/>
  <c r="T156" i="25" s="1"/>
  <c r="Q156" i="25"/>
  <c r="R156" i="25"/>
  <c r="BJ161" i="19"/>
  <c r="Y14" i="25"/>
  <c r="R13" i="19"/>
  <c r="Z13" i="25"/>
  <c r="AV13" i="20" s="1"/>
  <c r="S12" i="19"/>
  <c r="AV13" i="25"/>
  <c r="AA13" i="25"/>
  <c r="AG11" i="19"/>
  <c r="G11" i="19" s="1"/>
  <c r="AH11" i="19"/>
  <c r="H11" i="19" s="1"/>
  <c r="R11" i="22" s="1"/>
  <c r="BH11" i="19"/>
  <c r="AL12" i="19"/>
  <c r="AL155" i="20"/>
  <c r="BM155" i="19" s="1"/>
  <c r="BG156" i="25" s="1"/>
  <c r="S156" i="25" s="1"/>
  <c r="BS13" i="19" l="1"/>
  <c r="AW13" i="20"/>
  <c r="AN157" i="25"/>
  <c r="CA157" i="19" s="1"/>
  <c r="AO157" i="25"/>
  <c r="BI157" i="25" s="1"/>
  <c r="Y156" i="19"/>
  <c r="AK157" i="25"/>
  <c r="BB157" i="20" s="1"/>
  <c r="X157" i="19"/>
  <c r="AJ158" i="25"/>
  <c r="BV162" i="19"/>
  <c r="V162" i="19"/>
  <c r="BI162" i="19"/>
  <c r="AF163" i="25"/>
  <c r="BW161" i="19"/>
  <c r="BA162" i="25" s="1"/>
  <c r="AA156" i="19"/>
  <c r="BK156" i="19"/>
  <c r="AM157" i="25"/>
  <c r="BC157" i="20" s="1"/>
  <c r="Z156" i="19"/>
  <c r="AL157" i="25"/>
  <c r="AS14" i="25"/>
  <c r="E14" i="25" s="1"/>
  <c r="BE14" i="19" s="1"/>
  <c r="BQ14" i="19"/>
  <c r="AR15" i="25" s="1"/>
  <c r="AT13" i="25"/>
  <c r="F13" i="25" s="1"/>
  <c r="BF13" i="19" s="1"/>
  <c r="AY14" i="25" s="1"/>
  <c r="AU13" i="25"/>
  <c r="G13" i="25" s="1"/>
  <c r="H13" i="25"/>
  <c r="L12" i="19"/>
  <c r="T12" i="22" s="1"/>
  <c r="V13" i="22"/>
  <c r="BU13" i="19" s="1"/>
  <c r="AX14" i="25" s="1"/>
  <c r="J14" i="25" s="1"/>
  <c r="U14" i="19" s="1"/>
  <c r="C12" i="19"/>
  <c r="M12" i="22" s="1"/>
  <c r="AJ12" i="19"/>
  <c r="J12" i="19" s="1"/>
  <c r="E11" i="19"/>
  <c r="O11" i="22" s="1"/>
  <c r="AF11" i="19"/>
  <c r="F11" i="19" s="1"/>
  <c r="AB12" i="19"/>
  <c r="B12" i="19" s="1"/>
  <c r="L12" i="22" s="1"/>
  <c r="AD11" i="19"/>
  <c r="D11" i="19" s="1"/>
  <c r="N11" i="22" s="1"/>
  <c r="AC155" i="20"/>
  <c r="BH157" i="25" l="1"/>
  <c r="M162" i="25"/>
  <c r="AZ163" i="25"/>
  <c r="L163" i="25" s="1"/>
  <c r="BC159" i="25"/>
  <c r="Y15" i="25"/>
  <c r="BQ15" i="19" s="1"/>
  <c r="U157" i="25"/>
  <c r="BX157" i="19"/>
  <c r="BD158" i="25" s="1"/>
  <c r="BE157" i="25"/>
  <c r="BY157" i="19"/>
  <c r="BF157" i="25"/>
  <c r="T157" i="25"/>
  <c r="R14" i="19"/>
  <c r="D15" i="25"/>
  <c r="K14" i="25"/>
  <c r="AE15" i="25" s="1"/>
  <c r="AY15" i="20" s="1"/>
  <c r="AA14" i="25"/>
  <c r="AW14" i="20" s="1"/>
  <c r="Z14" i="25"/>
  <c r="AV14" i="20" s="1"/>
  <c r="S13" i="19"/>
  <c r="AC14" i="25"/>
  <c r="AB14" i="25"/>
  <c r="AV14" i="25" s="1"/>
  <c r="E12" i="19"/>
  <c r="O12" i="22" s="1"/>
  <c r="BH12" i="19"/>
  <c r="AH12" i="19"/>
  <c r="H12" i="19" s="1"/>
  <c r="R12" i="22" s="1"/>
  <c r="AI12" i="19"/>
  <c r="I12" i="19" s="1"/>
  <c r="S12" i="22" s="1"/>
  <c r="AD12" i="19"/>
  <c r="D12" i="19" s="1"/>
  <c r="N12" i="22" s="1"/>
  <c r="AB13" i="19"/>
  <c r="B13" i="19" s="1"/>
  <c r="L13" i="22" s="1"/>
  <c r="AK12" i="19"/>
  <c r="K12" i="19" s="1"/>
  <c r="M13" i="19"/>
  <c r="K156" i="20"/>
  <c r="BV156" i="20" s="1"/>
  <c r="AT14" i="25" l="1"/>
  <c r="F14" i="25" s="1"/>
  <c r="BF14" i="19" s="1"/>
  <c r="AY15" i="25" s="1"/>
  <c r="K15" i="25" s="1"/>
  <c r="AS15" i="25"/>
  <c r="E15" i="25" s="1"/>
  <c r="BE15" i="19" s="1"/>
  <c r="V163" i="19"/>
  <c r="BI163" i="19"/>
  <c r="Q157" i="25"/>
  <c r="R157" i="25"/>
  <c r="AF164" i="25"/>
  <c r="BJ162" i="19"/>
  <c r="W162" i="19"/>
  <c r="AG163" i="25"/>
  <c r="AZ163" i="20" s="1"/>
  <c r="O159" i="25"/>
  <c r="AI160" i="25" s="1"/>
  <c r="BB161" i="25" s="1"/>
  <c r="AO158" i="25"/>
  <c r="P158" i="25"/>
  <c r="Q15" i="19"/>
  <c r="X16" i="25"/>
  <c r="AU16" i="20" s="1"/>
  <c r="AU14" i="25"/>
  <c r="G14" i="25" s="1"/>
  <c r="BS14" i="19"/>
  <c r="AW14" i="25"/>
  <c r="I14" i="25" s="1"/>
  <c r="H14" i="25"/>
  <c r="AG12" i="19"/>
  <c r="G12" i="19" s="1"/>
  <c r="AL156" i="20"/>
  <c r="BM156" i="19" s="1"/>
  <c r="BG157" i="25" s="1"/>
  <c r="Y16" i="25" l="1"/>
  <c r="BQ16" i="19" s="1"/>
  <c r="R15" i="19"/>
  <c r="N161" i="25"/>
  <c r="AH162" i="25" s="1"/>
  <c r="BA162" i="20" s="1"/>
  <c r="X158" i="19"/>
  <c r="AJ159" i="25"/>
  <c r="BV163" i="19"/>
  <c r="AZ164" i="25" s="1"/>
  <c r="L164" i="25" s="1"/>
  <c r="Y157" i="19"/>
  <c r="AK158" i="25"/>
  <c r="BB158" i="20" s="1"/>
  <c r="BI158" i="25"/>
  <c r="Z157" i="19"/>
  <c r="AL158" i="25"/>
  <c r="S157" i="25"/>
  <c r="BC160" i="25"/>
  <c r="O160" i="25" s="1"/>
  <c r="AI161" i="25" s="1"/>
  <c r="AQ17" i="25"/>
  <c r="AR16" i="25"/>
  <c r="T14" i="19"/>
  <c r="BG14" i="19"/>
  <c r="AA15" i="25"/>
  <c r="AW15" i="20" s="1"/>
  <c r="Z15" i="25"/>
  <c r="S14" i="19"/>
  <c r="AD15" i="25"/>
  <c r="AC15" i="25"/>
  <c r="AB15" i="25"/>
  <c r="AV15" i="25" s="1"/>
  <c r="AK13" i="19"/>
  <c r="K13" i="19" s="1"/>
  <c r="C13" i="19"/>
  <c r="M13" i="22" s="1"/>
  <c r="AL13" i="19"/>
  <c r="AI13" i="19"/>
  <c r="I13" i="19" s="1"/>
  <c r="S13" i="22" s="1"/>
  <c r="AB14" i="19"/>
  <c r="B14" i="19" s="1"/>
  <c r="L14" i="22" s="1"/>
  <c r="AD13" i="19"/>
  <c r="D13" i="19" s="1"/>
  <c r="N13" i="22" s="1"/>
  <c r="AN14" i="19"/>
  <c r="AF12" i="19"/>
  <c r="F12" i="19" s="1"/>
  <c r="AC156" i="20"/>
  <c r="BT15" i="19" l="1"/>
  <c r="AX15" i="20"/>
  <c r="AS16" i="25"/>
  <c r="E16" i="25" s="1"/>
  <c r="BE16" i="19" s="1"/>
  <c r="AV15" i="20"/>
  <c r="BB162" i="25"/>
  <c r="N162" i="25" s="1"/>
  <c r="AH163" i="25" s="1"/>
  <c r="BA163" i="20" s="1"/>
  <c r="BI164" i="19"/>
  <c r="V164" i="19"/>
  <c r="AF165" i="25"/>
  <c r="BY158" i="19"/>
  <c r="BF158" i="25"/>
  <c r="BX158" i="19"/>
  <c r="BD159" i="25" s="1"/>
  <c r="BK157" i="19"/>
  <c r="BE158" i="25" s="1"/>
  <c r="Q158" i="25" s="1"/>
  <c r="AA157" i="19"/>
  <c r="AM158" i="25"/>
  <c r="BC158" i="20" s="1"/>
  <c r="AN158" i="25"/>
  <c r="U158" i="25"/>
  <c r="BW162" i="19"/>
  <c r="BA163" i="25" s="1"/>
  <c r="C17" i="25"/>
  <c r="D16" i="25"/>
  <c r="Y17" i="25" s="1"/>
  <c r="BQ17" i="19" s="1"/>
  <c r="AU15" i="25"/>
  <c r="G15" i="25" s="1"/>
  <c r="BS15" i="19"/>
  <c r="H15" i="25"/>
  <c r="AW15" i="25"/>
  <c r="N14" i="19"/>
  <c r="U14" i="22" s="1"/>
  <c r="X15" i="22"/>
  <c r="L13" i="19"/>
  <c r="T13" i="22" s="1"/>
  <c r="V14" i="22"/>
  <c r="C14" i="19"/>
  <c r="M14" i="22" s="1"/>
  <c r="AH13" i="19"/>
  <c r="H13" i="19" s="1"/>
  <c r="R13" i="22" s="1"/>
  <c r="BH13" i="19"/>
  <c r="AJ13" i="19"/>
  <c r="J13" i="19" s="1"/>
  <c r="E13" i="19"/>
  <c r="O13" i="22" s="1"/>
  <c r="K157" i="20"/>
  <c r="BV157" i="20" s="1"/>
  <c r="R16" i="19" l="1"/>
  <c r="Y158" i="19"/>
  <c r="AK159" i="25"/>
  <c r="BB159" i="20" s="1"/>
  <c r="BW163" i="19"/>
  <c r="M163" i="25"/>
  <c r="CA158" i="19"/>
  <c r="BH158" i="25"/>
  <c r="T158" i="25" s="1"/>
  <c r="P159" i="25"/>
  <c r="R158" i="25"/>
  <c r="Q16" i="19"/>
  <c r="X17" i="25"/>
  <c r="AU17" i="20" s="1"/>
  <c r="W18" i="25"/>
  <c r="P17" i="19"/>
  <c r="BC17" i="19"/>
  <c r="AT15" i="25"/>
  <c r="F15" i="25" s="1"/>
  <c r="BU14" i="19"/>
  <c r="AX15" i="25" s="1"/>
  <c r="J15" i="25" s="1"/>
  <c r="U15" i="19" s="1"/>
  <c r="AB16" i="25"/>
  <c r="AV16" i="25" s="1"/>
  <c r="H16" i="25" s="1"/>
  <c r="I15" i="25"/>
  <c r="BG15" i="19" s="1"/>
  <c r="AD14" i="19"/>
  <c r="D14" i="19" s="1"/>
  <c r="N14" i="22" s="1"/>
  <c r="AB15" i="19"/>
  <c r="B15" i="19" s="1"/>
  <c r="L15" i="22" s="1"/>
  <c r="AL14" i="19"/>
  <c r="L14" i="19" s="1"/>
  <c r="T14" i="22" s="1"/>
  <c r="AK14" i="19"/>
  <c r="K14" i="19" s="1"/>
  <c r="AG13" i="19"/>
  <c r="G13" i="19" s="1"/>
  <c r="C15" i="19"/>
  <c r="M15" i="22" s="1"/>
  <c r="M14" i="19"/>
  <c r="AF13" i="19"/>
  <c r="F13" i="19" s="1"/>
  <c r="AL157" i="20"/>
  <c r="BM157" i="19" s="1"/>
  <c r="BG158" i="25" s="1"/>
  <c r="AO159" i="25" l="1"/>
  <c r="S158" i="25"/>
  <c r="X159" i="19"/>
  <c r="AJ160" i="25"/>
  <c r="W163" i="19"/>
  <c r="AG164" i="25"/>
  <c r="AZ164" i="20" s="1"/>
  <c r="Z158" i="19"/>
  <c r="AL159" i="25"/>
  <c r="BX159" i="19"/>
  <c r="BJ163" i="19"/>
  <c r="BO18" i="19"/>
  <c r="AP19" i="25" s="1"/>
  <c r="AQ18" i="25"/>
  <c r="AR17" i="25"/>
  <c r="AE16" i="25"/>
  <c r="AY16" i="20" s="1"/>
  <c r="S15" i="19"/>
  <c r="BF15" i="19"/>
  <c r="AC16" i="25"/>
  <c r="AW16" i="25" s="1"/>
  <c r="I16" i="25" s="1"/>
  <c r="BG16" i="19" s="1"/>
  <c r="T15" i="19"/>
  <c r="AD16" i="25"/>
  <c r="Z16" i="25"/>
  <c r="AV16" i="20" s="1"/>
  <c r="AA16" i="25"/>
  <c r="V15" i="22"/>
  <c r="BU15" i="19" s="1"/>
  <c r="AF14" i="19"/>
  <c r="F14" i="19" s="1"/>
  <c r="E15" i="19"/>
  <c r="O15" i="22" s="1"/>
  <c r="AJ14" i="19"/>
  <c r="J14" i="19" s="1"/>
  <c r="AI14" i="19"/>
  <c r="I14" i="19" s="1"/>
  <c r="S14" i="22" s="1"/>
  <c r="E14" i="19"/>
  <c r="O14" i="22" s="1"/>
  <c r="AC157" i="20"/>
  <c r="BT16" i="19" l="1"/>
  <c r="AX16" i="20"/>
  <c r="BS16" i="19"/>
  <c r="AW16" i="20"/>
  <c r="BK158" i="19"/>
  <c r="BE159" i="25" s="1"/>
  <c r="Q159" i="25" s="1"/>
  <c r="AA158" i="19"/>
  <c r="AM159" i="25"/>
  <c r="BC159" i="20" s="1"/>
  <c r="BY159" i="19"/>
  <c r="BF159" i="25"/>
  <c r="BC161" i="25"/>
  <c r="BD160" i="25"/>
  <c r="BI159" i="25"/>
  <c r="U159" i="25" s="1"/>
  <c r="BV164" i="19"/>
  <c r="AZ165" i="25" s="1"/>
  <c r="L165" i="25" s="1"/>
  <c r="BA164" i="25"/>
  <c r="M164" i="25" s="1"/>
  <c r="AN159" i="25"/>
  <c r="AY16" i="25"/>
  <c r="K16" i="25" s="1"/>
  <c r="C18" i="25"/>
  <c r="D17" i="25"/>
  <c r="B19" i="25"/>
  <c r="T16" i="19"/>
  <c r="AC17" i="25"/>
  <c r="AW17" i="25" s="1"/>
  <c r="I17" i="25" s="1"/>
  <c r="AX16" i="25"/>
  <c r="J16" i="25" s="1"/>
  <c r="U16" i="19" s="1"/>
  <c r="AU16" i="25"/>
  <c r="AS17" i="25"/>
  <c r="AD15" i="19"/>
  <c r="D15" i="19" s="1"/>
  <c r="N15" i="22" s="1"/>
  <c r="AN15" i="19"/>
  <c r="AG14" i="19"/>
  <c r="G14" i="19" s="1"/>
  <c r="AL15" i="19"/>
  <c r="L15" i="19" s="1"/>
  <c r="T15" i="22" s="1"/>
  <c r="M15" i="19"/>
  <c r="C16" i="19"/>
  <c r="M16" i="22" s="1"/>
  <c r="K158" i="20"/>
  <c r="BV158" i="20" s="1"/>
  <c r="W164" i="19" l="1"/>
  <c r="AG165" i="25"/>
  <c r="AZ165" i="20" s="1"/>
  <c r="BI165" i="19"/>
  <c r="V165" i="19"/>
  <c r="AF166" i="25"/>
  <c r="CA159" i="19"/>
  <c r="BH159" i="25"/>
  <c r="BJ164" i="19"/>
  <c r="P160" i="25"/>
  <c r="R159" i="25"/>
  <c r="Y159" i="19"/>
  <c r="AK160" i="25"/>
  <c r="BB160" i="20" s="1"/>
  <c r="O161" i="25"/>
  <c r="AI162" i="25" s="1"/>
  <c r="Q17" i="19"/>
  <c r="X18" i="25"/>
  <c r="AU18" i="20" s="1"/>
  <c r="O19" i="19"/>
  <c r="V20" i="25"/>
  <c r="P18" i="19"/>
  <c r="BC18" i="19"/>
  <c r="W19" i="25"/>
  <c r="T17" i="19"/>
  <c r="BG17" i="19"/>
  <c r="AE17" i="25"/>
  <c r="AY17" i="20" s="1"/>
  <c r="AD17" i="25"/>
  <c r="AX17" i="20" s="1"/>
  <c r="G16" i="25"/>
  <c r="E17" i="25"/>
  <c r="BE17" i="19" s="1"/>
  <c r="V16" i="22"/>
  <c r="N15" i="19"/>
  <c r="U15" i="22" s="1"/>
  <c r="X16" i="22"/>
  <c r="E16" i="19"/>
  <c r="O16" i="22" s="1"/>
  <c r="AI15" i="19"/>
  <c r="I15" i="19" s="1"/>
  <c r="S15" i="22" s="1"/>
  <c r="AF15" i="19"/>
  <c r="F15" i="19" s="1"/>
  <c r="BH14" i="19"/>
  <c r="AH14" i="19"/>
  <c r="H14" i="19" s="1"/>
  <c r="R14" i="22" s="1"/>
  <c r="AT16" i="25"/>
  <c r="F16" i="25" s="1"/>
  <c r="BF16" i="19" s="1"/>
  <c r="AB16" i="19"/>
  <c r="B16" i="19" s="1"/>
  <c r="L16" i="22" s="1"/>
  <c r="AK15" i="19"/>
  <c r="K15" i="19" s="1"/>
  <c r="AG15" i="19"/>
  <c r="G15" i="19" s="1"/>
  <c r="AL158" i="20"/>
  <c r="BM158" i="19" s="1"/>
  <c r="BG159" i="25" s="1"/>
  <c r="S159" i="25" s="1"/>
  <c r="BK159" i="19" l="1"/>
  <c r="BE160" i="25" s="1"/>
  <c r="Q160" i="25" s="1"/>
  <c r="AA159" i="19"/>
  <c r="AM160" i="25"/>
  <c r="BC160" i="20" s="1"/>
  <c r="T159" i="25"/>
  <c r="BX160" i="19"/>
  <c r="BB163" i="25"/>
  <c r="N163" i="25" s="1"/>
  <c r="AH164" i="25" s="1"/>
  <c r="BA164" i="20" s="1"/>
  <c r="Z159" i="19"/>
  <c r="AL160" i="25"/>
  <c r="BV165" i="19"/>
  <c r="AZ166" i="25" s="1"/>
  <c r="L166" i="25" s="1"/>
  <c r="X160" i="19"/>
  <c r="AJ161" i="25"/>
  <c r="BU16" i="19"/>
  <c r="BO19" i="19"/>
  <c r="AP20" i="25" s="1"/>
  <c r="AQ19" i="25"/>
  <c r="AR18" i="25"/>
  <c r="D18" i="25" s="1"/>
  <c r="Q18" i="19" s="1"/>
  <c r="AX17" i="25"/>
  <c r="J17" i="25" s="1"/>
  <c r="BT17" i="19"/>
  <c r="Z17" i="25"/>
  <c r="AV17" i="20" s="1"/>
  <c r="S16" i="19"/>
  <c r="Y18" i="25"/>
  <c r="BQ18" i="19" s="1"/>
  <c r="R17" i="19"/>
  <c r="AA17" i="25"/>
  <c r="AB17" i="25"/>
  <c r="AY17" i="25"/>
  <c r="M16" i="19"/>
  <c r="AN16" i="19"/>
  <c r="N16" i="19" s="1"/>
  <c r="U16" i="22" s="1"/>
  <c r="AJ15" i="19"/>
  <c r="J15" i="19" s="1"/>
  <c r="AD16" i="19"/>
  <c r="D16" i="19" s="1"/>
  <c r="N16" i="22" s="1"/>
  <c r="AB17" i="19"/>
  <c r="B17" i="19" s="1"/>
  <c r="L17" i="22" s="1"/>
  <c r="C17" i="19"/>
  <c r="M17" i="22" s="1"/>
  <c r="AC158" i="20"/>
  <c r="BS17" i="19" l="1"/>
  <c r="AW17" i="20"/>
  <c r="X19" i="25"/>
  <c r="V166" i="19"/>
  <c r="BI166" i="19"/>
  <c r="AF167" i="25"/>
  <c r="Y160" i="19"/>
  <c r="AK161" i="25"/>
  <c r="BB161" i="20" s="1"/>
  <c r="BY160" i="19"/>
  <c r="BF160" i="25"/>
  <c r="R160" i="25" s="1"/>
  <c r="BW164" i="19"/>
  <c r="BA165" i="25" s="1"/>
  <c r="BC162" i="25"/>
  <c r="BD161" i="25"/>
  <c r="P161" i="25" s="1"/>
  <c r="X161" i="19" s="1"/>
  <c r="AN160" i="25"/>
  <c r="AO160" i="25"/>
  <c r="B20" i="25"/>
  <c r="C19" i="25"/>
  <c r="AD18" i="25"/>
  <c r="AX18" i="20" s="1"/>
  <c r="U17" i="19"/>
  <c r="AS18" i="25"/>
  <c r="E18" i="25" s="1"/>
  <c r="BE18" i="19" s="1"/>
  <c r="AV17" i="25"/>
  <c r="H17" i="25" s="1"/>
  <c r="AU17" i="25"/>
  <c r="G17" i="25" s="1"/>
  <c r="K17" i="25"/>
  <c r="AE18" i="25" s="1"/>
  <c r="AY18" i="20" s="1"/>
  <c r="X17" i="22"/>
  <c r="AD17" i="19"/>
  <c r="D17" i="19" s="1"/>
  <c r="N17" i="22" s="1"/>
  <c r="AK16" i="19"/>
  <c r="K16" i="19" s="1"/>
  <c r="AF16" i="19"/>
  <c r="F16" i="19" s="1"/>
  <c r="AL16" i="19"/>
  <c r="AH15" i="19"/>
  <c r="H15" i="19" s="1"/>
  <c r="R15" i="22" s="1"/>
  <c r="BH15" i="19"/>
  <c r="AG16" i="19"/>
  <c r="G16" i="19" s="1"/>
  <c r="AI16" i="19"/>
  <c r="I16" i="19" s="1"/>
  <c r="S16" i="22" s="1"/>
  <c r="AT17" i="25"/>
  <c r="K159" i="20"/>
  <c r="BV159" i="20" s="1"/>
  <c r="AR19" i="25" l="1"/>
  <c r="D19" i="25" s="1"/>
  <c r="Q19" i="19" s="1"/>
  <c r="AU19" i="20"/>
  <c r="AJ162" i="25"/>
  <c r="Z160" i="19"/>
  <c r="AL161" i="25"/>
  <c r="BF161" i="25" s="1"/>
  <c r="BI160" i="25"/>
  <c r="CA160" i="19"/>
  <c r="BH160" i="25"/>
  <c r="T160" i="25" s="1"/>
  <c r="O162" i="25"/>
  <c r="AI163" i="25" s="1"/>
  <c r="BB164" i="25" s="1"/>
  <c r="M165" i="25"/>
  <c r="BJ165" i="19" s="1"/>
  <c r="BX161" i="19"/>
  <c r="BD162" i="25" s="1"/>
  <c r="P19" i="19"/>
  <c r="BC19" i="19"/>
  <c r="W20" i="25"/>
  <c r="O20" i="19"/>
  <c r="V21" i="25"/>
  <c r="BT18" i="19"/>
  <c r="Y19" i="25"/>
  <c r="BQ19" i="19" s="1"/>
  <c r="R18" i="19"/>
  <c r="AB18" i="25"/>
  <c r="AV18" i="25" s="1"/>
  <c r="AC18" i="25"/>
  <c r="F17" i="25"/>
  <c r="BF17" i="19" s="1"/>
  <c r="AY18" i="25" s="1"/>
  <c r="K18" i="25" s="1"/>
  <c r="L16" i="19"/>
  <c r="T16" i="22" s="1"/>
  <c r="V17" i="22"/>
  <c r="BU17" i="19" s="1"/>
  <c r="AX18" i="25" s="1"/>
  <c r="J18" i="25" s="1"/>
  <c r="U18" i="19" s="1"/>
  <c r="AH16" i="19"/>
  <c r="H16" i="19" s="1"/>
  <c r="R16" i="22" s="1"/>
  <c r="BH16" i="19"/>
  <c r="AI17" i="19"/>
  <c r="I17" i="19" s="1"/>
  <c r="S17" i="22" s="1"/>
  <c r="AB18" i="19"/>
  <c r="B18" i="19" s="1"/>
  <c r="L18" i="22" s="1"/>
  <c r="E17" i="19"/>
  <c r="O17" i="22" s="1"/>
  <c r="AD18" i="19"/>
  <c r="D18" i="19" s="1"/>
  <c r="N18" i="22" s="1"/>
  <c r="AJ16" i="19"/>
  <c r="J16" i="19" s="1"/>
  <c r="E18" i="19"/>
  <c r="O18" i="22" s="1"/>
  <c r="AN17" i="19"/>
  <c r="N17" i="19" s="1"/>
  <c r="U17" i="22" s="1"/>
  <c r="AL159" i="20"/>
  <c r="BM159" i="19" s="1"/>
  <c r="BG160" i="25" s="1"/>
  <c r="X20" i="25" l="1"/>
  <c r="AU20" i="20" s="1"/>
  <c r="P162" i="25"/>
  <c r="R161" i="25"/>
  <c r="Z161" i="19" s="1"/>
  <c r="N164" i="25"/>
  <c r="AH165" i="25" s="1"/>
  <c r="BC163" i="25"/>
  <c r="O163" i="25" s="1"/>
  <c r="AI164" i="25" s="1"/>
  <c r="U160" i="25"/>
  <c r="AO161" i="25" s="1"/>
  <c r="BI161" i="25" s="1"/>
  <c r="BY161" i="19"/>
  <c r="S160" i="25"/>
  <c r="W165" i="19"/>
  <c r="AG166" i="25"/>
  <c r="AZ166" i="20" s="1"/>
  <c r="BO20" i="19"/>
  <c r="AP21" i="25" s="1"/>
  <c r="B21" i="25" s="1"/>
  <c r="AQ20" i="25"/>
  <c r="AE19" i="25"/>
  <c r="AY19" i="20" s="1"/>
  <c r="Z18" i="25"/>
  <c r="AV18" i="20" s="1"/>
  <c r="S17" i="19"/>
  <c r="AF17" i="19" s="1"/>
  <c r="F17" i="19" s="1"/>
  <c r="H18" i="25"/>
  <c r="AW18" i="25"/>
  <c r="AS19" i="25"/>
  <c r="AA18" i="25"/>
  <c r="AW18" i="20" s="1"/>
  <c r="X18" i="22"/>
  <c r="AH17" i="19"/>
  <c r="H17" i="19" s="1"/>
  <c r="R17" i="22" s="1"/>
  <c r="BH17" i="19"/>
  <c r="C19" i="19"/>
  <c r="M19" i="22" s="1"/>
  <c r="AK17" i="19"/>
  <c r="K17" i="19" s="1"/>
  <c r="AJ17" i="19"/>
  <c r="J17" i="19" s="1"/>
  <c r="C18" i="19"/>
  <c r="M17" i="19"/>
  <c r="AG17" i="19"/>
  <c r="G17" i="19" s="1"/>
  <c r="AC159" i="20"/>
  <c r="BW165" i="19" l="1"/>
  <c r="BA166" i="25" s="1"/>
  <c r="M166" i="25" s="1"/>
  <c r="BA165" i="20"/>
  <c r="AR20" i="25"/>
  <c r="D20" i="25" s="1"/>
  <c r="BK160" i="19"/>
  <c r="BE161" i="25" s="1"/>
  <c r="Q161" i="25" s="1"/>
  <c r="AA160" i="19"/>
  <c r="AM161" i="25"/>
  <c r="BC161" i="20" s="1"/>
  <c r="U161" i="25"/>
  <c r="X162" i="19"/>
  <c r="AJ163" i="25"/>
  <c r="BB165" i="25"/>
  <c r="BV166" i="19"/>
  <c r="AZ167" i="25" s="1"/>
  <c r="AN161" i="25"/>
  <c r="O21" i="19"/>
  <c r="V22" i="25"/>
  <c r="C20" i="25"/>
  <c r="AU18" i="25"/>
  <c r="G18" i="25" s="1"/>
  <c r="AB19" i="25" s="1"/>
  <c r="AV19" i="25" s="1"/>
  <c r="BS18" i="19"/>
  <c r="E19" i="25"/>
  <c r="BE19" i="19" s="1"/>
  <c r="I18" i="25"/>
  <c r="AL17" i="19"/>
  <c r="AB19" i="19"/>
  <c r="B19" i="19" s="1"/>
  <c r="L19" i="22" s="1"/>
  <c r="AI18" i="19"/>
  <c r="I18" i="19" s="1"/>
  <c r="S18" i="22" s="1"/>
  <c r="M18" i="22"/>
  <c r="K160" i="20"/>
  <c r="BV160" i="20" s="1"/>
  <c r="BJ166" i="19" l="1"/>
  <c r="W166" i="19"/>
  <c r="AG167" i="25"/>
  <c r="AZ167" i="20" s="1"/>
  <c r="BC164" i="25"/>
  <c r="CA161" i="19"/>
  <c r="BH161" i="25"/>
  <c r="T161" i="25" s="1"/>
  <c r="AO162" i="25" s="1"/>
  <c r="L167" i="25"/>
  <c r="N165" i="25"/>
  <c r="AH166" i="25" s="1"/>
  <c r="BA166" i="20" s="1"/>
  <c r="Y161" i="19"/>
  <c r="AK162" i="25"/>
  <c r="BB162" i="20" s="1"/>
  <c r="AL162" i="25"/>
  <c r="Q20" i="19"/>
  <c r="X21" i="25"/>
  <c r="AU21" i="20" s="1"/>
  <c r="P20" i="19"/>
  <c r="C20" i="19" s="1"/>
  <c r="M20" i="22" s="1"/>
  <c r="BC20" i="19"/>
  <c r="W21" i="25"/>
  <c r="T18" i="19"/>
  <c r="AG18" i="19" s="1"/>
  <c r="G18" i="19" s="1"/>
  <c r="BG18" i="19"/>
  <c r="Y20" i="25"/>
  <c r="BQ20" i="19" s="1"/>
  <c r="R19" i="19"/>
  <c r="E19" i="19" s="1"/>
  <c r="O19" i="22" s="1"/>
  <c r="H19" i="25"/>
  <c r="AC19" i="25"/>
  <c r="AD19" i="25"/>
  <c r="AT18" i="25"/>
  <c r="L17" i="19"/>
  <c r="T17" i="22" s="1"/>
  <c r="V18" i="22"/>
  <c r="BU18" i="19" s="1"/>
  <c r="AB20" i="19"/>
  <c r="B20" i="19" s="1"/>
  <c r="L20" i="22" s="1"/>
  <c r="AJ18" i="19"/>
  <c r="J18" i="19" s="1"/>
  <c r="M18" i="19"/>
  <c r="AN18" i="19"/>
  <c r="AK18" i="19"/>
  <c r="K18" i="19" s="1"/>
  <c r="AH18" i="19"/>
  <c r="H18" i="19" s="1"/>
  <c r="R18" i="22" s="1"/>
  <c r="BH18" i="19"/>
  <c r="AL160" i="20"/>
  <c r="BM160" i="19" s="1"/>
  <c r="BG161" i="25" s="1"/>
  <c r="BT19" i="19" l="1"/>
  <c r="AX19" i="20"/>
  <c r="S161" i="25"/>
  <c r="BW166" i="19"/>
  <c r="BX162" i="19"/>
  <c r="BD163" i="25" s="1"/>
  <c r="P163" i="25" s="1"/>
  <c r="BI167" i="19"/>
  <c r="V167" i="19"/>
  <c r="AF168" i="25"/>
  <c r="O164" i="25"/>
  <c r="AI165" i="25" s="1"/>
  <c r="BB166" i="25" s="1"/>
  <c r="N166" i="25" s="1"/>
  <c r="AH167" i="25" s="1"/>
  <c r="BA167" i="20" s="1"/>
  <c r="BI162" i="25"/>
  <c r="BV167" i="19"/>
  <c r="BA167" i="25"/>
  <c r="BY162" i="19"/>
  <c r="BF162" i="25"/>
  <c r="AN162" i="25"/>
  <c r="BO21" i="19"/>
  <c r="AP22" i="25" s="1"/>
  <c r="AQ21" i="25"/>
  <c r="AR21" i="25"/>
  <c r="D21" i="25" s="1"/>
  <c r="Q21" i="19" s="1"/>
  <c r="AX19" i="25"/>
  <c r="AW19" i="25"/>
  <c r="I19" i="25" s="1"/>
  <c r="BG19" i="19" s="1"/>
  <c r="F18" i="25"/>
  <c r="N18" i="19"/>
  <c r="U18" i="22" s="1"/>
  <c r="X19" i="22"/>
  <c r="AI19" i="19"/>
  <c r="I19" i="19" s="1"/>
  <c r="S19" i="22" s="1"/>
  <c r="AB21" i="19"/>
  <c r="B21" i="19" s="1"/>
  <c r="L21" i="22" s="1"/>
  <c r="AD19" i="19"/>
  <c r="D19" i="19" s="1"/>
  <c r="N19" i="22" s="1"/>
  <c r="AC160" i="20"/>
  <c r="BW167" i="19" l="1"/>
  <c r="R162" i="25"/>
  <c r="U162" i="25"/>
  <c r="AZ168" i="25"/>
  <c r="L168" i="25" s="1"/>
  <c r="X163" i="19"/>
  <c r="AJ164" i="25"/>
  <c r="BK161" i="19"/>
  <c r="BE162" i="25" s="1"/>
  <c r="AA161" i="19"/>
  <c r="AM162" i="25"/>
  <c r="BC162" i="20" s="1"/>
  <c r="CA162" i="19"/>
  <c r="BH162" i="25"/>
  <c r="M167" i="25"/>
  <c r="C21" i="25"/>
  <c r="B22" i="25"/>
  <c r="S18" i="19"/>
  <c r="AF18" i="19" s="1"/>
  <c r="F18" i="19" s="1"/>
  <c r="BF18" i="19"/>
  <c r="AY19" i="25" s="1"/>
  <c r="K19" i="25" s="1"/>
  <c r="AC20" i="25"/>
  <c r="AW20" i="25" s="1"/>
  <c r="T19" i="19"/>
  <c r="AG19" i="19" s="1"/>
  <c r="G19" i="19" s="1"/>
  <c r="Z19" i="25"/>
  <c r="AV19" i="20" s="1"/>
  <c r="AA19" i="25"/>
  <c r="J19" i="25"/>
  <c r="U19" i="19" s="1"/>
  <c r="AH19" i="19" s="1"/>
  <c r="H19" i="19" s="1"/>
  <c r="R19" i="22" s="1"/>
  <c r="AL18" i="19"/>
  <c r="AK19" i="19"/>
  <c r="K19" i="19" s="1"/>
  <c r="BH19" i="19"/>
  <c r="M19" i="19"/>
  <c r="AJ19" i="19"/>
  <c r="J19" i="19" s="1"/>
  <c r="AD20" i="19"/>
  <c r="D20" i="19" s="1"/>
  <c r="N20" i="22" s="1"/>
  <c r="K161" i="20"/>
  <c r="BV161" i="20" s="1"/>
  <c r="BS19" i="19" l="1"/>
  <c r="AW19" i="20"/>
  <c r="V168" i="19"/>
  <c r="BI168" i="19"/>
  <c r="AF169" i="25"/>
  <c r="BJ167" i="19"/>
  <c r="W167" i="19"/>
  <c r="AG168" i="25"/>
  <c r="AZ168" i="20" s="1"/>
  <c r="T162" i="25"/>
  <c r="AO163" i="25" s="1"/>
  <c r="Z162" i="19"/>
  <c r="Q162" i="25"/>
  <c r="BC165" i="25"/>
  <c r="O165" i="25" s="1"/>
  <c r="AI166" i="25" s="1"/>
  <c r="O22" i="19"/>
  <c r="AB22" i="19" s="1"/>
  <c r="B22" i="19" s="1"/>
  <c r="L22" i="22" s="1"/>
  <c r="V23" i="25"/>
  <c r="X22" i="25"/>
  <c r="AU22" i="20" s="1"/>
  <c r="BC21" i="19"/>
  <c r="P21" i="19"/>
  <c r="W22" i="25"/>
  <c r="AE20" i="25"/>
  <c r="AY20" i="20" s="1"/>
  <c r="AD20" i="25"/>
  <c r="AU19" i="25"/>
  <c r="G19" i="25" s="1"/>
  <c r="I20" i="25"/>
  <c r="AS20" i="25"/>
  <c r="AT19" i="25"/>
  <c r="F19" i="25" s="1"/>
  <c r="BF19" i="19" s="1"/>
  <c r="L18" i="19"/>
  <c r="T18" i="22" s="1"/>
  <c r="V19" i="22"/>
  <c r="BU19" i="19" s="1"/>
  <c r="AD21" i="19"/>
  <c r="D21" i="19" s="1"/>
  <c r="N21" i="22" s="1"/>
  <c r="BH20" i="19"/>
  <c r="AN19" i="19"/>
  <c r="AI20" i="19"/>
  <c r="I20" i="19" s="1"/>
  <c r="S20" i="22" s="1"/>
  <c r="AL161" i="20"/>
  <c r="BM161" i="19" s="1"/>
  <c r="BG162" i="25" s="1"/>
  <c r="BT20" i="19" l="1"/>
  <c r="AX20" i="20"/>
  <c r="S162" i="25"/>
  <c r="Y162" i="19"/>
  <c r="AK163" i="25"/>
  <c r="BB163" i="20" s="1"/>
  <c r="AL163" i="25"/>
  <c r="AN163" i="25"/>
  <c r="BB167" i="25"/>
  <c r="N167" i="25" s="1"/>
  <c r="AH168" i="25" s="1"/>
  <c r="BA168" i="20" s="1"/>
  <c r="BV168" i="19"/>
  <c r="AZ169" i="25" s="1"/>
  <c r="BA168" i="25"/>
  <c r="BI163" i="25"/>
  <c r="U163" i="25" s="1"/>
  <c r="BO22" i="19"/>
  <c r="AP23" i="25" s="1"/>
  <c r="AQ22" i="25"/>
  <c r="T20" i="19"/>
  <c r="AG20" i="19" s="1"/>
  <c r="G20" i="19" s="1"/>
  <c r="BG20" i="19"/>
  <c r="Z20" i="25"/>
  <c r="S19" i="19"/>
  <c r="AF19" i="19" s="1"/>
  <c r="F19" i="19" s="1"/>
  <c r="AA20" i="25"/>
  <c r="AW20" i="20" s="1"/>
  <c r="AB20" i="25"/>
  <c r="AX20" i="25"/>
  <c r="J20" i="25" s="1"/>
  <c r="E20" i="25"/>
  <c r="BE20" i="19" s="1"/>
  <c r="AY20" i="25"/>
  <c r="N19" i="19"/>
  <c r="U19" i="22" s="1"/>
  <c r="X20" i="22"/>
  <c r="AJ21" i="19"/>
  <c r="J21" i="19" s="1"/>
  <c r="AI21" i="19"/>
  <c r="I21" i="19" s="1"/>
  <c r="S21" i="22" s="1"/>
  <c r="AK20" i="19"/>
  <c r="K20" i="19" s="1"/>
  <c r="AJ20" i="19"/>
  <c r="J20" i="19" s="1"/>
  <c r="C21" i="19"/>
  <c r="AC161" i="20"/>
  <c r="AT20" i="25" l="1"/>
  <c r="F20" i="25" s="1"/>
  <c r="BF20" i="19" s="1"/>
  <c r="AV20" i="20"/>
  <c r="L169" i="25"/>
  <c r="BX163" i="19"/>
  <c r="BD164" i="25" s="1"/>
  <c r="M168" i="25"/>
  <c r="BJ168" i="19" s="1"/>
  <c r="BW168" i="19"/>
  <c r="CA163" i="19"/>
  <c r="BH163" i="25"/>
  <c r="BY163" i="19"/>
  <c r="BF163" i="25"/>
  <c r="R163" i="25" s="1"/>
  <c r="AA162" i="19"/>
  <c r="BK162" i="19"/>
  <c r="BE163" i="25" s="1"/>
  <c r="AM163" i="25"/>
  <c r="BC163" i="20" s="1"/>
  <c r="B23" i="25"/>
  <c r="C22" i="25"/>
  <c r="AU20" i="25"/>
  <c r="G20" i="25" s="1"/>
  <c r="AA21" i="25" s="1"/>
  <c r="AW21" i="20" s="1"/>
  <c r="BS20" i="19"/>
  <c r="Z21" i="25"/>
  <c r="AV21" i="20" s="1"/>
  <c r="Y21" i="25"/>
  <c r="R20" i="19"/>
  <c r="E20" i="19" s="1"/>
  <c r="O20" i="22" s="1"/>
  <c r="AD21" i="25"/>
  <c r="U20" i="19"/>
  <c r="AH20" i="19" s="1"/>
  <c r="H20" i="19" s="1"/>
  <c r="R20" i="22" s="1"/>
  <c r="AV20" i="25"/>
  <c r="H20" i="25" s="1"/>
  <c r="K20" i="25"/>
  <c r="AE21" i="25" s="1"/>
  <c r="AY21" i="20" s="1"/>
  <c r="AN20" i="19"/>
  <c r="N20" i="19" s="1"/>
  <c r="U20" i="22" s="1"/>
  <c r="AL19" i="19"/>
  <c r="M21" i="22"/>
  <c r="K162" i="20"/>
  <c r="BV162" i="20" s="1"/>
  <c r="BT21" i="19" l="1"/>
  <c r="AX21" i="20"/>
  <c r="S20" i="19"/>
  <c r="AF20" i="19" s="1"/>
  <c r="F20" i="19" s="1"/>
  <c r="Z163" i="19"/>
  <c r="Q163" i="25"/>
  <c r="AL164" i="25" s="1"/>
  <c r="BF164" i="25" s="1"/>
  <c r="P164" i="25"/>
  <c r="W168" i="19"/>
  <c r="AG169" i="25"/>
  <c r="AZ169" i="20" s="1"/>
  <c r="T163" i="25"/>
  <c r="BI169" i="19"/>
  <c r="V169" i="19"/>
  <c r="AF170" i="25"/>
  <c r="P22" i="19"/>
  <c r="C22" i="19" s="1"/>
  <c r="M22" i="22" s="1"/>
  <c r="BC22" i="19"/>
  <c r="W23" i="25"/>
  <c r="O23" i="19"/>
  <c r="V24" i="25"/>
  <c r="AS21" i="25"/>
  <c r="E21" i="25" s="1"/>
  <c r="BE21" i="19" s="1"/>
  <c r="BQ21" i="19"/>
  <c r="AR22" i="25" s="1"/>
  <c r="AY21" i="25"/>
  <c r="K21" i="25" s="1"/>
  <c r="AU21" i="25"/>
  <c r="G21" i="25" s="1"/>
  <c r="BS21" i="19"/>
  <c r="AB21" i="25"/>
  <c r="AV21" i="25" s="1"/>
  <c r="AC21" i="25"/>
  <c r="X21" i="22"/>
  <c r="L19" i="19"/>
  <c r="T19" i="22" s="1"/>
  <c r="V20" i="22"/>
  <c r="AK21" i="19"/>
  <c r="K21" i="19" s="1"/>
  <c r="BH21" i="19"/>
  <c r="AL162" i="20"/>
  <c r="BM162" i="19" s="1"/>
  <c r="BG163" i="25" s="1"/>
  <c r="S163" i="25" s="1"/>
  <c r="R21" i="19" l="1"/>
  <c r="E21" i="19" s="1"/>
  <c r="O21" i="22" s="1"/>
  <c r="AA163" i="19"/>
  <c r="BK163" i="19"/>
  <c r="AM164" i="25"/>
  <c r="BC164" i="20" s="1"/>
  <c r="AN164" i="25"/>
  <c r="AO164" i="25"/>
  <c r="Y163" i="19"/>
  <c r="AK164" i="25"/>
  <c r="BB164" i="20" s="1"/>
  <c r="R164" i="25"/>
  <c r="Z164" i="19" s="1"/>
  <c r="X164" i="19"/>
  <c r="AJ165" i="25"/>
  <c r="BY164" i="19"/>
  <c r="BV169" i="19"/>
  <c r="AZ170" i="25" s="1"/>
  <c r="BA169" i="25"/>
  <c r="M169" i="25" s="1"/>
  <c r="Y22" i="25"/>
  <c r="BQ22" i="19" s="1"/>
  <c r="AS22" i="25"/>
  <c r="E22" i="25" s="1"/>
  <c r="BE22" i="19" s="1"/>
  <c r="D22" i="25"/>
  <c r="BO23" i="19"/>
  <c r="AP24" i="25" s="1"/>
  <c r="B24" i="25" s="1"/>
  <c r="O24" i="19" s="1"/>
  <c r="AQ23" i="25"/>
  <c r="AT21" i="25"/>
  <c r="F21" i="25" s="1"/>
  <c r="BF21" i="19" s="1"/>
  <c r="BU20" i="19"/>
  <c r="AX21" i="25" s="1"/>
  <c r="J21" i="25" s="1"/>
  <c r="U21" i="19" s="1"/>
  <c r="AH21" i="19" s="1"/>
  <c r="H21" i="19" s="1"/>
  <c r="R21" i="22" s="1"/>
  <c r="H21" i="25"/>
  <c r="AB22" i="25" s="1"/>
  <c r="AV22" i="25" s="1"/>
  <c r="AW21" i="25"/>
  <c r="M20" i="19"/>
  <c r="AJ22" i="19"/>
  <c r="J22" i="19" s="1"/>
  <c r="AI22" i="19"/>
  <c r="I22" i="19" s="1"/>
  <c r="S22" i="22" s="1"/>
  <c r="AB23" i="19"/>
  <c r="B23" i="19" s="1"/>
  <c r="L23" i="22" s="1"/>
  <c r="AC162" i="20"/>
  <c r="BJ169" i="19" l="1"/>
  <c r="W169" i="19"/>
  <c r="AG170" i="25"/>
  <c r="AZ170" i="20" s="1"/>
  <c r="CA164" i="19"/>
  <c r="BH164" i="25"/>
  <c r="T164" i="25" s="1"/>
  <c r="BC166" i="25"/>
  <c r="O166" i="25" s="1"/>
  <c r="AI167" i="25" s="1"/>
  <c r="BB168" i="25" s="1"/>
  <c r="BX164" i="19"/>
  <c r="BD165" i="25" s="1"/>
  <c r="P165" i="25" s="1"/>
  <c r="X165" i="19" s="1"/>
  <c r="BE164" i="25"/>
  <c r="Q164" i="25" s="1"/>
  <c r="AK165" i="25" s="1"/>
  <c r="BB165" i="20" s="1"/>
  <c r="BI164" i="25"/>
  <c r="U164" i="25" s="1"/>
  <c r="AO165" i="25" s="1"/>
  <c r="L170" i="25"/>
  <c r="C23" i="25"/>
  <c r="Q22" i="19"/>
  <c r="AD22" i="19" s="1"/>
  <c r="D22" i="19" s="1"/>
  <c r="N22" i="22" s="1"/>
  <c r="X23" i="25"/>
  <c r="AU23" i="20" s="1"/>
  <c r="V25" i="25"/>
  <c r="AE22" i="25"/>
  <c r="AY22" i="20" s="1"/>
  <c r="Z22" i="25"/>
  <c r="AV22" i="20" s="1"/>
  <c r="S21" i="19"/>
  <c r="AF21" i="19" s="1"/>
  <c r="F21" i="19" s="1"/>
  <c r="Y23" i="25"/>
  <c r="R22" i="19"/>
  <c r="E22" i="19" s="1"/>
  <c r="O22" i="22" s="1"/>
  <c r="H22" i="25"/>
  <c r="AA22" i="25"/>
  <c r="AW22" i="20" s="1"/>
  <c r="I21" i="25"/>
  <c r="AL20" i="19"/>
  <c r="AB24" i="19"/>
  <c r="B24" i="19" s="1"/>
  <c r="L24" i="22" s="1"/>
  <c r="BH22" i="19"/>
  <c r="AK22" i="19"/>
  <c r="K22" i="19" s="1"/>
  <c r="K163" i="20"/>
  <c r="BV163" i="20" s="1"/>
  <c r="BX165" i="19" l="1"/>
  <c r="BI165" i="25"/>
  <c r="U165" i="25" s="1"/>
  <c r="AJ166" i="25"/>
  <c r="BV170" i="19"/>
  <c r="V170" i="19"/>
  <c r="BI170" i="19"/>
  <c r="AF171" i="25"/>
  <c r="N168" i="25"/>
  <c r="AH169" i="25" s="1"/>
  <c r="BA169" i="20" s="1"/>
  <c r="Y164" i="19"/>
  <c r="AL165" i="25"/>
  <c r="AR23" i="25"/>
  <c r="AS23" i="25"/>
  <c r="E23" i="25" s="1"/>
  <c r="BE23" i="19" s="1"/>
  <c r="BQ23" i="19"/>
  <c r="P23" i="19"/>
  <c r="C23" i="19" s="1"/>
  <c r="M23" i="22" s="1"/>
  <c r="BC23" i="19"/>
  <c r="W24" i="25"/>
  <c r="AY22" i="25"/>
  <c r="K22" i="25" s="1"/>
  <c r="AU22" i="25"/>
  <c r="G22" i="25" s="1"/>
  <c r="AB23" i="25" s="1"/>
  <c r="BS22" i="19"/>
  <c r="T21" i="19"/>
  <c r="AG21" i="19" s="1"/>
  <c r="G21" i="19" s="1"/>
  <c r="BG21" i="19"/>
  <c r="AC22" i="25"/>
  <c r="AD22" i="25"/>
  <c r="L20" i="19"/>
  <c r="T20" i="22" s="1"/>
  <c r="V21" i="22"/>
  <c r="AN21" i="19"/>
  <c r="AK23" i="19"/>
  <c r="K23" i="19" s="1"/>
  <c r="AJ23" i="19"/>
  <c r="J23" i="19" s="1"/>
  <c r="AI23" i="19"/>
  <c r="I23" i="19" s="1"/>
  <c r="S23" i="22" s="1"/>
  <c r="AL163" i="20"/>
  <c r="BM163" i="19" s="1"/>
  <c r="BG164" i="25" s="1"/>
  <c r="BT22" i="19" l="1"/>
  <c r="AX22" i="20"/>
  <c r="BD166" i="25"/>
  <c r="P166" i="25" s="1"/>
  <c r="X166" i="19" s="1"/>
  <c r="S164" i="25"/>
  <c r="BC167" i="25"/>
  <c r="BY165" i="19"/>
  <c r="BF165" i="25"/>
  <c r="R165" i="25" s="1"/>
  <c r="BW169" i="19"/>
  <c r="BA170" i="25" s="1"/>
  <c r="AZ171" i="25"/>
  <c r="BO24" i="19"/>
  <c r="AP25" i="25" s="1"/>
  <c r="AQ24" i="25"/>
  <c r="R23" i="19"/>
  <c r="E23" i="19" s="1"/>
  <c r="O23" i="22" s="1"/>
  <c r="D23" i="25"/>
  <c r="AT22" i="25"/>
  <c r="F22" i="25" s="1"/>
  <c r="BU21" i="19"/>
  <c r="AX22" i="25" s="1"/>
  <c r="AV23" i="25"/>
  <c r="H23" i="25" s="1"/>
  <c r="AW22" i="25"/>
  <c r="I22" i="25" s="1"/>
  <c r="BG22" i="19" s="1"/>
  <c r="N21" i="19"/>
  <c r="U21" i="22" s="1"/>
  <c r="X22" i="22"/>
  <c r="M21" i="19"/>
  <c r="BH23" i="19"/>
  <c r="AC163" i="20"/>
  <c r="AJ167" i="25" l="1"/>
  <c r="Z165" i="19"/>
  <c r="M170" i="25"/>
  <c r="BJ170" i="19" s="1"/>
  <c r="AA164" i="19"/>
  <c r="BK164" i="19"/>
  <c r="BE165" i="25" s="1"/>
  <c r="AM165" i="25"/>
  <c r="BC165" i="20" s="1"/>
  <c r="AN165" i="25"/>
  <c r="L171" i="25"/>
  <c r="O167" i="25"/>
  <c r="AI168" i="25" s="1"/>
  <c r="BC168" i="25" s="1"/>
  <c r="Q23" i="19"/>
  <c r="AD23" i="19" s="1"/>
  <c r="D23" i="19" s="1"/>
  <c r="N23" i="22" s="1"/>
  <c r="X24" i="25"/>
  <c r="AU24" i="20" s="1"/>
  <c r="B25" i="25"/>
  <c r="C24" i="25"/>
  <c r="Y24" i="25"/>
  <c r="BQ24" i="19" s="1"/>
  <c r="AA23" i="25"/>
  <c r="BF22" i="19"/>
  <c r="AC23" i="25"/>
  <c r="AW23" i="25" s="1"/>
  <c r="I23" i="25" s="1"/>
  <c r="BG23" i="19" s="1"/>
  <c r="T22" i="19"/>
  <c r="AG22" i="19" s="1"/>
  <c r="G22" i="19" s="1"/>
  <c r="Z23" i="25"/>
  <c r="AV23" i="20" s="1"/>
  <c r="S22" i="19"/>
  <c r="AF22" i="19" s="1"/>
  <c r="F22" i="19" s="1"/>
  <c r="J22" i="25"/>
  <c r="U22" i="19" s="1"/>
  <c r="AH22" i="19" s="1"/>
  <c r="H22" i="19" s="1"/>
  <c r="R22" i="22" s="1"/>
  <c r="AL21" i="19"/>
  <c r="AK24" i="19"/>
  <c r="K24" i="19" s="1"/>
  <c r="AI24" i="19"/>
  <c r="I24" i="19" s="1"/>
  <c r="S24" i="22" s="1"/>
  <c r="K164" i="20"/>
  <c r="BV164" i="20" s="1"/>
  <c r="BS23" i="19" l="1"/>
  <c r="AW23" i="20"/>
  <c r="W170" i="19"/>
  <c r="AG171" i="25"/>
  <c r="AZ171" i="20" s="1"/>
  <c r="O168" i="25"/>
  <c r="AI169" i="25" s="1"/>
  <c r="BB169" i="25"/>
  <c r="Q165" i="25"/>
  <c r="AS24" i="25"/>
  <c r="E24" i="25" s="1"/>
  <c r="BE24" i="19" s="1"/>
  <c r="V171" i="19"/>
  <c r="BI171" i="19"/>
  <c r="AF172" i="25"/>
  <c r="CA165" i="19"/>
  <c r="BH165" i="25"/>
  <c r="O25" i="19"/>
  <c r="AB25" i="19" s="1"/>
  <c r="B25" i="19" s="1"/>
  <c r="L25" i="22" s="1"/>
  <c r="V26" i="25"/>
  <c r="AR24" i="25"/>
  <c r="BC24" i="19"/>
  <c r="P24" i="19"/>
  <c r="C24" i="19" s="1"/>
  <c r="M24" i="22" s="1"/>
  <c r="W25" i="25"/>
  <c r="AU23" i="25"/>
  <c r="G23" i="25" s="1"/>
  <c r="AC24" i="25"/>
  <c r="T23" i="19"/>
  <c r="AG23" i="19" s="1"/>
  <c r="G23" i="19" s="1"/>
  <c r="AD23" i="25"/>
  <c r="AE23" i="25"/>
  <c r="AY23" i="20" s="1"/>
  <c r="L21" i="19"/>
  <c r="T21" i="22" s="1"/>
  <c r="V22" i="22"/>
  <c r="AN22" i="19"/>
  <c r="AJ24" i="19"/>
  <c r="J24" i="19" s="1"/>
  <c r="AL164" i="20"/>
  <c r="BM164" i="19" s="1"/>
  <c r="BG165" i="25" s="1"/>
  <c r="BT23" i="19" l="1"/>
  <c r="AX23" i="20"/>
  <c r="S165" i="25"/>
  <c r="N169" i="25"/>
  <c r="AH170" i="25" s="1"/>
  <c r="Y165" i="19"/>
  <c r="AK166" i="25"/>
  <c r="BB166" i="20" s="1"/>
  <c r="AL166" i="25"/>
  <c r="BV171" i="19"/>
  <c r="AZ172" i="25" s="1"/>
  <c r="L172" i="25" s="1"/>
  <c r="T165" i="25"/>
  <c r="D24" i="25"/>
  <c r="Y25" i="25" s="1"/>
  <c r="BQ25" i="19" s="1"/>
  <c r="BO25" i="19"/>
  <c r="AP26" i="25" s="1"/>
  <c r="AQ25" i="25"/>
  <c r="AT23" i="25"/>
  <c r="F23" i="25" s="1"/>
  <c r="BF23" i="19" s="1"/>
  <c r="BU22" i="19"/>
  <c r="AX23" i="25" s="1"/>
  <c r="R24" i="19"/>
  <c r="E24" i="19" s="1"/>
  <c r="O24" i="22" s="1"/>
  <c r="AY23" i="25"/>
  <c r="AW24" i="25"/>
  <c r="I24" i="25" s="1"/>
  <c r="AB24" i="25"/>
  <c r="AL22" i="19"/>
  <c r="L22" i="19" s="1"/>
  <c r="T22" i="22" s="1"/>
  <c r="N22" i="19"/>
  <c r="U22" i="22" s="1"/>
  <c r="X23" i="22"/>
  <c r="M22" i="19"/>
  <c r="AI25" i="19"/>
  <c r="I25" i="19" s="1"/>
  <c r="S25" i="22" s="1"/>
  <c r="AC164" i="20"/>
  <c r="BB170" i="25" l="1"/>
  <c r="N170" i="25" s="1"/>
  <c r="AH171" i="25" s="1"/>
  <c r="BA171" i="20" s="1"/>
  <c r="BA170" i="20"/>
  <c r="BI172" i="19"/>
  <c r="V172" i="19"/>
  <c r="AF173" i="25"/>
  <c r="BW170" i="19"/>
  <c r="BA171" i="25" s="1"/>
  <c r="BK165" i="19"/>
  <c r="AA165" i="19"/>
  <c r="AM166" i="25"/>
  <c r="BC166" i="20" s="1"/>
  <c r="AO166" i="25"/>
  <c r="AN166" i="25"/>
  <c r="BY166" i="19"/>
  <c r="BF166" i="25"/>
  <c r="BX166" i="19"/>
  <c r="BD167" i="25" s="1"/>
  <c r="P167" i="25" s="1"/>
  <c r="BE166" i="25"/>
  <c r="B26" i="25"/>
  <c r="C25" i="25"/>
  <c r="Q24" i="19"/>
  <c r="AD24" i="19" s="1"/>
  <c r="D24" i="19" s="1"/>
  <c r="N24" i="22" s="1"/>
  <c r="X25" i="25"/>
  <c r="AU25" i="20" s="1"/>
  <c r="T24" i="19"/>
  <c r="BG24" i="19"/>
  <c r="V23" i="22"/>
  <c r="BU23" i="19" s="1"/>
  <c r="Z24" i="25"/>
  <c r="S23" i="19"/>
  <c r="AF23" i="19" s="1"/>
  <c r="F23" i="19" s="1"/>
  <c r="AV24" i="25"/>
  <c r="H24" i="25" s="1"/>
  <c r="AC25" i="25" s="1"/>
  <c r="AA24" i="25"/>
  <c r="J23" i="25"/>
  <c r="K23" i="25"/>
  <c r="BH24" i="19"/>
  <c r="AI26" i="19"/>
  <c r="I26" i="19" s="1"/>
  <c r="S26" i="22" s="1"/>
  <c r="AK25" i="19"/>
  <c r="K25" i="19" s="1"/>
  <c r="K165" i="20"/>
  <c r="BV165" i="20" s="1"/>
  <c r="BS24" i="19" l="1"/>
  <c r="AW24" i="20"/>
  <c r="AS25" i="25"/>
  <c r="E25" i="25" s="1"/>
  <c r="BE25" i="19" s="1"/>
  <c r="AV24" i="20"/>
  <c r="CA166" i="19"/>
  <c r="BH166" i="25"/>
  <c r="BI166" i="25"/>
  <c r="X167" i="19"/>
  <c r="AJ168" i="25"/>
  <c r="Q166" i="25"/>
  <c r="R166" i="25"/>
  <c r="BW171" i="19"/>
  <c r="M171" i="25"/>
  <c r="P25" i="19"/>
  <c r="C25" i="19" s="1"/>
  <c r="M25" i="22" s="1"/>
  <c r="BC25" i="19"/>
  <c r="W26" i="25"/>
  <c r="AR25" i="25"/>
  <c r="O26" i="19"/>
  <c r="AB26" i="19" s="1"/>
  <c r="B26" i="19" s="1"/>
  <c r="L26" i="22" s="1"/>
  <c r="V27" i="25"/>
  <c r="AT24" i="25"/>
  <c r="F24" i="25" s="1"/>
  <c r="BF24" i="19" s="1"/>
  <c r="AE24" i="25"/>
  <c r="AY24" i="20" s="1"/>
  <c r="AD24" i="25"/>
  <c r="AX24" i="20" s="1"/>
  <c r="U23" i="19"/>
  <c r="AH23" i="19" s="1"/>
  <c r="H23" i="19" s="1"/>
  <c r="R23" i="22" s="1"/>
  <c r="AU24" i="25"/>
  <c r="G24" i="25" s="1"/>
  <c r="AJ25" i="19"/>
  <c r="J25" i="19" s="1"/>
  <c r="AG24" i="19"/>
  <c r="G24" i="19" s="1"/>
  <c r="AN23" i="19"/>
  <c r="M23" i="19"/>
  <c r="AL23" i="19"/>
  <c r="AL165" i="20"/>
  <c r="BM165" i="19" s="1"/>
  <c r="BG166" i="25" s="1"/>
  <c r="R25" i="19" l="1"/>
  <c r="E25" i="19" s="1"/>
  <c r="O25" i="22" s="1"/>
  <c r="S166" i="25"/>
  <c r="W171" i="19"/>
  <c r="AG172" i="25"/>
  <c r="AZ172" i="20" s="1"/>
  <c r="Z166" i="19"/>
  <c r="AL167" i="25"/>
  <c r="Y166" i="19"/>
  <c r="AK167" i="25"/>
  <c r="BB167" i="20" s="1"/>
  <c r="BJ171" i="19"/>
  <c r="BC169" i="25"/>
  <c r="U166" i="25"/>
  <c r="T166" i="25"/>
  <c r="BO26" i="19"/>
  <c r="AP27" i="25" s="1"/>
  <c r="AQ26" i="25"/>
  <c r="D25" i="25"/>
  <c r="AY24" i="25"/>
  <c r="K24" i="25" s="1"/>
  <c r="AX24" i="25"/>
  <c r="J24" i="25" s="1"/>
  <c r="U24" i="19" s="1"/>
  <c r="AH24" i="19" s="1"/>
  <c r="H24" i="19" s="1"/>
  <c r="R24" i="22" s="1"/>
  <c r="BT24" i="19"/>
  <c r="AW25" i="25"/>
  <c r="I25" i="25" s="1"/>
  <c r="Z25" i="25"/>
  <c r="AV25" i="20" s="1"/>
  <c r="S24" i="19"/>
  <c r="AF24" i="19" s="1"/>
  <c r="F24" i="19" s="1"/>
  <c r="AA25" i="25"/>
  <c r="AW25" i="20" s="1"/>
  <c r="AB25" i="25"/>
  <c r="AV25" i="25" s="1"/>
  <c r="H25" i="25" s="1"/>
  <c r="AK26" i="19"/>
  <c r="K26" i="19" s="1"/>
  <c r="N23" i="19"/>
  <c r="U23" i="22" s="1"/>
  <c r="X24" i="22"/>
  <c r="M24" i="19"/>
  <c r="L23" i="19"/>
  <c r="T23" i="22" s="1"/>
  <c r="V24" i="22"/>
  <c r="AI27" i="19"/>
  <c r="I27" i="19" s="1"/>
  <c r="S27" i="22" s="1"/>
  <c r="AC165" i="20"/>
  <c r="BU24" i="19" l="1"/>
  <c r="AN167" i="25"/>
  <c r="CA167" i="19" s="1"/>
  <c r="AO167" i="25"/>
  <c r="BI167" i="25" s="1"/>
  <c r="U167" i="25" s="1"/>
  <c r="BV172" i="19"/>
  <c r="AZ173" i="25" s="1"/>
  <c r="BA172" i="25"/>
  <c r="M172" i="25" s="1"/>
  <c r="O169" i="25"/>
  <c r="AI170" i="25" s="1"/>
  <c r="BH167" i="25"/>
  <c r="BY167" i="19"/>
  <c r="BF167" i="25"/>
  <c r="BK166" i="19"/>
  <c r="BE167" i="25" s="1"/>
  <c r="AA166" i="19"/>
  <c r="AM167" i="25"/>
  <c r="BC167" i="20" s="1"/>
  <c r="BX167" i="19"/>
  <c r="BD168" i="25" s="1"/>
  <c r="B27" i="25"/>
  <c r="Q25" i="19"/>
  <c r="AD25" i="19" s="1"/>
  <c r="D25" i="19" s="1"/>
  <c r="N25" i="22" s="1"/>
  <c r="Y26" i="25"/>
  <c r="BQ26" i="19" s="1"/>
  <c r="X26" i="25"/>
  <c r="AU26" i="20" s="1"/>
  <c r="C26" i="25"/>
  <c r="AU25" i="25"/>
  <c r="G25" i="25" s="1"/>
  <c r="AB26" i="25" s="1"/>
  <c r="AV26" i="25" s="1"/>
  <c r="BS25" i="19"/>
  <c r="AD25" i="25"/>
  <c r="AX25" i="20" s="1"/>
  <c r="T25" i="19"/>
  <c r="AG25" i="19" s="1"/>
  <c r="G25" i="19" s="1"/>
  <c r="BG25" i="19"/>
  <c r="AE25" i="25"/>
  <c r="AY25" i="20" s="1"/>
  <c r="AC26" i="25"/>
  <c r="AT25" i="25"/>
  <c r="BH25" i="19"/>
  <c r="M27" i="22"/>
  <c r="K166" i="20"/>
  <c r="BV166" i="20" s="1"/>
  <c r="Q167" i="25" l="1"/>
  <c r="W172" i="19"/>
  <c r="AG173" i="25"/>
  <c r="AZ173" i="20" s="1"/>
  <c r="P168" i="25"/>
  <c r="L173" i="25"/>
  <c r="BJ172" i="19"/>
  <c r="T167" i="25"/>
  <c r="R167" i="25"/>
  <c r="BB171" i="25"/>
  <c r="P26" i="19"/>
  <c r="C26" i="19" s="1"/>
  <c r="M26" i="22" s="1"/>
  <c r="BC26" i="19"/>
  <c r="W27" i="25"/>
  <c r="AS26" i="25"/>
  <c r="E26" i="25" s="1"/>
  <c r="AR26" i="25"/>
  <c r="O27" i="19"/>
  <c r="AB27" i="19" s="1"/>
  <c r="B27" i="19" s="1"/>
  <c r="L27" i="22" s="1"/>
  <c r="V28" i="25"/>
  <c r="AY25" i="25"/>
  <c r="K25" i="25" s="1"/>
  <c r="AX25" i="25"/>
  <c r="J25" i="25" s="1"/>
  <c r="U25" i="19" s="1"/>
  <c r="AH25" i="19" s="1"/>
  <c r="H25" i="19" s="1"/>
  <c r="R25" i="22" s="1"/>
  <c r="BT25" i="19"/>
  <c r="H26" i="25"/>
  <c r="AW26" i="25"/>
  <c r="I26" i="25" s="1"/>
  <c r="F25" i="25"/>
  <c r="AJ26" i="19"/>
  <c r="J26" i="19" s="1"/>
  <c r="AL24" i="19"/>
  <c r="AN24" i="19"/>
  <c r="AI28" i="19"/>
  <c r="I28" i="19" s="1"/>
  <c r="S28" i="22" s="1"/>
  <c r="AL166" i="20"/>
  <c r="BM166" i="19" s="1"/>
  <c r="BG167" i="25" s="1"/>
  <c r="BI173" i="19" l="1"/>
  <c r="V173" i="19"/>
  <c r="AF174" i="25"/>
  <c r="Z167" i="19"/>
  <c r="AL168" i="25"/>
  <c r="BV173" i="19"/>
  <c r="AO168" i="25"/>
  <c r="S167" i="25"/>
  <c r="AM168" i="25" s="1"/>
  <c r="BC168" i="20" s="1"/>
  <c r="X168" i="19"/>
  <c r="AJ169" i="25"/>
  <c r="N171" i="25"/>
  <c r="AH172" i="25" s="1"/>
  <c r="BA172" i="20" s="1"/>
  <c r="Y167" i="19"/>
  <c r="AK168" i="25"/>
  <c r="BB168" i="20" s="1"/>
  <c r="BO27" i="19"/>
  <c r="AQ27" i="25"/>
  <c r="BE26" i="19"/>
  <c r="R26" i="19"/>
  <c r="E26" i="19" s="1"/>
  <c r="O26" i="22" s="1"/>
  <c r="AP28" i="25"/>
  <c r="B28" i="25" s="1"/>
  <c r="O28" i="19" s="1"/>
  <c r="AB28" i="19" s="1"/>
  <c r="B28" i="19" s="1"/>
  <c r="L28" i="22" s="1"/>
  <c r="D26" i="25"/>
  <c r="AD26" i="25"/>
  <c r="AX26" i="20" s="1"/>
  <c r="AE26" i="25"/>
  <c r="AY26" i="20" s="1"/>
  <c r="S25" i="19"/>
  <c r="AF25" i="19" s="1"/>
  <c r="F25" i="19" s="1"/>
  <c r="BF25" i="19"/>
  <c r="T26" i="19"/>
  <c r="AG26" i="19" s="1"/>
  <c r="G26" i="19" s="1"/>
  <c r="BG26" i="19"/>
  <c r="AC27" i="25"/>
  <c r="Z26" i="25"/>
  <c r="AV26" i="20" s="1"/>
  <c r="AA26" i="25"/>
  <c r="BH26" i="19"/>
  <c r="L24" i="19"/>
  <c r="T24" i="22" s="1"/>
  <c r="V25" i="22"/>
  <c r="N24" i="19"/>
  <c r="U24" i="22" s="1"/>
  <c r="X25" i="22"/>
  <c r="AC166" i="20"/>
  <c r="BS26" i="19" l="1"/>
  <c r="AW26" i="20"/>
  <c r="AW27" i="25"/>
  <c r="I27" i="25" s="1"/>
  <c r="BW172" i="19"/>
  <c r="BA173" i="25" s="1"/>
  <c r="BK167" i="19"/>
  <c r="BE168" i="25" s="1"/>
  <c r="Q168" i="25" s="1"/>
  <c r="AA167" i="19"/>
  <c r="AZ174" i="25"/>
  <c r="L174" i="25" s="1"/>
  <c r="AF175" i="25" s="1"/>
  <c r="BX168" i="19"/>
  <c r="BD169" i="25" s="1"/>
  <c r="BC170" i="25"/>
  <c r="BI168" i="25"/>
  <c r="U168" i="25" s="1"/>
  <c r="BY168" i="19"/>
  <c r="BF168" i="25"/>
  <c r="R168" i="25" s="1"/>
  <c r="AN168" i="25"/>
  <c r="AY26" i="25"/>
  <c r="K26" i="25" s="1"/>
  <c r="BU25" i="19"/>
  <c r="AX26" i="25" s="1"/>
  <c r="J26" i="25" s="1"/>
  <c r="U26" i="19" s="1"/>
  <c r="AH26" i="19" s="1"/>
  <c r="H26" i="19" s="1"/>
  <c r="R26" i="22" s="1"/>
  <c r="C27" i="25"/>
  <c r="Q26" i="19"/>
  <c r="AD26" i="19" s="1"/>
  <c r="D26" i="19" s="1"/>
  <c r="N26" i="22" s="1"/>
  <c r="X27" i="25"/>
  <c r="AU27" i="20" s="1"/>
  <c r="Y27" i="25"/>
  <c r="BQ27" i="19" s="1"/>
  <c r="V29" i="25"/>
  <c r="BT26" i="19"/>
  <c r="AU26" i="25"/>
  <c r="G26" i="25" s="1"/>
  <c r="AJ27" i="19"/>
  <c r="J27" i="19" s="1"/>
  <c r="AK27" i="19"/>
  <c r="K27" i="19" s="1"/>
  <c r="AT26" i="25"/>
  <c r="M25" i="19"/>
  <c r="AI29" i="19"/>
  <c r="I29" i="19" s="1"/>
  <c r="S29" i="22" s="1"/>
  <c r="K167" i="20"/>
  <c r="BV167" i="20" s="1"/>
  <c r="AS27" i="25" l="1"/>
  <c r="Z168" i="19"/>
  <c r="AL169" i="25"/>
  <c r="BF169" i="25" s="1"/>
  <c r="Y168" i="19"/>
  <c r="AK169" i="25"/>
  <c r="BB169" i="20" s="1"/>
  <c r="CA168" i="19"/>
  <c r="BH168" i="25"/>
  <c r="O170" i="25"/>
  <c r="AI171" i="25" s="1"/>
  <c r="M173" i="25"/>
  <c r="BJ173" i="19" s="1"/>
  <c r="P169" i="25"/>
  <c r="BI174" i="19"/>
  <c r="V174" i="19"/>
  <c r="AR27" i="25"/>
  <c r="P27" i="19"/>
  <c r="C27" i="19" s="1"/>
  <c r="BC27" i="19"/>
  <c r="W28" i="25"/>
  <c r="AE27" i="25"/>
  <c r="AY27" i="20" s="1"/>
  <c r="AD27" i="25"/>
  <c r="T27" i="19"/>
  <c r="BG27" i="19"/>
  <c r="F26" i="25"/>
  <c r="BF26" i="19" s="1"/>
  <c r="AB27" i="25"/>
  <c r="AV27" i="25" s="1"/>
  <c r="E27" i="25"/>
  <c r="BE27" i="19" s="1"/>
  <c r="AK28" i="19"/>
  <c r="K28" i="19" s="1"/>
  <c r="AL25" i="19"/>
  <c r="AN25" i="19"/>
  <c r="M29" i="22"/>
  <c r="AL167" i="20"/>
  <c r="BM167" i="19" s="1"/>
  <c r="BG168" i="25" s="1"/>
  <c r="BT27" i="19" l="1"/>
  <c r="AX27" i="20"/>
  <c r="S168" i="25"/>
  <c r="BX169" i="19"/>
  <c r="BY169" i="19"/>
  <c r="W173" i="19"/>
  <c r="AG174" i="25"/>
  <c r="AZ174" i="20" s="1"/>
  <c r="X169" i="19"/>
  <c r="AJ170" i="25"/>
  <c r="BB172" i="25"/>
  <c r="N172" i="25" s="1"/>
  <c r="AH173" i="25" s="1"/>
  <c r="BA173" i="20" s="1"/>
  <c r="T168" i="25"/>
  <c r="R169" i="25"/>
  <c r="Z169" i="19" s="1"/>
  <c r="BO28" i="19"/>
  <c r="AP29" i="25" s="1"/>
  <c r="AQ28" i="25"/>
  <c r="D27" i="25"/>
  <c r="Y28" i="25" s="1"/>
  <c r="BQ28" i="19" s="1"/>
  <c r="AY27" i="25"/>
  <c r="K27" i="25" s="1"/>
  <c r="R27" i="19"/>
  <c r="E27" i="19" s="1"/>
  <c r="O27" i="22" s="1"/>
  <c r="Z27" i="25"/>
  <c r="AV27" i="20" s="1"/>
  <c r="S26" i="19"/>
  <c r="AF26" i="19" s="1"/>
  <c r="F26" i="19" s="1"/>
  <c r="H27" i="25"/>
  <c r="AA27" i="25"/>
  <c r="L25" i="19"/>
  <c r="T25" i="22" s="1"/>
  <c r="V26" i="22"/>
  <c r="N25" i="19"/>
  <c r="U25" i="22" s="1"/>
  <c r="X26" i="22"/>
  <c r="AI30" i="19"/>
  <c r="I30" i="19" s="1"/>
  <c r="S30" i="22" s="1"/>
  <c r="AC167" i="20"/>
  <c r="BS27" i="19" l="1"/>
  <c r="AW27" i="20"/>
  <c r="BD170" i="25"/>
  <c r="BC171" i="25"/>
  <c r="AN169" i="25"/>
  <c r="AO169" i="25"/>
  <c r="AA168" i="19"/>
  <c r="BK168" i="19"/>
  <c r="BE169" i="25" s="1"/>
  <c r="AM169" i="25"/>
  <c r="BC169" i="20" s="1"/>
  <c r="BW173" i="19"/>
  <c r="BA174" i="25" s="1"/>
  <c r="M174" i="25" s="1"/>
  <c r="W174" i="19" s="1"/>
  <c r="BV174" i="19"/>
  <c r="AZ175" i="25" s="1"/>
  <c r="L175" i="25" s="1"/>
  <c r="C28" i="25"/>
  <c r="Q27" i="19"/>
  <c r="AD27" i="19" s="1"/>
  <c r="D27" i="19" s="1"/>
  <c r="N27" i="22" s="1"/>
  <c r="X28" i="25"/>
  <c r="AU28" i="20" s="1"/>
  <c r="B29" i="25"/>
  <c r="BU26" i="19"/>
  <c r="AX27" i="25" s="1"/>
  <c r="J27" i="25" s="1"/>
  <c r="AD28" i="25" s="1"/>
  <c r="AS28" i="25"/>
  <c r="E28" i="25" s="1"/>
  <c r="BE28" i="19" s="1"/>
  <c r="AU27" i="25"/>
  <c r="G27" i="25" s="1"/>
  <c r="AB28" i="25" s="1"/>
  <c r="AV28" i="25" s="1"/>
  <c r="AC28" i="25"/>
  <c r="AT27" i="25"/>
  <c r="BH27" i="19"/>
  <c r="AG27" i="19"/>
  <c r="G27" i="19" s="1"/>
  <c r="M26" i="19"/>
  <c r="K168" i="20"/>
  <c r="BV168" i="20" s="1"/>
  <c r="BT28" i="19" l="1"/>
  <c r="AX28" i="20"/>
  <c r="AG175" i="25"/>
  <c r="AZ175" i="20" s="1"/>
  <c r="BJ174" i="19"/>
  <c r="O171" i="25"/>
  <c r="AI172" i="25" s="1"/>
  <c r="BI169" i="25"/>
  <c r="AF176" i="25"/>
  <c r="V175" i="19"/>
  <c r="BI175" i="19"/>
  <c r="Q169" i="25"/>
  <c r="CA169" i="19"/>
  <c r="BH169" i="25"/>
  <c r="P170" i="25"/>
  <c r="AR28" i="25"/>
  <c r="O29" i="19"/>
  <c r="AB29" i="19" s="1"/>
  <c r="B29" i="19" s="1"/>
  <c r="L29" i="22" s="1"/>
  <c r="V30" i="25"/>
  <c r="BC28" i="19"/>
  <c r="P28" i="19"/>
  <c r="C28" i="19" s="1"/>
  <c r="M28" i="22" s="1"/>
  <c r="W29" i="25"/>
  <c r="U27" i="19"/>
  <c r="AH27" i="19" s="1"/>
  <c r="H27" i="19" s="1"/>
  <c r="R27" i="22" s="1"/>
  <c r="AE28" i="25"/>
  <c r="AY28" i="20" s="1"/>
  <c r="R28" i="19"/>
  <c r="E28" i="19" s="1"/>
  <c r="O28" i="22" s="1"/>
  <c r="H28" i="25"/>
  <c r="F27" i="25"/>
  <c r="BF27" i="19" s="1"/>
  <c r="AW28" i="25"/>
  <c r="AJ28" i="19"/>
  <c r="J28" i="19" s="1"/>
  <c r="AN26" i="19"/>
  <c r="AL26" i="19"/>
  <c r="AI31" i="19"/>
  <c r="I31" i="19" s="1"/>
  <c r="S31" i="22" s="1"/>
  <c r="AL168" i="20"/>
  <c r="BM168" i="19" s="1"/>
  <c r="BG169" i="25" s="1"/>
  <c r="S169" i="25" l="1"/>
  <c r="X170" i="19"/>
  <c r="AJ171" i="25"/>
  <c r="Y169" i="19"/>
  <c r="AK170" i="25"/>
  <c r="BB170" i="20" s="1"/>
  <c r="AL170" i="25"/>
  <c r="T169" i="25"/>
  <c r="U169" i="25"/>
  <c r="BB173" i="25"/>
  <c r="BV175" i="19"/>
  <c r="AZ176" i="25" s="1"/>
  <c r="AY28" i="25"/>
  <c r="K28" i="25" s="1"/>
  <c r="BO29" i="19"/>
  <c r="AP30" i="25" s="1"/>
  <c r="B30" i="25" s="1"/>
  <c r="AQ29" i="25"/>
  <c r="D28" i="25"/>
  <c r="Z28" i="25"/>
  <c r="AV28" i="20" s="1"/>
  <c r="S27" i="19"/>
  <c r="AF27" i="19" s="1"/>
  <c r="F27" i="19" s="1"/>
  <c r="AA28" i="25"/>
  <c r="I28" i="25"/>
  <c r="L26" i="19"/>
  <c r="T26" i="22" s="1"/>
  <c r="V27" i="22"/>
  <c r="N26" i="19"/>
  <c r="U26" i="22" s="1"/>
  <c r="X27" i="22"/>
  <c r="AC168" i="20"/>
  <c r="BS28" i="19" l="1"/>
  <c r="AW28" i="20"/>
  <c r="AN170" i="25"/>
  <c r="BH170" i="25" s="1"/>
  <c r="AO170" i="25"/>
  <c r="BI170" i="25" s="1"/>
  <c r="L176" i="25"/>
  <c r="BC172" i="25"/>
  <c r="T170" i="25"/>
  <c r="CA170" i="19"/>
  <c r="BY170" i="19"/>
  <c r="BF170" i="25"/>
  <c r="R170" i="25" s="1"/>
  <c r="N173" i="25"/>
  <c r="AH174" i="25" s="1"/>
  <c r="BA174" i="20" s="1"/>
  <c r="BX170" i="19"/>
  <c r="BD171" i="25" s="1"/>
  <c r="AA169" i="19"/>
  <c r="BK169" i="19"/>
  <c r="BE170" i="25" s="1"/>
  <c r="AM170" i="25"/>
  <c r="BC170" i="20" s="1"/>
  <c r="O30" i="19"/>
  <c r="AB30" i="19" s="1"/>
  <c r="B30" i="19" s="1"/>
  <c r="L30" i="22" s="1"/>
  <c r="V31" i="25"/>
  <c r="Q28" i="19"/>
  <c r="AD28" i="19" s="1"/>
  <c r="D28" i="19" s="1"/>
  <c r="N28" i="22" s="1"/>
  <c r="X29" i="25"/>
  <c r="AU29" i="20" s="1"/>
  <c r="Y29" i="25"/>
  <c r="C29" i="25"/>
  <c r="BU27" i="19"/>
  <c r="AX28" i="25" s="1"/>
  <c r="J28" i="25" s="1"/>
  <c r="U28" i="19" s="1"/>
  <c r="AH28" i="19" s="1"/>
  <c r="H28" i="19" s="1"/>
  <c r="R28" i="22" s="1"/>
  <c r="T28" i="19"/>
  <c r="AG28" i="19" s="1"/>
  <c r="G28" i="19" s="1"/>
  <c r="BG28" i="19"/>
  <c r="AT28" i="25"/>
  <c r="AC29" i="25"/>
  <c r="AU28" i="25"/>
  <c r="G28" i="25" s="1"/>
  <c r="AK29" i="19"/>
  <c r="K29" i="19" s="1"/>
  <c r="BH28" i="19"/>
  <c r="M27" i="19"/>
  <c r="AI32" i="19"/>
  <c r="I32" i="19" s="1"/>
  <c r="S32" i="22" s="1"/>
  <c r="K169" i="20"/>
  <c r="BV169" i="20" s="1"/>
  <c r="U170" i="25" l="1"/>
  <c r="AO171" i="25" s="1"/>
  <c r="BI171" i="25" s="1"/>
  <c r="U171" i="25" s="1"/>
  <c r="P171" i="25"/>
  <c r="Z170" i="19"/>
  <c r="Q170" i="25"/>
  <c r="AL171" i="25" s="1"/>
  <c r="BW174" i="19"/>
  <c r="BA175" i="25" s="1"/>
  <c r="M175" i="25" s="1"/>
  <c r="V176" i="19"/>
  <c r="BI176" i="19"/>
  <c r="AF177" i="25"/>
  <c r="O172" i="25"/>
  <c r="AI173" i="25" s="1"/>
  <c r="BB174" i="25" s="1"/>
  <c r="N174" i="25" s="1"/>
  <c r="AH175" i="25" s="1"/>
  <c r="BA175" i="20" s="1"/>
  <c r="BC29" i="19"/>
  <c r="P29" i="19"/>
  <c r="C29" i="19" s="1"/>
  <c r="W30" i="25"/>
  <c r="BQ29" i="19"/>
  <c r="AS29" i="25"/>
  <c r="E29" i="25" s="1"/>
  <c r="BE29" i="19" s="1"/>
  <c r="AR29" i="25"/>
  <c r="AD29" i="25"/>
  <c r="AE29" i="25"/>
  <c r="AY29" i="20" s="1"/>
  <c r="R29" i="19"/>
  <c r="E29" i="19" s="1"/>
  <c r="O29" i="22" s="1"/>
  <c r="AB29" i="25"/>
  <c r="AW29" i="25"/>
  <c r="I29" i="25" s="1"/>
  <c r="F28" i="25"/>
  <c r="BF28" i="19" s="1"/>
  <c r="AJ29" i="19"/>
  <c r="J29" i="19" s="1"/>
  <c r="AN27" i="19"/>
  <c r="AL27" i="19"/>
  <c r="M32" i="22"/>
  <c r="AL169" i="20"/>
  <c r="BM169" i="19" s="1"/>
  <c r="BG170" i="25" s="1"/>
  <c r="S170" i="25" s="1"/>
  <c r="BT29" i="19" l="1"/>
  <c r="AX29" i="20"/>
  <c r="AY29" i="25"/>
  <c r="K29" i="25" s="1"/>
  <c r="BY171" i="19"/>
  <c r="BF171" i="25"/>
  <c r="BW175" i="19"/>
  <c r="AA170" i="19"/>
  <c r="BK170" i="19"/>
  <c r="AN171" i="25"/>
  <c r="AM171" i="25"/>
  <c r="BC171" i="20" s="1"/>
  <c r="BJ175" i="19"/>
  <c r="W175" i="19"/>
  <c r="AG176" i="25"/>
  <c r="AZ176" i="20" s="1"/>
  <c r="Y170" i="19"/>
  <c r="AK171" i="25"/>
  <c r="BB171" i="20" s="1"/>
  <c r="X171" i="19"/>
  <c r="AJ172" i="25"/>
  <c r="BO30" i="19"/>
  <c r="AP31" i="25" s="1"/>
  <c r="AQ30" i="25"/>
  <c r="D29" i="25"/>
  <c r="T29" i="19"/>
  <c r="BG29" i="19"/>
  <c r="Z29" i="25"/>
  <c r="AV29" i="20" s="1"/>
  <c r="S28" i="19"/>
  <c r="AF28" i="19" s="1"/>
  <c r="F28" i="19" s="1"/>
  <c r="AV29" i="25"/>
  <c r="AA29" i="25"/>
  <c r="L27" i="19"/>
  <c r="T27" i="22" s="1"/>
  <c r="V28" i="22"/>
  <c r="N27" i="19"/>
  <c r="U27" i="22" s="1"/>
  <c r="X28" i="22"/>
  <c r="AI33" i="19"/>
  <c r="I33" i="19" s="1"/>
  <c r="S33" i="22" s="1"/>
  <c r="AC169" i="20"/>
  <c r="BS29" i="19" l="1"/>
  <c r="AW29" i="20"/>
  <c r="BV176" i="19"/>
  <c r="AZ177" i="25" s="1"/>
  <c r="L177" i="25" s="1"/>
  <c r="BA176" i="25"/>
  <c r="BX171" i="19"/>
  <c r="BD172" i="25" s="1"/>
  <c r="BE171" i="25"/>
  <c r="BC173" i="25"/>
  <c r="CA171" i="19"/>
  <c r="BH171" i="25"/>
  <c r="R171" i="25"/>
  <c r="Z171" i="19" s="1"/>
  <c r="C30" i="25"/>
  <c r="Q29" i="19"/>
  <c r="AD29" i="19" s="1"/>
  <c r="D29" i="19" s="1"/>
  <c r="N29" i="22" s="1"/>
  <c r="X30" i="25"/>
  <c r="AU30" i="20" s="1"/>
  <c r="Y30" i="25"/>
  <c r="BQ30" i="19" s="1"/>
  <c r="B31" i="25"/>
  <c r="BU28" i="19"/>
  <c r="AX29" i="25" s="1"/>
  <c r="J29" i="25" s="1"/>
  <c r="U29" i="19" s="1"/>
  <c r="AH29" i="19" s="1"/>
  <c r="H29" i="19" s="1"/>
  <c r="R29" i="22" s="1"/>
  <c r="AU29" i="25"/>
  <c r="G29" i="25" s="1"/>
  <c r="H29" i="25"/>
  <c r="AT29" i="25"/>
  <c r="AK30" i="19"/>
  <c r="K30" i="19" s="1"/>
  <c r="AG29" i="19"/>
  <c r="G29" i="19" s="1"/>
  <c r="BH29" i="19"/>
  <c r="M28" i="19"/>
  <c r="K170" i="20"/>
  <c r="BV170" i="20" s="1"/>
  <c r="P172" i="25" l="1"/>
  <c r="T171" i="25"/>
  <c r="O173" i="25"/>
  <c r="AI174" i="25" s="1"/>
  <c r="Q171" i="25"/>
  <c r="M176" i="25"/>
  <c r="BJ176" i="19" s="1"/>
  <c r="V177" i="19"/>
  <c r="BI177" i="19"/>
  <c r="AF178" i="25"/>
  <c r="O31" i="19"/>
  <c r="AB31" i="19" s="1"/>
  <c r="B31" i="19" s="1"/>
  <c r="L31" i="22" s="1"/>
  <c r="V32" i="25"/>
  <c r="P30" i="19"/>
  <c r="C30" i="19" s="1"/>
  <c r="M30" i="22" s="1"/>
  <c r="BC30" i="19"/>
  <c r="W31" i="25"/>
  <c r="AR30" i="25"/>
  <c r="AS30" i="25"/>
  <c r="E30" i="25" s="1"/>
  <c r="AD30" i="25"/>
  <c r="AE30" i="25"/>
  <c r="AY30" i="20" s="1"/>
  <c r="AB30" i="25"/>
  <c r="AC30" i="25"/>
  <c r="F29" i="25"/>
  <c r="BF29" i="19" s="1"/>
  <c r="AJ30" i="19"/>
  <c r="J30" i="19" s="1"/>
  <c r="AN28" i="19"/>
  <c r="AL28" i="19"/>
  <c r="AI34" i="19"/>
  <c r="I34" i="19" s="1"/>
  <c r="S34" i="22" s="1"/>
  <c r="AL170" i="20"/>
  <c r="BM170" i="19" s="1"/>
  <c r="BG171" i="25" s="1"/>
  <c r="BT30" i="19" l="1"/>
  <c r="AX30" i="20"/>
  <c r="S171" i="25"/>
  <c r="AN172" i="25" s="1"/>
  <c r="BB175" i="25"/>
  <c r="N175" i="25" s="1"/>
  <c r="AH176" i="25" s="1"/>
  <c r="BA176" i="20" s="1"/>
  <c r="W176" i="19"/>
  <c r="AG177" i="25"/>
  <c r="AZ177" i="20" s="1"/>
  <c r="AY30" i="25"/>
  <c r="K30" i="25" s="1"/>
  <c r="AL172" i="25"/>
  <c r="Y171" i="19"/>
  <c r="AK172" i="25"/>
  <c r="BB172" i="20" s="1"/>
  <c r="AO172" i="25"/>
  <c r="X172" i="19"/>
  <c r="AJ173" i="25"/>
  <c r="BE30" i="19"/>
  <c r="R30" i="19"/>
  <c r="E30" i="19" s="1"/>
  <c r="O30" i="22" s="1"/>
  <c r="D30" i="25"/>
  <c r="BO31" i="19"/>
  <c r="AP32" i="25" s="1"/>
  <c r="B32" i="25" s="1"/>
  <c r="AQ31" i="25"/>
  <c r="Z30" i="25"/>
  <c r="AV30" i="20" s="1"/>
  <c r="S29" i="19"/>
  <c r="AF29" i="19" s="1"/>
  <c r="F29" i="19" s="1"/>
  <c r="AW30" i="25"/>
  <c r="AV30" i="25"/>
  <c r="AA30" i="25"/>
  <c r="L28" i="19"/>
  <c r="T28" i="22" s="1"/>
  <c r="V29" i="22"/>
  <c r="N28" i="19"/>
  <c r="U28" i="22" s="1"/>
  <c r="X29" i="22"/>
  <c r="AC170" i="20"/>
  <c r="BS30" i="19" l="1"/>
  <c r="AW30" i="20"/>
  <c r="BI172" i="25"/>
  <c r="BW176" i="19"/>
  <c r="BC174" i="25"/>
  <c r="O174" i="25" s="1"/>
  <c r="AI175" i="25" s="1"/>
  <c r="BX172" i="19"/>
  <c r="BD173" i="25" s="1"/>
  <c r="BV177" i="19"/>
  <c r="AZ178" i="25" s="1"/>
  <c r="L178" i="25" s="1"/>
  <c r="BA177" i="25"/>
  <c r="M177" i="25" s="1"/>
  <c r="W177" i="19" s="1"/>
  <c r="BK171" i="19"/>
  <c r="BE172" i="25" s="1"/>
  <c r="AA171" i="19"/>
  <c r="AM172" i="25"/>
  <c r="BC172" i="20" s="1"/>
  <c r="CA172" i="19"/>
  <c r="BH172" i="25"/>
  <c r="T172" i="25" s="1"/>
  <c r="BY172" i="19"/>
  <c r="BF172" i="25"/>
  <c r="BU29" i="19"/>
  <c r="AX30" i="25" s="1"/>
  <c r="J30" i="25" s="1"/>
  <c r="U30" i="19" s="1"/>
  <c r="AH30" i="19" s="1"/>
  <c r="H30" i="19" s="1"/>
  <c r="R30" i="22" s="1"/>
  <c r="O32" i="19"/>
  <c r="AB32" i="19" s="1"/>
  <c r="B32" i="19" s="1"/>
  <c r="L32" i="22" s="1"/>
  <c r="V33" i="25"/>
  <c r="C31" i="25"/>
  <c r="Q30" i="19"/>
  <c r="AD30" i="19" s="1"/>
  <c r="D30" i="19" s="1"/>
  <c r="N30" i="22" s="1"/>
  <c r="X31" i="25"/>
  <c r="AU31" i="20" s="1"/>
  <c r="Y31" i="25"/>
  <c r="BQ31" i="19" s="1"/>
  <c r="I30" i="25"/>
  <c r="AU30" i="25"/>
  <c r="G30" i="25" s="1"/>
  <c r="H30" i="25"/>
  <c r="AK31" i="19"/>
  <c r="K31" i="19" s="1"/>
  <c r="AT30" i="25"/>
  <c r="BH30" i="19"/>
  <c r="AN29" i="19"/>
  <c r="N29" i="19" s="1"/>
  <c r="U29" i="22" s="1"/>
  <c r="M29" i="19"/>
  <c r="AI35" i="19"/>
  <c r="I35" i="19" s="1"/>
  <c r="S35" i="22" s="1"/>
  <c r="K171" i="20"/>
  <c r="BV171" i="20" s="1"/>
  <c r="AE31" i="25" l="1"/>
  <c r="AY31" i="20" s="1"/>
  <c r="P173" i="25"/>
  <c r="Q172" i="25"/>
  <c r="BI178" i="19"/>
  <c r="V178" i="19"/>
  <c r="AF179" i="25"/>
  <c r="BB176" i="25"/>
  <c r="R172" i="25"/>
  <c r="BJ177" i="19"/>
  <c r="AG178" i="25"/>
  <c r="AZ178" i="20" s="1"/>
  <c r="U172" i="25"/>
  <c r="AO173" i="25" s="1"/>
  <c r="BI173" i="25" s="1"/>
  <c r="U173" i="25" s="1"/>
  <c r="BC31" i="19"/>
  <c r="P31" i="19"/>
  <c r="C31" i="19" s="1"/>
  <c r="M31" i="22" s="1"/>
  <c r="W32" i="25"/>
  <c r="AR31" i="25"/>
  <c r="D31" i="25" s="1"/>
  <c r="Q31" i="19" s="1"/>
  <c r="AD31" i="19" s="1"/>
  <c r="D31" i="19" s="1"/>
  <c r="N31" i="22" s="1"/>
  <c r="AS31" i="25"/>
  <c r="E31" i="25" s="1"/>
  <c r="T30" i="19"/>
  <c r="AG30" i="19" s="1"/>
  <c r="G30" i="19" s="1"/>
  <c r="BG30" i="19"/>
  <c r="F30" i="25"/>
  <c r="BF30" i="19" s="1"/>
  <c r="AB31" i="25"/>
  <c r="AV31" i="25" s="1"/>
  <c r="AC31" i="25"/>
  <c r="AD31" i="25"/>
  <c r="AL29" i="19"/>
  <c r="L29" i="19" s="1"/>
  <c r="T29" i="22" s="1"/>
  <c r="AJ31" i="19"/>
  <c r="J31" i="19" s="1"/>
  <c r="X30" i="22"/>
  <c r="M30" i="19"/>
  <c r="AI36" i="19"/>
  <c r="I36" i="19" s="1"/>
  <c r="S36" i="22" s="1"/>
  <c r="AL171" i="20"/>
  <c r="BM171" i="19" s="1"/>
  <c r="BG172" i="25" s="1"/>
  <c r="BT31" i="19" l="1"/>
  <c r="AX31" i="20"/>
  <c r="AY31" i="25"/>
  <c r="K31" i="25" s="1"/>
  <c r="X32" i="25"/>
  <c r="AU32" i="20" s="1"/>
  <c r="S172" i="25"/>
  <c r="Z172" i="19"/>
  <c r="AL173" i="25"/>
  <c r="Y172" i="19"/>
  <c r="AK173" i="25"/>
  <c r="BB173" i="20" s="1"/>
  <c r="BV178" i="19"/>
  <c r="AZ179" i="25" s="1"/>
  <c r="L179" i="25" s="1"/>
  <c r="AF180" i="25" s="1"/>
  <c r="X173" i="19"/>
  <c r="AJ174" i="25"/>
  <c r="N176" i="25"/>
  <c r="AH177" i="25" s="1"/>
  <c r="BA177" i="20" s="1"/>
  <c r="Y32" i="25"/>
  <c r="BQ32" i="19" s="1"/>
  <c r="BO32" i="19"/>
  <c r="AP33" i="25" s="1"/>
  <c r="AQ32" i="25"/>
  <c r="BE31" i="19"/>
  <c r="R31" i="19"/>
  <c r="E31" i="19" s="1"/>
  <c r="O31" i="22" s="1"/>
  <c r="V30" i="22"/>
  <c r="BU30" i="19" s="1"/>
  <c r="AX31" i="25" s="1"/>
  <c r="Z31" i="25"/>
  <c r="AV31" i="20" s="1"/>
  <c r="S30" i="19"/>
  <c r="AF30" i="19" s="1"/>
  <c r="F30" i="19" s="1"/>
  <c r="H31" i="25"/>
  <c r="AW31" i="25"/>
  <c r="AA31" i="25"/>
  <c r="AW31" i="20" s="1"/>
  <c r="AN30" i="19"/>
  <c r="N30" i="19" s="1"/>
  <c r="U30" i="22" s="1"/>
  <c r="AL30" i="19"/>
  <c r="L30" i="19" s="1"/>
  <c r="T30" i="22" s="1"/>
  <c r="AC171" i="20"/>
  <c r="AR32" i="25" l="1"/>
  <c r="D32" i="25" s="1"/>
  <c r="BX173" i="19"/>
  <c r="AS32" i="25"/>
  <c r="E32" i="25" s="1"/>
  <c r="BE32" i="19" s="1"/>
  <c r="BW177" i="19"/>
  <c r="BA178" i="25" s="1"/>
  <c r="BY173" i="19"/>
  <c r="BF173" i="25"/>
  <c r="BC175" i="25"/>
  <c r="BD174" i="25"/>
  <c r="P174" i="25" s="1"/>
  <c r="X174" i="19" s="1"/>
  <c r="BI179" i="19"/>
  <c r="V179" i="19"/>
  <c r="BK172" i="19"/>
  <c r="BE173" i="25" s="1"/>
  <c r="AA172" i="19"/>
  <c r="AN173" i="25"/>
  <c r="AM173" i="25"/>
  <c r="BC173" i="20" s="1"/>
  <c r="Q32" i="19"/>
  <c r="AD32" i="19" s="1"/>
  <c r="D32" i="19" s="1"/>
  <c r="N32" i="22" s="1"/>
  <c r="B33" i="25"/>
  <c r="C32" i="25"/>
  <c r="X33" i="25" s="1"/>
  <c r="AU33" i="20" s="1"/>
  <c r="AU31" i="25"/>
  <c r="G31" i="25" s="1"/>
  <c r="BS31" i="19"/>
  <c r="AT31" i="25"/>
  <c r="F31" i="25" s="1"/>
  <c r="BF31" i="19" s="1"/>
  <c r="I31" i="25"/>
  <c r="BG31" i="19" s="1"/>
  <c r="J31" i="25"/>
  <c r="U31" i="19" s="1"/>
  <c r="AH31" i="19" s="1"/>
  <c r="H31" i="19" s="1"/>
  <c r="R31" i="22" s="1"/>
  <c r="AK32" i="19"/>
  <c r="K32" i="19" s="1"/>
  <c r="X31" i="22"/>
  <c r="BH31" i="19"/>
  <c r="V31" i="22"/>
  <c r="AN31" i="19"/>
  <c r="K172" i="20"/>
  <c r="BV172" i="20" s="1"/>
  <c r="BU31" i="19" l="1"/>
  <c r="Y33" i="25"/>
  <c r="BQ33" i="19" s="1"/>
  <c r="R32" i="19"/>
  <c r="E32" i="19" s="1"/>
  <c r="O32" i="22" s="1"/>
  <c r="Q173" i="25"/>
  <c r="CA173" i="19"/>
  <c r="BH173" i="25"/>
  <c r="T173" i="25" s="1"/>
  <c r="AO174" i="25" s="1"/>
  <c r="R173" i="25"/>
  <c r="M178" i="25"/>
  <c r="O175" i="25"/>
  <c r="AI176" i="25" s="1"/>
  <c r="BB177" i="25" s="1"/>
  <c r="N177" i="25" s="1"/>
  <c r="AH178" i="25" s="1"/>
  <c r="BA178" i="20" s="1"/>
  <c r="AJ175" i="25"/>
  <c r="O33" i="19"/>
  <c r="AB33" i="19" s="1"/>
  <c r="B33" i="19" s="1"/>
  <c r="L33" i="22" s="1"/>
  <c r="V34" i="25"/>
  <c r="BC32" i="19"/>
  <c r="AR33" i="25" s="1"/>
  <c r="P32" i="19"/>
  <c r="C32" i="19" s="1"/>
  <c r="W33" i="25"/>
  <c r="Z32" i="25"/>
  <c r="S31" i="19"/>
  <c r="AF31" i="19" s="1"/>
  <c r="F31" i="19" s="1"/>
  <c r="AC32" i="25"/>
  <c r="AW32" i="25" s="1"/>
  <c r="I32" i="25" s="1"/>
  <c r="T31" i="19"/>
  <c r="AG31" i="19" s="1"/>
  <c r="G31" i="19" s="1"/>
  <c r="AA32" i="25"/>
  <c r="AW32" i="20" s="1"/>
  <c r="AE32" i="25"/>
  <c r="AY32" i="20" s="1"/>
  <c r="AD32" i="25"/>
  <c r="AX32" i="20" s="1"/>
  <c r="AB32" i="25"/>
  <c r="AJ32" i="19"/>
  <c r="J32" i="19" s="1"/>
  <c r="BH32" i="19"/>
  <c r="N31" i="19"/>
  <c r="U31" i="22" s="1"/>
  <c r="X32" i="22"/>
  <c r="M31" i="19"/>
  <c r="AL31" i="19"/>
  <c r="L31" i="19" s="1"/>
  <c r="T31" i="22" s="1"/>
  <c r="AI37" i="19"/>
  <c r="I37" i="19" s="1"/>
  <c r="S37" i="22" s="1"/>
  <c r="AL172" i="20"/>
  <c r="BM172" i="19" s="1"/>
  <c r="BG173" i="25" s="1"/>
  <c r="AS33" i="25" l="1"/>
  <c r="E33" i="25" s="1"/>
  <c r="BE33" i="19" s="1"/>
  <c r="AV32" i="20"/>
  <c r="S173" i="25"/>
  <c r="AN174" i="25" s="1"/>
  <c r="BI174" i="25"/>
  <c r="BC176" i="25"/>
  <c r="Z173" i="19"/>
  <c r="AL174" i="25"/>
  <c r="BJ178" i="19"/>
  <c r="W178" i="19"/>
  <c r="AG179" i="25"/>
  <c r="AZ179" i="20" s="1"/>
  <c r="Y173" i="19"/>
  <c r="AK174" i="25"/>
  <c r="BB174" i="20" s="1"/>
  <c r="BW178" i="19"/>
  <c r="BO33" i="19"/>
  <c r="AP34" i="25" s="1"/>
  <c r="AQ33" i="25"/>
  <c r="D33" i="25"/>
  <c r="AT32" i="25"/>
  <c r="F32" i="25" s="1"/>
  <c r="BF32" i="19" s="1"/>
  <c r="AY32" i="25"/>
  <c r="K32" i="25" s="1"/>
  <c r="AX32" i="25"/>
  <c r="J32" i="25" s="1"/>
  <c r="BT32" i="19"/>
  <c r="AU32" i="25"/>
  <c r="G32" i="25" s="1"/>
  <c r="BS32" i="19"/>
  <c r="T32" i="19"/>
  <c r="AG32" i="19" s="1"/>
  <c r="G32" i="19" s="1"/>
  <c r="BG32" i="19"/>
  <c r="R33" i="19"/>
  <c r="E33" i="19" s="1"/>
  <c r="O33" i="22" s="1"/>
  <c r="AV32" i="25"/>
  <c r="V32" i="22"/>
  <c r="BU32" i="19" s="1"/>
  <c r="AC172" i="20"/>
  <c r="CA174" i="19" l="1"/>
  <c r="BX174" i="19"/>
  <c r="BD175" i="25" s="1"/>
  <c r="O176" i="25"/>
  <c r="AI177" i="25" s="1"/>
  <c r="BB178" i="25" s="1"/>
  <c r="BK173" i="19"/>
  <c r="BE174" i="25" s="1"/>
  <c r="Q174" i="25" s="1"/>
  <c r="AA173" i="19"/>
  <c r="AM174" i="25"/>
  <c r="BC174" i="20" s="1"/>
  <c r="BV179" i="19"/>
  <c r="AZ180" i="25" s="1"/>
  <c r="L180" i="25" s="1"/>
  <c r="BA179" i="25"/>
  <c r="M179" i="25" s="1"/>
  <c r="BH174" i="25"/>
  <c r="BY174" i="19"/>
  <c r="BF174" i="25"/>
  <c r="U174" i="25"/>
  <c r="B34" i="25"/>
  <c r="Q33" i="19"/>
  <c r="AD33" i="19" s="1"/>
  <c r="D33" i="19" s="1"/>
  <c r="N33" i="22" s="1"/>
  <c r="Y34" i="25"/>
  <c r="BQ34" i="19" s="1"/>
  <c r="C33" i="25"/>
  <c r="X34" i="25" s="1"/>
  <c r="AU34" i="20" s="1"/>
  <c r="AA33" i="25"/>
  <c r="AE33" i="25"/>
  <c r="AY33" i="20" s="1"/>
  <c r="Z33" i="25"/>
  <c r="S32" i="19"/>
  <c r="AF32" i="19" s="1"/>
  <c r="F32" i="19" s="1"/>
  <c r="AD33" i="25"/>
  <c r="AX33" i="20" s="1"/>
  <c r="U32" i="19"/>
  <c r="AH32" i="19" s="1"/>
  <c r="H32" i="19" s="1"/>
  <c r="R32" i="22" s="1"/>
  <c r="H32" i="25"/>
  <c r="AK33" i="19"/>
  <c r="K33" i="19" s="1"/>
  <c r="AJ33" i="19"/>
  <c r="J33" i="19" s="1"/>
  <c r="AN32" i="19"/>
  <c r="AL32" i="19"/>
  <c r="L32" i="19" s="1"/>
  <c r="T32" i="22" s="1"/>
  <c r="M32" i="19"/>
  <c r="AI38" i="19"/>
  <c r="I38" i="19" s="1"/>
  <c r="S38" i="22" s="1"/>
  <c r="K173" i="20"/>
  <c r="BV173" i="20" s="1"/>
  <c r="BS33" i="19" l="1"/>
  <c r="AW33" i="20"/>
  <c r="AT33" i="25"/>
  <c r="F33" i="25" s="1"/>
  <c r="BF33" i="19" s="1"/>
  <c r="AV33" i="20"/>
  <c r="AK175" i="25"/>
  <c r="BB175" i="20" s="1"/>
  <c r="Y174" i="19"/>
  <c r="BJ179" i="19"/>
  <c r="W179" i="19"/>
  <c r="T174" i="25"/>
  <c r="BI180" i="19"/>
  <c r="V180" i="19"/>
  <c r="AF181" i="25"/>
  <c r="P175" i="25"/>
  <c r="R174" i="25"/>
  <c r="AG180" i="25"/>
  <c r="AZ180" i="20" s="1"/>
  <c r="N178" i="25"/>
  <c r="AH179" i="25" s="1"/>
  <c r="BA179" i="20" s="1"/>
  <c r="AS34" i="25"/>
  <c r="E34" i="25" s="1"/>
  <c r="BE34" i="19" s="1"/>
  <c r="P33" i="19"/>
  <c r="C33" i="19" s="1"/>
  <c r="M33" i="22" s="1"/>
  <c r="BC33" i="19"/>
  <c r="W34" i="25"/>
  <c r="O34" i="19"/>
  <c r="AB34" i="19" s="1"/>
  <c r="B34" i="19" s="1"/>
  <c r="L34" i="22" s="1"/>
  <c r="V35" i="25"/>
  <c r="AR34" i="25"/>
  <c r="AU33" i="25"/>
  <c r="G33" i="25" s="1"/>
  <c r="AY33" i="25"/>
  <c r="K33" i="25" s="1"/>
  <c r="AX33" i="25"/>
  <c r="J33" i="25" s="1"/>
  <c r="U33" i="19" s="1"/>
  <c r="AH33" i="19" s="1"/>
  <c r="H33" i="19" s="1"/>
  <c r="R33" i="22" s="1"/>
  <c r="BT33" i="19"/>
  <c r="AC33" i="25"/>
  <c r="AW33" i="25" s="1"/>
  <c r="AB33" i="25"/>
  <c r="BH33" i="19"/>
  <c r="V33" i="22"/>
  <c r="N32" i="19"/>
  <c r="U32" i="22" s="1"/>
  <c r="X33" i="22"/>
  <c r="AL173" i="20"/>
  <c r="BM173" i="19" s="1"/>
  <c r="BG174" i="25" s="1"/>
  <c r="S33" i="19" l="1"/>
  <c r="AF33" i="19" s="1"/>
  <c r="F33" i="19" s="1"/>
  <c r="Z34" i="25"/>
  <c r="AV34" i="20" s="1"/>
  <c r="AA34" i="25"/>
  <c r="AW34" i="20" s="1"/>
  <c r="S174" i="25"/>
  <c r="AN175" i="25" s="1"/>
  <c r="BW179" i="19"/>
  <c r="BA180" i="25" s="1"/>
  <c r="X175" i="19"/>
  <c r="AJ176" i="25"/>
  <c r="BV180" i="19"/>
  <c r="AZ181" i="25" s="1"/>
  <c r="L181" i="25" s="1"/>
  <c r="AF182" i="25" s="1"/>
  <c r="Z174" i="19"/>
  <c r="AL175" i="25"/>
  <c r="AO175" i="25"/>
  <c r="BX175" i="19"/>
  <c r="D34" i="25"/>
  <c r="Y35" i="25" s="1"/>
  <c r="BO34" i="19"/>
  <c r="AP35" i="25" s="1"/>
  <c r="AQ34" i="25"/>
  <c r="BU33" i="19"/>
  <c r="AE34" i="25"/>
  <c r="AY34" i="20" s="1"/>
  <c r="R34" i="19"/>
  <c r="E34" i="19" s="1"/>
  <c r="O34" i="22" s="1"/>
  <c r="I33" i="25"/>
  <c r="AV33" i="25"/>
  <c r="H33" i="25" s="1"/>
  <c r="AB34" i="25" s="1"/>
  <c r="AT34" i="25"/>
  <c r="AK34" i="19"/>
  <c r="K34" i="19" s="1"/>
  <c r="AJ34" i="19"/>
  <c r="J34" i="19" s="1"/>
  <c r="M33" i="19"/>
  <c r="AL33" i="19"/>
  <c r="L33" i="19" s="1"/>
  <c r="T33" i="22" s="1"/>
  <c r="AI39" i="19"/>
  <c r="I39" i="19" s="1"/>
  <c r="S39" i="22" s="1"/>
  <c r="AC173" i="20"/>
  <c r="AU34" i="25" l="1"/>
  <c r="G34" i="25" s="1"/>
  <c r="BS34" i="19"/>
  <c r="M180" i="25"/>
  <c r="BJ180" i="19" s="1"/>
  <c r="BI175" i="25"/>
  <c r="U175" i="25" s="1"/>
  <c r="BY175" i="19"/>
  <c r="BF175" i="25"/>
  <c r="R175" i="25" s="1"/>
  <c r="BI181" i="19"/>
  <c r="V181" i="19"/>
  <c r="CA175" i="19"/>
  <c r="BH175" i="25"/>
  <c r="BC177" i="25"/>
  <c r="BD176" i="25"/>
  <c r="P176" i="25" s="1"/>
  <c r="X176" i="19" s="1"/>
  <c r="AA174" i="19"/>
  <c r="BK174" i="19"/>
  <c r="BE175" i="25" s="1"/>
  <c r="Q175" i="25" s="1"/>
  <c r="AM175" i="25"/>
  <c r="BC175" i="20" s="1"/>
  <c r="AS35" i="25"/>
  <c r="E35" i="25" s="1"/>
  <c r="BE35" i="19" s="1"/>
  <c r="BQ35" i="19"/>
  <c r="B35" i="25"/>
  <c r="C34" i="25"/>
  <c r="X35" i="25" s="1"/>
  <c r="AU35" i="20" s="1"/>
  <c r="Q34" i="19"/>
  <c r="AD34" i="19" s="1"/>
  <c r="D34" i="19" s="1"/>
  <c r="N34" i="22" s="1"/>
  <c r="AY34" i="25"/>
  <c r="K34" i="25" s="1"/>
  <c r="T33" i="19"/>
  <c r="AG33" i="19" s="1"/>
  <c r="G33" i="19" s="1"/>
  <c r="BG33" i="19"/>
  <c r="F34" i="25"/>
  <c r="BF34" i="19" s="1"/>
  <c r="AV34" i="25"/>
  <c r="AC34" i="25"/>
  <c r="AD34" i="25"/>
  <c r="BH34" i="19"/>
  <c r="AN33" i="19"/>
  <c r="V34" i="22"/>
  <c r="AI40" i="19"/>
  <c r="I40" i="19" s="1"/>
  <c r="S40" i="22" s="1"/>
  <c r="K174" i="20"/>
  <c r="BV174" i="20" s="1"/>
  <c r="BT34" i="19" l="1"/>
  <c r="AX34" i="20"/>
  <c r="Z175" i="19"/>
  <c r="AL176" i="25"/>
  <c r="BF176" i="25" s="1"/>
  <c r="Y175" i="19"/>
  <c r="AK176" i="25"/>
  <c r="BB176" i="20" s="1"/>
  <c r="O177" i="25"/>
  <c r="AI178" i="25" s="1"/>
  <c r="AJ177" i="25"/>
  <c r="T175" i="25"/>
  <c r="AO176" i="25" s="1"/>
  <c r="W180" i="19"/>
  <c r="AG181" i="25"/>
  <c r="AZ181" i="20" s="1"/>
  <c r="O35" i="19"/>
  <c r="AB35" i="19" s="1"/>
  <c r="B35" i="19" s="1"/>
  <c r="L35" i="22" s="1"/>
  <c r="V36" i="25"/>
  <c r="P34" i="19"/>
  <c r="C34" i="19" s="1"/>
  <c r="M34" i="22" s="1"/>
  <c r="BC34" i="19"/>
  <c r="AR35" i="25" s="1"/>
  <c r="D35" i="25" s="1"/>
  <c r="W35" i="25"/>
  <c r="R35" i="19"/>
  <c r="E35" i="19" s="1"/>
  <c r="O35" i="22" s="1"/>
  <c r="Z35" i="25"/>
  <c r="AV35" i="20" s="1"/>
  <c r="S34" i="19"/>
  <c r="AF34" i="19" s="1"/>
  <c r="F34" i="19" s="1"/>
  <c r="AX34" i="25"/>
  <c r="H34" i="25"/>
  <c r="AB35" i="25" s="1"/>
  <c r="AV35" i="25" s="1"/>
  <c r="AW34" i="25"/>
  <c r="I34" i="25" s="1"/>
  <c r="BG34" i="19" s="1"/>
  <c r="AA35" i="25"/>
  <c r="AJ35" i="19"/>
  <c r="J35" i="19" s="1"/>
  <c r="AK35" i="19"/>
  <c r="K35" i="19" s="1"/>
  <c r="N33" i="19"/>
  <c r="U33" i="22" s="1"/>
  <c r="X34" i="22"/>
  <c r="AT35" i="25" s="1"/>
  <c r="AL34" i="19"/>
  <c r="L34" i="19" s="1"/>
  <c r="T34" i="22" s="1"/>
  <c r="M34" i="19"/>
  <c r="AI41" i="19"/>
  <c r="I41" i="19" s="1"/>
  <c r="S41" i="22" s="1"/>
  <c r="AL174" i="20"/>
  <c r="BM174" i="19" s="1"/>
  <c r="BG175" i="25" s="1"/>
  <c r="BS35" i="19" l="1"/>
  <c r="AW35" i="20"/>
  <c r="BI176" i="25"/>
  <c r="S175" i="25"/>
  <c r="AN176" i="25" s="1"/>
  <c r="BX176" i="19"/>
  <c r="BD177" i="25" s="1"/>
  <c r="P177" i="25" s="1"/>
  <c r="BV181" i="19"/>
  <c r="AZ182" i="25" s="1"/>
  <c r="L182" i="25" s="1"/>
  <c r="BC178" i="25"/>
  <c r="O178" i="25" s="1"/>
  <c r="AI179" i="25" s="1"/>
  <c r="BY176" i="19"/>
  <c r="R176" i="25"/>
  <c r="Z176" i="19" s="1"/>
  <c r="BB179" i="25"/>
  <c r="Q35" i="19"/>
  <c r="AD35" i="19" s="1"/>
  <c r="D35" i="19" s="1"/>
  <c r="N35" i="22" s="1"/>
  <c r="Y36" i="25"/>
  <c r="BQ36" i="19" s="1"/>
  <c r="BO35" i="19"/>
  <c r="AP36" i="25" s="1"/>
  <c r="AQ35" i="25"/>
  <c r="C35" i="25" s="1"/>
  <c r="BU34" i="19"/>
  <c r="AC35" i="25"/>
  <c r="AW35" i="25" s="1"/>
  <c r="T34" i="19"/>
  <c r="AG34" i="19" s="1"/>
  <c r="G34" i="19" s="1"/>
  <c r="F35" i="25"/>
  <c r="BF35" i="19" s="1"/>
  <c r="H35" i="25"/>
  <c r="AU35" i="25"/>
  <c r="G35" i="25" s="1"/>
  <c r="J34" i="25"/>
  <c r="U34" i="19" s="1"/>
  <c r="AH34" i="19" s="1"/>
  <c r="H34" i="19" s="1"/>
  <c r="R34" i="22" s="1"/>
  <c r="AK36" i="19"/>
  <c r="K36" i="19" s="1"/>
  <c r="BH35" i="19"/>
  <c r="V35" i="22"/>
  <c r="M35" i="19"/>
  <c r="AC174" i="20"/>
  <c r="AA36" i="25" l="1"/>
  <c r="X177" i="19"/>
  <c r="AJ178" i="25"/>
  <c r="BC179" i="25" s="1"/>
  <c r="CA176" i="19"/>
  <c r="BH176" i="25"/>
  <c r="T176" i="25" s="1"/>
  <c r="BI182" i="19"/>
  <c r="V182" i="19"/>
  <c r="BK175" i="19"/>
  <c r="BE176" i="25" s="1"/>
  <c r="AA175" i="19"/>
  <c r="AM176" i="25"/>
  <c r="BC176" i="20" s="1"/>
  <c r="U176" i="25"/>
  <c r="BB180" i="25"/>
  <c r="N179" i="25"/>
  <c r="AH180" i="25" s="1"/>
  <c r="BA180" i="20" s="1"/>
  <c r="AS36" i="25"/>
  <c r="E36" i="25" s="1"/>
  <c r="BE36" i="19" s="1"/>
  <c r="X36" i="25"/>
  <c r="AU36" i="20" s="1"/>
  <c r="P35" i="19"/>
  <c r="C35" i="19" s="1"/>
  <c r="M35" i="22" s="1"/>
  <c r="BC35" i="19"/>
  <c r="W36" i="25"/>
  <c r="AQ36" i="25" s="1"/>
  <c r="B36" i="25"/>
  <c r="Z36" i="25"/>
  <c r="AV36" i="20" s="1"/>
  <c r="S35" i="19"/>
  <c r="AF35" i="19" s="1"/>
  <c r="F35" i="19" s="1"/>
  <c r="AU36" i="25"/>
  <c r="G36" i="25" s="1"/>
  <c r="AD35" i="25"/>
  <c r="AE35" i="25"/>
  <c r="AY35" i="20" s="1"/>
  <c r="AB36" i="25"/>
  <c r="I35" i="25"/>
  <c r="BG35" i="19" s="1"/>
  <c r="AJ36" i="19"/>
  <c r="J36" i="19" s="1"/>
  <c r="AL35" i="19"/>
  <c r="AN34" i="19"/>
  <c r="K175" i="20"/>
  <c r="BV175" i="20" s="1"/>
  <c r="BT35" i="19" l="1"/>
  <c r="AX35" i="20"/>
  <c r="BS36" i="19"/>
  <c r="AW36" i="20"/>
  <c r="N180" i="25"/>
  <c r="AH181" i="25" s="1"/>
  <c r="Q176" i="25"/>
  <c r="AO177" i="25"/>
  <c r="AR36" i="25"/>
  <c r="D36" i="25" s="1"/>
  <c r="BW180" i="19"/>
  <c r="BA181" i="25" s="1"/>
  <c r="O179" i="25"/>
  <c r="AI180" i="25" s="1"/>
  <c r="R36" i="19"/>
  <c r="E36" i="19" s="1"/>
  <c r="O36" i="22" s="1"/>
  <c r="BO36" i="19"/>
  <c r="C36" i="25"/>
  <c r="O36" i="19"/>
  <c r="AB36" i="19" s="1"/>
  <c r="B36" i="19" s="1"/>
  <c r="L36" i="22" s="1"/>
  <c r="V37" i="25"/>
  <c r="AY35" i="25"/>
  <c r="K35" i="25" s="1"/>
  <c r="AC36" i="25"/>
  <c r="AW36" i="25" s="1"/>
  <c r="I36" i="25" s="1"/>
  <c r="T35" i="19"/>
  <c r="AG35" i="19" s="1"/>
  <c r="G35" i="19" s="1"/>
  <c r="AV36" i="25"/>
  <c r="H36" i="25" s="1"/>
  <c r="AB37" i="25" s="1"/>
  <c r="AX35" i="25"/>
  <c r="N34" i="19"/>
  <c r="U34" i="22" s="1"/>
  <c r="X35" i="22"/>
  <c r="AT36" i="25" s="1"/>
  <c r="L35" i="19"/>
  <c r="T35" i="22" s="1"/>
  <c r="V36" i="22"/>
  <c r="AI42" i="19"/>
  <c r="I42" i="19" s="1"/>
  <c r="S42" i="22" s="1"/>
  <c r="AL175" i="20"/>
  <c r="BM175" i="19" s="1"/>
  <c r="BG176" i="25" s="1"/>
  <c r="BB181" i="25" l="1"/>
  <c r="N181" i="25" s="1"/>
  <c r="BA181" i="20"/>
  <c r="S176" i="25"/>
  <c r="M181" i="25"/>
  <c r="BJ181" i="19" s="1"/>
  <c r="BW181" i="19"/>
  <c r="BI177" i="25"/>
  <c r="Y176" i="19"/>
  <c r="AK177" i="25"/>
  <c r="BB177" i="20" s="1"/>
  <c r="AL177" i="25"/>
  <c r="BC36" i="19"/>
  <c r="P36" i="19"/>
  <c r="C36" i="19" s="1"/>
  <c r="M36" i="22" s="1"/>
  <c r="AP37" i="25"/>
  <c r="B37" i="25" s="1"/>
  <c r="X37" i="25"/>
  <c r="AU37" i="20" s="1"/>
  <c r="Q36" i="19"/>
  <c r="AD36" i="19" s="1"/>
  <c r="D36" i="19" s="1"/>
  <c r="N36" i="22" s="1"/>
  <c r="Y37" i="25"/>
  <c r="W37" i="25"/>
  <c r="BU35" i="19"/>
  <c r="T36" i="19"/>
  <c r="AG36" i="19" s="1"/>
  <c r="G36" i="19" s="1"/>
  <c r="BG36" i="19"/>
  <c r="AC37" i="25"/>
  <c r="F36" i="25"/>
  <c r="J35" i="25"/>
  <c r="AV37" i="25"/>
  <c r="AK37" i="19"/>
  <c r="K37" i="19" s="1"/>
  <c r="BH36" i="19"/>
  <c r="M36" i="19"/>
  <c r="AC175" i="20"/>
  <c r="AH182" i="25" l="1"/>
  <c r="U177" i="25"/>
  <c r="W181" i="19"/>
  <c r="AG182" i="25"/>
  <c r="AZ182" i="20" s="1"/>
  <c r="BK176" i="19"/>
  <c r="BE177" i="25" s="1"/>
  <c r="Q177" i="25" s="1"/>
  <c r="Y177" i="19" s="1"/>
  <c r="AA176" i="19"/>
  <c r="AN177" i="25"/>
  <c r="AM177" i="25"/>
  <c r="BC177" i="20" s="1"/>
  <c r="BY177" i="19"/>
  <c r="BF177" i="25"/>
  <c r="R177" i="25" s="1"/>
  <c r="BX177" i="19"/>
  <c r="BD178" i="25" s="1"/>
  <c r="O37" i="19"/>
  <c r="AB37" i="19" s="1"/>
  <c r="B37" i="19" s="1"/>
  <c r="L37" i="22" s="1"/>
  <c r="V38" i="25"/>
  <c r="AR37" i="25"/>
  <c r="D37" i="25" s="1"/>
  <c r="Q37" i="19" s="1"/>
  <c r="AD37" i="19" s="1"/>
  <c r="D37" i="19" s="1"/>
  <c r="N37" i="22" s="1"/>
  <c r="BQ37" i="19"/>
  <c r="AS37" i="25"/>
  <c r="E37" i="25" s="1"/>
  <c r="BO37" i="19"/>
  <c r="AQ37" i="25"/>
  <c r="S36" i="19"/>
  <c r="AF36" i="19" s="1"/>
  <c r="F36" i="19" s="1"/>
  <c r="BF36" i="19"/>
  <c r="AD36" i="25"/>
  <c r="AX36" i="20" s="1"/>
  <c r="U35" i="19"/>
  <c r="AH35" i="19" s="1"/>
  <c r="H35" i="19" s="1"/>
  <c r="R35" i="22" s="1"/>
  <c r="H37" i="25"/>
  <c r="Z37" i="25"/>
  <c r="AV37" i="20" s="1"/>
  <c r="AA37" i="25"/>
  <c r="AE36" i="25"/>
  <c r="AY36" i="20" s="1"/>
  <c r="AJ37" i="19"/>
  <c r="J37" i="19" s="1"/>
  <c r="AN35" i="19"/>
  <c r="AL36" i="19"/>
  <c r="AI43" i="19"/>
  <c r="I43" i="19" s="1"/>
  <c r="S43" i="22" s="1"/>
  <c r="K176" i="20"/>
  <c r="BV176" i="20" s="1"/>
  <c r="BW182" i="19" l="1"/>
  <c r="BA182" i="20"/>
  <c r="BS37" i="19"/>
  <c r="AW37" i="20"/>
  <c r="AK178" i="25"/>
  <c r="Z177" i="19"/>
  <c r="AL178" i="25"/>
  <c r="CA177" i="19"/>
  <c r="BH177" i="25"/>
  <c r="BV182" i="19"/>
  <c r="BA182" i="25"/>
  <c r="P178" i="25"/>
  <c r="BE37" i="19"/>
  <c r="R37" i="19"/>
  <c r="E37" i="19" s="1"/>
  <c r="O37" i="22" s="1"/>
  <c r="C37" i="25"/>
  <c r="Y38" i="25"/>
  <c r="BQ38" i="19" s="1"/>
  <c r="AP38" i="25"/>
  <c r="B38" i="25" s="1"/>
  <c r="O38" i="19" s="1"/>
  <c r="AB38" i="19" s="1"/>
  <c r="B38" i="19" s="1"/>
  <c r="L38" i="22" s="1"/>
  <c r="AX36" i="25"/>
  <c r="J36" i="25" s="1"/>
  <c r="AD37" i="25" s="1"/>
  <c r="AX37" i="20" s="1"/>
  <c r="BT36" i="19"/>
  <c r="AW37" i="25"/>
  <c r="I37" i="25" s="1"/>
  <c r="T37" i="19" s="1"/>
  <c r="AG37" i="19" s="1"/>
  <c r="G37" i="19" s="1"/>
  <c r="AY36" i="25"/>
  <c r="AU37" i="25"/>
  <c r="G37" i="25" s="1"/>
  <c r="BH37" i="19"/>
  <c r="L36" i="19"/>
  <c r="T36" i="22" s="1"/>
  <c r="V37" i="22"/>
  <c r="N35" i="19"/>
  <c r="U35" i="22" s="1"/>
  <c r="X36" i="22"/>
  <c r="AT37" i="25" s="1"/>
  <c r="AI44" i="19"/>
  <c r="I44" i="19" s="1"/>
  <c r="S44" i="22" s="1"/>
  <c r="AL176" i="20"/>
  <c r="BM176" i="19" s="1"/>
  <c r="BG177" i="25" s="1"/>
  <c r="BX178" i="19" l="1"/>
  <c r="BB178" i="20"/>
  <c r="S177" i="25"/>
  <c r="X178" i="19"/>
  <c r="AJ179" i="25"/>
  <c r="T177" i="25"/>
  <c r="BY178" i="19"/>
  <c r="BF178" i="25"/>
  <c r="M182" i="25"/>
  <c r="W182" i="19" s="1"/>
  <c r="AS38" i="25"/>
  <c r="E38" i="25" s="1"/>
  <c r="BE38" i="19" s="1"/>
  <c r="BC37" i="19"/>
  <c r="P37" i="19"/>
  <c r="C37" i="19" s="1"/>
  <c r="M37" i="22" s="1"/>
  <c r="W38" i="25"/>
  <c r="X38" i="25"/>
  <c r="AU38" i="20" s="1"/>
  <c r="V39" i="25"/>
  <c r="BU36" i="19"/>
  <c r="AX37" i="25" s="1"/>
  <c r="J37" i="25" s="1"/>
  <c r="U36" i="19"/>
  <c r="AH36" i="19" s="1"/>
  <c r="H36" i="19" s="1"/>
  <c r="R36" i="22" s="1"/>
  <c r="BT37" i="19"/>
  <c r="AC38" i="25"/>
  <c r="AW38" i="25" s="1"/>
  <c r="I38" i="25" s="1"/>
  <c r="BG37" i="19"/>
  <c r="F37" i="25"/>
  <c r="BF37" i="19" s="1"/>
  <c r="AB38" i="25"/>
  <c r="K36" i="25"/>
  <c r="AE37" i="25" s="1"/>
  <c r="AY37" i="20" s="1"/>
  <c r="AK38" i="19"/>
  <c r="K38" i="19" s="1"/>
  <c r="AJ38" i="19"/>
  <c r="J38" i="19" s="1"/>
  <c r="M37" i="19"/>
  <c r="AC176" i="20"/>
  <c r="BC180" i="25" l="1"/>
  <c r="BD179" i="25"/>
  <c r="BJ182" i="19"/>
  <c r="R178" i="25"/>
  <c r="AN178" i="25"/>
  <c r="AO178" i="25"/>
  <c r="BK177" i="19"/>
  <c r="BE178" i="25" s="1"/>
  <c r="Q178" i="25" s="1"/>
  <c r="AA177" i="19"/>
  <c r="AM178" i="25"/>
  <c r="BC178" i="20" s="1"/>
  <c r="BO38" i="19"/>
  <c r="AP39" i="25" s="1"/>
  <c r="B39" i="25" s="1"/>
  <c r="AQ38" i="25"/>
  <c r="AR38" i="25"/>
  <c r="D38" i="25" s="1"/>
  <c r="T38" i="19"/>
  <c r="BG38" i="19"/>
  <c r="R38" i="19"/>
  <c r="E38" i="19" s="1"/>
  <c r="O38" i="22" s="1"/>
  <c r="AD38" i="25"/>
  <c r="AX38" i="20" s="1"/>
  <c r="U37" i="19"/>
  <c r="AH37" i="19" s="1"/>
  <c r="H37" i="19" s="1"/>
  <c r="R37" i="22" s="1"/>
  <c r="Z38" i="25"/>
  <c r="AV38" i="20" s="1"/>
  <c r="S37" i="19"/>
  <c r="AF37" i="19" s="1"/>
  <c r="F37" i="19" s="1"/>
  <c r="AA38" i="25"/>
  <c r="AW38" i="20" s="1"/>
  <c r="AV38" i="25"/>
  <c r="H38" i="25" s="1"/>
  <c r="AY37" i="25"/>
  <c r="K37" i="25" s="1"/>
  <c r="AE38" i="25" s="1"/>
  <c r="AY38" i="20" s="1"/>
  <c r="AK39" i="19"/>
  <c r="K39" i="19" s="1"/>
  <c r="AL37" i="19"/>
  <c r="AN36" i="19"/>
  <c r="K177" i="20"/>
  <c r="BV177" i="20" s="1"/>
  <c r="CA178" i="19" l="1"/>
  <c r="BH178" i="25"/>
  <c r="Y178" i="19"/>
  <c r="AK179" i="25"/>
  <c r="BB179" i="20" s="1"/>
  <c r="Z178" i="19"/>
  <c r="AL179" i="25"/>
  <c r="O180" i="25"/>
  <c r="AI181" i="25" s="1"/>
  <c r="BI178" i="25"/>
  <c r="U178" i="25" s="1"/>
  <c r="P179" i="25"/>
  <c r="O39" i="19"/>
  <c r="AB39" i="19" s="1"/>
  <c r="B39" i="19" s="1"/>
  <c r="L39" i="22" s="1"/>
  <c r="V40" i="25"/>
  <c r="Q38" i="19"/>
  <c r="AD38" i="19" s="1"/>
  <c r="D38" i="19" s="1"/>
  <c r="N38" i="22" s="1"/>
  <c r="Y39" i="25"/>
  <c r="BQ39" i="19" s="1"/>
  <c r="C38" i="25"/>
  <c r="BT38" i="19"/>
  <c r="AU38" i="25"/>
  <c r="G38" i="25" s="1"/>
  <c r="AB39" i="25" s="1"/>
  <c r="AV39" i="25" s="1"/>
  <c r="BS38" i="19"/>
  <c r="AY38" i="25"/>
  <c r="AC39" i="25"/>
  <c r="L37" i="19"/>
  <c r="T37" i="22" s="1"/>
  <c r="V38" i="22"/>
  <c r="N36" i="19"/>
  <c r="U36" i="22" s="1"/>
  <c r="X37" i="22"/>
  <c r="AL177" i="20"/>
  <c r="BM177" i="19" s="1"/>
  <c r="BG178" i="25" s="1"/>
  <c r="S178" i="25" l="1"/>
  <c r="X179" i="19"/>
  <c r="AJ180" i="25"/>
  <c r="BB182" i="25"/>
  <c r="N182" i="25" s="1"/>
  <c r="BX179" i="19"/>
  <c r="T178" i="25"/>
  <c r="BY179" i="19"/>
  <c r="BF179" i="25"/>
  <c r="AS39" i="25"/>
  <c r="E39" i="25" s="1"/>
  <c r="BE39" i="19" s="1"/>
  <c r="BC38" i="19"/>
  <c r="P38" i="19"/>
  <c r="C38" i="19" s="1"/>
  <c r="M38" i="22" s="1"/>
  <c r="W39" i="25"/>
  <c r="X39" i="25"/>
  <c r="AT38" i="25"/>
  <c r="F38" i="25" s="1"/>
  <c r="BU37" i="19"/>
  <c r="AX38" i="25" s="1"/>
  <c r="J38" i="25" s="1"/>
  <c r="AD39" i="25" s="1"/>
  <c r="AW39" i="25"/>
  <c r="I39" i="25" s="1"/>
  <c r="BG39" i="19" s="1"/>
  <c r="K38" i="25"/>
  <c r="H39" i="25"/>
  <c r="BH38" i="19"/>
  <c r="AG38" i="19"/>
  <c r="G38" i="19" s="1"/>
  <c r="M38" i="19"/>
  <c r="AI45" i="19"/>
  <c r="I45" i="19" s="1"/>
  <c r="S45" i="22" s="1"/>
  <c r="AC177" i="20"/>
  <c r="BT39" i="19" l="1"/>
  <c r="AX39" i="20"/>
  <c r="AR39" i="25"/>
  <c r="D39" i="25" s="1"/>
  <c r="Q39" i="19" s="1"/>
  <c r="AD39" i="19" s="1"/>
  <c r="D39" i="19" s="1"/>
  <c r="N39" i="22" s="1"/>
  <c r="AU39" i="20"/>
  <c r="AN179" i="25"/>
  <c r="BH179" i="25" s="1"/>
  <c r="R39" i="19"/>
  <c r="E39" i="19" s="1"/>
  <c r="O39" i="22" s="1"/>
  <c r="AO179" i="25"/>
  <c r="BI179" i="25" s="1"/>
  <c r="R179" i="25"/>
  <c r="BD180" i="25"/>
  <c r="P180" i="25" s="1"/>
  <c r="X180" i="19" s="1"/>
  <c r="BC181" i="25"/>
  <c r="BK178" i="19"/>
  <c r="BE179" i="25" s="1"/>
  <c r="Q179" i="25" s="1"/>
  <c r="AA178" i="19"/>
  <c r="AM179" i="25"/>
  <c r="BC179" i="20" s="1"/>
  <c r="BO39" i="19"/>
  <c r="AP40" i="25" s="1"/>
  <c r="AQ39" i="25"/>
  <c r="AE39" i="25"/>
  <c r="AY39" i="20" s="1"/>
  <c r="U38" i="19"/>
  <c r="AH38" i="19" s="1"/>
  <c r="H38" i="19" s="1"/>
  <c r="R38" i="22" s="1"/>
  <c r="S38" i="19"/>
  <c r="AF38" i="19" s="1"/>
  <c r="F38" i="19" s="1"/>
  <c r="BF38" i="19"/>
  <c r="T39" i="19"/>
  <c r="AG39" i="19" s="1"/>
  <c r="G39" i="19" s="1"/>
  <c r="AC40" i="25"/>
  <c r="AW40" i="25" s="1"/>
  <c r="Z39" i="25"/>
  <c r="AV39" i="20" s="1"/>
  <c r="AA39" i="25"/>
  <c r="AW39" i="20" s="1"/>
  <c r="AJ39" i="19"/>
  <c r="J39" i="19" s="1"/>
  <c r="AL38" i="19"/>
  <c r="AN37" i="19"/>
  <c r="K178" i="20"/>
  <c r="BV178" i="20" s="1"/>
  <c r="Y40" i="25" l="1"/>
  <c r="BQ40" i="19" s="1"/>
  <c r="CA179" i="19"/>
  <c r="Z179" i="19"/>
  <c r="AL180" i="25"/>
  <c r="T179" i="25"/>
  <c r="O181" i="25"/>
  <c r="AI182" i="25" s="1"/>
  <c r="Y179" i="19"/>
  <c r="AK180" i="25"/>
  <c r="BB180" i="20" s="1"/>
  <c r="AJ181" i="25"/>
  <c r="U179" i="25"/>
  <c r="AY39" i="25"/>
  <c r="K39" i="25" s="1"/>
  <c r="C39" i="25"/>
  <c r="B40" i="25"/>
  <c r="AU39" i="25"/>
  <c r="G39" i="25" s="1"/>
  <c r="BS39" i="19"/>
  <c r="I40" i="25"/>
  <c r="AS40" i="25"/>
  <c r="BH39" i="19"/>
  <c r="N37" i="19"/>
  <c r="U37" i="22" s="1"/>
  <c r="X38" i="22"/>
  <c r="L38" i="19"/>
  <c r="T38" i="22" s="1"/>
  <c r="V39" i="22"/>
  <c r="AI46" i="19"/>
  <c r="I46" i="19" s="1"/>
  <c r="S46" i="22" s="1"/>
  <c r="AL178" i="20"/>
  <c r="BM178" i="19" s="1"/>
  <c r="BG179" i="25" s="1"/>
  <c r="AO180" i="25" l="1"/>
  <c r="BI180" i="25" s="1"/>
  <c r="BC182" i="25"/>
  <c r="O182" i="25" s="1"/>
  <c r="BX180" i="19"/>
  <c r="BD181" i="25" s="1"/>
  <c r="P181" i="25" s="1"/>
  <c r="BY180" i="19"/>
  <c r="BF180" i="25"/>
  <c r="S179" i="25"/>
  <c r="O40" i="19"/>
  <c r="AB40" i="19" s="1"/>
  <c r="B40" i="19" s="1"/>
  <c r="L40" i="22" s="1"/>
  <c r="V41" i="25"/>
  <c r="X40" i="25"/>
  <c r="AU40" i="20" s="1"/>
  <c r="BC39" i="19"/>
  <c r="P39" i="19"/>
  <c r="C39" i="19" s="1"/>
  <c r="M39" i="22" s="1"/>
  <c r="W40" i="25"/>
  <c r="AT39" i="25"/>
  <c r="F39" i="25" s="1"/>
  <c r="BF39" i="19" s="1"/>
  <c r="BU38" i="19"/>
  <c r="AX39" i="25" s="1"/>
  <c r="T40" i="19"/>
  <c r="BG40" i="19"/>
  <c r="AB40" i="25"/>
  <c r="E40" i="25"/>
  <c r="BE40" i="19" s="1"/>
  <c r="AJ40" i="19"/>
  <c r="J40" i="19" s="1"/>
  <c r="AK40" i="19"/>
  <c r="K40" i="19" s="1"/>
  <c r="AL39" i="19"/>
  <c r="L39" i="19" s="1"/>
  <c r="T39" i="22" s="1"/>
  <c r="M39" i="19"/>
  <c r="AI47" i="19"/>
  <c r="I47" i="19" s="1"/>
  <c r="S47" i="22" s="1"/>
  <c r="AC178" i="20"/>
  <c r="U180" i="25" l="1"/>
  <c r="AR40" i="25"/>
  <c r="D40" i="25" s="1"/>
  <c r="Q40" i="19" s="1"/>
  <c r="AD40" i="19" s="1"/>
  <c r="D40" i="19" s="1"/>
  <c r="N40" i="22" s="1"/>
  <c r="X181" i="19"/>
  <c r="AJ182" i="25"/>
  <c r="AA179" i="19"/>
  <c r="BK179" i="19"/>
  <c r="BE180" i="25" s="1"/>
  <c r="Q180" i="25" s="1"/>
  <c r="AM180" i="25"/>
  <c r="BC180" i="20" s="1"/>
  <c r="AN180" i="25"/>
  <c r="R180" i="25"/>
  <c r="BO40" i="19"/>
  <c r="AP41" i="25" s="1"/>
  <c r="AQ40" i="25"/>
  <c r="J39" i="25"/>
  <c r="R40" i="19"/>
  <c r="E40" i="19" s="1"/>
  <c r="O40" i="22" s="1"/>
  <c r="Z40" i="25"/>
  <c r="AV40" i="20" s="1"/>
  <c r="S39" i="19"/>
  <c r="AF39" i="19" s="1"/>
  <c r="F39" i="19" s="1"/>
  <c r="AV40" i="25"/>
  <c r="H40" i="25" s="1"/>
  <c r="AA40" i="25"/>
  <c r="AN38" i="19"/>
  <c r="V40" i="22"/>
  <c r="K179" i="20"/>
  <c r="BV179" i="20" s="1"/>
  <c r="BS40" i="19" l="1"/>
  <c r="AW40" i="20"/>
  <c r="Y41" i="25"/>
  <c r="BQ41" i="19" s="1"/>
  <c r="CA180" i="19"/>
  <c r="BH180" i="25"/>
  <c r="Z180" i="19"/>
  <c r="AL181" i="25"/>
  <c r="Y180" i="19"/>
  <c r="AK181" i="25"/>
  <c r="BB181" i="20" s="1"/>
  <c r="B41" i="25"/>
  <c r="C40" i="25"/>
  <c r="U39" i="19"/>
  <c r="AH39" i="19" s="1"/>
  <c r="H39" i="19" s="1"/>
  <c r="R39" i="22" s="1"/>
  <c r="AD40" i="25"/>
  <c r="AX40" i="20" s="1"/>
  <c r="AE40" i="25"/>
  <c r="AY40" i="20" s="1"/>
  <c r="AC41" i="25"/>
  <c r="AU40" i="25"/>
  <c r="AK41" i="19"/>
  <c r="K41" i="19" s="1"/>
  <c r="N38" i="19"/>
  <c r="U38" i="22" s="1"/>
  <c r="X39" i="22"/>
  <c r="M40" i="19"/>
  <c r="AL40" i="19"/>
  <c r="L40" i="19" s="1"/>
  <c r="T40" i="22" s="1"/>
  <c r="AI48" i="19"/>
  <c r="I48" i="19" s="1"/>
  <c r="S48" i="22" s="1"/>
  <c r="AL179" i="20"/>
  <c r="BM179" i="19" s="1"/>
  <c r="BG180" i="25" s="1"/>
  <c r="AS41" i="25" l="1"/>
  <c r="E41" i="25" s="1"/>
  <c r="BE41" i="19" s="1"/>
  <c r="T180" i="25"/>
  <c r="BY181" i="19"/>
  <c r="BF181" i="25"/>
  <c r="S180" i="25"/>
  <c r="BX181" i="19"/>
  <c r="BD182" i="25" s="1"/>
  <c r="P182" i="25" s="1"/>
  <c r="X182" i="19" s="1"/>
  <c r="P40" i="19"/>
  <c r="C40" i="19" s="1"/>
  <c r="M40" i="22" s="1"/>
  <c r="BC40" i="19"/>
  <c r="X41" i="25"/>
  <c r="AU41" i="20" s="1"/>
  <c r="W41" i="25"/>
  <c r="O41" i="19"/>
  <c r="AB41" i="19" s="1"/>
  <c r="B41" i="19" s="1"/>
  <c r="L41" i="22" s="1"/>
  <c r="V42" i="25"/>
  <c r="AY40" i="25"/>
  <c r="K40" i="25" s="1"/>
  <c r="BT40" i="19"/>
  <c r="AT40" i="25"/>
  <c r="F40" i="25" s="1"/>
  <c r="BF40" i="19" s="1"/>
  <c r="BU39" i="19"/>
  <c r="AX40" i="25" s="1"/>
  <c r="R41" i="19"/>
  <c r="E41" i="19" s="1"/>
  <c r="O41" i="22" s="1"/>
  <c r="AW41" i="25"/>
  <c r="G40" i="25"/>
  <c r="BH40" i="19"/>
  <c r="AG40" i="19"/>
  <c r="G40" i="19" s="1"/>
  <c r="V41" i="22"/>
  <c r="M41" i="19"/>
  <c r="AC179" i="20"/>
  <c r="BK180" i="19" l="1"/>
  <c r="BE181" i="25" s="1"/>
  <c r="Q181" i="25" s="1"/>
  <c r="AA180" i="19"/>
  <c r="AM181" i="25"/>
  <c r="BC181" i="20" s="1"/>
  <c r="R181" i="25"/>
  <c r="AO181" i="25"/>
  <c r="AN181" i="25"/>
  <c r="BO41" i="19"/>
  <c r="AP42" i="25" s="1"/>
  <c r="AQ41" i="25"/>
  <c r="AR41" i="25"/>
  <c r="D41" i="25" s="1"/>
  <c r="J40" i="25"/>
  <c r="AE41" i="25" s="1"/>
  <c r="AY41" i="20" s="1"/>
  <c r="Z41" i="25"/>
  <c r="AV41" i="20" s="1"/>
  <c r="S40" i="19"/>
  <c r="AF40" i="19" s="1"/>
  <c r="F40" i="19" s="1"/>
  <c r="AA41" i="25"/>
  <c r="AB41" i="25"/>
  <c r="I41" i="25"/>
  <c r="AJ41" i="19"/>
  <c r="J41" i="19" s="1"/>
  <c r="AL41" i="19"/>
  <c r="AN39" i="19"/>
  <c r="AI49" i="19"/>
  <c r="I49" i="19" s="1"/>
  <c r="S49" i="22" s="1"/>
  <c r="K180" i="20"/>
  <c r="BV180" i="20" s="1"/>
  <c r="BS41" i="19" l="1"/>
  <c r="AW41" i="20"/>
  <c r="CA181" i="19"/>
  <c r="BH181" i="25"/>
  <c r="BI181" i="25"/>
  <c r="U181" i="25" s="1"/>
  <c r="Y181" i="19"/>
  <c r="AK182" i="25"/>
  <c r="Z181" i="19"/>
  <c r="AL182" i="25"/>
  <c r="Q41" i="19"/>
  <c r="AD41" i="19" s="1"/>
  <c r="D41" i="19" s="1"/>
  <c r="N41" i="22" s="1"/>
  <c r="Y42" i="25"/>
  <c r="B42" i="25"/>
  <c r="C41" i="25"/>
  <c r="X42" i="25" s="1"/>
  <c r="AU42" i="20" s="1"/>
  <c r="U40" i="19"/>
  <c r="AH40" i="19" s="1"/>
  <c r="H40" i="19" s="1"/>
  <c r="R40" i="22" s="1"/>
  <c r="AD41" i="25"/>
  <c r="AX41" i="20" s="1"/>
  <c r="AY41" i="25"/>
  <c r="K41" i="25" s="1"/>
  <c r="T41" i="19"/>
  <c r="BG41" i="19"/>
  <c r="AV41" i="25"/>
  <c r="H41" i="25" s="1"/>
  <c r="AU41" i="25"/>
  <c r="BH41" i="19"/>
  <c r="N39" i="19"/>
  <c r="U39" i="22" s="1"/>
  <c r="AN40" i="19" s="1"/>
  <c r="N40" i="19" s="1"/>
  <c r="U40" i="22" s="1"/>
  <c r="X40" i="22"/>
  <c r="L41" i="19"/>
  <c r="T41" i="22" s="1"/>
  <c r="V42" i="22"/>
  <c r="M42" i="19"/>
  <c r="AI50" i="19"/>
  <c r="I50" i="19" s="1"/>
  <c r="S50" i="22" s="1"/>
  <c r="AL180" i="20"/>
  <c r="BM180" i="19" s="1"/>
  <c r="BG181" i="25" s="1"/>
  <c r="BX182" i="19" l="1"/>
  <c r="BB182" i="20"/>
  <c r="S181" i="25"/>
  <c r="BY182" i="19"/>
  <c r="BF182" i="25"/>
  <c r="R182" i="25" s="1"/>
  <c r="Z182" i="19" s="1"/>
  <c r="T181" i="25"/>
  <c r="W42" i="25"/>
  <c r="P41" i="19"/>
  <c r="C41" i="19" s="1"/>
  <c r="M41" i="22" s="1"/>
  <c r="BC41" i="19"/>
  <c r="AR42" i="25" s="1"/>
  <c r="BQ42" i="19"/>
  <c r="AS42" i="25"/>
  <c r="E42" i="25" s="1"/>
  <c r="BE42" i="19" s="1"/>
  <c r="O42" i="19"/>
  <c r="AB42" i="19" s="1"/>
  <c r="B42" i="19" s="1"/>
  <c r="L42" i="22" s="1"/>
  <c r="V43" i="25"/>
  <c r="BT41" i="19"/>
  <c r="AT41" i="25"/>
  <c r="F41" i="25" s="1"/>
  <c r="BF41" i="19" s="1"/>
  <c r="BU40" i="19"/>
  <c r="AX41" i="25" s="1"/>
  <c r="J41" i="25" s="1"/>
  <c r="AC42" i="25"/>
  <c r="G41" i="25"/>
  <c r="AJ42" i="19"/>
  <c r="J42" i="19" s="1"/>
  <c r="AK42" i="19"/>
  <c r="K42" i="19" s="1"/>
  <c r="AG41" i="19"/>
  <c r="G41" i="19" s="1"/>
  <c r="X41" i="22"/>
  <c r="BU41" i="19" s="1"/>
  <c r="AC180" i="20"/>
  <c r="R42" i="19" l="1"/>
  <c r="E42" i="19" s="1"/>
  <c r="O42" i="22" s="1"/>
  <c r="AN182" i="25"/>
  <c r="CA182" i="19" s="1"/>
  <c r="BK181" i="19"/>
  <c r="BE182" i="25" s="1"/>
  <c r="Q182" i="25" s="1"/>
  <c r="Y182" i="19" s="1"/>
  <c r="AA181" i="19"/>
  <c r="AM182" i="25"/>
  <c r="BC182" i="20" s="1"/>
  <c r="AO182" i="25"/>
  <c r="BI182" i="25" s="1"/>
  <c r="U182" i="25" s="1"/>
  <c r="BO42" i="19"/>
  <c r="AP43" i="25" s="1"/>
  <c r="AQ42" i="25"/>
  <c r="C42" i="25" s="1"/>
  <c r="D42" i="25"/>
  <c r="U41" i="19"/>
  <c r="AH41" i="19" s="1"/>
  <c r="H41" i="19" s="1"/>
  <c r="R41" i="22" s="1"/>
  <c r="AD42" i="25"/>
  <c r="AE42" i="25"/>
  <c r="AY42" i="20" s="1"/>
  <c r="Z42" i="25"/>
  <c r="S41" i="19"/>
  <c r="AF41" i="19" s="1"/>
  <c r="F41" i="19" s="1"/>
  <c r="AA42" i="25"/>
  <c r="AW42" i="20" s="1"/>
  <c r="AW42" i="25"/>
  <c r="I42" i="25" s="1"/>
  <c r="AB42" i="25"/>
  <c r="AV42" i="25" s="1"/>
  <c r="BH42" i="19"/>
  <c r="AN41" i="19"/>
  <c r="N41" i="19" s="1"/>
  <c r="U41" i="22" s="1"/>
  <c r="AL42" i="19"/>
  <c r="K181" i="20"/>
  <c r="BV181" i="20" s="1"/>
  <c r="BT42" i="19" l="1"/>
  <c r="AX42" i="20"/>
  <c r="AT42" i="25"/>
  <c r="F42" i="25" s="1"/>
  <c r="BF42" i="19" s="1"/>
  <c r="AV42" i="20"/>
  <c r="BH182" i="25"/>
  <c r="T182" i="25" s="1"/>
  <c r="BC42" i="19"/>
  <c r="P42" i="19"/>
  <c r="C42" i="19" s="1"/>
  <c r="M42" i="22" s="1"/>
  <c r="W43" i="25"/>
  <c r="AQ43" i="25" s="1"/>
  <c r="B43" i="25"/>
  <c r="Q42" i="19"/>
  <c r="AD42" i="19" s="1"/>
  <c r="D42" i="19" s="1"/>
  <c r="N42" i="22" s="1"/>
  <c r="X43" i="25"/>
  <c r="AU43" i="20" s="1"/>
  <c r="Y43" i="25"/>
  <c r="BQ43" i="19" s="1"/>
  <c r="AX42" i="25"/>
  <c r="J42" i="25" s="1"/>
  <c r="U42" i="19" s="1"/>
  <c r="AH42" i="19" s="1"/>
  <c r="H42" i="19" s="1"/>
  <c r="R42" i="22" s="1"/>
  <c r="AY42" i="25"/>
  <c r="K42" i="25" s="1"/>
  <c r="AU42" i="25"/>
  <c r="G42" i="25" s="1"/>
  <c r="AA43" i="25" s="1"/>
  <c r="AW43" i="20" s="1"/>
  <c r="BS42" i="19"/>
  <c r="T42" i="19"/>
  <c r="BG42" i="19"/>
  <c r="Z43" i="25"/>
  <c r="AV43" i="20" s="1"/>
  <c r="H42" i="25"/>
  <c r="AJ43" i="19"/>
  <c r="J43" i="19" s="1"/>
  <c r="AK43" i="19"/>
  <c r="K43" i="19" s="1"/>
  <c r="L42" i="19"/>
  <c r="T42" i="22" s="1"/>
  <c r="V43" i="22"/>
  <c r="X42" i="22"/>
  <c r="BU42" i="19" s="1"/>
  <c r="AI51" i="19"/>
  <c r="I51" i="19" s="1"/>
  <c r="S51" i="22" s="1"/>
  <c r="AL181" i="20"/>
  <c r="BM181" i="19" s="1"/>
  <c r="BG182" i="25" s="1"/>
  <c r="S182" i="25" s="1"/>
  <c r="S42" i="19" l="1"/>
  <c r="AE43" i="25"/>
  <c r="AY43" i="20" s="1"/>
  <c r="BK182" i="19"/>
  <c r="AA182" i="19"/>
  <c r="AS43" i="25"/>
  <c r="E43" i="25" s="1"/>
  <c r="BE43" i="19" s="1"/>
  <c r="C43" i="25"/>
  <c r="AR43" i="25"/>
  <c r="D43" i="25" s="1"/>
  <c r="O43" i="19"/>
  <c r="AB43" i="19" s="1"/>
  <c r="B43" i="19" s="1"/>
  <c r="L43" i="22" s="1"/>
  <c r="V44" i="25"/>
  <c r="AD43" i="25"/>
  <c r="BO43" i="19"/>
  <c r="W44" i="25"/>
  <c r="AB43" i="25"/>
  <c r="AV43" i="25" s="1"/>
  <c r="H43" i="25" s="1"/>
  <c r="AU43" i="25"/>
  <c r="G43" i="25" s="1"/>
  <c r="BS43" i="19"/>
  <c r="AT43" i="25"/>
  <c r="F43" i="25" s="1"/>
  <c r="BF43" i="19" s="1"/>
  <c r="AY43" i="25"/>
  <c r="K43" i="25" s="1"/>
  <c r="AC43" i="25"/>
  <c r="AF42" i="19"/>
  <c r="F42" i="19" s="1"/>
  <c r="AG42" i="19"/>
  <c r="G42" i="19" s="1"/>
  <c r="AN42" i="19"/>
  <c r="N42" i="19" s="1"/>
  <c r="U42" i="22" s="1"/>
  <c r="M43" i="19"/>
  <c r="AC181" i="20"/>
  <c r="BT43" i="19" l="1"/>
  <c r="AX43" i="20"/>
  <c r="AB44" i="25"/>
  <c r="AV44" i="25" s="1"/>
  <c r="H44" i="25" s="1"/>
  <c r="R43" i="19"/>
  <c r="E43" i="19" s="1"/>
  <c r="O43" i="22" s="1"/>
  <c r="Q43" i="19"/>
  <c r="AD43" i="19" s="1"/>
  <c r="D43" i="19" s="1"/>
  <c r="N43" i="22" s="1"/>
  <c r="Y44" i="25"/>
  <c r="AS44" i="25" s="1"/>
  <c r="E44" i="25" s="1"/>
  <c r="BE44" i="19" s="1"/>
  <c r="X44" i="25"/>
  <c r="AU44" i="20" s="1"/>
  <c r="AP44" i="25"/>
  <c r="AX43" i="25"/>
  <c r="J43" i="25" s="1"/>
  <c r="U43" i="19" s="1"/>
  <c r="BO44" i="19"/>
  <c r="AQ44" i="25"/>
  <c r="BC43" i="19"/>
  <c r="P43" i="19"/>
  <c r="C43" i="19" s="1"/>
  <c r="M43" i="22" s="1"/>
  <c r="Z44" i="25"/>
  <c r="AV44" i="20" s="1"/>
  <c r="S43" i="19"/>
  <c r="AF43" i="19" s="1"/>
  <c r="F43" i="19" s="1"/>
  <c r="AW43" i="25"/>
  <c r="I43" i="25" s="1"/>
  <c r="BG43" i="19" s="1"/>
  <c r="AA44" i="25"/>
  <c r="AW44" i="20" s="1"/>
  <c r="AK44" i="19"/>
  <c r="K44" i="19" s="1"/>
  <c r="AN43" i="19"/>
  <c r="N43" i="19" s="1"/>
  <c r="U43" i="22" s="1"/>
  <c r="X43" i="22"/>
  <c r="BU43" i="19" s="1"/>
  <c r="AL43" i="19"/>
  <c r="AI52" i="19"/>
  <c r="I52" i="19" s="1"/>
  <c r="S52" i="22" s="1"/>
  <c r="K182" i="20"/>
  <c r="BV182" i="20" s="1"/>
  <c r="BQ44" i="19" l="1"/>
  <c r="AR44" i="25"/>
  <c r="D44" i="25" s="1"/>
  <c r="Q44" i="19" s="1"/>
  <c r="AD44" i="19" s="1"/>
  <c r="D44" i="19" s="1"/>
  <c r="N44" i="22" s="1"/>
  <c r="C44" i="25"/>
  <c r="AE44" i="25"/>
  <c r="B44" i="25"/>
  <c r="AU44" i="25"/>
  <c r="G44" i="25" s="1"/>
  <c r="BS44" i="19"/>
  <c r="AT44" i="25"/>
  <c r="F44" i="25" s="1"/>
  <c r="BF44" i="19" s="1"/>
  <c r="AC44" i="25"/>
  <c r="AW44" i="25" s="1"/>
  <c r="T43" i="19"/>
  <c r="AG43" i="19" s="1"/>
  <c r="G43" i="19" s="1"/>
  <c r="R44" i="19"/>
  <c r="E44" i="19" s="1"/>
  <c r="O44" i="22" s="1"/>
  <c r="AD44" i="25"/>
  <c r="AX44" i="20" s="1"/>
  <c r="BH43" i="19"/>
  <c r="AH43" i="19"/>
  <c r="H43" i="19" s="1"/>
  <c r="R43" i="22" s="1"/>
  <c r="X44" i="22"/>
  <c r="AN44" i="19"/>
  <c r="N44" i="19" s="1"/>
  <c r="U44" i="22" s="1"/>
  <c r="L43" i="19"/>
  <c r="T43" i="22" s="1"/>
  <c r="V44" i="22"/>
  <c r="AL182" i="20"/>
  <c r="BM182" i="19" s="1"/>
  <c r="AY44" i="25" l="1"/>
  <c r="K44" i="25" s="1"/>
  <c r="AY44" i="20"/>
  <c r="Y45" i="25"/>
  <c r="BQ45" i="19" s="1"/>
  <c r="O44" i="19"/>
  <c r="AB44" i="19" s="1"/>
  <c r="B44" i="19" s="1"/>
  <c r="L44" i="22" s="1"/>
  <c r="V45" i="25"/>
  <c r="BC44" i="19"/>
  <c r="P44" i="19"/>
  <c r="C44" i="19" s="1"/>
  <c r="M44" i="22" s="1"/>
  <c r="W45" i="25"/>
  <c r="X45" i="25"/>
  <c r="AU45" i="20" s="1"/>
  <c r="BU44" i="19"/>
  <c r="AX44" i="25"/>
  <c r="J44" i="25" s="1"/>
  <c r="U44" i="19" s="1"/>
  <c r="BT44" i="19"/>
  <c r="AA45" i="25"/>
  <c r="AW45" i="20" s="1"/>
  <c r="Z45" i="25"/>
  <c r="AV45" i="20" s="1"/>
  <c r="S44" i="19"/>
  <c r="AF44" i="19" s="1"/>
  <c r="F44" i="19" s="1"/>
  <c r="AB45" i="25"/>
  <c r="AV45" i="25" s="1"/>
  <c r="H45" i="25" s="1"/>
  <c r="I44" i="25"/>
  <c r="BG44" i="19" s="1"/>
  <c r="AJ44" i="19"/>
  <c r="J44" i="19" s="1"/>
  <c r="X45" i="22"/>
  <c r="M44" i="19"/>
  <c r="AI53" i="19"/>
  <c r="I53" i="19" s="1"/>
  <c r="S53" i="22" s="1"/>
  <c r="AC182" i="20"/>
  <c r="AS45" i="25" l="1"/>
  <c r="E45" i="25" s="1"/>
  <c r="BE45" i="19" s="1"/>
  <c r="AR45" i="25"/>
  <c r="D45" i="25" s="1"/>
  <c r="AP45" i="25"/>
  <c r="BO45" i="19"/>
  <c r="AQ45" i="25"/>
  <c r="AU45" i="25"/>
  <c r="G45" i="25" s="1"/>
  <c r="AB46" i="25" s="1"/>
  <c r="BS45" i="19"/>
  <c r="AT45" i="25"/>
  <c r="F45" i="25" s="1"/>
  <c r="AC45" i="25"/>
  <c r="AW45" i="25" s="1"/>
  <c r="T44" i="19"/>
  <c r="AG44" i="19" s="1"/>
  <c r="G44" i="19" s="1"/>
  <c r="AD45" i="25"/>
  <c r="AE45" i="25"/>
  <c r="AY45" i="20" s="1"/>
  <c r="BH44" i="19"/>
  <c r="AH44" i="19"/>
  <c r="H44" i="19" s="1"/>
  <c r="R44" i="22" s="1"/>
  <c r="AL44" i="19"/>
  <c r="AN45" i="19"/>
  <c r="R45" i="19" l="1"/>
  <c r="E45" i="19" s="1"/>
  <c r="O45" i="22" s="1"/>
  <c r="BT45" i="19"/>
  <c r="AX45" i="20"/>
  <c r="Q45" i="19"/>
  <c r="AD45" i="19" s="1"/>
  <c r="D45" i="19" s="1"/>
  <c r="N45" i="22" s="1"/>
  <c r="Y46" i="25"/>
  <c r="B45" i="25"/>
  <c r="C45" i="25"/>
  <c r="X46" i="25" s="1"/>
  <c r="AU46" i="20" s="1"/>
  <c r="Z46" i="25"/>
  <c r="AV46" i="20" s="1"/>
  <c r="BF45" i="19"/>
  <c r="S45" i="19"/>
  <c r="AF45" i="19" s="1"/>
  <c r="F45" i="19" s="1"/>
  <c r="AA46" i="25"/>
  <c r="AW46" i="20" s="1"/>
  <c r="AV46" i="25"/>
  <c r="H46" i="25" s="1"/>
  <c r="AX45" i="25"/>
  <c r="J45" i="25" s="1"/>
  <c r="I45" i="25"/>
  <c r="BG45" i="19" s="1"/>
  <c r="AY45" i="25"/>
  <c r="K45" i="25" s="1"/>
  <c r="AJ45" i="19"/>
  <c r="J45" i="19" s="1"/>
  <c r="AK45" i="19"/>
  <c r="K45" i="19" s="1"/>
  <c r="N45" i="19"/>
  <c r="U45" i="22" s="1"/>
  <c r="X46" i="22"/>
  <c r="L44" i="19"/>
  <c r="T44" i="22" s="1"/>
  <c r="V45" i="22"/>
  <c r="BU45" i="19" s="1"/>
  <c r="AI54" i="19"/>
  <c r="I54" i="19" s="1"/>
  <c r="S54" i="22" s="1"/>
  <c r="BQ46" i="19" l="1"/>
  <c r="AS46" i="25"/>
  <c r="E46" i="25" s="1"/>
  <c r="O45" i="19"/>
  <c r="AB45" i="19" s="1"/>
  <c r="B45" i="19" s="1"/>
  <c r="L45" i="22" s="1"/>
  <c r="V46" i="25"/>
  <c r="P45" i="19"/>
  <c r="C45" i="19" s="1"/>
  <c r="M45" i="22" s="1"/>
  <c r="BC45" i="19"/>
  <c r="AR46" i="25" s="1"/>
  <c r="D46" i="25" s="1"/>
  <c r="W46" i="25"/>
  <c r="AU46" i="25"/>
  <c r="G46" i="25" s="1"/>
  <c r="BS46" i="19"/>
  <c r="AT46" i="25"/>
  <c r="F46" i="25" s="1"/>
  <c r="BF46" i="19" s="1"/>
  <c r="AC46" i="25"/>
  <c r="AW46" i="25" s="1"/>
  <c r="T45" i="19"/>
  <c r="AG45" i="19" s="1"/>
  <c r="G45" i="19" s="1"/>
  <c r="AD46" i="25"/>
  <c r="AX46" i="20" s="1"/>
  <c r="U45" i="19"/>
  <c r="AH45" i="19" s="1"/>
  <c r="H45" i="19" s="1"/>
  <c r="R45" i="22" s="1"/>
  <c r="AE46" i="25"/>
  <c r="AY46" i="20" s="1"/>
  <c r="BH45" i="19"/>
  <c r="M45" i="19"/>
  <c r="BE46" i="19" l="1"/>
  <c r="R46" i="19"/>
  <c r="E46" i="19" s="1"/>
  <c r="O46" i="22" s="1"/>
  <c r="Q46" i="19"/>
  <c r="AD46" i="19" s="1"/>
  <c r="D46" i="19" s="1"/>
  <c r="N46" i="22" s="1"/>
  <c r="Y47" i="25"/>
  <c r="AP46" i="25"/>
  <c r="B46" i="25" s="1"/>
  <c r="O46" i="19" s="1"/>
  <c r="AB46" i="19" s="1"/>
  <c r="B46" i="19" s="1"/>
  <c r="L46" i="22" s="1"/>
  <c r="BO46" i="19"/>
  <c r="AQ46" i="25"/>
  <c r="AY46" i="25"/>
  <c r="K46" i="25" s="1"/>
  <c r="AX46" i="25"/>
  <c r="J46" i="25" s="1"/>
  <c r="U46" i="19" s="1"/>
  <c r="AH46" i="19" s="1"/>
  <c r="H46" i="19" s="1"/>
  <c r="R46" i="22" s="1"/>
  <c r="BT46" i="19"/>
  <c r="Z47" i="25"/>
  <c r="AV47" i="20" s="1"/>
  <c r="S46" i="19"/>
  <c r="AF46" i="19" s="1"/>
  <c r="F46" i="19" s="1"/>
  <c r="I46" i="25"/>
  <c r="BG46" i="19" s="1"/>
  <c r="AA47" i="25"/>
  <c r="AB47" i="25"/>
  <c r="AK46" i="19"/>
  <c r="K46" i="19" s="1"/>
  <c r="BH46" i="19"/>
  <c r="AL45" i="19"/>
  <c r="AN46" i="19"/>
  <c r="AI55" i="19"/>
  <c r="I55" i="19" s="1"/>
  <c r="S55" i="22" s="1"/>
  <c r="BS47" i="19" l="1"/>
  <c r="AW47" i="20"/>
  <c r="BQ47" i="19"/>
  <c r="AS47" i="25"/>
  <c r="E47" i="25" s="1"/>
  <c r="C46" i="25"/>
  <c r="V47" i="25"/>
  <c r="AE47" i="25"/>
  <c r="AY47" i="20" s="1"/>
  <c r="AC47" i="25"/>
  <c r="AW47" i="25" s="1"/>
  <c r="I47" i="25" s="1"/>
  <c r="T46" i="19"/>
  <c r="AG46" i="19" s="1"/>
  <c r="G46" i="19" s="1"/>
  <c r="AV47" i="25"/>
  <c r="H47" i="25" s="1"/>
  <c r="AU47" i="25"/>
  <c r="G47" i="25" s="1"/>
  <c r="AD47" i="25"/>
  <c r="AJ46" i="19"/>
  <c r="J46" i="19" s="1"/>
  <c r="N46" i="19"/>
  <c r="U46" i="22" s="1"/>
  <c r="X47" i="22"/>
  <c r="L45" i="19"/>
  <c r="T45" i="22" s="1"/>
  <c r="V46" i="22"/>
  <c r="AI56" i="19"/>
  <c r="I56" i="19" s="1"/>
  <c r="S56" i="22" s="1"/>
  <c r="BT47" i="19" l="1"/>
  <c r="AX47" i="20"/>
  <c r="BC46" i="19"/>
  <c r="P46" i="19"/>
  <c r="C46" i="19" s="1"/>
  <c r="M46" i="22" s="1"/>
  <c r="X47" i="25"/>
  <c r="AU47" i="20" s="1"/>
  <c r="W47" i="25"/>
  <c r="R47" i="19"/>
  <c r="E47" i="19" s="1"/>
  <c r="O47" i="22" s="1"/>
  <c r="BE47" i="19"/>
  <c r="AP47" i="25"/>
  <c r="AT47" i="25"/>
  <c r="F47" i="25" s="1"/>
  <c r="BF47" i="19" s="1"/>
  <c r="BU46" i="19"/>
  <c r="AX47" i="25" s="1"/>
  <c r="J47" i="25" s="1"/>
  <c r="U47" i="19" s="1"/>
  <c r="AH47" i="19" s="1"/>
  <c r="H47" i="19" s="1"/>
  <c r="R47" i="22" s="1"/>
  <c r="AY47" i="25"/>
  <c r="K47" i="25" s="1"/>
  <c r="T47" i="19"/>
  <c r="AG47" i="19" s="1"/>
  <c r="G47" i="19" s="1"/>
  <c r="BG47" i="19"/>
  <c r="AC48" i="25"/>
  <c r="AW48" i="25" s="1"/>
  <c r="AB48" i="25"/>
  <c r="AV48" i="25" s="1"/>
  <c r="AJ47" i="19"/>
  <c r="J47" i="19" s="1"/>
  <c r="AK47" i="19"/>
  <c r="K47" i="19" s="1"/>
  <c r="BH47" i="19"/>
  <c r="M46" i="19"/>
  <c r="M57" i="22"/>
  <c r="AR47" i="25" l="1"/>
  <c r="BO47" i="19"/>
  <c r="AQ47" i="25"/>
  <c r="C47" i="25" s="1"/>
  <c r="B47" i="25"/>
  <c r="Z48" i="25"/>
  <c r="AV48" i="20" s="1"/>
  <c r="S47" i="19"/>
  <c r="AF47" i="19" s="1"/>
  <c r="F47" i="19" s="1"/>
  <c r="AD48" i="25"/>
  <c r="AE48" i="25"/>
  <c r="AY48" i="20" s="1"/>
  <c r="H48" i="25"/>
  <c r="I48" i="25"/>
  <c r="AA48" i="25"/>
  <c r="AJ48" i="19"/>
  <c r="J48" i="19" s="1"/>
  <c r="AL46" i="19"/>
  <c r="AI57" i="19"/>
  <c r="I57" i="19" s="1"/>
  <c r="S57" i="22" s="1"/>
  <c r="BT48" i="19" l="1"/>
  <c r="AX48" i="20"/>
  <c r="BS48" i="19"/>
  <c r="AW48" i="20"/>
  <c r="P47" i="19"/>
  <c r="C47" i="19" s="1"/>
  <c r="M47" i="22" s="1"/>
  <c r="BC47" i="19"/>
  <c r="W48" i="25"/>
  <c r="O47" i="19"/>
  <c r="AB47" i="19" s="1"/>
  <c r="B47" i="19" s="1"/>
  <c r="L47" i="22" s="1"/>
  <c r="V48" i="25"/>
  <c r="D47" i="25"/>
  <c r="AY48" i="25"/>
  <c r="K48" i="25" s="1"/>
  <c r="T48" i="19"/>
  <c r="AG48" i="19" s="1"/>
  <c r="G48" i="19" s="1"/>
  <c r="BG48" i="19"/>
  <c r="AU48" i="25"/>
  <c r="G48" i="25" s="1"/>
  <c r="AC49" i="25"/>
  <c r="BH48" i="19"/>
  <c r="AK48" i="19"/>
  <c r="K48" i="19" s="1"/>
  <c r="AN47" i="19"/>
  <c r="L46" i="19"/>
  <c r="T46" i="22" s="1"/>
  <c r="V47" i="22"/>
  <c r="AI58" i="19"/>
  <c r="I58" i="19" s="1"/>
  <c r="S58" i="22" s="1"/>
  <c r="AP48" i="25" l="1"/>
  <c r="BO48" i="19"/>
  <c r="Q47" i="19"/>
  <c r="AD47" i="19" s="1"/>
  <c r="D47" i="19" s="1"/>
  <c r="N47" i="22" s="1"/>
  <c r="Y48" i="25"/>
  <c r="X48" i="25"/>
  <c r="AU48" i="20" s="1"/>
  <c r="AQ48" i="25"/>
  <c r="AT48" i="25"/>
  <c r="F48" i="25" s="1"/>
  <c r="BF48" i="19" s="1"/>
  <c r="BU47" i="19"/>
  <c r="AX48" i="25" s="1"/>
  <c r="J48" i="25" s="1"/>
  <c r="AD49" i="25" s="1"/>
  <c r="AB49" i="25"/>
  <c r="AW49" i="25"/>
  <c r="AJ49" i="19"/>
  <c r="J49" i="19" s="1"/>
  <c r="M47" i="19"/>
  <c r="N47" i="19"/>
  <c r="U47" i="22" s="1"/>
  <c r="X48" i="22"/>
  <c r="BT49" i="19" l="1"/>
  <c r="AX49" i="20"/>
  <c r="BQ48" i="19"/>
  <c r="AS48" i="25"/>
  <c r="E48" i="25" s="1"/>
  <c r="AR48" i="25"/>
  <c r="C48" i="25"/>
  <c r="B48" i="25"/>
  <c r="S48" i="19"/>
  <c r="AF48" i="19" s="1"/>
  <c r="F48" i="19" s="1"/>
  <c r="AE49" i="25"/>
  <c r="AA49" i="25"/>
  <c r="U48" i="19"/>
  <c r="AH48" i="19" s="1"/>
  <c r="H48" i="19" s="1"/>
  <c r="R48" i="22" s="1"/>
  <c r="I49" i="25"/>
  <c r="AV49" i="25"/>
  <c r="H49" i="25" s="1"/>
  <c r="AK49" i="19"/>
  <c r="K49" i="19" s="1"/>
  <c r="BH49" i="19"/>
  <c r="AL47" i="19"/>
  <c r="AI59" i="19"/>
  <c r="I59" i="19" s="1"/>
  <c r="S59" i="22" s="1"/>
  <c r="AY49" i="25" l="1"/>
  <c r="K49" i="25" s="1"/>
  <c r="AY49" i="20"/>
  <c r="BS49" i="19"/>
  <c r="AW49" i="20"/>
  <c r="BE48" i="19"/>
  <c r="R48" i="19"/>
  <c r="E48" i="19" s="1"/>
  <c r="O48" i="22" s="1"/>
  <c r="Z49" i="25"/>
  <c r="AV49" i="20" s="1"/>
  <c r="P48" i="19"/>
  <c r="C48" i="19" s="1"/>
  <c r="M48" i="22" s="1"/>
  <c r="BC48" i="19"/>
  <c r="W49" i="25"/>
  <c r="O48" i="19"/>
  <c r="AB48" i="19" s="1"/>
  <c r="B48" i="19" s="1"/>
  <c r="L48" i="22" s="1"/>
  <c r="V49" i="25"/>
  <c r="D48" i="25"/>
  <c r="Y49" i="25" s="1"/>
  <c r="AS49" i="25" s="1"/>
  <c r="E49" i="25" s="1"/>
  <c r="AU49" i="25"/>
  <c r="G49" i="25" s="1"/>
  <c r="AB50" i="25" s="1"/>
  <c r="AV50" i="25" s="1"/>
  <c r="H50" i="25" s="1"/>
  <c r="T49" i="19"/>
  <c r="AG49" i="19" s="1"/>
  <c r="G49" i="19" s="1"/>
  <c r="BG49" i="19"/>
  <c r="AC50" i="25"/>
  <c r="AJ50" i="19"/>
  <c r="J50" i="19" s="1"/>
  <c r="L47" i="19"/>
  <c r="T47" i="22" s="1"/>
  <c r="V48" i="22"/>
  <c r="AN48" i="19"/>
  <c r="BO49" i="19" l="1"/>
  <c r="AQ49" i="25"/>
  <c r="C49" i="25" s="1"/>
  <c r="Q48" i="19"/>
  <c r="AD48" i="19" s="1"/>
  <c r="D48" i="19" s="1"/>
  <c r="N48" i="22" s="1"/>
  <c r="X49" i="25"/>
  <c r="AU49" i="20" s="1"/>
  <c r="BE49" i="19"/>
  <c r="R49" i="19"/>
  <c r="E49" i="19" s="1"/>
  <c r="O49" i="22" s="1"/>
  <c r="BQ49" i="19"/>
  <c r="AP49" i="25"/>
  <c r="AT49" i="25"/>
  <c r="F49" i="25" s="1"/>
  <c r="BU48" i="19"/>
  <c r="AX49" i="25" s="1"/>
  <c r="J49" i="25" s="1"/>
  <c r="AW50" i="25"/>
  <c r="AK50" i="19"/>
  <c r="K50" i="19" s="1"/>
  <c r="N48" i="19"/>
  <c r="U48" i="22" s="1"/>
  <c r="X49" i="22"/>
  <c r="M48" i="19"/>
  <c r="AL48" i="19"/>
  <c r="L48" i="19" s="1"/>
  <c r="T48" i="22" s="1"/>
  <c r="AI60" i="19"/>
  <c r="I60" i="19" s="1"/>
  <c r="S60" i="22" s="1"/>
  <c r="M60" i="22"/>
  <c r="BC49" i="19" l="1"/>
  <c r="P49" i="19"/>
  <c r="C49" i="19" s="1"/>
  <c r="M49" i="22" s="1"/>
  <c r="AR49" i="25"/>
  <c r="B49" i="25"/>
  <c r="W50" i="25" s="1"/>
  <c r="U49" i="19"/>
  <c r="AH49" i="19" s="1"/>
  <c r="H49" i="19" s="1"/>
  <c r="R49" i="22" s="1"/>
  <c r="AE50" i="25"/>
  <c r="AY50" i="20" s="1"/>
  <c r="AD50" i="25"/>
  <c r="S49" i="19"/>
  <c r="AF49" i="19" s="1"/>
  <c r="F49" i="19" s="1"/>
  <c r="BF49" i="19"/>
  <c r="Z50" i="25"/>
  <c r="AV50" i="20" s="1"/>
  <c r="AA50" i="25"/>
  <c r="I50" i="25"/>
  <c r="BG50" i="19" s="1"/>
  <c r="BH50" i="19"/>
  <c r="V49" i="22"/>
  <c r="BU49" i="19" s="1"/>
  <c r="AN49" i="19"/>
  <c r="N49" i="19" s="1"/>
  <c r="U49" i="22" s="1"/>
  <c r="BT50" i="19" l="1"/>
  <c r="AX50" i="20"/>
  <c r="BS50" i="19"/>
  <c r="AW50" i="20"/>
  <c r="BO50" i="19"/>
  <c r="AQ50" i="25"/>
  <c r="C50" i="25" s="1"/>
  <c r="AY50" i="25"/>
  <c r="K50" i="25" s="1"/>
  <c r="O49" i="19"/>
  <c r="AB49" i="19" s="1"/>
  <c r="B49" i="19" s="1"/>
  <c r="L49" i="22" s="1"/>
  <c r="V50" i="25"/>
  <c r="D49" i="25"/>
  <c r="AX50" i="25"/>
  <c r="J50" i="25" s="1"/>
  <c r="AC51" i="25"/>
  <c r="AW51" i="25" s="1"/>
  <c r="T50" i="19"/>
  <c r="AG50" i="19" s="1"/>
  <c r="G50" i="19" s="1"/>
  <c r="AU50" i="25"/>
  <c r="AT50" i="25"/>
  <c r="F50" i="25" s="1"/>
  <c r="BF50" i="19" s="1"/>
  <c r="AK51" i="19"/>
  <c r="K51" i="19" s="1"/>
  <c r="AJ51" i="19"/>
  <c r="J51" i="19" s="1"/>
  <c r="M49" i="19"/>
  <c r="AL49" i="19"/>
  <c r="L49" i="19" s="1"/>
  <c r="T49" i="22" s="1"/>
  <c r="X50" i="22"/>
  <c r="AI61" i="19"/>
  <c r="I61" i="19" s="1"/>
  <c r="S61" i="22" s="1"/>
  <c r="BC50" i="19" l="1"/>
  <c r="P50" i="19"/>
  <c r="C50" i="19" s="1"/>
  <c r="M50" i="22" s="1"/>
  <c r="AP50" i="25"/>
  <c r="Q49" i="19"/>
  <c r="AD49" i="19" s="1"/>
  <c r="D49" i="19" s="1"/>
  <c r="N49" i="22" s="1"/>
  <c r="Y50" i="25"/>
  <c r="X50" i="25"/>
  <c r="AU50" i="20" s="1"/>
  <c r="U50" i="19"/>
  <c r="AH50" i="19" s="1"/>
  <c r="H50" i="19" s="1"/>
  <c r="R50" i="22" s="1"/>
  <c r="AD51" i="25"/>
  <c r="AE51" i="25"/>
  <c r="I51" i="25"/>
  <c r="S50" i="19"/>
  <c r="AF50" i="19" s="1"/>
  <c r="F50" i="19" s="1"/>
  <c r="G50" i="25"/>
  <c r="BH51" i="19"/>
  <c r="AN50" i="19"/>
  <c r="N50" i="19" s="1"/>
  <c r="U50" i="22" s="1"/>
  <c r="V50" i="22"/>
  <c r="BT51" i="19" l="1"/>
  <c r="AX51" i="20"/>
  <c r="AY51" i="25"/>
  <c r="K51" i="25" s="1"/>
  <c r="AY51" i="20"/>
  <c r="BQ50" i="19"/>
  <c r="AS50" i="25"/>
  <c r="AR50" i="25"/>
  <c r="D50" i="25" s="1"/>
  <c r="Q50" i="19" s="1"/>
  <c r="AD50" i="19" s="1"/>
  <c r="D50" i="19" s="1"/>
  <c r="N50" i="22" s="1"/>
  <c r="B50" i="25"/>
  <c r="BU50" i="19"/>
  <c r="AX51" i="25" s="1"/>
  <c r="J51" i="25" s="1"/>
  <c r="AD52" i="25" s="1"/>
  <c r="AX52" i="20" s="1"/>
  <c r="T51" i="19"/>
  <c r="AG51" i="19" s="1"/>
  <c r="G51" i="19" s="1"/>
  <c r="BG51" i="19"/>
  <c r="AA51" i="25"/>
  <c r="AB51" i="25"/>
  <c r="AJ52" i="19"/>
  <c r="J52" i="19" s="1"/>
  <c r="AK52" i="19"/>
  <c r="K52" i="19" s="1"/>
  <c r="M50" i="19"/>
  <c r="AL50" i="19"/>
  <c r="L50" i="19" s="1"/>
  <c r="T50" i="22" s="1"/>
  <c r="X51" i="22"/>
  <c r="AI62" i="19"/>
  <c r="I62" i="19" s="1"/>
  <c r="S62" i="22" s="1"/>
  <c r="BS51" i="19" l="1"/>
  <c r="AW51" i="20"/>
  <c r="O50" i="19"/>
  <c r="AB50" i="19" s="1"/>
  <c r="B50" i="19" s="1"/>
  <c r="L50" i="22" s="1"/>
  <c r="W51" i="25"/>
  <c r="V51" i="25"/>
  <c r="E50" i="25"/>
  <c r="X51" i="25"/>
  <c r="AU51" i="20" s="1"/>
  <c r="U51" i="19"/>
  <c r="AH51" i="19" s="1"/>
  <c r="H51" i="19" s="1"/>
  <c r="R51" i="22" s="1"/>
  <c r="AE52" i="25"/>
  <c r="AY52" i="20" s="1"/>
  <c r="BT52" i="19"/>
  <c r="AU51" i="25"/>
  <c r="G51" i="25" s="1"/>
  <c r="AV51" i="25"/>
  <c r="H51" i="25" s="1"/>
  <c r="V51" i="22"/>
  <c r="BE50" i="19" l="1"/>
  <c r="R50" i="19"/>
  <c r="E50" i="19" s="1"/>
  <c r="O50" i="22" s="1"/>
  <c r="Z51" i="25"/>
  <c r="AV51" i="20" s="1"/>
  <c r="Y51" i="25"/>
  <c r="AP51" i="25"/>
  <c r="AR51" i="25"/>
  <c r="BO51" i="19"/>
  <c r="AQ51" i="25"/>
  <c r="C51" i="25" s="1"/>
  <c r="BU51" i="19"/>
  <c r="AX52" i="25" s="1"/>
  <c r="J52" i="25" s="1"/>
  <c r="U52" i="19" s="1"/>
  <c r="AH52" i="19" s="1"/>
  <c r="H52" i="19" s="1"/>
  <c r="R52" i="22" s="1"/>
  <c r="AB52" i="25"/>
  <c r="AC52" i="25"/>
  <c r="AK53" i="19"/>
  <c r="K53" i="19" s="1"/>
  <c r="BH52" i="19"/>
  <c r="AL51" i="19"/>
  <c r="L51" i="19" s="1"/>
  <c r="T51" i="22" s="1"/>
  <c r="AN51" i="19"/>
  <c r="M51" i="19"/>
  <c r="AI63" i="19"/>
  <c r="I63" i="19" s="1"/>
  <c r="S63" i="22" s="1"/>
  <c r="AT51" i="25" l="1"/>
  <c r="D51" i="25"/>
  <c r="BC51" i="19"/>
  <c r="P51" i="19"/>
  <c r="C51" i="19" s="1"/>
  <c r="M51" i="22" s="1"/>
  <c r="B51" i="25"/>
  <c r="W52" i="25" s="1"/>
  <c r="BQ51" i="19"/>
  <c r="AS51" i="25"/>
  <c r="E51" i="25" s="1"/>
  <c r="AW52" i="25"/>
  <c r="I52" i="25" s="1"/>
  <c r="AV52" i="25"/>
  <c r="AJ53" i="19"/>
  <c r="J53" i="19" s="1"/>
  <c r="V52" i="22"/>
  <c r="M52" i="19"/>
  <c r="AL52" i="19"/>
  <c r="L52" i="19" s="1"/>
  <c r="T52" i="22" s="1"/>
  <c r="N51" i="19"/>
  <c r="U51" i="22" s="1"/>
  <c r="X52" i="22"/>
  <c r="BO52" i="19" l="1"/>
  <c r="Q51" i="19"/>
  <c r="AD51" i="19" s="1"/>
  <c r="D51" i="19" s="1"/>
  <c r="N51" i="22" s="1"/>
  <c r="X52" i="25"/>
  <c r="AU52" i="20" s="1"/>
  <c r="AQ52" i="25"/>
  <c r="BE51" i="19"/>
  <c r="R51" i="19"/>
  <c r="E51" i="19" s="1"/>
  <c r="O51" i="22" s="1"/>
  <c r="Y52" i="25"/>
  <c r="O51" i="19"/>
  <c r="AB51" i="19" s="1"/>
  <c r="B51" i="19" s="1"/>
  <c r="L51" i="22" s="1"/>
  <c r="V52" i="25"/>
  <c r="F51" i="25"/>
  <c r="BU52" i="19"/>
  <c r="T52" i="19"/>
  <c r="AG52" i="19" s="1"/>
  <c r="G52" i="19" s="1"/>
  <c r="BG52" i="19"/>
  <c r="AD53" i="25"/>
  <c r="H52" i="25"/>
  <c r="BH53" i="19"/>
  <c r="V53" i="22"/>
  <c r="AI64" i="19"/>
  <c r="I64" i="19" s="1"/>
  <c r="S64" i="22" s="1"/>
  <c r="BT53" i="19" l="1"/>
  <c r="AX53" i="20"/>
  <c r="BF51" i="19"/>
  <c r="AY52" i="25" s="1"/>
  <c r="S51" i="19"/>
  <c r="AF51" i="19" s="1"/>
  <c r="F51" i="19" s="1"/>
  <c r="AA52" i="25"/>
  <c r="AW52" i="20" s="1"/>
  <c r="Z52" i="25"/>
  <c r="AV52" i="20" s="1"/>
  <c r="AP52" i="25"/>
  <c r="C52" i="25"/>
  <c r="AS52" i="25"/>
  <c r="BQ52" i="19"/>
  <c r="AR52" i="25"/>
  <c r="AC53" i="25"/>
  <c r="AX53" i="25"/>
  <c r="J53" i="25" s="1"/>
  <c r="U53" i="19" s="1"/>
  <c r="AH53" i="19" s="1"/>
  <c r="H53" i="19" s="1"/>
  <c r="R53" i="22" s="1"/>
  <c r="AJ54" i="19"/>
  <c r="J54" i="19" s="1"/>
  <c r="AK54" i="19"/>
  <c r="K54" i="19" s="1"/>
  <c r="AL53" i="19"/>
  <c r="L53" i="19" s="1"/>
  <c r="T53" i="22" s="1"/>
  <c r="M53" i="19"/>
  <c r="AN52" i="19"/>
  <c r="AT52" i="25" l="1"/>
  <c r="F52" i="25" s="1"/>
  <c r="D52" i="25"/>
  <c r="E52" i="25"/>
  <c r="BS52" i="19"/>
  <c r="AU52" i="25"/>
  <c r="P52" i="19"/>
  <c r="C52" i="19" s="1"/>
  <c r="M52" i="22" s="1"/>
  <c r="BC52" i="19"/>
  <c r="B52" i="25"/>
  <c r="K52" i="25"/>
  <c r="AE53" i="25" s="1"/>
  <c r="AY53" i="20" s="1"/>
  <c r="V54" i="22"/>
  <c r="AW53" i="25"/>
  <c r="AJ55" i="19"/>
  <c r="J55" i="19" s="1"/>
  <c r="BH54" i="19"/>
  <c r="N52" i="19"/>
  <c r="U52" i="22" s="1"/>
  <c r="X53" i="22"/>
  <c r="M54" i="19"/>
  <c r="AI65" i="19"/>
  <c r="I65" i="19" s="1"/>
  <c r="S65" i="22" s="1"/>
  <c r="BF52" i="19" l="1"/>
  <c r="AY53" i="25" s="1"/>
  <c r="S52" i="19"/>
  <c r="AF52" i="19" s="1"/>
  <c r="F52" i="19" s="1"/>
  <c r="Z53" i="25"/>
  <c r="AV53" i="20" s="1"/>
  <c r="O52" i="19"/>
  <c r="AB52" i="19" s="1"/>
  <c r="B52" i="19" s="1"/>
  <c r="L52" i="22" s="1"/>
  <c r="V53" i="25"/>
  <c r="W53" i="25"/>
  <c r="G52" i="25"/>
  <c r="Q52" i="19"/>
  <c r="AD52" i="19" s="1"/>
  <c r="D52" i="19" s="1"/>
  <c r="N52" i="22" s="1"/>
  <c r="X53" i="25"/>
  <c r="AU53" i="20" s="1"/>
  <c r="BE52" i="19"/>
  <c r="R52" i="19"/>
  <c r="E52" i="19" s="1"/>
  <c r="O52" i="22" s="1"/>
  <c r="Y53" i="25"/>
  <c r="BU53" i="19"/>
  <c r="I53" i="25"/>
  <c r="AK55" i="19"/>
  <c r="K55" i="19" s="1"/>
  <c r="AL54" i="19"/>
  <c r="AI66" i="19"/>
  <c r="I66" i="19" s="1"/>
  <c r="S66" i="22" s="1"/>
  <c r="K53" i="25" l="1"/>
  <c r="AE54" i="25" s="1"/>
  <c r="AY54" i="20" s="1"/>
  <c r="BQ53" i="19"/>
  <c r="AS53" i="25"/>
  <c r="AP53" i="25"/>
  <c r="B53" i="25" s="1"/>
  <c r="O53" i="19" s="1"/>
  <c r="AB53" i="19" s="1"/>
  <c r="B53" i="19" s="1"/>
  <c r="L53" i="22" s="1"/>
  <c r="AR53" i="25"/>
  <c r="BO53" i="19"/>
  <c r="AQ53" i="25"/>
  <c r="AT53" i="25"/>
  <c r="AB53" i="25"/>
  <c r="AA53" i="25"/>
  <c r="AW53" i="20" s="1"/>
  <c r="T53" i="19"/>
  <c r="AG53" i="19" s="1"/>
  <c r="G53" i="19" s="1"/>
  <c r="BG53" i="19"/>
  <c r="AD54" i="25"/>
  <c r="L54" i="19"/>
  <c r="T54" i="22" s="1"/>
  <c r="V55" i="22"/>
  <c r="M55" i="19"/>
  <c r="AN53" i="19"/>
  <c r="BT54" i="19" l="1"/>
  <c r="AX54" i="20"/>
  <c r="V54" i="25"/>
  <c r="AP54" i="25" s="1"/>
  <c r="B54" i="25" s="1"/>
  <c r="O54" i="19" s="1"/>
  <c r="AB54" i="19" s="1"/>
  <c r="B54" i="19" s="1"/>
  <c r="L54" i="22" s="1"/>
  <c r="C53" i="25"/>
  <c r="BS53" i="19"/>
  <c r="AU53" i="25"/>
  <c r="D53" i="25"/>
  <c r="F53" i="25"/>
  <c r="AV53" i="25"/>
  <c r="E53" i="25"/>
  <c r="AX54" i="25"/>
  <c r="J54" i="25" s="1"/>
  <c r="U54" i="19" s="1"/>
  <c r="AH54" i="19" s="1"/>
  <c r="H54" i="19" s="1"/>
  <c r="R54" i="22" s="1"/>
  <c r="AK56" i="19"/>
  <c r="K56" i="19" s="1"/>
  <c r="BH55" i="19"/>
  <c r="N53" i="19"/>
  <c r="U53" i="22" s="1"/>
  <c r="AN54" i="19" s="1"/>
  <c r="N54" i="19" s="1"/>
  <c r="U54" i="22" s="1"/>
  <c r="X54" i="22"/>
  <c r="AL55" i="19"/>
  <c r="L55" i="19" s="1"/>
  <c r="T55" i="22" s="1"/>
  <c r="Q53" i="19" l="1"/>
  <c r="AD53" i="19" s="1"/>
  <c r="D53" i="19" s="1"/>
  <c r="N53" i="22" s="1"/>
  <c r="X54" i="25"/>
  <c r="AU54" i="20" s="1"/>
  <c r="BE53" i="19"/>
  <c r="R53" i="19"/>
  <c r="E53" i="19" s="1"/>
  <c r="O53" i="22" s="1"/>
  <c r="Y54" i="25"/>
  <c r="V55" i="25"/>
  <c r="G53" i="25"/>
  <c r="AA54" i="25" s="1"/>
  <c r="AW54" i="20" s="1"/>
  <c r="P53" i="19"/>
  <c r="C53" i="19" s="1"/>
  <c r="M53" i="22" s="1"/>
  <c r="BC53" i="19"/>
  <c r="W54" i="25"/>
  <c r="H53" i="25"/>
  <c r="BF53" i="19"/>
  <c r="AY54" i="25" s="1"/>
  <c r="K54" i="25" s="1"/>
  <c r="AE55" i="25" s="1"/>
  <c r="AY55" i="20" s="1"/>
  <c r="S53" i="19"/>
  <c r="AF53" i="19" s="1"/>
  <c r="F53" i="19" s="1"/>
  <c r="Z54" i="25"/>
  <c r="AV54" i="20" s="1"/>
  <c r="BU54" i="19"/>
  <c r="AJ56" i="19"/>
  <c r="J56" i="19" s="1"/>
  <c r="V56" i="22"/>
  <c r="X55" i="22"/>
  <c r="AI67" i="19"/>
  <c r="I67" i="19" s="1"/>
  <c r="S67" i="22" s="1"/>
  <c r="AT54" i="25" l="1"/>
  <c r="BO54" i="19"/>
  <c r="AQ54" i="25"/>
  <c r="AR54" i="25"/>
  <c r="D54" i="25" s="1"/>
  <c r="Q54" i="19" s="1"/>
  <c r="AD54" i="19" s="1"/>
  <c r="D54" i="19" s="1"/>
  <c r="N54" i="22" s="1"/>
  <c r="BQ54" i="19"/>
  <c r="AS54" i="25"/>
  <c r="E54" i="25" s="1"/>
  <c r="BS54" i="19"/>
  <c r="AP55" i="25"/>
  <c r="AB54" i="25"/>
  <c r="AV54" i="25" s="1"/>
  <c r="AC54" i="25"/>
  <c r="AU54" i="25"/>
  <c r="BU55" i="19"/>
  <c r="AK57" i="19"/>
  <c r="K57" i="19" s="1"/>
  <c r="BH56" i="19"/>
  <c r="AL56" i="19"/>
  <c r="AN55" i="19"/>
  <c r="N55" i="19" s="1"/>
  <c r="U55" i="22" s="1"/>
  <c r="M56" i="19"/>
  <c r="Y55" i="25" l="1"/>
  <c r="BQ55" i="19" s="1"/>
  <c r="AW54" i="25"/>
  <c r="I54" i="25" s="1"/>
  <c r="H54" i="25"/>
  <c r="F54" i="25"/>
  <c r="G54" i="25"/>
  <c r="B55" i="25"/>
  <c r="BE54" i="19"/>
  <c r="R54" i="19"/>
  <c r="E54" i="19" s="1"/>
  <c r="O54" i="22" s="1"/>
  <c r="C54" i="25"/>
  <c r="AJ57" i="19"/>
  <c r="J57" i="19" s="1"/>
  <c r="X56" i="22"/>
  <c r="AN56" i="19"/>
  <c r="N56" i="19" s="1"/>
  <c r="U56" i="22" s="1"/>
  <c r="L56" i="19"/>
  <c r="T56" i="22" s="1"/>
  <c r="V57" i="22"/>
  <c r="M57" i="19"/>
  <c r="AI68" i="19"/>
  <c r="I68" i="19" s="1"/>
  <c r="S68" i="22" s="1"/>
  <c r="AS55" i="25" l="1"/>
  <c r="E55" i="25" s="1"/>
  <c r="AA55" i="25"/>
  <c r="AB55" i="25"/>
  <c r="BC54" i="19"/>
  <c r="P54" i="19"/>
  <c r="C54" i="19" s="1"/>
  <c r="M54" i="22" s="1"/>
  <c r="W55" i="25"/>
  <c r="S54" i="19"/>
  <c r="AF54" i="19" s="1"/>
  <c r="F54" i="19" s="1"/>
  <c r="BF54" i="19"/>
  <c r="AY55" i="25" s="1"/>
  <c r="K55" i="25" s="1"/>
  <c r="Z55" i="25"/>
  <c r="AV55" i="20" s="1"/>
  <c r="BG54" i="19"/>
  <c r="T54" i="19"/>
  <c r="AG54" i="19" s="1"/>
  <c r="G54" i="19" s="1"/>
  <c r="AD55" i="25"/>
  <c r="AX55" i="20" s="1"/>
  <c r="AC55" i="25"/>
  <c r="O55" i="19"/>
  <c r="AB55" i="19" s="1"/>
  <c r="B55" i="19" s="1"/>
  <c r="L55" i="22" s="1"/>
  <c r="V56" i="25"/>
  <c r="X55" i="25"/>
  <c r="AU55" i="20" s="1"/>
  <c r="AK58" i="19"/>
  <c r="K58" i="19" s="1"/>
  <c r="AN57" i="19"/>
  <c r="N57" i="19" s="1"/>
  <c r="U57" i="22" s="1"/>
  <c r="X57" i="22"/>
  <c r="AI69" i="19"/>
  <c r="I69" i="19" s="1"/>
  <c r="S69" i="22" s="1"/>
  <c r="BS55" i="19" l="1"/>
  <c r="AW55" i="20"/>
  <c r="AU55" i="25"/>
  <c r="G55" i="25" s="1"/>
  <c r="AW55" i="25"/>
  <c r="I55" i="25" s="1"/>
  <c r="AR55" i="25"/>
  <c r="BO55" i="19"/>
  <c r="AP56" i="25" s="1"/>
  <c r="B56" i="25" s="1"/>
  <c r="AQ55" i="25"/>
  <c r="C55" i="25" s="1"/>
  <c r="BE55" i="19"/>
  <c r="R55" i="19"/>
  <c r="E55" i="19" s="1"/>
  <c r="O55" i="22" s="1"/>
  <c r="BT55" i="19"/>
  <c r="AX55" i="25"/>
  <c r="AT55" i="25"/>
  <c r="AV55" i="25"/>
  <c r="AL57" i="19"/>
  <c r="X58" i="22"/>
  <c r="O56" i="19" l="1"/>
  <c r="AB56" i="19" s="1"/>
  <c r="B56" i="19" s="1"/>
  <c r="L56" i="22" s="1"/>
  <c r="V57" i="25"/>
  <c r="P55" i="19"/>
  <c r="C55" i="19" s="1"/>
  <c r="M55" i="22" s="1"/>
  <c r="BC55" i="19"/>
  <c r="W56" i="25"/>
  <c r="AQ56" i="25" s="1"/>
  <c r="BG55" i="19"/>
  <c r="T55" i="19"/>
  <c r="AG55" i="19" s="1"/>
  <c r="G55" i="19" s="1"/>
  <c r="H55" i="25"/>
  <c r="AB56" i="25" s="1"/>
  <c r="F55" i="25"/>
  <c r="J55" i="25"/>
  <c r="D55" i="25"/>
  <c r="L57" i="19"/>
  <c r="T57" i="22" s="1"/>
  <c r="V58" i="22"/>
  <c r="AN58" i="19"/>
  <c r="N58" i="19" s="1"/>
  <c r="U58" i="22" s="1"/>
  <c r="AI70" i="19"/>
  <c r="I70" i="19" s="1"/>
  <c r="S70" i="22" s="1"/>
  <c r="AC56" i="25" l="1"/>
  <c r="Q55" i="19"/>
  <c r="AD55" i="19" s="1"/>
  <c r="D55" i="19" s="1"/>
  <c r="N55" i="22" s="1"/>
  <c r="X56" i="25"/>
  <c r="AU56" i="20" s="1"/>
  <c r="Y56" i="25"/>
  <c r="BF55" i="19"/>
  <c r="S55" i="19"/>
  <c r="AF55" i="19" s="1"/>
  <c r="F55" i="19" s="1"/>
  <c r="AA56" i="25"/>
  <c r="AW56" i="20" s="1"/>
  <c r="Z56" i="25"/>
  <c r="AV56" i="20" s="1"/>
  <c r="AW56" i="25"/>
  <c r="U55" i="19"/>
  <c r="AH55" i="19" s="1"/>
  <c r="H55" i="19" s="1"/>
  <c r="R55" i="22" s="1"/>
  <c r="AE56" i="25"/>
  <c r="AY56" i="20" s="1"/>
  <c r="AD56" i="25"/>
  <c r="AX56" i="20" s="1"/>
  <c r="AV56" i="25"/>
  <c r="H56" i="25" s="1"/>
  <c r="BO56" i="19"/>
  <c r="AP57" i="25" s="1"/>
  <c r="B57" i="25" s="1"/>
  <c r="O57" i="19" s="1"/>
  <c r="AB57" i="19" s="1"/>
  <c r="B57" i="19" s="1"/>
  <c r="L57" i="22" s="1"/>
  <c r="C56" i="25"/>
  <c r="W57" i="25" s="1"/>
  <c r="AQ57" i="25" s="1"/>
  <c r="BH57" i="19"/>
  <c r="M58" i="19"/>
  <c r="X59" i="22"/>
  <c r="M70" i="22"/>
  <c r="BO57" i="19" l="1"/>
  <c r="C57" i="25"/>
  <c r="BT56" i="19"/>
  <c r="AX56" i="25"/>
  <c r="V58" i="25"/>
  <c r="AT56" i="25"/>
  <c r="F56" i="25" s="1"/>
  <c r="BQ56" i="19"/>
  <c r="AS56" i="25"/>
  <c r="E56" i="25" s="1"/>
  <c r="I56" i="25"/>
  <c r="BC56" i="19"/>
  <c r="P56" i="19"/>
  <c r="C56" i="19" s="1"/>
  <c r="M56" i="22" s="1"/>
  <c r="BU56" i="19"/>
  <c r="AY56" i="25"/>
  <c r="BS56" i="19"/>
  <c r="AU56" i="25"/>
  <c r="AR56" i="25"/>
  <c r="AJ58" i="19"/>
  <c r="J58" i="19" s="1"/>
  <c r="AL58" i="19"/>
  <c r="AI71" i="19"/>
  <c r="I71" i="19" s="1"/>
  <c r="S71" i="22" s="1"/>
  <c r="Z57" i="25" l="1"/>
  <c r="AV57" i="20" s="1"/>
  <c r="AP58" i="25"/>
  <c r="B58" i="25" s="1"/>
  <c r="O58" i="19" s="1"/>
  <c r="AB58" i="19" s="1"/>
  <c r="B58" i="19" s="1"/>
  <c r="L58" i="22" s="1"/>
  <c r="J56" i="25"/>
  <c r="BE56" i="19"/>
  <c r="R56" i="19"/>
  <c r="E56" i="19" s="1"/>
  <c r="O56" i="22" s="1"/>
  <c r="D56" i="25"/>
  <c r="Y57" i="25" s="1"/>
  <c r="AS57" i="25" s="1"/>
  <c r="BF56" i="19"/>
  <c r="S56" i="19"/>
  <c r="AF56" i="19" s="1"/>
  <c r="F56" i="19" s="1"/>
  <c r="P57" i="19"/>
  <c r="C57" i="19" s="1"/>
  <c r="BC57" i="19"/>
  <c r="G56" i="25"/>
  <c r="T56" i="19"/>
  <c r="AG56" i="19" s="1"/>
  <c r="G56" i="19" s="1"/>
  <c r="BG56" i="19"/>
  <c r="AC57" i="25"/>
  <c r="K56" i="25"/>
  <c r="W58" i="25"/>
  <c r="BH58" i="19"/>
  <c r="L58" i="19"/>
  <c r="T58" i="22" s="1"/>
  <c r="V59" i="22"/>
  <c r="AN59" i="19"/>
  <c r="AE57" i="25" l="1"/>
  <c r="AT57" i="25"/>
  <c r="F57" i="25" s="1"/>
  <c r="S57" i="19" s="1"/>
  <c r="AF57" i="19" s="1"/>
  <c r="F57" i="19" s="1"/>
  <c r="V59" i="25"/>
  <c r="BO58" i="19"/>
  <c r="AW57" i="25"/>
  <c r="BQ57" i="19"/>
  <c r="Q56" i="19"/>
  <c r="AD56" i="19" s="1"/>
  <c r="D56" i="19" s="1"/>
  <c r="N56" i="22" s="1"/>
  <c r="X57" i="25"/>
  <c r="U56" i="19"/>
  <c r="AH56" i="19" s="1"/>
  <c r="H56" i="19" s="1"/>
  <c r="R56" i="22" s="1"/>
  <c r="AD57" i="25"/>
  <c r="AX57" i="20" s="1"/>
  <c r="E57" i="25"/>
  <c r="AB57" i="25"/>
  <c r="AA57" i="25"/>
  <c r="AW57" i="20" s="1"/>
  <c r="AK59" i="19"/>
  <c r="K59" i="19" s="1"/>
  <c r="AJ59" i="19"/>
  <c r="J59" i="19" s="1"/>
  <c r="BH59" i="19"/>
  <c r="M59" i="19"/>
  <c r="N59" i="19"/>
  <c r="U59" i="22" s="1"/>
  <c r="X60" i="22"/>
  <c r="AI72" i="19"/>
  <c r="I72" i="19" s="1"/>
  <c r="S72" i="22" s="1"/>
  <c r="BU57" i="19" l="1"/>
  <c r="AY57" i="20"/>
  <c r="Z58" i="25"/>
  <c r="AV58" i="20" s="1"/>
  <c r="AY57" i="25"/>
  <c r="K57" i="25" s="1"/>
  <c r="AQ58" i="25"/>
  <c r="C58" i="25" s="1"/>
  <c r="AU57" i="20"/>
  <c r="AP59" i="25"/>
  <c r="B59" i="25" s="1"/>
  <c r="O59" i="19" s="1"/>
  <c r="AB59" i="19" s="1"/>
  <c r="B59" i="19" s="1"/>
  <c r="L59" i="22" s="1"/>
  <c r="BF57" i="19"/>
  <c r="AR57" i="25"/>
  <c r="BS57" i="19"/>
  <c r="AU57" i="25"/>
  <c r="BE57" i="19"/>
  <c r="R57" i="19"/>
  <c r="E57" i="19" s="1"/>
  <c r="O57" i="22" s="1"/>
  <c r="AV57" i="25"/>
  <c r="BT57" i="19"/>
  <c r="AX57" i="25"/>
  <c r="I57" i="25"/>
  <c r="AL59" i="19"/>
  <c r="AI73" i="19"/>
  <c r="I73" i="19" s="1"/>
  <c r="S73" i="22" s="1"/>
  <c r="V60" i="25" l="1"/>
  <c r="AT58" i="25"/>
  <c r="F58" i="25" s="1"/>
  <c r="T57" i="19"/>
  <c r="AG57" i="19" s="1"/>
  <c r="G57" i="19" s="1"/>
  <c r="BG57" i="19"/>
  <c r="BC58" i="19"/>
  <c r="P58" i="19"/>
  <c r="C58" i="19" s="1"/>
  <c r="M58" i="22" s="1"/>
  <c r="W59" i="25"/>
  <c r="G57" i="25"/>
  <c r="AA58" i="25" s="1"/>
  <c r="D57" i="25"/>
  <c r="J57" i="25"/>
  <c r="H57" i="25"/>
  <c r="AK60" i="19"/>
  <c r="K60" i="19" s="1"/>
  <c r="AJ60" i="19"/>
  <c r="J60" i="19" s="1"/>
  <c r="BH60" i="19"/>
  <c r="L59" i="19"/>
  <c r="T59" i="22" s="1"/>
  <c r="V60" i="22"/>
  <c r="BS58" i="19" l="1"/>
  <c r="AW58" i="20"/>
  <c r="AB58" i="25"/>
  <c r="AV58" i="25" s="1"/>
  <c r="H58" i="25" s="1"/>
  <c r="AU58" i="25"/>
  <c r="G58" i="25" s="1"/>
  <c r="AC58" i="25"/>
  <c r="U57" i="19"/>
  <c r="AH57" i="19" s="1"/>
  <c r="H57" i="19" s="1"/>
  <c r="R57" i="22" s="1"/>
  <c r="AE58" i="25"/>
  <c r="AY58" i="20" s="1"/>
  <c r="AD58" i="25"/>
  <c r="AX58" i="20" s="1"/>
  <c r="BO59" i="19"/>
  <c r="AP60" i="25" s="1"/>
  <c r="Q57" i="19"/>
  <c r="AD57" i="19" s="1"/>
  <c r="D57" i="19" s="1"/>
  <c r="N57" i="22" s="1"/>
  <c r="Y58" i="25"/>
  <c r="X58" i="25"/>
  <c r="BF58" i="19"/>
  <c r="S58" i="19"/>
  <c r="AF58" i="19" s="1"/>
  <c r="F58" i="19" s="1"/>
  <c r="AJ61" i="19"/>
  <c r="J61" i="19" s="1"/>
  <c r="AK61" i="19"/>
  <c r="K61" i="19" s="1"/>
  <c r="M60" i="19"/>
  <c r="AN60" i="19"/>
  <c r="M73" i="22"/>
  <c r="AQ59" i="25" l="1"/>
  <c r="C59" i="25" s="1"/>
  <c r="AU58" i="20"/>
  <c r="AA59" i="25"/>
  <c r="AB59" i="25"/>
  <c r="AV59" i="25" s="1"/>
  <c r="H59" i="25" s="1"/>
  <c r="BQ58" i="19"/>
  <c r="AS58" i="25"/>
  <c r="E58" i="25" s="1"/>
  <c r="BU58" i="19"/>
  <c r="AY58" i="25"/>
  <c r="BT58" i="19"/>
  <c r="AX58" i="25"/>
  <c r="AR58" i="25"/>
  <c r="D58" i="25" s="1"/>
  <c r="Q58" i="19" s="1"/>
  <c r="AD58" i="19" s="1"/>
  <c r="D58" i="19" s="1"/>
  <c r="N58" i="22" s="1"/>
  <c r="B60" i="25"/>
  <c r="AW58" i="25"/>
  <c r="BH61" i="19"/>
  <c r="N60" i="19"/>
  <c r="U60" i="22" s="1"/>
  <c r="X61" i="22"/>
  <c r="AL60" i="19"/>
  <c r="AI74" i="19"/>
  <c r="I74" i="19" s="1"/>
  <c r="S74" i="22" s="1"/>
  <c r="AU59" i="25" l="1"/>
  <c r="G59" i="25" s="1"/>
  <c r="AB60" i="25" s="1"/>
  <c r="AW59" i="20"/>
  <c r="BS59" i="19"/>
  <c r="J58" i="25"/>
  <c r="BE58" i="19"/>
  <c r="R58" i="19"/>
  <c r="E58" i="19" s="1"/>
  <c r="O58" i="22" s="1"/>
  <c r="Z59" i="25"/>
  <c r="AV59" i="20" s="1"/>
  <c r="I58" i="25"/>
  <c r="Y59" i="25"/>
  <c r="O60" i="19"/>
  <c r="AB60" i="19" s="1"/>
  <c r="B60" i="19" s="1"/>
  <c r="L60" i="22" s="1"/>
  <c r="V61" i="25"/>
  <c r="X59" i="25"/>
  <c r="AU59" i="20" s="1"/>
  <c r="K58" i="25"/>
  <c r="P59" i="19"/>
  <c r="C59" i="19" s="1"/>
  <c r="M59" i="22" s="1"/>
  <c r="BC59" i="19"/>
  <c r="W60" i="25"/>
  <c r="AK62" i="19"/>
  <c r="K62" i="19" s="1"/>
  <c r="L60" i="19"/>
  <c r="T60" i="22" s="1"/>
  <c r="V61" i="22"/>
  <c r="M74" i="22"/>
  <c r="AE59" i="25" l="1"/>
  <c r="BO60" i="19"/>
  <c r="AP61" i="25" s="1"/>
  <c r="AQ60" i="25"/>
  <c r="C60" i="25" s="1"/>
  <c r="W61" i="25" s="1"/>
  <c r="AS59" i="25"/>
  <c r="BQ59" i="19"/>
  <c r="AT59" i="25"/>
  <c r="F59" i="25" s="1"/>
  <c r="U58" i="19"/>
  <c r="AH58" i="19" s="1"/>
  <c r="H58" i="19" s="1"/>
  <c r="R58" i="22" s="1"/>
  <c r="AD59" i="25"/>
  <c r="AX59" i="20" s="1"/>
  <c r="BG58" i="19"/>
  <c r="T58" i="19"/>
  <c r="AG58" i="19" s="1"/>
  <c r="G58" i="19" s="1"/>
  <c r="AC59" i="25"/>
  <c r="AR59" i="25"/>
  <c r="D59" i="25" s="1"/>
  <c r="Q59" i="19" s="1"/>
  <c r="AD59" i="19" s="1"/>
  <c r="D59" i="19" s="1"/>
  <c r="N59" i="22" s="1"/>
  <c r="AJ62" i="19"/>
  <c r="J62" i="19" s="1"/>
  <c r="BH62" i="19"/>
  <c r="M61" i="19"/>
  <c r="AN61" i="19"/>
  <c r="AI75" i="19"/>
  <c r="I75" i="19" s="1"/>
  <c r="S75" i="22" s="1"/>
  <c r="AY59" i="25" l="1"/>
  <c r="K59" i="25" s="1"/>
  <c r="AY59" i="20"/>
  <c r="BU59" i="19"/>
  <c r="S59" i="19"/>
  <c r="AF59" i="19" s="1"/>
  <c r="F59" i="19" s="1"/>
  <c r="BF59" i="19"/>
  <c r="AA60" i="25"/>
  <c r="AW60" i="20" s="1"/>
  <c r="E59" i="25"/>
  <c r="Z60" i="25" s="1"/>
  <c r="AV60" i="20" s="1"/>
  <c r="BO61" i="19"/>
  <c r="AV60" i="25"/>
  <c r="AW59" i="25"/>
  <c r="I59" i="25" s="1"/>
  <c r="AC60" i="25" s="1"/>
  <c r="BT59" i="19"/>
  <c r="AX59" i="25"/>
  <c r="J59" i="25" s="1"/>
  <c r="P60" i="19"/>
  <c r="C60" i="19" s="1"/>
  <c r="BC60" i="19"/>
  <c r="X60" i="25"/>
  <c r="AQ61" i="25" s="1"/>
  <c r="B61" i="25"/>
  <c r="AL61" i="19"/>
  <c r="N61" i="19"/>
  <c r="U61" i="22" s="1"/>
  <c r="AN62" i="19" s="1"/>
  <c r="N62" i="19" s="1"/>
  <c r="U62" i="22" s="1"/>
  <c r="X62" i="22"/>
  <c r="AR60" i="25" l="1"/>
  <c r="D60" i="25" s="1"/>
  <c r="Q60" i="19" s="1"/>
  <c r="AD60" i="19" s="1"/>
  <c r="D60" i="19" s="1"/>
  <c r="N60" i="22" s="1"/>
  <c r="AU60" i="20"/>
  <c r="U59" i="19"/>
  <c r="AH59" i="19" s="1"/>
  <c r="H59" i="19" s="1"/>
  <c r="R59" i="22" s="1"/>
  <c r="AE60" i="25"/>
  <c r="AY60" i="20" s="1"/>
  <c r="AD60" i="25"/>
  <c r="AX60" i="20" s="1"/>
  <c r="H60" i="25"/>
  <c r="BS60" i="19"/>
  <c r="AU60" i="25"/>
  <c r="AW60" i="25"/>
  <c r="BE59" i="19"/>
  <c r="AT60" i="25" s="1"/>
  <c r="R59" i="19"/>
  <c r="E59" i="19" s="1"/>
  <c r="O59" i="22" s="1"/>
  <c r="Y60" i="25"/>
  <c r="O61" i="19"/>
  <c r="AB61" i="19" s="1"/>
  <c r="B61" i="19" s="1"/>
  <c r="L61" i="22" s="1"/>
  <c r="V62" i="25"/>
  <c r="BG59" i="19"/>
  <c r="T59" i="19"/>
  <c r="AG59" i="19" s="1"/>
  <c r="G59" i="19" s="1"/>
  <c r="C61" i="25"/>
  <c r="AK63" i="19"/>
  <c r="K63" i="19" s="1"/>
  <c r="AJ63" i="19"/>
  <c r="J63" i="19" s="1"/>
  <c r="L61" i="19"/>
  <c r="T61" i="22" s="1"/>
  <c r="V62" i="22"/>
  <c r="X63" i="22"/>
  <c r="AI76" i="19"/>
  <c r="I76" i="19" s="1"/>
  <c r="S76" i="22" s="1"/>
  <c r="X61" i="25" l="1"/>
  <c r="AU61" i="20" s="1"/>
  <c r="F60" i="25"/>
  <c r="I60" i="25"/>
  <c r="BU60" i="19"/>
  <c r="AY60" i="25"/>
  <c r="K60" i="25" s="1"/>
  <c r="BT60" i="19"/>
  <c r="AX60" i="25"/>
  <c r="J60" i="25" s="1"/>
  <c r="U60" i="19" s="1"/>
  <c r="AH60" i="19" s="1"/>
  <c r="H60" i="19" s="1"/>
  <c r="R60" i="22" s="1"/>
  <c r="BQ60" i="19"/>
  <c r="AS60" i="25"/>
  <c r="AP62" i="25"/>
  <c r="B62" i="25" s="1"/>
  <c r="O62" i="19" s="1"/>
  <c r="AB62" i="19" s="1"/>
  <c r="B62" i="19" s="1"/>
  <c r="L62" i="22" s="1"/>
  <c r="BC61" i="19"/>
  <c r="P61" i="19"/>
  <c r="C61" i="19" s="1"/>
  <c r="M61" i="22" s="1"/>
  <c r="W62" i="25"/>
  <c r="G60" i="25"/>
  <c r="AA61" i="25" s="1"/>
  <c r="AW61" i="20" s="1"/>
  <c r="AK64" i="19"/>
  <c r="K64" i="19" s="1"/>
  <c r="BH63" i="19"/>
  <c r="M62" i="19"/>
  <c r="AI77" i="19"/>
  <c r="I77" i="19" s="1"/>
  <c r="S77" i="22" s="1"/>
  <c r="AR61" i="25" l="1"/>
  <c r="D61" i="25" s="1"/>
  <c r="AE61" i="25"/>
  <c r="V63" i="25"/>
  <c r="AB61" i="25"/>
  <c r="BO62" i="19"/>
  <c r="AQ62" i="25"/>
  <c r="BS61" i="19"/>
  <c r="E60" i="25"/>
  <c r="Z61" i="25" s="1"/>
  <c r="AV61" i="20" s="1"/>
  <c r="AD61" i="25"/>
  <c r="BG60" i="19"/>
  <c r="T60" i="19"/>
  <c r="AG60" i="19" s="1"/>
  <c r="G60" i="19" s="1"/>
  <c r="AC61" i="25"/>
  <c r="BF60" i="19"/>
  <c r="S60" i="19"/>
  <c r="AF60" i="19" s="1"/>
  <c r="F60" i="19" s="1"/>
  <c r="AL62" i="19"/>
  <c r="AY61" i="25" l="1"/>
  <c r="K61" i="25" s="1"/>
  <c r="BU61" i="19"/>
  <c r="AY61" i="20"/>
  <c r="BT61" i="19"/>
  <c r="AX61" i="20"/>
  <c r="AX61" i="25"/>
  <c r="J61" i="25" s="1"/>
  <c r="BE60" i="19"/>
  <c r="AT61" i="25" s="1"/>
  <c r="R60" i="19"/>
  <c r="E60" i="19" s="1"/>
  <c r="O60" i="22" s="1"/>
  <c r="Y61" i="25"/>
  <c r="AV61" i="25"/>
  <c r="AU61" i="25"/>
  <c r="C62" i="25"/>
  <c r="Q61" i="19"/>
  <c r="AD61" i="19" s="1"/>
  <c r="D61" i="19" s="1"/>
  <c r="N61" i="22" s="1"/>
  <c r="X62" i="25"/>
  <c r="AU62" i="20" s="1"/>
  <c r="AW61" i="25"/>
  <c r="I61" i="25" s="1"/>
  <c r="AP63" i="25"/>
  <c r="AJ64" i="19"/>
  <c r="J64" i="19" s="1"/>
  <c r="BH64" i="19"/>
  <c r="AN63" i="19"/>
  <c r="L62" i="19"/>
  <c r="T62" i="22" s="1"/>
  <c r="V63" i="22"/>
  <c r="F61" i="25" l="1"/>
  <c r="BG61" i="19"/>
  <c r="T61" i="19"/>
  <c r="AG61" i="19" s="1"/>
  <c r="G61" i="19" s="1"/>
  <c r="B63" i="25"/>
  <c r="H61" i="25"/>
  <c r="AC62" i="25" s="1"/>
  <c r="AW62" i="25" s="1"/>
  <c r="I62" i="25" s="1"/>
  <c r="BQ61" i="19"/>
  <c r="AR62" i="25" s="1"/>
  <c r="AS61" i="25"/>
  <c r="E61" i="25" s="1"/>
  <c r="AD62" i="25"/>
  <c r="AX62" i="20" s="1"/>
  <c r="U61" i="19"/>
  <c r="AH61" i="19" s="1"/>
  <c r="H61" i="19" s="1"/>
  <c r="R61" i="22" s="1"/>
  <c r="BC62" i="19"/>
  <c r="P62" i="19"/>
  <c r="C62" i="19" s="1"/>
  <c r="M62" i="22" s="1"/>
  <c r="W63" i="25"/>
  <c r="G61" i="25"/>
  <c r="AE62" i="25"/>
  <c r="AY62" i="20" s="1"/>
  <c r="AK65" i="19"/>
  <c r="K65" i="19" s="1"/>
  <c r="M63" i="19"/>
  <c r="AL63" i="19"/>
  <c r="L63" i="19" s="1"/>
  <c r="T63" i="22" s="1"/>
  <c r="N63" i="19"/>
  <c r="U63" i="22" s="1"/>
  <c r="X64" i="22"/>
  <c r="AA62" i="25" l="1"/>
  <c r="BE61" i="19"/>
  <c r="R61" i="19"/>
  <c r="E61" i="19" s="1"/>
  <c r="O61" i="22" s="1"/>
  <c r="Y62" i="25"/>
  <c r="BG62" i="19"/>
  <c r="T62" i="19"/>
  <c r="AG62" i="19" s="1"/>
  <c r="G62" i="19" s="1"/>
  <c r="BO63" i="19"/>
  <c r="AQ63" i="25"/>
  <c r="C63" i="25" s="1"/>
  <c r="AB62" i="25"/>
  <c r="D62" i="25"/>
  <c r="BF61" i="19"/>
  <c r="AU62" i="25" s="1"/>
  <c r="S61" i="19"/>
  <c r="AF61" i="19" s="1"/>
  <c r="F61" i="19" s="1"/>
  <c r="Z62" i="25"/>
  <c r="AV62" i="20" s="1"/>
  <c r="BU62" i="19"/>
  <c r="BT62" i="19"/>
  <c r="AX62" i="25"/>
  <c r="O63" i="19"/>
  <c r="AB63" i="19" s="1"/>
  <c r="B63" i="19" s="1"/>
  <c r="L63" i="22" s="1"/>
  <c r="V64" i="25"/>
  <c r="AJ65" i="19"/>
  <c r="J65" i="19" s="1"/>
  <c r="BH65" i="19"/>
  <c r="V64" i="22"/>
  <c r="AI78" i="19"/>
  <c r="I78" i="19" s="1"/>
  <c r="S78" i="22" s="1"/>
  <c r="BS62" i="19" l="1"/>
  <c r="AW62" i="20"/>
  <c r="AY62" i="25"/>
  <c r="K62" i="25" s="1"/>
  <c r="G62" i="25"/>
  <c r="AS62" i="25"/>
  <c r="E62" i="25" s="1"/>
  <c r="BQ62" i="19"/>
  <c r="P63" i="19"/>
  <c r="C63" i="19" s="1"/>
  <c r="M63" i="22" s="1"/>
  <c r="BC63" i="19"/>
  <c r="J62" i="25"/>
  <c r="AV62" i="25"/>
  <c r="H62" i="25" s="1"/>
  <c r="AP64" i="25"/>
  <c r="B64" i="25" s="1"/>
  <c r="O64" i="19" s="1"/>
  <c r="AB64" i="19" s="1"/>
  <c r="B64" i="19" s="1"/>
  <c r="L64" i="22" s="1"/>
  <c r="W64" i="25"/>
  <c r="AT62" i="25"/>
  <c r="F62" i="25" s="1"/>
  <c r="Q62" i="19"/>
  <c r="AD62" i="19" s="1"/>
  <c r="D62" i="19" s="1"/>
  <c r="N62" i="22" s="1"/>
  <c r="X63" i="25"/>
  <c r="AU63" i="20" s="1"/>
  <c r="AJ66" i="19"/>
  <c r="J66" i="19" s="1"/>
  <c r="AK66" i="19"/>
  <c r="K66" i="19" s="1"/>
  <c r="AN64" i="19"/>
  <c r="AL64" i="19"/>
  <c r="M64" i="19"/>
  <c r="AE63" i="25" l="1"/>
  <c r="BE62" i="19"/>
  <c r="R62" i="19"/>
  <c r="E62" i="19" s="1"/>
  <c r="O62" i="22" s="1"/>
  <c r="Y63" i="25"/>
  <c r="AB63" i="25"/>
  <c r="AC63" i="25"/>
  <c r="AQ64" i="25"/>
  <c r="AR63" i="25"/>
  <c r="BO64" i="19"/>
  <c r="BF62" i="19"/>
  <c r="S62" i="19"/>
  <c r="AF62" i="19" s="1"/>
  <c r="F62" i="19" s="1"/>
  <c r="AA63" i="25"/>
  <c r="AW63" i="20" s="1"/>
  <c r="Z63" i="25"/>
  <c r="AV63" i="20" s="1"/>
  <c r="V65" i="25"/>
  <c r="U62" i="19"/>
  <c r="AH62" i="19" s="1"/>
  <c r="H62" i="19" s="1"/>
  <c r="R62" i="22" s="1"/>
  <c r="AD63" i="25"/>
  <c r="AX63" i="20" s="1"/>
  <c r="N64" i="19"/>
  <c r="U64" i="22" s="1"/>
  <c r="X65" i="22"/>
  <c r="L64" i="19"/>
  <c r="T64" i="22" s="1"/>
  <c r="V65" i="22"/>
  <c r="M65" i="19"/>
  <c r="AI79" i="19"/>
  <c r="I79" i="19" s="1"/>
  <c r="S79" i="22" s="1"/>
  <c r="BU63" i="19" l="1"/>
  <c r="AY63" i="20"/>
  <c r="AY63" i="25"/>
  <c r="K63" i="25" s="1"/>
  <c r="AP65" i="25"/>
  <c r="B65" i="25" s="1"/>
  <c r="AS63" i="25"/>
  <c r="E63" i="25" s="1"/>
  <c r="BQ63" i="19"/>
  <c r="BS63" i="19"/>
  <c r="AU63" i="25"/>
  <c r="AV63" i="25"/>
  <c r="H63" i="25" s="1"/>
  <c r="BT63" i="19"/>
  <c r="AX63" i="25"/>
  <c r="J63" i="25" s="1"/>
  <c r="U63" i="19" s="1"/>
  <c r="AH63" i="19" s="1"/>
  <c r="H63" i="19" s="1"/>
  <c r="R63" i="22" s="1"/>
  <c r="AT63" i="25"/>
  <c r="C64" i="25"/>
  <c r="D63" i="25"/>
  <c r="AW63" i="25"/>
  <c r="I63" i="25" s="1"/>
  <c r="AK67" i="19"/>
  <c r="K67" i="19" s="1"/>
  <c r="BH66" i="19"/>
  <c r="AN65" i="19"/>
  <c r="N65" i="19" s="1"/>
  <c r="U65" i="22" s="1"/>
  <c r="AI80" i="19"/>
  <c r="I80" i="19" s="1"/>
  <c r="S80" i="22" s="1"/>
  <c r="O65" i="19" l="1"/>
  <c r="AB65" i="19" s="1"/>
  <c r="B65" i="19" s="1"/>
  <c r="L65" i="22" s="1"/>
  <c r="V66" i="25"/>
  <c r="BE63" i="19"/>
  <c r="R63" i="19"/>
  <c r="E63" i="19" s="1"/>
  <c r="O63" i="22" s="1"/>
  <c r="Y64" i="25"/>
  <c r="AD64" i="25"/>
  <c r="AX64" i="20" s="1"/>
  <c r="Q63" i="19"/>
  <c r="AD63" i="19" s="1"/>
  <c r="D63" i="19" s="1"/>
  <c r="N63" i="22" s="1"/>
  <c r="X64" i="25"/>
  <c r="AU64" i="20" s="1"/>
  <c r="W65" i="25"/>
  <c r="P64" i="19"/>
  <c r="C64" i="19" s="1"/>
  <c r="M64" i="22" s="1"/>
  <c r="BC64" i="19"/>
  <c r="AE64" i="25"/>
  <c r="AY64" i="20" s="1"/>
  <c r="AC64" i="25"/>
  <c r="BG63" i="19"/>
  <c r="AX64" i="25" s="1"/>
  <c r="J64" i="25" s="1"/>
  <c r="U64" i="19" s="1"/>
  <c r="AH64" i="19" s="1"/>
  <c r="H64" i="19" s="1"/>
  <c r="R64" i="22" s="1"/>
  <c r="T63" i="19"/>
  <c r="AG63" i="19" s="1"/>
  <c r="G63" i="19" s="1"/>
  <c r="F63" i="25"/>
  <c r="G63" i="25"/>
  <c r="AL65" i="19"/>
  <c r="X66" i="22"/>
  <c r="AN66" i="19"/>
  <c r="N66" i="19" s="1"/>
  <c r="U66" i="22" s="1"/>
  <c r="AA64" i="25" l="1"/>
  <c r="BO65" i="19"/>
  <c r="AP66" i="25" s="1"/>
  <c r="B66" i="25" s="1"/>
  <c r="AQ65" i="25"/>
  <c r="C65" i="25" s="1"/>
  <c r="BQ64" i="19"/>
  <c r="BF63" i="19"/>
  <c r="AU64" i="25" s="1"/>
  <c r="S63" i="19"/>
  <c r="AF63" i="19" s="1"/>
  <c r="F63" i="19" s="1"/>
  <c r="Z64" i="25"/>
  <c r="AV64" i="20" s="1"/>
  <c r="BU64" i="19"/>
  <c r="BT64" i="19"/>
  <c r="AS64" i="25"/>
  <c r="E64" i="25" s="1"/>
  <c r="AR64" i="25"/>
  <c r="D64" i="25" s="1"/>
  <c r="Q64" i="19" s="1"/>
  <c r="AD64" i="19" s="1"/>
  <c r="D64" i="19" s="1"/>
  <c r="N64" i="22" s="1"/>
  <c r="AW64" i="25"/>
  <c r="I64" i="25" s="1"/>
  <c r="AB64" i="25"/>
  <c r="AJ67" i="19"/>
  <c r="J67" i="19" s="1"/>
  <c r="BH67" i="19"/>
  <c r="X67" i="22"/>
  <c r="L65" i="19"/>
  <c r="T65" i="22" s="1"/>
  <c r="V66" i="22"/>
  <c r="AI81" i="19"/>
  <c r="I81" i="19" s="1"/>
  <c r="S81" i="22" s="1"/>
  <c r="BS64" i="19" l="1"/>
  <c r="AW64" i="20"/>
  <c r="Y65" i="25"/>
  <c r="X65" i="25"/>
  <c r="AU65" i="20" s="1"/>
  <c r="P65" i="19"/>
  <c r="C65" i="19" s="1"/>
  <c r="M65" i="22" s="1"/>
  <c r="BC65" i="19"/>
  <c r="W66" i="25"/>
  <c r="T64" i="19"/>
  <c r="AG64" i="19" s="1"/>
  <c r="G64" i="19" s="1"/>
  <c r="BG64" i="19"/>
  <c r="AD65" i="25"/>
  <c r="AX65" i="20" s="1"/>
  <c r="BQ65" i="19"/>
  <c r="AR65" i="25"/>
  <c r="AS65" i="25"/>
  <c r="AT64" i="25"/>
  <c r="F64" i="25" s="1"/>
  <c r="O66" i="19"/>
  <c r="AB66" i="19" s="1"/>
  <c r="B66" i="19" s="1"/>
  <c r="L66" i="22" s="1"/>
  <c r="V67" i="25"/>
  <c r="G64" i="25"/>
  <c r="BE64" i="19"/>
  <c r="R64" i="19"/>
  <c r="E64" i="19" s="1"/>
  <c r="O64" i="22" s="1"/>
  <c r="AV64" i="25"/>
  <c r="H64" i="25" s="1"/>
  <c r="AC65" i="25" s="1"/>
  <c r="AY64" i="25"/>
  <c r="AQ66" i="25"/>
  <c r="M66" i="19"/>
  <c r="AX65" i="25" l="1"/>
  <c r="J65" i="25" s="1"/>
  <c r="U65" i="19" s="1"/>
  <c r="AH65" i="19" s="1"/>
  <c r="H65" i="19" s="1"/>
  <c r="R65" i="22" s="1"/>
  <c r="BF64" i="19"/>
  <c r="S64" i="19"/>
  <c r="AF64" i="19" s="1"/>
  <c r="F64" i="19" s="1"/>
  <c r="Z65" i="25"/>
  <c r="AV65" i="20" s="1"/>
  <c r="AW65" i="25"/>
  <c r="I65" i="25" s="1"/>
  <c r="AB65" i="25"/>
  <c r="AV65" i="25" s="1"/>
  <c r="AA65" i="25"/>
  <c r="AW65" i="20" s="1"/>
  <c r="D65" i="25"/>
  <c r="BT65" i="19"/>
  <c r="BO66" i="19"/>
  <c r="AP67" i="25" s="1"/>
  <c r="K64" i="25"/>
  <c r="AE65" i="25" s="1"/>
  <c r="AY65" i="20" s="1"/>
  <c r="AT65" i="25"/>
  <c r="C66" i="25"/>
  <c r="W67" i="25" s="1"/>
  <c r="E65" i="25"/>
  <c r="AJ68" i="19"/>
  <c r="J68" i="19" s="1"/>
  <c r="AK68" i="19"/>
  <c r="K68" i="19" s="1"/>
  <c r="BH68" i="19"/>
  <c r="AL66" i="19"/>
  <c r="AI82" i="19"/>
  <c r="I82" i="19" s="1"/>
  <c r="S82" i="22" s="1"/>
  <c r="BO67" i="19" l="1"/>
  <c r="BE65" i="19"/>
  <c r="R65" i="19"/>
  <c r="E65" i="19" s="1"/>
  <c r="O65" i="22" s="1"/>
  <c r="Y66" i="25"/>
  <c r="H65" i="25"/>
  <c r="BG65" i="19"/>
  <c r="T65" i="19"/>
  <c r="AG65" i="19" s="1"/>
  <c r="G65" i="19" s="1"/>
  <c r="Q65" i="19"/>
  <c r="AD65" i="19" s="1"/>
  <c r="D65" i="19" s="1"/>
  <c r="N65" i="22" s="1"/>
  <c r="X66" i="25"/>
  <c r="B67" i="25"/>
  <c r="BS65" i="19"/>
  <c r="AU65" i="25"/>
  <c r="G65" i="25" s="1"/>
  <c r="BU65" i="19"/>
  <c r="P66" i="19"/>
  <c r="C66" i="19" s="1"/>
  <c r="M66" i="22" s="1"/>
  <c r="BC66" i="19"/>
  <c r="F65" i="25"/>
  <c r="Z66" i="25" s="1"/>
  <c r="AV66" i="20" s="1"/>
  <c r="AY65" i="25"/>
  <c r="AD66" i="25"/>
  <c r="AX66" i="20" s="1"/>
  <c r="AK69" i="19"/>
  <c r="K69" i="19" s="1"/>
  <c r="AN67" i="19"/>
  <c r="L66" i="19"/>
  <c r="T66" i="22" s="1"/>
  <c r="V67" i="22"/>
  <c r="AQ67" i="25" l="1"/>
  <c r="C67" i="25" s="1"/>
  <c r="AU66" i="20"/>
  <c r="AB66" i="25"/>
  <c r="AV66" i="25" s="1"/>
  <c r="H66" i="25" s="1"/>
  <c r="AA66" i="25"/>
  <c r="AT66" i="25"/>
  <c r="F66" i="25" s="1"/>
  <c r="BT66" i="19"/>
  <c r="AX66" i="25"/>
  <c r="J66" i="25" s="1"/>
  <c r="U66" i="19" s="1"/>
  <c r="AH66" i="19" s="1"/>
  <c r="H66" i="19" s="1"/>
  <c r="R66" i="22" s="1"/>
  <c r="K65" i="25"/>
  <c r="AE66" i="25" s="1"/>
  <c r="AY66" i="20" s="1"/>
  <c r="O67" i="19"/>
  <c r="AB67" i="19" s="1"/>
  <c r="B67" i="19" s="1"/>
  <c r="L67" i="22" s="1"/>
  <c r="V68" i="25"/>
  <c r="BQ66" i="19"/>
  <c r="AS66" i="25"/>
  <c r="AC66" i="25"/>
  <c r="BF65" i="19"/>
  <c r="S65" i="19"/>
  <c r="AF65" i="19" s="1"/>
  <c r="F65" i="19" s="1"/>
  <c r="AR66" i="25"/>
  <c r="D66" i="25" s="1"/>
  <c r="AJ69" i="19"/>
  <c r="J69" i="19" s="1"/>
  <c r="M67" i="19"/>
  <c r="N67" i="19"/>
  <c r="U67" i="22" s="1"/>
  <c r="X68" i="22"/>
  <c r="AI83" i="19"/>
  <c r="I83" i="19" s="1"/>
  <c r="S83" i="22" s="1"/>
  <c r="BS66" i="19" l="1"/>
  <c r="AW66" i="20"/>
  <c r="AY66" i="25"/>
  <c r="K66" i="25" s="1"/>
  <c r="AE67" i="25" s="1"/>
  <c r="AY67" i="20" s="1"/>
  <c r="Q66" i="19"/>
  <c r="AD66" i="19" s="1"/>
  <c r="D66" i="19" s="1"/>
  <c r="N66" i="22" s="1"/>
  <c r="X67" i="25"/>
  <c r="AU67" i="20" s="1"/>
  <c r="BF66" i="19"/>
  <c r="S66" i="19"/>
  <c r="AF66" i="19" s="1"/>
  <c r="F66" i="19" s="1"/>
  <c r="AU66" i="25"/>
  <c r="BC67" i="19"/>
  <c r="P67" i="19"/>
  <c r="C67" i="19" s="1"/>
  <c r="M67" i="22" s="1"/>
  <c r="W68" i="25"/>
  <c r="E66" i="25"/>
  <c r="AR67" i="25"/>
  <c r="AP68" i="25"/>
  <c r="B68" i="25" s="1"/>
  <c r="O68" i="19" s="1"/>
  <c r="AB68" i="19" s="1"/>
  <c r="B68" i="19" s="1"/>
  <c r="L68" i="22" s="1"/>
  <c r="AW66" i="25"/>
  <c r="BU66" i="19"/>
  <c r="AK70" i="19"/>
  <c r="K70" i="19" s="1"/>
  <c r="BH69" i="19"/>
  <c r="AL67" i="19"/>
  <c r="M84" i="22"/>
  <c r="V69" i="25" l="1"/>
  <c r="BU67" i="19"/>
  <c r="G66" i="25"/>
  <c r="BO68" i="19"/>
  <c r="AQ68" i="25"/>
  <c r="C68" i="25" s="1"/>
  <c r="BE66" i="19"/>
  <c r="R66" i="19"/>
  <c r="E66" i="19" s="1"/>
  <c r="O66" i="22" s="1"/>
  <c r="Y67" i="25"/>
  <c r="AY67" i="25"/>
  <c r="I66" i="25"/>
  <c r="Z67" i="25"/>
  <c r="AV67" i="20" s="1"/>
  <c r="D67" i="25"/>
  <c r="Q67" i="19" s="1"/>
  <c r="AD67" i="19" s="1"/>
  <c r="D67" i="19" s="1"/>
  <c r="N67" i="22" s="1"/>
  <c r="AJ70" i="19"/>
  <c r="J70" i="19" s="1"/>
  <c r="AN68" i="19"/>
  <c r="N68" i="19" s="1"/>
  <c r="U68" i="22" s="1"/>
  <c r="L67" i="19"/>
  <c r="T67" i="22" s="1"/>
  <c r="V68" i="22"/>
  <c r="AI84" i="19"/>
  <c r="I84" i="19" s="1"/>
  <c r="S84" i="22" s="1"/>
  <c r="AP69" i="25" l="1"/>
  <c r="B69" i="25" s="1"/>
  <c r="O69" i="19" s="1"/>
  <c r="AB69" i="19" s="1"/>
  <c r="B69" i="19" s="1"/>
  <c r="L69" i="22" s="1"/>
  <c r="BC68" i="19"/>
  <c r="P68" i="19"/>
  <c r="C68" i="19" s="1"/>
  <c r="M68" i="22" s="1"/>
  <c r="W69" i="25"/>
  <c r="X68" i="25"/>
  <c r="AU68" i="20" s="1"/>
  <c r="T66" i="19"/>
  <c r="AG66" i="19" s="1"/>
  <c r="G66" i="19" s="1"/>
  <c r="BG66" i="19"/>
  <c r="AD67" i="25"/>
  <c r="AX67" i="20" s="1"/>
  <c r="AC67" i="25"/>
  <c r="AA67" i="25"/>
  <c r="AW67" i="20" s="1"/>
  <c r="AB67" i="25"/>
  <c r="K67" i="25"/>
  <c r="V70" i="25"/>
  <c r="AT67" i="25"/>
  <c r="BQ67" i="19"/>
  <c r="AS67" i="25"/>
  <c r="BH70" i="19"/>
  <c r="X69" i="22"/>
  <c r="M68" i="19"/>
  <c r="AN69" i="19"/>
  <c r="AQ69" i="25" l="1"/>
  <c r="C69" i="25" s="1"/>
  <c r="W70" i="25" s="1"/>
  <c r="E67" i="25"/>
  <c r="F67" i="25"/>
  <c r="BT67" i="19"/>
  <c r="AX67" i="25"/>
  <c r="BO69" i="19"/>
  <c r="AP70" i="25" s="1"/>
  <c r="B70" i="25" s="1"/>
  <c r="O70" i="19" s="1"/>
  <c r="AB70" i="19" s="1"/>
  <c r="B70" i="19" s="1"/>
  <c r="L70" i="22" s="1"/>
  <c r="AW67" i="25"/>
  <c r="AV67" i="25"/>
  <c r="H67" i="25" s="1"/>
  <c r="AR68" i="25"/>
  <c r="D68" i="25" s="1"/>
  <c r="BS67" i="19"/>
  <c r="AU67" i="25"/>
  <c r="AJ71" i="19"/>
  <c r="J71" i="19" s="1"/>
  <c r="AK71" i="19"/>
  <c r="K71" i="19" s="1"/>
  <c r="AL68" i="19"/>
  <c r="N69" i="19"/>
  <c r="U69" i="22" s="1"/>
  <c r="X70" i="22"/>
  <c r="AI85" i="19"/>
  <c r="I85" i="19" s="1"/>
  <c r="S85" i="22" s="1"/>
  <c r="BO70" i="19" l="1"/>
  <c r="Q68" i="19"/>
  <c r="AD68" i="19" s="1"/>
  <c r="D68" i="19" s="1"/>
  <c r="N68" i="22" s="1"/>
  <c r="X69" i="25"/>
  <c r="J67" i="25"/>
  <c r="BF67" i="19"/>
  <c r="S67" i="19"/>
  <c r="AF67" i="19" s="1"/>
  <c r="F67" i="19" s="1"/>
  <c r="Z68" i="25"/>
  <c r="AV68" i="20" s="1"/>
  <c r="G67" i="25"/>
  <c r="AA68" i="25" s="1"/>
  <c r="AW68" i="20" s="1"/>
  <c r="V71" i="25"/>
  <c r="I67" i="25"/>
  <c r="P69" i="19"/>
  <c r="C69" i="19" s="1"/>
  <c r="M69" i="22" s="1"/>
  <c r="BC69" i="19"/>
  <c r="R67" i="19"/>
  <c r="E67" i="19" s="1"/>
  <c r="O67" i="22" s="1"/>
  <c r="BE67" i="19"/>
  <c r="Y68" i="25"/>
  <c r="L68" i="19"/>
  <c r="T68" i="22" s="1"/>
  <c r="V69" i="22"/>
  <c r="AI86" i="19"/>
  <c r="I86" i="19" s="1"/>
  <c r="S86" i="22" s="1"/>
  <c r="AQ70" i="25" l="1"/>
  <c r="C70" i="25" s="1"/>
  <c r="W71" i="25" s="1"/>
  <c r="AU69" i="20"/>
  <c r="AU68" i="25"/>
  <c r="G68" i="25" s="1"/>
  <c r="BG67" i="19"/>
  <c r="T67" i="19"/>
  <c r="AG67" i="19" s="1"/>
  <c r="G67" i="19" s="1"/>
  <c r="AC68" i="25"/>
  <c r="BQ68" i="19"/>
  <c r="AR69" i="25" s="1"/>
  <c r="AS68" i="25"/>
  <c r="E68" i="25" s="1"/>
  <c r="BS68" i="19"/>
  <c r="AP71" i="25"/>
  <c r="B71" i="25" s="1"/>
  <c r="O71" i="19" s="1"/>
  <c r="AB71" i="19" s="1"/>
  <c r="B71" i="19" s="1"/>
  <c r="L71" i="22" s="1"/>
  <c r="AT68" i="25"/>
  <c r="U67" i="19"/>
  <c r="AH67" i="19" s="1"/>
  <c r="H67" i="19" s="1"/>
  <c r="R67" i="22" s="1"/>
  <c r="AE68" i="25"/>
  <c r="AY68" i="20" s="1"/>
  <c r="AD68" i="25"/>
  <c r="AX68" i="20" s="1"/>
  <c r="AB68" i="25"/>
  <c r="AK72" i="19"/>
  <c r="K72" i="19" s="1"/>
  <c r="BH71" i="19"/>
  <c r="M69" i="19"/>
  <c r="BC70" i="19" l="1"/>
  <c r="P70" i="19"/>
  <c r="C70" i="19" s="1"/>
  <c r="BE68" i="19"/>
  <c r="R68" i="19"/>
  <c r="E68" i="19" s="1"/>
  <c r="O68" i="22" s="1"/>
  <c r="Y69" i="25"/>
  <c r="V72" i="25"/>
  <c r="BO71" i="19"/>
  <c r="BT68" i="19"/>
  <c r="AX68" i="25"/>
  <c r="AY68" i="25"/>
  <c r="BU68" i="19"/>
  <c r="F68" i="25"/>
  <c r="AA69" i="25" s="1"/>
  <c r="AW69" i="20" s="1"/>
  <c r="AW68" i="25"/>
  <c r="AV68" i="25"/>
  <c r="H68" i="25" s="1"/>
  <c r="AB69" i="25" s="1"/>
  <c r="D69" i="25"/>
  <c r="AJ72" i="19"/>
  <c r="J72" i="19" s="1"/>
  <c r="AL69" i="19"/>
  <c r="AI87" i="19"/>
  <c r="I87" i="19" s="1"/>
  <c r="S87" i="22" s="1"/>
  <c r="AP72" i="25" l="1"/>
  <c r="B72" i="25" s="1"/>
  <c r="O72" i="19" s="1"/>
  <c r="AB72" i="19" s="1"/>
  <c r="B72" i="19" s="1"/>
  <c r="L72" i="22" s="1"/>
  <c r="BS69" i="19"/>
  <c r="J68" i="25"/>
  <c r="AS69" i="25"/>
  <c r="E69" i="25" s="1"/>
  <c r="Y70" i="25" s="1"/>
  <c r="BQ69" i="19"/>
  <c r="AV69" i="25"/>
  <c r="BF68" i="19"/>
  <c r="AU69" i="25" s="1"/>
  <c r="S68" i="19"/>
  <c r="AF68" i="19" s="1"/>
  <c r="F68" i="19" s="1"/>
  <c r="Z69" i="25"/>
  <c r="AV69" i="20" s="1"/>
  <c r="K68" i="25"/>
  <c r="I68" i="25"/>
  <c r="Q69" i="19"/>
  <c r="AD69" i="19" s="1"/>
  <c r="D69" i="19" s="1"/>
  <c r="N69" i="22" s="1"/>
  <c r="X70" i="25"/>
  <c r="AU70" i="20" s="1"/>
  <c r="AK73" i="19"/>
  <c r="K73" i="19" s="1"/>
  <c r="L69" i="19"/>
  <c r="T69" i="22" s="1"/>
  <c r="V70" i="22"/>
  <c r="M70" i="19"/>
  <c r="G69" i="25" l="1"/>
  <c r="U68" i="19"/>
  <c r="AH68" i="19" s="1"/>
  <c r="H68" i="19" s="1"/>
  <c r="R68" i="22" s="1"/>
  <c r="AD69" i="25"/>
  <c r="AX69" i="20" s="1"/>
  <c r="AQ71" i="25"/>
  <c r="AR70" i="25"/>
  <c r="D70" i="25" s="1"/>
  <c r="Q70" i="19" s="1"/>
  <c r="AD70" i="19" s="1"/>
  <c r="D70" i="19" s="1"/>
  <c r="N70" i="22" s="1"/>
  <c r="BQ70" i="19"/>
  <c r="AE69" i="25"/>
  <c r="AY69" i="20" s="1"/>
  <c r="BE69" i="19"/>
  <c r="R69" i="19"/>
  <c r="E69" i="19" s="1"/>
  <c r="O69" i="22" s="1"/>
  <c r="BG68" i="19"/>
  <c r="T68" i="19"/>
  <c r="AG68" i="19" s="1"/>
  <c r="G68" i="19" s="1"/>
  <c r="AC69" i="25"/>
  <c r="V73" i="25"/>
  <c r="AS70" i="25"/>
  <c r="E70" i="25" s="1"/>
  <c r="AT69" i="25"/>
  <c r="H69" i="25"/>
  <c r="AN70" i="19"/>
  <c r="X71" i="22" s="1"/>
  <c r="AI88" i="19"/>
  <c r="I88" i="19" s="1"/>
  <c r="S88" i="22" s="1"/>
  <c r="AB70" i="25" l="1"/>
  <c r="AV70" i="25" s="1"/>
  <c r="H70" i="25" s="1"/>
  <c r="BE70" i="19"/>
  <c r="R70" i="19"/>
  <c r="E70" i="19" s="1"/>
  <c r="O70" i="22" s="1"/>
  <c r="Y71" i="25"/>
  <c r="F69" i="25"/>
  <c r="AA70" i="25" s="1"/>
  <c r="AW70" i="20" s="1"/>
  <c r="BU69" i="19"/>
  <c r="AY69" i="25"/>
  <c r="K69" i="25" s="1"/>
  <c r="AW69" i="25"/>
  <c r="I69" i="25" s="1"/>
  <c r="BT69" i="19"/>
  <c r="AX69" i="25"/>
  <c r="J69" i="25" s="1"/>
  <c r="U69" i="19" s="1"/>
  <c r="AH69" i="19" s="1"/>
  <c r="H69" i="19" s="1"/>
  <c r="R69" i="22" s="1"/>
  <c r="C71" i="25"/>
  <c r="X71" i="25"/>
  <c r="AU71" i="20" s="1"/>
  <c r="BH72" i="19"/>
  <c r="N70" i="19"/>
  <c r="U70" i="22" s="1"/>
  <c r="AL70" i="19"/>
  <c r="AI89" i="19"/>
  <c r="I89" i="19" s="1"/>
  <c r="S89" i="22" s="1"/>
  <c r="AE70" i="25" l="1"/>
  <c r="BG69" i="19"/>
  <c r="T69" i="19"/>
  <c r="AG69" i="19" s="1"/>
  <c r="G69" i="19" s="1"/>
  <c r="AC70" i="25"/>
  <c r="BS70" i="19"/>
  <c r="BQ71" i="19"/>
  <c r="BF69" i="19"/>
  <c r="AU70" i="25" s="1"/>
  <c r="S69" i="19"/>
  <c r="AF69" i="19" s="1"/>
  <c r="F69" i="19" s="1"/>
  <c r="Z70" i="25"/>
  <c r="AV70" i="20" s="1"/>
  <c r="AR71" i="25"/>
  <c r="P71" i="19"/>
  <c r="C71" i="19" s="1"/>
  <c r="M71" i="22" s="1"/>
  <c r="BC71" i="19"/>
  <c r="W72" i="25"/>
  <c r="AD70" i="25"/>
  <c r="AX70" i="20" s="1"/>
  <c r="AY70" i="25"/>
  <c r="K70" i="25" s="1"/>
  <c r="AJ73" i="19"/>
  <c r="J73" i="19" s="1"/>
  <c r="L70" i="19"/>
  <c r="T70" i="22" s="1"/>
  <c r="V71" i="22"/>
  <c r="BU70" i="19" l="1"/>
  <c r="AY70" i="20"/>
  <c r="G70" i="25"/>
  <c r="AS71" i="25"/>
  <c r="AT70" i="25"/>
  <c r="AW70" i="25"/>
  <c r="I70" i="25" s="1"/>
  <c r="AC71" i="25" s="1"/>
  <c r="BT70" i="19"/>
  <c r="BO72" i="19"/>
  <c r="AP73" i="25" s="1"/>
  <c r="B73" i="25" s="1"/>
  <c r="AQ72" i="25"/>
  <c r="D71" i="25"/>
  <c r="AX70" i="25"/>
  <c r="M71" i="19"/>
  <c r="AL71" i="19"/>
  <c r="L71" i="19" s="1"/>
  <c r="T71" i="22" s="1"/>
  <c r="AN71" i="19"/>
  <c r="X72" i="22" s="1"/>
  <c r="M90" i="22"/>
  <c r="AI90" i="19"/>
  <c r="I90" i="19" s="1"/>
  <c r="S90" i="22" s="1"/>
  <c r="AW71" i="25" l="1"/>
  <c r="I71" i="25" s="1"/>
  <c r="E71" i="25"/>
  <c r="Q71" i="19"/>
  <c r="AD71" i="19" s="1"/>
  <c r="D71" i="19" s="1"/>
  <c r="N71" i="22" s="1"/>
  <c r="X72" i="25"/>
  <c r="AU72" i="20" s="1"/>
  <c r="T70" i="19"/>
  <c r="AG70" i="19" s="1"/>
  <c r="G70" i="19" s="1"/>
  <c r="BG70" i="19"/>
  <c r="O73" i="19"/>
  <c r="AB73" i="19" s="1"/>
  <c r="B73" i="19" s="1"/>
  <c r="L73" i="22" s="1"/>
  <c r="V74" i="25"/>
  <c r="J70" i="25"/>
  <c r="C72" i="25"/>
  <c r="F70" i="25"/>
  <c r="AB71" i="25"/>
  <c r="AK74" i="19"/>
  <c r="K74" i="19" s="1"/>
  <c r="BH73" i="19"/>
  <c r="V72" i="22"/>
  <c r="N71" i="19"/>
  <c r="U71" i="22" s="1"/>
  <c r="AI91" i="19"/>
  <c r="I91" i="19" s="1"/>
  <c r="S91" i="22" s="1"/>
  <c r="T71" i="19" l="1"/>
  <c r="AG71" i="19" s="1"/>
  <c r="G71" i="19" s="1"/>
  <c r="BG71" i="19"/>
  <c r="S70" i="19"/>
  <c r="AF70" i="19" s="1"/>
  <c r="F70" i="19" s="1"/>
  <c r="BF70" i="19"/>
  <c r="Z71" i="25"/>
  <c r="AV71" i="20" s="1"/>
  <c r="AR72" i="25"/>
  <c r="D72" i="25" s="1"/>
  <c r="AV71" i="25"/>
  <c r="BC72" i="19"/>
  <c r="P72" i="19"/>
  <c r="C72" i="19" s="1"/>
  <c r="M72" i="22" s="1"/>
  <c r="W73" i="25"/>
  <c r="AA71" i="25"/>
  <c r="AW71" i="20" s="1"/>
  <c r="BE71" i="19"/>
  <c r="R71" i="19"/>
  <c r="E71" i="19" s="1"/>
  <c r="O71" i="22" s="1"/>
  <c r="Y72" i="25"/>
  <c r="AE71" i="25"/>
  <c r="AY71" i="20" s="1"/>
  <c r="U70" i="19"/>
  <c r="AH70" i="19" s="1"/>
  <c r="H70" i="19" s="1"/>
  <c r="R70" i="22" s="1"/>
  <c r="AD71" i="25"/>
  <c r="AX71" i="20" s="1"/>
  <c r="AJ74" i="19"/>
  <c r="J74" i="19" s="1"/>
  <c r="M91" i="22"/>
  <c r="Q72" i="19" l="1"/>
  <c r="AD72" i="19" s="1"/>
  <c r="D72" i="19" s="1"/>
  <c r="N72" i="22" s="1"/>
  <c r="X73" i="25"/>
  <c r="AU73" i="20" s="1"/>
  <c r="BT71" i="19"/>
  <c r="AX71" i="25"/>
  <c r="J71" i="25" s="1"/>
  <c r="U71" i="19" s="1"/>
  <c r="AH71" i="19" s="1"/>
  <c r="H71" i="19" s="1"/>
  <c r="R71" i="22" s="1"/>
  <c r="BQ72" i="19"/>
  <c r="AS72" i="25"/>
  <c r="E72" i="25" s="1"/>
  <c r="BU71" i="19"/>
  <c r="BO73" i="19"/>
  <c r="AP74" i="25" s="1"/>
  <c r="B74" i="25" s="1"/>
  <c r="AQ73" i="25"/>
  <c r="C73" i="25" s="1"/>
  <c r="W74" i="25" s="1"/>
  <c r="H71" i="25"/>
  <c r="AT71" i="25"/>
  <c r="BS71" i="19"/>
  <c r="AU71" i="25"/>
  <c r="AY71" i="25"/>
  <c r="M72" i="19"/>
  <c r="BH74" i="19"/>
  <c r="AL72" i="19"/>
  <c r="V73" i="22" s="1"/>
  <c r="AN72" i="19"/>
  <c r="AI92" i="19"/>
  <c r="I92" i="19" s="1"/>
  <c r="S92" i="22" s="1"/>
  <c r="AR73" i="25" l="1"/>
  <c r="D73" i="25" s="1"/>
  <c r="Q73" i="19" s="1"/>
  <c r="AD73" i="19" s="1"/>
  <c r="D73" i="19" s="1"/>
  <c r="N73" i="22" s="1"/>
  <c r="AD72" i="25"/>
  <c r="BE72" i="19"/>
  <c r="R72" i="19"/>
  <c r="E72" i="19" s="1"/>
  <c r="O72" i="22" s="1"/>
  <c r="Y73" i="25"/>
  <c r="BO74" i="19"/>
  <c r="O74" i="19"/>
  <c r="AB74" i="19" s="1"/>
  <c r="B74" i="19" s="1"/>
  <c r="L74" i="22" s="1"/>
  <c r="V75" i="25"/>
  <c r="F71" i="25"/>
  <c r="AQ74" i="25"/>
  <c r="K71" i="25"/>
  <c r="AE72" i="25" s="1"/>
  <c r="AY72" i="20" s="1"/>
  <c r="G71" i="25"/>
  <c r="AC72" i="25"/>
  <c r="BC73" i="19"/>
  <c r="P73" i="19"/>
  <c r="C73" i="19" s="1"/>
  <c r="AK75" i="19"/>
  <c r="K75" i="19" s="1"/>
  <c r="AJ75" i="19"/>
  <c r="J75" i="19" s="1"/>
  <c r="L72" i="19"/>
  <c r="T72" i="22" s="1"/>
  <c r="M73" i="19"/>
  <c r="N72" i="19"/>
  <c r="U72" i="22" s="1"/>
  <c r="X73" i="22"/>
  <c r="M92" i="22"/>
  <c r="BT72" i="19" l="1"/>
  <c r="AX72" i="20"/>
  <c r="AA72" i="25"/>
  <c r="AW72" i="20" s="1"/>
  <c r="AX72" i="25"/>
  <c r="J72" i="25" s="1"/>
  <c r="U72" i="19" s="1"/>
  <c r="AH72" i="19" s="1"/>
  <c r="H72" i="19" s="1"/>
  <c r="R72" i="22" s="1"/>
  <c r="AP75" i="25"/>
  <c r="B75" i="25" s="1"/>
  <c r="AB72" i="25"/>
  <c r="BU72" i="19"/>
  <c r="BF71" i="19"/>
  <c r="AY72" i="25" s="1"/>
  <c r="K72" i="25" s="1"/>
  <c r="S71" i="19"/>
  <c r="AF71" i="19" s="1"/>
  <c r="F71" i="19" s="1"/>
  <c r="Z72" i="25"/>
  <c r="AV72" i="20" s="1"/>
  <c r="BQ73" i="19"/>
  <c r="BS72" i="19"/>
  <c r="AW72" i="25"/>
  <c r="I72" i="25" s="1"/>
  <c r="X74" i="25"/>
  <c r="AU74" i="20" s="1"/>
  <c r="C74" i="25"/>
  <c r="AI93" i="19"/>
  <c r="I93" i="19" s="1"/>
  <c r="S93" i="22" s="1"/>
  <c r="AE73" i="25" l="1"/>
  <c r="BU73" i="19" s="1"/>
  <c r="BG72" i="19"/>
  <c r="T72" i="19"/>
  <c r="AG72" i="19" s="1"/>
  <c r="G72" i="19" s="1"/>
  <c r="AD73" i="25"/>
  <c r="AX73" i="20" s="1"/>
  <c r="O75" i="19"/>
  <c r="AB75" i="19" s="1"/>
  <c r="B75" i="19" s="1"/>
  <c r="L75" i="22" s="1"/>
  <c r="V76" i="25"/>
  <c r="P74" i="19"/>
  <c r="C74" i="19" s="1"/>
  <c r="BC74" i="19"/>
  <c r="W75" i="25"/>
  <c r="AS73" i="25"/>
  <c r="AT72" i="25"/>
  <c r="F72" i="25" s="1"/>
  <c r="AV72" i="25"/>
  <c r="AR74" i="25"/>
  <c r="D74" i="25" s="1"/>
  <c r="Q74" i="19" s="1"/>
  <c r="AD74" i="19" s="1"/>
  <c r="D74" i="19" s="1"/>
  <c r="N74" i="22" s="1"/>
  <c r="AU72" i="25"/>
  <c r="AK76" i="19"/>
  <c r="K76" i="19" s="1"/>
  <c r="AN73" i="19"/>
  <c r="AY73" i="20" l="1"/>
  <c r="AX73" i="25"/>
  <c r="J73" i="25" s="1"/>
  <c r="U73" i="19" s="1"/>
  <c r="AH73" i="19" s="1"/>
  <c r="H73" i="19" s="1"/>
  <c r="R73" i="22" s="1"/>
  <c r="S72" i="19"/>
  <c r="AF72" i="19" s="1"/>
  <c r="F72" i="19" s="1"/>
  <c r="BF72" i="19"/>
  <c r="AY73" i="25" s="1"/>
  <c r="K73" i="25" s="1"/>
  <c r="BO75" i="19"/>
  <c r="AP76" i="25" s="1"/>
  <c r="AQ75" i="25"/>
  <c r="BT73" i="19"/>
  <c r="G72" i="25"/>
  <c r="AA73" i="25" s="1"/>
  <c r="E73" i="25"/>
  <c r="X75" i="25"/>
  <c r="AU75" i="20" s="1"/>
  <c r="H72" i="25"/>
  <c r="Z73" i="25"/>
  <c r="AL73" i="19"/>
  <c r="V74" i="22" s="1"/>
  <c r="N73" i="19"/>
  <c r="U73" i="22" s="1"/>
  <c r="X74" i="22"/>
  <c r="AI94" i="19"/>
  <c r="I94" i="19" s="1"/>
  <c r="S94" i="22" s="1"/>
  <c r="AU73" i="25" l="1"/>
  <c r="G73" i="25" s="1"/>
  <c r="AW73" i="20"/>
  <c r="AT73" i="25"/>
  <c r="F73" i="25" s="1"/>
  <c r="Z74" i="25" s="1"/>
  <c r="AV74" i="20" s="1"/>
  <c r="AV73" i="20"/>
  <c r="AE74" i="25"/>
  <c r="AY74" i="20" s="1"/>
  <c r="BS73" i="19"/>
  <c r="BE73" i="19"/>
  <c r="R73" i="19"/>
  <c r="E73" i="19" s="1"/>
  <c r="O73" i="22" s="1"/>
  <c r="Y74" i="25"/>
  <c r="B76" i="25"/>
  <c r="AC73" i="25"/>
  <c r="AB73" i="25"/>
  <c r="C75" i="25"/>
  <c r="BH75" i="19"/>
  <c r="L73" i="19"/>
  <c r="T73" i="22" s="1"/>
  <c r="M74" i="19"/>
  <c r="BU74" i="19" l="1"/>
  <c r="AA74" i="25"/>
  <c r="AV73" i="25"/>
  <c r="BQ74" i="19"/>
  <c r="AR75" i="25" s="1"/>
  <c r="AS74" i="25"/>
  <c r="E74" i="25" s="1"/>
  <c r="AT74" i="25"/>
  <c r="BC75" i="19"/>
  <c r="P75" i="19"/>
  <c r="C75" i="19" s="1"/>
  <c r="M75" i="22" s="1"/>
  <c r="W76" i="25"/>
  <c r="O76" i="19"/>
  <c r="AB76" i="19" s="1"/>
  <c r="B76" i="19" s="1"/>
  <c r="L76" i="22" s="1"/>
  <c r="V77" i="25"/>
  <c r="AW73" i="25"/>
  <c r="I73" i="25" s="1"/>
  <c r="BF73" i="19"/>
  <c r="AY74" i="25" s="1"/>
  <c r="S73" i="19"/>
  <c r="AF73" i="19" s="1"/>
  <c r="F73" i="19" s="1"/>
  <c r="AN74" i="19"/>
  <c r="AI95" i="19"/>
  <c r="I95" i="19" s="1"/>
  <c r="S95" i="22" s="1"/>
  <c r="BS74" i="19" l="1"/>
  <c r="AW74" i="20"/>
  <c r="BE74" i="19"/>
  <c r="R74" i="19"/>
  <c r="E74" i="19" s="1"/>
  <c r="O74" i="22" s="1"/>
  <c r="Y75" i="25"/>
  <c r="BG73" i="19"/>
  <c r="T73" i="19"/>
  <c r="AG73" i="19" s="1"/>
  <c r="G73" i="19" s="1"/>
  <c r="AD74" i="25"/>
  <c r="AX74" i="20" s="1"/>
  <c r="BO76" i="19"/>
  <c r="AP77" i="25" s="1"/>
  <c r="B77" i="25" s="1"/>
  <c r="AQ76" i="25"/>
  <c r="C76" i="25" s="1"/>
  <c r="H73" i="25"/>
  <c r="AB74" i="25" s="1"/>
  <c r="AV74" i="25" s="1"/>
  <c r="K74" i="25"/>
  <c r="D75" i="25"/>
  <c r="AU74" i="25"/>
  <c r="F74" i="25"/>
  <c r="AJ76" i="19"/>
  <c r="J76" i="19" s="1"/>
  <c r="BH76" i="19"/>
  <c r="N74" i="19"/>
  <c r="U74" i="22" s="1"/>
  <c r="X75" i="22"/>
  <c r="O77" i="19" l="1"/>
  <c r="AB77" i="19" s="1"/>
  <c r="B77" i="19" s="1"/>
  <c r="L77" i="22" s="1"/>
  <c r="V78" i="25"/>
  <c r="W77" i="25"/>
  <c r="P76" i="19"/>
  <c r="C76" i="19" s="1"/>
  <c r="M76" i="22" s="1"/>
  <c r="BC76" i="19"/>
  <c r="H74" i="25"/>
  <c r="AC74" i="25"/>
  <c r="AS75" i="25"/>
  <c r="BQ75" i="19"/>
  <c r="Q75" i="19"/>
  <c r="AD75" i="19" s="1"/>
  <c r="D75" i="19" s="1"/>
  <c r="N75" i="22" s="1"/>
  <c r="X76" i="25"/>
  <c r="AU76" i="20" s="1"/>
  <c r="BF74" i="19"/>
  <c r="S74" i="19"/>
  <c r="AF74" i="19" s="1"/>
  <c r="F74" i="19" s="1"/>
  <c r="Z75" i="25"/>
  <c r="AV75" i="20" s="1"/>
  <c r="BT74" i="19"/>
  <c r="AX74" i="25"/>
  <c r="G74" i="25"/>
  <c r="AA75" i="25" s="1"/>
  <c r="AW75" i="20" s="1"/>
  <c r="AK77" i="19"/>
  <c r="K77" i="19" s="1"/>
  <c r="AL74" i="19"/>
  <c r="V75" i="22" s="1"/>
  <c r="AI96" i="19"/>
  <c r="I96" i="19" s="1"/>
  <c r="S96" i="22" s="1"/>
  <c r="AB75" i="25" l="1"/>
  <c r="AU75" i="25"/>
  <c r="G75" i="25" s="1"/>
  <c r="BO77" i="19"/>
  <c r="AP78" i="25" s="1"/>
  <c r="AQ77" i="25"/>
  <c r="AV75" i="25"/>
  <c r="BS75" i="19"/>
  <c r="AR76" i="25"/>
  <c r="D76" i="25" s="1"/>
  <c r="E75" i="25"/>
  <c r="J74" i="25"/>
  <c r="AT75" i="25"/>
  <c r="F75" i="25" s="1"/>
  <c r="AA76" i="25" s="1"/>
  <c r="AW76" i="20" s="1"/>
  <c r="AW74" i="25"/>
  <c r="I74" i="25" s="1"/>
  <c r="AJ77" i="19"/>
  <c r="J77" i="19" s="1"/>
  <c r="L74" i="19"/>
  <c r="T74" i="22" s="1"/>
  <c r="M75" i="19"/>
  <c r="Q76" i="19" l="1"/>
  <c r="AD76" i="19" s="1"/>
  <c r="D76" i="19" s="1"/>
  <c r="N76" i="22" s="1"/>
  <c r="X77" i="25"/>
  <c r="AU77" i="20" s="1"/>
  <c r="BS76" i="19"/>
  <c r="H75" i="25"/>
  <c r="AB76" i="25" s="1"/>
  <c r="Z76" i="25"/>
  <c r="AV76" i="20" s="1"/>
  <c r="AD75" i="25"/>
  <c r="AX75" i="20" s="1"/>
  <c r="U74" i="19"/>
  <c r="AH74" i="19" s="1"/>
  <c r="H74" i="19" s="1"/>
  <c r="R74" i="22" s="1"/>
  <c r="AE75" i="25"/>
  <c r="AY75" i="20" s="1"/>
  <c r="BE75" i="19"/>
  <c r="R75" i="19"/>
  <c r="E75" i="19" s="1"/>
  <c r="O75" i="22" s="1"/>
  <c r="Y76" i="25"/>
  <c r="T74" i="19"/>
  <c r="AG74" i="19" s="1"/>
  <c r="G74" i="19" s="1"/>
  <c r="BG74" i="19"/>
  <c r="BF75" i="19"/>
  <c r="AU76" i="25" s="1"/>
  <c r="G76" i="25" s="1"/>
  <c r="S75" i="19"/>
  <c r="AF75" i="19" s="1"/>
  <c r="F75" i="19" s="1"/>
  <c r="B78" i="25"/>
  <c r="AC75" i="25"/>
  <c r="C77" i="25"/>
  <c r="AK78" i="19"/>
  <c r="K78" i="19" s="1"/>
  <c r="AN75" i="19"/>
  <c r="X76" i="22" s="1"/>
  <c r="AI97" i="19"/>
  <c r="I97" i="19" s="1"/>
  <c r="S97" i="22" s="1"/>
  <c r="AT76" i="25" l="1"/>
  <c r="F76" i="25" s="1"/>
  <c r="AA77" i="25" s="1"/>
  <c r="AW77" i="20" s="1"/>
  <c r="BT75" i="19"/>
  <c r="AX75" i="25"/>
  <c r="J75" i="25" s="1"/>
  <c r="U75" i="19" s="1"/>
  <c r="AH75" i="19" s="1"/>
  <c r="H75" i="19" s="1"/>
  <c r="R75" i="22" s="1"/>
  <c r="BQ76" i="19"/>
  <c r="AR77" i="25" s="1"/>
  <c r="AS76" i="25"/>
  <c r="BC77" i="19"/>
  <c r="P77" i="19"/>
  <c r="C77" i="19" s="1"/>
  <c r="M77" i="22" s="1"/>
  <c r="W78" i="25"/>
  <c r="AW75" i="25"/>
  <c r="O78" i="19"/>
  <c r="AB78" i="19" s="1"/>
  <c r="B78" i="19" s="1"/>
  <c r="L78" i="22" s="1"/>
  <c r="V79" i="25"/>
  <c r="AY75" i="25"/>
  <c r="K75" i="25" s="1"/>
  <c r="BU75" i="19"/>
  <c r="AV76" i="25"/>
  <c r="H76" i="25" s="1"/>
  <c r="AB77" i="25" s="1"/>
  <c r="BH77" i="19"/>
  <c r="N75" i="19"/>
  <c r="U75" i="22" s="1"/>
  <c r="AE76" i="25" l="1"/>
  <c r="AY76" i="20" s="1"/>
  <c r="BS77" i="19"/>
  <c r="S76" i="19"/>
  <c r="AF76" i="19" s="1"/>
  <c r="F76" i="19" s="1"/>
  <c r="BF76" i="19"/>
  <c r="AU77" i="25" s="1"/>
  <c r="G77" i="25" s="1"/>
  <c r="BO78" i="19"/>
  <c r="AP79" i="25" s="1"/>
  <c r="AQ78" i="25"/>
  <c r="C78" i="25" s="1"/>
  <c r="W79" i="25" s="1"/>
  <c r="D77" i="25"/>
  <c r="E76" i="25"/>
  <c r="I75" i="25"/>
  <c r="AJ78" i="19"/>
  <c r="J78" i="19" s="1"/>
  <c r="AL75" i="19"/>
  <c r="V76" i="22" s="1"/>
  <c r="AI98" i="19"/>
  <c r="I98" i="19" s="1"/>
  <c r="S98" i="22" s="1"/>
  <c r="AY76" i="25" l="1"/>
  <c r="K76" i="25" s="1"/>
  <c r="BO79" i="19"/>
  <c r="BG75" i="19"/>
  <c r="T75" i="19"/>
  <c r="AG75" i="19" s="1"/>
  <c r="G75" i="19" s="1"/>
  <c r="AC76" i="25"/>
  <c r="Q77" i="19"/>
  <c r="AD77" i="19" s="1"/>
  <c r="D77" i="19" s="1"/>
  <c r="N77" i="22" s="1"/>
  <c r="X78" i="25"/>
  <c r="AU78" i="20" s="1"/>
  <c r="B79" i="25"/>
  <c r="BE76" i="19"/>
  <c r="R76" i="19"/>
  <c r="E76" i="19" s="1"/>
  <c r="O76" i="22" s="1"/>
  <c r="Z77" i="25"/>
  <c r="AV77" i="20" s="1"/>
  <c r="Y77" i="25"/>
  <c r="BC78" i="19"/>
  <c r="P78" i="19"/>
  <c r="C78" i="19" s="1"/>
  <c r="M78" i="22" s="1"/>
  <c r="AD76" i="25"/>
  <c r="AX76" i="20" s="1"/>
  <c r="BU76" i="19"/>
  <c r="L75" i="19"/>
  <c r="T75" i="22" s="1"/>
  <c r="M76" i="19"/>
  <c r="AT77" i="25" l="1"/>
  <c r="F77" i="25" s="1"/>
  <c r="AA78" i="25" s="1"/>
  <c r="BQ77" i="19"/>
  <c r="AR78" i="25" s="1"/>
  <c r="D78" i="25" s="1"/>
  <c r="AS77" i="25"/>
  <c r="O79" i="19"/>
  <c r="AB79" i="19" s="1"/>
  <c r="B79" i="19" s="1"/>
  <c r="L79" i="22" s="1"/>
  <c r="V80" i="25"/>
  <c r="BT76" i="19"/>
  <c r="AX76" i="25"/>
  <c r="J76" i="25" s="1"/>
  <c r="AQ79" i="25"/>
  <c r="C79" i="25" s="1"/>
  <c r="AV77" i="25"/>
  <c r="H77" i="25" s="1"/>
  <c r="AB78" i="25" s="1"/>
  <c r="AW76" i="25"/>
  <c r="I76" i="25" s="1"/>
  <c r="AK79" i="19"/>
  <c r="K79" i="19" s="1"/>
  <c r="AJ79" i="19"/>
  <c r="J79" i="19" s="1"/>
  <c r="AN76" i="19"/>
  <c r="X77" i="22" s="1"/>
  <c r="AI99" i="19"/>
  <c r="I99" i="19" s="1"/>
  <c r="S99" i="22" s="1"/>
  <c r="BS78" i="19" l="1"/>
  <c r="AW78" i="20"/>
  <c r="BF77" i="19"/>
  <c r="AU78" i="25" s="1"/>
  <c r="S77" i="19"/>
  <c r="AF77" i="19" s="1"/>
  <c r="F77" i="19" s="1"/>
  <c r="BH78" i="19" s="1"/>
  <c r="BG76" i="19"/>
  <c r="T76" i="19"/>
  <c r="AG76" i="19" s="1"/>
  <c r="G76" i="19" s="1"/>
  <c r="AD77" i="25"/>
  <c r="AX77" i="20" s="1"/>
  <c r="AC77" i="25"/>
  <c r="AV78" i="25" s="1"/>
  <c r="H78" i="25" s="1"/>
  <c r="Q78" i="19"/>
  <c r="AD78" i="19" s="1"/>
  <c r="D78" i="19" s="1"/>
  <c r="N78" i="22" s="1"/>
  <c r="X79" i="25"/>
  <c r="AU79" i="20" s="1"/>
  <c r="BC79" i="19"/>
  <c r="P79" i="19"/>
  <c r="C79" i="19" s="1"/>
  <c r="M79" i="22" s="1"/>
  <c r="W80" i="25"/>
  <c r="AP80" i="25"/>
  <c r="B80" i="25" s="1"/>
  <c r="O80" i="19" s="1"/>
  <c r="AB80" i="19" s="1"/>
  <c r="B80" i="19" s="1"/>
  <c r="L80" i="22" s="1"/>
  <c r="E77" i="25"/>
  <c r="U76" i="19"/>
  <c r="AH76" i="19" s="1"/>
  <c r="H76" i="19" s="1"/>
  <c r="R76" i="22" s="1"/>
  <c r="AE77" i="25"/>
  <c r="AY77" i="20" s="1"/>
  <c r="AL76" i="19"/>
  <c r="N76" i="19"/>
  <c r="U76" i="22" s="1"/>
  <c r="AX77" i="25" l="1"/>
  <c r="J77" i="25" s="1"/>
  <c r="U77" i="19" s="1"/>
  <c r="AH77" i="19" s="1"/>
  <c r="H77" i="19" s="1"/>
  <c r="R77" i="22" s="1"/>
  <c r="BE77" i="19"/>
  <c r="R77" i="19"/>
  <c r="E77" i="19" s="1"/>
  <c r="O77" i="22" s="1"/>
  <c r="Y78" i="25"/>
  <c r="Z78" i="25"/>
  <c r="AV78" i="20" s="1"/>
  <c r="BO80" i="19"/>
  <c r="AW77" i="25"/>
  <c r="AY77" i="25"/>
  <c r="BT77" i="19"/>
  <c r="V81" i="25"/>
  <c r="AP81" i="25" s="1"/>
  <c r="AQ80" i="25"/>
  <c r="C80" i="25" s="1"/>
  <c r="G78" i="25"/>
  <c r="AK80" i="19"/>
  <c r="K80" i="19" s="1"/>
  <c r="L76" i="19"/>
  <c r="T76" i="22" s="1"/>
  <c r="V77" i="22"/>
  <c r="BU77" i="19" s="1"/>
  <c r="M77" i="19"/>
  <c r="AI100" i="19"/>
  <c r="I100" i="19" s="1"/>
  <c r="S100" i="22" s="1"/>
  <c r="BC80" i="19" l="1"/>
  <c r="P80" i="19"/>
  <c r="C80" i="19" s="1"/>
  <c r="M80" i="22" s="1"/>
  <c r="W81" i="25"/>
  <c r="B81" i="25"/>
  <c r="O81" i="19" s="1"/>
  <c r="AB81" i="19" s="1"/>
  <c r="B81" i="19" s="1"/>
  <c r="L81" i="22" s="1"/>
  <c r="BQ78" i="19"/>
  <c r="AR79" i="25" s="1"/>
  <c r="AS78" i="25"/>
  <c r="I77" i="25"/>
  <c r="K77" i="25"/>
  <c r="AE78" i="25" s="1"/>
  <c r="AB79" i="25"/>
  <c r="AT78" i="25"/>
  <c r="AY78" i="25" l="1"/>
  <c r="K78" i="25" s="1"/>
  <c r="AY78" i="20"/>
  <c r="D79" i="25"/>
  <c r="BG77" i="19"/>
  <c r="T77" i="19"/>
  <c r="AG77" i="19" s="1"/>
  <c r="G77" i="19" s="1"/>
  <c r="AC78" i="25"/>
  <c r="AV79" i="25" s="1"/>
  <c r="AD78" i="25"/>
  <c r="AX78" i="20" s="1"/>
  <c r="V82" i="25"/>
  <c r="BO81" i="19"/>
  <c r="E78" i="25"/>
  <c r="F78" i="25"/>
  <c r="BH79" i="19"/>
  <c r="AL77" i="19"/>
  <c r="AN77" i="19"/>
  <c r="X78" i="22" s="1"/>
  <c r="AI101" i="19"/>
  <c r="I101" i="19" s="1"/>
  <c r="S101" i="22" s="1"/>
  <c r="BE78" i="19" l="1"/>
  <c r="R78" i="19"/>
  <c r="E78" i="19" s="1"/>
  <c r="O78" i="22" s="1"/>
  <c r="Y79" i="25"/>
  <c r="BT78" i="19"/>
  <c r="AX78" i="25"/>
  <c r="J78" i="25" s="1"/>
  <c r="Q79" i="19"/>
  <c r="AD79" i="19" s="1"/>
  <c r="D79" i="19" s="1"/>
  <c r="N79" i="22" s="1"/>
  <c r="X80" i="25"/>
  <c r="AU80" i="20" s="1"/>
  <c r="AP82" i="25"/>
  <c r="AW78" i="25"/>
  <c r="I78" i="25" s="1"/>
  <c r="S78" i="19"/>
  <c r="AF78" i="19" s="1"/>
  <c r="F78" i="19" s="1"/>
  <c r="BF78" i="19"/>
  <c r="H79" i="25"/>
  <c r="Z79" i="25"/>
  <c r="AV79" i="20" s="1"/>
  <c r="AA79" i="25"/>
  <c r="L77" i="19"/>
  <c r="T77" i="22" s="1"/>
  <c r="V78" i="22"/>
  <c r="BU78" i="19" s="1"/>
  <c r="N77" i="19"/>
  <c r="U77" i="22" s="1"/>
  <c r="BS79" i="19" l="1"/>
  <c r="AW79" i="20"/>
  <c r="AD79" i="25"/>
  <c r="BG78" i="19"/>
  <c r="T78" i="19"/>
  <c r="AG78" i="19" s="1"/>
  <c r="G78" i="19" s="1"/>
  <c r="BQ79" i="19"/>
  <c r="AR80" i="25" s="1"/>
  <c r="AS79" i="25"/>
  <c r="E79" i="25" s="1"/>
  <c r="AQ81" i="25"/>
  <c r="AC79" i="25"/>
  <c r="B82" i="25"/>
  <c r="U78" i="19"/>
  <c r="AH78" i="19" s="1"/>
  <c r="H78" i="19" s="1"/>
  <c r="R78" i="22" s="1"/>
  <c r="AE79" i="25"/>
  <c r="AU79" i="25"/>
  <c r="AT79" i="25"/>
  <c r="AJ80" i="19"/>
  <c r="J80" i="19" s="1"/>
  <c r="M78" i="19"/>
  <c r="BT79" i="19" l="1"/>
  <c r="AX79" i="20"/>
  <c r="AY79" i="25"/>
  <c r="K79" i="25" s="1"/>
  <c r="AY79" i="20"/>
  <c r="AX79" i="25"/>
  <c r="J79" i="25" s="1"/>
  <c r="U79" i="19" s="1"/>
  <c r="AH79" i="19" s="1"/>
  <c r="H79" i="19" s="1"/>
  <c r="R79" i="22" s="1"/>
  <c r="BE79" i="19"/>
  <c r="R79" i="19"/>
  <c r="E79" i="19" s="1"/>
  <c r="O79" i="22" s="1"/>
  <c r="Y80" i="25"/>
  <c r="C81" i="25"/>
  <c r="O82" i="19"/>
  <c r="AB82" i="19" s="1"/>
  <c r="B82" i="19" s="1"/>
  <c r="L82" i="22" s="1"/>
  <c r="V83" i="25"/>
  <c r="D80" i="25"/>
  <c r="AW79" i="25"/>
  <c r="I79" i="25" s="1"/>
  <c r="F79" i="25"/>
  <c r="BF79" i="19" s="1"/>
  <c r="G79" i="25"/>
  <c r="AL78" i="19"/>
  <c r="AN78" i="19"/>
  <c r="AI102" i="19"/>
  <c r="I102" i="19" s="1"/>
  <c r="S102" i="22" s="1"/>
  <c r="AE80" i="25" l="1"/>
  <c r="T79" i="19"/>
  <c r="AG79" i="19" s="1"/>
  <c r="G79" i="19" s="1"/>
  <c r="BG79" i="19"/>
  <c r="AC80" i="25"/>
  <c r="AW80" i="25" s="1"/>
  <c r="I80" i="25" s="1"/>
  <c r="AD80" i="25"/>
  <c r="BQ80" i="19"/>
  <c r="AS80" i="25"/>
  <c r="E80" i="25" s="1"/>
  <c r="BE80" i="19" s="1"/>
  <c r="Q80" i="19"/>
  <c r="AD80" i="19" s="1"/>
  <c r="D80" i="19" s="1"/>
  <c r="N80" i="22" s="1"/>
  <c r="X81" i="25"/>
  <c r="AU81" i="20" s="1"/>
  <c r="P81" i="19"/>
  <c r="C81" i="19" s="1"/>
  <c r="M81" i="22" s="1"/>
  <c r="BC81" i="19"/>
  <c r="W82" i="25"/>
  <c r="Z80" i="25"/>
  <c r="AV80" i="20" s="1"/>
  <c r="S79" i="19"/>
  <c r="AF79" i="19" s="1"/>
  <c r="F79" i="19" s="1"/>
  <c r="AA80" i="25"/>
  <c r="AB80" i="25"/>
  <c r="AK81" i="19"/>
  <c r="K81" i="19" s="1"/>
  <c r="BH80" i="19"/>
  <c r="L78" i="19"/>
  <c r="T78" i="22" s="1"/>
  <c r="V79" i="22"/>
  <c r="N78" i="19"/>
  <c r="U78" i="22" s="1"/>
  <c r="X79" i="22"/>
  <c r="BT80" i="19" l="1"/>
  <c r="AX80" i="20"/>
  <c r="AY80" i="25"/>
  <c r="K80" i="25" s="1"/>
  <c r="AY80" i="20"/>
  <c r="BS80" i="19"/>
  <c r="AW80" i="20"/>
  <c r="T80" i="19"/>
  <c r="AG80" i="19" s="1"/>
  <c r="G80" i="19" s="1"/>
  <c r="BG80" i="19"/>
  <c r="R80" i="19"/>
  <c r="E80" i="19" s="1"/>
  <c r="O80" i="22" s="1"/>
  <c r="Y81" i="25"/>
  <c r="BQ81" i="19" s="1"/>
  <c r="AR81" i="25"/>
  <c r="BO82" i="19"/>
  <c r="AP83" i="25" s="1"/>
  <c r="AQ82" i="25"/>
  <c r="BU79" i="19"/>
  <c r="AX80" i="25" s="1"/>
  <c r="J80" i="25" s="1"/>
  <c r="U80" i="19" s="1"/>
  <c r="AH80" i="19" s="1"/>
  <c r="H80" i="19" s="1"/>
  <c r="R80" i="22" s="1"/>
  <c r="AV80" i="25"/>
  <c r="H80" i="25" s="1"/>
  <c r="AU80" i="25"/>
  <c r="AT80" i="25"/>
  <c r="AJ81" i="19"/>
  <c r="J81" i="19" s="1"/>
  <c r="M79" i="19"/>
  <c r="M103" i="22"/>
  <c r="AI103" i="19"/>
  <c r="I103" i="19" s="1"/>
  <c r="S103" i="22" s="1"/>
  <c r="AS81" i="25" l="1"/>
  <c r="E81" i="25" s="1"/>
  <c r="BE81" i="19" s="1"/>
  <c r="B83" i="25"/>
  <c r="C82" i="25"/>
  <c r="D81" i="25"/>
  <c r="AE81" i="25"/>
  <c r="AY81" i="20" s="1"/>
  <c r="AD81" i="25"/>
  <c r="AC81" i="25"/>
  <c r="F80" i="25"/>
  <c r="BF80" i="19" s="1"/>
  <c r="G80" i="25"/>
  <c r="AL79" i="19"/>
  <c r="V80" i="22" s="1"/>
  <c r="BT81" i="19" l="1"/>
  <c r="AX81" i="20"/>
  <c r="AY81" i="25"/>
  <c r="K81" i="25" s="1"/>
  <c r="Y82" i="25"/>
  <c r="BQ82" i="19" s="1"/>
  <c r="R81" i="19"/>
  <c r="E81" i="19" s="1"/>
  <c r="O81" i="22" s="1"/>
  <c r="O83" i="19"/>
  <c r="AB83" i="19" s="1"/>
  <c r="B83" i="19" s="1"/>
  <c r="L83" i="22" s="1"/>
  <c r="V84" i="25"/>
  <c r="Q81" i="19"/>
  <c r="AD81" i="19" s="1"/>
  <c r="D81" i="19" s="1"/>
  <c r="N81" i="22" s="1"/>
  <c r="X82" i="25"/>
  <c r="AU82" i="20" s="1"/>
  <c r="BC82" i="19"/>
  <c r="P82" i="19"/>
  <c r="C82" i="19" s="1"/>
  <c r="M82" i="22" s="1"/>
  <c r="W83" i="25"/>
  <c r="AA81" i="25"/>
  <c r="AW81" i="20" s="1"/>
  <c r="Z81" i="25"/>
  <c r="AV81" i="20" s="1"/>
  <c r="S80" i="19"/>
  <c r="AF80" i="19" s="1"/>
  <c r="F80" i="19" s="1"/>
  <c r="AW81" i="25"/>
  <c r="I81" i="25" s="1"/>
  <c r="AB81" i="25"/>
  <c r="AK82" i="19"/>
  <c r="K82" i="19" s="1"/>
  <c r="M80" i="19"/>
  <c r="L79" i="19"/>
  <c r="T79" i="22" s="1"/>
  <c r="AN79" i="19"/>
  <c r="X80" i="22" s="1"/>
  <c r="AI104" i="19"/>
  <c r="I104" i="19" s="1"/>
  <c r="S104" i="22" s="1"/>
  <c r="AS82" i="25" l="1"/>
  <c r="E82" i="25" s="1"/>
  <c r="BE82" i="19" s="1"/>
  <c r="BO83" i="19"/>
  <c r="AP84" i="25" s="1"/>
  <c r="B84" i="25" s="1"/>
  <c r="O84" i="19" s="1"/>
  <c r="AB84" i="19" s="1"/>
  <c r="B84" i="19" s="1"/>
  <c r="L84" i="22" s="1"/>
  <c r="AQ83" i="25"/>
  <c r="C83" i="25" s="1"/>
  <c r="AR82" i="25"/>
  <c r="AT81" i="25"/>
  <c r="F81" i="25" s="1"/>
  <c r="BF81" i="19" s="1"/>
  <c r="BU80" i="19"/>
  <c r="AX81" i="25" s="1"/>
  <c r="J81" i="25" s="1"/>
  <c r="AU81" i="25"/>
  <c r="G81" i="25" s="1"/>
  <c r="BS81" i="19"/>
  <c r="T81" i="19"/>
  <c r="AG81" i="19" s="1"/>
  <c r="G81" i="19" s="1"/>
  <c r="BG81" i="19"/>
  <c r="AV81" i="25"/>
  <c r="H81" i="25" s="1"/>
  <c r="BH81" i="19"/>
  <c r="N79" i="19"/>
  <c r="U79" i="22" s="1"/>
  <c r="R82" i="19" l="1"/>
  <c r="E82" i="19" s="1"/>
  <c r="O82" i="22" s="1"/>
  <c r="V85" i="25"/>
  <c r="P83" i="19"/>
  <c r="C83" i="19" s="1"/>
  <c r="M83" i="22" s="1"/>
  <c r="BC83" i="19"/>
  <c r="W84" i="25"/>
  <c r="D82" i="25"/>
  <c r="U81" i="19"/>
  <c r="AH81" i="19" s="1"/>
  <c r="H81" i="19" s="1"/>
  <c r="R81" i="22" s="1"/>
  <c r="AE82" i="25"/>
  <c r="AY82" i="20" s="1"/>
  <c r="AD82" i="25"/>
  <c r="Z82" i="25"/>
  <c r="AV82" i="20" s="1"/>
  <c r="S81" i="19"/>
  <c r="AF81" i="19" s="1"/>
  <c r="F81" i="19" s="1"/>
  <c r="AB82" i="25"/>
  <c r="AC82" i="25"/>
  <c r="AA82" i="25"/>
  <c r="AJ82" i="19"/>
  <c r="J82" i="19" s="1"/>
  <c r="AI105" i="19"/>
  <c r="I105" i="19" s="1"/>
  <c r="S105" i="22" s="1"/>
  <c r="BT82" i="19" l="1"/>
  <c r="AX82" i="20"/>
  <c r="BS82" i="19"/>
  <c r="AW82" i="20"/>
  <c r="BO84" i="19"/>
  <c r="AP85" i="25" s="1"/>
  <c r="B85" i="25" s="1"/>
  <c r="Q82" i="19"/>
  <c r="AD82" i="19" s="1"/>
  <c r="D82" i="19" s="1"/>
  <c r="N82" i="22" s="1"/>
  <c r="X83" i="25"/>
  <c r="AU83" i="20" s="1"/>
  <c r="Y83" i="25"/>
  <c r="BQ83" i="19" s="1"/>
  <c r="AY82" i="25"/>
  <c r="K82" i="25" s="1"/>
  <c r="AV82" i="25"/>
  <c r="H82" i="25" s="1"/>
  <c r="AU82" i="25"/>
  <c r="G82" i="25" s="1"/>
  <c r="AW82" i="25"/>
  <c r="BH82" i="19"/>
  <c r="AL80" i="19"/>
  <c r="V81" i="22" s="1"/>
  <c r="AS83" i="25" l="1"/>
  <c r="E83" i="25" s="1"/>
  <c r="BE83" i="19" s="1"/>
  <c r="AR83" i="25"/>
  <c r="AQ84" i="25"/>
  <c r="O85" i="19"/>
  <c r="AB85" i="19" s="1"/>
  <c r="B85" i="19" s="1"/>
  <c r="L85" i="22" s="1"/>
  <c r="V86" i="25"/>
  <c r="AB83" i="25"/>
  <c r="AV83" i="25" s="1"/>
  <c r="I82" i="25"/>
  <c r="AK83" i="19"/>
  <c r="K83" i="19" s="1"/>
  <c r="L80" i="19"/>
  <c r="T80" i="22" s="1"/>
  <c r="M81" i="19"/>
  <c r="AN80" i="19"/>
  <c r="X81" i="22" s="1"/>
  <c r="AT82" i="25" s="1"/>
  <c r="AI106" i="19"/>
  <c r="I106" i="19" s="1"/>
  <c r="S106" i="22" s="1"/>
  <c r="R83" i="19" l="1"/>
  <c r="E83" i="19" s="1"/>
  <c r="O83" i="22" s="1"/>
  <c r="D83" i="25"/>
  <c r="C84" i="25"/>
  <c r="BU81" i="19"/>
  <c r="AX82" i="25" s="1"/>
  <c r="J82" i="25" s="1"/>
  <c r="AD83" i="25" s="1"/>
  <c r="T82" i="19"/>
  <c r="AG82" i="19" s="1"/>
  <c r="G82" i="19" s="1"/>
  <c r="BG82" i="19"/>
  <c r="AC83" i="25"/>
  <c r="H83" i="25"/>
  <c r="F82" i="25"/>
  <c r="AJ83" i="19"/>
  <c r="J83" i="19" s="1"/>
  <c r="N80" i="19"/>
  <c r="U80" i="22" s="1"/>
  <c r="BT83" i="19" l="1"/>
  <c r="AX83" i="20"/>
  <c r="P84" i="19"/>
  <c r="C84" i="19" s="1"/>
  <c r="BC84" i="19"/>
  <c r="W85" i="25"/>
  <c r="Q83" i="19"/>
  <c r="AD83" i="19" s="1"/>
  <c r="D83" i="19" s="1"/>
  <c r="N83" i="22" s="1"/>
  <c r="Y84" i="25"/>
  <c r="BQ84" i="19" s="1"/>
  <c r="X84" i="25"/>
  <c r="AU84" i="20" s="1"/>
  <c r="U82" i="19"/>
  <c r="AH82" i="19" s="1"/>
  <c r="H82" i="19" s="1"/>
  <c r="R82" i="22" s="1"/>
  <c r="AE83" i="25"/>
  <c r="AY83" i="20" s="1"/>
  <c r="S82" i="19"/>
  <c r="AF82" i="19" s="1"/>
  <c r="F82" i="19" s="1"/>
  <c r="BF82" i="19"/>
  <c r="Z83" i="25"/>
  <c r="AV83" i="20" s="1"/>
  <c r="AA83" i="25"/>
  <c r="AW83" i="25"/>
  <c r="AI107" i="19"/>
  <c r="I107" i="19" s="1"/>
  <c r="S107" i="22" s="1"/>
  <c r="BS83" i="19" l="1"/>
  <c r="AW83" i="20"/>
  <c r="BO85" i="19"/>
  <c r="AP86" i="25" s="1"/>
  <c r="AQ85" i="25"/>
  <c r="AY83" i="25"/>
  <c r="K83" i="25" s="1"/>
  <c r="AR84" i="25"/>
  <c r="D84" i="25" s="1"/>
  <c r="Q84" i="19" s="1"/>
  <c r="AD84" i="19" s="1"/>
  <c r="D84" i="19" s="1"/>
  <c r="N84" i="22" s="1"/>
  <c r="AS84" i="25"/>
  <c r="I83" i="25"/>
  <c r="BG83" i="19" s="1"/>
  <c r="AU83" i="25"/>
  <c r="AK84" i="19"/>
  <c r="K84" i="19" s="1"/>
  <c r="BH83" i="19"/>
  <c r="AL81" i="19"/>
  <c r="V82" i="22" s="1"/>
  <c r="AN81" i="19"/>
  <c r="X82" i="22" s="1"/>
  <c r="AI108" i="19"/>
  <c r="I108" i="19" s="1"/>
  <c r="S108" i="22" s="1"/>
  <c r="C85" i="25" l="1"/>
  <c r="X85" i="25"/>
  <c r="AU85" i="20" s="1"/>
  <c r="B86" i="25"/>
  <c r="BU82" i="19"/>
  <c r="AX83" i="25" s="1"/>
  <c r="J83" i="25" s="1"/>
  <c r="AD84" i="25" s="1"/>
  <c r="AC84" i="25"/>
  <c r="AW84" i="25" s="1"/>
  <c r="T83" i="19"/>
  <c r="AG83" i="19" s="1"/>
  <c r="G83" i="19" s="1"/>
  <c r="E84" i="25"/>
  <c r="BE84" i="19" s="1"/>
  <c r="G83" i="25"/>
  <c r="AT83" i="25"/>
  <c r="N81" i="19"/>
  <c r="U81" i="22" s="1"/>
  <c r="L81" i="19"/>
  <c r="T81" i="22" s="1"/>
  <c r="M82" i="19"/>
  <c r="BT84" i="19" l="1"/>
  <c r="AX84" i="20"/>
  <c r="O86" i="19"/>
  <c r="AB86" i="19" s="1"/>
  <c r="B86" i="19" s="1"/>
  <c r="L86" i="22" s="1"/>
  <c r="V87" i="25"/>
  <c r="W86" i="25"/>
  <c r="BC85" i="19"/>
  <c r="P85" i="19"/>
  <c r="C85" i="19" s="1"/>
  <c r="M85" i="22" s="1"/>
  <c r="AR85" i="25"/>
  <c r="U83" i="19"/>
  <c r="AH83" i="19" s="1"/>
  <c r="H83" i="19" s="1"/>
  <c r="R83" i="22" s="1"/>
  <c r="AE84" i="25"/>
  <c r="AY84" i="20" s="1"/>
  <c r="Y85" i="25"/>
  <c r="BQ85" i="19" s="1"/>
  <c r="R84" i="19"/>
  <c r="E84" i="19" s="1"/>
  <c r="O84" i="22" s="1"/>
  <c r="F83" i="25"/>
  <c r="BF83" i="19" s="1"/>
  <c r="AB84" i="25"/>
  <c r="I84" i="25"/>
  <c r="AJ84" i="19"/>
  <c r="J84" i="19" s="1"/>
  <c r="AN82" i="19"/>
  <c r="AI109" i="19"/>
  <c r="I109" i="19" s="1"/>
  <c r="S109" i="22" s="1"/>
  <c r="AY84" i="25" l="1"/>
  <c r="K84" i="25" s="1"/>
  <c r="D85" i="25"/>
  <c r="BO86" i="19"/>
  <c r="AP87" i="25" s="1"/>
  <c r="B87" i="25" s="1"/>
  <c r="AQ86" i="25"/>
  <c r="C86" i="25" s="1"/>
  <c r="T84" i="19"/>
  <c r="BG84" i="19"/>
  <c r="Z84" i="25"/>
  <c r="S83" i="19"/>
  <c r="AF83" i="19" s="1"/>
  <c r="F83" i="19" s="1"/>
  <c r="AA84" i="25"/>
  <c r="AW84" i="20" s="1"/>
  <c r="AV84" i="25"/>
  <c r="BH84" i="19"/>
  <c r="N82" i="19"/>
  <c r="U82" i="22" s="1"/>
  <c r="X83" i="22"/>
  <c r="AS85" i="25" l="1"/>
  <c r="E85" i="25" s="1"/>
  <c r="BE85" i="19" s="1"/>
  <c r="AV84" i="20"/>
  <c r="O87" i="19"/>
  <c r="AB87" i="19" s="1"/>
  <c r="B87" i="19" s="1"/>
  <c r="L87" i="22" s="1"/>
  <c r="V88" i="25"/>
  <c r="BC86" i="19"/>
  <c r="P86" i="19"/>
  <c r="C86" i="19" s="1"/>
  <c r="M86" i="22" s="1"/>
  <c r="W87" i="25"/>
  <c r="Q85" i="19"/>
  <c r="AD85" i="19" s="1"/>
  <c r="D85" i="19" s="1"/>
  <c r="N85" i="22" s="1"/>
  <c r="X86" i="25"/>
  <c r="AU86" i="20" s="1"/>
  <c r="AU84" i="25"/>
  <c r="G84" i="25" s="1"/>
  <c r="BS84" i="19"/>
  <c r="H84" i="25"/>
  <c r="AK85" i="19"/>
  <c r="K85" i="19" s="1"/>
  <c r="AG84" i="19"/>
  <c r="G84" i="19" s="1"/>
  <c r="AL82" i="19"/>
  <c r="V83" i="22" s="1"/>
  <c r="AI110" i="19"/>
  <c r="I110" i="19" s="1"/>
  <c r="S110" i="22" s="1"/>
  <c r="BO87" i="19" l="1"/>
  <c r="AP88" i="25" s="1"/>
  <c r="AQ87" i="25"/>
  <c r="AR86" i="25"/>
  <c r="D86" i="25" s="1"/>
  <c r="Q86" i="19" s="1"/>
  <c r="AD86" i="19" s="1"/>
  <c r="D86" i="19" s="1"/>
  <c r="N86" i="22" s="1"/>
  <c r="AT84" i="25"/>
  <c r="F84" i="25" s="1"/>
  <c r="BF84" i="19" s="1"/>
  <c r="BU83" i="19"/>
  <c r="AX84" i="25" s="1"/>
  <c r="Y86" i="25"/>
  <c r="BQ86" i="19" s="1"/>
  <c r="R85" i="19"/>
  <c r="E85" i="19" s="1"/>
  <c r="O85" i="22" s="1"/>
  <c r="AB85" i="25"/>
  <c r="AC85" i="25"/>
  <c r="AJ85" i="19"/>
  <c r="J85" i="19" s="1"/>
  <c r="BH85" i="19"/>
  <c r="L82" i="19"/>
  <c r="T82" i="22" s="1"/>
  <c r="M83" i="19"/>
  <c r="AN83" i="19"/>
  <c r="C87" i="25" l="1"/>
  <c r="X87" i="25"/>
  <c r="B88" i="25"/>
  <c r="AA85" i="25"/>
  <c r="Z85" i="25"/>
  <c r="J84" i="25"/>
  <c r="S84" i="19"/>
  <c r="AF84" i="19" s="1"/>
  <c r="F84" i="19" s="1"/>
  <c r="AW85" i="25"/>
  <c r="I85" i="25" s="1"/>
  <c r="AV85" i="25"/>
  <c r="AK86" i="19"/>
  <c r="K86" i="19" s="1"/>
  <c r="N83" i="19"/>
  <c r="U83" i="22" s="1"/>
  <c r="X84" i="22"/>
  <c r="AI111" i="19"/>
  <c r="I111" i="19" s="1"/>
  <c r="S111" i="22" s="1"/>
  <c r="BS85" i="19" l="1"/>
  <c r="AW85" i="20"/>
  <c r="AS86" i="25"/>
  <c r="E86" i="25" s="1"/>
  <c r="BE86" i="19" s="1"/>
  <c r="AV85" i="20"/>
  <c r="AR87" i="25"/>
  <c r="D87" i="25" s="1"/>
  <c r="Q87" i="19" s="1"/>
  <c r="AD87" i="19" s="1"/>
  <c r="D87" i="19" s="1"/>
  <c r="N87" i="22" s="1"/>
  <c r="AU87" i="20"/>
  <c r="AU85" i="25"/>
  <c r="G85" i="25" s="1"/>
  <c r="O88" i="19"/>
  <c r="AB88" i="19" s="1"/>
  <c r="B88" i="19" s="1"/>
  <c r="L88" i="22" s="1"/>
  <c r="V89" i="25"/>
  <c r="P87" i="19"/>
  <c r="C87" i="19" s="1"/>
  <c r="M87" i="22" s="1"/>
  <c r="BC87" i="19"/>
  <c r="W88" i="25"/>
  <c r="U84" i="19"/>
  <c r="AH84" i="19" s="1"/>
  <c r="H84" i="19" s="1"/>
  <c r="R84" i="22" s="1"/>
  <c r="AE85" i="25"/>
  <c r="AY85" i="20" s="1"/>
  <c r="AD85" i="25"/>
  <c r="AX85" i="20" s="1"/>
  <c r="R86" i="19"/>
  <c r="E86" i="19" s="1"/>
  <c r="O86" i="22" s="1"/>
  <c r="Y87" i="25"/>
  <c r="BQ87" i="19" s="1"/>
  <c r="T85" i="19"/>
  <c r="AG85" i="19" s="1"/>
  <c r="G85" i="19" s="1"/>
  <c r="BG85" i="19"/>
  <c r="H85" i="25"/>
  <c r="AJ86" i="19"/>
  <c r="J86" i="19" s="1"/>
  <c r="X88" i="25" l="1"/>
  <c r="AU88" i="20" s="1"/>
  <c r="AB86" i="25"/>
  <c r="BO88" i="19"/>
  <c r="AP89" i="25" s="1"/>
  <c r="AQ88" i="25"/>
  <c r="C88" i="25" s="1"/>
  <c r="AR88" i="25"/>
  <c r="BT85" i="19"/>
  <c r="AY85" i="25"/>
  <c r="K85" i="25" s="1"/>
  <c r="AV86" i="25"/>
  <c r="AC86" i="25"/>
  <c r="AL83" i="19"/>
  <c r="V84" i="22" s="1"/>
  <c r="AN84" i="19"/>
  <c r="AI112" i="19"/>
  <c r="I112" i="19" s="1"/>
  <c r="S112" i="22" s="1"/>
  <c r="B89" i="25" l="1"/>
  <c r="W89" i="25"/>
  <c r="AQ89" i="25" s="1"/>
  <c r="BC88" i="19"/>
  <c r="P88" i="19"/>
  <c r="C88" i="19" s="1"/>
  <c r="M88" i="22" s="1"/>
  <c r="D88" i="25"/>
  <c r="AT85" i="25"/>
  <c r="F85" i="25" s="1"/>
  <c r="BU84" i="19"/>
  <c r="AX85" i="25" s="1"/>
  <c r="AW86" i="25"/>
  <c r="I86" i="25" s="1"/>
  <c r="H86" i="25"/>
  <c r="AK87" i="19"/>
  <c r="K87" i="19" s="1"/>
  <c r="M84" i="19"/>
  <c r="L83" i="19"/>
  <c r="T83" i="22" s="1"/>
  <c r="N84" i="19"/>
  <c r="U84" i="22" s="1"/>
  <c r="X85" i="22"/>
  <c r="BO89" i="19" l="1"/>
  <c r="C89" i="25"/>
  <c r="W90" i="25" s="1"/>
  <c r="O89" i="19"/>
  <c r="AB89" i="19" s="1"/>
  <c r="B89" i="19" s="1"/>
  <c r="L89" i="22" s="1"/>
  <c r="V90" i="25"/>
  <c r="Q88" i="19"/>
  <c r="AD88" i="19" s="1"/>
  <c r="D88" i="19" s="1"/>
  <c r="N88" i="22" s="1"/>
  <c r="X89" i="25"/>
  <c r="AU89" i="20" s="1"/>
  <c r="J85" i="25"/>
  <c r="S85" i="19"/>
  <c r="AF85" i="19" s="1"/>
  <c r="F85" i="19" s="1"/>
  <c r="BF85" i="19"/>
  <c r="T86" i="19"/>
  <c r="BG86" i="19"/>
  <c r="AC87" i="25"/>
  <c r="Z86" i="25"/>
  <c r="AV86" i="20" s="1"/>
  <c r="AA86" i="25"/>
  <c r="BH86" i="19"/>
  <c r="AN85" i="19"/>
  <c r="N85" i="19" s="1"/>
  <c r="U85" i="22" s="1"/>
  <c r="BS86" i="19" l="1"/>
  <c r="AW86" i="20"/>
  <c r="BC89" i="19"/>
  <c r="P89" i="19"/>
  <c r="C89" i="19" s="1"/>
  <c r="M89" i="22" s="1"/>
  <c r="AP90" i="25"/>
  <c r="BO90" i="19"/>
  <c r="AQ90" i="25"/>
  <c r="U85" i="19"/>
  <c r="AH85" i="19" s="1"/>
  <c r="H85" i="19" s="1"/>
  <c r="R85" i="22" s="1"/>
  <c r="AD86" i="25"/>
  <c r="AX86" i="20" s="1"/>
  <c r="AE86" i="25"/>
  <c r="AU86" i="25"/>
  <c r="AS87" i="25"/>
  <c r="AG86" i="19"/>
  <c r="G86" i="19" s="1"/>
  <c r="X86" i="22"/>
  <c r="AI113" i="19"/>
  <c r="I113" i="19" s="1"/>
  <c r="S113" i="22" s="1"/>
  <c r="AY86" i="25" l="1"/>
  <c r="K86" i="25" s="1"/>
  <c r="AY86" i="20"/>
  <c r="C90" i="25"/>
  <c r="B90" i="25"/>
  <c r="BT86" i="19"/>
  <c r="AW87" i="25"/>
  <c r="I87" i="25" s="1"/>
  <c r="T87" i="19" s="1"/>
  <c r="E87" i="25"/>
  <c r="BE87" i="19" s="1"/>
  <c r="G86" i="25"/>
  <c r="AJ87" i="19"/>
  <c r="J87" i="19" s="1"/>
  <c r="AL84" i="19"/>
  <c r="V85" i="22" s="1"/>
  <c r="BC90" i="19" l="1"/>
  <c r="P90" i="19"/>
  <c r="C90" i="19" s="1"/>
  <c r="W91" i="25"/>
  <c r="O90" i="19"/>
  <c r="AB90" i="19" s="1"/>
  <c r="B90" i="19" s="1"/>
  <c r="L90" i="22" s="1"/>
  <c r="V91" i="25"/>
  <c r="BG87" i="19"/>
  <c r="AT86" i="25"/>
  <c r="F86" i="25" s="1"/>
  <c r="BF86" i="19" s="1"/>
  <c r="BU85" i="19"/>
  <c r="AX86" i="25" s="1"/>
  <c r="Y88" i="25"/>
  <c r="BQ88" i="19" s="1"/>
  <c r="AR89" i="25" s="1"/>
  <c r="R87" i="19"/>
  <c r="E87" i="19" s="1"/>
  <c r="O87" i="22" s="1"/>
  <c r="AB87" i="25"/>
  <c r="L84" i="19"/>
  <c r="T84" i="22" s="1"/>
  <c r="M85" i="19"/>
  <c r="AI114" i="19"/>
  <c r="I114" i="19" s="1"/>
  <c r="S114" i="22" s="1"/>
  <c r="BO91" i="19" l="1"/>
  <c r="D89" i="25"/>
  <c r="AP91" i="25"/>
  <c r="B91" i="25" s="1"/>
  <c r="J86" i="25"/>
  <c r="Z87" i="25"/>
  <c r="S86" i="19"/>
  <c r="AF86" i="19" s="1"/>
  <c r="F86" i="19" s="1"/>
  <c r="AV87" i="25"/>
  <c r="AA87" i="25"/>
  <c r="BH87" i="19"/>
  <c r="AK88" i="19"/>
  <c r="K88" i="19" s="1"/>
  <c r="AI115" i="19"/>
  <c r="I115" i="19" s="1"/>
  <c r="S115" i="22" s="1"/>
  <c r="BS87" i="19" l="1"/>
  <c r="AW87" i="20"/>
  <c r="AS88" i="25"/>
  <c r="E88" i="25" s="1"/>
  <c r="BE88" i="19" s="1"/>
  <c r="AV87" i="20"/>
  <c r="O91" i="19"/>
  <c r="AB91" i="19" s="1"/>
  <c r="B91" i="19" s="1"/>
  <c r="L91" i="22" s="1"/>
  <c r="V92" i="25"/>
  <c r="AP92" i="25" s="1"/>
  <c r="Q89" i="19"/>
  <c r="AD89" i="19" s="1"/>
  <c r="D89" i="19" s="1"/>
  <c r="N89" i="22" s="1"/>
  <c r="X90" i="25"/>
  <c r="AU90" i="20" s="1"/>
  <c r="U86" i="19"/>
  <c r="AH86" i="19" s="1"/>
  <c r="H86" i="19" s="1"/>
  <c r="R86" i="22" s="1"/>
  <c r="AE87" i="25"/>
  <c r="AY87" i="20" s="1"/>
  <c r="AD87" i="25"/>
  <c r="AX87" i="20" s="1"/>
  <c r="AU87" i="25"/>
  <c r="G87" i="25" s="1"/>
  <c r="H87" i="25"/>
  <c r="AG87" i="19"/>
  <c r="G87" i="19" s="1"/>
  <c r="AJ88" i="19"/>
  <c r="J88" i="19" s="1"/>
  <c r="AN86" i="19"/>
  <c r="B92" i="25" l="1"/>
  <c r="V93" i="25" s="1"/>
  <c r="AQ91" i="25"/>
  <c r="BT87" i="19"/>
  <c r="AY87" i="25"/>
  <c r="K87" i="25" s="1"/>
  <c r="Y89" i="25"/>
  <c r="BQ89" i="19" s="1"/>
  <c r="AR90" i="25" s="1"/>
  <c r="R88" i="19"/>
  <c r="E88" i="19" s="1"/>
  <c r="O88" i="22" s="1"/>
  <c r="AB88" i="25"/>
  <c r="AC88" i="25"/>
  <c r="AK89" i="19"/>
  <c r="K89" i="19" s="1"/>
  <c r="AL85" i="19"/>
  <c r="V86" i="22" s="1"/>
  <c r="N86" i="19"/>
  <c r="U86" i="22" s="1"/>
  <c r="X87" i="22"/>
  <c r="AI116" i="19"/>
  <c r="I116" i="19" s="1"/>
  <c r="S116" i="22" s="1"/>
  <c r="D90" i="25" l="1"/>
  <c r="C91" i="25"/>
  <c r="O92" i="19"/>
  <c r="AB92" i="19" s="1"/>
  <c r="B92" i="19" s="1"/>
  <c r="L92" i="22" s="1"/>
  <c r="AT87" i="25"/>
  <c r="F87" i="25" s="1"/>
  <c r="BU86" i="19"/>
  <c r="AX87" i="25" s="1"/>
  <c r="AV88" i="25"/>
  <c r="AW88" i="25"/>
  <c r="I88" i="25" s="1"/>
  <c r="L85" i="19"/>
  <c r="T85" i="22" s="1"/>
  <c r="M86" i="19"/>
  <c r="AI117" i="19"/>
  <c r="I117" i="19" s="1"/>
  <c r="S117" i="22" s="1"/>
  <c r="BC91" i="19" l="1"/>
  <c r="P91" i="19"/>
  <c r="C91" i="19" s="1"/>
  <c r="W92" i="25"/>
  <c r="Q90" i="19"/>
  <c r="AD90" i="19" s="1"/>
  <c r="D90" i="19" s="1"/>
  <c r="N90" i="22" s="1"/>
  <c r="X91" i="25"/>
  <c r="AU91" i="20" s="1"/>
  <c r="J87" i="25"/>
  <c r="S87" i="19"/>
  <c r="AF87" i="19" s="1"/>
  <c r="F87" i="19" s="1"/>
  <c r="BF87" i="19"/>
  <c r="T88" i="19"/>
  <c r="AG88" i="19" s="1"/>
  <c r="G88" i="19" s="1"/>
  <c r="BG88" i="19"/>
  <c r="H88" i="25"/>
  <c r="AC89" i="25" s="1"/>
  <c r="Z88" i="25"/>
  <c r="AV88" i="20" s="1"/>
  <c r="AA88" i="25"/>
  <c r="BH88" i="19"/>
  <c r="BS88" i="19" l="1"/>
  <c r="AW88" i="20"/>
  <c r="BO92" i="19"/>
  <c r="AP93" i="25" s="1"/>
  <c r="AQ92" i="25"/>
  <c r="U87" i="19"/>
  <c r="AH87" i="19" s="1"/>
  <c r="H87" i="19" s="1"/>
  <c r="R87" i="22" s="1"/>
  <c r="AD88" i="25"/>
  <c r="AE88" i="25"/>
  <c r="AY88" i="20" s="1"/>
  <c r="AS89" i="25"/>
  <c r="AU88" i="25"/>
  <c r="G88" i="25" s="1"/>
  <c r="AB89" i="25" s="1"/>
  <c r="AI118" i="19"/>
  <c r="I118" i="19" s="1"/>
  <c r="S118" i="22" s="1"/>
  <c r="AW89" i="25" l="1"/>
  <c r="I89" i="25" s="1"/>
  <c r="T89" i="19" s="1"/>
  <c r="AX88" i="20"/>
  <c r="C92" i="25"/>
  <c r="B93" i="25"/>
  <c r="BT88" i="19"/>
  <c r="AY88" i="25"/>
  <c r="K88" i="25" s="1"/>
  <c r="AV89" i="25"/>
  <c r="E89" i="25"/>
  <c r="BE89" i="19" s="1"/>
  <c r="AJ89" i="19"/>
  <c r="J89" i="19" s="1"/>
  <c r="AL86" i="19"/>
  <c r="V87" i="22" s="1"/>
  <c r="AN87" i="19"/>
  <c r="X88" i="22" s="1"/>
  <c r="AI119" i="19"/>
  <c r="I119" i="19" s="1"/>
  <c r="S119" i="22" s="1"/>
  <c r="BG89" i="19" l="1"/>
  <c r="O93" i="19"/>
  <c r="AB93" i="19" s="1"/>
  <c r="B93" i="19" s="1"/>
  <c r="L93" i="22" s="1"/>
  <c r="V94" i="25"/>
  <c r="BC92" i="19"/>
  <c r="P92" i="19"/>
  <c r="C92" i="19" s="1"/>
  <c r="W93" i="25"/>
  <c r="AT88" i="25"/>
  <c r="F88" i="25" s="1"/>
  <c r="BU87" i="19"/>
  <c r="AX88" i="25" s="1"/>
  <c r="Y90" i="25"/>
  <c r="BQ90" i="19" s="1"/>
  <c r="AR91" i="25" s="1"/>
  <c r="R89" i="19"/>
  <c r="E89" i="19" s="1"/>
  <c r="O89" i="22" s="1"/>
  <c r="H89" i="25"/>
  <c r="N87" i="19"/>
  <c r="U87" i="22" s="1"/>
  <c r="M87" i="19"/>
  <c r="L86" i="19"/>
  <c r="T86" i="22" s="1"/>
  <c r="D91" i="25" l="1"/>
  <c r="BO93" i="19"/>
  <c r="AP94" i="25" s="1"/>
  <c r="J88" i="25"/>
  <c r="S88" i="19"/>
  <c r="AF88" i="19" s="1"/>
  <c r="F88" i="19" s="1"/>
  <c r="BF88" i="19"/>
  <c r="AC90" i="25"/>
  <c r="Z89" i="25"/>
  <c r="AV89" i="20" s="1"/>
  <c r="AA89" i="25"/>
  <c r="AG89" i="19"/>
  <c r="G89" i="19" s="1"/>
  <c r="AK90" i="19"/>
  <c r="K90" i="19" s="1"/>
  <c r="BH89" i="19"/>
  <c r="AI120" i="19"/>
  <c r="I120" i="19" s="1"/>
  <c r="S120" i="22" s="1"/>
  <c r="M120" i="22"/>
  <c r="BS89" i="19" l="1"/>
  <c r="AW89" i="20"/>
  <c r="Q91" i="19"/>
  <c r="AD91" i="19" s="1"/>
  <c r="D91" i="19" s="1"/>
  <c r="N91" i="22" s="1"/>
  <c r="X92" i="25"/>
  <c r="AU92" i="20" s="1"/>
  <c r="B94" i="25"/>
  <c r="U88" i="19"/>
  <c r="AH88" i="19" s="1"/>
  <c r="H88" i="19" s="1"/>
  <c r="R88" i="22" s="1"/>
  <c r="AD89" i="25"/>
  <c r="AE89" i="25"/>
  <c r="AY89" i="20" s="1"/>
  <c r="AU89" i="25"/>
  <c r="G89" i="25" s="1"/>
  <c r="AS90" i="25"/>
  <c r="AJ90" i="19"/>
  <c r="J90" i="19" s="1"/>
  <c r="AI121" i="19"/>
  <c r="I121" i="19" s="1"/>
  <c r="S121" i="22" s="1"/>
  <c r="AW90" i="25" l="1"/>
  <c r="I90" i="25" s="1"/>
  <c r="BG90" i="19" s="1"/>
  <c r="AX89" i="20"/>
  <c r="O94" i="19"/>
  <c r="AB94" i="19" s="1"/>
  <c r="B94" i="19" s="1"/>
  <c r="L94" i="22" s="1"/>
  <c r="V95" i="25"/>
  <c r="AQ93" i="25"/>
  <c r="BT89" i="19"/>
  <c r="AY89" i="25"/>
  <c r="K89" i="25" s="1"/>
  <c r="E90" i="25"/>
  <c r="BE90" i="19" s="1"/>
  <c r="AB90" i="25"/>
  <c r="AL87" i="19"/>
  <c r="V88" i="22" s="1"/>
  <c r="T90" i="19" l="1"/>
  <c r="C93" i="25"/>
  <c r="AT89" i="25"/>
  <c r="F89" i="25" s="1"/>
  <c r="BU88" i="19"/>
  <c r="AX89" i="25" s="1"/>
  <c r="Y91" i="25"/>
  <c r="BQ91" i="19" s="1"/>
  <c r="AR92" i="25" s="1"/>
  <c r="D92" i="25" s="1"/>
  <c r="R90" i="19"/>
  <c r="E90" i="19" s="1"/>
  <c r="O90" i="22" s="1"/>
  <c r="AV90" i="25"/>
  <c r="L87" i="19"/>
  <c r="T87" i="22" s="1"/>
  <c r="AK91" i="19"/>
  <c r="K91" i="19" s="1"/>
  <c r="AN88" i="19"/>
  <c r="X89" i="22" s="1"/>
  <c r="M88" i="19"/>
  <c r="AI122" i="19"/>
  <c r="I122" i="19" s="1"/>
  <c r="S122" i="22" s="1"/>
  <c r="Q92" i="19" l="1"/>
  <c r="AD92" i="19" s="1"/>
  <c r="D92" i="19" s="1"/>
  <c r="N92" i="22" s="1"/>
  <c r="X93" i="25"/>
  <c r="AU93" i="20" s="1"/>
  <c r="P93" i="19"/>
  <c r="C93" i="19" s="1"/>
  <c r="M93" i="22" s="1"/>
  <c r="BC93" i="19"/>
  <c r="W94" i="25"/>
  <c r="J89" i="25"/>
  <c r="S89" i="19"/>
  <c r="AF89" i="19" s="1"/>
  <c r="F89" i="19" s="1"/>
  <c r="BF89" i="19"/>
  <c r="H90" i="25"/>
  <c r="Z90" i="25"/>
  <c r="AV90" i="20" s="1"/>
  <c r="AA90" i="25"/>
  <c r="BH90" i="19"/>
  <c r="N88" i="19"/>
  <c r="U88" i="22" s="1"/>
  <c r="BS90" i="19" l="1"/>
  <c r="AW90" i="20"/>
  <c r="BO94" i="19"/>
  <c r="AP95" i="25" s="1"/>
  <c r="AQ94" i="25"/>
  <c r="C94" i="25" s="1"/>
  <c r="U89" i="19"/>
  <c r="AH89" i="19" s="1"/>
  <c r="H89" i="19" s="1"/>
  <c r="R89" i="22" s="1"/>
  <c r="AD90" i="25"/>
  <c r="AX90" i="20" s="1"/>
  <c r="AE90" i="25"/>
  <c r="AY90" i="20" s="1"/>
  <c r="AU90" i="25"/>
  <c r="AS91" i="25"/>
  <c r="AC91" i="25"/>
  <c r="AJ91" i="19"/>
  <c r="J91" i="19" s="1"/>
  <c r="AG90" i="19"/>
  <c r="G90" i="19" s="1"/>
  <c r="AL88" i="19"/>
  <c r="V89" i="22" s="1"/>
  <c r="BU89" i="19" s="1"/>
  <c r="AI123" i="19"/>
  <c r="I123" i="19" s="1"/>
  <c r="S123" i="22" s="1"/>
  <c r="B95" i="25" l="1"/>
  <c r="BC94" i="19"/>
  <c r="P94" i="19"/>
  <c r="C94" i="19" s="1"/>
  <c r="M94" i="22" s="1"/>
  <c r="W95" i="25"/>
  <c r="BT90" i="19"/>
  <c r="AX90" i="25"/>
  <c r="AY90" i="25"/>
  <c r="K90" i="25" s="1"/>
  <c r="AT90" i="25"/>
  <c r="E91" i="25"/>
  <c r="BE91" i="19" s="1"/>
  <c r="AW91" i="25"/>
  <c r="I91" i="25" s="1"/>
  <c r="G90" i="25"/>
  <c r="L88" i="19"/>
  <c r="T88" i="22" s="1"/>
  <c r="AN89" i="19"/>
  <c r="X90" i="22" s="1"/>
  <c r="M89" i="19"/>
  <c r="BO95" i="19" l="1"/>
  <c r="O95" i="19"/>
  <c r="AB95" i="19" s="1"/>
  <c r="B95" i="19" s="1"/>
  <c r="L95" i="22" s="1"/>
  <c r="V96" i="25"/>
  <c r="J90" i="25"/>
  <c r="AE91" i="25" s="1"/>
  <c r="AY91" i="20" s="1"/>
  <c r="T91" i="19"/>
  <c r="AG91" i="19" s="1"/>
  <c r="G91" i="19" s="1"/>
  <c r="BG91" i="19"/>
  <c r="Y92" i="25"/>
  <c r="BQ92" i="19" s="1"/>
  <c r="AR93" i="25" s="1"/>
  <c r="R91" i="19"/>
  <c r="E91" i="19" s="1"/>
  <c r="O91" i="22" s="1"/>
  <c r="AB91" i="25"/>
  <c r="F90" i="25"/>
  <c r="BF90" i="19" s="1"/>
  <c r="AK92" i="19"/>
  <c r="K92" i="19" s="1"/>
  <c r="N89" i="19"/>
  <c r="U89" i="22" s="1"/>
  <c r="AI124" i="19"/>
  <c r="I124" i="19" s="1"/>
  <c r="S124" i="22" s="1"/>
  <c r="D93" i="25" l="1"/>
  <c r="AP96" i="25"/>
  <c r="B96" i="25" s="1"/>
  <c r="AY91" i="25"/>
  <c r="K91" i="25" s="1"/>
  <c r="U90" i="19"/>
  <c r="AH90" i="19" s="1"/>
  <c r="H90" i="19" s="1"/>
  <c r="R90" i="22" s="1"/>
  <c r="AD91" i="25"/>
  <c r="AX91" i="20" s="1"/>
  <c r="Z91" i="25"/>
  <c r="S90" i="19"/>
  <c r="AF90" i="19" s="1"/>
  <c r="F90" i="19" s="1"/>
  <c r="BH91" i="19" s="1"/>
  <c r="AA91" i="25"/>
  <c r="AV91" i="25"/>
  <c r="H91" i="25" s="1"/>
  <c r="AJ92" i="19"/>
  <c r="J92" i="19" s="1"/>
  <c r="BS91" i="19" l="1"/>
  <c r="AW91" i="20"/>
  <c r="AS92" i="25"/>
  <c r="E92" i="25" s="1"/>
  <c r="BE92" i="19" s="1"/>
  <c r="AV91" i="20"/>
  <c r="O96" i="19"/>
  <c r="AB96" i="19" s="1"/>
  <c r="B96" i="19" s="1"/>
  <c r="L96" i="22" s="1"/>
  <c r="V97" i="25"/>
  <c r="Q93" i="19"/>
  <c r="AD93" i="19" s="1"/>
  <c r="D93" i="19" s="1"/>
  <c r="N93" i="22" s="1"/>
  <c r="X94" i="25"/>
  <c r="AU94" i="20" s="1"/>
  <c r="BT91" i="19"/>
  <c r="AC92" i="25"/>
  <c r="AU91" i="25"/>
  <c r="G91" i="25" s="1"/>
  <c r="AL89" i="19"/>
  <c r="V90" i="22" s="1"/>
  <c r="AI125" i="19"/>
  <c r="I125" i="19" s="1"/>
  <c r="S125" i="22" s="1"/>
  <c r="AQ95" i="25" l="1"/>
  <c r="AT91" i="25"/>
  <c r="F91" i="25" s="1"/>
  <c r="BF91" i="19" s="1"/>
  <c r="BU90" i="19"/>
  <c r="AX91" i="25" s="1"/>
  <c r="Y93" i="25"/>
  <c r="BQ93" i="19" s="1"/>
  <c r="AR94" i="25" s="1"/>
  <c r="R92" i="19"/>
  <c r="E92" i="19" s="1"/>
  <c r="O92" i="22" s="1"/>
  <c r="AB92" i="25"/>
  <c r="AW92" i="25"/>
  <c r="I92" i="25" s="1"/>
  <c r="BG92" i="19" s="1"/>
  <c r="AK93" i="19"/>
  <c r="K93" i="19" s="1"/>
  <c r="AN90" i="19"/>
  <c r="X91" i="22" s="1"/>
  <c r="M90" i="19"/>
  <c r="L89" i="19"/>
  <c r="T89" i="22" s="1"/>
  <c r="D94" i="25" l="1"/>
  <c r="C95" i="25"/>
  <c r="S91" i="19"/>
  <c r="AF91" i="19" s="1"/>
  <c r="F91" i="19" s="1"/>
  <c r="AA92" i="25"/>
  <c r="Z92" i="25"/>
  <c r="AV92" i="20" s="1"/>
  <c r="J91" i="25"/>
  <c r="AS93" i="25"/>
  <c r="E93" i="25" s="1"/>
  <c r="BE93" i="19" s="1"/>
  <c r="T92" i="19"/>
  <c r="AV92" i="25"/>
  <c r="H92" i="25" s="1"/>
  <c r="BH92" i="19"/>
  <c r="N90" i="19"/>
  <c r="U90" i="22" s="1"/>
  <c r="AI126" i="19"/>
  <c r="I126" i="19" s="1"/>
  <c r="S126" i="22" s="1"/>
  <c r="BS92" i="19" l="1"/>
  <c r="AW92" i="20"/>
  <c r="AU92" i="25"/>
  <c r="G92" i="25" s="1"/>
  <c r="AB93" i="25" s="1"/>
  <c r="AV93" i="25" s="1"/>
  <c r="P95" i="19"/>
  <c r="C95" i="19" s="1"/>
  <c r="M95" i="22" s="1"/>
  <c r="BC95" i="19"/>
  <c r="W96" i="25"/>
  <c r="Q94" i="19"/>
  <c r="AD94" i="19" s="1"/>
  <c r="D94" i="19" s="1"/>
  <c r="N94" i="22" s="1"/>
  <c r="X95" i="25"/>
  <c r="AU95" i="20" s="1"/>
  <c r="R93" i="19"/>
  <c r="E93" i="19" s="1"/>
  <c r="O93" i="22" s="1"/>
  <c r="Y94" i="25"/>
  <c r="BQ94" i="19" s="1"/>
  <c r="U91" i="19"/>
  <c r="AH91" i="19" s="1"/>
  <c r="H91" i="19" s="1"/>
  <c r="R91" i="22" s="1"/>
  <c r="AE92" i="25"/>
  <c r="AY92" i="20" s="1"/>
  <c r="AD92" i="25"/>
  <c r="AX92" i="20" s="1"/>
  <c r="AC93" i="25"/>
  <c r="AG92" i="19"/>
  <c r="G92" i="19" s="1"/>
  <c r="AJ93" i="19"/>
  <c r="J93" i="19" s="1"/>
  <c r="BO96" i="19" l="1"/>
  <c r="AP97" i="25" s="1"/>
  <c r="AQ96" i="25"/>
  <c r="AR95" i="25"/>
  <c r="BT92" i="19"/>
  <c r="AY92" i="25"/>
  <c r="K92" i="25" s="1"/>
  <c r="AW93" i="25"/>
  <c r="H93" i="25"/>
  <c r="AL90" i="19"/>
  <c r="V91" i="22" s="1"/>
  <c r="AI127" i="19"/>
  <c r="I127" i="19" s="1"/>
  <c r="S127" i="22" s="1"/>
  <c r="D95" i="25" l="1"/>
  <c r="C96" i="25"/>
  <c r="B97" i="25"/>
  <c r="AT92" i="25"/>
  <c r="F92" i="25" s="1"/>
  <c r="BU91" i="19"/>
  <c r="AX92" i="25" s="1"/>
  <c r="I93" i="25"/>
  <c r="BH93" i="19"/>
  <c r="AK94" i="19"/>
  <c r="K94" i="19" s="1"/>
  <c r="L90" i="19"/>
  <c r="T90" i="22" s="1"/>
  <c r="AJ94" i="19"/>
  <c r="J94" i="19" s="1"/>
  <c r="AN91" i="19"/>
  <c r="X92" i="22" s="1"/>
  <c r="M91" i="19"/>
  <c r="O97" i="19" l="1"/>
  <c r="AB97" i="19" s="1"/>
  <c r="B97" i="19" s="1"/>
  <c r="L97" i="22" s="1"/>
  <c r="V98" i="25"/>
  <c r="Q95" i="19"/>
  <c r="AD95" i="19" s="1"/>
  <c r="D95" i="19" s="1"/>
  <c r="N95" i="22" s="1"/>
  <c r="X96" i="25"/>
  <c r="AU96" i="20" s="1"/>
  <c r="P96" i="19"/>
  <c r="C96" i="19" s="1"/>
  <c r="M96" i="22" s="1"/>
  <c r="BC96" i="19"/>
  <c r="W97" i="25"/>
  <c r="J92" i="25"/>
  <c r="S92" i="19"/>
  <c r="AF92" i="19" s="1"/>
  <c r="F92" i="19" s="1"/>
  <c r="BF92" i="19"/>
  <c r="T93" i="19"/>
  <c r="AG93" i="19" s="1"/>
  <c r="G93" i="19" s="1"/>
  <c r="BG93" i="19"/>
  <c r="AC94" i="25"/>
  <c r="Z93" i="25"/>
  <c r="AV93" i="20" s="1"/>
  <c r="AA93" i="25"/>
  <c r="AW93" i="20" s="1"/>
  <c r="N91" i="19"/>
  <c r="U91" i="22" s="1"/>
  <c r="M128" i="22"/>
  <c r="AI128" i="19"/>
  <c r="I128" i="19" s="1"/>
  <c r="S128" i="22" s="1"/>
  <c r="BO97" i="19" l="1"/>
  <c r="AP98" i="25" s="1"/>
  <c r="AQ97" i="25"/>
  <c r="C97" i="25" s="1"/>
  <c r="U92" i="19"/>
  <c r="AH92" i="19" s="1"/>
  <c r="H92" i="19" s="1"/>
  <c r="R92" i="22" s="1"/>
  <c r="AD93" i="25"/>
  <c r="AE93" i="25"/>
  <c r="AY93" i="20" s="1"/>
  <c r="AU93" i="25"/>
  <c r="G93" i="25" s="1"/>
  <c r="BS93" i="19"/>
  <c r="AS94" i="25"/>
  <c r="AK95" i="19"/>
  <c r="K95" i="19" s="1"/>
  <c r="AL91" i="19"/>
  <c r="V92" i="22" s="1"/>
  <c r="AI129" i="19"/>
  <c r="I129" i="19" s="1"/>
  <c r="S129" i="22" s="1"/>
  <c r="AW94" i="25" l="1"/>
  <c r="I94" i="25" s="1"/>
  <c r="AX93" i="20"/>
  <c r="BC97" i="19"/>
  <c r="P97" i="19"/>
  <c r="C97" i="19" s="1"/>
  <c r="M97" i="22" s="1"/>
  <c r="W98" i="25"/>
  <c r="B98" i="25"/>
  <c r="BT93" i="19"/>
  <c r="AT93" i="25"/>
  <c r="F93" i="25" s="1"/>
  <c r="BF93" i="19" s="1"/>
  <c r="BU92" i="19"/>
  <c r="AX93" i="25" s="1"/>
  <c r="AY93" i="25"/>
  <c r="K93" i="25" s="1"/>
  <c r="E94" i="25"/>
  <c r="BE94" i="19" s="1"/>
  <c r="AB94" i="25"/>
  <c r="AV94" i="25" s="1"/>
  <c r="M92" i="19"/>
  <c r="L91" i="19"/>
  <c r="T91" i="22" s="1"/>
  <c r="M129" i="22"/>
  <c r="O98" i="19" l="1"/>
  <c r="AB98" i="19" s="1"/>
  <c r="B98" i="19" s="1"/>
  <c r="L98" i="22" s="1"/>
  <c r="V99" i="25"/>
  <c r="BO98" i="19"/>
  <c r="J93" i="25"/>
  <c r="T94" i="19"/>
  <c r="AG94" i="19" s="1"/>
  <c r="G94" i="19" s="1"/>
  <c r="BG94" i="19"/>
  <c r="Z94" i="25"/>
  <c r="AV94" i="20" s="1"/>
  <c r="S93" i="19"/>
  <c r="AF93" i="19" s="1"/>
  <c r="F93" i="19" s="1"/>
  <c r="Y95" i="25"/>
  <c r="BQ95" i="19" s="1"/>
  <c r="AR96" i="25" s="1"/>
  <c r="R94" i="19"/>
  <c r="E94" i="19" s="1"/>
  <c r="O94" i="22" s="1"/>
  <c r="H94" i="25"/>
  <c r="AC95" i="25" s="1"/>
  <c r="AA94" i="25"/>
  <c r="BH94" i="19"/>
  <c r="AN92" i="19"/>
  <c r="X93" i="22" s="1"/>
  <c r="AI130" i="19"/>
  <c r="I130" i="19" s="1"/>
  <c r="S130" i="22" s="1"/>
  <c r="BS94" i="19" l="1"/>
  <c r="AW94" i="20"/>
  <c r="D96" i="25"/>
  <c r="AP99" i="25"/>
  <c r="U93" i="19"/>
  <c r="AH93" i="19" s="1"/>
  <c r="H93" i="19" s="1"/>
  <c r="R93" i="22" s="1"/>
  <c r="AD94" i="25"/>
  <c r="AX94" i="20" s="1"/>
  <c r="AE94" i="25"/>
  <c r="AY94" i="20" s="1"/>
  <c r="AS95" i="25"/>
  <c r="E95" i="25" s="1"/>
  <c r="BE95" i="19" s="1"/>
  <c r="AU94" i="25"/>
  <c r="G94" i="25" s="1"/>
  <c r="AW95" i="25"/>
  <c r="AJ95" i="19"/>
  <c r="J95" i="19" s="1"/>
  <c r="N92" i="19"/>
  <c r="U92" i="22" s="1"/>
  <c r="B99" i="25" l="1"/>
  <c r="Q96" i="19"/>
  <c r="AD96" i="19" s="1"/>
  <c r="D96" i="19" s="1"/>
  <c r="N96" i="22" s="1"/>
  <c r="X97" i="25"/>
  <c r="AU97" i="20" s="1"/>
  <c r="AY94" i="25"/>
  <c r="K94" i="25" s="1"/>
  <c r="BT94" i="19"/>
  <c r="Y96" i="25"/>
  <c r="BQ96" i="19" s="1"/>
  <c r="R95" i="19"/>
  <c r="E95" i="19" s="1"/>
  <c r="O95" i="22" s="1"/>
  <c r="AB95" i="25"/>
  <c r="I95" i="25"/>
  <c r="AK96" i="19"/>
  <c r="K96" i="19" s="1"/>
  <c r="AL92" i="19"/>
  <c r="V93" i="22" s="1"/>
  <c r="BU93" i="19" s="1"/>
  <c r="AX94" i="25" s="1"/>
  <c r="AI131" i="19"/>
  <c r="I131" i="19" s="1"/>
  <c r="S131" i="22" s="1"/>
  <c r="AQ98" i="25" l="1"/>
  <c r="AR97" i="25"/>
  <c r="O99" i="19"/>
  <c r="AB99" i="19" s="1"/>
  <c r="B99" i="19" s="1"/>
  <c r="L99" i="22" s="1"/>
  <c r="V100" i="25"/>
  <c r="J94" i="25"/>
  <c r="AE95" i="25" s="1"/>
  <c r="AY95" i="20" s="1"/>
  <c r="T95" i="19"/>
  <c r="BG95" i="19"/>
  <c r="AT94" i="25"/>
  <c r="AV95" i="25"/>
  <c r="H95" i="25" s="1"/>
  <c r="AC96" i="25" s="1"/>
  <c r="L92" i="19"/>
  <c r="T92" i="22" s="1"/>
  <c r="AN93" i="19"/>
  <c r="X94" i="22" s="1"/>
  <c r="M93" i="19"/>
  <c r="AI132" i="19"/>
  <c r="I132" i="19" s="1"/>
  <c r="S132" i="22" s="1"/>
  <c r="C98" i="25" l="1"/>
  <c r="D97" i="25"/>
  <c r="U94" i="19"/>
  <c r="AH94" i="19" s="1"/>
  <c r="H94" i="19" s="1"/>
  <c r="R94" i="22" s="1"/>
  <c r="AD95" i="25"/>
  <c r="F94" i="25"/>
  <c r="AG95" i="19"/>
  <c r="G95" i="19" s="1"/>
  <c r="BH95" i="19"/>
  <c r="AL93" i="19"/>
  <c r="V94" i="22" s="1"/>
  <c r="BU94" i="19" s="1"/>
  <c r="N93" i="19"/>
  <c r="U93" i="22" s="1"/>
  <c r="AW96" i="25" l="1"/>
  <c r="I96" i="25" s="1"/>
  <c r="AX95" i="20"/>
  <c r="Q97" i="19"/>
  <c r="AD97" i="19" s="1"/>
  <c r="D97" i="19" s="1"/>
  <c r="N97" i="22" s="1"/>
  <c r="X98" i="25"/>
  <c r="AU98" i="20" s="1"/>
  <c r="P98" i="19"/>
  <c r="C98" i="19" s="1"/>
  <c r="M98" i="22" s="1"/>
  <c r="BC98" i="19"/>
  <c r="W99" i="25"/>
  <c r="BT95" i="19"/>
  <c r="AX95" i="25"/>
  <c r="S94" i="19"/>
  <c r="AF94" i="19" s="1"/>
  <c r="F94" i="19" s="1"/>
  <c r="BF94" i="19"/>
  <c r="AY95" i="25" s="1"/>
  <c r="Z95" i="25"/>
  <c r="AV95" i="20" s="1"/>
  <c r="AA95" i="25"/>
  <c r="AJ96" i="19"/>
  <c r="J96" i="19" s="1"/>
  <c r="L93" i="19"/>
  <c r="T93" i="22" s="1"/>
  <c r="M94" i="19"/>
  <c r="BS95" i="19" l="1"/>
  <c r="AW95" i="20"/>
  <c r="BO99" i="19"/>
  <c r="AP100" i="25" s="1"/>
  <c r="B100" i="25" s="1"/>
  <c r="AQ99" i="25"/>
  <c r="J95" i="25"/>
  <c r="K95" i="25"/>
  <c r="T96" i="19"/>
  <c r="BG96" i="19"/>
  <c r="AU95" i="25"/>
  <c r="G95" i="25" s="1"/>
  <c r="AS96" i="25"/>
  <c r="AT95" i="25"/>
  <c r="F95" i="25" s="1"/>
  <c r="BF95" i="19" s="1"/>
  <c r="AI133" i="19"/>
  <c r="I133" i="19" s="1"/>
  <c r="S133" i="22" s="1"/>
  <c r="O100" i="19" l="1"/>
  <c r="AB100" i="19" s="1"/>
  <c r="B100" i="19" s="1"/>
  <c r="L100" i="22" s="1"/>
  <c r="V101" i="25"/>
  <c r="AE96" i="25"/>
  <c r="C99" i="25"/>
  <c r="U95" i="19"/>
  <c r="AH95" i="19" s="1"/>
  <c r="H95" i="19" s="1"/>
  <c r="R95" i="22" s="1"/>
  <c r="AD96" i="25"/>
  <c r="AX96" i="20" s="1"/>
  <c r="Z96" i="25"/>
  <c r="AV96" i="20" s="1"/>
  <c r="S95" i="19"/>
  <c r="AF95" i="19" s="1"/>
  <c r="F95" i="19" s="1"/>
  <c r="E96" i="25"/>
  <c r="BE96" i="19" s="1"/>
  <c r="AA96" i="25"/>
  <c r="AB96" i="25"/>
  <c r="AK97" i="19"/>
  <c r="K97" i="19" s="1"/>
  <c r="AG96" i="19"/>
  <c r="G96" i="19" s="1"/>
  <c r="BH96" i="19"/>
  <c r="AN94" i="19"/>
  <c r="X95" i="22" s="1"/>
  <c r="AY96" i="25" l="1"/>
  <c r="K96" i="25" s="1"/>
  <c r="AY96" i="20"/>
  <c r="BS96" i="19"/>
  <c r="AW96" i="20"/>
  <c r="BC99" i="19"/>
  <c r="P99" i="19"/>
  <c r="C99" i="19" s="1"/>
  <c r="M99" i="22" s="1"/>
  <c r="W100" i="25"/>
  <c r="BT96" i="19"/>
  <c r="Y97" i="25"/>
  <c r="R96" i="19"/>
  <c r="E96" i="19" s="1"/>
  <c r="O96" i="22" s="1"/>
  <c r="AU96" i="25"/>
  <c r="AV96" i="25"/>
  <c r="H96" i="25" s="1"/>
  <c r="AJ97" i="19"/>
  <c r="J97" i="19" s="1"/>
  <c r="N94" i="19"/>
  <c r="U94" i="22" s="1"/>
  <c r="AL94" i="19"/>
  <c r="V95" i="22" s="1"/>
  <c r="AS97" i="25" l="1"/>
  <c r="E97" i="25" s="1"/>
  <c r="BE97" i="19" s="1"/>
  <c r="BQ97" i="19"/>
  <c r="AR98" i="25" s="1"/>
  <c r="BO100" i="19"/>
  <c r="AP101" i="25" s="1"/>
  <c r="AT96" i="25"/>
  <c r="F96" i="25" s="1"/>
  <c r="BF96" i="19" s="1"/>
  <c r="BU95" i="19"/>
  <c r="AX96" i="25" s="1"/>
  <c r="AC97" i="25"/>
  <c r="G96" i="25"/>
  <c r="BH97" i="19"/>
  <c r="L94" i="19"/>
  <c r="T94" i="22" s="1"/>
  <c r="M95" i="19"/>
  <c r="AI134" i="19"/>
  <c r="I134" i="19" s="1"/>
  <c r="S134" i="22" s="1"/>
  <c r="R97" i="19" l="1"/>
  <c r="E97" i="19" s="1"/>
  <c r="O97" i="22" s="1"/>
  <c r="Y98" i="25"/>
  <c r="BQ98" i="19" s="1"/>
  <c r="B101" i="25"/>
  <c r="D98" i="25"/>
  <c r="J96" i="25"/>
  <c r="AA97" i="25"/>
  <c r="AW97" i="20" s="1"/>
  <c r="Z97" i="25"/>
  <c r="S96" i="19"/>
  <c r="AF96" i="19" s="1"/>
  <c r="F96" i="19" s="1"/>
  <c r="AB97" i="25"/>
  <c r="AV97" i="25" s="1"/>
  <c r="AW97" i="25"/>
  <c r="AJ98" i="19"/>
  <c r="J98" i="19" s="1"/>
  <c r="AK98" i="19"/>
  <c r="K98" i="19" s="1"/>
  <c r="AN95" i="19"/>
  <c r="X96" i="22" s="1"/>
  <c r="AS98" i="25" l="1"/>
  <c r="E98" i="25" s="1"/>
  <c r="BE98" i="19" s="1"/>
  <c r="AV97" i="20"/>
  <c r="O101" i="19"/>
  <c r="AB101" i="19" s="1"/>
  <c r="B101" i="19" s="1"/>
  <c r="L101" i="22" s="1"/>
  <c r="V102" i="25"/>
  <c r="Q98" i="19"/>
  <c r="AD98" i="19" s="1"/>
  <c r="D98" i="19" s="1"/>
  <c r="N98" i="22" s="1"/>
  <c r="X99" i="25"/>
  <c r="AU99" i="20" s="1"/>
  <c r="U96" i="19"/>
  <c r="AH96" i="19" s="1"/>
  <c r="H96" i="19" s="1"/>
  <c r="R96" i="22" s="1"/>
  <c r="AE97" i="25"/>
  <c r="AY97" i="20" s="1"/>
  <c r="AD97" i="25"/>
  <c r="AX97" i="20" s="1"/>
  <c r="AU97" i="25"/>
  <c r="G97" i="25" s="1"/>
  <c r="BS97" i="19"/>
  <c r="H97" i="25"/>
  <c r="I97" i="25"/>
  <c r="N95" i="19"/>
  <c r="U95" i="22" s="1"/>
  <c r="AI135" i="19"/>
  <c r="I135" i="19" s="1"/>
  <c r="S135" i="22" s="1"/>
  <c r="M135" i="22"/>
  <c r="R98" i="19" l="1"/>
  <c r="E98" i="19" s="1"/>
  <c r="O98" i="22" s="1"/>
  <c r="Y99" i="25"/>
  <c r="BQ99" i="19" s="1"/>
  <c r="AQ100" i="25"/>
  <c r="AR99" i="25"/>
  <c r="BT97" i="19"/>
  <c r="AY97" i="25"/>
  <c r="K97" i="25" s="1"/>
  <c r="T97" i="19"/>
  <c r="AG97" i="19" s="1"/>
  <c r="G97" i="19" s="1"/>
  <c r="BG97" i="19"/>
  <c r="AB98" i="25"/>
  <c r="AV98" i="25" s="1"/>
  <c r="AC98" i="25"/>
  <c r="AK99" i="19"/>
  <c r="K99" i="19" s="1"/>
  <c r="AL95" i="19"/>
  <c r="V96" i="22" s="1"/>
  <c r="BU96" i="19" s="1"/>
  <c r="AX97" i="25" s="1"/>
  <c r="J97" i="25" s="1"/>
  <c r="C100" i="25" l="1"/>
  <c r="D99" i="25"/>
  <c r="U97" i="19"/>
  <c r="AH97" i="19" s="1"/>
  <c r="H97" i="19" s="1"/>
  <c r="R97" i="22" s="1"/>
  <c r="AD98" i="25"/>
  <c r="AE98" i="25"/>
  <c r="AY98" i="20" s="1"/>
  <c r="H98" i="25"/>
  <c r="L95" i="19"/>
  <c r="T95" i="22" s="1"/>
  <c r="AW98" i="25"/>
  <c r="AT97" i="25"/>
  <c r="M96" i="19"/>
  <c r="AI136" i="19"/>
  <c r="I136" i="19" s="1"/>
  <c r="S136" i="22" s="1"/>
  <c r="BT98" i="19" l="1"/>
  <c r="AX98" i="20"/>
  <c r="Q99" i="19"/>
  <c r="AD99" i="19" s="1"/>
  <c r="D99" i="19" s="1"/>
  <c r="N99" i="22" s="1"/>
  <c r="X100" i="25"/>
  <c r="AU100" i="20" s="1"/>
  <c r="P100" i="19"/>
  <c r="C100" i="19" s="1"/>
  <c r="M100" i="22" s="1"/>
  <c r="BC100" i="19"/>
  <c r="W101" i="25"/>
  <c r="I98" i="25"/>
  <c r="BG98" i="19" s="1"/>
  <c r="F97" i="25"/>
  <c r="BH98" i="19"/>
  <c r="AN96" i="19"/>
  <c r="X97" i="22" s="1"/>
  <c r="AI137" i="19"/>
  <c r="I137" i="19" s="1"/>
  <c r="S137" i="22" s="1"/>
  <c r="AR100" i="25" l="1"/>
  <c r="BO101" i="19"/>
  <c r="AP102" i="25" s="1"/>
  <c r="B102" i="25" s="1"/>
  <c r="AQ101" i="25"/>
  <c r="S97" i="19"/>
  <c r="AF97" i="19" s="1"/>
  <c r="F97" i="19" s="1"/>
  <c r="BF97" i="19"/>
  <c r="AY98" i="25" s="1"/>
  <c r="K98" i="25" s="1"/>
  <c r="AC99" i="25"/>
  <c r="AW99" i="25" s="1"/>
  <c r="T98" i="19"/>
  <c r="AG98" i="19" s="1"/>
  <c r="G98" i="19" s="1"/>
  <c r="Z98" i="25"/>
  <c r="AV98" i="20" s="1"/>
  <c r="AA98" i="25"/>
  <c r="AJ99" i="19"/>
  <c r="J99" i="19" s="1"/>
  <c r="N96" i="19"/>
  <c r="U96" i="22" s="1"/>
  <c r="AL96" i="19"/>
  <c r="V97" i="22" s="1"/>
  <c r="BU97" i="19" s="1"/>
  <c r="AX98" i="25" s="1"/>
  <c r="J98" i="25" s="1"/>
  <c r="U98" i="19" s="1"/>
  <c r="AH98" i="19" s="1"/>
  <c r="H98" i="19" s="1"/>
  <c r="R98" i="22" s="1"/>
  <c r="BS98" i="19" l="1"/>
  <c r="AW98" i="20"/>
  <c r="O102" i="19"/>
  <c r="AB102" i="19" s="1"/>
  <c r="B102" i="19" s="1"/>
  <c r="L102" i="22" s="1"/>
  <c r="V103" i="25"/>
  <c r="C101" i="25"/>
  <c r="D100" i="25"/>
  <c r="AD99" i="25"/>
  <c r="AE99" i="25"/>
  <c r="AY99" i="20" s="1"/>
  <c r="AU98" i="25"/>
  <c r="G98" i="25" s="1"/>
  <c r="I99" i="25"/>
  <c r="AS99" i="25"/>
  <c r="AT98" i="25"/>
  <c r="M97" i="19"/>
  <c r="L96" i="19"/>
  <c r="T96" i="22" s="1"/>
  <c r="AI138" i="19"/>
  <c r="I138" i="19" s="1"/>
  <c r="S138" i="22" s="1"/>
  <c r="BT99" i="19" l="1"/>
  <c r="AX99" i="20"/>
  <c r="Q100" i="19"/>
  <c r="AD100" i="19" s="1"/>
  <c r="D100" i="19" s="1"/>
  <c r="N100" i="22" s="1"/>
  <c r="X101" i="25"/>
  <c r="AU101" i="20" s="1"/>
  <c r="P101" i="19"/>
  <c r="C101" i="19" s="1"/>
  <c r="M101" i="22" s="1"/>
  <c r="BC101" i="19"/>
  <c r="W102" i="25"/>
  <c r="T99" i="19"/>
  <c r="BG99" i="19"/>
  <c r="AB99" i="25"/>
  <c r="AV99" i="25" s="1"/>
  <c r="F98" i="25"/>
  <c r="BF98" i="19" s="1"/>
  <c r="AY99" i="25" s="1"/>
  <c r="K99" i="25" s="1"/>
  <c r="E99" i="25"/>
  <c r="BE99" i="19" s="1"/>
  <c r="AK100" i="19"/>
  <c r="K100" i="19" s="1"/>
  <c r="AN97" i="19"/>
  <c r="X98" i="22" s="1"/>
  <c r="BO102" i="19" l="1"/>
  <c r="AP103" i="25" s="1"/>
  <c r="AQ102" i="25"/>
  <c r="Y100" i="25"/>
  <c r="BQ100" i="19" s="1"/>
  <c r="AR101" i="25" s="1"/>
  <c r="D101" i="25" s="1"/>
  <c r="R99" i="19"/>
  <c r="E99" i="19" s="1"/>
  <c r="O99" i="22" s="1"/>
  <c r="Z99" i="25"/>
  <c r="AV99" i="20" s="1"/>
  <c r="S98" i="19"/>
  <c r="AF98" i="19" s="1"/>
  <c r="F98" i="19" s="1"/>
  <c r="H99" i="25"/>
  <c r="AA99" i="25"/>
  <c r="BH99" i="19"/>
  <c r="AG99" i="19"/>
  <c r="G99" i="19" s="1"/>
  <c r="N97" i="19"/>
  <c r="U97" i="22" s="1"/>
  <c r="AI139" i="19"/>
  <c r="I139" i="19" s="1"/>
  <c r="S139" i="22" s="1"/>
  <c r="BS99" i="19" l="1"/>
  <c r="AW99" i="20"/>
  <c r="Q101" i="19"/>
  <c r="AD101" i="19" s="1"/>
  <c r="D101" i="19" s="1"/>
  <c r="N101" i="22" s="1"/>
  <c r="X102" i="25"/>
  <c r="AU102" i="20" s="1"/>
  <c r="C102" i="25"/>
  <c r="B103" i="25"/>
  <c r="AS100" i="25"/>
  <c r="E100" i="25" s="1"/>
  <c r="BE100" i="19" s="1"/>
  <c r="AU99" i="25"/>
  <c r="G99" i="25" s="1"/>
  <c r="AC100" i="25"/>
  <c r="AL97" i="19"/>
  <c r="V98" i="22" s="1"/>
  <c r="BU98" i="19" s="1"/>
  <c r="AX99" i="25" s="1"/>
  <c r="AI140" i="19"/>
  <c r="I140" i="19" s="1"/>
  <c r="S140" i="22" s="1"/>
  <c r="O103" i="19" l="1"/>
  <c r="AB103" i="19" s="1"/>
  <c r="B103" i="19" s="1"/>
  <c r="L103" i="22" s="1"/>
  <c r="V104" i="25"/>
  <c r="P102" i="19"/>
  <c r="C102" i="19" s="1"/>
  <c r="M102" i="22" s="1"/>
  <c r="BC102" i="19"/>
  <c r="W103" i="25"/>
  <c r="J99" i="25"/>
  <c r="R100" i="19"/>
  <c r="E100" i="19" s="1"/>
  <c r="O100" i="22" s="1"/>
  <c r="Y101" i="25"/>
  <c r="BQ101" i="19" s="1"/>
  <c r="AR102" i="25" s="1"/>
  <c r="AB100" i="25"/>
  <c r="AT99" i="25"/>
  <c r="F99" i="25" s="1"/>
  <c r="BF99" i="19" s="1"/>
  <c r="AW100" i="25"/>
  <c r="I100" i="25" s="1"/>
  <c r="L97" i="19"/>
  <c r="T97" i="22" s="1"/>
  <c r="AJ100" i="19"/>
  <c r="J100" i="19" s="1"/>
  <c r="M98" i="19"/>
  <c r="D102" i="25" l="1"/>
  <c r="BO103" i="19"/>
  <c r="AP104" i="25" s="1"/>
  <c r="B104" i="25" s="1"/>
  <c r="AQ103" i="25"/>
  <c r="C103" i="25" s="1"/>
  <c r="U99" i="19"/>
  <c r="AH99" i="19" s="1"/>
  <c r="H99" i="19" s="1"/>
  <c r="R99" i="22" s="1"/>
  <c r="AD100" i="25"/>
  <c r="AX100" i="20" s="1"/>
  <c r="AE100" i="25"/>
  <c r="AY100" i="20" s="1"/>
  <c r="T100" i="19"/>
  <c r="AG100" i="19" s="1"/>
  <c r="G100" i="19" s="1"/>
  <c r="BG100" i="19"/>
  <c r="Z100" i="25"/>
  <c r="S99" i="19"/>
  <c r="AF99" i="19" s="1"/>
  <c r="F99" i="19" s="1"/>
  <c r="AV100" i="25"/>
  <c r="AA100" i="25"/>
  <c r="BH100" i="19"/>
  <c r="AN98" i="19"/>
  <c r="X99" i="22" s="1"/>
  <c r="AI141" i="19"/>
  <c r="I141" i="19" s="1"/>
  <c r="S141" i="22" s="1"/>
  <c r="BS100" i="19" l="1"/>
  <c r="AW100" i="20"/>
  <c r="AS101" i="25"/>
  <c r="E101" i="25" s="1"/>
  <c r="BE101" i="19" s="1"/>
  <c r="AV100" i="20"/>
  <c r="O104" i="19"/>
  <c r="AB104" i="19" s="1"/>
  <c r="B104" i="19" s="1"/>
  <c r="L104" i="22" s="1"/>
  <c r="V105" i="25"/>
  <c r="BC103" i="19"/>
  <c r="P103" i="19"/>
  <c r="C103" i="19" s="1"/>
  <c r="Q102" i="19"/>
  <c r="AD102" i="19" s="1"/>
  <c r="D102" i="19" s="1"/>
  <c r="N102" i="22" s="1"/>
  <c r="X103" i="25"/>
  <c r="AU103" i="20" s="1"/>
  <c r="W104" i="25"/>
  <c r="BT100" i="19"/>
  <c r="AY100" i="25"/>
  <c r="K100" i="25" s="1"/>
  <c r="AU100" i="25"/>
  <c r="G100" i="25" s="1"/>
  <c r="H100" i="25"/>
  <c r="AK101" i="19"/>
  <c r="K101" i="19" s="1"/>
  <c r="AJ101" i="19"/>
  <c r="J101" i="19" s="1"/>
  <c r="AL98" i="19"/>
  <c r="V99" i="22" s="1"/>
  <c r="N98" i="19"/>
  <c r="U98" i="22" s="1"/>
  <c r="BO104" i="19" l="1"/>
  <c r="AP105" i="25" s="1"/>
  <c r="B105" i="25" s="1"/>
  <c r="O105" i="19" s="1"/>
  <c r="AB105" i="19" s="1"/>
  <c r="B105" i="19" s="1"/>
  <c r="L105" i="22" s="1"/>
  <c r="AQ104" i="25"/>
  <c r="C104" i="25" s="1"/>
  <c r="AT100" i="25"/>
  <c r="F100" i="25" s="1"/>
  <c r="BF100" i="19" s="1"/>
  <c r="BU99" i="19"/>
  <c r="AX100" i="25" s="1"/>
  <c r="Y102" i="25"/>
  <c r="BQ102" i="19" s="1"/>
  <c r="AR103" i="25" s="1"/>
  <c r="R101" i="19"/>
  <c r="E101" i="19" s="1"/>
  <c r="O101" i="22" s="1"/>
  <c r="AB101" i="25"/>
  <c r="AC101" i="25"/>
  <c r="AK102" i="19"/>
  <c r="K102" i="19" s="1"/>
  <c r="L98" i="19"/>
  <c r="T98" i="22" s="1"/>
  <c r="M99" i="19"/>
  <c r="BC104" i="19" l="1"/>
  <c r="P104" i="19"/>
  <c r="C104" i="19" s="1"/>
  <c r="M104" i="22" s="1"/>
  <c r="W105" i="25"/>
  <c r="D103" i="25"/>
  <c r="V106" i="25"/>
  <c r="J100" i="25"/>
  <c r="Z101" i="25"/>
  <c r="S100" i="19"/>
  <c r="AF100" i="19" s="1"/>
  <c r="F100" i="19" s="1"/>
  <c r="AV101" i="25"/>
  <c r="AW101" i="25"/>
  <c r="AA101" i="25"/>
  <c r="BH101" i="19"/>
  <c r="AI143" i="19"/>
  <c r="I143" i="19" s="1"/>
  <c r="S143" i="22" s="1"/>
  <c r="BS101" i="19" l="1"/>
  <c r="AW101" i="20"/>
  <c r="AS102" i="25"/>
  <c r="E102" i="25" s="1"/>
  <c r="BE102" i="19" s="1"/>
  <c r="AV101" i="20"/>
  <c r="BO105" i="19"/>
  <c r="AP106" i="25" s="1"/>
  <c r="B106" i="25" s="1"/>
  <c r="O106" i="19" s="1"/>
  <c r="AB106" i="19" s="1"/>
  <c r="B106" i="19" s="1"/>
  <c r="L106" i="22" s="1"/>
  <c r="Q103" i="19"/>
  <c r="AD103" i="19" s="1"/>
  <c r="D103" i="19" s="1"/>
  <c r="N103" i="22" s="1"/>
  <c r="X104" i="25"/>
  <c r="AU104" i="20" s="1"/>
  <c r="U100" i="19"/>
  <c r="AH100" i="19" s="1"/>
  <c r="H100" i="19" s="1"/>
  <c r="R100" i="22" s="1"/>
  <c r="AD101" i="25"/>
  <c r="AX101" i="20" s="1"/>
  <c r="AE101" i="25"/>
  <c r="AY101" i="20" s="1"/>
  <c r="Y103" i="25"/>
  <c r="BQ103" i="19" s="1"/>
  <c r="AU101" i="25"/>
  <c r="G101" i="25" s="1"/>
  <c r="H101" i="25"/>
  <c r="I101" i="25"/>
  <c r="AL99" i="19"/>
  <c r="V100" i="22" s="1"/>
  <c r="AN99" i="19"/>
  <c r="X100" i="22" s="1"/>
  <c r="R102" i="19" l="1"/>
  <c r="E102" i="19" s="1"/>
  <c r="O102" i="22" s="1"/>
  <c r="BU100" i="19"/>
  <c r="AQ105" i="25"/>
  <c r="AR104" i="25"/>
  <c r="V107" i="25"/>
  <c r="AY101" i="25"/>
  <c r="K101" i="25" s="1"/>
  <c r="BT101" i="19"/>
  <c r="AX101" i="25"/>
  <c r="J101" i="25" s="1"/>
  <c r="T101" i="19"/>
  <c r="AG101" i="19" s="1"/>
  <c r="G101" i="19" s="1"/>
  <c r="BG101" i="19"/>
  <c r="AC102" i="25"/>
  <c r="AB102" i="25"/>
  <c r="AT101" i="25"/>
  <c r="AJ102" i="19"/>
  <c r="J102" i="19" s="1"/>
  <c r="N99" i="19"/>
  <c r="U99" i="22" s="1"/>
  <c r="AN100" i="19" s="1"/>
  <c r="L99" i="19"/>
  <c r="T99" i="22" s="1"/>
  <c r="M100" i="19"/>
  <c r="AI144" i="19"/>
  <c r="I144" i="19" s="1"/>
  <c r="S144" i="22" s="1"/>
  <c r="C105" i="25" l="1"/>
  <c r="D104" i="25"/>
  <c r="U101" i="19"/>
  <c r="AH101" i="19" s="1"/>
  <c r="H101" i="19" s="1"/>
  <c r="R101" i="22" s="1"/>
  <c r="AD102" i="25"/>
  <c r="AE102" i="25"/>
  <c r="AY102" i="20" s="1"/>
  <c r="AV102" i="25"/>
  <c r="AW102" i="25"/>
  <c r="F101" i="25"/>
  <c r="N100" i="19"/>
  <c r="U100" i="22" s="1"/>
  <c r="X101" i="22"/>
  <c r="BT102" i="19" l="1"/>
  <c r="AX102" i="20"/>
  <c r="P105" i="19"/>
  <c r="C105" i="19" s="1"/>
  <c r="M105" i="22" s="1"/>
  <c r="BC105" i="19"/>
  <c r="W106" i="25"/>
  <c r="Q104" i="19"/>
  <c r="AD104" i="19" s="1"/>
  <c r="D104" i="19" s="1"/>
  <c r="N104" i="22" s="1"/>
  <c r="X105" i="25"/>
  <c r="AU105" i="20" s="1"/>
  <c r="S101" i="19"/>
  <c r="AF101" i="19" s="1"/>
  <c r="F101" i="19" s="1"/>
  <c r="BF101" i="19"/>
  <c r="AY102" i="25" s="1"/>
  <c r="K102" i="25" s="1"/>
  <c r="I102" i="25"/>
  <c r="Z102" i="25"/>
  <c r="AV102" i="20" s="1"/>
  <c r="AA102" i="25"/>
  <c r="AW102" i="20" s="1"/>
  <c r="H102" i="25"/>
  <c r="AK103" i="19"/>
  <c r="K103" i="19" s="1"/>
  <c r="BH102" i="19"/>
  <c r="AN101" i="19"/>
  <c r="X102" i="22" s="1"/>
  <c r="BO106" i="19" l="1"/>
  <c r="AP107" i="25" s="1"/>
  <c r="B107" i="25" s="1"/>
  <c r="AQ106" i="25"/>
  <c r="AU102" i="25"/>
  <c r="G102" i="25" s="1"/>
  <c r="AB103" i="25" s="1"/>
  <c r="AV103" i="25" s="1"/>
  <c r="BS102" i="19"/>
  <c r="T102" i="19"/>
  <c r="AG102" i="19" s="1"/>
  <c r="G102" i="19" s="1"/>
  <c r="BG102" i="19"/>
  <c r="AS103" i="25"/>
  <c r="AC103" i="25"/>
  <c r="N101" i="19"/>
  <c r="U101" i="22" s="1"/>
  <c r="AL100" i="19"/>
  <c r="V101" i="22" s="1"/>
  <c r="AI145" i="19"/>
  <c r="I145" i="19" s="1"/>
  <c r="S145" i="22" s="1"/>
  <c r="C106" i="25" l="1"/>
  <c r="O107" i="19"/>
  <c r="AB107" i="19" s="1"/>
  <c r="B107" i="19" s="1"/>
  <c r="L107" i="22" s="1"/>
  <c r="V108" i="25"/>
  <c r="BU101" i="19"/>
  <c r="AX102" i="25" s="1"/>
  <c r="J102" i="25" s="1"/>
  <c r="AT102" i="25"/>
  <c r="H103" i="25"/>
  <c r="AW103" i="25"/>
  <c r="E103" i="25"/>
  <c r="BE103" i="19" s="1"/>
  <c r="AJ103" i="19"/>
  <c r="J103" i="19" s="1"/>
  <c r="M101" i="19"/>
  <c r="L100" i="19"/>
  <c r="T100" i="22" s="1"/>
  <c r="P106" i="19" l="1"/>
  <c r="C106" i="19" s="1"/>
  <c r="M106" i="22" s="1"/>
  <c r="BC106" i="19"/>
  <c r="W107" i="25"/>
  <c r="U102" i="19"/>
  <c r="AH102" i="19" s="1"/>
  <c r="H102" i="19" s="1"/>
  <c r="R102" i="22" s="1"/>
  <c r="AE103" i="25"/>
  <c r="AY103" i="20" s="1"/>
  <c r="AD103" i="25"/>
  <c r="Y104" i="25"/>
  <c r="BQ104" i="19" s="1"/>
  <c r="AR105" i="25" s="1"/>
  <c r="R103" i="19"/>
  <c r="E103" i="19" s="1"/>
  <c r="O103" i="22" s="1"/>
  <c r="I103" i="25"/>
  <c r="BG103" i="19" s="1"/>
  <c r="F102" i="25"/>
  <c r="BH103" i="19"/>
  <c r="AI146" i="19"/>
  <c r="I146" i="19" s="1"/>
  <c r="S146" i="22" s="1"/>
  <c r="BT103" i="19" l="1"/>
  <c r="AX103" i="20"/>
  <c r="BO107" i="19"/>
  <c r="AP108" i="25" s="1"/>
  <c r="D105" i="25"/>
  <c r="S102" i="19"/>
  <c r="AF102" i="19" s="1"/>
  <c r="F102" i="19" s="1"/>
  <c r="BF102" i="19"/>
  <c r="AY103" i="25" s="1"/>
  <c r="K103" i="25" s="1"/>
  <c r="AC104" i="25"/>
  <c r="AW104" i="25" s="1"/>
  <c r="T103" i="19"/>
  <c r="AG103" i="19" s="1"/>
  <c r="G103" i="19" s="1"/>
  <c r="Z103" i="25"/>
  <c r="AV103" i="20" s="1"/>
  <c r="AA103" i="25"/>
  <c r="AK104" i="19"/>
  <c r="K104" i="19" s="1"/>
  <c r="AJ104" i="19"/>
  <c r="J104" i="19" s="1"/>
  <c r="BS103" i="19" l="1"/>
  <c r="AW103" i="20"/>
  <c r="Q105" i="19"/>
  <c r="AD105" i="19" s="1"/>
  <c r="D105" i="19" s="1"/>
  <c r="N105" i="22" s="1"/>
  <c r="X106" i="25"/>
  <c r="AU106" i="20" s="1"/>
  <c r="B108" i="25"/>
  <c r="AU103" i="25"/>
  <c r="AS104" i="25"/>
  <c r="I104" i="25"/>
  <c r="AK105" i="19"/>
  <c r="K105" i="19" s="1"/>
  <c r="AN102" i="19"/>
  <c r="X103" i="22" s="1"/>
  <c r="AL101" i="19"/>
  <c r="V102" i="22" s="1"/>
  <c r="AQ107" i="25" l="1"/>
  <c r="O108" i="19"/>
  <c r="AB108" i="19" s="1"/>
  <c r="B108" i="19" s="1"/>
  <c r="L108" i="22" s="1"/>
  <c r="V109" i="25"/>
  <c r="AT103" i="25"/>
  <c r="F103" i="25" s="1"/>
  <c r="BF103" i="19" s="1"/>
  <c r="BU102" i="19"/>
  <c r="AX103" i="25" s="1"/>
  <c r="T104" i="19"/>
  <c r="BG104" i="19"/>
  <c r="E104" i="25"/>
  <c r="BE104" i="19" s="1"/>
  <c r="G103" i="25"/>
  <c r="M102" i="19"/>
  <c r="L101" i="19"/>
  <c r="T101" i="22" s="1"/>
  <c r="N102" i="19"/>
  <c r="U102" i="22" s="1"/>
  <c r="C107" i="25" l="1"/>
  <c r="J103" i="25"/>
  <c r="Y105" i="25"/>
  <c r="BQ105" i="19" s="1"/>
  <c r="AR106" i="25" s="1"/>
  <c r="R104" i="19"/>
  <c r="E104" i="19" s="1"/>
  <c r="O104" i="22" s="1"/>
  <c r="Z104" i="25"/>
  <c r="AV104" i="20" s="1"/>
  <c r="S103" i="19"/>
  <c r="AF103" i="19" s="1"/>
  <c r="F103" i="19" s="1"/>
  <c r="AA104" i="25"/>
  <c r="AB104" i="25"/>
  <c r="AV104" i="25" s="1"/>
  <c r="BH104" i="19"/>
  <c r="AI148" i="19"/>
  <c r="I148" i="19" s="1"/>
  <c r="S148" i="22" s="1"/>
  <c r="BS104" i="19" l="1"/>
  <c r="AW104" i="20"/>
  <c r="D106" i="25"/>
  <c r="P107" i="19"/>
  <c r="C107" i="19" s="1"/>
  <c r="M107" i="22" s="1"/>
  <c r="BC107" i="19"/>
  <c r="W108" i="25"/>
  <c r="AS105" i="25"/>
  <c r="E105" i="25" s="1"/>
  <c r="BE105" i="19" s="1"/>
  <c r="U103" i="19"/>
  <c r="AH103" i="19" s="1"/>
  <c r="H103" i="19" s="1"/>
  <c r="R103" i="22" s="1"/>
  <c r="AD104" i="25"/>
  <c r="AX104" i="20" s="1"/>
  <c r="AE104" i="25"/>
  <c r="AY104" i="20" s="1"/>
  <c r="H104" i="25"/>
  <c r="AU104" i="25"/>
  <c r="G104" i="25" s="1"/>
  <c r="AJ105" i="19"/>
  <c r="J105" i="19" s="1"/>
  <c r="AG104" i="19"/>
  <c r="G104" i="19" s="1"/>
  <c r="AI149" i="19"/>
  <c r="I149" i="19" s="1"/>
  <c r="S149" i="22" s="1"/>
  <c r="Y106" i="25" l="1"/>
  <c r="BQ106" i="19" s="1"/>
  <c r="Q106" i="19"/>
  <c r="AD106" i="19" s="1"/>
  <c r="D106" i="19" s="1"/>
  <c r="N106" i="22" s="1"/>
  <c r="X107" i="25"/>
  <c r="BO108" i="19"/>
  <c r="AP109" i="25" s="1"/>
  <c r="R105" i="19"/>
  <c r="E105" i="19" s="1"/>
  <c r="O105" i="22" s="1"/>
  <c r="AY104" i="25"/>
  <c r="K104" i="25" s="1"/>
  <c r="BT104" i="19"/>
  <c r="AB105" i="25"/>
  <c r="AC105" i="25"/>
  <c r="AN103" i="19"/>
  <c r="X104" i="22" s="1"/>
  <c r="AL102" i="19"/>
  <c r="V103" i="22" s="1"/>
  <c r="AQ108" i="25" l="1"/>
  <c r="C108" i="25" s="1"/>
  <c r="P108" i="19" s="1"/>
  <c r="C108" i="19" s="1"/>
  <c r="M108" i="22" s="1"/>
  <c r="AU107" i="20"/>
  <c r="B109" i="25"/>
  <c r="AR107" i="25"/>
  <c r="D107" i="25" s="1"/>
  <c r="AT104" i="25"/>
  <c r="F104" i="25" s="1"/>
  <c r="BU103" i="19"/>
  <c r="AX104" i="25" s="1"/>
  <c r="AW105" i="25"/>
  <c r="AV105" i="25"/>
  <c r="L102" i="19"/>
  <c r="T102" i="22" s="1"/>
  <c r="AK106" i="19"/>
  <c r="K106" i="19" s="1"/>
  <c r="N103" i="19"/>
  <c r="U103" i="22" s="1"/>
  <c r="M103" i="19"/>
  <c r="AI150" i="19"/>
  <c r="I150" i="19" s="1"/>
  <c r="S150" i="22" s="1"/>
  <c r="W109" i="25" l="1"/>
  <c r="BC108" i="19"/>
  <c r="Q107" i="19"/>
  <c r="AD107" i="19" s="1"/>
  <c r="D107" i="19" s="1"/>
  <c r="N107" i="22" s="1"/>
  <c r="X108" i="25"/>
  <c r="AU108" i="20" s="1"/>
  <c r="BO109" i="19"/>
  <c r="O109" i="19"/>
  <c r="AB109" i="19" s="1"/>
  <c r="B109" i="19" s="1"/>
  <c r="L109" i="22" s="1"/>
  <c r="V110" i="25"/>
  <c r="J104" i="25"/>
  <c r="S104" i="19"/>
  <c r="AF104" i="19" s="1"/>
  <c r="F104" i="19" s="1"/>
  <c r="BF104" i="19"/>
  <c r="Z105" i="25"/>
  <c r="AV105" i="20" s="1"/>
  <c r="AA105" i="25"/>
  <c r="I105" i="25"/>
  <c r="H105" i="25"/>
  <c r="BH105" i="19"/>
  <c r="AL103" i="19"/>
  <c r="V104" i="22" s="1"/>
  <c r="BU104" i="19" s="1"/>
  <c r="BS105" i="19" l="1"/>
  <c r="AW105" i="20"/>
  <c r="AP110" i="25"/>
  <c r="AQ109" i="25"/>
  <c r="U104" i="19"/>
  <c r="AH104" i="19" s="1"/>
  <c r="H104" i="19" s="1"/>
  <c r="R104" i="22" s="1"/>
  <c r="AD105" i="25"/>
  <c r="AX105" i="20" s="1"/>
  <c r="AE105" i="25"/>
  <c r="AY105" i="20" s="1"/>
  <c r="T105" i="19"/>
  <c r="AG105" i="19" s="1"/>
  <c r="G105" i="19" s="1"/>
  <c r="BG105" i="19"/>
  <c r="AC106" i="25"/>
  <c r="AU105" i="25"/>
  <c r="AS106" i="25"/>
  <c r="E106" i="25" s="1"/>
  <c r="BE106" i="19" s="1"/>
  <c r="AT105" i="25"/>
  <c r="AJ106" i="19"/>
  <c r="J106" i="19" s="1"/>
  <c r="L103" i="19"/>
  <c r="T103" i="22" s="1"/>
  <c r="M104" i="19"/>
  <c r="AI151" i="19"/>
  <c r="I151" i="19" s="1"/>
  <c r="S151" i="22" s="1"/>
  <c r="C109" i="25" l="1"/>
  <c r="B110" i="25"/>
  <c r="BT105" i="19"/>
  <c r="AX105" i="25"/>
  <c r="J105" i="25" s="1"/>
  <c r="AY105" i="25"/>
  <c r="K105" i="25" s="1"/>
  <c r="Y107" i="25"/>
  <c r="BQ107" i="19" s="1"/>
  <c r="AR108" i="25" s="1"/>
  <c r="R106" i="19"/>
  <c r="E106" i="19" s="1"/>
  <c r="O106" i="22" s="1"/>
  <c r="G105" i="25"/>
  <c r="F105" i="25"/>
  <c r="BF105" i="19" s="1"/>
  <c r="AW106" i="25"/>
  <c r="I106" i="25" s="1"/>
  <c r="BH106" i="19"/>
  <c r="AN104" i="19"/>
  <c r="X105" i="22" s="1"/>
  <c r="D108" i="25" l="1"/>
  <c r="O110" i="19"/>
  <c r="AB110" i="19" s="1"/>
  <c r="B110" i="19" s="1"/>
  <c r="L110" i="22" s="1"/>
  <c r="V111" i="25"/>
  <c r="BC109" i="19"/>
  <c r="P109" i="19"/>
  <c r="C109" i="19" s="1"/>
  <c r="M109" i="22" s="1"/>
  <c r="W110" i="25"/>
  <c r="AE106" i="25"/>
  <c r="U105" i="19"/>
  <c r="AH105" i="19" s="1"/>
  <c r="H105" i="19" s="1"/>
  <c r="R105" i="22" s="1"/>
  <c r="AD106" i="25"/>
  <c r="T106" i="19"/>
  <c r="AG106" i="19" s="1"/>
  <c r="G106" i="19" s="1"/>
  <c r="BG106" i="19"/>
  <c r="Z106" i="25"/>
  <c r="S105" i="19"/>
  <c r="AF105" i="19" s="1"/>
  <c r="F105" i="19" s="1"/>
  <c r="AA106" i="25"/>
  <c r="AW106" i="20" s="1"/>
  <c r="AB106" i="25"/>
  <c r="AV106" i="25" s="1"/>
  <c r="AJ107" i="19"/>
  <c r="J107" i="19" s="1"/>
  <c r="AK107" i="19"/>
  <c r="K107" i="19" s="1"/>
  <c r="N104" i="19"/>
  <c r="U104" i="22" s="1"/>
  <c r="AI152" i="19"/>
  <c r="I152" i="19" s="1"/>
  <c r="S152" i="22" s="1"/>
  <c r="AY106" i="25" l="1"/>
  <c r="K106" i="25" s="1"/>
  <c r="AY106" i="20"/>
  <c r="BT106" i="19"/>
  <c r="AX106" i="20"/>
  <c r="AS107" i="25"/>
  <c r="E107" i="25" s="1"/>
  <c r="BE107" i="19" s="1"/>
  <c r="AV106" i="20"/>
  <c r="BO110" i="19"/>
  <c r="AP111" i="25" s="1"/>
  <c r="Q108" i="19"/>
  <c r="AD108" i="19" s="1"/>
  <c r="D108" i="19" s="1"/>
  <c r="N108" i="22" s="1"/>
  <c r="X109" i="25"/>
  <c r="AU109" i="20" s="1"/>
  <c r="AU106" i="25"/>
  <c r="G106" i="25" s="1"/>
  <c r="BS106" i="19"/>
  <c r="H106" i="25"/>
  <c r="BH107" i="19"/>
  <c r="AL104" i="19"/>
  <c r="V105" i="22" s="1"/>
  <c r="BU105" i="19" s="1"/>
  <c r="AX106" i="25" s="1"/>
  <c r="J106" i="25" s="1"/>
  <c r="U106" i="19" s="1"/>
  <c r="AH106" i="19" s="1"/>
  <c r="H106" i="19" s="1"/>
  <c r="R106" i="22" s="1"/>
  <c r="R107" i="19" l="1"/>
  <c r="E107" i="19" s="1"/>
  <c r="O107" i="22" s="1"/>
  <c r="Y108" i="25"/>
  <c r="BQ108" i="19" s="1"/>
  <c r="AR109" i="25" s="1"/>
  <c r="D109" i="25" s="1"/>
  <c r="B111" i="25"/>
  <c r="AQ110" i="25"/>
  <c r="C110" i="25" s="1"/>
  <c r="AD107" i="25"/>
  <c r="AE107" i="25"/>
  <c r="AY107" i="20" s="1"/>
  <c r="AT106" i="25"/>
  <c r="AB107" i="25"/>
  <c r="AC107" i="25"/>
  <c r="AJ108" i="19"/>
  <c r="J108" i="19" s="1"/>
  <c r="AK108" i="19"/>
  <c r="K108" i="19" s="1"/>
  <c r="L104" i="19"/>
  <c r="T104" i="22" s="1"/>
  <c r="M105" i="19"/>
  <c r="AN105" i="19"/>
  <c r="X106" i="22" s="1"/>
  <c r="AI153" i="19"/>
  <c r="I153" i="19" s="1"/>
  <c r="S153" i="22" s="1"/>
  <c r="BT107" i="19" l="1"/>
  <c r="AX107" i="20"/>
  <c r="Q109" i="19"/>
  <c r="AD109" i="19" s="1"/>
  <c r="D109" i="19" s="1"/>
  <c r="N109" i="22" s="1"/>
  <c r="X110" i="25"/>
  <c r="AU110" i="20" s="1"/>
  <c r="W111" i="25"/>
  <c r="P110" i="19"/>
  <c r="C110" i="19" s="1"/>
  <c r="M110" i="22" s="1"/>
  <c r="BC110" i="19"/>
  <c r="O111" i="19"/>
  <c r="AB111" i="19" s="1"/>
  <c r="B111" i="19" s="1"/>
  <c r="L111" i="22" s="1"/>
  <c r="V112" i="25"/>
  <c r="F106" i="25"/>
  <c r="AV107" i="25"/>
  <c r="H107" i="25" s="1"/>
  <c r="AW107" i="25"/>
  <c r="I107" i="25" s="1"/>
  <c r="AK109" i="19"/>
  <c r="K109" i="19" s="1"/>
  <c r="N105" i="19"/>
  <c r="U105" i="22" s="1"/>
  <c r="AI154" i="19"/>
  <c r="I154" i="19" s="1"/>
  <c r="S154" i="22" s="1"/>
  <c r="AQ111" i="25" l="1"/>
  <c r="C111" i="25" s="1"/>
  <c r="BO111" i="19"/>
  <c r="AP112" i="25" s="1"/>
  <c r="S106" i="19"/>
  <c r="AF106" i="19" s="1"/>
  <c r="F106" i="19" s="1"/>
  <c r="BF106" i="19"/>
  <c r="AY107" i="25" s="1"/>
  <c r="K107" i="25" s="1"/>
  <c r="T107" i="19"/>
  <c r="AG107" i="19" s="1"/>
  <c r="G107" i="19" s="1"/>
  <c r="BG107" i="19"/>
  <c r="AC108" i="25"/>
  <c r="AW108" i="25" s="1"/>
  <c r="Z107" i="25"/>
  <c r="AV107" i="20" s="1"/>
  <c r="AA107" i="25"/>
  <c r="BS107" i="19" l="1"/>
  <c r="AW107" i="20"/>
  <c r="W112" i="25"/>
  <c r="BC111" i="19"/>
  <c r="P111" i="19"/>
  <c r="C111" i="19" s="1"/>
  <c r="M111" i="22" s="1"/>
  <c r="B112" i="25"/>
  <c r="AS108" i="25"/>
  <c r="AU107" i="25"/>
  <c r="I108" i="25"/>
  <c r="AN106" i="19"/>
  <c r="AL105" i="19"/>
  <c r="V106" i="22" s="1"/>
  <c r="AI155" i="19"/>
  <c r="I155" i="19" s="1"/>
  <c r="S155" i="22" s="1"/>
  <c r="O112" i="19" l="1"/>
  <c r="AB112" i="19" s="1"/>
  <c r="B112" i="19" s="1"/>
  <c r="L112" i="22" s="1"/>
  <c r="V113" i="25"/>
  <c r="BO112" i="19"/>
  <c r="AT107" i="25"/>
  <c r="F107" i="25" s="1"/>
  <c r="BF107" i="19" s="1"/>
  <c r="BU106" i="19"/>
  <c r="AX107" i="25" s="1"/>
  <c r="T108" i="19"/>
  <c r="BG108" i="19"/>
  <c r="E108" i="25"/>
  <c r="BE108" i="19" s="1"/>
  <c r="G107" i="25"/>
  <c r="L105" i="19"/>
  <c r="T105" i="22" s="1"/>
  <c r="N106" i="19"/>
  <c r="U106" i="22" s="1"/>
  <c r="X107" i="22"/>
  <c r="M106" i="19"/>
  <c r="AP113" i="25" l="1"/>
  <c r="J107" i="25"/>
  <c r="Y109" i="25"/>
  <c r="BQ109" i="19" s="1"/>
  <c r="AR110" i="25" s="1"/>
  <c r="R108" i="19"/>
  <c r="E108" i="19" s="1"/>
  <c r="O108" i="22" s="1"/>
  <c r="Z108" i="25"/>
  <c r="AV108" i="20" s="1"/>
  <c r="S107" i="19"/>
  <c r="AF107" i="19" s="1"/>
  <c r="F107" i="19" s="1"/>
  <c r="AB108" i="25"/>
  <c r="AA108" i="25"/>
  <c r="AW108" i="20" s="1"/>
  <c r="BH108" i="19"/>
  <c r="AG108" i="19"/>
  <c r="G108" i="19" s="1"/>
  <c r="M156" i="22"/>
  <c r="AI156" i="19"/>
  <c r="I156" i="19" s="1"/>
  <c r="S156" i="22" s="1"/>
  <c r="D110" i="25" l="1"/>
  <c r="B113" i="25"/>
  <c r="U107" i="19"/>
  <c r="AH107" i="19" s="1"/>
  <c r="H107" i="19" s="1"/>
  <c r="R107" i="22" s="1"/>
  <c r="AD108" i="25"/>
  <c r="AX108" i="20" s="1"/>
  <c r="AE108" i="25"/>
  <c r="AY108" i="20" s="1"/>
  <c r="AU108" i="25"/>
  <c r="G108" i="25" s="1"/>
  <c r="BS108" i="19"/>
  <c r="AS109" i="25"/>
  <c r="E109" i="25" s="1"/>
  <c r="BE109" i="19" s="1"/>
  <c r="AV108" i="25"/>
  <c r="H108" i="25" s="1"/>
  <c r="AJ109" i="19"/>
  <c r="J109" i="19" s="1"/>
  <c r="AL106" i="19"/>
  <c r="AI157" i="19"/>
  <c r="I157" i="19" s="1"/>
  <c r="S157" i="22" s="1"/>
  <c r="O113" i="19" l="1"/>
  <c r="AB113" i="19" s="1"/>
  <c r="B113" i="19" s="1"/>
  <c r="L113" i="22" s="1"/>
  <c r="V114" i="25"/>
  <c r="Q110" i="19"/>
  <c r="AD110" i="19" s="1"/>
  <c r="D110" i="19" s="1"/>
  <c r="N110" i="22" s="1"/>
  <c r="X111" i="25"/>
  <c r="AU111" i="20" s="1"/>
  <c r="AY108" i="25"/>
  <c r="K108" i="25" s="1"/>
  <c r="BT108" i="19"/>
  <c r="R109" i="19"/>
  <c r="E109" i="19" s="1"/>
  <c r="O109" i="22" s="1"/>
  <c r="Y110" i="25"/>
  <c r="BQ110" i="19" s="1"/>
  <c r="AC109" i="25"/>
  <c r="AB109" i="25"/>
  <c r="AV109" i="25" s="1"/>
  <c r="AN107" i="19"/>
  <c r="X108" i="22" s="1"/>
  <c r="L106" i="19"/>
  <c r="T106" i="22" s="1"/>
  <c r="V107" i="22"/>
  <c r="M157" i="22"/>
  <c r="AQ112" i="25" l="1"/>
  <c r="AR111" i="25"/>
  <c r="AT108" i="25"/>
  <c r="F108" i="25" s="1"/>
  <c r="BU107" i="19"/>
  <c r="AX108" i="25" s="1"/>
  <c r="H109" i="25"/>
  <c r="AW109" i="25"/>
  <c r="I109" i="25" s="1"/>
  <c r="AK110" i="19"/>
  <c r="K110" i="19" s="1"/>
  <c r="N107" i="19"/>
  <c r="U107" i="22" s="1"/>
  <c r="M107" i="19"/>
  <c r="AI158" i="19"/>
  <c r="I158" i="19" s="1"/>
  <c r="S158" i="22" s="1"/>
  <c r="D111" i="25" l="1"/>
  <c r="C112" i="25"/>
  <c r="J108" i="25"/>
  <c r="S108" i="19"/>
  <c r="AF108" i="19" s="1"/>
  <c r="F108" i="19" s="1"/>
  <c r="BF108" i="19"/>
  <c r="T109" i="19"/>
  <c r="AG109" i="19" s="1"/>
  <c r="G109" i="19" s="1"/>
  <c r="BG109" i="19"/>
  <c r="AC110" i="25"/>
  <c r="Z109" i="25"/>
  <c r="AV109" i="20" s="1"/>
  <c r="AA109" i="25"/>
  <c r="BH109" i="19"/>
  <c r="BS109" i="19" l="1"/>
  <c r="AW109" i="20"/>
  <c r="BC112" i="19"/>
  <c r="P112" i="19"/>
  <c r="C112" i="19" s="1"/>
  <c r="M112" i="22" s="1"/>
  <c r="W113" i="25"/>
  <c r="Q111" i="19"/>
  <c r="AD111" i="19" s="1"/>
  <c r="D111" i="19" s="1"/>
  <c r="N111" i="22" s="1"/>
  <c r="X112" i="25"/>
  <c r="AU112" i="20" s="1"/>
  <c r="U108" i="19"/>
  <c r="AH108" i="19" s="1"/>
  <c r="H108" i="19" s="1"/>
  <c r="R108" i="22" s="1"/>
  <c r="AD109" i="25"/>
  <c r="AE109" i="25"/>
  <c r="AY109" i="20" s="1"/>
  <c r="AS110" i="25"/>
  <c r="E110" i="25" s="1"/>
  <c r="BE110" i="19" s="1"/>
  <c r="AU109" i="25"/>
  <c r="AJ110" i="19"/>
  <c r="J110" i="19" s="1"/>
  <c r="AL107" i="19"/>
  <c r="V108" i="22" s="1"/>
  <c r="AI159" i="19"/>
  <c r="I159" i="19" s="1"/>
  <c r="S159" i="22" s="1"/>
  <c r="AW110" i="25" l="1"/>
  <c r="I110" i="25" s="1"/>
  <c r="BG110" i="19" s="1"/>
  <c r="AX109" i="20"/>
  <c r="BO113" i="19"/>
  <c r="AP114" i="25" s="1"/>
  <c r="AQ113" i="25"/>
  <c r="BT109" i="19"/>
  <c r="AT109" i="25"/>
  <c r="F109" i="25" s="1"/>
  <c r="BF109" i="19" s="1"/>
  <c r="BU108" i="19"/>
  <c r="AX109" i="25" s="1"/>
  <c r="AY109" i="25"/>
  <c r="K109" i="25" s="1"/>
  <c r="T110" i="19"/>
  <c r="Y111" i="25"/>
  <c r="BQ111" i="19" s="1"/>
  <c r="AR112" i="25" s="1"/>
  <c r="R110" i="19"/>
  <c r="E110" i="19" s="1"/>
  <c r="O110" i="22" s="1"/>
  <c r="G109" i="25"/>
  <c r="M108" i="19"/>
  <c r="AN108" i="19"/>
  <c r="X109" i="22" s="1"/>
  <c r="L107" i="19"/>
  <c r="T107" i="22" s="1"/>
  <c r="D112" i="25" l="1"/>
  <c r="B114" i="25"/>
  <c r="C113" i="25"/>
  <c r="J109" i="25"/>
  <c r="AE110" i="25" s="1"/>
  <c r="Z110" i="25"/>
  <c r="S109" i="19"/>
  <c r="AF109" i="19" s="1"/>
  <c r="F109" i="19" s="1"/>
  <c r="BH110" i="19" s="1"/>
  <c r="AA110" i="25"/>
  <c r="AB110" i="25"/>
  <c r="AV110" i="25" s="1"/>
  <c r="AG110" i="19"/>
  <c r="G110" i="19" s="1"/>
  <c r="AK111" i="19"/>
  <c r="K111" i="19" s="1"/>
  <c r="AJ111" i="19"/>
  <c r="J111" i="19" s="1"/>
  <c r="N108" i="19"/>
  <c r="U108" i="22" s="1"/>
  <c r="AI160" i="19"/>
  <c r="I160" i="19" s="1"/>
  <c r="S160" i="22" s="1"/>
  <c r="AY110" i="25" l="1"/>
  <c r="K110" i="25" s="1"/>
  <c r="AY110" i="20"/>
  <c r="BS110" i="19"/>
  <c r="AW110" i="20"/>
  <c r="AS111" i="25"/>
  <c r="E111" i="25" s="1"/>
  <c r="BE111" i="19" s="1"/>
  <c r="AV110" i="20"/>
  <c r="O114" i="19"/>
  <c r="AB114" i="19" s="1"/>
  <c r="B114" i="19" s="1"/>
  <c r="L114" i="22" s="1"/>
  <c r="V115" i="25"/>
  <c r="Q112" i="19"/>
  <c r="AD112" i="19" s="1"/>
  <c r="D112" i="19" s="1"/>
  <c r="N112" i="22" s="1"/>
  <c r="X113" i="25"/>
  <c r="AU113" i="20" s="1"/>
  <c r="BC113" i="19"/>
  <c r="P113" i="19"/>
  <c r="C113" i="19" s="1"/>
  <c r="M113" i="22" s="1"/>
  <c r="W114" i="25"/>
  <c r="U109" i="19"/>
  <c r="AH109" i="19" s="1"/>
  <c r="H109" i="19" s="1"/>
  <c r="R109" i="22" s="1"/>
  <c r="AD110" i="25"/>
  <c r="AX110" i="20" s="1"/>
  <c r="H110" i="25"/>
  <c r="AU110" i="25"/>
  <c r="AK112" i="19"/>
  <c r="K112" i="19" s="1"/>
  <c r="M160" i="22"/>
  <c r="R111" i="19" l="1"/>
  <c r="E111" i="19" s="1"/>
  <c r="O111" i="22" s="1"/>
  <c r="Y112" i="25"/>
  <c r="BQ112" i="19" s="1"/>
  <c r="AR113" i="25" s="1"/>
  <c r="BO114" i="19"/>
  <c r="AP115" i="25" s="1"/>
  <c r="B115" i="25" s="1"/>
  <c r="O115" i="19" s="1"/>
  <c r="AB115" i="19" s="1"/>
  <c r="B115" i="19" s="1"/>
  <c r="L115" i="22" s="1"/>
  <c r="AQ114" i="25"/>
  <c r="C114" i="25" s="1"/>
  <c r="BT110" i="19"/>
  <c r="G110" i="25"/>
  <c r="AB111" i="25" s="1"/>
  <c r="AC111" i="25"/>
  <c r="AL108" i="19"/>
  <c r="V109" i="22" s="1"/>
  <c r="P114" i="19" l="1"/>
  <c r="C114" i="19" s="1"/>
  <c r="M114" i="22" s="1"/>
  <c r="BC114" i="19"/>
  <c r="W115" i="25"/>
  <c r="V116" i="25"/>
  <c r="D113" i="25"/>
  <c r="AT110" i="25"/>
  <c r="F110" i="25" s="1"/>
  <c r="BF110" i="19" s="1"/>
  <c r="BU109" i="19"/>
  <c r="AX110" i="25" s="1"/>
  <c r="AW111" i="25"/>
  <c r="L108" i="19"/>
  <c r="T108" i="22" s="1"/>
  <c r="AV111" i="25"/>
  <c r="H111" i="25" s="1"/>
  <c r="M109" i="19"/>
  <c r="AN109" i="19"/>
  <c r="X110" i="22" s="1"/>
  <c r="AI161" i="19"/>
  <c r="I161" i="19" s="1"/>
  <c r="S161" i="22" s="1"/>
  <c r="M161" i="22"/>
  <c r="BO115" i="19" l="1"/>
  <c r="AP116" i="25" s="1"/>
  <c r="Q113" i="19"/>
  <c r="AD113" i="19" s="1"/>
  <c r="D113" i="19" s="1"/>
  <c r="N113" i="22" s="1"/>
  <c r="X114" i="25"/>
  <c r="AU114" i="20" s="1"/>
  <c r="J110" i="25"/>
  <c r="AA111" i="25"/>
  <c r="AW111" i="20" s="1"/>
  <c r="Z111" i="25"/>
  <c r="S110" i="19"/>
  <c r="AF110" i="19" s="1"/>
  <c r="F110" i="19" s="1"/>
  <c r="I111" i="25"/>
  <c r="BH111" i="19"/>
  <c r="N109" i="19"/>
  <c r="U109" i="22" s="1"/>
  <c r="AS112" i="25" l="1"/>
  <c r="AV111" i="20"/>
  <c r="AQ115" i="25"/>
  <c r="B116" i="25"/>
  <c r="U110" i="19"/>
  <c r="AH110" i="19" s="1"/>
  <c r="H110" i="19" s="1"/>
  <c r="R110" i="22" s="1"/>
  <c r="AE111" i="25"/>
  <c r="AY111" i="20" s="1"/>
  <c r="AD111" i="25"/>
  <c r="AX111" i="20" s="1"/>
  <c r="AU111" i="25"/>
  <c r="G111" i="25" s="1"/>
  <c r="AB112" i="25" s="1"/>
  <c r="BS111" i="19"/>
  <c r="T111" i="19"/>
  <c r="AG111" i="19" s="1"/>
  <c r="G111" i="19" s="1"/>
  <c r="BG111" i="19"/>
  <c r="AC112" i="25"/>
  <c r="E112" i="25"/>
  <c r="BE112" i="19" s="1"/>
  <c r="AL109" i="19"/>
  <c r="V110" i="22" s="1"/>
  <c r="BU110" i="19" s="1"/>
  <c r="AI162" i="19"/>
  <c r="I162" i="19" s="1"/>
  <c r="S162" i="22" s="1"/>
  <c r="C115" i="25" l="1"/>
  <c r="O116" i="19"/>
  <c r="AB116" i="19" s="1"/>
  <c r="B116" i="19" s="1"/>
  <c r="L116" i="22" s="1"/>
  <c r="V117" i="25"/>
  <c r="BT111" i="19"/>
  <c r="AX111" i="25"/>
  <c r="J111" i="25" s="1"/>
  <c r="U111" i="19" s="1"/>
  <c r="AH111" i="19" s="1"/>
  <c r="H111" i="19" s="1"/>
  <c r="R111" i="22" s="1"/>
  <c r="AY111" i="25"/>
  <c r="K111" i="25" s="1"/>
  <c r="Y113" i="25"/>
  <c r="BQ113" i="19" s="1"/>
  <c r="AR114" i="25" s="1"/>
  <c r="R112" i="19"/>
  <c r="E112" i="19" s="1"/>
  <c r="O112" i="22" s="1"/>
  <c r="AT111" i="25"/>
  <c r="AW112" i="25"/>
  <c r="AV112" i="25"/>
  <c r="H112" i="25" s="1"/>
  <c r="AJ112" i="19"/>
  <c r="J112" i="19" s="1"/>
  <c r="BH112" i="19"/>
  <c r="M110" i="19"/>
  <c r="L109" i="19"/>
  <c r="T109" i="22" s="1"/>
  <c r="AI163" i="19"/>
  <c r="I163" i="19" s="1"/>
  <c r="S163" i="22" s="1"/>
  <c r="D114" i="25" l="1"/>
  <c r="BC115" i="19"/>
  <c r="P115" i="19"/>
  <c r="C115" i="19" s="1"/>
  <c r="M115" i="22" s="1"/>
  <c r="W116" i="25"/>
  <c r="AD112" i="25"/>
  <c r="AE112" i="25"/>
  <c r="AY112" i="20" s="1"/>
  <c r="F111" i="25"/>
  <c r="I112" i="25"/>
  <c r="BG112" i="19" s="1"/>
  <c r="AN110" i="19"/>
  <c r="X111" i="22" s="1"/>
  <c r="M163" i="22"/>
  <c r="BT112" i="19" l="1"/>
  <c r="AX112" i="20"/>
  <c r="BO116" i="19"/>
  <c r="AP117" i="25" s="1"/>
  <c r="Q114" i="19"/>
  <c r="AD114" i="19" s="1"/>
  <c r="D114" i="19" s="1"/>
  <c r="N114" i="22" s="1"/>
  <c r="X115" i="25"/>
  <c r="S111" i="19"/>
  <c r="AF111" i="19" s="1"/>
  <c r="F111" i="19" s="1"/>
  <c r="BF111" i="19"/>
  <c r="AY112" i="25" s="1"/>
  <c r="K112" i="25" s="1"/>
  <c r="AC113" i="25"/>
  <c r="AW113" i="25" s="1"/>
  <c r="I113" i="25" s="1"/>
  <c r="T112" i="19"/>
  <c r="AG112" i="19" s="1"/>
  <c r="G112" i="19" s="1"/>
  <c r="Z112" i="25"/>
  <c r="AV112" i="20" s="1"/>
  <c r="AA112" i="25"/>
  <c r="AK113" i="19"/>
  <c r="K113" i="19" s="1"/>
  <c r="AJ113" i="19"/>
  <c r="J113" i="19" s="1"/>
  <c r="N110" i="19"/>
  <c r="U110" i="22" s="1"/>
  <c r="AI164" i="19"/>
  <c r="I164" i="19" s="1"/>
  <c r="S164" i="22" s="1"/>
  <c r="BS112" i="19" l="1"/>
  <c r="AW112" i="20"/>
  <c r="AQ116" i="25"/>
  <c r="C116" i="25" s="1"/>
  <c r="BC116" i="19" s="1"/>
  <c r="AU115" i="20"/>
  <c r="B117" i="25"/>
  <c r="T113" i="19"/>
  <c r="BG113" i="19"/>
  <c r="AS113" i="25"/>
  <c r="AU112" i="25"/>
  <c r="AK114" i="19"/>
  <c r="K114" i="19" s="1"/>
  <c r="AL110" i="19"/>
  <c r="V111" i="22" s="1"/>
  <c r="BU111" i="19" s="1"/>
  <c r="AX112" i="25" s="1"/>
  <c r="J112" i="25" s="1"/>
  <c r="W117" i="25" l="1"/>
  <c r="P116" i="19"/>
  <c r="C116" i="19" s="1"/>
  <c r="M116" i="22" s="1"/>
  <c r="O117" i="19"/>
  <c r="AB117" i="19" s="1"/>
  <c r="B117" i="19" s="1"/>
  <c r="L117" i="22" s="1"/>
  <c r="V118" i="25"/>
  <c r="BO117" i="19"/>
  <c r="U112" i="19"/>
  <c r="AH112" i="19" s="1"/>
  <c r="H112" i="19" s="1"/>
  <c r="R112" i="22" s="1"/>
  <c r="AD113" i="25"/>
  <c r="AE113" i="25"/>
  <c r="AY113" i="20" s="1"/>
  <c r="AT112" i="25"/>
  <c r="F112" i="25" s="1"/>
  <c r="BF112" i="19" s="1"/>
  <c r="E113" i="25"/>
  <c r="BE113" i="19" s="1"/>
  <c r="G112" i="25"/>
  <c r="BH113" i="19"/>
  <c r="M111" i="19"/>
  <c r="L110" i="19"/>
  <c r="T110" i="22" s="1"/>
  <c r="AI165" i="19"/>
  <c r="I165" i="19" s="1"/>
  <c r="S165" i="22" s="1"/>
  <c r="BT113" i="19" l="1"/>
  <c r="AX113" i="20"/>
  <c r="AY113" i="25"/>
  <c r="K113" i="25" s="1"/>
  <c r="AP118" i="25"/>
  <c r="B118" i="25" s="1"/>
  <c r="Z113" i="25"/>
  <c r="AV113" i="20" s="1"/>
  <c r="S112" i="19"/>
  <c r="AF112" i="19" s="1"/>
  <c r="F112" i="19" s="1"/>
  <c r="Y114" i="25"/>
  <c r="BQ114" i="19" s="1"/>
  <c r="AR115" i="25" s="1"/>
  <c r="D115" i="25" s="1"/>
  <c r="R113" i="19"/>
  <c r="E113" i="19" s="1"/>
  <c r="O113" i="22" s="1"/>
  <c r="AA113" i="25"/>
  <c r="AW113" i="20" s="1"/>
  <c r="AB113" i="25"/>
  <c r="AV113" i="25" s="1"/>
  <c r="AG113" i="19"/>
  <c r="G113" i="19" s="1"/>
  <c r="AN111" i="19"/>
  <c r="X112" i="22" s="1"/>
  <c r="O118" i="19" l="1"/>
  <c r="AB118" i="19" s="1"/>
  <c r="B118" i="19" s="1"/>
  <c r="L118" i="22" s="1"/>
  <c r="V119" i="25"/>
  <c r="Q115" i="19"/>
  <c r="AD115" i="19" s="1"/>
  <c r="D115" i="19" s="1"/>
  <c r="N115" i="22" s="1"/>
  <c r="X116" i="25"/>
  <c r="AU116" i="20" s="1"/>
  <c r="AU113" i="25"/>
  <c r="G113" i="25" s="1"/>
  <c r="BS113" i="19"/>
  <c r="AS114" i="25"/>
  <c r="E114" i="25" s="1"/>
  <c r="BE114" i="19" s="1"/>
  <c r="H113" i="25"/>
  <c r="AJ114" i="19"/>
  <c r="J114" i="19" s="1"/>
  <c r="N111" i="19"/>
  <c r="U111" i="22" s="1"/>
  <c r="AL111" i="19"/>
  <c r="AI166" i="19"/>
  <c r="I166" i="19" s="1"/>
  <c r="S166" i="22" s="1"/>
  <c r="AQ117" i="25" l="1"/>
  <c r="Y115" i="25"/>
  <c r="BQ115" i="19" s="1"/>
  <c r="AR116" i="25" s="1"/>
  <c r="D116" i="25" s="1"/>
  <c r="R114" i="19"/>
  <c r="E114" i="19" s="1"/>
  <c r="O114" i="22" s="1"/>
  <c r="AB114" i="25"/>
  <c r="AC114" i="25"/>
  <c r="BH114" i="19"/>
  <c r="L111" i="19"/>
  <c r="T111" i="22" s="1"/>
  <c r="V112" i="22"/>
  <c r="BU112" i="19" s="1"/>
  <c r="AX113" i="25" s="1"/>
  <c r="Q116" i="19" l="1"/>
  <c r="AD116" i="19" s="1"/>
  <c r="D116" i="19" s="1"/>
  <c r="N116" i="22" s="1"/>
  <c r="X117" i="25"/>
  <c r="AU117" i="20" s="1"/>
  <c r="C117" i="25"/>
  <c r="J113" i="25"/>
  <c r="AT113" i="25"/>
  <c r="AW114" i="25"/>
  <c r="I114" i="25" s="1"/>
  <c r="AV114" i="25"/>
  <c r="AK115" i="19"/>
  <c r="K115" i="19" s="1"/>
  <c r="AL112" i="19"/>
  <c r="L112" i="19" s="1"/>
  <c r="T112" i="22" s="1"/>
  <c r="M112" i="19"/>
  <c r="AI167" i="19"/>
  <c r="I167" i="19" s="1"/>
  <c r="S167" i="22" s="1"/>
  <c r="BC117" i="19" l="1"/>
  <c r="P117" i="19"/>
  <c r="C117" i="19" s="1"/>
  <c r="M117" i="22" s="1"/>
  <c r="W118" i="25"/>
  <c r="U113" i="19"/>
  <c r="AH113" i="19" s="1"/>
  <c r="H113" i="19" s="1"/>
  <c r="R113" i="22" s="1"/>
  <c r="AE114" i="25"/>
  <c r="AY114" i="20" s="1"/>
  <c r="AD114" i="25"/>
  <c r="AX114" i="20" s="1"/>
  <c r="T114" i="19"/>
  <c r="AG114" i="19" s="1"/>
  <c r="G114" i="19" s="1"/>
  <c r="BG114" i="19"/>
  <c r="F113" i="25"/>
  <c r="H114" i="25"/>
  <c r="AJ115" i="19"/>
  <c r="J115" i="19" s="1"/>
  <c r="V113" i="22"/>
  <c r="AN112" i="19"/>
  <c r="X113" i="22" s="1"/>
  <c r="AI168" i="19"/>
  <c r="I168" i="19" s="1"/>
  <c r="S168" i="22" s="1"/>
  <c r="BO118" i="19" l="1"/>
  <c r="AP119" i="25" s="1"/>
  <c r="B119" i="25" s="1"/>
  <c r="AQ118" i="25"/>
  <c r="BU113" i="19"/>
  <c r="AX114" i="25" s="1"/>
  <c r="J114" i="25" s="1"/>
  <c r="BT114" i="19"/>
  <c r="S113" i="19"/>
  <c r="AF113" i="19" s="1"/>
  <c r="F113" i="19" s="1"/>
  <c r="BF113" i="19"/>
  <c r="AY114" i="25" s="1"/>
  <c r="Z114" i="25"/>
  <c r="AV114" i="20" s="1"/>
  <c r="AA114" i="25"/>
  <c r="AW114" i="20" s="1"/>
  <c r="AC115" i="25"/>
  <c r="N112" i="19"/>
  <c r="U112" i="22" s="1"/>
  <c r="M113" i="19"/>
  <c r="C118" i="25" l="1"/>
  <c r="O119" i="19"/>
  <c r="AB119" i="19" s="1"/>
  <c r="B119" i="19" s="1"/>
  <c r="L119" i="22" s="1"/>
  <c r="V120" i="25"/>
  <c r="U114" i="19"/>
  <c r="AH114" i="19" s="1"/>
  <c r="H114" i="19" s="1"/>
  <c r="R114" i="22" s="1"/>
  <c r="AD115" i="25"/>
  <c r="AX115" i="20" s="1"/>
  <c r="AU114" i="25"/>
  <c r="G114" i="25" s="1"/>
  <c r="BS114" i="19"/>
  <c r="K114" i="25"/>
  <c r="AE115" i="25" s="1"/>
  <c r="AY115" i="20" s="1"/>
  <c r="AW115" i="25"/>
  <c r="I115" i="25" s="1"/>
  <c r="AS115" i="25"/>
  <c r="AT114" i="25"/>
  <c r="F114" i="25" s="1"/>
  <c r="BF114" i="19" s="1"/>
  <c r="AK116" i="19"/>
  <c r="K116" i="19" s="1"/>
  <c r="AJ116" i="19"/>
  <c r="J116" i="19" s="1"/>
  <c r="BH115" i="19"/>
  <c r="AL113" i="19"/>
  <c r="V114" i="22" s="1"/>
  <c r="AI169" i="19"/>
  <c r="I169" i="19" s="1"/>
  <c r="S169" i="22" s="1"/>
  <c r="AY115" i="25" l="1"/>
  <c r="K115" i="25" s="1"/>
  <c r="BC118" i="19"/>
  <c r="P118" i="19"/>
  <c r="C118" i="19" s="1"/>
  <c r="M118" i="22" s="1"/>
  <c r="W119" i="25"/>
  <c r="BT115" i="19"/>
  <c r="T115" i="19"/>
  <c r="BG115" i="19"/>
  <c r="Z115" i="25"/>
  <c r="AV115" i="20" s="1"/>
  <c r="S114" i="19"/>
  <c r="AF114" i="19" s="1"/>
  <c r="F114" i="19" s="1"/>
  <c r="AA115" i="25"/>
  <c r="AB115" i="25"/>
  <c r="E115" i="25"/>
  <c r="BE115" i="19" s="1"/>
  <c r="AK117" i="19"/>
  <c r="K117" i="19" s="1"/>
  <c r="M114" i="19"/>
  <c r="AN113" i="19"/>
  <c r="X114" i="22" s="1"/>
  <c r="L113" i="19"/>
  <c r="T113" i="22" s="1"/>
  <c r="BS115" i="19" l="1"/>
  <c r="AW115" i="20"/>
  <c r="AT115" i="25"/>
  <c r="F115" i="25" s="1"/>
  <c r="BF115" i="19" s="1"/>
  <c r="BO119" i="19"/>
  <c r="AP120" i="25" s="1"/>
  <c r="B120" i="25" s="1"/>
  <c r="BU114" i="19"/>
  <c r="AX115" i="25" s="1"/>
  <c r="J115" i="25" s="1"/>
  <c r="Y116" i="25"/>
  <c r="R115" i="19"/>
  <c r="E115" i="19" s="1"/>
  <c r="O115" i="22" s="1"/>
  <c r="AV115" i="25"/>
  <c r="AU115" i="25"/>
  <c r="G115" i="25" s="1"/>
  <c r="AG115" i="19"/>
  <c r="G115" i="19" s="1"/>
  <c r="N113" i="19"/>
  <c r="U113" i="22" s="1"/>
  <c r="M170" i="22"/>
  <c r="AI170" i="19"/>
  <c r="I170" i="19" s="1"/>
  <c r="S170" i="22" s="1"/>
  <c r="AS116" i="25" l="1"/>
  <c r="E116" i="25" s="1"/>
  <c r="BE116" i="19" s="1"/>
  <c r="BQ116" i="19"/>
  <c r="AR117" i="25" s="1"/>
  <c r="O120" i="19"/>
  <c r="AB120" i="19" s="1"/>
  <c r="B120" i="19" s="1"/>
  <c r="L120" i="22" s="1"/>
  <c r="V121" i="25"/>
  <c r="U115" i="19"/>
  <c r="AH115" i="19" s="1"/>
  <c r="H115" i="19" s="1"/>
  <c r="R115" i="22" s="1"/>
  <c r="AE116" i="25"/>
  <c r="AY116" i="20" s="1"/>
  <c r="AD116" i="25"/>
  <c r="AX116" i="20" s="1"/>
  <c r="AA116" i="25"/>
  <c r="AW116" i="20" s="1"/>
  <c r="Z116" i="25"/>
  <c r="AV116" i="20" s="1"/>
  <c r="S115" i="19"/>
  <c r="AF115" i="19" s="1"/>
  <c r="F115" i="19" s="1"/>
  <c r="H115" i="25"/>
  <c r="AI171" i="19"/>
  <c r="I171" i="19" s="1"/>
  <c r="S171" i="22" s="1"/>
  <c r="Y117" i="25" l="1"/>
  <c r="BQ117" i="19" s="1"/>
  <c r="R116" i="19"/>
  <c r="E116" i="19" s="1"/>
  <c r="O116" i="22" s="1"/>
  <c r="D117" i="25"/>
  <c r="BT116" i="19"/>
  <c r="AY116" i="25"/>
  <c r="K116" i="25" s="1"/>
  <c r="AU116" i="25"/>
  <c r="G116" i="25" s="1"/>
  <c r="BS116" i="19"/>
  <c r="AS117" i="25"/>
  <c r="E117" i="25" s="1"/>
  <c r="BE117" i="19" s="1"/>
  <c r="AB116" i="25"/>
  <c r="AC116" i="25"/>
  <c r="BH116" i="19"/>
  <c r="AL114" i="19"/>
  <c r="V115" i="22" s="1"/>
  <c r="M171" i="22"/>
  <c r="Q117" i="19" l="1"/>
  <c r="AD117" i="19" s="1"/>
  <c r="D117" i="19" s="1"/>
  <c r="N117" i="22" s="1"/>
  <c r="X118" i="25"/>
  <c r="AU118" i="20" s="1"/>
  <c r="R117" i="19"/>
  <c r="E117" i="19" s="1"/>
  <c r="O117" i="22" s="1"/>
  <c r="Y118" i="25"/>
  <c r="BQ118" i="19" s="1"/>
  <c r="AW116" i="25"/>
  <c r="I116" i="25" s="1"/>
  <c r="AV116" i="25"/>
  <c r="H116" i="25" s="1"/>
  <c r="AB117" i="25" s="1"/>
  <c r="M115" i="19"/>
  <c r="AN114" i="19"/>
  <c r="X115" i="22" s="1"/>
  <c r="AT116" i="25" s="1"/>
  <c r="L114" i="19"/>
  <c r="T114" i="22" s="1"/>
  <c r="AI172" i="19"/>
  <c r="I172" i="19" s="1"/>
  <c r="S172" i="22" s="1"/>
  <c r="AQ119" i="25" l="1"/>
  <c r="AR118" i="25"/>
  <c r="BU115" i="19"/>
  <c r="AX116" i="25" s="1"/>
  <c r="J116" i="25" s="1"/>
  <c r="AD117" i="25" s="1"/>
  <c r="T116" i="19"/>
  <c r="AG116" i="19" s="1"/>
  <c r="G116" i="19" s="1"/>
  <c r="BG116" i="19"/>
  <c r="F116" i="25"/>
  <c r="AC117" i="25"/>
  <c r="AW117" i="25" s="1"/>
  <c r="AV117" i="25"/>
  <c r="AJ117" i="19"/>
  <c r="J117" i="19" s="1"/>
  <c r="N114" i="19"/>
  <c r="U114" i="22" s="1"/>
  <c r="AI173" i="19"/>
  <c r="I173" i="19" s="1"/>
  <c r="S173" i="22" s="1"/>
  <c r="BT117" i="19" l="1"/>
  <c r="AX117" i="20"/>
  <c r="C119" i="25"/>
  <c r="D118" i="25"/>
  <c r="U116" i="19"/>
  <c r="AH116" i="19" s="1"/>
  <c r="H116" i="19" s="1"/>
  <c r="R116" i="22" s="1"/>
  <c r="AE117" i="25"/>
  <c r="AY117" i="20" s="1"/>
  <c r="S116" i="19"/>
  <c r="AF116" i="19" s="1"/>
  <c r="F116" i="19" s="1"/>
  <c r="BF116" i="19"/>
  <c r="I117" i="25"/>
  <c r="Z117" i="25"/>
  <c r="AV117" i="20" s="1"/>
  <c r="AA117" i="25"/>
  <c r="H117" i="25"/>
  <c r="BH117" i="19"/>
  <c r="AL115" i="19"/>
  <c r="BS117" i="19" l="1"/>
  <c r="AW117" i="20"/>
  <c r="AY117" i="25"/>
  <c r="K117" i="25" s="1"/>
  <c r="P119" i="19"/>
  <c r="C119" i="19" s="1"/>
  <c r="M119" i="22" s="1"/>
  <c r="BC119" i="19"/>
  <c r="W120" i="25"/>
  <c r="Q118" i="19"/>
  <c r="AD118" i="19" s="1"/>
  <c r="D118" i="19" s="1"/>
  <c r="N118" i="22" s="1"/>
  <c r="X119" i="25"/>
  <c r="AU119" i="20" s="1"/>
  <c r="T117" i="19"/>
  <c r="BG117" i="19"/>
  <c r="AC118" i="25"/>
  <c r="AS118" i="25"/>
  <c r="AU117" i="25"/>
  <c r="AK118" i="19"/>
  <c r="K118" i="19" s="1"/>
  <c r="AJ118" i="19"/>
  <c r="J118" i="19" s="1"/>
  <c r="L115" i="19"/>
  <c r="T115" i="22" s="1"/>
  <c r="V116" i="22"/>
  <c r="AI174" i="19"/>
  <c r="I174" i="19" s="1"/>
  <c r="S174" i="22" s="1"/>
  <c r="M173" i="22"/>
  <c r="BO120" i="19" l="1"/>
  <c r="AP121" i="25" s="1"/>
  <c r="AQ120" i="25"/>
  <c r="AR119" i="25"/>
  <c r="D119" i="25" s="1"/>
  <c r="Q119" i="19" s="1"/>
  <c r="AD119" i="19" s="1"/>
  <c r="D119" i="19" s="1"/>
  <c r="N119" i="22" s="1"/>
  <c r="AW118" i="25"/>
  <c r="I118" i="25" s="1"/>
  <c r="G117" i="25"/>
  <c r="E118" i="25"/>
  <c r="BE118" i="19" s="1"/>
  <c r="AJ119" i="19"/>
  <c r="J119" i="19" s="1"/>
  <c r="AN115" i="19"/>
  <c r="X116" i="22" s="1"/>
  <c r="AT117" i="25" s="1"/>
  <c r="AG117" i="19"/>
  <c r="G117" i="19" s="1"/>
  <c r="M116" i="19"/>
  <c r="C120" i="25" l="1"/>
  <c r="X120" i="25"/>
  <c r="AU120" i="20" s="1"/>
  <c r="B121" i="25"/>
  <c r="BU116" i="19"/>
  <c r="AX117" i="25" s="1"/>
  <c r="J117" i="25" s="1"/>
  <c r="T118" i="19"/>
  <c r="BG118" i="19"/>
  <c r="Y119" i="25"/>
  <c r="BQ119" i="19" s="1"/>
  <c r="R118" i="19"/>
  <c r="E118" i="19" s="1"/>
  <c r="O118" i="22" s="1"/>
  <c r="AB118" i="25"/>
  <c r="AV118" i="25" s="1"/>
  <c r="F117" i="25"/>
  <c r="BF117" i="19" s="1"/>
  <c r="AK119" i="19"/>
  <c r="K119" i="19" s="1"/>
  <c r="N115" i="19"/>
  <c r="U115" i="22" s="1"/>
  <c r="O121" i="19" l="1"/>
  <c r="AB121" i="19" s="1"/>
  <c r="B121" i="19" s="1"/>
  <c r="L121" i="22" s="1"/>
  <c r="V122" i="25"/>
  <c r="AR120" i="25"/>
  <c r="BC120" i="19"/>
  <c r="P120" i="19"/>
  <c r="C120" i="19" s="1"/>
  <c r="W121" i="25"/>
  <c r="U117" i="19"/>
  <c r="AH117" i="19" s="1"/>
  <c r="H117" i="19" s="1"/>
  <c r="R117" i="22" s="1"/>
  <c r="AD118" i="25"/>
  <c r="AX118" i="20" s="1"/>
  <c r="AE118" i="25"/>
  <c r="AY118" i="20" s="1"/>
  <c r="Z118" i="25"/>
  <c r="AV118" i="20" s="1"/>
  <c r="S117" i="19"/>
  <c r="AF117" i="19" s="1"/>
  <c r="F117" i="19" s="1"/>
  <c r="H118" i="25"/>
  <c r="AA118" i="25"/>
  <c r="AS119" i="25"/>
  <c r="AK120" i="19"/>
  <c r="K120" i="19" s="1"/>
  <c r="AJ120" i="19"/>
  <c r="J120" i="19" s="1"/>
  <c r="AN116" i="19"/>
  <c r="X117" i="22" s="1"/>
  <c r="AL116" i="19"/>
  <c r="V117" i="22" s="1"/>
  <c r="AI175" i="19"/>
  <c r="I175" i="19" s="1"/>
  <c r="S175" i="22" s="1"/>
  <c r="BS118" i="19" l="1"/>
  <c r="AW118" i="20"/>
  <c r="D120" i="25"/>
  <c r="BO121" i="19"/>
  <c r="AP122" i="25" s="1"/>
  <c r="AQ121" i="25"/>
  <c r="C121" i="25" s="1"/>
  <c r="BT118" i="19"/>
  <c r="BU117" i="19"/>
  <c r="AX118" i="25" s="1"/>
  <c r="J118" i="25" s="1"/>
  <c r="AY118" i="25"/>
  <c r="K118" i="25" s="1"/>
  <c r="AC119" i="25"/>
  <c r="E119" i="25"/>
  <c r="BE119" i="19" s="1"/>
  <c r="AU118" i="25"/>
  <c r="AK121" i="19"/>
  <c r="K121" i="19" s="1"/>
  <c r="AT118" i="25"/>
  <c r="AJ121" i="19"/>
  <c r="J121" i="19" s="1"/>
  <c r="N116" i="19"/>
  <c r="U116" i="22" s="1"/>
  <c r="BH118" i="19"/>
  <c r="L116" i="19"/>
  <c r="T116" i="22" s="1"/>
  <c r="M117" i="19"/>
  <c r="BC121" i="19" l="1"/>
  <c r="P121" i="19"/>
  <c r="C121" i="19" s="1"/>
  <c r="M121" i="22" s="1"/>
  <c r="W122" i="25"/>
  <c r="B122" i="25"/>
  <c r="Q120" i="19"/>
  <c r="AD120" i="19" s="1"/>
  <c r="D120" i="19" s="1"/>
  <c r="N120" i="22" s="1"/>
  <c r="X121" i="25"/>
  <c r="AU121" i="20" s="1"/>
  <c r="AD119" i="25"/>
  <c r="U118" i="19"/>
  <c r="AH118" i="19" s="1"/>
  <c r="H118" i="19" s="1"/>
  <c r="R118" i="22" s="1"/>
  <c r="AE119" i="25"/>
  <c r="AY119" i="20" s="1"/>
  <c r="Y120" i="25"/>
  <c r="BQ120" i="19" s="1"/>
  <c r="R119" i="19"/>
  <c r="E119" i="19" s="1"/>
  <c r="O119" i="22" s="1"/>
  <c r="AW119" i="25"/>
  <c r="F118" i="25"/>
  <c r="BF118" i="19" s="1"/>
  <c r="AY119" i="25" s="1"/>
  <c r="G118" i="25"/>
  <c r="AG118" i="19"/>
  <c r="G118" i="19" s="1"/>
  <c r="AN117" i="19"/>
  <c r="X118" i="22" s="1"/>
  <c r="BT119" i="19" l="1"/>
  <c r="AX119" i="20"/>
  <c r="O122" i="19"/>
  <c r="AB122" i="19" s="1"/>
  <c r="B122" i="19" s="1"/>
  <c r="L122" i="22" s="1"/>
  <c r="V123" i="25"/>
  <c r="AR121" i="25"/>
  <c r="D121" i="25" s="1"/>
  <c r="AQ122" i="25"/>
  <c r="C122" i="25" s="1"/>
  <c r="BO122" i="19"/>
  <c r="Z119" i="25"/>
  <c r="AV119" i="20" s="1"/>
  <c r="S118" i="19"/>
  <c r="AF118" i="19" s="1"/>
  <c r="F118" i="19" s="1"/>
  <c r="AA119" i="25"/>
  <c r="AB119" i="25"/>
  <c r="I119" i="25"/>
  <c r="K119" i="25"/>
  <c r="AK122" i="19"/>
  <c r="K122" i="19" s="1"/>
  <c r="BH119" i="19"/>
  <c r="N117" i="19"/>
  <c r="U117" i="22" s="1"/>
  <c r="AI176" i="19"/>
  <c r="I176" i="19" s="1"/>
  <c r="S176" i="22" s="1"/>
  <c r="AS120" i="25" l="1"/>
  <c r="BS119" i="19"/>
  <c r="AW119" i="20"/>
  <c r="P122" i="19"/>
  <c r="C122" i="19" s="1"/>
  <c r="M122" i="22" s="1"/>
  <c r="BC122" i="19"/>
  <c r="W123" i="25"/>
  <c r="Q121" i="19"/>
  <c r="AD121" i="19" s="1"/>
  <c r="D121" i="19" s="1"/>
  <c r="N121" i="22" s="1"/>
  <c r="X122" i="25"/>
  <c r="AU122" i="20" s="1"/>
  <c r="AP123" i="25"/>
  <c r="B123" i="25" s="1"/>
  <c r="T119" i="19"/>
  <c r="AG119" i="19" s="1"/>
  <c r="G119" i="19" s="1"/>
  <c r="BG119" i="19"/>
  <c r="AV119" i="25"/>
  <c r="E120" i="25"/>
  <c r="BE120" i="19" s="1"/>
  <c r="AU119" i="25"/>
  <c r="AL117" i="19"/>
  <c r="V118" i="22" s="1"/>
  <c r="AQ123" i="25" l="1"/>
  <c r="O123" i="19"/>
  <c r="AB123" i="19" s="1"/>
  <c r="B123" i="19" s="1"/>
  <c r="L123" i="22" s="1"/>
  <c r="V124" i="25"/>
  <c r="BO123" i="19"/>
  <c r="C123" i="25"/>
  <c r="W124" i="25" s="1"/>
  <c r="AT119" i="25"/>
  <c r="F119" i="25" s="1"/>
  <c r="BF119" i="19" s="1"/>
  <c r="BU118" i="19"/>
  <c r="AX119" i="25" s="1"/>
  <c r="J119" i="25" s="1"/>
  <c r="Y121" i="25"/>
  <c r="BQ121" i="19" s="1"/>
  <c r="AR122" i="25" s="1"/>
  <c r="R120" i="19"/>
  <c r="E120" i="19" s="1"/>
  <c r="O120" i="22" s="1"/>
  <c r="G119" i="25"/>
  <c r="H119" i="25"/>
  <c r="L117" i="19"/>
  <c r="T117" i="22" s="1"/>
  <c r="M118" i="19"/>
  <c r="AI177" i="19"/>
  <c r="I177" i="19" s="1"/>
  <c r="S177" i="22" s="1"/>
  <c r="AP124" i="25" l="1"/>
  <c r="B124" i="25" s="1"/>
  <c r="BO124" i="19"/>
  <c r="D122" i="25"/>
  <c r="P123" i="19"/>
  <c r="C123" i="19" s="1"/>
  <c r="M123" i="22" s="1"/>
  <c r="BC123" i="19"/>
  <c r="U119" i="19"/>
  <c r="AH119" i="19" s="1"/>
  <c r="H119" i="19" s="1"/>
  <c r="R119" i="22" s="1"/>
  <c r="AE120" i="25"/>
  <c r="AY120" i="20" s="1"/>
  <c r="AD120" i="25"/>
  <c r="AA120" i="25"/>
  <c r="AW120" i="20" s="1"/>
  <c r="Z120" i="25"/>
  <c r="AV120" i="20" s="1"/>
  <c r="S119" i="19"/>
  <c r="AF119" i="19" s="1"/>
  <c r="F119" i="19" s="1"/>
  <c r="AS121" i="25"/>
  <c r="AB120" i="25"/>
  <c r="AC120" i="25"/>
  <c r="BH120" i="19"/>
  <c r="AL118" i="19"/>
  <c r="V119" i="22" s="1"/>
  <c r="AN118" i="19"/>
  <c r="X119" i="22" s="1"/>
  <c r="BT120" i="19" l="1"/>
  <c r="AX120" i="20"/>
  <c r="Q122" i="19"/>
  <c r="AD122" i="19" s="1"/>
  <c r="D122" i="19" s="1"/>
  <c r="N122" i="22" s="1"/>
  <c r="X123" i="25"/>
  <c r="AU123" i="20" s="1"/>
  <c r="O124" i="19"/>
  <c r="AB124" i="19" s="1"/>
  <c r="B124" i="19" s="1"/>
  <c r="L124" i="22" s="1"/>
  <c r="V125" i="25"/>
  <c r="BU119" i="19"/>
  <c r="AX120" i="25" s="1"/>
  <c r="J120" i="25" s="1"/>
  <c r="U120" i="19" s="1"/>
  <c r="AH120" i="19" s="1"/>
  <c r="H120" i="19" s="1"/>
  <c r="R120" i="22" s="1"/>
  <c r="AY120" i="25"/>
  <c r="K120" i="25" s="1"/>
  <c r="AU120" i="25"/>
  <c r="G120" i="25" s="1"/>
  <c r="BS120" i="19"/>
  <c r="E121" i="25"/>
  <c r="BE121" i="19" s="1"/>
  <c r="AW120" i="25"/>
  <c r="I120" i="25" s="1"/>
  <c r="AV120" i="25"/>
  <c r="AT120" i="25"/>
  <c r="L118" i="19"/>
  <c r="T118" i="22" s="1"/>
  <c r="N118" i="19"/>
  <c r="U118" i="22" s="1"/>
  <c r="AI178" i="19"/>
  <c r="I178" i="19" s="1"/>
  <c r="S178" i="22" s="1"/>
  <c r="AP125" i="25" l="1"/>
  <c r="AQ124" i="25"/>
  <c r="AE121" i="25"/>
  <c r="AY121" i="20" s="1"/>
  <c r="T120" i="19"/>
  <c r="AG120" i="19" s="1"/>
  <c r="G120" i="19" s="1"/>
  <c r="BG120" i="19"/>
  <c r="Y122" i="25"/>
  <c r="BQ122" i="19" s="1"/>
  <c r="AR123" i="25" s="1"/>
  <c r="R121" i="19"/>
  <c r="E121" i="19" s="1"/>
  <c r="O121" i="22" s="1"/>
  <c r="AD121" i="25"/>
  <c r="F120" i="25"/>
  <c r="BF120" i="19" s="1"/>
  <c r="H120" i="25"/>
  <c r="AB121" i="25" s="1"/>
  <c r="M119" i="19"/>
  <c r="AI179" i="19"/>
  <c r="I179" i="19" s="1"/>
  <c r="S179" i="22" s="1"/>
  <c r="BT121" i="19" l="1"/>
  <c r="AX121" i="20"/>
  <c r="AY121" i="25"/>
  <c r="K121" i="25" s="1"/>
  <c r="D123" i="25"/>
  <c r="B125" i="25"/>
  <c r="C124" i="25"/>
  <c r="Z121" i="25"/>
  <c r="AV121" i="20" s="1"/>
  <c r="S120" i="19"/>
  <c r="AF120" i="19" s="1"/>
  <c r="F120" i="19" s="1"/>
  <c r="AA121" i="25"/>
  <c r="AV121" i="25"/>
  <c r="AC121" i="25"/>
  <c r="AL119" i="19"/>
  <c r="V120" i="22" s="1"/>
  <c r="AS122" i="25" l="1"/>
  <c r="E122" i="25" s="1"/>
  <c r="BE122" i="19" s="1"/>
  <c r="BS121" i="19"/>
  <c r="AW121" i="20"/>
  <c r="O125" i="19"/>
  <c r="AB125" i="19" s="1"/>
  <c r="B125" i="19" s="1"/>
  <c r="L125" i="22" s="1"/>
  <c r="V126" i="25"/>
  <c r="BC124" i="19"/>
  <c r="P124" i="19"/>
  <c r="C124" i="19" s="1"/>
  <c r="M124" i="22" s="1"/>
  <c r="W125" i="25"/>
  <c r="Q123" i="19"/>
  <c r="AD123" i="19" s="1"/>
  <c r="D123" i="19" s="1"/>
  <c r="N123" i="22" s="1"/>
  <c r="X124" i="25"/>
  <c r="AU124" i="20" s="1"/>
  <c r="AW121" i="25"/>
  <c r="I121" i="25" s="1"/>
  <c r="AU121" i="25"/>
  <c r="G121" i="25" s="1"/>
  <c r="H121" i="25"/>
  <c r="BH121" i="19"/>
  <c r="L119" i="19"/>
  <c r="T119" i="22" s="1"/>
  <c r="AN119" i="19"/>
  <c r="X120" i="22" s="1"/>
  <c r="AT121" i="25" s="1"/>
  <c r="M120" i="19"/>
  <c r="AI180" i="19"/>
  <c r="I180" i="19" s="1"/>
  <c r="S180" i="22" s="1"/>
  <c r="BO125" i="19" l="1"/>
  <c r="AP126" i="25" s="1"/>
  <c r="AQ125" i="25"/>
  <c r="C125" i="25" s="1"/>
  <c r="BU120" i="19"/>
  <c r="AX121" i="25" s="1"/>
  <c r="J121" i="25" s="1"/>
  <c r="AD122" i="25" s="1"/>
  <c r="T121" i="19"/>
  <c r="AG121" i="19" s="1"/>
  <c r="G121" i="19" s="1"/>
  <c r="BG121" i="19"/>
  <c r="Y123" i="25"/>
  <c r="BQ123" i="19" s="1"/>
  <c r="AR124" i="25" s="1"/>
  <c r="R122" i="19"/>
  <c r="E122" i="19" s="1"/>
  <c r="O122" i="22" s="1"/>
  <c r="AC122" i="25"/>
  <c r="AW122" i="25" s="1"/>
  <c r="F121" i="25"/>
  <c r="BF121" i="19" s="1"/>
  <c r="AB122" i="25"/>
  <c r="AJ122" i="19"/>
  <c r="J122" i="19" s="1"/>
  <c r="N119" i="19"/>
  <c r="U119" i="22" s="1"/>
  <c r="AI181" i="19"/>
  <c r="I181" i="19" s="1"/>
  <c r="S181" i="22" s="1"/>
  <c r="BT122" i="19" l="1"/>
  <c r="AX122" i="20"/>
  <c r="D124" i="25"/>
  <c r="BC125" i="19"/>
  <c r="P125" i="19"/>
  <c r="C125" i="19" s="1"/>
  <c r="M125" i="22" s="1"/>
  <c r="W126" i="25"/>
  <c r="B126" i="25"/>
  <c r="U121" i="19"/>
  <c r="AH121" i="19" s="1"/>
  <c r="H121" i="19" s="1"/>
  <c r="R121" i="22" s="1"/>
  <c r="AE122" i="25"/>
  <c r="AY122" i="20" s="1"/>
  <c r="Z122" i="25"/>
  <c r="S121" i="19"/>
  <c r="AF121" i="19" s="1"/>
  <c r="F121" i="19" s="1"/>
  <c r="AA122" i="25"/>
  <c r="AW122" i="20" s="1"/>
  <c r="I122" i="25"/>
  <c r="AV122" i="25"/>
  <c r="H122" i="25" s="1"/>
  <c r="AI182" i="19"/>
  <c r="I182" i="19" s="1"/>
  <c r="S182" i="22" s="1"/>
  <c r="AS123" i="25" l="1"/>
  <c r="E123" i="25" s="1"/>
  <c r="BE123" i="19" s="1"/>
  <c r="AV122" i="20"/>
  <c r="BO126" i="19"/>
  <c r="O126" i="19"/>
  <c r="AB126" i="19" s="1"/>
  <c r="B126" i="19" s="1"/>
  <c r="L126" i="22" s="1"/>
  <c r="V127" i="25"/>
  <c r="Q124" i="19"/>
  <c r="AD124" i="19" s="1"/>
  <c r="D124" i="19" s="1"/>
  <c r="N124" i="22" s="1"/>
  <c r="X125" i="25"/>
  <c r="AU125" i="20" s="1"/>
  <c r="AY122" i="25"/>
  <c r="K122" i="25" s="1"/>
  <c r="AU122" i="25"/>
  <c r="G122" i="25" s="1"/>
  <c r="AB123" i="25" s="1"/>
  <c r="AV123" i="25" s="1"/>
  <c r="BS122" i="19"/>
  <c r="T122" i="19"/>
  <c r="BG122" i="19"/>
  <c r="Y124" i="25"/>
  <c r="BQ124" i="19" s="1"/>
  <c r="AC123" i="25"/>
  <c r="AK123" i="19"/>
  <c r="K123" i="19" s="1"/>
  <c r="AL120" i="19"/>
  <c r="V121" i="22" s="1"/>
  <c r="R123" i="19" l="1"/>
  <c r="E123" i="19" s="1"/>
  <c r="O123" i="22" s="1"/>
  <c r="AR125" i="25"/>
  <c r="AQ126" i="25"/>
  <c r="AP127" i="25"/>
  <c r="H123" i="25"/>
  <c r="AW123" i="25"/>
  <c r="L120" i="19"/>
  <c r="T120" i="22" s="1"/>
  <c r="AG122" i="19"/>
  <c r="G122" i="19" s="1"/>
  <c r="BH122" i="19"/>
  <c r="M121" i="19"/>
  <c r="AN120" i="19"/>
  <c r="X121" i="22" s="1"/>
  <c r="AT122" i="25" s="1"/>
  <c r="C126" i="25" l="1"/>
  <c r="B127" i="25"/>
  <c r="D125" i="25"/>
  <c r="BU121" i="19"/>
  <c r="AX122" i="25" s="1"/>
  <c r="F122" i="25"/>
  <c r="I123" i="25"/>
  <c r="BG123" i="19" s="1"/>
  <c r="N120" i="19"/>
  <c r="U120" i="22" s="1"/>
  <c r="Q125" i="19" l="1"/>
  <c r="AD125" i="19" s="1"/>
  <c r="D125" i="19" s="1"/>
  <c r="N125" i="22" s="1"/>
  <c r="X126" i="25"/>
  <c r="AU126" i="20" s="1"/>
  <c r="O127" i="19"/>
  <c r="AB127" i="19" s="1"/>
  <c r="B127" i="19" s="1"/>
  <c r="L127" i="22" s="1"/>
  <c r="V128" i="25"/>
  <c r="P126" i="19"/>
  <c r="C126" i="19" s="1"/>
  <c r="M126" i="22" s="1"/>
  <c r="BC126" i="19"/>
  <c r="W127" i="25"/>
  <c r="J122" i="25"/>
  <c r="S122" i="19"/>
  <c r="AF122" i="19" s="1"/>
  <c r="F122" i="19" s="1"/>
  <c r="BF122" i="19"/>
  <c r="AC124" i="25"/>
  <c r="T123" i="19"/>
  <c r="Z123" i="25"/>
  <c r="AV123" i="20" s="1"/>
  <c r="AA123" i="25"/>
  <c r="AJ123" i="19"/>
  <c r="J123" i="19" s="1"/>
  <c r="AL121" i="19"/>
  <c r="V122" i="22" s="1"/>
  <c r="BS123" i="19" l="1"/>
  <c r="AW123" i="20"/>
  <c r="BO127" i="19"/>
  <c r="AP128" i="25" s="1"/>
  <c r="AQ127" i="25"/>
  <c r="C127" i="25" s="1"/>
  <c r="U122" i="19"/>
  <c r="AH122" i="19" s="1"/>
  <c r="H122" i="19" s="1"/>
  <c r="R122" i="22" s="1"/>
  <c r="AD123" i="25"/>
  <c r="AE123" i="25"/>
  <c r="AY123" i="20" s="1"/>
  <c r="AS124" i="25"/>
  <c r="AU123" i="25"/>
  <c r="AG123" i="19"/>
  <c r="G123" i="19" s="1"/>
  <c r="BH123" i="19"/>
  <c r="L121" i="19"/>
  <c r="T121" i="22" s="1"/>
  <c r="M122" i="19"/>
  <c r="AW124" i="25" l="1"/>
  <c r="I124" i="25" s="1"/>
  <c r="BG124" i="19" s="1"/>
  <c r="AX123" i="20"/>
  <c r="B128" i="25"/>
  <c r="BC127" i="19"/>
  <c r="P127" i="19"/>
  <c r="C127" i="19" s="1"/>
  <c r="M127" i="22" s="1"/>
  <c r="W128" i="25"/>
  <c r="BT123" i="19"/>
  <c r="AY123" i="25"/>
  <c r="K123" i="25" s="1"/>
  <c r="E124" i="25"/>
  <c r="BE124" i="19" s="1"/>
  <c r="G123" i="25"/>
  <c r="AJ124" i="19"/>
  <c r="J124" i="19" s="1"/>
  <c r="AK124" i="19"/>
  <c r="K124" i="19" s="1"/>
  <c r="AN121" i="19"/>
  <c r="X122" i="22" s="1"/>
  <c r="T124" i="19" l="1"/>
  <c r="BO128" i="19"/>
  <c r="O128" i="19"/>
  <c r="AB128" i="19" s="1"/>
  <c r="B128" i="19" s="1"/>
  <c r="L128" i="22" s="1"/>
  <c r="V129" i="25"/>
  <c r="AT123" i="25"/>
  <c r="F123" i="25" s="1"/>
  <c r="BF123" i="19" s="1"/>
  <c r="BU122" i="19"/>
  <c r="AX123" i="25" s="1"/>
  <c r="Y125" i="25"/>
  <c r="BQ125" i="19" s="1"/>
  <c r="AR126" i="25" s="1"/>
  <c r="R124" i="19"/>
  <c r="E124" i="19" s="1"/>
  <c r="O124" i="22" s="1"/>
  <c r="AB124" i="25"/>
  <c r="AV124" i="25" s="1"/>
  <c r="N121" i="19"/>
  <c r="U121" i="22" s="1"/>
  <c r="AP129" i="25" l="1"/>
  <c r="D126" i="25"/>
  <c r="J123" i="25"/>
  <c r="Z124" i="25"/>
  <c r="S123" i="19"/>
  <c r="AF123" i="19" s="1"/>
  <c r="F123" i="19" s="1"/>
  <c r="AA124" i="25"/>
  <c r="H124" i="25"/>
  <c r="AK125" i="19"/>
  <c r="K125" i="19" s="1"/>
  <c r="AL122" i="19"/>
  <c r="V123" i="22" s="1"/>
  <c r="BS124" i="19" l="1"/>
  <c r="AW124" i="20"/>
  <c r="AS125" i="25"/>
  <c r="E125" i="25" s="1"/>
  <c r="BE125" i="19" s="1"/>
  <c r="AV124" i="20"/>
  <c r="Q126" i="19"/>
  <c r="AD126" i="19" s="1"/>
  <c r="D126" i="19" s="1"/>
  <c r="N126" i="22" s="1"/>
  <c r="X127" i="25"/>
  <c r="AU127" i="20" s="1"/>
  <c r="B129" i="25"/>
  <c r="U123" i="19"/>
  <c r="AH123" i="19" s="1"/>
  <c r="H123" i="19" s="1"/>
  <c r="R123" i="22" s="1"/>
  <c r="AD124" i="25"/>
  <c r="AX124" i="20" s="1"/>
  <c r="AE124" i="25"/>
  <c r="AY124" i="20" s="1"/>
  <c r="AC125" i="25"/>
  <c r="AU124" i="25"/>
  <c r="L122" i="19"/>
  <c r="T122" i="22" s="1"/>
  <c r="AN122" i="19"/>
  <c r="X123" i="22" s="1"/>
  <c r="AT124" i="25" s="1"/>
  <c r="M123" i="19"/>
  <c r="O129" i="19" l="1"/>
  <c r="AB129" i="19" s="1"/>
  <c r="B129" i="19" s="1"/>
  <c r="L129" i="22" s="1"/>
  <c r="V130" i="25"/>
  <c r="AQ128" i="25"/>
  <c r="AY124" i="25"/>
  <c r="K124" i="25" s="1"/>
  <c r="BT124" i="19"/>
  <c r="BU123" i="19"/>
  <c r="AX124" i="25" s="1"/>
  <c r="Y126" i="25"/>
  <c r="BQ126" i="19" s="1"/>
  <c r="AR127" i="25" s="1"/>
  <c r="R125" i="19"/>
  <c r="E125" i="19" s="1"/>
  <c r="O125" i="22" s="1"/>
  <c r="G124" i="25"/>
  <c r="F124" i="25"/>
  <c r="BF124" i="19" s="1"/>
  <c r="AW125" i="25"/>
  <c r="I125" i="25" s="1"/>
  <c r="BH124" i="19"/>
  <c r="AG124" i="19"/>
  <c r="G124" i="19" s="1"/>
  <c r="N122" i="19"/>
  <c r="U122" i="22" s="1"/>
  <c r="D127" i="25" l="1"/>
  <c r="C128" i="25"/>
  <c r="J124" i="25"/>
  <c r="AE125" i="25" s="1"/>
  <c r="T125" i="19"/>
  <c r="BG125" i="19"/>
  <c r="Z125" i="25"/>
  <c r="S124" i="19"/>
  <c r="AF124" i="19" s="1"/>
  <c r="F124" i="19" s="1"/>
  <c r="AA125" i="25"/>
  <c r="AB125" i="25"/>
  <c r="AJ125" i="19"/>
  <c r="J125" i="19" s="1"/>
  <c r="AL123" i="19"/>
  <c r="V124" i="22" s="1"/>
  <c r="AY125" i="25" l="1"/>
  <c r="K125" i="25" s="1"/>
  <c r="AY125" i="20"/>
  <c r="BS125" i="19"/>
  <c r="AW125" i="20"/>
  <c r="AS126" i="25"/>
  <c r="E126" i="25" s="1"/>
  <c r="BE126" i="19" s="1"/>
  <c r="AV125" i="20"/>
  <c r="BC128" i="19"/>
  <c r="P128" i="19"/>
  <c r="C128" i="19" s="1"/>
  <c r="W129" i="25"/>
  <c r="Q127" i="19"/>
  <c r="AD127" i="19" s="1"/>
  <c r="D127" i="19" s="1"/>
  <c r="N127" i="22" s="1"/>
  <c r="X128" i="25"/>
  <c r="AU128" i="20" s="1"/>
  <c r="U124" i="19"/>
  <c r="AH124" i="19" s="1"/>
  <c r="H124" i="19" s="1"/>
  <c r="R124" i="22" s="1"/>
  <c r="AD125" i="25"/>
  <c r="AX125" i="20" s="1"/>
  <c r="AV125" i="25"/>
  <c r="AU125" i="25"/>
  <c r="G125" i="25" s="1"/>
  <c r="AG125" i="19"/>
  <c r="G125" i="19" s="1"/>
  <c r="L123" i="19"/>
  <c r="T123" i="22" s="1"/>
  <c r="M124" i="19"/>
  <c r="BO129" i="19" l="1"/>
  <c r="AP130" i="25" s="1"/>
  <c r="AQ129" i="25"/>
  <c r="BT125" i="19"/>
  <c r="Y127" i="25"/>
  <c r="BQ127" i="19" s="1"/>
  <c r="AR128" i="25" s="1"/>
  <c r="R126" i="19"/>
  <c r="E126" i="19" s="1"/>
  <c r="O126" i="22" s="1"/>
  <c r="H125" i="25"/>
  <c r="AK126" i="19"/>
  <c r="K126" i="19" s="1"/>
  <c r="BH125" i="19"/>
  <c r="AN123" i="19"/>
  <c r="X124" i="22" s="1"/>
  <c r="D128" i="25" l="1"/>
  <c r="C129" i="25"/>
  <c r="B130" i="25"/>
  <c r="AT125" i="25"/>
  <c r="F125" i="25" s="1"/>
  <c r="BF125" i="19" s="1"/>
  <c r="BU124" i="19"/>
  <c r="AX125" i="25" s="1"/>
  <c r="AB126" i="25"/>
  <c r="AV126" i="25" s="1"/>
  <c r="AC126" i="25"/>
  <c r="AJ126" i="19"/>
  <c r="J126" i="19" s="1"/>
  <c r="N123" i="19"/>
  <c r="U123" i="22" s="1"/>
  <c r="AL124" i="19"/>
  <c r="V125" i="22" s="1"/>
  <c r="O130" i="19" l="1"/>
  <c r="AB130" i="19" s="1"/>
  <c r="B130" i="19" s="1"/>
  <c r="L130" i="22" s="1"/>
  <c r="V131" i="25"/>
  <c r="Q128" i="19"/>
  <c r="AD128" i="19" s="1"/>
  <c r="D128" i="19" s="1"/>
  <c r="N128" i="22" s="1"/>
  <c r="X129" i="25"/>
  <c r="AU129" i="20" s="1"/>
  <c r="P129" i="19"/>
  <c r="C129" i="19" s="1"/>
  <c r="BC129" i="19"/>
  <c r="W130" i="25"/>
  <c r="S125" i="19"/>
  <c r="AF125" i="19" s="1"/>
  <c r="F125" i="19" s="1"/>
  <c r="AA126" i="25"/>
  <c r="Z126" i="25"/>
  <c r="J125" i="25"/>
  <c r="H126" i="25"/>
  <c r="AW126" i="25"/>
  <c r="I126" i="25" s="1"/>
  <c r="M125" i="19"/>
  <c r="L124" i="19"/>
  <c r="T124" i="22" s="1"/>
  <c r="BS126" i="19" l="1"/>
  <c r="AW126" i="20"/>
  <c r="AS127" i="25"/>
  <c r="E127" i="25" s="1"/>
  <c r="BE127" i="19" s="1"/>
  <c r="AV126" i="20"/>
  <c r="AU126" i="25"/>
  <c r="G126" i="25" s="1"/>
  <c r="BO130" i="19"/>
  <c r="AP131" i="25" s="1"/>
  <c r="B131" i="25" s="1"/>
  <c r="AQ130" i="25"/>
  <c r="U125" i="19"/>
  <c r="AH125" i="19" s="1"/>
  <c r="H125" i="19" s="1"/>
  <c r="R125" i="22" s="1"/>
  <c r="AE126" i="25"/>
  <c r="AY126" i="20" s="1"/>
  <c r="AD126" i="25"/>
  <c r="AX126" i="20" s="1"/>
  <c r="T126" i="19"/>
  <c r="BG126" i="19"/>
  <c r="AC127" i="25"/>
  <c r="AB127" i="25"/>
  <c r="AV127" i="25" s="1"/>
  <c r="AK127" i="19"/>
  <c r="K127" i="19" s="1"/>
  <c r="BH126" i="19"/>
  <c r="AN124" i="19"/>
  <c r="R127" i="19" l="1"/>
  <c r="E127" i="19" s="1"/>
  <c r="O127" i="22" s="1"/>
  <c r="Y128" i="25"/>
  <c r="BQ128" i="19" s="1"/>
  <c r="AR129" i="25" s="1"/>
  <c r="D129" i="25" s="1"/>
  <c r="AW127" i="25"/>
  <c r="I127" i="25" s="1"/>
  <c r="O131" i="19"/>
  <c r="AB131" i="19" s="1"/>
  <c r="B131" i="19" s="1"/>
  <c r="L131" i="22" s="1"/>
  <c r="V132" i="25"/>
  <c r="C130" i="25"/>
  <c r="AY126" i="25"/>
  <c r="K126" i="25" s="1"/>
  <c r="BT126" i="19"/>
  <c r="H127" i="25"/>
  <c r="AJ127" i="19"/>
  <c r="J127" i="19" s="1"/>
  <c r="AG126" i="19"/>
  <c r="G126" i="19" s="1"/>
  <c r="N124" i="19"/>
  <c r="U124" i="22" s="1"/>
  <c r="X125" i="22"/>
  <c r="BC130" i="19" l="1"/>
  <c r="P130" i="19"/>
  <c r="C130" i="19" s="1"/>
  <c r="M130" i="22" s="1"/>
  <c r="W131" i="25"/>
  <c r="Q129" i="19"/>
  <c r="AD129" i="19" s="1"/>
  <c r="D129" i="19" s="1"/>
  <c r="N129" i="22" s="1"/>
  <c r="X130" i="25"/>
  <c r="AU130" i="20" s="1"/>
  <c r="AT126" i="25"/>
  <c r="F126" i="25" s="1"/>
  <c r="BU125" i="19"/>
  <c r="AX126" i="25" s="1"/>
  <c r="T127" i="19"/>
  <c r="BG127" i="19"/>
  <c r="AC128" i="25"/>
  <c r="AL125" i="19"/>
  <c r="V126" i="22" s="1"/>
  <c r="BO131" i="19" l="1"/>
  <c r="AP132" i="25" s="1"/>
  <c r="B132" i="25" s="1"/>
  <c r="AQ131" i="25"/>
  <c r="J126" i="25"/>
  <c r="S126" i="19"/>
  <c r="AF126" i="19" s="1"/>
  <c r="F126" i="19" s="1"/>
  <c r="BF126" i="19"/>
  <c r="Z127" i="25"/>
  <c r="AV127" i="20" s="1"/>
  <c r="AA127" i="25"/>
  <c r="AK128" i="19"/>
  <c r="K128" i="19" s="1"/>
  <c r="L125" i="19"/>
  <c r="T125" i="22" s="1"/>
  <c r="M126" i="19"/>
  <c r="AN125" i="19"/>
  <c r="BS127" i="19" l="1"/>
  <c r="AW127" i="20"/>
  <c r="C131" i="25"/>
  <c r="O132" i="19"/>
  <c r="AB132" i="19" s="1"/>
  <c r="B132" i="19" s="1"/>
  <c r="L132" i="22" s="1"/>
  <c r="V133" i="25"/>
  <c r="U126" i="19"/>
  <c r="AH126" i="19" s="1"/>
  <c r="H126" i="19" s="1"/>
  <c r="R126" i="22" s="1"/>
  <c r="AD127" i="25"/>
  <c r="AX127" i="20" s="1"/>
  <c r="AE127" i="25"/>
  <c r="AY127" i="20" s="1"/>
  <c r="AU127" i="25"/>
  <c r="G127" i="25" s="1"/>
  <c r="AS128" i="25"/>
  <c r="BH127" i="19"/>
  <c r="N125" i="19"/>
  <c r="U125" i="22" s="1"/>
  <c r="X126" i="22"/>
  <c r="BC131" i="19" l="1"/>
  <c r="P131" i="19"/>
  <c r="C131" i="19" s="1"/>
  <c r="M131" i="22" s="1"/>
  <c r="W132" i="25"/>
  <c r="BT127" i="19"/>
  <c r="AW128" i="25"/>
  <c r="I128" i="25" s="1"/>
  <c r="AT127" i="25"/>
  <c r="F127" i="25" s="1"/>
  <c r="BF127" i="19" s="1"/>
  <c r="BU126" i="19"/>
  <c r="AX127" i="25" s="1"/>
  <c r="AY127" i="25"/>
  <c r="K127" i="25" s="1"/>
  <c r="E128" i="25"/>
  <c r="BE128" i="19" s="1"/>
  <c r="AB128" i="25"/>
  <c r="AG127" i="19"/>
  <c r="G127" i="19" s="1"/>
  <c r="M127" i="19"/>
  <c r="AL126" i="19"/>
  <c r="V127" i="22" s="1"/>
  <c r="BO132" i="19" l="1"/>
  <c r="AP133" i="25" s="1"/>
  <c r="B133" i="25" s="1"/>
  <c r="Z128" i="25"/>
  <c r="AV128" i="20" s="1"/>
  <c r="S127" i="19"/>
  <c r="AF127" i="19" s="1"/>
  <c r="F127" i="19" s="1"/>
  <c r="AA128" i="25"/>
  <c r="BG128" i="19"/>
  <c r="T128" i="19"/>
  <c r="J127" i="25"/>
  <c r="Y129" i="25"/>
  <c r="R128" i="19"/>
  <c r="E128" i="19" s="1"/>
  <c r="O128" i="22" s="1"/>
  <c r="AV128" i="25"/>
  <c r="AJ128" i="19"/>
  <c r="J128" i="19" s="1"/>
  <c r="AN126" i="19"/>
  <c r="L126" i="19"/>
  <c r="T126" i="22" s="1"/>
  <c r="BS128" i="19" l="1"/>
  <c r="AW128" i="20"/>
  <c r="AS129" i="25"/>
  <c r="E129" i="25" s="1"/>
  <c r="BE129" i="19" s="1"/>
  <c r="BQ129" i="19"/>
  <c r="AR130" i="25" s="1"/>
  <c r="O133" i="19"/>
  <c r="AB133" i="19" s="1"/>
  <c r="B133" i="19" s="1"/>
  <c r="L133" i="22" s="1"/>
  <c r="V134" i="25"/>
  <c r="AU128" i="25"/>
  <c r="G128" i="25" s="1"/>
  <c r="U127" i="19"/>
  <c r="AH127" i="19" s="1"/>
  <c r="H127" i="19" s="1"/>
  <c r="R127" i="22" s="1"/>
  <c r="AD128" i="25"/>
  <c r="AX128" i="20" s="1"/>
  <c r="AE128" i="25"/>
  <c r="AY128" i="20" s="1"/>
  <c r="H128" i="25"/>
  <c r="AK129" i="19"/>
  <c r="K129" i="19" s="1"/>
  <c r="AG128" i="19"/>
  <c r="G128" i="19" s="1"/>
  <c r="N126" i="19"/>
  <c r="U126" i="22" s="1"/>
  <c r="X127" i="22"/>
  <c r="Y130" i="25" l="1"/>
  <c r="BQ130" i="19" s="1"/>
  <c r="R129" i="19"/>
  <c r="E129" i="19" s="1"/>
  <c r="O129" i="22" s="1"/>
  <c r="D130" i="25"/>
  <c r="AY128" i="25"/>
  <c r="K128" i="25" s="1"/>
  <c r="BT128" i="19"/>
  <c r="AT128" i="25"/>
  <c r="F128" i="25" s="1"/>
  <c r="BU127" i="19"/>
  <c r="AX128" i="25" s="1"/>
  <c r="AB129" i="25"/>
  <c r="AV129" i="25" s="1"/>
  <c r="AC129" i="25"/>
  <c r="BH128" i="19"/>
  <c r="AN127" i="19"/>
  <c r="N127" i="19" s="1"/>
  <c r="U127" i="22" s="1"/>
  <c r="Q130" i="19" l="1"/>
  <c r="AD130" i="19" s="1"/>
  <c r="D130" i="19" s="1"/>
  <c r="N130" i="22" s="1"/>
  <c r="X131" i="25"/>
  <c r="AU131" i="20" s="1"/>
  <c r="J128" i="25"/>
  <c r="AE129" i="25" s="1"/>
  <c r="AY129" i="20" s="1"/>
  <c r="S128" i="19"/>
  <c r="AF128" i="19" s="1"/>
  <c r="F128" i="19" s="1"/>
  <c r="BF128" i="19"/>
  <c r="H129" i="25"/>
  <c r="AW129" i="25"/>
  <c r="I129" i="25" s="1"/>
  <c r="Z129" i="25"/>
  <c r="AV129" i="20" s="1"/>
  <c r="AA129" i="25"/>
  <c r="AJ129" i="19"/>
  <c r="J129" i="19" s="1"/>
  <c r="X128" i="22"/>
  <c r="AL127" i="19"/>
  <c r="V128" i="22" s="1"/>
  <c r="AN128" i="19"/>
  <c r="N128" i="19" s="1"/>
  <c r="U128" i="22" s="1"/>
  <c r="BS129" i="19" l="1"/>
  <c r="AW129" i="20"/>
  <c r="BU128" i="19"/>
  <c r="AQ132" i="25"/>
  <c r="AR131" i="25"/>
  <c r="D131" i="25" s="1"/>
  <c r="Q131" i="19" s="1"/>
  <c r="AD131" i="19" s="1"/>
  <c r="D131" i="19" s="1"/>
  <c r="N131" i="22" s="1"/>
  <c r="AY129" i="25"/>
  <c r="K129" i="25" s="1"/>
  <c r="U128" i="19"/>
  <c r="AH128" i="19" s="1"/>
  <c r="H128" i="19" s="1"/>
  <c r="R128" i="22" s="1"/>
  <c r="AD129" i="25"/>
  <c r="AX129" i="20" s="1"/>
  <c r="T129" i="19"/>
  <c r="BG129" i="19"/>
  <c r="AC130" i="25"/>
  <c r="AU129" i="25"/>
  <c r="G129" i="25" s="1"/>
  <c r="AS130" i="25"/>
  <c r="AT129" i="25"/>
  <c r="BH129" i="19"/>
  <c r="M128" i="19"/>
  <c r="X129" i="22"/>
  <c r="L127" i="19"/>
  <c r="T127" i="22" s="1"/>
  <c r="C132" i="25" l="1"/>
  <c r="AW130" i="25"/>
  <c r="I130" i="25" s="1"/>
  <c r="X132" i="25"/>
  <c r="AU132" i="20" s="1"/>
  <c r="BT129" i="19"/>
  <c r="AX129" i="25"/>
  <c r="J129" i="25" s="1"/>
  <c r="AD130" i="25" s="1"/>
  <c r="F129" i="25"/>
  <c r="BF129" i="19" s="1"/>
  <c r="E130" i="25"/>
  <c r="BE130" i="19" s="1"/>
  <c r="AB130" i="25"/>
  <c r="AV130" i="25" s="1"/>
  <c r="H130" i="25" s="1"/>
  <c r="AJ130" i="19"/>
  <c r="J130" i="19" s="1"/>
  <c r="AK130" i="19"/>
  <c r="K130" i="19" s="1"/>
  <c r="AG129" i="19"/>
  <c r="G129" i="19" s="1"/>
  <c r="BT130" i="19" l="1"/>
  <c r="AX130" i="20"/>
  <c r="P132" i="19"/>
  <c r="C132" i="19" s="1"/>
  <c r="M132" i="22" s="1"/>
  <c r="BC132" i="19"/>
  <c r="W133" i="25"/>
  <c r="U129" i="19"/>
  <c r="AH129" i="19" s="1"/>
  <c r="H129" i="19" s="1"/>
  <c r="R129" i="22" s="1"/>
  <c r="AE130" i="25"/>
  <c r="AY130" i="20" s="1"/>
  <c r="AA130" i="25"/>
  <c r="AW130" i="20" s="1"/>
  <c r="T130" i="19"/>
  <c r="BG130" i="19"/>
  <c r="Y131" i="25"/>
  <c r="BQ131" i="19" s="1"/>
  <c r="AR132" i="25" s="1"/>
  <c r="R130" i="19"/>
  <c r="E130" i="19" s="1"/>
  <c r="O130" i="22" s="1"/>
  <c r="Z130" i="25"/>
  <c r="AV130" i="20" s="1"/>
  <c r="S129" i="19"/>
  <c r="AF129" i="19" s="1"/>
  <c r="F129" i="19" s="1"/>
  <c r="AC131" i="25"/>
  <c r="AN129" i="19"/>
  <c r="X130" i="22" s="1"/>
  <c r="D132" i="25" l="1"/>
  <c r="BO133" i="19"/>
  <c r="AP134" i="25" s="1"/>
  <c r="B134" i="25" s="1"/>
  <c r="AQ133" i="25"/>
  <c r="C133" i="25" s="1"/>
  <c r="AS131" i="25"/>
  <c r="E131" i="25" s="1"/>
  <c r="BE131" i="19" s="1"/>
  <c r="AY130" i="25"/>
  <c r="K130" i="25" s="1"/>
  <c r="AU130" i="25"/>
  <c r="G130" i="25" s="1"/>
  <c r="AB131" i="25" s="1"/>
  <c r="BS130" i="19"/>
  <c r="AW131" i="25"/>
  <c r="AK131" i="19"/>
  <c r="K131" i="19" s="1"/>
  <c r="AG130" i="19"/>
  <c r="G130" i="19" s="1"/>
  <c r="AL128" i="19"/>
  <c r="V129" i="22" s="1"/>
  <c r="N129" i="19"/>
  <c r="U129" i="22" s="1"/>
  <c r="O134" i="19" l="1"/>
  <c r="AB134" i="19" s="1"/>
  <c r="B134" i="19" s="1"/>
  <c r="L134" i="22" s="1"/>
  <c r="V135" i="25"/>
  <c r="BC133" i="19"/>
  <c r="P133" i="19"/>
  <c r="C133" i="19" s="1"/>
  <c r="M133" i="22" s="1"/>
  <c r="Y132" i="25"/>
  <c r="BQ132" i="19" s="1"/>
  <c r="Q132" i="19"/>
  <c r="AD132" i="19" s="1"/>
  <c r="D132" i="19" s="1"/>
  <c r="N132" i="22" s="1"/>
  <c r="X133" i="25"/>
  <c r="AU133" i="20" s="1"/>
  <c r="R131" i="19"/>
  <c r="E131" i="19" s="1"/>
  <c r="O131" i="22" s="1"/>
  <c r="W134" i="25"/>
  <c r="AT130" i="25"/>
  <c r="F130" i="25" s="1"/>
  <c r="BU129" i="19"/>
  <c r="AX130" i="25" s="1"/>
  <c r="J130" i="25" s="1"/>
  <c r="AV131" i="25"/>
  <c r="I131" i="25"/>
  <c r="L128" i="19"/>
  <c r="T128" i="22" s="1"/>
  <c r="BH130" i="19"/>
  <c r="M129" i="19"/>
  <c r="AR133" i="25" l="1"/>
  <c r="BO134" i="19"/>
  <c r="AP135" i="25" s="1"/>
  <c r="B135" i="25" s="1"/>
  <c r="O135" i="19" s="1"/>
  <c r="AB135" i="19" s="1"/>
  <c r="B135" i="19" s="1"/>
  <c r="L135" i="22" s="1"/>
  <c r="AQ134" i="25"/>
  <c r="U130" i="19"/>
  <c r="AH130" i="19" s="1"/>
  <c r="H130" i="19" s="1"/>
  <c r="R130" i="22" s="1"/>
  <c r="AD131" i="25"/>
  <c r="AE131" i="25"/>
  <c r="AY131" i="20" s="1"/>
  <c r="S130" i="19"/>
  <c r="AF130" i="19" s="1"/>
  <c r="F130" i="19" s="1"/>
  <c r="BF130" i="19"/>
  <c r="T131" i="19"/>
  <c r="BG131" i="19"/>
  <c r="H131" i="25"/>
  <c r="AC132" i="25" s="1"/>
  <c r="Z131" i="25"/>
  <c r="AV131" i="20" s="1"/>
  <c r="AA131" i="25"/>
  <c r="BH131" i="19"/>
  <c r="BT131" i="19" l="1"/>
  <c r="AX131" i="20"/>
  <c r="BS131" i="19"/>
  <c r="AW131" i="20"/>
  <c r="V136" i="25"/>
  <c r="C134" i="25"/>
  <c r="D133" i="25"/>
  <c r="AY131" i="25"/>
  <c r="K131" i="25" s="1"/>
  <c r="AU131" i="25"/>
  <c r="AS132" i="25"/>
  <c r="E132" i="25" s="1"/>
  <c r="BE132" i="19" s="1"/>
  <c r="AW132" i="25"/>
  <c r="I132" i="25" s="1"/>
  <c r="AG131" i="19"/>
  <c r="G131" i="19" s="1"/>
  <c r="AJ131" i="19"/>
  <c r="J131" i="19" s="1"/>
  <c r="AL129" i="19"/>
  <c r="V130" i="22" s="1"/>
  <c r="AN130" i="19"/>
  <c r="P134" i="19" l="1"/>
  <c r="C134" i="19" s="1"/>
  <c r="M134" i="22" s="1"/>
  <c r="BC134" i="19"/>
  <c r="W135" i="25"/>
  <c r="Q133" i="19"/>
  <c r="AD133" i="19" s="1"/>
  <c r="D133" i="19" s="1"/>
  <c r="N133" i="22" s="1"/>
  <c r="X134" i="25"/>
  <c r="AU134" i="20" s="1"/>
  <c r="AT131" i="25"/>
  <c r="F131" i="25" s="1"/>
  <c r="BF131" i="19" s="1"/>
  <c r="BU130" i="19"/>
  <c r="AX131" i="25" s="1"/>
  <c r="J131" i="25" s="1"/>
  <c r="T132" i="19"/>
  <c r="BG132" i="19"/>
  <c r="Y133" i="25"/>
  <c r="BQ133" i="19" s="1"/>
  <c r="R132" i="19"/>
  <c r="E132" i="19" s="1"/>
  <c r="O132" i="22" s="1"/>
  <c r="G131" i="25"/>
  <c r="L129" i="19"/>
  <c r="T129" i="22" s="1"/>
  <c r="M130" i="19"/>
  <c r="N130" i="19"/>
  <c r="U130" i="22" s="1"/>
  <c r="X131" i="22"/>
  <c r="AR134" i="25" l="1"/>
  <c r="D134" i="25" s="1"/>
  <c r="Q134" i="19" s="1"/>
  <c r="AD134" i="19" s="1"/>
  <c r="D134" i="19" s="1"/>
  <c r="N134" i="22" s="1"/>
  <c r="BO135" i="19"/>
  <c r="AP136" i="25" s="1"/>
  <c r="AQ135" i="25"/>
  <c r="C135" i="25" s="1"/>
  <c r="W136" i="25" s="1"/>
  <c r="AD132" i="25"/>
  <c r="AX132" i="20" s="1"/>
  <c r="U131" i="19"/>
  <c r="AH131" i="19" s="1"/>
  <c r="H131" i="19" s="1"/>
  <c r="R131" i="22" s="1"/>
  <c r="AE132" i="25"/>
  <c r="Z132" i="25"/>
  <c r="S131" i="19"/>
  <c r="AF131" i="19" s="1"/>
  <c r="F131" i="19" s="1"/>
  <c r="AA132" i="25"/>
  <c r="AB132" i="25"/>
  <c r="AV132" i="25" s="1"/>
  <c r="BH132" i="19"/>
  <c r="AK132" i="19"/>
  <c r="K132" i="19" s="1"/>
  <c r="AJ132" i="19"/>
  <c r="J132" i="19" s="1"/>
  <c r="AG132" i="19"/>
  <c r="G132" i="19" s="1"/>
  <c r="AY132" i="25" l="1"/>
  <c r="K132" i="25" s="1"/>
  <c r="AY132" i="20"/>
  <c r="BS132" i="19"/>
  <c r="AW132" i="20"/>
  <c r="AS133" i="25"/>
  <c r="E133" i="25" s="1"/>
  <c r="BE133" i="19" s="1"/>
  <c r="AV132" i="20"/>
  <c r="B136" i="25"/>
  <c r="BC135" i="19"/>
  <c r="P135" i="19"/>
  <c r="C135" i="19" s="1"/>
  <c r="X135" i="25"/>
  <c r="BO136" i="19"/>
  <c r="BT132" i="19"/>
  <c r="H132" i="25"/>
  <c r="AU132" i="25"/>
  <c r="AL130" i="19"/>
  <c r="V131" i="22" s="1"/>
  <c r="BU131" i="19" s="1"/>
  <c r="AX132" i="25" s="1"/>
  <c r="Y134" i="25" l="1"/>
  <c r="BQ134" i="19" s="1"/>
  <c r="R133" i="19"/>
  <c r="E133" i="19" s="1"/>
  <c r="O133" i="22" s="1"/>
  <c r="AQ136" i="25"/>
  <c r="C136" i="25" s="1"/>
  <c r="BC136" i="19" s="1"/>
  <c r="AU135" i="20"/>
  <c r="AR135" i="25"/>
  <c r="D135" i="25" s="1"/>
  <c r="O136" i="19"/>
  <c r="AB136" i="19" s="1"/>
  <c r="B136" i="19" s="1"/>
  <c r="L136" i="22" s="1"/>
  <c r="V137" i="25"/>
  <c r="J132" i="25"/>
  <c r="AT132" i="25"/>
  <c r="AC133" i="25"/>
  <c r="G132" i="25"/>
  <c r="AB133" i="25" s="1"/>
  <c r="AK133" i="19"/>
  <c r="K133" i="19" s="1"/>
  <c r="AJ133" i="19"/>
  <c r="J133" i="19" s="1"/>
  <c r="L130" i="19"/>
  <c r="T130" i="22" s="1"/>
  <c r="M131" i="19"/>
  <c r="P136" i="19" l="1"/>
  <c r="C136" i="19" s="1"/>
  <c r="M136" i="22" s="1"/>
  <c r="W137" i="25"/>
  <c r="BO137" i="19" s="1"/>
  <c r="Q135" i="19"/>
  <c r="AD135" i="19" s="1"/>
  <c r="D135" i="19" s="1"/>
  <c r="N135" i="22" s="1"/>
  <c r="X136" i="25"/>
  <c r="AU136" i="20" s="1"/>
  <c r="AP137" i="25"/>
  <c r="B137" i="25" s="1"/>
  <c r="U132" i="19"/>
  <c r="AH132" i="19" s="1"/>
  <c r="H132" i="19" s="1"/>
  <c r="R132" i="22" s="1"/>
  <c r="AD133" i="25"/>
  <c r="AX133" i="20" s="1"/>
  <c r="AE133" i="25"/>
  <c r="AY133" i="20" s="1"/>
  <c r="AV133" i="25"/>
  <c r="F132" i="25"/>
  <c r="BF132" i="19" s="1"/>
  <c r="AW133" i="25"/>
  <c r="BH133" i="19"/>
  <c r="AN131" i="19"/>
  <c r="X132" i="22" s="1"/>
  <c r="AQ137" i="25" l="1"/>
  <c r="O137" i="19"/>
  <c r="AB137" i="19" s="1"/>
  <c r="B137" i="19" s="1"/>
  <c r="L137" i="22" s="1"/>
  <c r="V138" i="25"/>
  <c r="AP138" i="25" s="1"/>
  <c r="AY133" i="25"/>
  <c r="K133" i="25" s="1"/>
  <c r="C137" i="25"/>
  <c r="BT133" i="19"/>
  <c r="Z133" i="25"/>
  <c r="S132" i="19"/>
  <c r="AF132" i="19" s="1"/>
  <c r="F132" i="19" s="1"/>
  <c r="I133" i="25"/>
  <c r="AA133" i="25"/>
  <c r="H133" i="25"/>
  <c r="AK134" i="19"/>
  <c r="K134" i="19" s="1"/>
  <c r="AJ134" i="19"/>
  <c r="J134" i="19" s="1"/>
  <c r="N131" i="19"/>
  <c r="U131" i="22" s="1"/>
  <c r="AL131" i="19"/>
  <c r="V132" i="22" s="1"/>
  <c r="BU132" i="19" s="1"/>
  <c r="AX133" i="25" s="1"/>
  <c r="J133" i="25" s="1"/>
  <c r="M132" i="19"/>
  <c r="BS133" i="19" l="1"/>
  <c r="AW133" i="20"/>
  <c r="AS134" i="25"/>
  <c r="E134" i="25" s="1"/>
  <c r="BE134" i="19" s="1"/>
  <c r="AV133" i="20"/>
  <c r="B138" i="25"/>
  <c r="P137" i="19"/>
  <c r="C137" i="19" s="1"/>
  <c r="M137" i="22" s="1"/>
  <c r="BC137" i="19"/>
  <c r="W138" i="25"/>
  <c r="U133" i="19"/>
  <c r="AH133" i="19" s="1"/>
  <c r="H133" i="19" s="1"/>
  <c r="R133" i="22" s="1"/>
  <c r="AE134" i="25"/>
  <c r="AY134" i="20" s="1"/>
  <c r="AT133" i="25"/>
  <c r="F133" i="25" s="1"/>
  <c r="BF133" i="19" s="1"/>
  <c r="T133" i="19"/>
  <c r="AG133" i="19" s="1"/>
  <c r="G133" i="19" s="1"/>
  <c r="BG133" i="19"/>
  <c r="AU133" i="25"/>
  <c r="G133" i="25" s="1"/>
  <c r="AC134" i="25"/>
  <c r="AW134" i="25" s="1"/>
  <c r="AD134" i="25"/>
  <c r="AK135" i="19"/>
  <c r="K135" i="19" s="1"/>
  <c r="L131" i="19"/>
  <c r="T131" i="22" s="1"/>
  <c r="BT134" i="19" l="1"/>
  <c r="AX134" i="20"/>
  <c r="AY134" i="25"/>
  <c r="K134" i="25" s="1"/>
  <c r="O138" i="19"/>
  <c r="AB138" i="19" s="1"/>
  <c r="B138" i="19" s="1"/>
  <c r="L138" i="22" s="1"/>
  <c r="V139" i="25"/>
  <c r="BO138" i="19"/>
  <c r="Y135" i="25"/>
  <c r="BQ135" i="19" s="1"/>
  <c r="AR136" i="25" s="1"/>
  <c r="R134" i="19"/>
  <c r="E134" i="19" s="1"/>
  <c r="O134" i="22" s="1"/>
  <c r="Z134" i="25"/>
  <c r="AV134" i="20" s="1"/>
  <c r="S133" i="19"/>
  <c r="AF133" i="19" s="1"/>
  <c r="F133" i="19" s="1"/>
  <c r="AA134" i="25"/>
  <c r="AB134" i="25"/>
  <c r="AV134" i="25" s="1"/>
  <c r="I134" i="25"/>
  <c r="BH134" i="19"/>
  <c r="AN132" i="19"/>
  <c r="X133" i="22" s="1"/>
  <c r="BS134" i="19" l="1"/>
  <c r="AW134" i="20"/>
  <c r="AS135" i="25"/>
  <c r="E135" i="25" s="1"/>
  <c r="BE135" i="19" s="1"/>
  <c r="AU134" i="25"/>
  <c r="G134" i="25" s="1"/>
  <c r="D136" i="25"/>
  <c r="AP139" i="25"/>
  <c r="B139" i="25" s="1"/>
  <c r="T134" i="19"/>
  <c r="AG134" i="19" s="1"/>
  <c r="G134" i="19" s="1"/>
  <c r="BG134" i="19"/>
  <c r="H134" i="25"/>
  <c r="AC135" i="25" s="1"/>
  <c r="AW135" i="25" s="1"/>
  <c r="AJ135" i="19"/>
  <c r="J135" i="19" s="1"/>
  <c r="N132" i="19"/>
  <c r="U132" i="22" s="1"/>
  <c r="R135" i="19" l="1"/>
  <c r="E135" i="19" s="1"/>
  <c r="O135" i="22" s="1"/>
  <c r="Y136" i="25"/>
  <c r="BQ136" i="19" s="1"/>
  <c r="O139" i="19"/>
  <c r="AB139" i="19" s="1"/>
  <c r="B139" i="19" s="1"/>
  <c r="L139" i="22" s="1"/>
  <c r="V140" i="25"/>
  <c r="Q136" i="19"/>
  <c r="AD136" i="19" s="1"/>
  <c r="D136" i="19" s="1"/>
  <c r="N136" i="22" s="1"/>
  <c r="X137" i="25"/>
  <c r="AU137" i="20" s="1"/>
  <c r="I135" i="25"/>
  <c r="AB135" i="25"/>
  <c r="AL132" i="19"/>
  <c r="V133" i="22" s="1"/>
  <c r="AQ138" i="25" l="1"/>
  <c r="C138" i="25" s="1"/>
  <c r="AR137" i="25"/>
  <c r="AT134" i="25"/>
  <c r="F134" i="25" s="1"/>
  <c r="BU133" i="19"/>
  <c r="AX134" i="25" s="1"/>
  <c r="J134" i="25" s="1"/>
  <c r="T135" i="19"/>
  <c r="AG135" i="19" s="1"/>
  <c r="G135" i="19" s="1"/>
  <c r="BG135" i="19"/>
  <c r="AV135" i="25"/>
  <c r="H135" i="25" s="1"/>
  <c r="AK136" i="19"/>
  <c r="K136" i="19" s="1"/>
  <c r="BH135" i="19"/>
  <c r="L132" i="19"/>
  <c r="T132" i="22" s="1"/>
  <c r="AN133" i="19"/>
  <c r="X134" i="22" s="1"/>
  <c r="M133" i="19"/>
  <c r="D137" i="25" l="1"/>
  <c r="BC138" i="19"/>
  <c r="P138" i="19"/>
  <c r="C138" i="19" s="1"/>
  <c r="M138" i="22" s="1"/>
  <c r="W139" i="25"/>
  <c r="U134" i="19"/>
  <c r="AH134" i="19" s="1"/>
  <c r="H134" i="19" s="1"/>
  <c r="R134" i="22" s="1"/>
  <c r="AD135" i="25"/>
  <c r="AE135" i="25"/>
  <c r="AY135" i="20" s="1"/>
  <c r="S134" i="19"/>
  <c r="AF134" i="19" s="1"/>
  <c r="F134" i="19" s="1"/>
  <c r="BF134" i="19"/>
  <c r="AC136" i="25"/>
  <c r="Z135" i="25"/>
  <c r="AV135" i="20" s="1"/>
  <c r="AA135" i="25"/>
  <c r="N133" i="19"/>
  <c r="U133" i="22" s="1"/>
  <c r="BT135" i="19" l="1"/>
  <c r="AX135" i="20"/>
  <c r="BS135" i="19"/>
  <c r="AW135" i="20"/>
  <c r="BO139" i="19"/>
  <c r="AP140" i="25" s="1"/>
  <c r="Q137" i="19"/>
  <c r="AD137" i="19" s="1"/>
  <c r="D137" i="19" s="1"/>
  <c r="N137" i="22" s="1"/>
  <c r="X138" i="25"/>
  <c r="AU138" i="20" s="1"/>
  <c r="AY135" i="25"/>
  <c r="K135" i="25" s="1"/>
  <c r="AS136" i="25"/>
  <c r="E136" i="25" s="1"/>
  <c r="BE136" i="19" s="1"/>
  <c r="AW136" i="25"/>
  <c r="AU135" i="25"/>
  <c r="G135" i="25" s="1"/>
  <c r="AL133" i="19"/>
  <c r="V134" i="22" s="1"/>
  <c r="AJ136" i="19"/>
  <c r="J136" i="19" s="1"/>
  <c r="B140" i="25" l="1"/>
  <c r="AQ139" i="25"/>
  <c r="AT135" i="25"/>
  <c r="F135" i="25" s="1"/>
  <c r="BF135" i="19" s="1"/>
  <c r="BU134" i="19"/>
  <c r="AX135" i="25" s="1"/>
  <c r="J135" i="25" s="1"/>
  <c r="Y137" i="25"/>
  <c r="BQ137" i="19" s="1"/>
  <c r="AR138" i="25" s="1"/>
  <c r="R136" i="19"/>
  <c r="E136" i="19" s="1"/>
  <c r="O136" i="22" s="1"/>
  <c r="AB136" i="25"/>
  <c r="I136" i="25"/>
  <c r="M134" i="19"/>
  <c r="L133" i="19"/>
  <c r="T133" i="22" s="1"/>
  <c r="C139" i="25" l="1"/>
  <c r="S135" i="19"/>
  <c r="AF135" i="19" s="1"/>
  <c r="F135" i="19" s="1"/>
  <c r="Z136" i="25"/>
  <c r="AV136" i="20" s="1"/>
  <c r="O140" i="19"/>
  <c r="AB140" i="19" s="1"/>
  <c r="B140" i="19" s="1"/>
  <c r="L140" i="22" s="1"/>
  <c r="V141" i="25"/>
  <c r="D138" i="25"/>
  <c r="AA136" i="25"/>
  <c r="AD136" i="25"/>
  <c r="AX136" i="20" s="1"/>
  <c r="U135" i="19"/>
  <c r="AH135" i="19" s="1"/>
  <c r="H135" i="19" s="1"/>
  <c r="R135" i="22" s="1"/>
  <c r="AE136" i="25"/>
  <c r="AY136" i="20" s="1"/>
  <c r="AS137" i="25"/>
  <c r="E137" i="25" s="1"/>
  <c r="BE137" i="19" s="1"/>
  <c r="T136" i="19"/>
  <c r="BG136" i="19"/>
  <c r="AV136" i="25"/>
  <c r="H136" i="25" s="1"/>
  <c r="BH136" i="19"/>
  <c r="AK137" i="19"/>
  <c r="K137" i="19" s="1"/>
  <c r="AN134" i="19"/>
  <c r="X135" i="22" s="1"/>
  <c r="BS136" i="19" l="1"/>
  <c r="AW136" i="20"/>
  <c r="AU136" i="25"/>
  <c r="G136" i="25" s="1"/>
  <c r="AB137" i="25" s="1"/>
  <c r="BC139" i="19"/>
  <c r="P139" i="19"/>
  <c r="C139" i="19" s="1"/>
  <c r="M139" i="22" s="1"/>
  <c r="W140" i="25"/>
  <c r="Q138" i="19"/>
  <c r="AD138" i="19" s="1"/>
  <c r="D138" i="19" s="1"/>
  <c r="N138" i="22" s="1"/>
  <c r="X139" i="25"/>
  <c r="AU139" i="20" s="1"/>
  <c r="AY136" i="25"/>
  <c r="K136" i="25" s="1"/>
  <c r="BT136" i="19"/>
  <c r="R137" i="19"/>
  <c r="E137" i="19" s="1"/>
  <c r="O137" i="22" s="1"/>
  <c r="Y138" i="25"/>
  <c r="BQ138" i="19" s="1"/>
  <c r="AC137" i="25"/>
  <c r="AG136" i="19"/>
  <c r="G136" i="19" s="1"/>
  <c r="N134" i="19"/>
  <c r="U134" i="22" s="1"/>
  <c r="AR139" i="25" l="1"/>
  <c r="BO140" i="19"/>
  <c r="AP141" i="25" s="1"/>
  <c r="AQ140" i="25"/>
  <c r="AW137" i="25"/>
  <c r="AV137" i="25"/>
  <c r="H137" i="25" s="1"/>
  <c r="AJ137" i="19"/>
  <c r="J137" i="19" s="1"/>
  <c r="AL134" i="19"/>
  <c r="V135" i="22" s="1"/>
  <c r="BU135" i="19" s="1"/>
  <c r="AX136" i="25" s="1"/>
  <c r="B141" i="25" l="1"/>
  <c r="C140" i="25"/>
  <c r="D139" i="25"/>
  <c r="J136" i="25"/>
  <c r="I137" i="25"/>
  <c r="AT136" i="25"/>
  <c r="AJ138" i="19"/>
  <c r="J138" i="19" s="1"/>
  <c r="AN135" i="19"/>
  <c r="X136" i="22" s="1"/>
  <c r="L134" i="19"/>
  <c r="T134" i="22" s="1"/>
  <c r="M135" i="19"/>
  <c r="Q139" i="19" l="1"/>
  <c r="AD139" i="19" s="1"/>
  <c r="D139" i="19" s="1"/>
  <c r="N139" i="22" s="1"/>
  <c r="X140" i="25"/>
  <c r="AU140" i="20" s="1"/>
  <c r="O141" i="19"/>
  <c r="AB141" i="19" s="1"/>
  <c r="B141" i="19" s="1"/>
  <c r="L141" i="22" s="1"/>
  <c r="V142" i="25"/>
  <c r="BC140" i="19"/>
  <c r="P140" i="19"/>
  <c r="C140" i="19" s="1"/>
  <c r="M140" i="22" s="1"/>
  <c r="W141" i="25"/>
  <c r="U136" i="19"/>
  <c r="AH136" i="19" s="1"/>
  <c r="H136" i="19" s="1"/>
  <c r="R136" i="22" s="1"/>
  <c r="AD137" i="25"/>
  <c r="AX137" i="20" s="1"/>
  <c r="AE137" i="25"/>
  <c r="AY137" i="20" s="1"/>
  <c r="T137" i="19"/>
  <c r="AG137" i="19" s="1"/>
  <c r="G137" i="19" s="1"/>
  <c r="BG137" i="19"/>
  <c r="F136" i="25"/>
  <c r="AC138" i="25"/>
  <c r="AK138" i="19"/>
  <c r="K138" i="19" s="1"/>
  <c r="N135" i="19"/>
  <c r="U135" i="22" s="1"/>
  <c r="BO141" i="19" l="1"/>
  <c r="AP142" i="25" s="1"/>
  <c r="B142" i="25" s="1"/>
  <c r="AQ141" i="25"/>
  <c r="BT137" i="19"/>
  <c r="S136" i="19"/>
  <c r="AF136" i="19" s="1"/>
  <c r="F136" i="19" s="1"/>
  <c r="BH137" i="19" s="1"/>
  <c r="BF136" i="19"/>
  <c r="AY137" i="25" s="1"/>
  <c r="AW138" i="25"/>
  <c r="I138" i="25" s="1"/>
  <c r="Z137" i="25"/>
  <c r="AV137" i="20" s="1"/>
  <c r="AA137" i="25"/>
  <c r="BS137" i="19" l="1"/>
  <c r="AW137" i="20"/>
  <c r="O142" i="19"/>
  <c r="AB142" i="19" s="1"/>
  <c r="B142" i="19" s="1"/>
  <c r="L142" i="22" s="1"/>
  <c r="V143" i="25"/>
  <c r="C141" i="25"/>
  <c r="K137" i="25"/>
  <c r="T138" i="19"/>
  <c r="BG138" i="19"/>
  <c r="AU137" i="25"/>
  <c r="AS138" i="25"/>
  <c r="AK139" i="19"/>
  <c r="K139" i="19" s="1"/>
  <c r="BH138" i="19"/>
  <c r="AL135" i="19"/>
  <c r="V136" i="22" s="1"/>
  <c r="BC141" i="19" l="1"/>
  <c r="P141" i="19"/>
  <c r="C141" i="19" s="1"/>
  <c r="M141" i="22" s="1"/>
  <c r="W142" i="25"/>
  <c r="AT137" i="25"/>
  <c r="F137" i="25" s="1"/>
  <c r="BF137" i="19" s="1"/>
  <c r="BU136" i="19"/>
  <c r="AX137" i="25" s="1"/>
  <c r="E138" i="25"/>
  <c r="BE138" i="19" s="1"/>
  <c r="G137" i="25"/>
  <c r="M136" i="19"/>
  <c r="AN136" i="19"/>
  <c r="X137" i="22" s="1"/>
  <c r="L135" i="19"/>
  <c r="T135" i="22" s="1"/>
  <c r="BO142" i="19" l="1"/>
  <c r="AP143" i="25" s="1"/>
  <c r="J137" i="25"/>
  <c r="Y139" i="25"/>
  <c r="BQ139" i="19" s="1"/>
  <c r="AR140" i="25" s="1"/>
  <c r="R138" i="19"/>
  <c r="E138" i="19" s="1"/>
  <c r="O138" i="22" s="1"/>
  <c r="Z138" i="25"/>
  <c r="AV138" i="20" s="1"/>
  <c r="S137" i="19"/>
  <c r="AF137" i="19" s="1"/>
  <c r="F137" i="19" s="1"/>
  <c r="AA138" i="25"/>
  <c r="AB138" i="25"/>
  <c r="AJ139" i="19"/>
  <c r="J139" i="19" s="1"/>
  <c r="N136" i="19"/>
  <c r="U136" i="22" s="1"/>
  <c r="BS138" i="19" l="1"/>
  <c r="AW138" i="20"/>
  <c r="D140" i="25"/>
  <c r="B143" i="25"/>
  <c r="U137" i="19"/>
  <c r="AH137" i="19" s="1"/>
  <c r="H137" i="19" s="1"/>
  <c r="R137" i="22" s="1"/>
  <c r="AD138" i="25"/>
  <c r="AX138" i="20" s="1"/>
  <c r="AE138" i="25"/>
  <c r="AY138" i="20" s="1"/>
  <c r="AS139" i="25"/>
  <c r="E139" i="25" s="1"/>
  <c r="AV138" i="25"/>
  <c r="H138" i="25" s="1"/>
  <c r="AU138" i="25"/>
  <c r="AG138" i="19"/>
  <c r="G138" i="19" s="1"/>
  <c r="O143" i="19" l="1"/>
  <c r="AB143" i="19" s="1"/>
  <c r="B143" i="19" s="1"/>
  <c r="L143" i="22" s="1"/>
  <c r="V144" i="25"/>
  <c r="Q140" i="19"/>
  <c r="AD140" i="19" s="1"/>
  <c r="D140" i="19" s="1"/>
  <c r="N140" i="22" s="1"/>
  <c r="X141" i="25"/>
  <c r="AU141" i="20" s="1"/>
  <c r="AY138" i="25"/>
  <c r="K138" i="25" s="1"/>
  <c r="BT138" i="19"/>
  <c r="Y140" i="25"/>
  <c r="BQ140" i="19" s="1"/>
  <c r="BE139" i="19"/>
  <c r="R139" i="19"/>
  <c r="E139" i="19" s="1"/>
  <c r="O139" i="22" s="1"/>
  <c r="AC139" i="25"/>
  <c r="G138" i="25"/>
  <c r="AK140" i="19"/>
  <c r="K140" i="19" s="1"/>
  <c r="AL136" i="19"/>
  <c r="V137" i="22" s="1"/>
  <c r="AQ142" i="25" l="1"/>
  <c r="C142" i="25" s="1"/>
  <c r="AR141" i="25"/>
  <c r="AT138" i="25"/>
  <c r="F138" i="25" s="1"/>
  <c r="BU137" i="19"/>
  <c r="AX138" i="25" s="1"/>
  <c r="AW139" i="25"/>
  <c r="I139" i="25" s="1"/>
  <c r="AB139" i="25"/>
  <c r="BH139" i="19"/>
  <c r="L136" i="19"/>
  <c r="T136" i="22" s="1"/>
  <c r="AN137" i="19"/>
  <c r="X138" i="22" s="1"/>
  <c r="M137" i="19"/>
  <c r="D141" i="25" l="1"/>
  <c r="P142" i="19"/>
  <c r="C142" i="19" s="1"/>
  <c r="M142" i="22" s="1"/>
  <c r="BC142" i="19"/>
  <c r="W143" i="25"/>
  <c r="J138" i="25"/>
  <c r="AA139" i="25"/>
  <c r="BF138" i="19"/>
  <c r="T139" i="19"/>
  <c r="AG139" i="19" s="1"/>
  <c r="G139" i="19" s="1"/>
  <c r="BG139" i="19"/>
  <c r="Z139" i="25"/>
  <c r="S138" i="19"/>
  <c r="AF138" i="19" s="1"/>
  <c r="F138" i="19" s="1"/>
  <c r="AV139" i="25"/>
  <c r="H139" i="25" s="1"/>
  <c r="AC140" i="25" s="1"/>
  <c r="N137" i="19"/>
  <c r="U137" i="22" s="1"/>
  <c r="BS139" i="19" l="1"/>
  <c r="AW139" i="20"/>
  <c r="AS140" i="25"/>
  <c r="E140" i="25" s="1"/>
  <c r="BE140" i="19" s="1"/>
  <c r="AV139" i="20"/>
  <c r="BO143" i="19"/>
  <c r="AP144" i="25" s="1"/>
  <c r="Q141" i="19"/>
  <c r="AD141" i="19" s="1"/>
  <c r="D141" i="19" s="1"/>
  <c r="N141" i="22" s="1"/>
  <c r="X142" i="25"/>
  <c r="U138" i="19"/>
  <c r="AH138" i="19" s="1"/>
  <c r="H138" i="19" s="1"/>
  <c r="R138" i="22" s="1"/>
  <c r="AD139" i="25"/>
  <c r="AE139" i="25"/>
  <c r="AY139" i="20" s="1"/>
  <c r="AU139" i="25"/>
  <c r="G139" i="25" s="1"/>
  <c r="AB140" i="25" s="1"/>
  <c r="AV140" i="25" s="1"/>
  <c r="AJ140" i="19"/>
  <c r="J140" i="19" s="1"/>
  <c r="Y141" i="25" l="1"/>
  <c r="BQ141" i="19" s="1"/>
  <c r="R140" i="19"/>
  <c r="E140" i="19" s="1"/>
  <c r="O140" i="22" s="1"/>
  <c r="AW140" i="25"/>
  <c r="I140" i="25" s="1"/>
  <c r="T140" i="19" s="1"/>
  <c r="AX139" i="20"/>
  <c r="AQ143" i="25"/>
  <c r="AU142" i="20"/>
  <c r="B144" i="25"/>
  <c r="AR142" i="25"/>
  <c r="D142" i="25" s="1"/>
  <c r="C143" i="25"/>
  <c r="BT139" i="19"/>
  <c r="AY139" i="25"/>
  <c r="K139" i="25" s="1"/>
  <c r="H140" i="25"/>
  <c r="BH140" i="19"/>
  <c r="AL137" i="19"/>
  <c r="V138" i="22" s="1"/>
  <c r="BG140" i="19" l="1"/>
  <c r="Q142" i="19"/>
  <c r="AD142" i="19" s="1"/>
  <c r="D142" i="19" s="1"/>
  <c r="N142" i="22" s="1"/>
  <c r="X143" i="25"/>
  <c r="AU143" i="20" s="1"/>
  <c r="BC143" i="19"/>
  <c r="P143" i="19"/>
  <c r="C143" i="19" s="1"/>
  <c r="M143" i="22" s="1"/>
  <c r="W144" i="25"/>
  <c r="O144" i="19"/>
  <c r="AB144" i="19" s="1"/>
  <c r="B144" i="19" s="1"/>
  <c r="L144" i="22" s="1"/>
  <c r="V145" i="25"/>
  <c r="AT139" i="25"/>
  <c r="F139" i="25" s="1"/>
  <c r="BU138" i="19"/>
  <c r="AX139" i="25" s="1"/>
  <c r="AC141" i="25"/>
  <c r="AJ141" i="19"/>
  <c r="J141" i="19" s="1"/>
  <c r="L137" i="19"/>
  <c r="T137" i="22" s="1"/>
  <c r="AK141" i="19"/>
  <c r="K141" i="19" s="1"/>
  <c r="M138" i="19"/>
  <c r="AN138" i="19"/>
  <c r="X139" i="22" s="1"/>
  <c r="BO144" i="19" l="1"/>
  <c r="AP145" i="25" s="1"/>
  <c r="AQ144" i="25"/>
  <c r="J139" i="25"/>
  <c r="S139" i="19"/>
  <c r="AF139" i="19" s="1"/>
  <c r="F139" i="19" s="1"/>
  <c r="BF139" i="19"/>
  <c r="Z140" i="25"/>
  <c r="AV140" i="20" s="1"/>
  <c r="AA140" i="25"/>
  <c r="AG140" i="19"/>
  <c r="G140" i="19" s="1"/>
  <c r="AK142" i="19"/>
  <c r="K142" i="19" s="1"/>
  <c r="N138" i="19"/>
  <c r="U138" i="22" s="1"/>
  <c r="BS140" i="19" l="1"/>
  <c r="AW140" i="20"/>
  <c r="C144" i="25"/>
  <c r="B145" i="25"/>
  <c r="U139" i="19"/>
  <c r="AH139" i="19" s="1"/>
  <c r="H139" i="19" s="1"/>
  <c r="R139" i="22" s="1"/>
  <c r="AD140" i="25"/>
  <c r="AX140" i="20" s="1"/>
  <c r="AE140" i="25"/>
  <c r="AY140" i="20" s="1"/>
  <c r="AS141" i="25"/>
  <c r="E141" i="25" s="1"/>
  <c r="BE141" i="19" s="1"/>
  <c r="AU140" i="25"/>
  <c r="G140" i="25" s="1"/>
  <c r="AL138" i="19"/>
  <c r="V139" i="22" s="1"/>
  <c r="BU139" i="19" s="1"/>
  <c r="M139" i="19"/>
  <c r="O145" i="19" l="1"/>
  <c r="AB145" i="19" s="1"/>
  <c r="B145" i="19" s="1"/>
  <c r="L145" i="22" s="1"/>
  <c r="V146" i="25"/>
  <c r="BC144" i="19"/>
  <c r="P144" i="19"/>
  <c r="C144" i="19" s="1"/>
  <c r="M144" i="22" s="1"/>
  <c r="W145" i="25"/>
  <c r="BT140" i="19"/>
  <c r="AX140" i="25"/>
  <c r="AW141" i="25"/>
  <c r="I141" i="25" s="1"/>
  <c r="AY140" i="25"/>
  <c r="K140" i="25" s="1"/>
  <c r="Y142" i="25"/>
  <c r="BQ142" i="19" s="1"/>
  <c r="AR143" i="25" s="1"/>
  <c r="R141" i="19"/>
  <c r="E141" i="19" s="1"/>
  <c r="O141" i="22" s="1"/>
  <c r="AB141" i="25"/>
  <c r="AT140" i="25"/>
  <c r="AN139" i="19"/>
  <c r="X140" i="22" s="1"/>
  <c r="L138" i="19"/>
  <c r="T138" i="22" s="1"/>
  <c r="BO145" i="19" l="1"/>
  <c r="AP146" i="25" s="1"/>
  <c r="D143" i="25"/>
  <c r="J140" i="25"/>
  <c r="AE141" i="25" s="1"/>
  <c r="AY141" i="20" s="1"/>
  <c r="T141" i="19"/>
  <c r="AG141" i="19" s="1"/>
  <c r="G141" i="19" s="1"/>
  <c r="AI142" i="19" s="1"/>
  <c r="I142" i="19" s="1"/>
  <c r="S142" i="22" s="1"/>
  <c r="BG141" i="19"/>
  <c r="F140" i="25"/>
  <c r="AV141" i="25"/>
  <c r="BH141" i="19"/>
  <c r="N139" i="19"/>
  <c r="U139" i="22" s="1"/>
  <c r="Q143" i="19" l="1"/>
  <c r="AD143" i="19" s="1"/>
  <c r="D143" i="19" s="1"/>
  <c r="N143" i="22" s="1"/>
  <c r="X144" i="25"/>
  <c r="AU144" i="20" s="1"/>
  <c r="B146" i="25"/>
  <c r="U140" i="19"/>
  <c r="AH140" i="19" s="1"/>
  <c r="H140" i="19" s="1"/>
  <c r="R140" i="22" s="1"/>
  <c r="AD141" i="25"/>
  <c r="AX141" i="20" s="1"/>
  <c r="S140" i="19"/>
  <c r="AF140" i="19" s="1"/>
  <c r="F140" i="19" s="1"/>
  <c r="BF140" i="19"/>
  <c r="AY141" i="25" s="1"/>
  <c r="K141" i="25" s="1"/>
  <c r="Z141" i="25"/>
  <c r="AV141" i="20" s="1"/>
  <c r="AA141" i="25"/>
  <c r="H141" i="25"/>
  <c r="BS141" i="19" l="1"/>
  <c r="AW141" i="20"/>
  <c r="AQ145" i="25"/>
  <c r="O146" i="19"/>
  <c r="AB146" i="19" s="1"/>
  <c r="B146" i="19" s="1"/>
  <c r="L146" i="22" s="1"/>
  <c r="V147" i="25"/>
  <c r="BT141" i="19"/>
  <c r="AC142" i="25"/>
  <c r="AU141" i="25"/>
  <c r="AS142" i="25"/>
  <c r="AJ142" i="19"/>
  <c r="J142" i="19" s="1"/>
  <c r="AN140" i="19"/>
  <c r="X141" i="22" s="1"/>
  <c r="AL139" i="19"/>
  <c r="V140" i="22" s="1"/>
  <c r="C145" i="25" l="1"/>
  <c r="AT141" i="25"/>
  <c r="F141" i="25" s="1"/>
  <c r="BF141" i="19" s="1"/>
  <c r="BU140" i="19"/>
  <c r="AX141" i="25" s="1"/>
  <c r="G141" i="25"/>
  <c r="E142" i="25"/>
  <c r="BE142" i="19" s="1"/>
  <c r="AW142" i="25"/>
  <c r="L139" i="19"/>
  <c r="T139" i="22" s="1"/>
  <c r="N140" i="19"/>
  <c r="U140" i="22" s="1"/>
  <c r="M140" i="19"/>
  <c r="BC145" i="19" l="1"/>
  <c r="P145" i="19"/>
  <c r="C145" i="19" s="1"/>
  <c r="M145" i="22" s="1"/>
  <c r="W146" i="25"/>
  <c r="J141" i="25"/>
  <c r="Y143" i="25"/>
  <c r="BQ143" i="19" s="1"/>
  <c r="AR144" i="25" s="1"/>
  <c r="R142" i="19"/>
  <c r="E142" i="19" s="1"/>
  <c r="O142" i="22" s="1"/>
  <c r="Z142" i="25"/>
  <c r="AV142" i="20" s="1"/>
  <c r="S141" i="19"/>
  <c r="AF141" i="19" s="1"/>
  <c r="F141" i="19" s="1"/>
  <c r="I142" i="25"/>
  <c r="AA142" i="25"/>
  <c r="AB142" i="25"/>
  <c r="BH142" i="19"/>
  <c r="AK143" i="19"/>
  <c r="K143" i="19" s="1"/>
  <c r="AJ143" i="19"/>
  <c r="J143" i="19" s="1"/>
  <c r="BS142" i="19" l="1"/>
  <c r="AW142" i="20"/>
  <c r="BO146" i="19"/>
  <c r="AP147" i="25" s="1"/>
  <c r="D144" i="25"/>
  <c r="U141" i="19"/>
  <c r="AH141" i="19" s="1"/>
  <c r="H141" i="19" s="1"/>
  <c r="R141" i="22" s="1"/>
  <c r="AE142" i="25"/>
  <c r="AY142" i="20" s="1"/>
  <c r="AD142" i="25"/>
  <c r="AX142" i="20" s="1"/>
  <c r="AS143" i="25"/>
  <c r="E143" i="25" s="1"/>
  <c r="BE143" i="19" s="1"/>
  <c r="T142" i="19"/>
  <c r="AG142" i="19" s="1"/>
  <c r="G142" i="19" s="1"/>
  <c r="BG142" i="19"/>
  <c r="AV142" i="25"/>
  <c r="AU142" i="25"/>
  <c r="AK144" i="19"/>
  <c r="K144" i="19" s="1"/>
  <c r="Q144" i="19" l="1"/>
  <c r="AD144" i="19" s="1"/>
  <c r="D144" i="19" s="1"/>
  <c r="N144" i="22" s="1"/>
  <c r="X145" i="25"/>
  <c r="AU145" i="20" s="1"/>
  <c r="B147" i="25"/>
  <c r="BT142" i="19"/>
  <c r="AY142" i="25"/>
  <c r="K142" i="25" s="1"/>
  <c r="R143" i="19"/>
  <c r="E143" i="19" s="1"/>
  <c r="O143" i="22" s="1"/>
  <c r="Y144" i="25"/>
  <c r="BQ144" i="19" s="1"/>
  <c r="H142" i="25"/>
  <c r="G142" i="25"/>
  <c r="AL140" i="19"/>
  <c r="V141" i="22" s="1"/>
  <c r="O147" i="19" l="1"/>
  <c r="AB147" i="19" s="1"/>
  <c r="B147" i="19" s="1"/>
  <c r="L147" i="22" s="1"/>
  <c r="V148" i="25"/>
  <c r="AQ146" i="25"/>
  <c r="AR145" i="25"/>
  <c r="D145" i="25" s="1"/>
  <c r="Q145" i="19" s="1"/>
  <c r="AD145" i="19" s="1"/>
  <c r="D145" i="19" s="1"/>
  <c r="N145" i="22" s="1"/>
  <c r="AT142" i="25"/>
  <c r="F142" i="25" s="1"/>
  <c r="BU141" i="19"/>
  <c r="AX142" i="25" s="1"/>
  <c r="AB143" i="25"/>
  <c r="AC143" i="25"/>
  <c r="L140" i="19"/>
  <c r="T140" i="22" s="1"/>
  <c r="AN141" i="19"/>
  <c r="X142" i="22" s="1"/>
  <c r="M141" i="19"/>
  <c r="C146" i="25" l="1"/>
  <c r="X146" i="25"/>
  <c r="AU146" i="20" s="1"/>
  <c r="J142" i="25"/>
  <c r="AA143" i="25"/>
  <c r="BF142" i="19"/>
  <c r="Z143" i="25"/>
  <c r="S142" i="19"/>
  <c r="AF142" i="19" s="1"/>
  <c r="F142" i="19" s="1"/>
  <c r="AW143" i="25"/>
  <c r="I143" i="25" s="1"/>
  <c r="AV143" i="25"/>
  <c r="BH143" i="19"/>
  <c r="N141" i="19"/>
  <c r="U141" i="22" s="1"/>
  <c r="BS143" i="19" l="1"/>
  <c r="AW143" i="20"/>
  <c r="AS144" i="25"/>
  <c r="E144" i="25" s="1"/>
  <c r="BE144" i="19" s="1"/>
  <c r="AV143" i="20"/>
  <c r="P146" i="19"/>
  <c r="C146" i="19" s="1"/>
  <c r="M146" i="22" s="1"/>
  <c r="BC146" i="19"/>
  <c r="W147" i="25"/>
  <c r="U142" i="19"/>
  <c r="AH142" i="19" s="1"/>
  <c r="H142" i="19" s="1"/>
  <c r="R142" i="22" s="1"/>
  <c r="AD143" i="25"/>
  <c r="AX143" i="20" s="1"/>
  <c r="AE143" i="25"/>
  <c r="AY143" i="20" s="1"/>
  <c r="AU143" i="25"/>
  <c r="G143" i="25" s="1"/>
  <c r="T143" i="19"/>
  <c r="AG143" i="19" s="1"/>
  <c r="G143" i="19" s="1"/>
  <c r="BG143" i="19"/>
  <c r="H143" i="25"/>
  <c r="AJ144" i="19"/>
  <c r="J144" i="19" s="1"/>
  <c r="AL141" i="19"/>
  <c r="V142" i="22" s="1"/>
  <c r="BU142" i="19" s="1"/>
  <c r="R144" i="19" l="1"/>
  <c r="E144" i="19" s="1"/>
  <c r="O144" i="22" s="1"/>
  <c r="Y145" i="25"/>
  <c r="BQ145" i="19" s="1"/>
  <c r="AR146" i="25" s="1"/>
  <c r="D146" i="25" s="1"/>
  <c r="BO147" i="19"/>
  <c r="AP148" i="25" s="1"/>
  <c r="AQ147" i="25"/>
  <c r="C147" i="25" s="1"/>
  <c r="BT143" i="19"/>
  <c r="AX143" i="25"/>
  <c r="J143" i="25" s="1"/>
  <c r="AY143" i="25"/>
  <c r="K143" i="25" s="1"/>
  <c r="AT143" i="25"/>
  <c r="AB144" i="25"/>
  <c r="AC144" i="25"/>
  <c r="L141" i="19"/>
  <c r="T141" i="22" s="1"/>
  <c r="M142" i="19"/>
  <c r="P147" i="19" l="1"/>
  <c r="C147" i="19" s="1"/>
  <c r="M147" i="22" s="1"/>
  <c r="BC147" i="19"/>
  <c r="W148" i="25"/>
  <c r="B148" i="25"/>
  <c r="Q146" i="19"/>
  <c r="AD146" i="19" s="1"/>
  <c r="D146" i="19" s="1"/>
  <c r="N146" i="22" s="1"/>
  <c r="X147" i="25"/>
  <c r="AU147" i="20" s="1"/>
  <c r="U143" i="19"/>
  <c r="AH143" i="19" s="1"/>
  <c r="H143" i="19" s="1"/>
  <c r="R143" i="22" s="1"/>
  <c r="AD144" i="25"/>
  <c r="AX144" i="20" s="1"/>
  <c r="AE144" i="25"/>
  <c r="AY144" i="20" s="1"/>
  <c r="AW144" i="25"/>
  <c r="AV144" i="25"/>
  <c r="F143" i="25"/>
  <c r="AK145" i="19"/>
  <c r="K145" i="19" s="1"/>
  <c r="BH144" i="19"/>
  <c r="AN142" i="19"/>
  <c r="X143" i="22" s="1"/>
  <c r="O148" i="19" l="1"/>
  <c r="AB148" i="19" s="1"/>
  <c r="B148" i="19" s="1"/>
  <c r="L148" i="22" s="1"/>
  <c r="V149" i="25"/>
  <c r="BO148" i="19"/>
  <c r="AQ148" i="25"/>
  <c r="C148" i="25" s="1"/>
  <c r="BT144" i="19"/>
  <c r="S143" i="19"/>
  <c r="AF143" i="19" s="1"/>
  <c r="F143" i="19" s="1"/>
  <c r="BF143" i="19"/>
  <c r="AY144" i="25" s="1"/>
  <c r="K144" i="25" s="1"/>
  <c r="Z144" i="25"/>
  <c r="AV144" i="20" s="1"/>
  <c r="AA144" i="25"/>
  <c r="I144" i="25"/>
  <c r="H144" i="25"/>
  <c r="AJ145" i="19"/>
  <c r="J145" i="19" s="1"/>
  <c r="N142" i="19"/>
  <c r="U142" i="22" s="1"/>
  <c r="AL142" i="19"/>
  <c r="V143" i="22" s="1"/>
  <c r="BU143" i="19" s="1"/>
  <c r="AX144" i="25" s="1"/>
  <c r="J144" i="25" s="1"/>
  <c r="U144" i="19" s="1"/>
  <c r="AH144" i="19" s="1"/>
  <c r="H144" i="19" s="1"/>
  <c r="R144" i="22" s="1"/>
  <c r="BS144" i="19" l="1"/>
  <c r="AW144" i="20"/>
  <c r="BC148" i="19"/>
  <c r="P148" i="19"/>
  <c r="C148" i="19" s="1"/>
  <c r="M148" i="22" s="1"/>
  <c r="W149" i="25"/>
  <c r="AP149" i="25"/>
  <c r="AE145" i="25"/>
  <c r="AY145" i="20" s="1"/>
  <c r="T144" i="19"/>
  <c r="AG144" i="19" s="1"/>
  <c r="G144" i="19" s="1"/>
  <c r="BG144" i="19"/>
  <c r="AC145" i="25"/>
  <c r="AD145" i="25"/>
  <c r="AU144" i="25"/>
  <c r="AS145" i="25"/>
  <c r="AT144" i="25"/>
  <c r="F144" i="25" s="1"/>
  <c r="BF144" i="19" s="1"/>
  <c r="M143" i="19"/>
  <c r="L142" i="19"/>
  <c r="T142" i="22" s="1"/>
  <c r="BT145" i="19" l="1"/>
  <c r="AX145" i="20"/>
  <c r="BO149" i="19"/>
  <c r="B149" i="25"/>
  <c r="AY145" i="25"/>
  <c r="K145" i="25" s="1"/>
  <c r="Z145" i="25"/>
  <c r="AV145" i="20" s="1"/>
  <c r="S144" i="19"/>
  <c r="AF144" i="19" s="1"/>
  <c r="F144" i="19" s="1"/>
  <c r="E145" i="25"/>
  <c r="BE145" i="19" s="1"/>
  <c r="AW145" i="25"/>
  <c r="G144" i="25"/>
  <c r="AK146" i="19"/>
  <c r="K146" i="19" s="1"/>
  <c r="BH145" i="19"/>
  <c r="O149" i="19" l="1"/>
  <c r="AB149" i="19" s="1"/>
  <c r="B149" i="19" s="1"/>
  <c r="L149" i="22" s="1"/>
  <c r="V150" i="25"/>
  <c r="Y146" i="25"/>
  <c r="R145" i="19"/>
  <c r="E145" i="19" s="1"/>
  <c r="O145" i="22" s="1"/>
  <c r="AA145" i="25"/>
  <c r="AB145" i="25"/>
  <c r="AV145" i="25" s="1"/>
  <c r="I145" i="25"/>
  <c r="AJ146" i="19"/>
  <c r="J146" i="19" s="1"/>
  <c r="AN143" i="19"/>
  <c r="X144" i="22" s="1"/>
  <c r="BS145" i="19" l="1"/>
  <c r="AW145" i="20"/>
  <c r="AS146" i="25"/>
  <c r="E146" i="25" s="1"/>
  <c r="BE146" i="19" s="1"/>
  <c r="BQ146" i="19"/>
  <c r="AR147" i="25" s="1"/>
  <c r="AP150" i="25"/>
  <c r="B150" i="25" s="1"/>
  <c r="T145" i="19"/>
  <c r="AG145" i="19" s="1"/>
  <c r="G145" i="19" s="1"/>
  <c r="BG145" i="19"/>
  <c r="H145" i="25"/>
  <c r="AC146" i="25" s="1"/>
  <c r="AW146" i="25" s="1"/>
  <c r="AU145" i="25"/>
  <c r="G145" i="25" s="1"/>
  <c r="AK147" i="19"/>
  <c r="K147" i="19" s="1"/>
  <c r="N143" i="19"/>
  <c r="U143" i="22" s="1"/>
  <c r="AL143" i="19"/>
  <c r="V144" i="22" s="1"/>
  <c r="O150" i="19" l="1"/>
  <c r="AB150" i="19" s="1"/>
  <c r="B150" i="19" s="1"/>
  <c r="L150" i="22" s="1"/>
  <c r="V151" i="25"/>
  <c r="D147" i="25"/>
  <c r="AT145" i="25"/>
  <c r="F145" i="25" s="1"/>
  <c r="BF145" i="19" s="1"/>
  <c r="BU144" i="19"/>
  <c r="AX145" i="25" s="1"/>
  <c r="J145" i="25" s="1"/>
  <c r="Y147" i="25"/>
  <c r="BQ147" i="19" s="1"/>
  <c r="R146" i="19"/>
  <c r="E146" i="19" s="1"/>
  <c r="O146" i="22" s="1"/>
  <c r="I146" i="25"/>
  <c r="AB146" i="25"/>
  <c r="L143" i="19"/>
  <c r="T143" i="22" s="1"/>
  <c r="M144" i="19"/>
  <c r="Q147" i="19" l="1"/>
  <c r="AD147" i="19" s="1"/>
  <c r="D147" i="19" s="1"/>
  <c r="N147" i="22" s="1"/>
  <c r="X148" i="25"/>
  <c r="AU148" i="20" s="1"/>
  <c r="U145" i="19"/>
  <c r="AH145" i="19" s="1"/>
  <c r="H145" i="19" s="1"/>
  <c r="R145" i="22" s="1"/>
  <c r="AE146" i="25"/>
  <c r="AY146" i="20" s="1"/>
  <c r="AD146" i="25"/>
  <c r="T146" i="19"/>
  <c r="BG146" i="19"/>
  <c r="Z146" i="25"/>
  <c r="S145" i="19"/>
  <c r="AF145" i="19" s="1"/>
  <c r="F145" i="19" s="1"/>
  <c r="AV146" i="25"/>
  <c r="AA146" i="25"/>
  <c r="BH146" i="19"/>
  <c r="BT146" i="19" l="1"/>
  <c r="AX146" i="20"/>
  <c r="BS146" i="19"/>
  <c r="AW146" i="20"/>
  <c r="AS147" i="25"/>
  <c r="E147" i="25" s="1"/>
  <c r="BE147" i="19" s="1"/>
  <c r="AV146" i="20"/>
  <c r="AQ149" i="25"/>
  <c r="C149" i="25" s="1"/>
  <c r="AR148" i="25"/>
  <c r="AY146" i="25"/>
  <c r="K146" i="25" s="1"/>
  <c r="H146" i="25"/>
  <c r="AU146" i="25"/>
  <c r="AJ147" i="19"/>
  <c r="J147" i="19" s="1"/>
  <c r="AN144" i="19"/>
  <c r="X145" i="22" s="1"/>
  <c r="AG146" i="19"/>
  <c r="G146" i="19" s="1"/>
  <c r="AI147" i="19" s="1"/>
  <c r="I147" i="19" s="1"/>
  <c r="S147" i="22" s="1"/>
  <c r="AL144" i="19"/>
  <c r="V145" i="22" s="1"/>
  <c r="R147" i="19" l="1"/>
  <c r="E147" i="19" s="1"/>
  <c r="O147" i="22" s="1"/>
  <c r="Y148" i="25"/>
  <c r="BQ148" i="19" s="1"/>
  <c r="BC149" i="19"/>
  <c r="P149" i="19"/>
  <c r="C149" i="19" s="1"/>
  <c r="M149" i="22" s="1"/>
  <c r="W150" i="25"/>
  <c r="D148" i="25"/>
  <c r="BU145" i="19"/>
  <c r="AX146" i="25" s="1"/>
  <c r="J146" i="25" s="1"/>
  <c r="AE147" i="25" s="1"/>
  <c r="AY147" i="20" s="1"/>
  <c r="AC147" i="25"/>
  <c r="G146" i="25"/>
  <c r="L144" i="19"/>
  <c r="T144" i="22" s="1"/>
  <c r="AT146" i="25"/>
  <c r="N144" i="19"/>
  <c r="U144" i="22" s="1"/>
  <c r="M145" i="19"/>
  <c r="BO150" i="19" l="1"/>
  <c r="AP151" i="25" s="1"/>
  <c r="Q148" i="19"/>
  <c r="AD148" i="19" s="1"/>
  <c r="D148" i="19" s="1"/>
  <c r="N148" i="22" s="1"/>
  <c r="X149" i="25"/>
  <c r="AU149" i="20" s="1"/>
  <c r="U146" i="19"/>
  <c r="AH146" i="19" s="1"/>
  <c r="H146" i="19" s="1"/>
  <c r="R146" i="22" s="1"/>
  <c r="AD147" i="25"/>
  <c r="AX147" i="20" s="1"/>
  <c r="F146" i="25"/>
  <c r="BF146" i="19" s="1"/>
  <c r="AY147" i="25" s="1"/>
  <c r="AW147" i="25"/>
  <c r="I147" i="25" s="1"/>
  <c r="AB147" i="25"/>
  <c r="AK148" i="19"/>
  <c r="K148" i="19" s="1"/>
  <c r="BH147" i="19"/>
  <c r="AR149" i="25" l="1"/>
  <c r="B151" i="25"/>
  <c r="AQ150" i="25"/>
  <c r="BT147" i="19"/>
  <c r="K147" i="25"/>
  <c r="T147" i="19"/>
  <c r="AG147" i="19" s="1"/>
  <c r="G147" i="19" s="1"/>
  <c r="BG147" i="19"/>
  <c r="Z147" i="25"/>
  <c r="S146" i="19"/>
  <c r="AF146" i="19" s="1"/>
  <c r="F146" i="19" s="1"/>
  <c r="AV147" i="25"/>
  <c r="AA147" i="25"/>
  <c r="AJ148" i="19"/>
  <c r="J148" i="19" s="1"/>
  <c r="M146" i="19"/>
  <c r="AL145" i="19"/>
  <c r="V146" i="22" s="1"/>
  <c r="BS147" i="19" l="1"/>
  <c r="AW147" i="20"/>
  <c r="AS148" i="25"/>
  <c r="E148" i="25" s="1"/>
  <c r="BE148" i="19" s="1"/>
  <c r="AV147" i="20"/>
  <c r="C150" i="25"/>
  <c r="O151" i="19"/>
  <c r="AB151" i="19" s="1"/>
  <c r="B151" i="19" s="1"/>
  <c r="L151" i="22" s="1"/>
  <c r="V152" i="25"/>
  <c r="D149" i="25"/>
  <c r="AU147" i="25"/>
  <c r="H147" i="25"/>
  <c r="AN145" i="19"/>
  <c r="X146" i="22" s="1"/>
  <c r="AT147" i="25" s="1"/>
  <c r="F147" i="25" s="1"/>
  <c r="BF147" i="19" s="1"/>
  <c r="L145" i="19"/>
  <c r="T145" i="22" s="1"/>
  <c r="P150" i="19" l="1"/>
  <c r="C150" i="19" s="1"/>
  <c r="M150" i="22" s="1"/>
  <c r="BC150" i="19"/>
  <c r="W151" i="25"/>
  <c r="Q149" i="19"/>
  <c r="AD149" i="19" s="1"/>
  <c r="D149" i="19" s="1"/>
  <c r="N149" i="22" s="1"/>
  <c r="X150" i="25"/>
  <c r="AU150" i="20" s="1"/>
  <c r="BU146" i="19"/>
  <c r="AX147" i="25" s="1"/>
  <c r="Z148" i="25"/>
  <c r="AV148" i="20" s="1"/>
  <c r="S147" i="19"/>
  <c r="AF147" i="19" s="1"/>
  <c r="F147" i="19" s="1"/>
  <c r="Y149" i="25"/>
  <c r="BQ149" i="19" s="1"/>
  <c r="R148" i="19"/>
  <c r="E148" i="19" s="1"/>
  <c r="O148" i="22" s="1"/>
  <c r="G147" i="25"/>
  <c r="AA148" i="25" s="1"/>
  <c r="AC148" i="25"/>
  <c r="AK149" i="19"/>
  <c r="K149" i="19" s="1"/>
  <c r="N145" i="19"/>
  <c r="U145" i="22" s="1"/>
  <c r="BS148" i="19" l="1"/>
  <c r="AW148" i="20"/>
  <c r="BO151" i="19"/>
  <c r="AP152" i="25" s="1"/>
  <c r="AQ151" i="25"/>
  <c r="AR150" i="25"/>
  <c r="J147" i="25"/>
  <c r="AS149" i="25"/>
  <c r="E149" i="25" s="1"/>
  <c r="BE149" i="19" s="1"/>
  <c r="AW148" i="25"/>
  <c r="I148" i="25" s="1"/>
  <c r="AB148" i="25"/>
  <c r="AU148" i="25"/>
  <c r="BH148" i="19"/>
  <c r="AL146" i="19"/>
  <c r="C151" i="25" l="1"/>
  <c r="D150" i="25"/>
  <c r="B152" i="25"/>
  <c r="U147" i="19"/>
  <c r="AH147" i="19" s="1"/>
  <c r="H147" i="19" s="1"/>
  <c r="R147" i="22" s="1"/>
  <c r="AD148" i="25"/>
  <c r="AX148" i="20" s="1"/>
  <c r="AE148" i="25"/>
  <c r="AY148" i="20" s="1"/>
  <c r="T148" i="19"/>
  <c r="AG148" i="19" s="1"/>
  <c r="G148" i="19" s="1"/>
  <c r="BG148" i="19"/>
  <c r="Y150" i="25"/>
  <c r="BQ150" i="19" s="1"/>
  <c r="R149" i="19"/>
  <c r="E149" i="19" s="1"/>
  <c r="O149" i="22" s="1"/>
  <c r="AV148" i="25"/>
  <c r="G148" i="25"/>
  <c r="AJ149" i="19"/>
  <c r="J149" i="19" s="1"/>
  <c r="AN146" i="19"/>
  <c r="X147" i="22" s="1"/>
  <c r="L146" i="19"/>
  <c r="T146" i="22" s="1"/>
  <c r="V147" i="22"/>
  <c r="BU147" i="19" l="1"/>
  <c r="AX148" i="25" s="1"/>
  <c r="J148" i="25" s="1"/>
  <c r="Q150" i="19"/>
  <c r="AD150" i="19" s="1"/>
  <c r="D150" i="19" s="1"/>
  <c r="N150" i="22" s="1"/>
  <c r="X151" i="25"/>
  <c r="AU151" i="20" s="1"/>
  <c r="BC151" i="19"/>
  <c r="P151" i="19"/>
  <c r="C151" i="19" s="1"/>
  <c r="M151" i="22" s="1"/>
  <c r="W152" i="25"/>
  <c r="O152" i="19"/>
  <c r="AB152" i="19" s="1"/>
  <c r="B152" i="19" s="1"/>
  <c r="L152" i="22" s="1"/>
  <c r="V153" i="25"/>
  <c r="AY148" i="25"/>
  <c r="K148" i="25" s="1"/>
  <c r="BT148" i="19"/>
  <c r="H148" i="25"/>
  <c r="N146" i="19"/>
  <c r="U146" i="22" s="1"/>
  <c r="AT148" i="25"/>
  <c r="M147" i="19"/>
  <c r="AR151" i="25" l="1"/>
  <c r="D151" i="25" s="1"/>
  <c r="BO152" i="19"/>
  <c r="AP153" i="25" s="1"/>
  <c r="B153" i="25" s="1"/>
  <c r="AQ152" i="25"/>
  <c r="C152" i="25" s="1"/>
  <c r="W153" i="25" s="1"/>
  <c r="AE149" i="25"/>
  <c r="AY149" i="20" s="1"/>
  <c r="U148" i="19"/>
  <c r="AH148" i="19" s="1"/>
  <c r="H148" i="19" s="1"/>
  <c r="R148" i="22" s="1"/>
  <c r="AD149" i="25"/>
  <c r="F148" i="25"/>
  <c r="AB149" i="25"/>
  <c r="AC149" i="25"/>
  <c r="AK150" i="19"/>
  <c r="K150" i="19" s="1"/>
  <c r="BT149" i="19" l="1"/>
  <c r="AX149" i="20"/>
  <c r="Q151" i="19"/>
  <c r="AD151" i="19" s="1"/>
  <c r="D151" i="19" s="1"/>
  <c r="N151" i="22" s="1"/>
  <c r="X152" i="25"/>
  <c r="AU152" i="20" s="1"/>
  <c r="O153" i="19"/>
  <c r="AB153" i="19" s="1"/>
  <c r="B153" i="19" s="1"/>
  <c r="L153" i="22" s="1"/>
  <c r="V154" i="25"/>
  <c r="BO153" i="19"/>
  <c r="BC152" i="19"/>
  <c r="P152" i="19"/>
  <c r="C152" i="19" s="1"/>
  <c r="M152" i="22" s="1"/>
  <c r="S148" i="19"/>
  <c r="AF148" i="19" s="1"/>
  <c r="F148" i="19" s="1"/>
  <c r="BF148" i="19"/>
  <c r="AY149" i="25" s="1"/>
  <c r="K149" i="25" s="1"/>
  <c r="Z149" i="25"/>
  <c r="AV149" i="20" s="1"/>
  <c r="AA149" i="25"/>
  <c r="AV149" i="25"/>
  <c r="AW149" i="25"/>
  <c r="AN147" i="19"/>
  <c r="X148" i="22" s="1"/>
  <c r="BH149" i="19"/>
  <c r="AL147" i="19"/>
  <c r="V148" i="22" s="1"/>
  <c r="AQ153" i="25" l="1"/>
  <c r="C153" i="25" s="1"/>
  <c r="W154" i="25" s="1"/>
  <c r="BS149" i="19"/>
  <c r="AW149" i="20"/>
  <c r="AP154" i="25"/>
  <c r="B154" i="25" s="1"/>
  <c r="BU148" i="19"/>
  <c r="AX149" i="25" s="1"/>
  <c r="J149" i="25" s="1"/>
  <c r="U149" i="19" s="1"/>
  <c r="AH149" i="19" s="1"/>
  <c r="H149" i="19" s="1"/>
  <c r="R149" i="22" s="1"/>
  <c r="AU149" i="25"/>
  <c r="G149" i="25" s="1"/>
  <c r="I149" i="25"/>
  <c r="H149" i="25"/>
  <c r="AS150" i="25"/>
  <c r="AT149" i="25"/>
  <c r="N147" i="19"/>
  <c r="U147" i="22" s="1"/>
  <c r="AN148" i="19"/>
  <c r="X149" i="22" s="1"/>
  <c r="AJ150" i="19"/>
  <c r="J150" i="19" s="1"/>
  <c r="L147" i="19"/>
  <c r="T147" i="22" s="1"/>
  <c r="M148" i="19"/>
  <c r="P153" i="19" l="1"/>
  <c r="C153" i="19" s="1"/>
  <c r="M153" i="22" s="1"/>
  <c r="BC153" i="19"/>
  <c r="O154" i="19"/>
  <c r="AB154" i="19" s="1"/>
  <c r="B154" i="19" s="1"/>
  <c r="L154" i="22" s="1"/>
  <c r="V155" i="25"/>
  <c r="BO154" i="19"/>
  <c r="AE150" i="25"/>
  <c r="AY150" i="20" s="1"/>
  <c r="T149" i="19"/>
  <c r="AG149" i="19" s="1"/>
  <c r="G149" i="19" s="1"/>
  <c r="BG149" i="19"/>
  <c r="E150" i="25"/>
  <c r="BE150" i="19" s="1"/>
  <c r="AB150" i="25"/>
  <c r="AV150" i="25" s="1"/>
  <c r="AC150" i="25"/>
  <c r="AD150" i="25"/>
  <c r="F149" i="25"/>
  <c r="BF149" i="19" s="1"/>
  <c r="BH150" i="19"/>
  <c r="N148" i="19"/>
  <c r="U148" i="22" s="1"/>
  <c r="AP155" i="25" l="1"/>
  <c r="BT150" i="19"/>
  <c r="AX150" i="20"/>
  <c r="AY150" i="25"/>
  <c r="K150" i="25" s="1"/>
  <c r="B155" i="25"/>
  <c r="O155" i="19" s="1"/>
  <c r="AB155" i="19" s="1"/>
  <c r="B155" i="19" s="1"/>
  <c r="L155" i="22" s="1"/>
  <c r="Z150" i="25"/>
  <c r="AV150" i="20" s="1"/>
  <c r="S149" i="19"/>
  <c r="AF149" i="19" s="1"/>
  <c r="F149" i="19" s="1"/>
  <c r="Y151" i="25"/>
  <c r="BQ151" i="19" s="1"/>
  <c r="AR152" i="25" s="1"/>
  <c r="R150" i="19"/>
  <c r="E150" i="19" s="1"/>
  <c r="O150" i="22" s="1"/>
  <c r="AA150" i="25"/>
  <c r="AW150" i="20" s="1"/>
  <c r="H150" i="25"/>
  <c r="AW150" i="25"/>
  <c r="AK151" i="19"/>
  <c r="K151" i="19" s="1"/>
  <c r="AN149" i="19"/>
  <c r="X150" i="22" s="1"/>
  <c r="D152" i="25" l="1"/>
  <c r="V156" i="25"/>
  <c r="AU150" i="25"/>
  <c r="G150" i="25" s="1"/>
  <c r="AB151" i="25" s="1"/>
  <c r="BS150" i="19"/>
  <c r="AS151" i="25"/>
  <c r="E151" i="25" s="1"/>
  <c r="BE151" i="19" s="1"/>
  <c r="I150" i="25"/>
  <c r="BG150" i="19" s="1"/>
  <c r="AJ151" i="19"/>
  <c r="J151" i="19" s="1"/>
  <c r="N149" i="19"/>
  <c r="U149" i="22" s="1"/>
  <c r="AL148" i="19"/>
  <c r="V149" i="22" s="1"/>
  <c r="Q152" i="19" l="1"/>
  <c r="AD152" i="19" s="1"/>
  <c r="D152" i="19" s="1"/>
  <c r="N152" i="22" s="1"/>
  <c r="X153" i="25"/>
  <c r="AU153" i="20" s="1"/>
  <c r="Y152" i="25"/>
  <c r="BQ152" i="19" s="1"/>
  <c r="AT150" i="25"/>
  <c r="F150" i="25" s="1"/>
  <c r="BU149" i="19"/>
  <c r="AX150" i="25" s="1"/>
  <c r="J150" i="25" s="1"/>
  <c r="R151" i="19"/>
  <c r="E151" i="19" s="1"/>
  <c r="O151" i="22" s="1"/>
  <c r="AC151" i="25"/>
  <c r="AW151" i="25" s="1"/>
  <c r="I151" i="25" s="1"/>
  <c r="T150" i="19"/>
  <c r="AG150" i="19" s="1"/>
  <c r="G150" i="19" s="1"/>
  <c r="AV151" i="25"/>
  <c r="H151" i="25" s="1"/>
  <c r="L148" i="19"/>
  <c r="T148" i="22" s="1"/>
  <c r="M149" i="19"/>
  <c r="AQ154" i="25" l="1"/>
  <c r="AR153" i="25"/>
  <c r="U150" i="19"/>
  <c r="AH150" i="19" s="1"/>
  <c r="H150" i="19" s="1"/>
  <c r="R150" i="22" s="1"/>
  <c r="AE151" i="25"/>
  <c r="AY151" i="20" s="1"/>
  <c r="AD151" i="25"/>
  <c r="S150" i="19"/>
  <c r="AF150" i="19" s="1"/>
  <c r="F150" i="19" s="1"/>
  <c r="BF150" i="19"/>
  <c r="T151" i="19"/>
  <c r="BG151" i="19"/>
  <c r="Z151" i="25"/>
  <c r="AV151" i="20" s="1"/>
  <c r="AA151" i="25"/>
  <c r="AC152" i="25"/>
  <c r="AK152" i="19"/>
  <c r="K152" i="19" s="1"/>
  <c r="BH151" i="19"/>
  <c r="BT151" i="19" l="1"/>
  <c r="AX151" i="20"/>
  <c r="BS151" i="19"/>
  <c r="AW151" i="20"/>
  <c r="AW152" i="25"/>
  <c r="I152" i="25" s="1"/>
  <c r="C154" i="25"/>
  <c r="D153" i="25"/>
  <c r="AY151" i="25"/>
  <c r="K151" i="25" s="1"/>
  <c r="AU151" i="25"/>
  <c r="AS152" i="25"/>
  <c r="AJ152" i="19"/>
  <c r="J152" i="19" s="1"/>
  <c r="AG151" i="19"/>
  <c r="G151" i="19" s="1"/>
  <c r="AL149" i="19"/>
  <c r="V150" i="22" s="1"/>
  <c r="BC154" i="19" l="1"/>
  <c r="P154" i="19"/>
  <c r="C154" i="19" s="1"/>
  <c r="M154" i="22" s="1"/>
  <c r="W155" i="25"/>
  <c r="Q153" i="19"/>
  <c r="AD153" i="19" s="1"/>
  <c r="D153" i="19" s="1"/>
  <c r="N153" i="22" s="1"/>
  <c r="X154" i="25"/>
  <c r="AU154" i="20" s="1"/>
  <c r="AT151" i="25"/>
  <c r="F151" i="25" s="1"/>
  <c r="BF151" i="19" s="1"/>
  <c r="BU150" i="19"/>
  <c r="AX151" i="25" s="1"/>
  <c r="J151" i="25" s="1"/>
  <c r="T152" i="19"/>
  <c r="BG152" i="19"/>
  <c r="E152" i="25"/>
  <c r="BE152" i="19" s="1"/>
  <c r="G151" i="25"/>
  <c r="BH152" i="19"/>
  <c r="AK153" i="19"/>
  <c r="K153" i="19" s="1"/>
  <c r="M150" i="19"/>
  <c r="AN150" i="19"/>
  <c r="X151" i="22" s="1"/>
  <c r="L149" i="19"/>
  <c r="T149" i="22" s="1"/>
  <c r="BO155" i="19" l="1"/>
  <c r="AP156" i="25" s="1"/>
  <c r="B156" i="25" s="1"/>
  <c r="AQ155" i="25"/>
  <c r="U151" i="19"/>
  <c r="AH151" i="19" s="1"/>
  <c r="H151" i="19" s="1"/>
  <c r="R151" i="22" s="1"/>
  <c r="AD152" i="25"/>
  <c r="AX152" i="20" s="1"/>
  <c r="AE152" i="25"/>
  <c r="AY152" i="20" s="1"/>
  <c r="Y153" i="25"/>
  <c r="BQ153" i="19" s="1"/>
  <c r="AR154" i="25" s="1"/>
  <c r="R152" i="19"/>
  <c r="E152" i="19" s="1"/>
  <c r="O152" i="22" s="1"/>
  <c r="Z152" i="25"/>
  <c r="AV152" i="20" s="1"/>
  <c r="S151" i="19"/>
  <c r="AF151" i="19" s="1"/>
  <c r="F151" i="19" s="1"/>
  <c r="AA152" i="25"/>
  <c r="AB152" i="25"/>
  <c r="N150" i="19"/>
  <c r="U150" i="22" s="1"/>
  <c r="BS152" i="19" l="1"/>
  <c r="AW152" i="20"/>
  <c r="D154" i="25"/>
  <c r="C155" i="25"/>
  <c r="O156" i="19"/>
  <c r="AB156" i="19" s="1"/>
  <c r="B156" i="19" s="1"/>
  <c r="L156" i="22" s="1"/>
  <c r="V157" i="25"/>
  <c r="BT152" i="19"/>
  <c r="AY152" i="25"/>
  <c r="K152" i="25" s="1"/>
  <c r="AS153" i="25"/>
  <c r="E153" i="25" s="1"/>
  <c r="BE153" i="19" s="1"/>
  <c r="AU152" i="25"/>
  <c r="AV152" i="25"/>
  <c r="H152" i="25" s="1"/>
  <c r="AC153" i="25" s="1"/>
  <c r="AW153" i="25" s="1"/>
  <c r="AJ153" i="19"/>
  <c r="J153" i="19" s="1"/>
  <c r="AG152" i="19"/>
  <c r="G152" i="19" s="1"/>
  <c r="AN151" i="19"/>
  <c r="X152" i="22" s="1"/>
  <c r="BC155" i="19" l="1"/>
  <c r="P155" i="19"/>
  <c r="C155" i="19" s="1"/>
  <c r="M155" i="22" s="1"/>
  <c r="W156" i="25"/>
  <c r="Q154" i="19"/>
  <c r="AD154" i="19" s="1"/>
  <c r="D154" i="19" s="1"/>
  <c r="N154" i="22" s="1"/>
  <c r="X155" i="25"/>
  <c r="AU155" i="20" s="1"/>
  <c r="R153" i="19"/>
  <c r="E153" i="19" s="1"/>
  <c r="O153" i="22" s="1"/>
  <c r="Y154" i="25"/>
  <c r="BQ154" i="19" s="1"/>
  <c r="I153" i="25"/>
  <c r="G152" i="25"/>
  <c r="AK154" i="19"/>
  <c r="K154" i="19" s="1"/>
  <c r="N151" i="19"/>
  <c r="U151" i="22" s="1"/>
  <c r="AL150" i="19"/>
  <c r="V151" i="22" s="1"/>
  <c r="BO156" i="19" l="1"/>
  <c r="AP157" i="25" s="1"/>
  <c r="AQ156" i="25"/>
  <c r="AR155" i="25"/>
  <c r="D155" i="25" s="1"/>
  <c r="AT152" i="25"/>
  <c r="F152" i="25" s="1"/>
  <c r="BF152" i="19" s="1"/>
  <c r="BU151" i="19"/>
  <c r="AX152" i="25" s="1"/>
  <c r="T153" i="19"/>
  <c r="BG153" i="19"/>
  <c r="AB153" i="25"/>
  <c r="L150" i="19"/>
  <c r="T150" i="22" s="1"/>
  <c r="M151" i="19"/>
  <c r="Z153" i="25" l="1"/>
  <c r="Q155" i="19"/>
  <c r="AD155" i="19" s="1"/>
  <c r="D155" i="19" s="1"/>
  <c r="N155" i="22" s="1"/>
  <c r="X156" i="25"/>
  <c r="AU156" i="20" s="1"/>
  <c r="B157" i="25"/>
  <c r="S152" i="19"/>
  <c r="AF152" i="19" s="1"/>
  <c r="F152" i="19" s="1"/>
  <c r="C156" i="25"/>
  <c r="AA153" i="25"/>
  <c r="J152" i="25"/>
  <c r="AV153" i="25"/>
  <c r="BH153" i="19"/>
  <c r="BS153" i="19" l="1"/>
  <c r="AW153" i="20"/>
  <c r="AS154" i="25"/>
  <c r="E154" i="25" s="1"/>
  <c r="BE154" i="19" s="1"/>
  <c r="AV153" i="20"/>
  <c r="AU153" i="25"/>
  <c r="G153" i="25" s="1"/>
  <c r="O157" i="19"/>
  <c r="AB157" i="19" s="1"/>
  <c r="B157" i="19" s="1"/>
  <c r="L157" i="22" s="1"/>
  <c r="V158" i="25"/>
  <c r="P156" i="19"/>
  <c r="C156" i="19" s="1"/>
  <c r="BC156" i="19"/>
  <c r="W157" i="25"/>
  <c r="U152" i="19"/>
  <c r="AH152" i="19" s="1"/>
  <c r="H152" i="19" s="1"/>
  <c r="R152" i="22" s="1"/>
  <c r="AD153" i="25"/>
  <c r="AX153" i="20" s="1"/>
  <c r="AE153" i="25"/>
  <c r="AY153" i="20" s="1"/>
  <c r="H153" i="25"/>
  <c r="AG153" i="19"/>
  <c r="G153" i="19" s="1"/>
  <c r="R154" i="19" l="1"/>
  <c r="E154" i="19" s="1"/>
  <c r="O154" i="22" s="1"/>
  <c r="Y155" i="25"/>
  <c r="BQ155" i="19" s="1"/>
  <c r="AR156" i="25" s="1"/>
  <c r="D156" i="25" s="1"/>
  <c r="BO157" i="19"/>
  <c r="AP158" i="25" s="1"/>
  <c r="AQ157" i="25"/>
  <c r="AY153" i="25"/>
  <c r="K153" i="25" s="1"/>
  <c r="BT153" i="19"/>
  <c r="AB154" i="25"/>
  <c r="AC154" i="25"/>
  <c r="AJ154" i="19"/>
  <c r="J154" i="19" s="1"/>
  <c r="AN152" i="19"/>
  <c r="X153" i="22" s="1"/>
  <c r="AL151" i="19"/>
  <c r="V152" i="22" s="1"/>
  <c r="B158" i="25" l="1"/>
  <c r="C157" i="25"/>
  <c r="Q156" i="19"/>
  <c r="AD156" i="19" s="1"/>
  <c r="D156" i="19" s="1"/>
  <c r="N156" i="22" s="1"/>
  <c r="X157" i="25"/>
  <c r="AU157" i="20" s="1"/>
  <c r="AT153" i="25"/>
  <c r="F153" i="25" s="1"/>
  <c r="BU152" i="19"/>
  <c r="AX153" i="25" s="1"/>
  <c r="AW154" i="25"/>
  <c r="AV154" i="25"/>
  <c r="AK155" i="19"/>
  <c r="K155" i="19" s="1"/>
  <c r="L151" i="19"/>
  <c r="T151" i="22" s="1"/>
  <c r="M152" i="19"/>
  <c r="N152" i="19"/>
  <c r="U152" i="22" s="1"/>
  <c r="BC157" i="19" l="1"/>
  <c r="P157" i="19"/>
  <c r="C157" i="19" s="1"/>
  <c r="W158" i="25"/>
  <c r="O158" i="19"/>
  <c r="AB158" i="19" s="1"/>
  <c r="B158" i="19" s="1"/>
  <c r="L158" i="22" s="1"/>
  <c r="V159" i="25"/>
  <c r="J153" i="25"/>
  <c r="S153" i="19"/>
  <c r="AF153" i="19" s="1"/>
  <c r="F153" i="19" s="1"/>
  <c r="BF153" i="19"/>
  <c r="H154" i="25"/>
  <c r="Z154" i="25"/>
  <c r="AV154" i="20" s="1"/>
  <c r="AA154" i="25"/>
  <c r="I154" i="25"/>
  <c r="AJ155" i="19"/>
  <c r="J155" i="19" s="1"/>
  <c r="BH154" i="19"/>
  <c r="BS154" i="19" l="1"/>
  <c r="AW154" i="20"/>
  <c r="BO158" i="19"/>
  <c r="AP159" i="25" s="1"/>
  <c r="AQ158" i="25"/>
  <c r="U153" i="19"/>
  <c r="AH153" i="19" s="1"/>
  <c r="H153" i="19" s="1"/>
  <c r="R153" i="22" s="1"/>
  <c r="AD154" i="25"/>
  <c r="AX154" i="20" s="1"/>
  <c r="AE154" i="25"/>
  <c r="AY154" i="20" s="1"/>
  <c r="T154" i="19"/>
  <c r="AG154" i="19" s="1"/>
  <c r="G154" i="19" s="1"/>
  <c r="BG154" i="19"/>
  <c r="AU154" i="25"/>
  <c r="G154" i="25" s="1"/>
  <c r="AB155" i="25" s="1"/>
  <c r="AS155" i="25"/>
  <c r="E155" i="25" s="1"/>
  <c r="BE155" i="19" s="1"/>
  <c r="AC155" i="25"/>
  <c r="AK156" i="19"/>
  <c r="K156" i="19" s="1"/>
  <c r="AL152" i="19"/>
  <c r="V153" i="22" s="1"/>
  <c r="C158" i="25" l="1"/>
  <c r="B159" i="25"/>
  <c r="AT154" i="25"/>
  <c r="F154" i="25" s="1"/>
  <c r="BF154" i="19" s="1"/>
  <c r="BU153" i="19"/>
  <c r="AX154" i="25" s="1"/>
  <c r="J154" i="25" s="1"/>
  <c r="BT154" i="19"/>
  <c r="AY154" i="25"/>
  <c r="K154" i="25" s="1"/>
  <c r="Y156" i="25"/>
  <c r="BQ156" i="19" s="1"/>
  <c r="AR157" i="25" s="1"/>
  <c r="R155" i="19"/>
  <c r="E155" i="19" s="1"/>
  <c r="O155" i="22" s="1"/>
  <c r="AV155" i="25"/>
  <c r="H155" i="25" s="1"/>
  <c r="AW155" i="25"/>
  <c r="I155" i="25" s="1"/>
  <c r="M153" i="19"/>
  <c r="AN153" i="19"/>
  <c r="X154" i="22" s="1"/>
  <c r="L152" i="19"/>
  <c r="T152" i="22" s="1"/>
  <c r="O159" i="19" l="1"/>
  <c r="AB159" i="19" s="1"/>
  <c r="B159" i="19" s="1"/>
  <c r="L159" i="22" s="1"/>
  <c r="V160" i="25"/>
  <c r="BC158" i="19"/>
  <c r="P158" i="19"/>
  <c r="C158" i="19" s="1"/>
  <c r="M158" i="22" s="1"/>
  <c r="W159" i="25"/>
  <c r="D157" i="25"/>
  <c r="AE155" i="25"/>
  <c r="U154" i="19"/>
  <c r="AH154" i="19" s="1"/>
  <c r="H154" i="19" s="1"/>
  <c r="R154" i="22" s="1"/>
  <c r="AD155" i="25"/>
  <c r="AX155" i="20" s="1"/>
  <c r="T155" i="19"/>
  <c r="BG155" i="19"/>
  <c r="Z155" i="25"/>
  <c r="S154" i="19"/>
  <c r="AF154" i="19" s="1"/>
  <c r="F154" i="19" s="1"/>
  <c r="AC156" i="25"/>
  <c r="AA155" i="25"/>
  <c r="BH155" i="19"/>
  <c r="N153" i="19"/>
  <c r="U153" i="22" s="1"/>
  <c r="AY155" i="25" l="1"/>
  <c r="K155" i="25" s="1"/>
  <c r="AY155" i="20"/>
  <c r="BS155" i="19"/>
  <c r="AW155" i="20"/>
  <c r="AS156" i="25"/>
  <c r="E156" i="25" s="1"/>
  <c r="BE156" i="19" s="1"/>
  <c r="AV155" i="20"/>
  <c r="Q157" i="19"/>
  <c r="AD157" i="19" s="1"/>
  <c r="D157" i="19" s="1"/>
  <c r="N157" i="22" s="1"/>
  <c r="X158" i="25"/>
  <c r="AU158" i="20" s="1"/>
  <c r="BO159" i="19"/>
  <c r="AP160" i="25" s="1"/>
  <c r="AW156" i="25"/>
  <c r="I156" i="25" s="1"/>
  <c r="BT155" i="19"/>
  <c r="AU155" i="25"/>
  <c r="AG155" i="19"/>
  <c r="G155" i="19" s="1"/>
  <c r="AN154" i="19"/>
  <c r="X155" i="22" s="1"/>
  <c r="Y157" i="25" l="1"/>
  <c r="BQ157" i="19" s="1"/>
  <c r="AQ159" i="25"/>
  <c r="C159" i="25" s="1"/>
  <c r="BC159" i="19" s="1"/>
  <c r="R156" i="19"/>
  <c r="E156" i="19" s="1"/>
  <c r="O156" i="22" s="1"/>
  <c r="B160" i="25"/>
  <c r="AR158" i="25"/>
  <c r="T156" i="19"/>
  <c r="BG156" i="19"/>
  <c r="G155" i="25"/>
  <c r="AJ156" i="19"/>
  <c r="J156" i="19" s="1"/>
  <c r="AL153" i="19"/>
  <c r="V154" i="22" s="1"/>
  <c r="N154" i="19"/>
  <c r="U154" i="22" s="1"/>
  <c r="W160" i="25" l="1"/>
  <c r="BO160" i="19" s="1"/>
  <c r="P159" i="19"/>
  <c r="C159" i="19" s="1"/>
  <c r="M159" i="22" s="1"/>
  <c r="D158" i="25"/>
  <c r="O160" i="19"/>
  <c r="AB160" i="19" s="1"/>
  <c r="B160" i="19" s="1"/>
  <c r="L160" i="22" s="1"/>
  <c r="V161" i="25"/>
  <c r="AT155" i="25"/>
  <c r="F155" i="25" s="1"/>
  <c r="BF155" i="19" s="1"/>
  <c r="BU154" i="19"/>
  <c r="AX155" i="25" s="1"/>
  <c r="AB156" i="25"/>
  <c r="AV156" i="25" s="1"/>
  <c r="AJ157" i="19"/>
  <c r="J157" i="19" s="1"/>
  <c r="AG156" i="19"/>
  <c r="G156" i="19" s="1"/>
  <c r="AK157" i="19"/>
  <c r="K157" i="19" s="1"/>
  <c r="L153" i="19"/>
  <c r="T153" i="22" s="1"/>
  <c r="M154" i="19"/>
  <c r="AP161" i="25" l="1"/>
  <c r="Q158" i="19"/>
  <c r="AD158" i="19" s="1"/>
  <c r="D158" i="19" s="1"/>
  <c r="N158" i="22" s="1"/>
  <c r="X159" i="25"/>
  <c r="AU159" i="20" s="1"/>
  <c r="S155" i="19"/>
  <c r="AF155" i="19" s="1"/>
  <c r="F155" i="19" s="1"/>
  <c r="Z156" i="25"/>
  <c r="AA156" i="25"/>
  <c r="J155" i="25"/>
  <c r="H156" i="25"/>
  <c r="BH156" i="19"/>
  <c r="BS156" i="19" l="1"/>
  <c r="AW156" i="20"/>
  <c r="AS157" i="25"/>
  <c r="E157" i="25" s="1"/>
  <c r="BE157" i="19" s="1"/>
  <c r="AV156" i="20"/>
  <c r="AQ160" i="25"/>
  <c r="B161" i="25"/>
  <c r="AU156" i="25"/>
  <c r="G156" i="25" s="1"/>
  <c r="AB157" i="25" s="1"/>
  <c r="U155" i="19"/>
  <c r="AH155" i="19" s="1"/>
  <c r="H155" i="19" s="1"/>
  <c r="R155" i="22" s="1"/>
  <c r="AD156" i="25"/>
  <c r="AX156" i="20" s="1"/>
  <c r="AE156" i="25"/>
  <c r="AY156" i="20" s="1"/>
  <c r="AC157" i="25"/>
  <c r="AK158" i="19"/>
  <c r="K158" i="19" s="1"/>
  <c r="Y158" i="25" l="1"/>
  <c r="BQ158" i="19" s="1"/>
  <c r="AR159" i="25" s="1"/>
  <c r="D159" i="25" s="1"/>
  <c r="R157" i="19"/>
  <c r="E157" i="19" s="1"/>
  <c r="O157" i="22" s="1"/>
  <c r="C160" i="25"/>
  <c r="O161" i="19"/>
  <c r="AB161" i="19" s="1"/>
  <c r="B161" i="19" s="1"/>
  <c r="L161" i="22" s="1"/>
  <c r="V162" i="25"/>
  <c r="AY156" i="25"/>
  <c r="K156" i="25" s="1"/>
  <c r="BT156" i="19"/>
  <c r="AW157" i="25"/>
  <c r="AV157" i="25"/>
  <c r="AN155" i="19"/>
  <c r="X156" i="22" s="1"/>
  <c r="AL154" i="19"/>
  <c r="V155" i="22" s="1"/>
  <c r="P160" i="19" l="1"/>
  <c r="C160" i="19" s="1"/>
  <c r="BC160" i="19"/>
  <c r="W161" i="25"/>
  <c r="Q159" i="19"/>
  <c r="AD159" i="19" s="1"/>
  <c r="D159" i="19" s="1"/>
  <c r="N159" i="22" s="1"/>
  <c r="X160" i="25"/>
  <c r="AU160" i="20" s="1"/>
  <c r="AT156" i="25"/>
  <c r="F156" i="25" s="1"/>
  <c r="BU155" i="19"/>
  <c r="AX156" i="25" s="1"/>
  <c r="I157" i="25"/>
  <c r="H157" i="25"/>
  <c r="L154" i="19"/>
  <c r="T154" i="22" s="1"/>
  <c r="N155" i="19"/>
  <c r="U155" i="22" s="1"/>
  <c r="M155" i="19"/>
  <c r="BO161" i="19" l="1"/>
  <c r="AP162" i="25" s="1"/>
  <c r="B162" i="25" s="1"/>
  <c r="AQ161" i="25"/>
  <c r="J156" i="25"/>
  <c r="S156" i="19"/>
  <c r="AF156" i="19" s="1"/>
  <c r="F156" i="19" s="1"/>
  <c r="BF156" i="19"/>
  <c r="T157" i="19"/>
  <c r="BG157" i="19"/>
  <c r="AC158" i="25"/>
  <c r="Z157" i="25"/>
  <c r="AV157" i="20" s="1"/>
  <c r="AA157" i="25"/>
  <c r="BH157" i="19"/>
  <c r="BS157" i="19" l="1"/>
  <c r="AW157" i="20"/>
  <c r="O162" i="19"/>
  <c r="AB162" i="19" s="1"/>
  <c r="B162" i="19" s="1"/>
  <c r="L162" i="22" s="1"/>
  <c r="V163" i="25"/>
  <c r="C161" i="25"/>
  <c r="U156" i="19"/>
  <c r="AH156" i="19" s="1"/>
  <c r="H156" i="19" s="1"/>
  <c r="R156" i="22" s="1"/>
  <c r="AD157" i="25"/>
  <c r="AX157" i="20" s="1"/>
  <c r="AE157" i="25"/>
  <c r="AY157" i="20" s="1"/>
  <c r="AS158" i="25"/>
  <c r="AU157" i="25"/>
  <c r="G157" i="25" s="1"/>
  <c r="AW158" i="25"/>
  <c r="I158" i="25" s="1"/>
  <c r="AJ158" i="19"/>
  <c r="J158" i="19" s="1"/>
  <c r="AG157" i="19"/>
  <c r="G157" i="19" s="1"/>
  <c r="AL155" i="19"/>
  <c r="V156" i="22" s="1"/>
  <c r="BC161" i="19" l="1"/>
  <c r="P161" i="19"/>
  <c r="C161" i="19" s="1"/>
  <c r="W162" i="25"/>
  <c r="BT157" i="19"/>
  <c r="AT157" i="25"/>
  <c r="F157" i="25" s="1"/>
  <c r="BF157" i="19" s="1"/>
  <c r="BU156" i="19"/>
  <c r="AX157" i="25" s="1"/>
  <c r="AY157" i="25"/>
  <c r="K157" i="25" s="1"/>
  <c r="T158" i="19"/>
  <c r="BG158" i="19"/>
  <c r="AB158" i="25"/>
  <c r="AV158" i="25" s="1"/>
  <c r="E158" i="25"/>
  <c r="BE158" i="19" s="1"/>
  <c r="AK159" i="19"/>
  <c r="K159" i="19" s="1"/>
  <c r="AN156" i="19"/>
  <c r="X157" i="22" s="1"/>
  <c r="M156" i="19"/>
  <c r="L155" i="19"/>
  <c r="T155" i="22" s="1"/>
  <c r="BO162" i="19" l="1"/>
  <c r="AP163" i="25" s="1"/>
  <c r="B163" i="25" s="1"/>
  <c r="J157" i="25"/>
  <c r="Y159" i="25"/>
  <c r="BQ159" i="19" s="1"/>
  <c r="AR160" i="25" s="1"/>
  <c r="R158" i="19"/>
  <c r="E158" i="19" s="1"/>
  <c r="O158" i="22" s="1"/>
  <c r="Z158" i="25"/>
  <c r="AV158" i="20" s="1"/>
  <c r="S157" i="19"/>
  <c r="AF157" i="19" s="1"/>
  <c r="F157" i="19" s="1"/>
  <c r="H158" i="25"/>
  <c r="AA158" i="25"/>
  <c r="BH158" i="19"/>
  <c r="N156" i="19"/>
  <c r="U156" i="22" s="1"/>
  <c r="BS158" i="19" l="1"/>
  <c r="AW158" i="20"/>
  <c r="D160" i="25"/>
  <c r="O163" i="19"/>
  <c r="AB163" i="19" s="1"/>
  <c r="B163" i="19" s="1"/>
  <c r="L163" i="22" s="1"/>
  <c r="V164" i="25"/>
  <c r="U157" i="19"/>
  <c r="AH157" i="19" s="1"/>
  <c r="H157" i="19" s="1"/>
  <c r="R157" i="22" s="1"/>
  <c r="AD158" i="25"/>
  <c r="AX158" i="20" s="1"/>
  <c r="AE158" i="25"/>
  <c r="AY158" i="20" s="1"/>
  <c r="AS159" i="25"/>
  <c r="E159" i="25" s="1"/>
  <c r="BE159" i="19" s="1"/>
  <c r="AU158" i="25"/>
  <c r="AC159" i="25"/>
  <c r="AG158" i="19"/>
  <c r="G158" i="19" s="1"/>
  <c r="Q160" i="19" l="1"/>
  <c r="AD160" i="19" s="1"/>
  <c r="D160" i="19" s="1"/>
  <c r="N160" i="22" s="1"/>
  <c r="X161" i="25"/>
  <c r="AU161" i="20" s="1"/>
  <c r="AY158" i="25"/>
  <c r="K158" i="25" s="1"/>
  <c r="BT158" i="19"/>
  <c r="R159" i="19"/>
  <c r="E159" i="19" s="1"/>
  <c r="O159" i="22" s="1"/>
  <c r="Y160" i="25"/>
  <c r="BQ160" i="19" s="1"/>
  <c r="AW159" i="25"/>
  <c r="I159" i="25" s="1"/>
  <c r="G158" i="25"/>
  <c r="AJ159" i="19"/>
  <c r="J159" i="19" s="1"/>
  <c r="AL156" i="19"/>
  <c r="V157" i="22" s="1"/>
  <c r="AQ162" i="25" l="1"/>
  <c r="AR161" i="25"/>
  <c r="AT158" i="25"/>
  <c r="F158" i="25" s="1"/>
  <c r="BU157" i="19"/>
  <c r="AX158" i="25" s="1"/>
  <c r="T159" i="19"/>
  <c r="BG159" i="19"/>
  <c r="AB159" i="25"/>
  <c r="AV159" i="25" s="1"/>
  <c r="AN157" i="19"/>
  <c r="X158" i="22" s="1"/>
  <c r="M157" i="19"/>
  <c r="L156" i="19"/>
  <c r="T156" i="22" s="1"/>
  <c r="C162" i="25" l="1"/>
  <c r="D161" i="25"/>
  <c r="J158" i="25"/>
  <c r="AA159" i="25"/>
  <c r="BF158" i="19"/>
  <c r="Z159" i="25"/>
  <c r="S158" i="19"/>
  <c r="AF158" i="19" s="1"/>
  <c r="F158" i="19" s="1"/>
  <c r="H159" i="25"/>
  <c r="AK160" i="19"/>
  <c r="K160" i="19" s="1"/>
  <c r="BH159" i="19"/>
  <c r="N157" i="19"/>
  <c r="U157" i="22" s="1"/>
  <c r="BS159" i="19" l="1"/>
  <c r="AW159" i="20"/>
  <c r="AS160" i="25"/>
  <c r="E160" i="25" s="1"/>
  <c r="BE160" i="19" s="1"/>
  <c r="AV159" i="20"/>
  <c r="Q161" i="19"/>
  <c r="AD161" i="19" s="1"/>
  <c r="D161" i="19" s="1"/>
  <c r="N161" i="22" s="1"/>
  <c r="X162" i="25"/>
  <c r="AU162" i="20" s="1"/>
  <c r="BC162" i="19"/>
  <c r="P162" i="19"/>
  <c r="C162" i="19" s="1"/>
  <c r="M162" i="22" s="1"/>
  <c r="W163" i="25"/>
  <c r="AU159" i="25"/>
  <c r="G159" i="25" s="1"/>
  <c r="U158" i="19"/>
  <c r="AH158" i="19" s="1"/>
  <c r="H158" i="19" s="1"/>
  <c r="R158" i="22" s="1"/>
  <c r="AD159" i="25"/>
  <c r="AX159" i="20" s="1"/>
  <c r="AE159" i="25"/>
  <c r="AY159" i="20" s="1"/>
  <c r="AC160" i="25"/>
  <c r="AJ160" i="19"/>
  <c r="J160" i="19" s="1"/>
  <c r="AG159" i="19"/>
  <c r="G159" i="19" s="1"/>
  <c r="R160" i="19" l="1"/>
  <c r="E160" i="19" s="1"/>
  <c r="O160" i="22" s="1"/>
  <c r="Y161" i="25"/>
  <c r="BQ161" i="19" s="1"/>
  <c r="AR162" i="25"/>
  <c r="BO163" i="19"/>
  <c r="AP164" i="25" s="1"/>
  <c r="B164" i="25" s="1"/>
  <c r="AQ163" i="25"/>
  <c r="C163" i="25" s="1"/>
  <c r="BT159" i="19"/>
  <c r="AY159" i="25"/>
  <c r="K159" i="25" s="1"/>
  <c r="AW160" i="25"/>
  <c r="AB160" i="25"/>
  <c r="AV160" i="25" s="1"/>
  <c r="AK161" i="19"/>
  <c r="K161" i="19" s="1"/>
  <c r="AL157" i="19"/>
  <c r="V158" i="22" s="1"/>
  <c r="AN158" i="19"/>
  <c r="X159" i="22" s="1"/>
  <c r="P163" i="19" l="1"/>
  <c r="C163" i="19" s="1"/>
  <c r="BC163" i="19"/>
  <c r="W164" i="25"/>
  <c r="O164" i="19"/>
  <c r="AB164" i="19" s="1"/>
  <c r="B164" i="19" s="1"/>
  <c r="L164" i="22" s="1"/>
  <c r="V165" i="25"/>
  <c r="D162" i="25"/>
  <c r="AT159" i="25"/>
  <c r="F159" i="25" s="1"/>
  <c r="BU158" i="19"/>
  <c r="AX159" i="25" s="1"/>
  <c r="H160" i="25"/>
  <c r="I160" i="25"/>
  <c r="N158" i="19"/>
  <c r="U158" i="22" s="1"/>
  <c r="L157" i="19"/>
  <c r="T157" i="22" s="1"/>
  <c r="M158" i="19"/>
  <c r="Q162" i="19" l="1"/>
  <c r="AD162" i="19" s="1"/>
  <c r="D162" i="19" s="1"/>
  <c r="N162" i="22" s="1"/>
  <c r="X163" i="25"/>
  <c r="AU163" i="20" s="1"/>
  <c r="BO164" i="19"/>
  <c r="AP165" i="25" s="1"/>
  <c r="B165" i="25" s="1"/>
  <c r="J159" i="25"/>
  <c r="S159" i="19"/>
  <c r="AF159" i="19" s="1"/>
  <c r="F159" i="19" s="1"/>
  <c r="BF159" i="19"/>
  <c r="T160" i="19"/>
  <c r="BG160" i="19"/>
  <c r="AC161" i="25"/>
  <c r="Z160" i="25"/>
  <c r="AV160" i="20" s="1"/>
  <c r="AA160" i="25"/>
  <c r="BH160" i="19"/>
  <c r="BS160" i="19" l="1"/>
  <c r="AW160" i="20"/>
  <c r="O165" i="19"/>
  <c r="AB165" i="19" s="1"/>
  <c r="B165" i="19" s="1"/>
  <c r="L165" i="22" s="1"/>
  <c r="V166" i="25"/>
  <c r="AQ164" i="25"/>
  <c r="U159" i="19"/>
  <c r="AH159" i="19" s="1"/>
  <c r="H159" i="19" s="1"/>
  <c r="R159" i="22" s="1"/>
  <c r="AD160" i="25"/>
  <c r="AE160" i="25"/>
  <c r="AY160" i="20" s="1"/>
  <c r="AU160" i="25"/>
  <c r="G160" i="25" s="1"/>
  <c r="AS161" i="25"/>
  <c r="AG160" i="19"/>
  <c r="G160" i="19" s="1"/>
  <c r="AJ161" i="19"/>
  <c r="J161" i="19" s="1"/>
  <c r="AW161" i="25" l="1"/>
  <c r="I161" i="25" s="1"/>
  <c r="T161" i="19" s="1"/>
  <c r="AX160" i="20"/>
  <c r="C164" i="25"/>
  <c r="BT160" i="19"/>
  <c r="AY160" i="25"/>
  <c r="K160" i="25" s="1"/>
  <c r="AB161" i="25"/>
  <c r="E161" i="25"/>
  <c r="BE161" i="19" s="1"/>
  <c r="AN159" i="19"/>
  <c r="X160" i="22" s="1"/>
  <c r="AL158" i="19"/>
  <c r="V159" i="22" s="1"/>
  <c r="BG161" i="19" l="1"/>
  <c r="BC164" i="19"/>
  <c r="P164" i="19"/>
  <c r="C164" i="19" s="1"/>
  <c r="M164" i="22" s="1"/>
  <c r="W165" i="25"/>
  <c r="AT160" i="25"/>
  <c r="F160" i="25" s="1"/>
  <c r="BF160" i="19" s="1"/>
  <c r="BU159" i="19"/>
  <c r="AX160" i="25" s="1"/>
  <c r="Y162" i="25"/>
  <c r="BQ162" i="19" s="1"/>
  <c r="AR163" i="25" s="1"/>
  <c r="R161" i="19"/>
  <c r="E161" i="19" s="1"/>
  <c r="O161" i="22" s="1"/>
  <c r="AV161" i="25"/>
  <c r="H161" i="25" s="1"/>
  <c r="AK162" i="19"/>
  <c r="K162" i="19" s="1"/>
  <c r="L158" i="19"/>
  <c r="T158" i="22" s="1"/>
  <c r="M159" i="19"/>
  <c r="N159" i="19"/>
  <c r="U159" i="22" s="1"/>
  <c r="BO165" i="19" l="1"/>
  <c r="AP166" i="25" s="1"/>
  <c r="D163" i="25"/>
  <c r="AA161" i="25"/>
  <c r="AU161" i="25" s="1"/>
  <c r="G161" i="25" s="1"/>
  <c r="Z161" i="25"/>
  <c r="J160" i="25"/>
  <c r="S160" i="19"/>
  <c r="AF160" i="19" s="1"/>
  <c r="F160" i="19" s="1"/>
  <c r="AC162" i="25"/>
  <c r="AG161" i="19"/>
  <c r="G161" i="19" s="1"/>
  <c r="BH161" i="19"/>
  <c r="BS161" i="19" l="1"/>
  <c r="AW161" i="20"/>
  <c r="AS162" i="25"/>
  <c r="E162" i="25" s="1"/>
  <c r="BE162" i="19" s="1"/>
  <c r="AV161" i="20"/>
  <c r="Q163" i="19"/>
  <c r="AD163" i="19" s="1"/>
  <c r="D163" i="19" s="1"/>
  <c r="N163" i="22" s="1"/>
  <c r="X164" i="25"/>
  <c r="AU164" i="20" s="1"/>
  <c r="B166" i="25"/>
  <c r="U160" i="19"/>
  <c r="AH160" i="19" s="1"/>
  <c r="H160" i="19" s="1"/>
  <c r="R160" i="22" s="1"/>
  <c r="AD161" i="25"/>
  <c r="AE161" i="25"/>
  <c r="AY161" i="20" s="1"/>
  <c r="AB162" i="25"/>
  <c r="AV162" i="25" s="1"/>
  <c r="R162" i="19" l="1"/>
  <c r="E162" i="19" s="1"/>
  <c r="O162" i="22" s="1"/>
  <c r="AW162" i="25"/>
  <c r="I162" i="25" s="1"/>
  <c r="AX161" i="20"/>
  <c r="Y163" i="25"/>
  <c r="BQ163" i="19" s="1"/>
  <c r="O166" i="19"/>
  <c r="AB166" i="19" s="1"/>
  <c r="B166" i="19" s="1"/>
  <c r="L166" i="22" s="1"/>
  <c r="V167" i="25"/>
  <c r="AQ165" i="25"/>
  <c r="AR164" i="25"/>
  <c r="D164" i="25" s="1"/>
  <c r="AY161" i="25"/>
  <c r="K161" i="25" s="1"/>
  <c r="BT161" i="19"/>
  <c r="H162" i="25"/>
  <c r="AJ162" i="19"/>
  <c r="J162" i="19" s="1"/>
  <c r="AN160" i="19"/>
  <c r="X161" i="22" s="1"/>
  <c r="AL159" i="19"/>
  <c r="V160" i="22" s="1"/>
  <c r="Q164" i="19" l="1"/>
  <c r="AD164" i="19" s="1"/>
  <c r="D164" i="19" s="1"/>
  <c r="N164" i="22" s="1"/>
  <c r="X165" i="25"/>
  <c r="AU165" i="20" s="1"/>
  <c r="C165" i="25"/>
  <c r="AT161" i="25"/>
  <c r="F161" i="25" s="1"/>
  <c r="BU160" i="19"/>
  <c r="AX161" i="25" s="1"/>
  <c r="T162" i="19"/>
  <c r="BG162" i="19"/>
  <c r="AC163" i="25"/>
  <c r="AK163" i="19"/>
  <c r="K163" i="19" s="1"/>
  <c r="M160" i="19"/>
  <c r="L159" i="19"/>
  <c r="T159" i="22" s="1"/>
  <c r="N160" i="19"/>
  <c r="U160" i="22" s="1"/>
  <c r="BC165" i="19" l="1"/>
  <c r="P165" i="19"/>
  <c r="C165" i="19" s="1"/>
  <c r="M165" i="22" s="1"/>
  <c r="W166" i="25"/>
  <c r="J161" i="25"/>
  <c r="S161" i="19"/>
  <c r="AF161" i="19" s="1"/>
  <c r="F161" i="19" s="1"/>
  <c r="BF161" i="19"/>
  <c r="Z162" i="25"/>
  <c r="AV162" i="20" s="1"/>
  <c r="AA162" i="25"/>
  <c r="BH162" i="19"/>
  <c r="BS162" i="19" l="1"/>
  <c r="AW162" i="20"/>
  <c r="BO166" i="19"/>
  <c r="AP167" i="25" s="1"/>
  <c r="AQ166" i="25"/>
  <c r="U161" i="19"/>
  <c r="AH161" i="19" s="1"/>
  <c r="H161" i="19" s="1"/>
  <c r="R161" i="22" s="1"/>
  <c r="AD162" i="25"/>
  <c r="AX162" i="20" s="1"/>
  <c r="AE162" i="25"/>
  <c r="AY162" i="20" s="1"/>
  <c r="AS163" i="25"/>
  <c r="AU162" i="25"/>
  <c r="G162" i="25" s="1"/>
  <c r="AJ163" i="19"/>
  <c r="J163" i="19" s="1"/>
  <c r="AG162" i="19"/>
  <c r="G162" i="19" s="1"/>
  <c r="B167" i="25" l="1"/>
  <c r="C166" i="25"/>
  <c r="BT162" i="19"/>
  <c r="AW163" i="25"/>
  <c r="I163" i="25" s="1"/>
  <c r="AY162" i="25"/>
  <c r="K162" i="25" s="1"/>
  <c r="AB163" i="25"/>
  <c r="AV163" i="25" s="1"/>
  <c r="E163" i="25"/>
  <c r="BE163" i="19" s="1"/>
  <c r="AL160" i="19"/>
  <c r="V161" i="22" s="1"/>
  <c r="AN161" i="19"/>
  <c r="X162" i="22" s="1"/>
  <c r="P166" i="19" l="1"/>
  <c r="C166" i="19" s="1"/>
  <c r="M166" i="22" s="1"/>
  <c r="BC166" i="19"/>
  <c r="W167" i="25"/>
  <c r="O167" i="19"/>
  <c r="AB167" i="19" s="1"/>
  <c r="B167" i="19" s="1"/>
  <c r="L167" i="22" s="1"/>
  <c r="V168" i="25"/>
  <c r="AT162" i="25"/>
  <c r="F162" i="25" s="1"/>
  <c r="BU161" i="19"/>
  <c r="AX162" i="25" s="1"/>
  <c r="T163" i="19"/>
  <c r="BG163" i="19"/>
  <c r="Y164" i="25"/>
  <c r="BQ164" i="19" s="1"/>
  <c r="AR165" i="25" s="1"/>
  <c r="R163" i="19"/>
  <c r="E163" i="19" s="1"/>
  <c r="O163" i="22" s="1"/>
  <c r="H163" i="25"/>
  <c r="AK164" i="19"/>
  <c r="K164" i="19" s="1"/>
  <c r="N161" i="19"/>
  <c r="U161" i="22" s="1"/>
  <c r="M161" i="19"/>
  <c r="L160" i="19"/>
  <c r="T160" i="22" s="1"/>
  <c r="BO167" i="19" l="1"/>
  <c r="AP168" i="25" s="1"/>
  <c r="B168" i="25" s="1"/>
  <c r="D165" i="25"/>
  <c r="J162" i="25"/>
  <c r="S162" i="19"/>
  <c r="AF162" i="19" s="1"/>
  <c r="F162" i="19" s="1"/>
  <c r="BF162" i="19"/>
  <c r="AC164" i="25"/>
  <c r="Z163" i="25"/>
  <c r="AV163" i="20" s="1"/>
  <c r="AA163" i="25"/>
  <c r="BH163" i="19"/>
  <c r="BS163" i="19" l="1"/>
  <c r="AW163" i="20"/>
  <c r="O168" i="19"/>
  <c r="AB168" i="19" s="1"/>
  <c r="B168" i="19" s="1"/>
  <c r="L168" i="22" s="1"/>
  <c r="V169" i="25"/>
  <c r="Q165" i="19"/>
  <c r="AD165" i="19" s="1"/>
  <c r="D165" i="19" s="1"/>
  <c r="N165" i="22" s="1"/>
  <c r="X166" i="25"/>
  <c r="AU166" i="20" s="1"/>
  <c r="U162" i="19"/>
  <c r="AH162" i="19" s="1"/>
  <c r="H162" i="19" s="1"/>
  <c r="R162" i="22" s="1"/>
  <c r="AD163" i="25"/>
  <c r="AE163" i="25"/>
  <c r="AY163" i="20" s="1"/>
  <c r="AU163" i="25"/>
  <c r="AS164" i="25"/>
  <c r="AG163" i="19"/>
  <c r="G163" i="19" s="1"/>
  <c r="AW164" i="25" l="1"/>
  <c r="I164" i="25" s="1"/>
  <c r="T164" i="19" s="1"/>
  <c r="AX163" i="20"/>
  <c r="AQ167" i="25"/>
  <c r="BT163" i="19"/>
  <c r="AY163" i="25"/>
  <c r="K163" i="25" s="1"/>
  <c r="E164" i="25"/>
  <c r="BE164" i="19" s="1"/>
  <c r="G163" i="25"/>
  <c r="AJ164" i="19"/>
  <c r="J164" i="19" s="1"/>
  <c r="AL161" i="19"/>
  <c r="V162" i="22" s="1"/>
  <c r="AN162" i="19"/>
  <c r="X163" i="22" s="1"/>
  <c r="BG164" i="19" l="1"/>
  <c r="C167" i="25"/>
  <c r="AT163" i="25"/>
  <c r="F163" i="25" s="1"/>
  <c r="BF163" i="19" s="1"/>
  <c r="BU162" i="19"/>
  <c r="AX163" i="25" s="1"/>
  <c r="Y165" i="25"/>
  <c r="BQ165" i="19" s="1"/>
  <c r="AR166" i="25" s="1"/>
  <c r="D166" i="25" s="1"/>
  <c r="R164" i="19"/>
  <c r="E164" i="19" s="1"/>
  <c r="O164" i="22" s="1"/>
  <c r="AB164" i="25"/>
  <c r="N162" i="19"/>
  <c r="U162" i="22" s="1"/>
  <c r="L161" i="19"/>
  <c r="T161" i="22" s="1"/>
  <c r="M162" i="19"/>
  <c r="BC167" i="19" l="1"/>
  <c r="P167" i="19"/>
  <c r="C167" i="19" s="1"/>
  <c r="M167" i="22" s="1"/>
  <c r="W168" i="25"/>
  <c r="Q166" i="19"/>
  <c r="AD166" i="19" s="1"/>
  <c r="D166" i="19" s="1"/>
  <c r="N166" i="22" s="1"/>
  <c r="X167" i="25"/>
  <c r="AU167" i="20" s="1"/>
  <c r="J163" i="25"/>
  <c r="Z164" i="25"/>
  <c r="S163" i="19"/>
  <c r="AF163" i="19" s="1"/>
  <c r="F163" i="19" s="1"/>
  <c r="AA164" i="25"/>
  <c r="AV164" i="25"/>
  <c r="BH164" i="19"/>
  <c r="AK165" i="19"/>
  <c r="K165" i="19" s="1"/>
  <c r="BS164" i="19" l="1"/>
  <c r="AW164" i="20"/>
  <c r="AS165" i="25"/>
  <c r="E165" i="25" s="1"/>
  <c r="BE165" i="19" s="1"/>
  <c r="AV164" i="20"/>
  <c r="BO168" i="19"/>
  <c r="AP169" i="25" s="1"/>
  <c r="AQ168" i="25"/>
  <c r="U163" i="19"/>
  <c r="AH163" i="19" s="1"/>
  <c r="H163" i="19" s="1"/>
  <c r="R163" i="22" s="1"/>
  <c r="AD164" i="25"/>
  <c r="AX164" i="20" s="1"/>
  <c r="AE164" i="25"/>
  <c r="AY164" i="20" s="1"/>
  <c r="H164" i="25"/>
  <c r="AU164" i="25"/>
  <c r="AG164" i="19"/>
  <c r="G164" i="19" s="1"/>
  <c r="AL162" i="19"/>
  <c r="V163" i="22" s="1"/>
  <c r="R165" i="19" l="1"/>
  <c r="E165" i="19" s="1"/>
  <c r="O165" i="22" s="1"/>
  <c r="Y166" i="25"/>
  <c r="BQ166" i="19" s="1"/>
  <c r="AR167" i="25" s="1"/>
  <c r="D167" i="25" s="1"/>
  <c r="B169" i="25"/>
  <c r="C168" i="25"/>
  <c r="AY164" i="25"/>
  <c r="K164" i="25" s="1"/>
  <c r="BT164" i="19"/>
  <c r="AT164" i="25"/>
  <c r="F164" i="25" s="1"/>
  <c r="BF164" i="19" s="1"/>
  <c r="BU163" i="19"/>
  <c r="AX164" i="25" s="1"/>
  <c r="AC165" i="25"/>
  <c r="G164" i="25"/>
  <c r="L162" i="19"/>
  <c r="T162" i="22" s="1"/>
  <c r="AJ165" i="19"/>
  <c r="J165" i="19" s="1"/>
  <c r="AN163" i="19"/>
  <c r="X164" i="22" s="1"/>
  <c r="BC168" i="19" l="1"/>
  <c r="P168" i="19"/>
  <c r="C168" i="19" s="1"/>
  <c r="M168" i="22" s="1"/>
  <c r="W169" i="25"/>
  <c r="Q167" i="19"/>
  <c r="AD167" i="19" s="1"/>
  <c r="D167" i="19" s="1"/>
  <c r="N167" i="22" s="1"/>
  <c r="X168" i="25"/>
  <c r="AU168" i="20" s="1"/>
  <c r="O169" i="19"/>
  <c r="AB169" i="19" s="1"/>
  <c r="B169" i="19" s="1"/>
  <c r="L169" i="22" s="1"/>
  <c r="V170" i="25"/>
  <c r="AA165" i="25"/>
  <c r="J164" i="25"/>
  <c r="AE165" i="25" s="1"/>
  <c r="S164" i="19"/>
  <c r="AF164" i="19" s="1"/>
  <c r="F164" i="19" s="1"/>
  <c r="Z165" i="25"/>
  <c r="AB165" i="25"/>
  <c r="AW165" i="25"/>
  <c r="BH165" i="19"/>
  <c r="N163" i="19"/>
  <c r="U163" i="22" s="1"/>
  <c r="M163" i="19"/>
  <c r="AY165" i="25" l="1"/>
  <c r="K165" i="25" s="1"/>
  <c r="AY165" i="20"/>
  <c r="BS165" i="19"/>
  <c r="AW165" i="20"/>
  <c r="AS166" i="25"/>
  <c r="E166" i="25" s="1"/>
  <c r="BE166" i="19" s="1"/>
  <c r="AV165" i="20"/>
  <c r="AU165" i="25"/>
  <c r="G165" i="25" s="1"/>
  <c r="BO169" i="19"/>
  <c r="AP170" i="25" s="1"/>
  <c r="AQ169" i="25"/>
  <c r="U164" i="19"/>
  <c r="AH164" i="19" s="1"/>
  <c r="H164" i="19" s="1"/>
  <c r="R164" i="22" s="1"/>
  <c r="AD165" i="25"/>
  <c r="AX165" i="20" s="1"/>
  <c r="AV165" i="25"/>
  <c r="I165" i="25"/>
  <c r="AJ166" i="19"/>
  <c r="J166" i="19" s="1"/>
  <c r="AK166" i="19"/>
  <c r="K166" i="19" s="1"/>
  <c r="AL163" i="19"/>
  <c r="V164" i="22" s="1"/>
  <c r="Y167" i="25" l="1"/>
  <c r="BQ167" i="19" s="1"/>
  <c r="AR168" i="25" s="1"/>
  <c r="D168" i="25" s="1"/>
  <c r="R166" i="19"/>
  <c r="E166" i="19" s="1"/>
  <c r="O166" i="22" s="1"/>
  <c r="C169" i="25"/>
  <c r="B170" i="25"/>
  <c r="AT165" i="25"/>
  <c r="F165" i="25" s="1"/>
  <c r="BU164" i="19"/>
  <c r="AX165" i="25" s="1"/>
  <c r="J165" i="25" s="1"/>
  <c r="BT165" i="19"/>
  <c r="T165" i="19"/>
  <c r="AG165" i="19" s="1"/>
  <c r="G165" i="19" s="1"/>
  <c r="BG165" i="19"/>
  <c r="H165" i="25"/>
  <c r="AB166" i="25" s="1"/>
  <c r="AV166" i="25" s="1"/>
  <c r="AN164" i="19"/>
  <c r="X165" i="22" s="1"/>
  <c r="M164" i="19"/>
  <c r="L163" i="19"/>
  <c r="T163" i="22" s="1"/>
  <c r="O170" i="19" l="1"/>
  <c r="AB170" i="19" s="1"/>
  <c r="B170" i="19" s="1"/>
  <c r="L170" i="22" s="1"/>
  <c r="V171" i="25"/>
  <c r="P169" i="19"/>
  <c r="C169" i="19" s="1"/>
  <c r="M169" i="22" s="1"/>
  <c r="BC169" i="19"/>
  <c r="W170" i="25"/>
  <c r="Q168" i="19"/>
  <c r="AD168" i="19" s="1"/>
  <c r="D168" i="19" s="1"/>
  <c r="N168" i="22" s="1"/>
  <c r="X169" i="25"/>
  <c r="AU169" i="20" s="1"/>
  <c r="U165" i="19"/>
  <c r="AH165" i="19" s="1"/>
  <c r="H165" i="19" s="1"/>
  <c r="R165" i="22" s="1"/>
  <c r="AE166" i="25"/>
  <c r="AY166" i="20" s="1"/>
  <c r="AD166" i="25"/>
  <c r="S165" i="19"/>
  <c r="AF165" i="19" s="1"/>
  <c r="F165" i="19" s="1"/>
  <c r="BF165" i="19"/>
  <c r="AC166" i="25"/>
  <c r="AW166" i="25" s="1"/>
  <c r="I166" i="25" s="1"/>
  <c r="H166" i="25"/>
  <c r="Z166" i="25"/>
  <c r="AV166" i="20" s="1"/>
  <c r="AA166" i="25"/>
  <c r="AW166" i="20" s="1"/>
  <c r="AK167" i="19"/>
  <c r="K167" i="19" s="1"/>
  <c r="N164" i="19"/>
  <c r="U164" i="22" s="1"/>
  <c r="BH166" i="19"/>
  <c r="BT166" i="19" l="1"/>
  <c r="AX166" i="20"/>
  <c r="AY166" i="25"/>
  <c r="K166" i="25" s="1"/>
  <c r="BO170" i="19"/>
  <c r="AP171" i="25" s="1"/>
  <c r="AQ170" i="25"/>
  <c r="C170" i="25" s="1"/>
  <c r="AU166" i="25"/>
  <c r="G166" i="25" s="1"/>
  <c r="AB167" i="25" s="1"/>
  <c r="BS166" i="19"/>
  <c r="T166" i="19"/>
  <c r="AG166" i="19" s="1"/>
  <c r="G166" i="19" s="1"/>
  <c r="BG166" i="19"/>
  <c r="AS167" i="25"/>
  <c r="AC167" i="25"/>
  <c r="AJ167" i="19"/>
  <c r="J167" i="19" s="1"/>
  <c r="AN165" i="19"/>
  <c r="X166" i="22" s="1"/>
  <c r="BC170" i="19" l="1"/>
  <c r="P170" i="19"/>
  <c r="C170" i="19" s="1"/>
  <c r="W171" i="25"/>
  <c r="B171" i="25"/>
  <c r="AV167" i="25"/>
  <c r="H167" i="25" s="1"/>
  <c r="E167" i="25"/>
  <c r="BE167" i="19" s="1"/>
  <c r="AW167" i="25"/>
  <c r="AK168" i="19"/>
  <c r="K168" i="19" s="1"/>
  <c r="N165" i="19"/>
  <c r="U165" i="22" s="1"/>
  <c r="AL164" i="19"/>
  <c r="V165" i="22" s="1"/>
  <c r="BO171" i="19" l="1"/>
  <c r="O171" i="19"/>
  <c r="AB171" i="19" s="1"/>
  <c r="B171" i="19" s="1"/>
  <c r="L171" i="22" s="1"/>
  <c r="V172" i="25"/>
  <c r="AT166" i="25"/>
  <c r="F166" i="25" s="1"/>
  <c r="BU165" i="19"/>
  <c r="AX166" i="25" s="1"/>
  <c r="J166" i="25" s="1"/>
  <c r="Y168" i="25"/>
  <c r="BQ168" i="19" s="1"/>
  <c r="AR169" i="25" s="1"/>
  <c r="R167" i="19"/>
  <c r="E167" i="19" s="1"/>
  <c r="O167" i="22" s="1"/>
  <c r="I167" i="25"/>
  <c r="BG167" i="19" s="1"/>
  <c r="L164" i="19"/>
  <c r="T164" i="22" s="1"/>
  <c r="M165" i="19"/>
  <c r="D169" i="25" l="1"/>
  <c r="AP172" i="25"/>
  <c r="B172" i="25" s="1"/>
  <c r="O172" i="19" s="1"/>
  <c r="AB172" i="19" s="1"/>
  <c r="B172" i="19" s="1"/>
  <c r="L172" i="22" s="1"/>
  <c r="U166" i="19"/>
  <c r="AH166" i="19" s="1"/>
  <c r="H166" i="19" s="1"/>
  <c r="R166" i="22" s="1"/>
  <c r="AD167" i="25"/>
  <c r="AE167" i="25"/>
  <c r="AY167" i="20" s="1"/>
  <c r="S166" i="19"/>
  <c r="AF166" i="19" s="1"/>
  <c r="F166" i="19" s="1"/>
  <c r="BF166" i="19"/>
  <c r="AC168" i="25"/>
  <c r="T167" i="19"/>
  <c r="Z167" i="25"/>
  <c r="AV167" i="20" s="1"/>
  <c r="AA167" i="25"/>
  <c r="BH167" i="19"/>
  <c r="AW168" i="25" l="1"/>
  <c r="I168" i="25" s="1"/>
  <c r="T168" i="19" s="1"/>
  <c r="BT167" i="19"/>
  <c r="AX167" i="20"/>
  <c r="BS167" i="19"/>
  <c r="AW167" i="20"/>
  <c r="V173" i="25"/>
  <c r="Q169" i="19"/>
  <c r="AD169" i="19" s="1"/>
  <c r="D169" i="19" s="1"/>
  <c r="N169" i="22" s="1"/>
  <c r="X170" i="25"/>
  <c r="AU170" i="20" s="1"/>
  <c r="AY167" i="25"/>
  <c r="K167" i="25" s="1"/>
  <c r="BG168" i="19"/>
  <c r="AU167" i="25"/>
  <c r="AS168" i="25"/>
  <c r="AG167" i="19"/>
  <c r="G167" i="19" s="1"/>
  <c r="AJ168" i="19"/>
  <c r="J168" i="19" s="1"/>
  <c r="AL165" i="19"/>
  <c r="V166" i="22" s="1"/>
  <c r="AQ171" i="25" l="1"/>
  <c r="AT167" i="25"/>
  <c r="F167" i="25" s="1"/>
  <c r="BF167" i="19" s="1"/>
  <c r="BU166" i="19"/>
  <c r="AX167" i="25" s="1"/>
  <c r="G167" i="25"/>
  <c r="E168" i="25"/>
  <c r="BE168" i="19" s="1"/>
  <c r="M166" i="19"/>
  <c r="AN166" i="19"/>
  <c r="X167" i="22" s="1"/>
  <c r="L165" i="19"/>
  <c r="T165" i="22" s="1"/>
  <c r="C171" i="25" l="1"/>
  <c r="J167" i="25"/>
  <c r="Z168" i="25"/>
  <c r="AV168" i="20" s="1"/>
  <c r="S167" i="19"/>
  <c r="AF167" i="19" s="1"/>
  <c r="F167" i="19" s="1"/>
  <c r="Y169" i="25"/>
  <c r="BQ169" i="19" s="1"/>
  <c r="AR170" i="25" s="1"/>
  <c r="R168" i="19"/>
  <c r="E168" i="19" s="1"/>
  <c r="O168" i="22" s="1"/>
  <c r="AA168" i="25"/>
  <c r="AB168" i="25"/>
  <c r="BH168" i="19"/>
  <c r="AK169" i="19"/>
  <c r="K169" i="19" s="1"/>
  <c r="N166" i="19"/>
  <c r="U166" i="22" s="1"/>
  <c r="BS168" i="19" l="1"/>
  <c r="AW168" i="20"/>
  <c r="D170" i="25"/>
  <c r="P171" i="19"/>
  <c r="C171" i="19" s="1"/>
  <c r="BC171" i="19"/>
  <c r="W172" i="25"/>
  <c r="U167" i="19"/>
  <c r="AH167" i="19" s="1"/>
  <c r="H167" i="19" s="1"/>
  <c r="R167" i="22" s="1"/>
  <c r="AD168" i="25"/>
  <c r="AX168" i="20" s="1"/>
  <c r="AE168" i="25"/>
  <c r="AY168" i="20" s="1"/>
  <c r="AS169" i="25"/>
  <c r="E169" i="25" s="1"/>
  <c r="BE169" i="19" s="1"/>
  <c r="AV168" i="25"/>
  <c r="H168" i="25" s="1"/>
  <c r="AU168" i="25"/>
  <c r="AG168" i="19"/>
  <c r="G168" i="19" s="1"/>
  <c r="AJ169" i="19"/>
  <c r="J169" i="19" s="1"/>
  <c r="AN167" i="19"/>
  <c r="X168" i="22" s="1"/>
  <c r="BO172" i="19" l="1"/>
  <c r="AP173" i="25" s="1"/>
  <c r="B173" i="25" s="1"/>
  <c r="Q170" i="19"/>
  <c r="AD170" i="19" s="1"/>
  <c r="D170" i="19" s="1"/>
  <c r="N170" i="22" s="1"/>
  <c r="X171" i="25"/>
  <c r="AY168" i="25"/>
  <c r="K168" i="25" s="1"/>
  <c r="BT168" i="19"/>
  <c r="Y170" i="25"/>
  <c r="BQ170" i="19" s="1"/>
  <c r="R169" i="19"/>
  <c r="E169" i="19" s="1"/>
  <c r="O169" i="22" s="1"/>
  <c r="AC169" i="25"/>
  <c r="G168" i="25"/>
  <c r="N167" i="19"/>
  <c r="U167" i="22" s="1"/>
  <c r="AL166" i="19"/>
  <c r="V167" i="22" s="1"/>
  <c r="AQ172" i="25" l="1"/>
  <c r="C172" i="25" s="1"/>
  <c r="AU171" i="20"/>
  <c r="O173" i="19"/>
  <c r="AB173" i="19" s="1"/>
  <c r="B173" i="19" s="1"/>
  <c r="L173" i="22" s="1"/>
  <c r="V174" i="25"/>
  <c r="AR171" i="25"/>
  <c r="D171" i="25" s="1"/>
  <c r="AT168" i="25"/>
  <c r="F168" i="25" s="1"/>
  <c r="BF168" i="19" s="1"/>
  <c r="BU167" i="19"/>
  <c r="AX168" i="25" s="1"/>
  <c r="AW169" i="25"/>
  <c r="I169" i="25" s="1"/>
  <c r="AB169" i="25"/>
  <c r="BH169" i="19"/>
  <c r="AK170" i="19"/>
  <c r="K170" i="19" s="1"/>
  <c r="L166" i="19"/>
  <c r="T166" i="22" s="1"/>
  <c r="M167" i="19"/>
  <c r="Q171" i="19" l="1"/>
  <c r="AD171" i="19" s="1"/>
  <c r="D171" i="19" s="1"/>
  <c r="N171" i="22" s="1"/>
  <c r="X172" i="25"/>
  <c r="AU172" i="20" s="1"/>
  <c r="BC172" i="19"/>
  <c r="P172" i="19"/>
  <c r="C172" i="19" s="1"/>
  <c r="M172" i="22" s="1"/>
  <c r="W173" i="25"/>
  <c r="J168" i="25"/>
  <c r="T169" i="19"/>
  <c r="BG169" i="19"/>
  <c r="Z169" i="25"/>
  <c r="S168" i="19"/>
  <c r="AF168" i="19" s="1"/>
  <c r="F168" i="19" s="1"/>
  <c r="AA169" i="25"/>
  <c r="AW169" i="20" s="1"/>
  <c r="AV169" i="25"/>
  <c r="AJ170" i="19"/>
  <c r="J170" i="19" s="1"/>
  <c r="AS170" i="25" l="1"/>
  <c r="E170" i="25" s="1"/>
  <c r="BE170" i="19" s="1"/>
  <c r="AV169" i="20"/>
  <c r="BO173" i="19"/>
  <c r="AP174" i="25" s="1"/>
  <c r="B174" i="25" s="1"/>
  <c r="AQ173" i="25"/>
  <c r="C173" i="25" s="1"/>
  <c r="U168" i="19"/>
  <c r="AH168" i="19" s="1"/>
  <c r="H168" i="19" s="1"/>
  <c r="R168" i="22" s="1"/>
  <c r="AD169" i="25"/>
  <c r="AX169" i="20" s="1"/>
  <c r="AE169" i="25"/>
  <c r="AY169" i="20" s="1"/>
  <c r="AU169" i="25"/>
  <c r="G169" i="25" s="1"/>
  <c r="BS169" i="19"/>
  <c r="H169" i="25"/>
  <c r="AK171" i="19"/>
  <c r="K171" i="19" s="1"/>
  <c r="AG169" i="19"/>
  <c r="G169" i="19" s="1"/>
  <c r="AL167" i="19"/>
  <c r="V168" i="22" s="1"/>
  <c r="O174" i="19" l="1"/>
  <c r="AB174" i="19" s="1"/>
  <c r="B174" i="19" s="1"/>
  <c r="L174" i="22" s="1"/>
  <c r="V175" i="25"/>
  <c r="P173" i="19"/>
  <c r="C173" i="19" s="1"/>
  <c r="BC173" i="19"/>
  <c r="W174" i="25"/>
  <c r="AY169" i="25"/>
  <c r="K169" i="25" s="1"/>
  <c r="BT169" i="19"/>
  <c r="AT169" i="25"/>
  <c r="F169" i="25" s="1"/>
  <c r="BF169" i="19" s="1"/>
  <c r="BU168" i="19"/>
  <c r="AX169" i="25" s="1"/>
  <c r="Y171" i="25"/>
  <c r="BQ171" i="19" s="1"/>
  <c r="AR172" i="25" s="1"/>
  <c r="R170" i="19"/>
  <c r="E170" i="19" s="1"/>
  <c r="O170" i="22" s="1"/>
  <c r="AB170" i="25"/>
  <c r="AC170" i="25"/>
  <c r="M168" i="19"/>
  <c r="AN168" i="19"/>
  <c r="X169" i="22" s="1"/>
  <c r="L167" i="19"/>
  <c r="T167" i="22" s="1"/>
  <c r="D172" i="25" l="1"/>
  <c r="BO174" i="19"/>
  <c r="AP175" i="25" s="1"/>
  <c r="B175" i="25" s="1"/>
  <c r="J169" i="25"/>
  <c r="AE170" i="25" s="1"/>
  <c r="AY170" i="20" s="1"/>
  <c r="AA170" i="25"/>
  <c r="Z170" i="25"/>
  <c r="AV170" i="20" s="1"/>
  <c r="S169" i="19"/>
  <c r="AF169" i="19" s="1"/>
  <c r="F169" i="19" s="1"/>
  <c r="AS171" i="25"/>
  <c r="E171" i="25" s="1"/>
  <c r="BE171" i="19" s="1"/>
  <c r="AW170" i="25"/>
  <c r="I170" i="25" s="1"/>
  <c r="AV170" i="25"/>
  <c r="H170" i="25" s="1"/>
  <c r="N168" i="19"/>
  <c r="U168" i="22" s="1"/>
  <c r="BH170" i="19"/>
  <c r="BS170" i="19" l="1"/>
  <c r="AW170" i="20"/>
  <c r="AU170" i="25"/>
  <c r="G170" i="25" s="1"/>
  <c r="AB171" i="25" s="1"/>
  <c r="AV171" i="25" s="1"/>
  <c r="H171" i="25" s="1"/>
  <c r="O175" i="19"/>
  <c r="AB175" i="19" s="1"/>
  <c r="B175" i="19" s="1"/>
  <c r="L175" i="22" s="1"/>
  <c r="V176" i="25"/>
  <c r="Q172" i="19"/>
  <c r="AD172" i="19" s="1"/>
  <c r="D172" i="19" s="1"/>
  <c r="N172" i="22" s="1"/>
  <c r="X173" i="25"/>
  <c r="AU173" i="20" s="1"/>
  <c r="AY170" i="25"/>
  <c r="K170" i="25" s="1"/>
  <c r="U169" i="19"/>
  <c r="AH169" i="19" s="1"/>
  <c r="H169" i="19" s="1"/>
  <c r="R169" i="22" s="1"/>
  <c r="AD170" i="25"/>
  <c r="AX170" i="20" s="1"/>
  <c r="T170" i="19"/>
  <c r="AG170" i="19" s="1"/>
  <c r="G170" i="19" s="1"/>
  <c r="BG170" i="19"/>
  <c r="Y172" i="25"/>
  <c r="BQ172" i="19" s="1"/>
  <c r="R171" i="19"/>
  <c r="E171" i="19" s="1"/>
  <c r="O171" i="22" s="1"/>
  <c r="AC171" i="25"/>
  <c r="AW171" i="25" s="1"/>
  <c r="AJ171" i="19"/>
  <c r="J171" i="19" s="1"/>
  <c r="AQ174" i="25" l="1"/>
  <c r="AR173" i="25"/>
  <c r="BT170" i="19"/>
  <c r="I171" i="25"/>
  <c r="BG171" i="19" s="1"/>
  <c r="AK172" i="19"/>
  <c r="K172" i="19" s="1"/>
  <c r="AL168" i="19"/>
  <c r="V169" i="22" s="1"/>
  <c r="AN169" i="19"/>
  <c r="X170" i="22" s="1"/>
  <c r="D173" i="25" l="1"/>
  <c r="C174" i="25"/>
  <c r="AT170" i="25"/>
  <c r="F170" i="25" s="1"/>
  <c r="BU169" i="19"/>
  <c r="AX170" i="25" s="1"/>
  <c r="AC172" i="25"/>
  <c r="T171" i="19"/>
  <c r="BH171" i="19"/>
  <c r="L168" i="19"/>
  <c r="T168" i="22" s="1"/>
  <c r="N169" i="19"/>
  <c r="U169" i="22" s="1"/>
  <c r="M169" i="19"/>
  <c r="BC174" i="19" l="1"/>
  <c r="P174" i="19"/>
  <c r="C174" i="19" s="1"/>
  <c r="M174" i="22" s="1"/>
  <c r="W175" i="25"/>
  <c r="Q173" i="19"/>
  <c r="AD173" i="19" s="1"/>
  <c r="D173" i="19" s="1"/>
  <c r="N173" i="22" s="1"/>
  <c r="X174" i="25"/>
  <c r="AU174" i="20" s="1"/>
  <c r="J170" i="25"/>
  <c r="S170" i="19"/>
  <c r="AF170" i="19" s="1"/>
  <c r="F170" i="19" s="1"/>
  <c r="BF170" i="19"/>
  <c r="Z171" i="25"/>
  <c r="AV171" i="20" s="1"/>
  <c r="AA171" i="25"/>
  <c r="AG171" i="19"/>
  <c r="G171" i="19" s="1"/>
  <c r="AJ172" i="19"/>
  <c r="J172" i="19" s="1"/>
  <c r="BS171" i="19" l="1"/>
  <c r="AW171" i="20"/>
  <c r="BO175" i="19"/>
  <c r="AP176" i="25" s="1"/>
  <c r="B176" i="25" s="1"/>
  <c r="AQ175" i="25"/>
  <c r="U170" i="19"/>
  <c r="AH170" i="19" s="1"/>
  <c r="H170" i="19" s="1"/>
  <c r="R170" i="22" s="1"/>
  <c r="AD171" i="25"/>
  <c r="AX171" i="20" s="1"/>
  <c r="AE171" i="25"/>
  <c r="AU171" i="25"/>
  <c r="G171" i="25" s="1"/>
  <c r="AS172" i="25"/>
  <c r="AL169" i="19"/>
  <c r="V170" i="22" s="1"/>
  <c r="AY171" i="25" l="1"/>
  <c r="K171" i="25" s="1"/>
  <c r="AY171" i="20"/>
  <c r="C175" i="25"/>
  <c r="O176" i="19"/>
  <c r="AB176" i="19" s="1"/>
  <c r="B176" i="19" s="1"/>
  <c r="L176" i="22" s="1"/>
  <c r="V177" i="25"/>
  <c r="AT171" i="25"/>
  <c r="F171" i="25" s="1"/>
  <c r="BU170" i="19"/>
  <c r="AX171" i="25" s="1"/>
  <c r="BT171" i="19"/>
  <c r="AW172" i="25"/>
  <c r="I172" i="25" s="1"/>
  <c r="E172" i="25"/>
  <c r="BE172" i="19" s="1"/>
  <c r="AB172" i="25"/>
  <c r="BH172" i="19"/>
  <c r="AJ173" i="19"/>
  <c r="J173" i="19" s="1"/>
  <c r="AK173" i="19"/>
  <c r="K173" i="19" s="1"/>
  <c r="AN170" i="19"/>
  <c r="X171" i="22" s="1"/>
  <c r="M170" i="19"/>
  <c r="L169" i="19"/>
  <c r="T169" i="22" s="1"/>
  <c r="BC175" i="19" l="1"/>
  <c r="P175" i="19"/>
  <c r="C175" i="19" s="1"/>
  <c r="M175" i="22" s="1"/>
  <c r="W176" i="25"/>
  <c r="T172" i="19"/>
  <c r="BG172" i="19"/>
  <c r="J171" i="25"/>
  <c r="AA172" i="25"/>
  <c r="BF171" i="19"/>
  <c r="Y173" i="25"/>
  <c r="BQ173" i="19" s="1"/>
  <c r="AR174" i="25" s="1"/>
  <c r="R172" i="19"/>
  <c r="E172" i="19" s="1"/>
  <c r="O172" i="22" s="1"/>
  <c r="Z172" i="25"/>
  <c r="AV172" i="20" s="1"/>
  <c r="S171" i="19"/>
  <c r="AF171" i="19" s="1"/>
  <c r="F171" i="19" s="1"/>
  <c r="AV172" i="25"/>
  <c r="H172" i="25" s="1"/>
  <c r="N170" i="19"/>
  <c r="U170" i="22" s="1"/>
  <c r="BS172" i="19" l="1"/>
  <c r="AW172" i="20"/>
  <c r="D174" i="25"/>
  <c r="BO176" i="19"/>
  <c r="AP177" i="25" s="1"/>
  <c r="AS173" i="25"/>
  <c r="E173" i="25" s="1"/>
  <c r="BE173" i="19" s="1"/>
  <c r="U171" i="19"/>
  <c r="AH171" i="19" s="1"/>
  <c r="H171" i="19" s="1"/>
  <c r="R171" i="22" s="1"/>
  <c r="AE172" i="25"/>
  <c r="AY172" i="20" s="1"/>
  <c r="AD172" i="25"/>
  <c r="AX172" i="20" s="1"/>
  <c r="AU172" i="25"/>
  <c r="G172" i="25" s="1"/>
  <c r="AB173" i="25" s="1"/>
  <c r="AC173" i="25"/>
  <c r="AK174" i="19"/>
  <c r="K174" i="19" s="1"/>
  <c r="AG172" i="19"/>
  <c r="G172" i="19" s="1"/>
  <c r="B177" i="25" l="1"/>
  <c r="Q174" i="19"/>
  <c r="AD174" i="19" s="1"/>
  <c r="D174" i="19" s="1"/>
  <c r="N174" i="22" s="1"/>
  <c r="X175" i="25"/>
  <c r="AU175" i="20" s="1"/>
  <c r="R173" i="19"/>
  <c r="E173" i="19" s="1"/>
  <c r="O173" i="22" s="1"/>
  <c r="Y174" i="25"/>
  <c r="BQ174" i="19" s="1"/>
  <c r="BT172" i="19"/>
  <c r="AY172" i="25"/>
  <c r="K172" i="25" s="1"/>
  <c r="AW173" i="25"/>
  <c r="AV173" i="25"/>
  <c r="H173" i="25" s="1"/>
  <c r="AL170" i="19"/>
  <c r="V171" i="22" s="1"/>
  <c r="AN171" i="19"/>
  <c r="AR175" i="25" l="1"/>
  <c r="AQ176" i="25"/>
  <c r="O177" i="19"/>
  <c r="AB177" i="19" s="1"/>
  <c r="B177" i="19" s="1"/>
  <c r="L177" i="22" s="1"/>
  <c r="V178" i="25"/>
  <c r="AT172" i="25"/>
  <c r="F172" i="25" s="1"/>
  <c r="BU171" i="19"/>
  <c r="AX172" i="25" s="1"/>
  <c r="I173" i="25"/>
  <c r="N171" i="19"/>
  <c r="U171" i="22" s="1"/>
  <c r="X172" i="22"/>
  <c r="L170" i="19"/>
  <c r="T170" i="22" s="1"/>
  <c r="M171" i="19"/>
  <c r="C176" i="25" l="1"/>
  <c r="D175" i="25"/>
  <c r="J172" i="25"/>
  <c r="S172" i="19"/>
  <c r="AF172" i="19" s="1"/>
  <c r="F172" i="19" s="1"/>
  <c r="BF172" i="19"/>
  <c r="T173" i="19"/>
  <c r="AG173" i="19" s="1"/>
  <c r="G173" i="19" s="1"/>
  <c r="BG173" i="19"/>
  <c r="AC174" i="25"/>
  <c r="Z173" i="25"/>
  <c r="AV173" i="20" s="1"/>
  <c r="AA173" i="25"/>
  <c r="BH173" i="19"/>
  <c r="BS173" i="19" l="1"/>
  <c r="AW173" i="20"/>
  <c r="Q175" i="19"/>
  <c r="AD175" i="19" s="1"/>
  <c r="D175" i="19" s="1"/>
  <c r="N175" i="22" s="1"/>
  <c r="X176" i="25"/>
  <c r="AU176" i="20" s="1"/>
  <c r="BC176" i="19"/>
  <c r="P176" i="19"/>
  <c r="C176" i="19" s="1"/>
  <c r="M176" i="22" s="1"/>
  <c r="W177" i="25"/>
  <c r="U172" i="19"/>
  <c r="AH172" i="19" s="1"/>
  <c r="H172" i="19" s="1"/>
  <c r="R172" i="22" s="1"/>
  <c r="AD173" i="25"/>
  <c r="AX173" i="20" s="1"/>
  <c r="AE173" i="25"/>
  <c r="AY173" i="20" s="1"/>
  <c r="AU173" i="25"/>
  <c r="G173" i="25" s="1"/>
  <c r="AS174" i="25"/>
  <c r="AJ174" i="19"/>
  <c r="J174" i="19" s="1"/>
  <c r="BO177" i="19" l="1"/>
  <c r="AP178" i="25" s="1"/>
  <c r="AQ177" i="25"/>
  <c r="C177" i="25" s="1"/>
  <c r="BT173" i="19"/>
  <c r="AW174" i="25"/>
  <c r="I174" i="25" s="1"/>
  <c r="BG174" i="19" s="1"/>
  <c r="AY173" i="25"/>
  <c r="K173" i="25" s="1"/>
  <c r="AB174" i="25"/>
  <c r="E174" i="25"/>
  <c r="BE174" i="19" s="1"/>
  <c r="AL171" i="19"/>
  <c r="V172" i="22" s="1"/>
  <c r="AN172" i="19"/>
  <c r="X173" i="22" s="1"/>
  <c r="BC177" i="19" l="1"/>
  <c r="P177" i="19"/>
  <c r="C177" i="19" s="1"/>
  <c r="M177" i="22" s="1"/>
  <c r="W178" i="25"/>
  <c r="B178" i="25"/>
  <c r="T174" i="19"/>
  <c r="AT173" i="25"/>
  <c r="F173" i="25" s="1"/>
  <c r="BU172" i="19"/>
  <c r="AX173" i="25" s="1"/>
  <c r="Y175" i="25"/>
  <c r="BQ175" i="19" s="1"/>
  <c r="AR176" i="25" s="1"/>
  <c r="R174" i="19"/>
  <c r="E174" i="19" s="1"/>
  <c r="O174" i="22" s="1"/>
  <c r="AV174" i="25"/>
  <c r="H174" i="25" s="1"/>
  <c r="AK175" i="19"/>
  <c r="K175" i="19" s="1"/>
  <c r="L171" i="19"/>
  <c r="T171" i="22" s="1"/>
  <c r="M172" i="19"/>
  <c r="N172" i="19"/>
  <c r="U172" i="22" s="1"/>
  <c r="BO178" i="19" l="1"/>
  <c r="D176" i="25"/>
  <c r="O178" i="19"/>
  <c r="AB178" i="19" s="1"/>
  <c r="B178" i="19" s="1"/>
  <c r="L178" i="22" s="1"/>
  <c r="V179" i="25"/>
  <c r="J173" i="25"/>
  <c r="S173" i="19"/>
  <c r="AF173" i="19" s="1"/>
  <c r="F173" i="19" s="1"/>
  <c r="BF173" i="19"/>
  <c r="AC175" i="25"/>
  <c r="Z174" i="25"/>
  <c r="AV174" i="20" s="1"/>
  <c r="AA174" i="25"/>
  <c r="BH174" i="19"/>
  <c r="BS174" i="19" l="1"/>
  <c r="AW174" i="20"/>
  <c r="Q176" i="19"/>
  <c r="AD176" i="19" s="1"/>
  <c r="D176" i="19" s="1"/>
  <c r="N176" i="22" s="1"/>
  <c r="X177" i="25"/>
  <c r="AU177" i="20" s="1"/>
  <c r="AP179" i="25"/>
  <c r="B179" i="25" s="1"/>
  <c r="U173" i="19"/>
  <c r="AH173" i="19" s="1"/>
  <c r="H173" i="19" s="1"/>
  <c r="R173" i="22" s="1"/>
  <c r="AD174" i="25"/>
  <c r="AX174" i="20" s="1"/>
  <c r="AE174" i="25"/>
  <c r="AY174" i="20" s="1"/>
  <c r="AU174" i="25"/>
  <c r="AS175" i="25"/>
  <c r="AW175" i="25"/>
  <c r="I175" i="25" s="1"/>
  <c r="AJ175" i="19"/>
  <c r="J175" i="19" s="1"/>
  <c r="AL172" i="19"/>
  <c r="V173" i="22" s="1"/>
  <c r="AG174" i="19"/>
  <c r="G174" i="19" s="1"/>
  <c r="O179" i="19" l="1"/>
  <c r="AB179" i="19" s="1"/>
  <c r="B179" i="19" s="1"/>
  <c r="L179" i="22" s="1"/>
  <c r="V180" i="25"/>
  <c r="AQ178" i="25"/>
  <c r="BT174" i="19"/>
  <c r="AT174" i="25"/>
  <c r="F174" i="25" s="1"/>
  <c r="BF174" i="19" s="1"/>
  <c r="BU173" i="19"/>
  <c r="AX174" i="25" s="1"/>
  <c r="AY174" i="25"/>
  <c r="K174" i="25" s="1"/>
  <c r="T175" i="19"/>
  <c r="AG175" i="19" s="1"/>
  <c r="G175" i="19" s="1"/>
  <c r="BG175" i="19"/>
  <c r="E175" i="25"/>
  <c r="BE175" i="19" s="1"/>
  <c r="G174" i="25"/>
  <c r="AK176" i="19"/>
  <c r="K176" i="19" s="1"/>
  <c r="AN173" i="19"/>
  <c r="X174" i="22" s="1"/>
  <c r="M173" i="19"/>
  <c r="L172" i="19"/>
  <c r="T172" i="22" s="1"/>
  <c r="Z175" i="25" l="1"/>
  <c r="AV175" i="20" s="1"/>
  <c r="C178" i="25"/>
  <c r="S174" i="19"/>
  <c r="AF174" i="19" s="1"/>
  <c r="F174" i="19" s="1"/>
  <c r="J174" i="25"/>
  <c r="Y176" i="25"/>
  <c r="R175" i="19"/>
  <c r="E175" i="19" s="1"/>
  <c r="O175" i="22" s="1"/>
  <c r="AB175" i="25"/>
  <c r="AA175" i="25"/>
  <c r="AW175" i="20" s="1"/>
  <c r="BH175" i="19"/>
  <c r="N173" i="19"/>
  <c r="U173" i="22" s="1"/>
  <c r="AS176" i="25" l="1"/>
  <c r="E176" i="25" s="1"/>
  <c r="BE176" i="19" s="1"/>
  <c r="BQ176" i="19"/>
  <c r="AR177" i="25" s="1"/>
  <c r="BC178" i="19"/>
  <c r="P178" i="19"/>
  <c r="C178" i="19" s="1"/>
  <c r="M178" i="22" s="1"/>
  <c r="W179" i="25"/>
  <c r="U174" i="19"/>
  <c r="AH174" i="19" s="1"/>
  <c r="H174" i="19" s="1"/>
  <c r="R174" i="22" s="1"/>
  <c r="AD175" i="25"/>
  <c r="AX175" i="20" s="1"/>
  <c r="AE175" i="25"/>
  <c r="AY175" i="20" s="1"/>
  <c r="AU175" i="25"/>
  <c r="G175" i="25" s="1"/>
  <c r="BS175" i="19"/>
  <c r="AV175" i="25"/>
  <c r="H175" i="25" s="1"/>
  <c r="AJ176" i="19"/>
  <c r="J176" i="19" s="1"/>
  <c r="D177" i="25" l="1"/>
  <c r="BO179" i="19"/>
  <c r="AP180" i="25" s="1"/>
  <c r="AY175" i="25"/>
  <c r="K175" i="25" s="1"/>
  <c r="BT175" i="19"/>
  <c r="Y177" i="25"/>
  <c r="BQ177" i="19" s="1"/>
  <c r="R176" i="19"/>
  <c r="E176" i="19" s="1"/>
  <c r="O176" i="22" s="1"/>
  <c r="AB176" i="25"/>
  <c r="AV176" i="25" s="1"/>
  <c r="AC176" i="25"/>
  <c r="AL173" i="19"/>
  <c r="V174" i="22" s="1"/>
  <c r="B180" i="25" l="1"/>
  <c r="Q177" i="19"/>
  <c r="AD177" i="19" s="1"/>
  <c r="D177" i="19" s="1"/>
  <c r="N177" i="22" s="1"/>
  <c r="X178" i="25"/>
  <c r="AU178" i="20" s="1"/>
  <c r="AT175" i="25"/>
  <c r="F175" i="25" s="1"/>
  <c r="BU174" i="19"/>
  <c r="AX175" i="25" s="1"/>
  <c r="AW176" i="25"/>
  <c r="H176" i="25"/>
  <c r="AK177" i="19"/>
  <c r="K177" i="19" s="1"/>
  <c r="L173" i="19"/>
  <c r="T173" i="22" s="1"/>
  <c r="AN174" i="19"/>
  <c r="X175" i="22" s="1"/>
  <c r="M174" i="19"/>
  <c r="O180" i="19" l="1"/>
  <c r="AB180" i="19" s="1"/>
  <c r="B180" i="19" s="1"/>
  <c r="L180" i="22" s="1"/>
  <c r="V181" i="25"/>
  <c r="AQ179" i="25"/>
  <c r="AR178" i="25"/>
  <c r="D178" i="25" s="1"/>
  <c r="J175" i="25"/>
  <c r="S175" i="19"/>
  <c r="AF175" i="19" s="1"/>
  <c r="F175" i="19" s="1"/>
  <c r="BF175" i="19"/>
  <c r="Z176" i="25"/>
  <c r="AV176" i="20" s="1"/>
  <c r="AA176" i="25"/>
  <c r="I176" i="25"/>
  <c r="BH176" i="19"/>
  <c r="N174" i="19"/>
  <c r="U174" i="22" s="1"/>
  <c r="BS176" i="19" l="1"/>
  <c r="AW176" i="20"/>
  <c r="Q178" i="19"/>
  <c r="AD178" i="19" s="1"/>
  <c r="D178" i="19" s="1"/>
  <c r="N178" i="22" s="1"/>
  <c r="X179" i="25"/>
  <c r="AU179" i="20" s="1"/>
  <c r="C179" i="25"/>
  <c r="U175" i="19"/>
  <c r="AH175" i="19" s="1"/>
  <c r="H175" i="19" s="1"/>
  <c r="R175" i="22" s="1"/>
  <c r="AD176" i="25"/>
  <c r="AX176" i="20" s="1"/>
  <c r="AE176" i="25"/>
  <c r="AY176" i="20" s="1"/>
  <c r="T176" i="19"/>
  <c r="AG176" i="19" s="1"/>
  <c r="G176" i="19" s="1"/>
  <c r="BG176" i="19"/>
  <c r="AS177" i="25"/>
  <c r="AU176" i="25"/>
  <c r="G176" i="25" s="1"/>
  <c r="AC177" i="25"/>
  <c r="AJ177" i="19"/>
  <c r="J177" i="19" s="1"/>
  <c r="AL174" i="19"/>
  <c r="V175" i="22" s="1"/>
  <c r="P179" i="19" l="1"/>
  <c r="C179" i="19" s="1"/>
  <c r="M179" i="22" s="1"/>
  <c r="BC179" i="19"/>
  <c r="W180" i="25"/>
  <c r="BU175" i="19"/>
  <c r="AX176" i="25" s="1"/>
  <c r="J176" i="25" s="1"/>
  <c r="U176" i="19" s="1"/>
  <c r="AH176" i="19" s="1"/>
  <c r="H176" i="19" s="1"/>
  <c r="R176" i="22" s="1"/>
  <c r="BT176" i="19"/>
  <c r="AY176" i="25"/>
  <c r="K176" i="25" s="1"/>
  <c r="AW177" i="25"/>
  <c r="AT176" i="25"/>
  <c r="F176" i="25" s="1"/>
  <c r="BF176" i="19" s="1"/>
  <c r="E177" i="25"/>
  <c r="BE177" i="19" s="1"/>
  <c r="AB177" i="25"/>
  <c r="L174" i="19"/>
  <c r="T174" i="22" s="1"/>
  <c r="AN175" i="19"/>
  <c r="X176" i="22" s="1"/>
  <c r="M175" i="19"/>
  <c r="BO180" i="19" l="1"/>
  <c r="AP181" i="25" s="1"/>
  <c r="B181" i="25" s="1"/>
  <c r="AQ180" i="25"/>
  <c r="AE177" i="25"/>
  <c r="AD177" i="25"/>
  <c r="Y178" i="25"/>
  <c r="BQ178" i="19" s="1"/>
  <c r="AR179" i="25" s="1"/>
  <c r="R177" i="19"/>
  <c r="E177" i="19" s="1"/>
  <c r="O177" i="22" s="1"/>
  <c r="Z177" i="25"/>
  <c r="AV177" i="20" s="1"/>
  <c r="S176" i="19"/>
  <c r="AF176" i="19" s="1"/>
  <c r="F176" i="19" s="1"/>
  <c r="AA177" i="25"/>
  <c r="AW177" i="20" s="1"/>
  <c r="AV177" i="25"/>
  <c r="H177" i="25" s="1"/>
  <c r="I177" i="25"/>
  <c r="AK178" i="19"/>
  <c r="K178" i="19" s="1"/>
  <c r="BH177" i="19"/>
  <c r="N175" i="19"/>
  <c r="U175" i="22" s="1"/>
  <c r="BT177" i="19" l="1"/>
  <c r="AX177" i="20"/>
  <c r="AY177" i="25"/>
  <c r="K177" i="25" s="1"/>
  <c r="AY177" i="20"/>
  <c r="D179" i="25"/>
  <c r="O181" i="19"/>
  <c r="AB181" i="19" s="1"/>
  <c r="B181" i="19" s="1"/>
  <c r="L181" i="22" s="1"/>
  <c r="V182" i="25"/>
  <c r="C180" i="25"/>
  <c r="AU177" i="25"/>
  <c r="G177" i="25" s="1"/>
  <c r="BS177" i="19"/>
  <c r="T177" i="19"/>
  <c r="AG177" i="19" s="1"/>
  <c r="G177" i="19" s="1"/>
  <c r="BG177" i="19"/>
  <c r="AS178" i="25"/>
  <c r="E178" i="25" s="1"/>
  <c r="AC178" i="25"/>
  <c r="BH178" i="19"/>
  <c r="AL175" i="19"/>
  <c r="V176" i="22" s="1"/>
  <c r="BU176" i="19" s="1"/>
  <c r="AX177" i="25" s="1"/>
  <c r="J177" i="25" s="1"/>
  <c r="P180" i="19" l="1"/>
  <c r="C180" i="19" s="1"/>
  <c r="M180" i="22" s="1"/>
  <c r="BC180" i="19"/>
  <c r="W181" i="25"/>
  <c r="Q179" i="19"/>
  <c r="AD179" i="19" s="1"/>
  <c r="D179" i="19" s="1"/>
  <c r="N179" i="22" s="1"/>
  <c r="X180" i="25"/>
  <c r="AU180" i="20" s="1"/>
  <c r="U177" i="19"/>
  <c r="AH177" i="19" s="1"/>
  <c r="H177" i="19" s="1"/>
  <c r="R177" i="22" s="1"/>
  <c r="AD178" i="25"/>
  <c r="AE178" i="25"/>
  <c r="AY178" i="20" s="1"/>
  <c r="Y179" i="25"/>
  <c r="BQ179" i="19" s="1"/>
  <c r="BE178" i="19"/>
  <c r="R178" i="19"/>
  <c r="E178" i="19" s="1"/>
  <c r="O178" i="22" s="1"/>
  <c r="AT177" i="25"/>
  <c r="AW178" i="25"/>
  <c r="AB178" i="25"/>
  <c r="AJ178" i="19"/>
  <c r="J178" i="19" s="1"/>
  <c r="M176" i="19"/>
  <c r="L175" i="19"/>
  <c r="T175" i="22" s="1"/>
  <c r="BT178" i="19" l="1"/>
  <c r="AX178" i="20"/>
  <c r="BO181" i="19"/>
  <c r="AP182" i="25" s="1"/>
  <c r="B182" i="25" s="1"/>
  <c r="O182" i="19" s="1"/>
  <c r="AB182" i="19" s="1"/>
  <c r="B182" i="19" s="1"/>
  <c r="L182" i="22" s="1"/>
  <c r="AQ181" i="25"/>
  <c r="AR180" i="25"/>
  <c r="D180" i="25" s="1"/>
  <c r="AV178" i="25"/>
  <c r="H178" i="25" s="1"/>
  <c r="F177" i="25"/>
  <c r="I178" i="25"/>
  <c r="AN176" i="19"/>
  <c r="X177" i="22" s="1"/>
  <c r="Q180" i="19" l="1"/>
  <c r="AD180" i="19" s="1"/>
  <c r="D180" i="19" s="1"/>
  <c r="N180" i="22" s="1"/>
  <c r="X181" i="25"/>
  <c r="AU181" i="20" s="1"/>
  <c r="C181" i="25"/>
  <c r="S177" i="19"/>
  <c r="AF177" i="19" s="1"/>
  <c r="F177" i="19" s="1"/>
  <c r="BF177" i="19"/>
  <c r="AY178" i="25" s="1"/>
  <c r="K178" i="25" s="1"/>
  <c r="T178" i="19"/>
  <c r="AG178" i="19" s="1"/>
  <c r="G178" i="19" s="1"/>
  <c r="BG178" i="19"/>
  <c r="Z178" i="25"/>
  <c r="AV178" i="20" s="1"/>
  <c r="AA178" i="25"/>
  <c r="AC179" i="25"/>
  <c r="AW179" i="25" s="1"/>
  <c r="AK179" i="19"/>
  <c r="K179" i="19" s="1"/>
  <c r="AJ179" i="19"/>
  <c r="J179" i="19" s="1"/>
  <c r="N176" i="19"/>
  <c r="U176" i="22" s="1"/>
  <c r="BS178" i="19" l="1"/>
  <c r="AW178" i="20"/>
  <c r="P181" i="19"/>
  <c r="C181" i="19" s="1"/>
  <c r="M181" i="22" s="1"/>
  <c r="BC181" i="19"/>
  <c r="W182" i="25"/>
  <c r="I179" i="25"/>
  <c r="AS179" i="25"/>
  <c r="AU178" i="25"/>
  <c r="G178" i="25" s="1"/>
  <c r="BH179" i="19"/>
  <c r="AL176" i="19"/>
  <c r="V177" i="22" s="1"/>
  <c r="BU177" i="19" s="1"/>
  <c r="AX178" i="25" s="1"/>
  <c r="J178" i="25" s="1"/>
  <c r="BO182" i="19" l="1"/>
  <c r="AQ182" i="25"/>
  <c r="C182" i="25" s="1"/>
  <c r="U178" i="19"/>
  <c r="AH178" i="19" s="1"/>
  <c r="H178" i="19" s="1"/>
  <c r="R178" i="22" s="1"/>
  <c r="AD179" i="25"/>
  <c r="AE179" i="25"/>
  <c r="AY179" i="20" s="1"/>
  <c r="T179" i="19"/>
  <c r="BG179" i="19"/>
  <c r="AB179" i="25"/>
  <c r="E179" i="25"/>
  <c r="BE179" i="19" s="1"/>
  <c r="AT178" i="25"/>
  <c r="AJ180" i="19"/>
  <c r="J180" i="19" s="1"/>
  <c r="AK180" i="19"/>
  <c r="K180" i="19" s="1"/>
  <c r="L176" i="19"/>
  <c r="T176" i="22" s="1"/>
  <c r="M177" i="19"/>
  <c r="BT179" i="19" l="1"/>
  <c r="AX179" i="20"/>
  <c r="BC182" i="19"/>
  <c r="P182" i="19"/>
  <c r="C182" i="19" s="1"/>
  <c r="M182" i="22" s="1"/>
  <c r="Y180" i="25"/>
  <c r="BQ180" i="19" s="1"/>
  <c r="AR181" i="25" s="1"/>
  <c r="D181" i="25" s="1"/>
  <c r="R179" i="19"/>
  <c r="E179" i="19" s="1"/>
  <c r="O179" i="22" s="1"/>
  <c r="F178" i="25"/>
  <c r="AV179" i="25"/>
  <c r="H179" i="25" s="1"/>
  <c r="AN177" i="19"/>
  <c r="X178" i="22" s="1"/>
  <c r="Q181" i="19" l="1"/>
  <c r="AD181" i="19" s="1"/>
  <c r="D181" i="19" s="1"/>
  <c r="N181" i="22" s="1"/>
  <c r="X182" i="25"/>
  <c r="AU182" i="20" s="1"/>
  <c r="S178" i="19"/>
  <c r="AF178" i="19" s="1"/>
  <c r="F178" i="19" s="1"/>
  <c r="BF178" i="19"/>
  <c r="AY179" i="25" s="1"/>
  <c r="K179" i="25" s="1"/>
  <c r="AC180" i="25"/>
  <c r="Z179" i="25"/>
  <c r="AV179" i="20" s="1"/>
  <c r="AA179" i="25"/>
  <c r="AG179" i="19"/>
  <c r="G179" i="19" s="1"/>
  <c r="AK181" i="19"/>
  <c r="K181" i="19" s="1"/>
  <c r="N177" i="19"/>
  <c r="U177" i="22" s="1"/>
  <c r="BS179" i="19" l="1"/>
  <c r="AW179" i="20"/>
  <c r="AU179" i="25"/>
  <c r="G179" i="25" s="1"/>
  <c r="AW180" i="25"/>
  <c r="I180" i="25" s="1"/>
  <c r="AS180" i="25"/>
  <c r="BH180" i="19"/>
  <c r="AL177" i="19"/>
  <c r="V178" i="22" s="1"/>
  <c r="BU178" i="19" s="1"/>
  <c r="AX179" i="25" s="1"/>
  <c r="J179" i="25" l="1"/>
  <c r="T180" i="19"/>
  <c r="BG180" i="19"/>
  <c r="E180" i="25"/>
  <c r="BE180" i="19" s="1"/>
  <c r="AT179" i="25"/>
  <c r="AB180" i="25"/>
  <c r="L177" i="19"/>
  <c r="T177" i="22" s="1"/>
  <c r="M178" i="19"/>
  <c r="U179" i="19" l="1"/>
  <c r="AH179" i="19" s="1"/>
  <c r="H179" i="19" s="1"/>
  <c r="R179" i="22" s="1"/>
  <c r="AD180" i="25"/>
  <c r="AX180" i="20" s="1"/>
  <c r="AE180" i="25"/>
  <c r="AY180" i="20" s="1"/>
  <c r="Y181" i="25"/>
  <c r="BQ181" i="19" s="1"/>
  <c r="AR182" i="25" s="1"/>
  <c r="D182" i="25" s="1"/>
  <c r="Q182" i="19" s="1"/>
  <c r="AD182" i="19" s="1"/>
  <c r="D182" i="19" s="1"/>
  <c r="N182" i="22" s="1"/>
  <c r="R180" i="19"/>
  <c r="E180" i="19" s="1"/>
  <c r="O180" i="22" s="1"/>
  <c r="F179" i="25"/>
  <c r="AV180" i="25"/>
  <c r="H180" i="25" s="1"/>
  <c r="AJ181" i="19"/>
  <c r="J181" i="19" s="1"/>
  <c r="AG180" i="19"/>
  <c r="G180" i="19" s="1"/>
  <c r="AN178" i="19"/>
  <c r="X179" i="22" s="1"/>
  <c r="BT180" i="19" l="1"/>
  <c r="S179" i="19"/>
  <c r="AF179" i="19" s="1"/>
  <c r="F179" i="19" s="1"/>
  <c r="BF179" i="19"/>
  <c r="AY180" i="25" s="1"/>
  <c r="K180" i="25" s="1"/>
  <c r="AC181" i="25"/>
  <c r="Z180" i="25"/>
  <c r="AV180" i="20" s="1"/>
  <c r="AA180" i="25"/>
  <c r="AW180" i="20" s="1"/>
  <c r="N178" i="19"/>
  <c r="U178" i="22" s="1"/>
  <c r="AL178" i="19"/>
  <c r="V179" i="22" s="1"/>
  <c r="BU179" i="19" s="1"/>
  <c r="AX180" i="25" s="1"/>
  <c r="J180" i="25" l="1"/>
  <c r="AE181" i="25" s="1"/>
  <c r="AY181" i="20" s="1"/>
  <c r="AU180" i="25"/>
  <c r="G180" i="25" s="1"/>
  <c r="BS180" i="19"/>
  <c r="AW181" i="25"/>
  <c r="I181" i="25" s="1"/>
  <c r="AT180" i="25"/>
  <c r="AS181" i="25"/>
  <c r="L178" i="19"/>
  <c r="T178" i="22" s="1"/>
  <c r="AK182" i="19"/>
  <c r="K182" i="19" s="1"/>
  <c r="BH181" i="19"/>
  <c r="M179" i="19"/>
  <c r="U180" i="19" l="1"/>
  <c r="AH180" i="19" s="1"/>
  <c r="H180" i="19" s="1"/>
  <c r="R180" i="22" s="1"/>
  <c r="AD181" i="25"/>
  <c r="AX181" i="20" s="1"/>
  <c r="T181" i="19"/>
  <c r="BG181" i="19"/>
  <c r="E181" i="25"/>
  <c r="BE181" i="19" s="1"/>
  <c r="F180" i="25"/>
  <c r="BF180" i="19" s="1"/>
  <c r="AY181" i="25" s="1"/>
  <c r="K181" i="25" s="1"/>
  <c r="AB181" i="25"/>
  <c r="AJ182" i="19"/>
  <c r="J182" i="19" s="1"/>
  <c r="AN179" i="19"/>
  <c r="X180" i="22" s="1"/>
  <c r="BT181" i="19" l="1"/>
  <c r="Z181" i="25"/>
  <c r="AV181" i="20" s="1"/>
  <c r="S180" i="19"/>
  <c r="AF180" i="19" s="1"/>
  <c r="F180" i="19" s="1"/>
  <c r="Y182" i="25"/>
  <c r="R181" i="19"/>
  <c r="E181" i="19" s="1"/>
  <c r="O181" i="22" s="1"/>
  <c r="AV181" i="25"/>
  <c r="AA181" i="25"/>
  <c r="N179" i="19"/>
  <c r="U179" i="22" s="1"/>
  <c r="AG181" i="19"/>
  <c r="G181" i="19" s="1"/>
  <c r="AL179" i="19"/>
  <c r="V180" i="22" s="1"/>
  <c r="BU180" i="19" s="1"/>
  <c r="AX181" i="25" s="1"/>
  <c r="BS181" i="19" l="1"/>
  <c r="AW181" i="20"/>
  <c r="AS182" i="25"/>
  <c r="E182" i="25" s="1"/>
  <c r="R182" i="19" s="1"/>
  <c r="E182" i="19" s="1"/>
  <c r="O182" i="22" s="1"/>
  <c r="BQ182" i="19"/>
  <c r="J181" i="25"/>
  <c r="AT181" i="25"/>
  <c r="F181" i="25" s="1"/>
  <c r="BF181" i="19" s="1"/>
  <c r="AU181" i="25"/>
  <c r="G181" i="25" s="1"/>
  <c r="H181" i="25"/>
  <c r="L179" i="19"/>
  <c r="T179" i="22" s="1"/>
  <c r="M180" i="19"/>
  <c r="BE182" i="19" l="1"/>
  <c r="U181" i="19"/>
  <c r="AH181" i="19" s="1"/>
  <c r="H181" i="19" s="1"/>
  <c r="R181" i="22" s="1"/>
  <c r="AD182" i="25"/>
  <c r="AX182" i="20" s="1"/>
  <c r="AE182" i="25"/>
  <c r="AY182" i="20" s="1"/>
  <c r="AA182" i="25"/>
  <c r="AW182" i="20" s="1"/>
  <c r="Z182" i="25"/>
  <c r="AV182" i="20" s="1"/>
  <c r="S181" i="19"/>
  <c r="AF181" i="19" s="1"/>
  <c r="F181" i="19" s="1"/>
  <c r="AB182" i="25"/>
  <c r="AV182" i="25" s="1"/>
  <c r="H182" i="25" s="1"/>
  <c r="AC182" i="25"/>
  <c r="AW182" i="25" s="1"/>
  <c r="I182" i="25" s="1"/>
  <c r="AN180" i="19"/>
  <c r="X181" i="22" s="1"/>
  <c r="BH182" i="19"/>
  <c r="BT182" i="19" l="1"/>
  <c r="AY182" i="25"/>
  <c r="K182" i="25" s="1"/>
  <c r="AU182" i="25"/>
  <c r="G182" i="25" s="1"/>
  <c r="BS182" i="19"/>
  <c r="T182" i="19"/>
  <c r="AG182" i="19" s="1"/>
  <c r="G182" i="19" s="1"/>
  <c r="BG182" i="19"/>
  <c r="N180" i="19"/>
  <c r="U180" i="22" s="1"/>
  <c r="AL180" i="19"/>
  <c r="V181" i="22" s="1"/>
  <c r="AT182" i="25" l="1"/>
  <c r="F182" i="25" s="1"/>
  <c r="S182" i="19" s="1"/>
  <c r="AF182" i="19" s="1"/>
  <c r="F182" i="19" s="1"/>
  <c r="BU181" i="19"/>
  <c r="AX182" i="25" s="1"/>
  <c r="J182" i="25" s="1"/>
  <c r="U182" i="19" s="1"/>
  <c r="AH182" i="19" s="1"/>
  <c r="H182" i="19" s="1"/>
  <c r="R182" i="22" s="1"/>
  <c r="L180" i="19"/>
  <c r="T180" i="22" s="1"/>
  <c r="M181" i="19"/>
  <c r="BF182" i="19" l="1"/>
  <c r="AN181" i="19"/>
  <c r="X182" i="22" s="1"/>
  <c r="N181" i="19" l="1"/>
  <c r="U181" i="22" s="1"/>
  <c r="AN182" i="19" l="1"/>
  <c r="N182" i="19" s="1"/>
  <c r="U182" i="22" s="1"/>
  <c r="AL181" i="19"/>
  <c r="V182" i="22" s="1"/>
  <c r="BU182" i="19" s="1"/>
  <c r="L181" i="19" l="1"/>
  <c r="T181" i="22" s="1"/>
  <c r="M182" i="19"/>
  <c r="AL182" i="19" l="1"/>
  <c r="L182" i="19" s="1"/>
  <c r="T182" i="22" s="1"/>
</calcChain>
</file>

<file path=xl/sharedStrings.xml><?xml version="1.0" encoding="utf-8"?>
<sst xmlns="http://schemas.openxmlformats.org/spreadsheetml/2006/main" count="795" uniqueCount="307">
  <si>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</si>
  <si>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</si>
  <si>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</si>
  <si>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</si>
  <si>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</si>
  <si>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</si>
  <si>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</si>
  <si>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</si>
  <si>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</si>
  <si>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</si>
  <si>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</si>
  <si>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</si>
  <si>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</si>
  <si>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</si>
  <si>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</si>
  <si>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</si>
  <si>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</si>
  <si>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</si>
  <si>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</si>
  <si>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</si>
  <si>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</si>
  <si>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</si>
  <si>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</si>
  <si>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</si>
  <si>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</si>
  <si>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</si>
  <si>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</si>
  <si>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</si>
  <si>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</si>
  <si>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</si>
  <si>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</si>
  <si>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</si>
  <si>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</si>
  <si>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</si>
  <si>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</si>
  <si>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</si>
  <si>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</si>
  <si>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</si>
  <si>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</si>
  <si>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</si>
  <si>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</si>
  <si>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</si>
  <si>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</si>
  <si>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</si>
  <si>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</si>
  <si>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</si>
  <si>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</si>
  <si>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</si>
  <si>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</si>
  <si>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</si>
  <si>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</si>
  <si>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</si>
  <si>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</si>
  <si>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</si>
  <si>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</si>
  <si>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</si>
  <si>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</si>
  <si>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</si>
  <si>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</si>
  <si>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</si>
  <si>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</si>
  <si>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</si>
  <si>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</si>
  <si>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</si>
  <si>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</si>
  <si>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</si>
  <si>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</si>
  <si>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</si>
  <si>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</si>
  <si>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</si>
  <si>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</si>
  <si>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</si>
  <si>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</si>
  <si>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</si>
  <si>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</si>
  <si>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</si>
  <si>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</si>
  <si>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</si>
  <si>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</si>
  <si>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</si>
  <si>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</si>
  <si>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</si>
  <si>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</si>
  <si>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</si>
  <si>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</si>
  <si>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</si>
  <si>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</si>
  <si>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</si>
  <si>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</si>
  <si>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</si>
  <si>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</si>
  <si>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</si>
  <si>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</si>
  <si>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</si>
  <si>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</si>
  <si>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</si>
  <si>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</si>
  <si>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</si>
  <si>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</si>
  <si>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</si>
  <si>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</si>
  <si>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</si>
  <si>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</si>
  <si>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</si>
  <si>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</si>
  <si>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</si>
  <si>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</si>
  <si>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</si>
  <si>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</si>
  <si>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</si>
  <si>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</si>
  <si>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</si>
  <si>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</si>
  <si>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</si>
  <si>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</si>
  <si>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</si>
  <si>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</si>
  <si>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</si>
  <si>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</si>
  <si>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</si>
  <si>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</si>
  <si>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</si>
  <si>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</si>
  <si>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</si>
  <si>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</si>
  <si>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</si>
  <si>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</si>
  <si>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</si>
  <si>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</si>
  <si>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</si>
  <si>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</si>
  <si>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</si>
  <si>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</si>
  <si>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</si>
  <si>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</si>
  <si>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</si>
  <si>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</si>
  <si>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</si>
  <si>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</si>
  <si>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</si>
  <si>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</si>
  <si>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</si>
  <si>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</si>
  <si>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</si>
  <si>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</si>
  <si>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</si>
  <si>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</si>
  <si>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</si>
  <si>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</si>
  <si>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</si>
  <si>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</si>
  <si>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</si>
  <si>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</si>
  <si>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</si>
  <si>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</si>
  <si>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</si>
  <si>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</si>
  <si>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</si>
  <si>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</si>
  <si>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</si>
  <si>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</si>
  <si>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</si>
  <si>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</si>
  <si>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</si>
  <si>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</si>
  <si>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</si>
  <si>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</si>
  <si>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</si>
  <si>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</si>
  <si>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</si>
  <si>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</si>
  <si>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</si>
  <si>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</si>
  <si>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</si>
  <si>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</si>
  <si>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</si>
  <si>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</si>
  <si>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</si>
  <si>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</si>
  <si>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</si>
  <si>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</si>
  <si>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</si>
  <si>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</si>
  <si>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</si>
  <si>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</si>
  <si>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</si>
  <si>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</si>
  <si>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</si>
  <si>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</si>
  <si>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</si>
  <si>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</si>
  <si>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</si>
  <si>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</si>
  <si>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</si>
  <si>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</si>
  <si>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</si>
  <si>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</si>
  <si>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</si>
  <si>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</si>
  <si>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</si>
  <si>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</si>
  <si>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</si>
  <si>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</si>
  <si>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</si>
  <si>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</si>
  <si>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</si>
  <si>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</si>
  <si>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</si>
  <si>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</si>
  <si>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</si>
  <si>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</si>
  <si>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</si>
  <si>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</si>
  <si>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</si>
  <si>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</si>
  <si>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</si>
  <si>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</si>
  <si>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</si>
  <si>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</si>
  <si>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</si>
  <si>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</si>
  <si>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</si>
  <si>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</si>
  <si>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</si>
  <si>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</si>
  <si>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</si>
  <si>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</si>
  <si>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</si>
  <si>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</si>
  <si>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</si>
  <si>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last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</si>
  <si>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</si>
  <si>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</si>
  <si>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</si>
  <si>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</si>
  <si>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</si>
  <si>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</si>
  <si>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</si>
  <si>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</si>
  <si>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</si>
  <si>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On_Ramps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</si>
  <si>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</si>
  <si>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</si>
  <si>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</si>
  <si>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</si>
  <si>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</si>
  <si>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</si>
  <si>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</si>
  <si>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</si>
  <si>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</si>
  <si>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</si>
  <si>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</si>
  <si>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</si>
  <si>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</si>
  <si>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</si>
  <si>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</si>
  <si>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</si>
  <si>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</si>
  <si>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</si>
  <si>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</si>
  <si>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</si>
  <si>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</si>
  <si>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</si>
  <si>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</si>
  <si>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</si>
  <si>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</si>
  <si>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</si>
  <si>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</si>
  <si>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</si>
  <si>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</si>
  <si>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</si>
  <si>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</si>
  <si>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</si>
  <si>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</si>
  <si>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</si>
  <si>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(Reserved)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</si>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</sst>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color theme="0"/>
      <name val="宋体"/>
      <family val="2"/>
      <charset val="134"/>
      <scheme val="minor"/>
    </font>
    <font>
      <sz val="11"/>
      <name val="Arial"/>
      <family val="2"/>
    </font>
    <font>
      <b/>
      <sz val="11"/>
      <color rgb="FFFFFF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0" fillId="21" borderId="1" xfId="0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10" fillId="24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5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6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7" borderId="1" xfId="0" applyFont="1" applyFill="1" applyBorder="1" applyAlignment="1">
      <alignment horizontal="center" vertical="center"/>
    </xf>
    <xf numFmtId="0" fontId="10" fillId="27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2" fillId="28" borderId="1" xfId="0" applyFont="1" applyFill="1" applyBorder="1" applyAlignment="1">
      <alignment horizontal="center" vertical="center"/>
    </xf>
    <xf numFmtId="0" fontId="16" fillId="7" borderId="0" xfId="0" applyFont="1" applyFill="1">
      <alignment vertical="center"/>
    </xf>
    <xf numFmtId="0" fontId="11" fillId="3" borderId="1" xfId="0" applyFont="1" applyFill="1" applyBorder="1" applyAlignment="1">
      <alignment vertical="center"/>
    </xf>
    <xf numFmtId="0" fontId="2" fillId="5" borderId="10" xfId="0" applyFont="1" applyFill="1" applyBorder="1">
      <alignment vertical="center"/>
    </xf>
    <xf numFmtId="0" fontId="5" fillId="6" borderId="10" xfId="0" applyFont="1" applyFill="1" applyBorder="1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7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8" borderId="1" xfId="0" applyFont="1" applyFill="1" applyBorder="1" applyAlignment="1">
      <alignment horizontal="center"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8" fillId="7" borderId="0" xfId="0" applyFont="1" applyFill="1" applyAlignment="1">
      <alignment horizontal="center" vertical="center"/>
    </xf>
    <xf numFmtId="0" fontId="12" fillId="27" borderId="3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2" fillId="27" borderId="4" xfId="0" applyFont="1" applyFill="1" applyBorder="1" applyAlignment="1">
      <alignment horizontal="center" vertical="center"/>
    </xf>
    <xf numFmtId="0" fontId="12" fillId="27" borderId="2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14" borderId="1" xfId="0" applyFont="1" applyFill="1" applyBorder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topLeftCell="A22" workbookViewId="0">
      <selection activeCell="C19" sqref="C19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87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87"/>
      <c r="B3" s="6" t="s">
        <v>25</v>
      </c>
      <c r="C3" s="7" t="s">
        <v>92</v>
      </c>
      <c r="D3" s="6" t="s">
        <v>38</v>
      </c>
    </row>
    <row r="4" spans="1:4" ht="14.25" x14ac:dyDescent="0.15">
      <c r="A4" s="87"/>
      <c r="B4" s="16" t="s">
        <v>26</v>
      </c>
      <c r="C4" s="17" t="s">
        <v>72</v>
      </c>
      <c r="D4" s="18"/>
    </row>
    <row r="5" spans="1:4" ht="14.25" x14ac:dyDescent="0.15">
      <c r="A5" s="87"/>
      <c r="B5" s="6" t="s">
        <v>31</v>
      </c>
      <c r="C5" s="7" t="s">
        <v>32</v>
      </c>
      <c r="D5" s="6" t="s">
        <v>40</v>
      </c>
    </row>
    <row r="6" spans="1:4" ht="14.25" x14ac:dyDescent="0.15">
      <c r="A6" s="87"/>
      <c r="B6" s="6" t="s">
        <v>51</v>
      </c>
      <c r="C6" s="7" t="s">
        <v>53</v>
      </c>
      <c r="D6" s="6" t="s">
        <v>40</v>
      </c>
    </row>
    <row r="7" spans="1:4" ht="14.25" x14ac:dyDescent="0.15">
      <c r="A7" s="87"/>
      <c r="B7" s="6" t="s">
        <v>52</v>
      </c>
      <c r="C7" s="7" t="s">
        <v>54</v>
      </c>
      <c r="D7" s="6" t="s">
        <v>40</v>
      </c>
    </row>
    <row r="8" spans="1:4" ht="14.25" x14ac:dyDescent="0.15">
      <c r="A8" s="87"/>
      <c r="B8" s="6" t="s">
        <v>55</v>
      </c>
      <c r="C8" s="7" t="s">
        <v>56</v>
      </c>
      <c r="D8" s="6" t="s">
        <v>40</v>
      </c>
    </row>
    <row r="9" spans="1:4" ht="14.25" x14ac:dyDescent="0.15">
      <c r="A9" s="87"/>
      <c r="B9" s="6" t="s">
        <v>63</v>
      </c>
      <c r="C9" s="14" t="s">
        <v>64</v>
      </c>
      <c r="D9" s="6" t="s">
        <v>65</v>
      </c>
    </row>
    <row r="10" spans="1:4" ht="14.25" x14ac:dyDescent="0.15">
      <c r="A10" s="87" t="s">
        <v>43</v>
      </c>
      <c r="B10" s="6" t="s">
        <v>60</v>
      </c>
      <c r="C10" s="7">
        <v>58</v>
      </c>
      <c r="D10" s="6"/>
    </row>
    <row r="11" spans="1:4" ht="14.25" x14ac:dyDescent="0.15">
      <c r="A11" s="87"/>
      <c r="B11" s="6" t="s">
        <v>35</v>
      </c>
      <c r="C11" s="7">
        <v>0</v>
      </c>
      <c r="D11" s="6" t="s">
        <v>36</v>
      </c>
    </row>
    <row r="12" spans="1:4" ht="14.25" x14ac:dyDescent="0.15">
      <c r="A12" s="87"/>
      <c r="B12" s="6" t="s">
        <v>61</v>
      </c>
      <c r="C12" s="15" t="s">
        <v>68</v>
      </c>
      <c r="D12" s="6" t="s">
        <v>37</v>
      </c>
    </row>
    <row r="13" spans="1:4" ht="14.25" x14ac:dyDescent="0.15">
      <c r="A13" s="87"/>
      <c r="B13" s="6" t="s">
        <v>69</v>
      </c>
      <c r="C13" s="7">
        <v>1800</v>
      </c>
      <c r="D13" s="6"/>
    </row>
    <row r="14" spans="1:4" ht="14.25" x14ac:dyDescent="0.15">
      <c r="A14" s="87"/>
      <c r="B14" s="16" t="s">
        <v>70</v>
      </c>
      <c r="C14" s="17" t="s">
        <v>71</v>
      </c>
      <c r="D14" s="16" t="s">
        <v>33</v>
      </c>
    </row>
    <row r="15" spans="1:4" ht="14.25" x14ac:dyDescent="0.15">
      <c r="A15" s="87"/>
      <c r="B15" s="6" t="s">
        <v>62</v>
      </c>
      <c r="C15" s="7">
        <v>2</v>
      </c>
      <c r="D15" s="6" t="s">
        <v>34</v>
      </c>
    </row>
    <row r="16" spans="1:4" ht="14.25" x14ac:dyDescent="0.15">
      <c r="A16" s="87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87"/>
      <c r="B17" s="6" t="s">
        <v>90</v>
      </c>
      <c r="C17" s="7">
        <v>450</v>
      </c>
      <c r="D17" s="6"/>
    </row>
    <row r="18" spans="1:4" ht="14.25" x14ac:dyDescent="0.15">
      <c r="A18" s="87"/>
      <c r="B18" s="6" t="s">
        <v>91</v>
      </c>
      <c r="C18" s="7" t="s">
        <v>99</v>
      </c>
      <c r="D18" s="6" t="s">
        <v>38</v>
      </c>
    </row>
    <row r="19" spans="1:4" ht="14.25" x14ac:dyDescent="0.15">
      <c r="A19" s="87"/>
      <c r="B19" s="6" t="s">
        <v>86</v>
      </c>
      <c r="C19" s="7">
        <v>0</v>
      </c>
      <c r="D19" s="6" t="s">
        <v>87</v>
      </c>
    </row>
    <row r="20" spans="1:4" ht="14.25" x14ac:dyDescent="0.15">
      <c r="A20" s="87"/>
      <c r="B20" s="6" t="s">
        <v>216</v>
      </c>
      <c r="C20" s="7"/>
      <c r="D20" s="6"/>
    </row>
    <row r="21" spans="1:4" ht="14.25" x14ac:dyDescent="0.15">
      <c r="A21" s="88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89"/>
      <c r="B22" s="6" t="s">
        <v>86</v>
      </c>
      <c r="C22" s="7">
        <v>0</v>
      </c>
      <c r="D22" s="6" t="s">
        <v>87</v>
      </c>
    </row>
    <row r="23" spans="1:4" ht="14.25" x14ac:dyDescent="0.15">
      <c r="A23" s="89"/>
      <c r="B23" s="6" t="s">
        <v>80</v>
      </c>
      <c r="C23" s="7"/>
      <c r="D23" s="6"/>
    </row>
    <row r="24" spans="1:4" ht="14.25" x14ac:dyDescent="0.15">
      <c r="A24" s="89"/>
      <c r="B24" s="6" t="s">
        <v>80</v>
      </c>
      <c r="C24" s="7"/>
      <c r="D24" s="6"/>
    </row>
    <row r="25" spans="1:4" ht="14.25" x14ac:dyDescent="0.15">
      <c r="A25" s="89"/>
      <c r="B25" s="6" t="s">
        <v>80</v>
      </c>
      <c r="C25" s="7"/>
      <c r="D25" s="6"/>
    </row>
    <row r="26" spans="1:4" ht="14.25" customHeight="1" x14ac:dyDescent="0.15">
      <c r="A26" s="84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85"/>
      <c r="B27" s="6" t="s">
        <v>91</v>
      </c>
      <c r="C27" s="7" t="s">
        <v>115</v>
      </c>
      <c r="D27" s="6" t="s">
        <v>116</v>
      </c>
    </row>
    <row r="28" spans="1:4" ht="14.25" x14ac:dyDescent="0.15">
      <c r="A28" s="85"/>
      <c r="B28" s="6" t="s">
        <v>77</v>
      </c>
      <c r="C28" s="7" t="s">
        <v>100</v>
      </c>
      <c r="D28" s="6" t="s">
        <v>101</v>
      </c>
    </row>
    <row r="29" spans="1:4" ht="14.25" x14ac:dyDescent="0.15">
      <c r="A29" s="85"/>
      <c r="B29" s="6" t="s">
        <v>86</v>
      </c>
      <c r="C29" s="7">
        <v>1</v>
      </c>
      <c r="D29" s="6" t="s">
        <v>87</v>
      </c>
    </row>
    <row r="30" spans="1:4" ht="28.5" x14ac:dyDescent="0.15">
      <c r="A30" s="85"/>
      <c r="B30" s="6" t="s">
        <v>70</v>
      </c>
      <c r="C30" s="7">
        <v>15</v>
      </c>
      <c r="D30" s="22" t="s">
        <v>131</v>
      </c>
    </row>
    <row r="31" spans="1:4" ht="14.25" x14ac:dyDescent="0.15">
      <c r="A31" s="86"/>
      <c r="B31" s="6" t="s">
        <v>127</v>
      </c>
      <c r="C31" s="7" t="s">
        <v>132</v>
      </c>
      <c r="D31" s="6"/>
    </row>
    <row r="32" spans="1:4" ht="14.25" x14ac:dyDescent="0.15">
      <c r="A32" s="84" t="s">
        <v>136</v>
      </c>
      <c r="B32" s="6" t="s">
        <v>137</v>
      </c>
      <c r="C32" s="7" t="s">
        <v>139</v>
      </c>
      <c r="D32" s="6"/>
    </row>
    <row r="33" spans="1:4" ht="14.25" x14ac:dyDescent="0.15">
      <c r="A33" s="85"/>
      <c r="B33" s="6" t="s">
        <v>133</v>
      </c>
      <c r="C33" s="7">
        <v>1</v>
      </c>
      <c r="D33" s="6"/>
    </row>
    <row r="34" spans="1:4" ht="14.25" x14ac:dyDescent="0.15">
      <c r="A34" s="85"/>
      <c r="B34" s="6" t="s">
        <v>134</v>
      </c>
      <c r="C34" s="7">
        <v>1</v>
      </c>
      <c r="D34" s="6"/>
    </row>
    <row r="35" spans="1:4" ht="14.25" x14ac:dyDescent="0.15">
      <c r="A35" s="85"/>
      <c r="B35" s="6" t="s">
        <v>135</v>
      </c>
      <c r="C35" s="7">
        <v>1</v>
      </c>
      <c r="D35" s="6"/>
    </row>
    <row r="36" spans="1:4" ht="14.25" x14ac:dyDescent="0.15">
      <c r="A36" s="85"/>
      <c r="B36" s="6" t="s">
        <v>138</v>
      </c>
      <c r="C36" s="7">
        <v>0</v>
      </c>
      <c r="D36" s="6" t="s">
        <v>87</v>
      </c>
    </row>
    <row r="37" spans="1:4" ht="14.25" x14ac:dyDescent="0.15">
      <c r="A37" s="86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5"/>
  <sheetViews>
    <sheetView topLeftCell="A4" workbookViewId="0">
      <selection activeCell="B26" sqref="B26"/>
    </sheetView>
  </sheetViews>
  <sheetFormatPr defaultRowHeight="13.5" x14ac:dyDescent="0.15"/>
  <cols>
    <col min="1" max="1" width="11.25" customWidth="1"/>
    <col min="2" max="2" width="26.375" customWidth="1"/>
    <col min="3" max="3" width="29.5" customWidth="1"/>
    <col min="4" max="4" width="17.5" customWidth="1"/>
    <col min="9" max="9" width="9.625" bestFit="1" customWidth="1"/>
  </cols>
  <sheetData>
    <row r="1" spans="1:9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9" ht="14.25" x14ac:dyDescent="0.15">
      <c r="A2" s="84" t="s">
        <v>42</v>
      </c>
      <c r="B2" s="6" t="s">
        <v>140</v>
      </c>
      <c r="C2" s="7" t="s">
        <v>144</v>
      </c>
      <c r="D2" s="6"/>
    </row>
    <row r="3" spans="1:9" ht="15" x14ac:dyDescent="0.15">
      <c r="A3" s="85"/>
      <c r="B3" s="6" t="s">
        <v>141</v>
      </c>
      <c r="C3" s="7" t="s">
        <v>143</v>
      </c>
      <c r="D3" s="6"/>
      <c r="H3" s="65" t="s">
        <v>206</v>
      </c>
      <c r="I3" s="66" t="e">
        <f>Links!A198+'On-Ramps'!K183+ATM_Conf!C12*'On-Ramps'!BM182+ATM_Conf!C13*Links!EL183+C14*'On-Ramps'!BV183</f>
        <v>#DIV/0!</v>
      </c>
    </row>
    <row r="4" spans="1:9" ht="14.25" x14ac:dyDescent="0.15">
      <c r="A4" s="86"/>
      <c r="B4" s="6" t="s">
        <v>142</v>
      </c>
      <c r="C4" s="7" t="s">
        <v>159</v>
      </c>
      <c r="D4" s="6"/>
    </row>
    <row r="5" spans="1:9" ht="14.25" x14ac:dyDescent="0.15">
      <c r="A5" s="87" t="s">
        <v>175</v>
      </c>
      <c r="B5" s="6" t="s">
        <v>176</v>
      </c>
      <c r="C5" s="7">
        <v>10</v>
      </c>
      <c r="D5" s="6" t="s">
        <v>177</v>
      </c>
    </row>
    <row r="6" spans="1:9" ht="14.25" x14ac:dyDescent="0.15">
      <c r="A6" s="87"/>
      <c r="B6" s="6" t="s">
        <v>178</v>
      </c>
      <c r="C6" s="7">
        <v>700</v>
      </c>
      <c r="D6" s="6"/>
    </row>
    <row r="7" spans="1:9" ht="14.25" x14ac:dyDescent="0.15">
      <c r="A7" s="87"/>
      <c r="B7" s="6" t="s">
        <v>179</v>
      </c>
      <c r="C7" s="7">
        <v>800</v>
      </c>
      <c r="D7" s="6" t="s">
        <v>180</v>
      </c>
    </row>
    <row r="8" spans="1:9" ht="14.25" x14ac:dyDescent="0.15">
      <c r="A8" s="87"/>
      <c r="B8" s="6" t="s">
        <v>181</v>
      </c>
      <c r="C8" s="7"/>
      <c r="D8" s="6"/>
    </row>
    <row r="9" spans="1:9" ht="14.25" x14ac:dyDescent="0.15">
      <c r="A9" s="87"/>
      <c r="B9" s="6" t="s">
        <v>182</v>
      </c>
      <c r="C9" s="14"/>
      <c r="D9" s="6"/>
    </row>
    <row r="10" spans="1:9" ht="14.25" x14ac:dyDescent="0.15">
      <c r="A10" s="87"/>
      <c r="B10" s="6" t="s">
        <v>184</v>
      </c>
      <c r="C10" s="14"/>
      <c r="D10" s="6"/>
    </row>
    <row r="11" spans="1:9" ht="14.25" x14ac:dyDescent="0.15">
      <c r="A11" s="87"/>
      <c r="B11" s="6" t="s">
        <v>185</v>
      </c>
      <c r="C11" s="14"/>
      <c r="D11" s="6" t="s">
        <v>183</v>
      </c>
    </row>
    <row r="12" spans="1:9" ht="14.25" x14ac:dyDescent="0.15">
      <c r="A12" s="87"/>
      <c r="B12" s="6" t="s">
        <v>204</v>
      </c>
      <c r="C12" s="14">
        <v>0</v>
      </c>
      <c r="D12" s="6" t="s">
        <v>210</v>
      </c>
    </row>
    <row r="13" spans="1:9" ht="14.25" x14ac:dyDescent="0.15">
      <c r="A13" s="87"/>
      <c r="B13" s="6" t="s">
        <v>213</v>
      </c>
      <c r="C13" s="14">
        <v>0</v>
      </c>
      <c r="D13" s="6" t="s">
        <v>211</v>
      </c>
    </row>
    <row r="14" spans="1:9" ht="14.25" x14ac:dyDescent="0.15">
      <c r="A14" s="87"/>
      <c r="B14" s="6" t="s">
        <v>205</v>
      </c>
      <c r="C14" s="14">
        <v>0</v>
      </c>
      <c r="D14" s="6" t="s">
        <v>212</v>
      </c>
    </row>
    <row r="15" spans="1:9" ht="14.25" x14ac:dyDescent="0.15">
      <c r="A15" s="87"/>
      <c r="B15" s="6" t="s">
        <v>214</v>
      </c>
      <c r="C15" s="14">
        <v>0</v>
      </c>
      <c r="D15" s="6" t="s">
        <v>215</v>
      </c>
    </row>
    <row r="16" spans="1:9" ht="14.25" x14ac:dyDescent="0.15">
      <c r="A16" s="87"/>
      <c r="B16" s="6" t="s">
        <v>217</v>
      </c>
      <c r="C16" s="14"/>
      <c r="D16" s="6" t="s">
        <v>218</v>
      </c>
    </row>
    <row r="17" spans="1:4" ht="14.25" x14ac:dyDescent="0.15">
      <c r="A17" s="87"/>
      <c r="B17" s="6" t="s">
        <v>275</v>
      </c>
      <c r="C17" s="14"/>
      <c r="D17" s="6"/>
    </row>
    <row r="18" spans="1:4" ht="14.25" x14ac:dyDescent="0.15">
      <c r="A18" s="87"/>
      <c r="B18" s="6" t="s">
        <v>275</v>
      </c>
      <c r="C18" s="14"/>
      <c r="D18" s="6"/>
    </row>
    <row r="19" spans="1:4" ht="14.25" x14ac:dyDescent="0.15">
      <c r="A19" s="87"/>
      <c r="B19" s="6" t="s">
        <v>275</v>
      </c>
      <c r="C19" s="14"/>
      <c r="D19" s="6"/>
    </row>
    <row r="20" spans="1:4" ht="14.25" x14ac:dyDescent="0.15">
      <c r="A20" s="87" t="s">
        <v>274</v>
      </c>
      <c r="B20" s="6" t="s">
        <v>271</v>
      </c>
      <c r="C20" s="14" t="s">
        <v>270</v>
      </c>
      <c r="D20" s="6"/>
    </row>
    <row r="21" spans="1:4" ht="14.25" x14ac:dyDescent="0.15">
      <c r="A21" s="87"/>
      <c r="B21" s="6" t="s">
        <v>248</v>
      </c>
      <c r="C21" s="14" t="s">
        <v>267</v>
      </c>
      <c r="D21" s="6"/>
    </row>
    <row r="22" spans="1:4" ht="14.25" x14ac:dyDescent="0.15">
      <c r="A22" s="87"/>
      <c r="B22" s="6" t="s">
        <v>268</v>
      </c>
      <c r="C22" s="14" t="s">
        <v>268</v>
      </c>
      <c r="D22" s="6"/>
    </row>
    <row r="23" spans="1:4" ht="14.25" x14ac:dyDescent="0.15">
      <c r="A23" s="87"/>
      <c r="B23" s="6" t="s">
        <v>272</v>
      </c>
      <c r="C23" s="14" t="s">
        <v>269</v>
      </c>
      <c r="D23" s="6"/>
    </row>
    <row r="24" spans="1:4" ht="14.25" x14ac:dyDescent="0.15">
      <c r="A24" s="87"/>
      <c r="B24" s="6" t="s">
        <v>273</v>
      </c>
      <c r="C24" s="14" t="s">
        <v>276</v>
      </c>
      <c r="D24" s="6"/>
    </row>
    <row r="25" spans="1:4" ht="14.25" x14ac:dyDescent="0.15">
      <c r="B25" s="82" t="s">
        <v>282</v>
      </c>
      <c r="C25" s="83" t="s">
        <v>283</v>
      </c>
    </row>
  </sheetData>
  <mergeCells count="3">
    <mergeCell ref="A2:A4"/>
    <mergeCell ref="A5:A19"/>
    <mergeCell ref="A20:A2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5"/>
  <sheetViews>
    <sheetView workbookViewId="0">
      <selection sqref="A1:H1"/>
    </sheetView>
  </sheetViews>
  <sheetFormatPr defaultRowHeight="14.25" x14ac:dyDescent="0.15"/>
  <cols>
    <col min="1" max="1" width="9" style="48"/>
    <col min="2" max="2" width="12.875" style="48" customWidth="1"/>
    <col min="3" max="5" width="9" style="48"/>
    <col min="6" max="6" width="11" style="48" customWidth="1"/>
    <col min="7" max="9" width="9" style="48"/>
    <col min="10" max="10" width="13.125" style="48" customWidth="1"/>
    <col min="11" max="13" width="9" style="48"/>
    <col min="14" max="14" width="13.5" style="48" customWidth="1"/>
    <col min="15" max="16384" width="9" style="48"/>
  </cols>
  <sheetData>
    <row r="1" spans="1:16" ht="15" x14ac:dyDescent="0.15">
      <c r="A1" s="90" t="s">
        <v>246</v>
      </c>
      <c r="B1" s="90"/>
      <c r="C1" s="90"/>
      <c r="D1" s="90"/>
      <c r="E1" s="90"/>
      <c r="F1" s="90"/>
      <c r="G1" s="90"/>
      <c r="H1" s="90"/>
      <c r="I1" s="90" t="s">
        <v>247</v>
      </c>
      <c r="J1" s="90"/>
      <c r="K1" s="90"/>
      <c r="L1" s="90"/>
      <c r="M1" s="90"/>
      <c r="N1" s="90"/>
      <c r="O1" s="90"/>
      <c r="P1" s="90"/>
    </row>
    <row r="2" spans="1:16" ht="15" x14ac:dyDescent="0.15">
      <c r="A2" s="91" t="s">
        <v>237</v>
      </c>
      <c r="B2" s="91"/>
      <c r="C2" s="91"/>
      <c r="D2" s="91"/>
      <c r="E2" s="91" t="s">
        <v>238</v>
      </c>
      <c r="F2" s="91"/>
      <c r="G2" s="91"/>
      <c r="H2" s="91"/>
      <c r="I2" s="91" t="s">
        <v>237</v>
      </c>
      <c r="J2" s="91"/>
      <c r="K2" s="91"/>
      <c r="L2" s="91"/>
      <c r="M2" s="92"/>
      <c r="N2" s="92"/>
      <c r="O2" s="92"/>
      <c r="P2" s="92"/>
    </row>
    <row r="3" spans="1:16" ht="15" x14ac:dyDescent="0.15">
      <c r="A3" s="67" t="s">
        <v>219</v>
      </c>
      <c r="B3" s="67" t="s">
        <v>220</v>
      </c>
      <c r="C3" s="67" t="s">
        <v>221</v>
      </c>
      <c r="D3" s="67" t="s">
        <v>222</v>
      </c>
      <c r="E3" s="67" t="s">
        <v>223</v>
      </c>
      <c r="F3" s="67" t="s">
        <v>224</v>
      </c>
      <c r="G3" s="67" t="s">
        <v>225</v>
      </c>
      <c r="H3" s="67" t="s">
        <v>226</v>
      </c>
      <c r="I3" s="67" t="s">
        <v>219</v>
      </c>
      <c r="J3" s="67" t="s">
        <v>220</v>
      </c>
      <c r="K3" s="67" t="s">
        <v>221</v>
      </c>
      <c r="L3" s="67" t="s">
        <v>222</v>
      </c>
      <c r="M3" s="75"/>
      <c r="N3" s="75"/>
      <c r="O3" s="75"/>
      <c r="P3" s="75"/>
    </row>
    <row r="4" spans="1:16" x14ac:dyDescent="0.15">
      <c r="A4" s="73">
        <v>1</v>
      </c>
      <c r="B4" s="73" t="s">
        <v>248</v>
      </c>
      <c r="C4" s="73">
        <v>203</v>
      </c>
      <c r="D4" s="73">
        <v>2</v>
      </c>
      <c r="E4" s="74">
        <v>4</v>
      </c>
      <c r="F4" s="74" t="s">
        <v>249</v>
      </c>
      <c r="G4" s="74">
        <v>3</v>
      </c>
      <c r="H4" s="74">
        <v>42</v>
      </c>
      <c r="I4" s="73">
        <v>1</v>
      </c>
      <c r="J4" s="73" t="s">
        <v>250</v>
      </c>
      <c r="K4" s="73">
        <v>194</v>
      </c>
      <c r="L4" s="73">
        <v>2</v>
      </c>
      <c r="M4" s="76"/>
      <c r="N4" s="76"/>
      <c r="O4" s="76"/>
      <c r="P4" s="76"/>
    </row>
    <row r="5" spans="1:16" x14ac:dyDescent="0.15">
      <c r="A5" s="73">
        <v>7</v>
      </c>
      <c r="B5" s="73" t="s">
        <v>248</v>
      </c>
      <c r="C5" s="73">
        <v>204</v>
      </c>
      <c r="D5" s="73">
        <v>2</v>
      </c>
      <c r="E5" s="74">
        <v>13</v>
      </c>
      <c r="F5" s="74" t="s">
        <v>249</v>
      </c>
      <c r="G5" s="74">
        <v>3</v>
      </c>
      <c r="H5" s="74">
        <v>43</v>
      </c>
      <c r="I5" s="73">
        <v>2</v>
      </c>
      <c r="J5" s="73" t="s">
        <v>250</v>
      </c>
      <c r="K5" s="73">
        <v>194</v>
      </c>
      <c r="L5" s="73">
        <v>3</v>
      </c>
      <c r="M5" s="76"/>
      <c r="N5" s="76"/>
      <c r="O5" s="76"/>
      <c r="P5" s="76"/>
    </row>
    <row r="6" spans="1:16" x14ac:dyDescent="0.15">
      <c r="A6" s="73">
        <v>10</v>
      </c>
      <c r="B6" s="73" t="s">
        <v>248</v>
      </c>
      <c r="C6" s="73">
        <v>203</v>
      </c>
      <c r="D6" s="73">
        <v>3</v>
      </c>
      <c r="E6" s="74">
        <v>22</v>
      </c>
      <c r="F6" s="74" t="s">
        <v>249</v>
      </c>
      <c r="G6" s="74">
        <v>3</v>
      </c>
      <c r="H6" s="74">
        <v>44</v>
      </c>
      <c r="I6" s="73">
        <v>3</v>
      </c>
      <c r="J6" s="73" t="s">
        <v>250</v>
      </c>
      <c r="K6" s="73">
        <v>194</v>
      </c>
      <c r="L6" s="73">
        <v>4</v>
      </c>
      <c r="M6" s="76"/>
      <c r="N6" s="76"/>
      <c r="O6" s="76"/>
      <c r="P6" s="76"/>
    </row>
    <row r="7" spans="1:16" x14ac:dyDescent="0.15">
      <c r="A7" s="73">
        <v>16</v>
      </c>
      <c r="B7" s="73" t="s">
        <v>248</v>
      </c>
      <c r="C7" s="73">
        <v>204</v>
      </c>
      <c r="D7" s="73">
        <v>3</v>
      </c>
      <c r="E7" s="74">
        <v>31</v>
      </c>
      <c r="F7" s="74" t="s">
        <v>249</v>
      </c>
      <c r="G7" s="74">
        <v>3</v>
      </c>
      <c r="H7" s="74">
        <v>45</v>
      </c>
      <c r="I7" s="73">
        <v>4</v>
      </c>
      <c r="J7" s="73" t="s">
        <v>250</v>
      </c>
      <c r="K7" s="73">
        <v>194</v>
      </c>
      <c r="L7" s="73">
        <v>5</v>
      </c>
      <c r="M7" s="76"/>
      <c r="N7" s="76"/>
      <c r="O7" s="76"/>
      <c r="P7" s="76"/>
    </row>
    <row r="8" spans="1:16" x14ac:dyDescent="0.15">
      <c r="A8" s="73">
        <v>19</v>
      </c>
      <c r="B8" s="73" t="s">
        <v>248</v>
      </c>
      <c r="C8" s="73">
        <v>203</v>
      </c>
      <c r="D8" s="73">
        <v>4</v>
      </c>
      <c r="E8" s="74">
        <v>40</v>
      </c>
      <c r="F8" s="74" t="s">
        <v>249</v>
      </c>
      <c r="G8" s="74">
        <v>3</v>
      </c>
      <c r="H8" s="74">
        <v>46</v>
      </c>
      <c r="I8" s="73">
        <v>5</v>
      </c>
      <c r="J8" s="73" t="s">
        <v>250</v>
      </c>
      <c r="K8" s="73">
        <v>194</v>
      </c>
      <c r="L8" s="73">
        <v>6</v>
      </c>
      <c r="M8" s="76"/>
      <c r="N8" s="76"/>
      <c r="O8" s="76"/>
      <c r="P8" s="76"/>
    </row>
    <row r="9" spans="1:16" x14ac:dyDescent="0.15">
      <c r="A9" s="73">
        <v>25</v>
      </c>
      <c r="B9" s="73" t="s">
        <v>248</v>
      </c>
      <c r="C9" s="73">
        <v>204</v>
      </c>
      <c r="D9" s="73">
        <v>4</v>
      </c>
      <c r="E9" s="74">
        <v>206</v>
      </c>
      <c r="F9" s="74" t="s">
        <v>249</v>
      </c>
      <c r="G9" s="74">
        <v>3</v>
      </c>
      <c r="H9" s="74">
        <v>47</v>
      </c>
      <c r="I9" s="73">
        <v>6</v>
      </c>
      <c r="J9" s="73" t="s">
        <v>250</v>
      </c>
      <c r="K9" s="73">
        <v>194</v>
      </c>
      <c r="L9" s="73">
        <v>7</v>
      </c>
      <c r="M9" s="76"/>
      <c r="N9" s="76"/>
      <c r="O9" s="76"/>
      <c r="P9" s="76"/>
    </row>
    <row r="10" spans="1:16" x14ac:dyDescent="0.15">
      <c r="A10" s="73">
        <v>28</v>
      </c>
      <c r="B10" s="73" t="s">
        <v>248</v>
      </c>
      <c r="C10" s="73">
        <v>203</v>
      </c>
      <c r="D10" s="73">
        <v>5</v>
      </c>
      <c r="E10" s="74">
        <v>50</v>
      </c>
      <c r="F10" s="74" t="s">
        <v>249</v>
      </c>
      <c r="G10" s="74">
        <v>3</v>
      </c>
      <c r="H10" s="74">
        <v>48</v>
      </c>
      <c r="I10" s="73">
        <v>7</v>
      </c>
      <c r="J10" s="73" t="s">
        <v>250</v>
      </c>
      <c r="K10" s="73">
        <v>194</v>
      </c>
      <c r="L10" s="73">
        <v>8</v>
      </c>
      <c r="M10" s="76"/>
      <c r="N10" s="76"/>
      <c r="O10" s="76"/>
      <c r="P10" s="76"/>
    </row>
    <row r="11" spans="1:16" x14ac:dyDescent="0.15">
      <c r="A11" s="73">
        <v>34</v>
      </c>
      <c r="B11" s="73" t="s">
        <v>248</v>
      </c>
      <c r="C11" s="73">
        <v>204</v>
      </c>
      <c r="D11" s="73">
        <v>5</v>
      </c>
      <c r="E11" s="74">
        <v>218</v>
      </c>
      <c r="F11" s="74" t="s">
        <v>249</v>
      </c>
      <c r="G11" s="74">
        <v>3</v>
      </c>
      <c r="H11" s="74">
        <v>49</v>
      </c>
      <c r="I11" s="73">
        <v>8</v>
      </c>
      <c r="J11" s="73" t="s">
        <v>250</v>
      </c>
      <c r="K11" s="73">
        <v>194</v>
      </c>
      <c r="L11" s="73">
        <v>9</v>
      </c>
      <c r="M11" s="76"/>
      <c r="N11" s="76"/>
      <c r="O11" s="76"/>
      <c r="P11" s="76"/>
    </row>
    <row r="12" spans="1:16" x14ac:dyDescent="0.15">
      <c r="A12" s="73">
        <v>37</v>
      </c>
      <c r="B12" s="73" t="s">
        <v>248</v>
      </c>
      <c r="C12" s="73">
        <v>203</v>
      </c>
      <c r="D12" s="73">
        <v>6</v>
      </c>
      <c r="E12" s="74">
        <v>62</v>
      </c>
      <c r="F12" s="74" t="s">
        <v>249</v>
      </c>
      <c r="G12" s="74">
        <v>3</v>
      </c>
      <c r="H12" s="74">
        <v>50</v>
      </c>
      <c r="I12" s="73">
        <v>9</v>
      </c>
      <c r="J12" s="73" t="s">
        <v>250</v>
      </c>
      <c r="K12" s="73">
        <v>194</v>
      </c>
      <c r="L12" s="73">
        <v>10</v>
      </c>
      <c r="M12" s="76"/>
      <c r="N12" s="76"/>
      <c r="O12" s="76"/>
      <c r="P12" s="76"/>
    </row>
    <row r="13" spans="1:16" x14ac:dyDescent="0.15">
      <c r="A13" s="73">
        <v>43</v>
      </c>
      <c r="B13" s="73" t="s">
        <v>248</v>
      </c>
      <c r="C13" s="73">
        <v>204</v>
      </c>
      <c r="D13" s="73">
        <v>6</v>
      </c>
      <c r="E13" s="74">
        <v>74</v>
      </c>
      <c r="F13" s="74" t="s">
        <v>249</v>
      </c>
      <c r="G13" s="74">
        <v>3</v>
      </c>
      <c r="H13" s="74">
        <v>51</v>
      </c>
      <c r="I13" s="73"/>
      <c r="J13" s="73"/>
      <c r="K13" s="73"/>
      <c r="L13" s="73"/>
      <c r="M13" s="76"/>
      <c r="N13" s="76"/>
      <c r="O13" s="76"/>
      <c r="P13" s="76"/>
    </row>
    <row r="14" spans="1:16" x14ac:dyDescent="0.15">
      <c r="A14" s="73">
        <v>46</v>
      </c>
      <c r="B14" s="73" t="s">
        <v>248</v>
      </c>
      <c r="C14" s="73">
        <v>203</v>
      </c>
      <c r="D14" s="73">
        <v>7</v>
      </c>
      <c r="E14" s="74">
        <v>86</v>
      </c>
      <c r="F14" s="74" t="s">
        <v>249</v>
      </c>
      <c r="G14" s="74">
        <v>3</v>
      </c>
      <c r="H14" s="74">
        <v>52</v>
      </c>
      <c r="I14" s="73"/>
      <c r="J14" s="73"/>
      <c r="K14" s="73"/>
      <c r="L14" s="73"/>
      <c r="M14" s="76"/>
      <c r="N14" s="76"/>
      <c r="O14" s="76"/>
      <c r="P14" s="76"/>
    </row>
    <row r="15" spans="1:16" x14ac:dyDescent="0.15">
      <c r="A15" s="73">
        <v>210</v>
      </c>
      <c r="B15" s="73" t="s">
        <v>248</v>
      </c>
      <c r="C15" s="73">
        <v>203</v>
      </c>
      <c r="D15" s="73">
        <v>8</v>
      </c>
      <c r="E15" s="74">
        <v>98</v>
      </c>
      <c r="F15" s="74" t="s">
        <v>249</v>
      </c>
      <c r="G15" s="74">
        <v>3</v>
      </c>
      <c r="H15" s="74">
        <v>53</v>
      </c>
      <c r="I15" s="73"/>
      <c r="J15" s="73"/>
      <c r="K15" s="73"/>
      <c r="L15" s="73"/>
      <c r="M15" s="76"/>
      <c r="N15" s="76"/>
      <c r="O15" s="76"/>
      <c r="P15" s="76"/>
    </row>
    <row r="16" spans="1:16" x14ac:dyDescent="0.15">
      <c r="A16" s="73">
        <v>214</v>
      </c>
      <c r="B16" s="73" t="s">
        <v>248</v>
      </c>
      <c r="C16" s="73">
        <v>203</v>
      </c>
      <c r="D16" s="73">
        <v>9</v>
      </c>
      <c r="E16" s="74">
        <v>110</v>
      </c>
      <c r="F16" s="74" t="s">
        <v>249</v>
      </c>
      <c r="G16" s="74">
        <v>3</v>
      </c>
      <c r="H16" s="74">
        <v>54</v>
      </c>
      <c r="I16" s="73"/>
      <c r="J16" s="73"/>
      <c r="K16" s="73"/>
      <c r="L16" s="73"/>
      <c r="M16" s="76"/>
      <c r="N16" s="76"/>
      <c r="O16" s="76"/>
      <c r="P16" s="76"/>
    </row>
    <row r="17" spans="1:8" x14ac:dyDescent="0.15">
      <c r="A17" s="73">
        <v>54</v>
      </c>
      <c r="B17" s="73" t="s">
        <v>248</v>
      </c>
      <c r="C17" s="73">
        <v>204</v>
      </c>
      <c r="D17" s="73">
        <v>9</v>
      </c>
      <c r="E17" s="74">
        <v>121</v>
      </c>
      <c r="F17" s="74" t="s">
        <v>249</v>
      </c>
      <c r="G17" s="74">
        <v>3</v>
      </c>
      <c r="H17" s="74">
        <v>55</v>
      </c>
    </row>
    <row r="18" spans="1:8" x14ac:dyDescent="0.15">
      <c r="A18" s="73">
        <v>58</v>
      </c>
      <c r="B18" s="73" t="s">
        <v>248</v>
      </c>
      <c r="C18" s="73">
        <v>203</v>
      </c>
      <c r="D18" s="73">
        <v>10</v>
      </c>
      <c r="E18" s="74">
        <v>130</v>
      </c>
      <c r="F18" s="74" t="s">
        <v>249</v>
      </c>
      <c r="G18" s="74">
        <v>3</v>
      </c>
      <c r="H18" s="74">
        <v>56</v>
      </c>
    </row>
    <row r="19" spans="1:8" x14ac:dyDescent="0.15">
      <c r="A19" s="73">
        <v>66</v>
      </c>
      <c r="B19" s="73" t="s">
        <v>248</v>
      </c>
      <c r="C19" s="73">
        <v>204</v>
      </c>
      <c r="D19" s="73">
        <v>10</v>
      </c>
      <c r="E19" s="74">
        <v>139</v>
      </c>
      <c r="F19" s="74" t="s">
        <v>249</v>
      </c>
      <c r="G19" s="74">
        <v>3</v>
      </c>
      <c r="H19" s="74">
        <v>57</v>
      </c>
    </row>
    <row r="20" spans="1:8" x14ac:dyDescent="0.15">
      <c r="A20" s="73">
        <v>70</v>
      </c>
      <c r="B20" s="73" t="s">
        <v>248</v>
      </c>
      <c r="C20" s="73">
        <v>203</v>
      </c>
      <c r="D20" s="73">
        <v>11</v>
      </c>
      <c r="E20" s="74">
        <v>148</v>
      </c>
      <c r="F20" s="74" t="s">
        <v>249</v>
      </c>
      <c r="G20" s="74">
        <v>3</v>
      </c>
      <c r="H20" s="74">
        <v>58</v>
      </c>
    </row>
    <row r="21" spans="1:8" x14ac:dyDescent="0.15">
      <c r="A21" s="73">
        <v>78</v>
      </c>
      <c r="B21" s="73" t="s">
        <v>248</v>
      </c>
      <c r="C21" s="73">
        <v>204</v>
      </c>
      <c r="D21" s="73">
        <v>11</v>
      </c>
      <c r="E21" s="74">
        <v>154</v>
      </c>
      <c r="F21" s="74" t="s">
        <v>256</v>
      </c>
      <c r="G21" s="74">
        <v>3</v>
      </c>
      <c r="H21" s="74">
        <v>83</v>
      </c>
    </row>
    <row r="22" spans="1:8" x14ac:dyDescent="0.15">
      <c r="A22" s="73">
        <v>82</v>
      </c>
      <c r="B22" s="73" t="s">
        <v>248</v>
      </c>
      <c r="C22" s="73">
        <v>203</v>
      </c>
      <c r="D22" s="73">
        <v>12</v>
      </c>
      <c r="E22" s="74">
        <v>156</v>
      </c>
      <c r="F22" s="74" t="s">
        <v>251</v>
      </c>
      <c r="G22" s="74">
        <v>3</v>
      </c>
      <c r="H22" s="74">
        <v>84</v>
      </c>
    </row>
    <row r="23" spans="1:8" x14ac:dyDescent="0.15">
      <c r="A23" s="73">
        <v>90</v>
      </c>
      <c r="B23" s="73" t="s">
        <v>248</v>
      </c>
      <c r="C23" s="73">
        <v>204</v>
      </c>
      <c r="D23" s="73">
        <v>12</v>
      </c>
      <c r="E23" s="74">
        <v>158</v>
      </c>
      <c r="F23" s="74" t="s">
        <v>251</v>
      </c>
      <c r="G23" s="74">
        <v>3</v>
      </c>
      <c r="H23" s="74">
        <v>85</v>
      </c>
    </row>
    <row r="24" spans="1:8" x14ac:dyDescent="0.15">
      <c r="A24" s="73">
        <v>94</v>
      </c>
      <c r="B24" s="73" t="s">
        <v>248</v>
      </c>
      <c r="C24" s="73">
        <v>203</v>
      </c>
      <c r="D24" s="73">
        <v>13</v>
      </c>
      <c r="E24" s="74">
        <v>159</v>
      </c>
      <c r="F24" s="74" t="s">
        <v>251</v>
      </c>
      <c r="G24" s="74">
        <v>3</v>
      </c>
      <c r="H24" s="74">
        <v>86</v>
      </c>
    </row>
    <row r="25" spans="1:8" x14ac:dyDescent="0.15">
      <c r="A25" s="73">
        <v>102</v>
      </c>
      <c r="B25" s="73" t="s">
        <v>248</v>
      </c>
      <c r="C25" s="73">
        <v>204</v>
      </c>
      <c r="D25" s="73">
        <v>13</v>
      </c>
      <c r="E25" s="74">
        <v>161</v>
      </c>
      <c r="F25" s="74" t="s">
        <v>251</v>
      </c>
      <c r="G25" s="74">
        <v>3</v>
      </c>
      <c r="H25" s="74">
        <v>87</v>
      </c>
    </row>
    <row r="26" spans="1:8" x14ac:dyDescent="0.15">
      <c r="A26" s="73">
        <v>106</v>
      </c>
      <c r="B26" s="73" t="s">
        <v>248</v>
      </c>
      <c r="C26" s="73">
        <v>203</v>
      </c>
      <c r="D26" s="73">
        <v>14</v>
      </c>
      <c r="E26" s="74">
        <v>162</v>
      </c>
      <c r="F26" s="74" t="s">
        <v>251</v>
      </c>
      <c r="G26" s="74">
        <v>3</v>
      </c>
      <c r="H26" s="74">
        <v>88</v>
      </c>
    </row>
    <row r="27" spans="1:8" x14ac:dyDescent="0.15">
      <c r="A27" s="73">
        <v>226</v>
      </c>
      <c r="B27" s="73" t="s">
        <v>248</v>
      </c>
      <c r="C27" s="73">
        <v>203</v>
      </c>
      <c r="D27" s="73">
        <v>15</v>
      </c>
      <c r="E27" s="74">
        <v>165</v>
      </c>
      <c r="F27" s="74" t="s">
        <v>251</v>
      </c>
      <c r="G27" s="74">
        <v>3</v>
      </c>
      <c r="H27" s="74">
        <v>89</v>
      </c>
    </row>
    <row r="28" spans="1:8" x14ac:dyDescent="0.15">
      <c r="A28" s="73">
        <v>230</v>
      </c>
      <c r="B28" s="73" t="s">
        <v>248</v>
      </c>
      <c r="C28" s="73">
        <v>203</v>
      </c>
      <c r="D28" s="73">
        <v>16</v>
      </c>
      <c r="E28" s="74">
        <v>167</v>
      </c>
      <c r="F28" s="74" t="s">
        <v>252</v>
      </c>
      <c r="G28" s="74">
        <v>3</v>
      </c>
      <c r="H28" s="74">
        <v>90</v>
      </c>
    </row>
    <row r="29" spans="1:8" x14ac:dyDescent="0.15">
      <c r="A29" s="73">
        <v>114</v>
      </c>
      <c r="B29" s="73" t="s">
        <v>248</v>
      </c>
      <c r="C29" s="73">
        <v>204</v>
      </c>
      <c r="D29" s="73">
        <v>16</v>
      </c>
      <c r="E29" s="74">
        <v>169</v>
      </c>
      <c r="F29" s="74" t="s">
        <v>251</v>
      </c>
      <c r="G29" s="74">
        <v>3</v>
      </c>
      <c r="H29" s="74">
        <v>91</v>
      </c>
    </row>
    <row r="30" spans="1:8" x14ac:dyDescent="0.15">
      <c r="A30" s="73">
        <v>118</v>
      </c>
      <c r="B30" s="73" t="s">
        <v>248</v>
      </c>
      <c r="C30" s="73">
        <v>203</v>
      </c>
      <c r="D30" s="73">
        <v>17</v>
      </c>
    </row>
    <row r="31" spans="1:8" x14ac:dyDescent="0.15">
      <c r="A31" s="73">
        <v>124</v>
      </c>
      <c r="B31" s="73" t="s">
        <v>248</v>
      </c>
      <c r="C31" s="73">
        <v>204</v>
      </c>
      <c r="D31" s="73">
        <v>17</v>
      </c>
    </row>
    <row r="32" spans="1:8" x14ac:dyDescent="0.15">
      <c r="A32" s="73">
        <v>127</v>
      </c>
      <c r="B32" s="73" t="s">
        <v>248</v>
      </c>
      <c r="C32" s="73">
        <v>203</v>
      </c>
      <c r="D32" s="73">
        <v>18</v>
      </c>
    </row>
    <row r="33" spans="1:4" x14ac:dyDescent="0.15">
      <c r="A33" s="73">
        <v>133</v>
      </c>
      <c r="B33" s="73" t="s">
        <v>248</v>
      </c>
      <c r="C33" s="73">
        <v>204</v>
      </c>
      <c r="D33" s="73">
        <v>18</v>
      </c>
    </row>
    <row r="34" spans="1:4" x14ac:dyDescent="0.15">
      <c r="A34" s="73">
        <v>136</v>
      </c>
      <c r="B34" s="73" t="s">
        <v>248</v>
      </c>
      <c r="C34" s="73">
        <v>203</v>
      </c>
      <c r="D34" s="73">
        <v>19</v>
      </c>
    </row>
    <row r="35" spans="1:4" x14ac:dyDescent="0.15">
      <c r="A35" s="73">
        <v>142</v>
      </c>
      <c r="B35" s="73" t="s">
        <v>248</v>
      </c>
      <c r="C35" s="73">
        <v>204</v>
      </c>
      <c r="D35" s="73">
        <v>19</v>
      </c>
    </row>
    <row r="36" spans="1:4" x14ac:dyDescent="0.15">
      <c r="A36" s="73">
        <v>145</v>
      </c>
      <c r="B36" s="73" t="s">
        <v>248</v>
      </c>
      <c r="C36" s="73">
        <v>203</v>
      </c>
      <c r="D36" s="73">
        <v>20</v>
      </c>
    </row>
    <row r="37" spans="1:4" x14ac:dyDescent="0.15">
      <c r="A37" s="73">
        <v>151</v>
      </c>
      <c r="B37" s="73" t="s">
        <v>248</v>
      </c>
      <c r="C37" s="73">
        <v>204</v>
      </c>
      <c r="D37" s="73">
        <v>20</v>
      </c>
    </row>
    <row r="38" spans="1:4" x14ac:dyDescent="0.15">
      <c r="A38" s="73">
        <v>170</v>
      </c>
      <c r="B38" s="73" t="s">
        <v>254</v>
      </c>
      <c r="C38" s="73">
        <v>194</v>
      </c>
      <c r="D38" s="73">
        <v>2</v>
      </c>
    </row>
    <row r="39" spans="1:4" x14ac:dyDescent="0.15">
      <c r="A39" s="73">
        <v>171</v>
      </c>
      <c r="B39" s="73" t="s">
        <v>254</v>
      </c>
      <c r="C39" s="73">
        <v>195</v>
      </c>
      <c r="D39" s="73">
        <v>2</v>
      </c>
    </row>
    <row r="40" spans="1:4" x14ac:dyDescent="0.15">
      <c r="A40" s="73">
        <v>172</v>
      </c>
      <c r="B40" s="73" t="s">
        <v>254</v>
      </c>
      <c r="C40" s="73">
        <v>194</v>
      </c>
      <c r="D40" s="73">
        <v>3</v>
      </c>
    </row>
    <row r="41" spans="1:4" x14ac:dyDescent="0.15">
      <c r="A41" s="73">
        <v>173</v>
      </c>
      <c r="B41" s="73" t="s">
        <v>253</v>
      </c>
      <c r="C41" s="73">
        <v>195</v>
      </c>
      <c r="D41" s="73">
        <v>3</v>
      </c>
    </row>
    <row r="42" spans="1:4" x14ac:dyDescent="0.15">
      <c r="A42" s="73">
        <v>174</v>
      </c>
      <c r="B42" s="73" t="s">
        <v>254</v>
      </c>
      <c r="C42" s="73">
        <v>194</v>
      </c>
      <c r="D42" s="73">
        <v>4</v>
      </c>
    </row>
    <row r="43" spans="1:4" x14ac:dyDescent="0.15">
      <c r="A43" s="73">
        <v>175</v>
      </c>
      <c r="B43" s="73" t="s">
        <v>254</v>
      </c>
      <c r="C43" s="73">
        <v>195</v>
      </c>
      <c r="D43" s="73">
        <v>4</v>
      </c>
    </row>
    <row r="44" spans="1:4" x14ac:dyDescent="0.15">
      <c r="A44" s="73">
        <v>176</v>
      </c>
      <c r="B44" s="73" t="s">
        <v>254</v>
      </c>
      <c r="C44" s="73">
        <v>194</v>
      </c>
      <c r="D44" s="73">
        <v>5</v>
      </c>
    </row>
    <row r="45" spans="1:4" x14ac:dyDescent="0.15">
      <c r="A45" s="73">
        <v>177</v>
      </c>
      <c r="B45" s="73" t="s">
        <v>254</v>
      </c>
      <c r="C45" s="73">
        <v>195</v>
      </c>
      <c r="D45" s="73">
        <v>5</v>
      </c>
    </row>
    <row r="46" spans="1:4" x14ac:dyDescent="0.15">
      <c r="A46" s="73">
        <v>178</v>
      </c>
      <c r="B46" s="73" t="s">
        <v>254</v>
      </c>
      <c r="C46" s="73">
        <v>194</v>
      </c>
      <c r="D46" s="73">
        <v>12</v>
      </c>
    </row>
    <row r="47" spans="1:4" x14ac:dyDescent="0.15">
      <c r="A47" s="73">
        <v>180</v>
      </c>
      <c r="B47" s="73" t="s">
        <v>255</v>
      </c>
      <c r="C47" s="73">
        <v>195</v>
      </c>
      <c r="D47" s="73">
        <v>12</v>
      </c>
    </row>
    <row r="48" spans="1:4" x14ac:dyDescent="0.15">
      <c r="A48" s="73">
        <v>182</v>
      </c>
      <c r="B48" s="73" t="s">
        <v>254</v>
      </c>
      <c r="C48" s="73">
        <v>194</v>
      </c>
      <c r="D48" s="73">
        <v>13</v>
      </c>
    </row>
    <row r="49" spans="1:4" x14ac:dyDescent="0.15">
      <c r="A49" s="73">
        <v>183</v>
      </c>
      <c r="B49" s="73" t="s">
        <v>254</v>
      </c>
      <c r="C49" s="73">
        <v>195</v>
      </c>
      <c r="D49" s="73">
        <v>13</v>
      </c>
    </row>
    <row r="50" spans="1:4" x14ac:dyDescent="0.15">
      <c r="A50" s="73">
        <v>184</v>
      </c>
      <c r="B50" s="73" t="s">
        <v>254</v>
      </c>
      <c r="C50" s="73">
        <v>194</v>
      </c>
      <c r="D50" s="73">
        <v>14</v>
      </c>
    </row>
    <row r="51" spans="1:4" x14ac:dyDescent="0.15">
      <c r="A51" s="73">
        <v>185</v>
      </c>
      <c r="B51" s="73" t="s">
        <v>255</v>
      </c>
      <c r="C51" s="73">
        <v>195</v>
      </c>
      <c r="D51" s="73">
        <v>14</v>
      </c>
    </row>
    <row r="52" spans="1:4" x14ac:dyDescent="0.15">
      <c r="A52" s="73">
        <v>186</v>
      </c>
      <c r="B52" s="73" t="s">
        <v>254</v>
      </c>
      <c r="C52" s="73">
        <v>194</v>
      </c>
      <c r="D52" s="73">
        <v>15</v>
      </c>
    </row>
    <row r="53" spans="1:4" x14ac:dyDescent="0.15">
      <c r="A53" s="73">
        <v>187</v>
      </c>
      <c r="B53" s="73" t="s">
        <v>254</v>
      </c>
      <c r="C53" s="73">
        <v>195</v>
      </c>
      <c r="D53" s="73">
        <v>15</v>
      </c>
    </row>
    <row r="54" spans="1:4" x14ac:dyDescent="0.15">
      <c r="A54" s="73">
        <v>188</v>
      </c>
      <c r="B54" s="73" t="s">
        <v>253</v>
      </c>
      <c r="C54" s="73">
        <v>194</v>
      </c>
      <c r="D54" s="73">
        <v>16</v>
      </c>
    </row>
    <row r="55" spans="1:4" x14ac:dyDescent="0.15">
      <c r="A55" s="73">
        <v>189</v>
      </c>
      <c r="B55" s="73" t="s">
        <v>254</v>
      </c>
      <c r="C55" s="73">
        <v>195</v>
      </c>
      <c r="D55" s="73">
        <v>16</v>
      </c>
    </row>
    <row r="56" spans="1:4" x14ac:dyDescent="0.15">
      <c r="A56" s="73">
        <v>190</v>
      </c>
      <c r="B56" s="73" t="s">
        <v>254</v>
      </c>
      <c r="C56" s="73">
        <v>194</v>
      </c>
      <c r="D56" s="73">
        <v>17</v>
      </c>
    </row>
    <row r="57" spans="1:4" x14ac:dyDescent="0.15">
      <c r="A57" s="73">
        <v>191</v>
      </c>
      <c r="B57" s="73" t="s">
        <v>254</v>
      </c>
      <c r="C57" s="73">
        <v>195</v>
      </c>
      <c r="D57" s="73">
        <v>17</v>
      </c>
    </row>
    <row r="58" spans="1:4" x14ac:dyDescent="0.15">
      <c r="A58" s="73">
        <v>192</v>
      </c>
      <c r="B58" s="73" t="s">
        <v>253</v>
      </c>
      <c r="C58" s="73">
        <v>194</v>
      </c>
      <c r="D58" s="73">
        <v>8</v>
      </c>
    </row>
    <row r="59" spans="1:4" x14ac:dyDescent="0.15">
      <c r="A59" s="73">
        <v>194</v>
      </c>
      <c r="B59" s="73" t="s">
        <v>254</v>
      </c>
      <c r="C59" s="73">
        <v>195</v>
      </c>
      <c r="D59" s="73">
        <v>8</v>
      </c>
    </row>
    <row r="60" spans="1:4" x14ac:dyDescent="0.15">
      <c r="A60" s="73">
        <v>196</v>
      </c>
      <c r="B60" s="73" t="s">
        <v>254</v>
      </c>
      <c r="C60" s="73">
        <v>194</v>
      </c>
      <c r="D60" s="73">
        <v>9</v>
      </c>
    </row>
    <row r="61" spans="1:4" x14ac:dyDescent="0.15">
      <c r="A61" s="73">
        <v>198</v>
      </c>
      <c r="B61" s="73" t="s">
        <v>254</v>
      </c>
      <c r="C61" s="73">
        <v>195</v>
      </c>
      <c r="D61" s="73">
        <v>9</v>
      </c>
    </row>
    <row r="62" spans="1:4" x14ac:dyDescent="0.15">
      <c r="A62" s="73">
        <v>200</v>
      </c>
      <c r="B62" s="73" t="s">
        <v>254</v>
      </c>
      <c r="C62" s="73">
        <v>194</v>
      </c>
      <c r="D62" s="73">
        <v>10</v>
      </c>
    </row>
    <row r="63" spans="1:4" x14ac:dyDescent="0.15">
      <c r="A63" s="73">
        <v>202</v>
      </c>
      <c r="B63" s="73" t="s">
        <v>254</v>
      </c>
      <c r="C63" s="73">
        <v>195</v>
      </c>
      <c r="D63" s="73">
        <v>10</v>
      </c>
    </row>
    <row r="64" spans="1:4" x14ac:dyDescent="0.15">
      <c r="A64" s="73">
        <v>204</v>
      </c>
      <c r="B64" s="73" t="s">
        <v>254</v>
      </c>
      <c r="C64" s="73">
        <v>194</v>
      </c>
      <c r="D64" s="73">
        <v>11</v>
      </c>
    </row>
    <row r="65" spans="1:4" x14ac:dyDescent="0.15">
      <c r="A65" s="73">
        <v>205</v>
      </c>
      <c r="B65" s="73" t="s">
        <v>254</v>
      </c>
      <c r="C65" s="73">
        <v>195</v>
      </c>
      <c r="D65" s="73">
        <v>11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zoomScale="70" zoomScaleNormal="70" workbookViewId="0">
      <selection activeCell="B205" sqref="B205"/>
    </sheetView>
  </sheetViews>
  <sheetFormatPr defaultRowHeight="13.5" x14ac:dyDescent="0.15"/>
  <cols>
    <col min="1" max="16" width="9" style="60"/>
    <col min="17" max="121" width="9" style="77"/>
    <col min="122" max="16384" width="9" style="60"/>
  </cols>
  <sheetData>
    <row r="1" spans="1:161" ht="14.25" x14ac:dyDescent="0.15">
      <c r="A1" s="99" t="s">
        <v>188</v>
      </c>
      <c r="B1" s="93" t="s">
        <v>168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5"/>
      <c r="V1" s="93" t="s">
        <v>261</v>
      </c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5"/>
      <c r="AP1" s="93" t="s">
        <v>262</v>
      </c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5"/>
      <c r="BJ1" s="93" t="s">
        <v>263</v>
      </c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5"/>
      <c r="CD1" s="93" t="s">
        <v>186</v>
      </c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5"/>
      <c r="CX1" s="93" t="s">
        <v>187</v>
      </c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94"/>
      <c r="DL1" s="94"/>
      <c r="DM1" s="94"/>
      <c r="DN1" s="94"/>
      <c r="DO1" s="94"/>
      <c r="DP1" s="94"/>
      <c r="DQ1" s="95"/>
      <c r="DR1" s="93" t="s">
        <v>264</v>
      </c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5"/>
      <c r="EL1" s="96" t="s">
        <v>190</v>
      </c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8"/>
    </row>
    <row r="2" spans="1:161" ht="14.25" x14ac:dyDescent="0.15">
      <c r="A2" s="100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9">
        <v>1</v>
      </c>
      <c r="EM2" s="49">
        <v>2</v>
      </c>
      <c r="EN2" s="49">
        <v>3</v>
      </c>
      <c r="EO2" s="49">
        <v>4</v>
      </c>
      <c r="EP2" s="49">
        <v>5</v>
      </c>
      <c r="EQ2" s="49">
        <v>6</v>
      </c>
      <c r="ER2" s="49">
        <v>7</v>
      </c>
      <c r="ES2" s="49">
        <v>8</v>
      </c>
      <c r="ET2" s="49">
        <v>9</v>
      </c>
      <c r="EU2" s="49">
        <v>10</v>
      </c>
      <c r="EV2" s="49">
        <v>11</v>
      </c>
      <c r="EW2" s="49">
        <v>12</v>
      </c>
      <c r="EX2" s="49">
        <v>13</v>
      </c>
      <c r="EY2" s="49">
        <v>14</v>
      </c>
      <c r="EZ2" s="49">
        <v>15</v>
      </c>
      <c r="FA2" s="49">
        <v>16</v>
      </c>
      <c r="FB2" s="49">
        <v>17</v>
      </c>
      <c r="FC2" s="49">
        <v>18</v>
      </c>
      <c r="FD2" s="49">
        <v>19</v>
      </c>
      <c r="FE2" s="49">
        <v>20</v>
      </c>
    </row>
    <row r="3" spans="1:161" ht="14.25" x14ac:dyDescent="0.15">
      <c r="A3" s="46">
        <v>1</v>
      </c>
      <c r="B3" s="43" t="e">
        <f>V3*AP3</f>
        <v>#DIV/0!</v>
      </c>
      <c r="C3" s="43" t="e">
        <f t="shared" ref="C3:U3" si="0">W3*AQ3</f>
        <v>#DIV/0!</v>
      </c>
      <c r="D3" s="43" t="e">
        <f t="shared" si="0"/>
        <v>#DIV/0!</v>
      </c>
      <c r="E3" s="43" t="e">
        <f t="shared" si="0"/>
        <v>#DIV/0!</v>
      </c>
      <c r="F3" s="43" t="e">
        <f t="shared" si="0"/>
        <v>#DIV/0!</v>
      </c>
      <c r="G3" s="43" t="e">
        <f t="shared" si="0"/>
        <v>#DIV/0!</v>
      </c>
      <c r="H3" s="43" t="e">
        <f t="shared" si="0"/>
        <v>#DIV/0!</v>
      </c>
      <c r="I3" s="43" t="e">
        <f t="shared" si="0"/>
        <v>#DIV/0!</v>
      </c>
      <c r="J3" s="43" t="e">
        <f t="shared" si="0"/>
        <v>#DIV/0!</v>
      </c>
      <c r="K3" s="43" t="e">
        <f t="shared" si="0"/>
        <v>#DIV/0!</v>
      </c>
      <c r="L3" s="43" t="e">
        <f t="shared" si="0"/>
        <v>#DIV/0!</v>
      </c>
      <c r="M3" s="43" t="e">
        <f t="shared" si="0"/>
        <v>#DIV/0!</v>
      </c>
      <c r="N3" s="43" t="e">
        <f t="shared" si="0"/>
        <v>#DIV/0!</v>
      </c>
      <c r="O3" s="43" t="e">
        <f t="shared" si="0"/>
        <v>#DIV/0!</v>
      </c>
      <c r="P3" s="43" t="e">
        <f t="shared" si="0"/>
        <v>#DIV/0!</v>
      </c>
      <c r="Q3" s="43" t="e">
        <f t="shared" si="0"/>
        <v>#DIV/0!</v>
      </c>
      <c r="R3" s="43" t="e">
        <f t="shared" si="0"/>
        <v>#DIV/0!</v>
      </c>
      <c r="S3" s="43" t="e">
        <f t="shared" si="0"/>
        <v>#DIV/0!</v>
      </c>
      <c r="T3" s="43" t="e">
        <f t="shared" si="0"/>
        <v>#DIV/0!</v>
      </c>
      <c r="U3" s="43" t="e">
        <f t="shared" si="0"/>
        <v>#DIV/0!</v>
      </c>
      <c r="V3" s="49" t="e">
        <f>(B205+B203-B204)/(B191*V191)</f>
        <v>#DIV/0!</v>
      </c>
      <c r="W3" s="49" t="e">
        <f t="shared" ref="W3:AO3" si="1">(C205+C203-C204)/(C191*W191)</f>
        <v>#DIV/0!</v>
      </c>
      <c r="X3" s="49" t="e">
        <f t="shared" si="1"/>
        <v>#DIV/0!</v>
      </c>
      <c r="Y3" s="49" t="e">
        <f t="shared" si="1"/>
        <v>#DIV/0!</v>
      </c>
      <c r="Z3" s="49" t="e">
        <f t="shared" si="1"/>
        <v>#DIV/0!</v>
      </c>
      <c r="AA3" s="49" t="e">
        <f t="shared" si="1"/>
        <v>#DIV/0!</v>
      </c>
      <c r="AB3" s="49" t="e">
        <f t="shared" si="1"/>
        <v>#DIV/0!</v>
      </c>
      <c r="AC3" s="49" t="e">
        <f t="shared" si="1"/>
        <v>#DIV/0!</v>
      </c>
      <c r="AD3" s="49" t="e">
        <f t="shared" si="1"/>
        <v>#DIV/0!</v>
      </c>
      <c r="AE3" s="49" t="e">
        <f t="shared" si="1"/>
        <v>#DIV/0!</v>
      </c>
      <c r="AF3" s="49" t="e">
        <f t="shared" si="1"/>
        <v>#DIV/0!</v>
      </c>
      <c r="AG3" s="49" t="e">
        <f t="shared" si="1"/>
        <v>#DIV/0!</v>
      </c>
      <c r="AH3" s="49" t="e">
        <f t="shared" si="1"/>
        <v>#DIV/0!</v>
      </c>
      <c r="AI3" s="49" t="e">
        <f t="shared" si="1"/>
        <v>#DIV/0!</v>
      </c>
      <c r="AJ3" s="49" t="e">
        <f t="shared" si="1"/>
        <v>#DIV/0!</v>
      </c>
      <c r="AK3" s="49" t="e">
        <f t="shared" si="1"/>
        <v>#DIV/0!</v>
      </c>
      <c r="AL3" s="49" t="e">
        <f t="shared" si="1"/>
        <v>#DIV/0!</v>
      </c>
      <c r="AM3" s="49" t="e">
        <f t="shared" si="1"/>
        <v>#DIV/0!</v>
      </c>
      <c r="AN3" s="49" t="e">
        <f t="shared" si="1"/>
        <v>#DIV/0!</v>
      </c>
      <c r="AO3" s="49" t="e">
        <f t="shared" si="1"/>
        <v>#DIV/0!</v>
      </c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53"/>
      <c r="CY3" s="53"/>
      <c r="CZ3" s="53"/>
      <c r="DA3" s="53"/>
      <c r="DB3" s="53"/>
      <c r="DC3" s="53"/>
      <c r="DD3" s="53"/>
      <c r="DE3" s="53"/>
      <c r="DF3" s="53"/>
      <c r="DG3" s="53"/>
      <c r="DH3" s="53"/>
      <c r="DI3" s="53"/>
      <c r="DJ3" s="53"/>
      <c r="DK3" s="53"/>
      <c r="DL3" s="53"/>
      <c r="DM3" s="53"/>
      <c r="DN3" s="53"/>
      <c r="DO3" s="53"/>
      <c r="DP3" s="53"/>
      <c r="DQ3" s="53"/>
      <c r="DR3" s="62"/>
      <c r="DS3" s="62"/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  <c r="EF3" s="62"/>
      <c r="EG3" s="62"/>
      <c r="EH3" s="62"/>
      <c r="EI3" s="62"/>
      <c r="EJ3" s="62"/>
      <c r="EK3" s="62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</row>
    <row r="4" spans="1:161" ht="14.25" x14ac:dyDescent="0.15">
      <c r="A4" s="46"/>
      <c r="B4" s="43" t="e">
        <f t="shared" ref="B4:B67" si="2">V4*AP4</f>
        <v>#DIV/0!</v>
      </c>
      <c r="C4" s="43" t="e">
        <f t="shared" ref="C4:C67" si="3">W4*AQ4</f>
        <v>#DIV/0!</v>
      </c>
      <c r="D4" s="43" t="e">
        <f t="shared" ref="D4:D67" si="4">X4*AR4</f>
        <v>#DIV/0!</v>
      </c>
      <c r="E4" s="43" t="e">
        <f t="shared" ref="E4:E67" si="5">Y4*AS4</f>
        <v>#DIV/0!</v>
      </c>
      <c r="F4" s="43" t="e">
        <f t="shared" ref="F4:F67" si="6">Z4*AT4</f>
        <v>#DIV/0!</v>
      </c>
      <c r="G4" s="43" t="e">
        <f t="shared" ref="G4:G67" si="7">AA4*AU4</f>
        <v>#DIV/0!</v>
      </c>
      <c r="H4" s="43" t="e">
        <f t="shared" ref="H4:H67" si="8">AB4*AV4</f>
        <v>#DIV/0!</v>
      </c>
      <c r="I4" s="43" t="e">
        <f t="shared" ref="I4:I67" si="9">AC4*AW4</f>
        <v>#DIV/0!</v>
      </c>
      <c r="J4" s="43" t="e">
        <f t="shared" ref="J4:J67" si="10">AD4*AX4</f>
        <v>#DIV/0!</v>
      </c>
      <c r="K4" s="43" t="e">
        <f t="shared" ref="K4:K67" si="11">AE4*AY4</f>
        <v>#DIV/0!</v>
      </c>
      <c r="L4" s="43" t="e">
        <f t="shared" ref="L4:L67" si="12">AF4*AZ4</f>
        <v>#DIV/0!</v>
      </c>
      <c r="M4" s="43" t="e">
        <f t="shared" ref="M4:M67" si="13">AG4*BA4</f>
        <v>#DIV/0!</v>
      </c>
      <c r="N4" s="43" t="e">
        <f t="shared" ref="N4:N67" si="14">AH4*BB4</f>
        <v>#DIV/0!</v>
      </c>
      <c r="O4" s="43" t="e">
        <f t="shared" ref="O4:O67" si="15">AI4*BC4</f>
        <v>#DIV/0!</v>
      </c>
      <c r="P4" s="43" t="e">
        <f t="shared" ref="P4:P67" si="16">AJ4*BD4</f>
        <v>#DIV/0!</v>
      </c>
      <c r="Q4" s="43" t="e">
        <f t="shared" ref="Q4:Q67" si="17">AK4*BE4</f>
        <v>#DIV/0!</v>
      </c>
      <c r="R4" s="43" t="e">
        <f t="shared" ref="R4:R67" si="18">AL4*BF4</f>
        <v>#DIV/0!</v>
      </c>
      <c r="S4" s="43" t="e">
        <f t="shared" ref="S4:S67" si="19">AM4*BG4</f>
        <v>#DIV/0!</v>
      </c>
      <c r="T4" s="43" t="e">
        <f t="shared" ref="T4:T67" si="20">AN4*BH4</f>
        <v>#DIV/0!</v>
      </c>
      <c r="U4" s="43" t="e">
        <f t="shared" ref="U4:U67" si="21">AO4*BI4</f>
        <v>#DIV/0!</v>
      </c>
      <c r="V4" s="53" t="e">
        <f>V3+ATM_Conf!$C$5*(B3)/(B191*V191)</f>
        <v>#DIV/0!</v>
      </c>
      <c r="W4" s="53" t="e">
        <f>W3+ATM_Conf!$C$5*(C3-B3)/(C191*W191)</f>
        <v>#DIV/0!</v>
      </c>
      <c r="X4" s="53" t="e">
        <f>X3+ATM_Conf!$C$5*(D3-C3)/(D191*X191)</f>
        <v>#DIV/0!</v>
      </c>
      <c r="Y4" s="53" t="e">
        <f>Y3+ATM_Conf!$C$5*(E3-D3)/(E191*Y191)</f>
        <v>#DIV/0!</v>
      </c>
      <c r="Z4" s="53" t="e">
        <f>Z3+ATM_Conf!$C$5*(F3-E3)/(F191*Z191)</f>
        <v>#DIV/0!</v>
      </c>
      <c r="AA4" s="53" t="e">
        <f>AA3+ATM_Conf!$C$5*(G3-F3)/(G191*AA191)</f>
        <v>#DIV/0!</v>
      </c>
      <c r="AB4" s="53" t="e">
        <f>AB3+ATM_Conf!$C$5*(H3-G3)/(H191*AB191)</f>
        <v>#DIV/0!</v>
      </c>
      <c r="AC4" s="53" t="e">
        <f>AC3+ATM_Conf!$C$5*(I3-H3)/(I191*AC191)</f>
        <v>#DIV/0!</v>
      </c>
      <c r="AD4" s="53" t="e">
        <f>AD3+ATM_Conf!$C$5*(J3-I3)/(J191*AD191)</f>
        <v>#DIV/0!</v>
      </c>
      <c r="AE4" s="53" t="e">
        <f>AE3+ATM_Conf!$C$5*(K3-J3)/(K191*AE191)</f>
        <v>#DIV/0!</v>
      </c>
      <c r="AF4" s="53" t="e">
        <f>AF3+ATM_Conf!$C$5*(L3)/(L191*AF191)</f>
        <v>#DIV/0!</v>
      </c>
      <c r="AG4" s="53" t="e">
        <f>AG3+ATM_Conf!$C$5*(M3-L3)/(M191*AG191)</f>
        <v>#DIV/0!</v>
      </c>
      <c r="AH4" s="53" t="e">
        <f>AH3+ATM_Conf!$C$5*(N3-M3)/(N191*AH191)</f>
        <v>#DIV/0!</v>
      </c>
      <c r="AI4" s="53" t="e">
        <f>AI3+ATM_Conf!$C$5*(O3-N3)/(O191*AI191)</f>
        <v>#DIV/0!</v>
      </c>
      <c r="AJ4" s="53" t="e">
        <f>AJ3+ATM_Conf!$C$5*(P3-O3)/(P191*AJ191)</f>
        <v>#DIV/0!</v>
      </c>
      <c r="AK4" s="53" t="e">
        <f>AK3+ATM_Conf!$C$5*(Q3-P3)/(Q191*AK191)</f>
        <v>#DIV/0!</v>
      </c>
      <c r="AL4" s="53" t="e">
        <f>AL3+ATM_Conf!$C$5*(R3-Q3)/(R191*AL191)</f>
        <v>#DIV/0!</v>
      </c>
      <c r="AM4" s="53" t="e">
        <f>AM3+ATM_Conf!$C$5*(S3-R3)/(S191*AM191)</f>
        <v>#DIV/0!</v>
      </c>
      <c r="AN4" s="53" t="e">
        <f>AN3+ATM_Conf!$C$5*(T3-S3)/(T191*AN191)</f>
        <v>#DIV/0!</v>
      </c>
      <c r="AO4" s="53" t="e">
        <f>AO3+ATM_Conf!$C$5*(U3-T3)/(U191*AO191)</f>
        <v>#DIV/0!</v>
      </c>
      <c r="AP4" s="43" t="e">
        <f>AP3+(ATM_Conf!$C$5/ATM_Conf!$C$8)*(BJ4*EXP(-(1/CX4)*(V4/CD4)^CX4)-AP3)-(ATM_Conf!$C$5*ATM_Conf!$C$9)/(V191*ATM_Conf!$C$8)*(Nodes!BO3-V3)/(V3+ATM_Conf!$C$10)</f>
        <v>#DIV/0!</v>
      </c>
      <c r="AQ4" s="43" t="e">
        <f>AQ3+(ATM_Conf!$C$5/ATM_Conf!$C$8)*(BK4*EXP(-(1/CY4)*(W4/CE4)^CY4)-AQ3)+(ATM_Conf!$C$5/W191)*AQ3*(AP3-AQ3)-(ATM_Conf!$C$5*ATM_Conf!$C$9)/(W191*ATM_Conf!$C$8)*(X3-W3)/(W3+ATM_Conf!$C$10)</f>
        <v>#DIV/0!</v>
      </c>
      <c r="AR4" s="43" t="e">
        <f>AR3+(ATM_Conf!$C$5/ATM_Conf!$C$8)*(BL4*EXP(-(1/CZ4)*(X4/CF4)^CZ4)-AR3)+(ATM_Conf!$C$5/X191)*AR3*(Nodes!BC3-AR3)-(ATM_Conf!$C$5*ATM_Conf!$C$9)/(X191*ATM_Conf!$C$8)*(Nodes!BQ3-X3)/(X3+ATM_Conf!$C$10)</f>
        <v>#DIV/0!</v>
      </c>
      <c r="AS4" s="43" t="e">
        <f>AS3+(ATM_Conf!$C$5/ATM_Conf!$C$8)*(BM4*EXP(-(1/DA4)*(Y4/CG4)^DA4)-AS3)+(ATM_Conf!$C$5/Y191)*AS3*(AR3-AS3)-(ATM_Conf!$C$5*ATM_Conf!$C$9)/(Y191*ATM_Conf!$C$8)*(Z3-Y3)/(Y3+ATM_Conf!$C$10)</f>
        <v>#DIV/0!</v>
      </c>
      <c r="AT4" s="43" t="e">
        <f>AT3+(ATM_Conf!$C$5/ATM_Conf!$C$8)*(BN4*EXP(-(1/DB4)*(Z4/CH4)^DB4)-AT3)+(ATM_Conf!$C$5/Z191)*AT3*(Nodes!BE3-AT3)-(ATM_Conf!$C$5*ATM_Conf!$C$9)/(Z191*ATM_Conf!$C$8)*(Nodes!BS3-Z3)/(Z3+ATM_Conf!$C$10)</f>
        <v>#DIV/0!</v>
      </c>
      <c r="AU4" s="43" t="e">
        <f>AU3+(ATM_Conf!$C$5/ATM_Conf!$C$8)*(BO4*EXP(-(1/DC4)*(AA4/CI4)^DC4)-AU3)+(ATM_Conf!$C$5/AA191)*AU3*(Nodes!BF3-AU3)-(ATM_Conf!$C$5*ATM_Conf!$C$9)/(AA191*ATM_Conf!$C$8)*(Nodes!BV3-AA3)/(AA3+ATM_Conf!$C$10)</f>
        <v>#DIV/0!</v>
      </c>
      <c r="AV4" s="43" t="e">
        <f>AV3+(ATM_Conf!$C$5/ATM_Conf!$C$8)*(BP4*EXP(-(1/DD4)*(AB4/CJ4)^DD4)-AV3)+(ATM_Conf!$C$5/AB191)*AV3*(AU3-AV3)-(ATM_Conf!$C$5*ATM_Conf!$C$9)/(AB191*ATM_Conf!$C$8)*(AC3-AB3)/(AB3+ATM_Conf!$C$10)</f>
        <v>#DIV/0!</v>
      </c>
      <c r="AW4" s="43" t="e">
        <f>AW3+(ATM_Conf!$C$5/ATM_Conf!$C$8)*(BQ4*EXP(-(1/DE4)*(AC4/CK4)^DE4)-AW3)+(ATM_Conf!$C$5/AC191)*AW3*(AV3-AW3)-(ATM_Conf!$C$5*ATM_Conf!$C$9)/(AC191*ATM_Conf!$C$8)*(AD3-AC3)/(AC3+ATM_Conf!$C$10)</f>
        <v>#DIV/0!</v>
      </c>
      <c r="AX4" s="43" t="e">
        <f>AX3+(ATM_Conf!$C$5/ATM_Conf!$C$8)*(BR4*EXP(-(1/DF4)*(AD4/CL4)^DF4)-AX3)+(ATM_Conf!$C$5/AD191)*AX3*(Nodes!BG3-AX3)-(ATM_Conf!$C$5*ATM_Conf!$C$9)/(AD191*ATM_Conf!$C$8)*(Nodes!BU3-AD3)/(AD3+ATM_Conf!$C$10)</f>
        <v>#DIV/0!</v>
      </c>
      <c r="AY4" s="43" t="e">
        <f>AY3+(ATM_Conf!$C$5/ATM_Conf!$C$8)*(BS4*EXP(-(1/DG4)*(AE4/CM4)^DG4)-AY3)+(ATM_Conf!$C$5/AE191)*AY3*(Nodes!BF3-AY3)</f>
        <v>#DIV/0!</v>
      </c>
      <c r="AZ4" s="43" t="e">
        <f>AZ3+(ATM_Conf!$C$5/ATM_Conf!$C$8)*(BT4*EXP(-(1/DH4)*(AF4/CN4)^DH4)-AZ3)-(ATM_Conf!$C$5*ATM_Conf!$C$9)/(AF191*ATM_Conf!$C$8)*(Nodes!BV3-AF3)/(AF3+ATM_Conf!$C$10)</f>
        <v>#DIV/0!</v>
      </c>
      <c r="BA4" s="43" t="e">
        <f>BA3+(ATM_Conf!$C$5/ATM_Conf!$C$8)*(BU4*EXP(-(1/DI4)*(AG4/CO4)^DI4)-BA3)+(ATM_Conf!$C$5/AG191)*BA3*(Nodes!BI3-BA3)-(ATM_Conf!$C$5*ATM_Conf!$C$9)/(AG191*ATM_Conf!$C$8)*(Nodes!BW3-AG3)/(AG3+ATM_Conf!$C$10)</f>
        <v>#DIV/0!</v>
      </c>
      <c r="BB4" s="43" t="e">
        <f>BB3+(ATM_Conf!$C$5/ATM_Conf!$C$8)*(BV4*EXP(-(1/DJ4)*(AH4/CP4)^DJ4)-BB3)+(ATM_Conf!$C$5/AH191)*BB3*(Nodes!BJ3-BB3)-(ATM_Conf!$C$5*ATM_Conf!$C$9)/(AH191*ATM_Conf!$C$8)*(AI3-AH3)/(AH3+ATM_Conf!$C$10)</f>
        <v>#DIV/0!</v>
      </c>
      <c r="BC4" s="43" t="e">
        <f>BC3+(ATM_Conf!$C$5/ATM_Conf!$C$8)*(BW4*EXP(-(1/DK4)*(AI4/CQ4)^DK4)-BC3)+(ATM_Conf!$C$5/AI191)*BC3*(BB3-BC3)-(ATM_Conf!$C$5*ATM_Conf!$C$9)/(AI191*ATM_Conf!$C$8)*(AJ3-AI3)/(AI3+ATM_Conf!$C$10)</f>
        <v>#DIV/0!</v>
      </c>
      <c r="BD4" s="43" t="e">
        <f>BD3+(ATM_Conf!$C$5/ATM_Conf!$C$8)*(BX4*EXP(-(1/DL4)*(AJ4/CR4)^DL4)-BD3)+(ATM_Conf!$C$5/AJ191)*BD3*(BC3-BD3)-(ATM_Conf!$C$5*ATM_Conf!$C$9)/(AJ191*ATM_Conf!$C$8)*(Nodes!BX3-AJ3)/(AJ3+ATM_Conf!$C$10)</f>
        <v>#DIV/0!</v>
      </c>
      <c r="BE4" s="43" t="e">
        <f>BE3+(ATM_Conf!$C$5/ATM_Conf!$C$8)*(BY4*EXP(-(1/DM4)*(AK4/CS4)^DM4)-BE3)+(ATM_Conf!$C$5/AK191)*BE3*(Nodes!BK3-BE3)-(ATM_Conf!$C$5*ATM_Conf!$C$9)/(AK191*ATM_Conf!$C$8)*(Nodes!BY3-AK3)/(AK3+ATM_Conf!$C$10)</f>
        <v>#DIV/0!</v>
      </c>
      <c r="BF4" s="43" t="e">
        <f>BF3+(ATM_Conf!$C$5/ATM_Conf!$C$8)*(BZ4*EXP(-(1/DN4)*(AL4/CT4)^DN4)-BF3)+(ATM_Conf!$C$5/AL191)*BF3*(BE3-BF3)-(ATM_Conf!$C$5*ATM_Conf!$C$9)/(AL191*ATM_Conf!$C$8)*(AM3-AL3)/(AL3+ATM_Conf!$C$10)</f>
        <v>#DIV/0!</v>
      </c>
      <c r="BG4" s="43" t="e">
        <f>BG3+(ATM_Conf!$C$5/ATM_Conf!$C$8)*(CA4*EXP(-(1/DO4)*(AM4/CU4)^DO4)-BG3)+(ATM_Conf!$C$5/AM191)*BG3*(Nodes!BM3-BG3)-(ATM_Conf!$C$5*ATM_Conf!$C$9)/(AM191*ATM_Conf!$C$8)*(Nodes!CA3-AM3)/(AM3+ATM_Conf!$C$10)</f>
        <v>#DIV/0!</v>
      </c>
      <c r="BH4" s="43" t="e">
        <f>BH3+(ATM_Conf!$C$5/ATM_Conf!$C$8)*(CB4*EXP(-(1/DP4)*(AN4/CV4)^DP4)-BH3)+(ATM_Conf!$C$5/AN191)*BH3*(BG3-BH3)-(ATM_Conf!$C$5*ATM_Conf!$C$9)/(AN191*ATM_Conf!$C$8)*(AO3-AN3)/(AN3+ATM_Conf!$C$10)</f>
        <v>#DIV/0!</v>
      </c>
      <c r="BI4" s="43" t="e">
        <f>BI3+(ATM_Conf!$C$5/ATM_Conf!$C$8)*(CC4*EXP(-(1/DQ4)*(AO4/CW4)^DQ4)-BI3)+(ATM_Conf!$C$5/AO191)*BI3*(BH3-BI3)</f>
        <v>#DIV/0!</v>
      </c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43">
        <f>DR$3</f>
        <v>0</v>
      </c>
      <c r="DS4" s="43">
        <f t="shared" ref="DS4:EK14" si="22">DS$3</f>
        <v>0</v>
      </c>
      <c r="DT4" s="43">
        <f t="shared" si="22"/>
        <v>0</v>
      </c>
      <c r="DU4" s="43">
        <f t="shared" si="22"/>
        <v>0</v>
      </c>
      <c r="DV4" s="43">
        <f t="shared" si="22"/>
        <v>0</v>
      </c>
      <c r="DW4" s="43">
        <f t="shared" si="22"/>
        <v>0</v>
      </c>
      <c r="DX4" s="43">
        <f t="shared" si="22"/>
        <v>0</v>
      </c>
      <c r="DY4" s="43">
        <f t="shared" si="22"/>
        <v>0</v>
      </c>
      <c r="DZ4" s="43">
        <f t="shared" si="22"/>
        <v>0</v>
      </c>
      <c r="EA4" s="43">
        <f t="shared" si="22"/>
        <v>0</v>
      </c>
      <c r="EB4" s="43">
        <f t="shared" si="22"/>
        <v>0</v>
      </c>
      <c r="EC4" s="43">
        <f t="shared" si="22"/>
        <v>0</v>
      </c>
      <c r="ED4" s="43">
        <f t="shared" si="22"/>
        <v>0</v>
      </c>
      <c r="EE4" s="43">
        <f t="shared" si="22"/>
        <v>0</v>
      </c>
      <c r="EF4" s="43">
        <f t="shared" si="22"/>
        <v>0</v>
      </c>
      <c r="EG4" s="43">
        <f t="shared" si="22"/>
        <v>0</v>
      </c>
      <c r="EH4" s="43">
        <f t="shared" si="22"/>
        <v>0</v>
      </c>
      <c r="EI4" s="43">
        <f t="shared" si="22"/>
        <v>0</v>
      </c>
      <c r="EJ4" s="43">
        <f t="shared" si="22"/>
        <v>0</v>
      </c>
      <c r="EK4" s="43">
        <f t="shared" si="22"/>
        <v>0</v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47"/>
      <c r="FC4" s="47"/>
      <c r="FD4" s="47"/>
      <c r="FE4" s="47"/>
    </row>
    <row r="5" spans="1:161" ht="14.25" x14ac:dyDescent="0.15">
      <c r="A5" s="46"/>
      <c r="B5" s="43" t="e">
        <f t="shared" si="2"/>
        <v>#DIV/0!</v>
      </c>
      <c r="C5" s="43" t="e">
        <f t="shared" si="3"/>
        <v>#DIV/0!</v>
      </c>
      <c r="D5" s="43" t="e">
        <f t="shared" si="4"/>
        <v>#DIV/0!</v>
      </c>
      <c r="E5" s="43" t="e">
        <f t="shared" si="5"/>
        <v>#DIV/0!</v>
      </c>
      <c r="F5" s="43" t="e">
        <f t="shared" si="6"/>
        <v>#DIV/0!</v>
      </c>
      <c r="G5" s="43" t="e">
        <f t="shared" si="7"/>
        <v>#DIV/0!</v>
      </c>
      <c r="H5" s="43" t="e">
        <f t="shared" si="8"/>
        <v>#DIV/0!</v>
      </c>
      <c r="I5" s="43" t="e">
        <f t="shared" si="9"/>
        <v>#DIV/0!</v>
      </c>
      <c r="J5" s="43" t="e">
        <f t="shared" si="10"/>
        <v>#DIV/0!</v>
      </c>
      <c r="K5" s="43" t="e">
        <f t="shared" si="11"/>
        <v>#DIV/0!</v>
      </c>
      <c r="L5" s="43" t="e">
        <f t="shared" si="12"/>
        <v>#DIV/0!</v>
      </c>
      <c r="M5" s="43" t="e">
        <f t="shared" si="13"/>
        <v>#DIV/0!</v>
      </c>
      <c r="N5" s="43" t="e">
        <f t="shared" si="14"/>
        <v>#DIV/0!</v>
      </c>
      <c r="O5" s="43" t="e">
        <f t="shared" si="15"/>
        <v>#DIV/0!</v>
      </c>
      <c r="P5" s="43" t="e">
        <f t="shared" si="16"/>
        <v>#DIV/0!</v>
      </c>
      <c r="Q5" s="43" t="e">
        <f t="shared" si="17"/>
        <v>#DIV/0!</v>
      </c>
      <c r="R5" s="43" t="e">
        <f t="shared" si="18"/>
        <v>#DIV/0!</v>
      </c>
      <c r="S5" s="43" t="e">
        <f t="shared" si="19"/>
        <v>#DIV/0!</v>
      </c>
      <c r="T5" s="43" t="e">
        <f t="shared" si="20"/>
        <v>#DIV/0!</v>
      </c>
      <c r="U5" s="43" t="e">
        <f t="shared" si="21"/>
        <v>#DIV/0!</v>
      </c>
      <c r="V5" s="53" t="e">
        <f>V4+ATM_Conf!$C$5*(B4)/(B192*V192)</f>
        <v>#DIV/0!</v>
      </c>
      <c r="W5" s="53" t="e">
        <f>W4+ATM_Conf!$C$5*(C4-B4)/(C192*W192)</f>
        <v>#DIV/0!</v>
      </c>
      <c r="X5" s="53" t="e">
        <f>X4+ATM_Conf!$C$5*(D4-C4)/(D192*X192)</f>
        <v>#DIV/0!</v>
      </c>
      <c r="Y5" s="53" t="e">
        <f>Y4+ATM_Conf!$C$5*(E4-D4)/(E192*Y192)</f>
        <v>#DIV/0!</v>
      </c>
      <c r="Z5" s="53" t="e">
        <f>Z4+ATM_Conf!$C$5*(F4-E4)/(F192*Z192)</f>
        <v>#DIV/0!</v>
      </c>
      <c r="AA5" s="53" t="e">
        <f>AA4+ATM_Conf!$C$5*(G4-F4)/(G192*AA192)</f>
        <v>#DIV/0!</v>
      </c>
      <c r="AB5" s="53" t="e">
        <f>AB4+ATM_Conf!$C$5*(H4-G4)/(H192*AB192)</f>
        <v>#DIV/0!</v>
      </c>
      <c r="AC5" s="53" t="e">
        <f>AC4+ATM_Conf!$C$5*(I4-H4)/(I192*AC192)</f>
        <v>#DIV/0!</v>
      </c>
      <c r="AD5" s="53" t="e">
        <f>AD4+ATM_Conf!$C$5*(J4-I4)/(J192*AD192)</f>
        <v>#DIV/0!</v>
      </c>
      <c r="AE5" s="53" t="e">
        <f>AE4+ATM_Conf!$C$5*(K4-J4)/(K192*AE192)</f>
        <v>#DIV/0!</v>
      </c>
      <c r="AF5" s="53" t="e">
        <f>AF4+ATM_Conf!$C$5*(L4)/(L192*AF192)</f>
        <v>#DIV/0!</v>
      </c>
      <c r="AG5" s="53" t="e">
        <f>AG4+ATM_Conf!$C$5*(M4-L4)/(M192*AG192)</f>
        <v>#DIV/0!</v>
      </c>
      <c r="AH5" s="53" t="e">
        <f>AH4+ATM_Conf!$C$5*(N4-M4)/(N192*AH192)</f>
        <v>#DIV/0!</v>
      </c>
      <c r="AI5" s="53" t="e">
        <f>AI4+ATM_Conf!$C$5*(O4-N4)/(O192*AI192)</f>
        <v>#DIV/0!</v>
      </c>
      <c r="AJ5" s="53" t="e">
        <f>AJ4+ATM_Conf!$C$5*(P4-O4)/(P192*AJ192)</f>
        <v>#DIV/0!</v>
      </c>
      <c r="AK5" s="53" t="e">
        <f>AK4+ATM_Conf!$C$5*(Q4-P4)/(Q192*AK192)</f>
        <v>#DIV/0!</v>
      </c>
      <c r="AL5" s="53" t="e">
        <f>AL4+ATM_Conf!$C$5*(R4-Q4)/(R192*AL192)</f>
        <v>#DIV/0!</v>
      </c>
      <c r="AM5" s="53" t="e">
        <f>AM4+ATM_Conf!$C$5*(S4-R4)/(S192*AM192)</f>
        <v>#DIV/0!</v>
      </c>
      <c r="AN5" s="53" t="e">
        <f>AN4+ATM_Conf!$C$5*(T4-S4)/(T192*AN192)</f>
        <v>#DIV/0!</v>
      </c>
      <c r="AO5" s="53" t="e">
        <f>AO4+ATM_Conf!$C$5*(U4-T4)/(U192*AO192)</f>
        <v>#DIV/0!</v>
      </c>
      <c r="AP5" s="43" t="e">
        <f>AP4+(ATM_Conf!$C$5/ATM_Conf!$C$8)*(BJ5*EXP(-(1/CX5)*(V5/CD5)^CX5)-AP4)-(ATM_Conf!$C$5*ATM_Conf!$C$9)/(V192*ATM_Conf!$C$8)*(Nodes!BO4-V4)/(V4+ATM_Conf!$C$10)</f>
        <v>#DIV/0!</v>
      </c>
      <c r="AQ5" s="43" t="e">
        <f>AQ4+(ATM_Conf!$C$5/ATM_Conf!$C$8)*(BK5*EXP(-(1/CY5)*(W5/CE5)^CY5)-AQ4)+(ATM_Conf!$C$5/W192)*AQ4*(AP4-AQ4)-(ATM_Conf!$C$5*ATM_Conf!$C$9)/(W192*ATM_Conf!$C$8)*(X4-W4)/(W4+ATM_Conf!$C$10)</f>
        <v>#DIV/0!</v>
      </c>
      <c r="AR5" s="43" t="e">
        <f>AR4+(ATM_Conf!$C$5/ATM_Conf!$C$8)*(BL5*EXP(-(1/CZ5)*(X5/CF5)^CZ5)-AR4)+(ATM_Conf!$C$5/X192)*AR4*(Nodes!BC4-AR4)-(ATM_Conf!$C$5*ATM_Conf!$C$9)/(X192*ATM_Conf!$C$8)*(Nodes!BQ4-X4)/(X4+ATM_Conf!$C$10)</f>
        <v>#DIV/0!</v>
      </c>
      <c r="AS5" s="43" t="e">
        <f>AS4+(ATM_Conf!$C$5/ATM_Conf!$C$8)*(BM5*EXP(-(1/DA5)*(Y5/CG5)^DA5)-AS4)+(ATM_Conf!$C$5/Y192)*AS4*(AR4-AS4)-(ATM_Conf!$C$5*ATM_Conf!$C$9)/(Y192*ATM_Conf!$C$8)*(Z4-Y4)/(Y4+ATM_Conf!$C$10)</f>
        <v>#DIV/0!</v>
      </c>
      <c r="AT5" s="43" t="e">
        <f>AT4+(ATM_Conf!$C$5/ATM_Conf!$C$8)*(BN5*EXP(-(1/DB5)*(Z5/CH5)^DB5)-AT4)+(ATM_Conf!$C$5/Z192)*AT4*(Nodes!BE4-AT4)-(ATM_Conf!$C$5*ATM_Conf!$C$9)/(Z192*ATM_Conf!$C$8)*(Nodes!BS4-Z4)/(Z4+ATM_Conf!$C$10)</f>
        <v>#DIV/0!</v>
      </c>
      <c r="AU5" s="43" t="e">
        <f>AU4+(ATM_Conf!$C$5/ATM_Conf!$C$8)*(BO5*EXP(-(1/DC5)*(AA5/CI5)^DC5)-AU4)+(ATM_Conf!$C$5/AA192)*AU4*(Nodes!BF4-AU4)-(ATM_Conf!$C$5*ATM_Conf!$C$9)/(AA192*ATM_Conf!$C$8)*(Nodes!BV4-AA4)/(AA4+ATM_Conf!$C$10)</f>
        <v>#DIV/0!</v>
      </c>
      <c r="AV5" s="43" t="e">
        <f>AV4+(ATM_Conf!$C$5/ATM_Conf!$C$8)*(BP5*EXP(-(1/DD5)*(AB5/CJ5)^DD5)-AV4)+(ATM_Conf!$C$5/AB192)*AV4*(AU4-AV4)-(ATM_Conf!$C$5*ATM_Conf!$C$9)/(AB192*ATM_Conf!$C$8)*(AC4-AB4)/(AB4+ATM_Conf!$C$10)</f>
        <v>#DIV/0!</v>
      </c>
      <c r="AW5" s="43" t="e">
        <f>AW4+(ATM_Conf!$C$5/ATM_Conf!$C$8)*(BQ5*EXP(-(1/DE5)*(AC5/CK5)^DE5)-AW4)+(ATM_Conf!$C$5/AC192)*AW4*(AV4-AW4)-(ATM_Conf!$C$5*ATM_Conf!$C$9)/(AC192*ATM_Conf!$C$8)*(AD4-AC4)/(AC4+ATM_Conf!$C$10)</f>
        <v>#DIV/0!</v>
      </c>
      <c r="AX5" s="43" t="e">
        <f>AX4+(ATM_Conf!$C$5/ATM_Conf!$C$8)*(BR5*EXP(-(1/DF5)*(AD5/CL5)^DF5)-AX4)+(ATM_Conf!$C$5/AD192)*AX4*(Nodes!BG4-AX4)-(ATM_Conf!$C$5*ATM_Conf!$C$9)/(AD192*ATM_Conf!$C$8)*(Nodes!BU4-AD4)/(AD4+ATM_Conf!$C$10)</f>
        <v>#DIV/0!</v>
      </c>
      <c r="AY5" s="43" t="e">
        <f>AY4+(ATM_Conf!$C$5/ATM_Conf!$C$8)*(BS5*EXP(-(1/DG5)*(AE5/CM5)^DG5)-AY4)+(ATM_Conf!$C$5/AE192)*AY4*(Nodes!BF4-AY4)</f>
        <v>#DIV/0!</v>
      </c>
      <c r="AZ5" s="43" t="e">
        <f>AZ4+(ATM_Conf!$C$5/ATM_Conf!$C$8)*(BT5*EXP(-(1/DH5)*(AF5/CN5)^DH5)-AZ4)-(ATM_Conf!$C$5*ATM_Conf!$C$9)/(AF192*ATM_Conf!$C$8)*(Nodes!BV4-AF4)/(AF4+ATM_Conf!$C$10)</f>
        <v>#DIV/0!</v>
      </c>
      <c r="BA5" s="43" t="e">
        <f>BA4+(ATM_Conf!$C$5/ATM_Conf!$C$8)*(BU5*EXP(-(1/DI5)*(AG5/CO5)^DI5)-BA4)+(ATM_Conf!$C$5/AG192)*BA4*(Nodes!BI4-BA4)-(ATM_Conf!$C$5*ATM_Conf!$C$9)/(AG192*ATM_Conf!$C$8)*(Nodes!BW4-AG4)/(AG4+ATM_Conf!$C$10)</f>
        <v>#DIV/0!</v>
      </c>
      <c r="BB5" s="43" t="e">
        <f>BB4+(ATM_Conf!$C$5/ATM_Conf!$C$8)*(BV5*EXP(-(1/DJ5)*(AH5/CP5)^DJ5)-BB4)+(ATM_Conf!$C$5/AH192)*BB4*(Nodes!BJ4-BB4)-(ATM_Conf!$C$5*ATM_Conf!$C$9)/(AH192*ATM_Conf!$C$8)*(AI4-AH4)/(AH4+ATM_Conf!$C$10)</f>
        <v>#DIV/0!</v>
      </c>
      <c r="BC5" s="43" t="e">
        <f>BC4+(ATM_Conf!$C$5/ATM_Conf!$C$8)*(BW5*EXP(-(1/DK5)*(AI5/CQ5)^DK5)-BC4)+(ATM_Conf!$C$5/AI192)*BC4*(BB4-BC4)-(ATM_Conf!$C$5*ATM_Conf!$C$9)/(AI192*ATM_Conf!$C$8)*(AJ4-AI4)/(AI4+ATM_Conf!$C$10)</f>
        <v>#DIV/0!</v>
      </c>
      <c r="BD5" s="43" t="e">
        <f>BD4+(ATM_Conf!$C$5/ATM_Conf!$C$8)*(BX5*EXP(-(1/DL5)*(AJ5/CR5)^DL5)-BD4)+(ATM_Conf!$C$5/AJ192)*BD4*(BC4-BD4)-(ATM_Conf!$C$5*ATM_Conf!$C$9)/(AJ192*ATM_Conf!$C$8)*(Nodes!BX4-AJ4)/(AJ4+ATM_Conf!$C$10)</f>
        <v>#DIV/0!</v>
      </c>
      <c r="BE5" s="43" t="e">
        <f>BE4+(ATM_Conf!$C$5/ATM_Conf!$C$8)*(BY5*EXP(-(1/DM5)*(AK5/CS5)^DM5)-BE4)+(ATM_Conf!$C$5/AK192)*BE4*(Nodes!BK4-BE4)-(ATM_Conf!$C$5*ATM_Conf!$C$9)/(AK192*ATM_Conf!$C$8)*(Nodes!BY4-AK4)/(AK4+ATM_Conf!$C$10)</f>
        <v>#DIV/0!</v>
      </c>
      <c r="BF5" s="43" t="e">
        <f>BF4+(ATM_Conf!$C$5/ATM_Conf!$C$8)*(BZ5*EXP(-(1/DN5)*(AL5/CT5)^DN5)-BF4)+(ATM_Conf!$C$5/AL192)*BF4*(BE4-BF4)-(ATM_Conf!$C$5*ATM_Conf!$C$9)/(AL192*ATM_Conf!$C$8)*(AM4-AL4)/(AL4+ATM_Conf!$C$10)</f>
        <v>#DIV/0!</v>
      </c>
      <c r="BG5" s="43" t="e">
        <f>BG4+(ATM_Conf!$C$5/ATM_Conf!$C$8)*(CA5*EXP(-(1/DO5)*(AM5/CU5)^DO5)-BG4)+(ATM_Conf!$C$5/AM192)*BG4*(Nodes!BM4-BG4)-(ATM_Conf!$C$5*ATM_Conf!$C$9)/(AM192*ATM_Conf!$C$8)*(Nodes!CA4-AM4)/(AM4+ATM_Conf!$C$10)</f>
        <v>#DIV/0!</v>
      </c>
      <c r="BH5" s="43" t="e">
        <f>BH4+(ATM_Conf!$C$5/ATM_Conf!$C$8)*(CB5*EXP(-(1/DP5)*(AN5/CV5)^DP5)-BH4)+(ATM_Conf!$C$5/AN192)*BH4*(BG4-BH4)-(ATM_Conf!$C$5*ATM_Conf!$C$9)/(AN192*ATM_Conf!$C$8)*(AO4-AN4)/(AN4+ATM_Conf!$C$10)</f>
        <v>#DIV/0!</v>
      </c>
      <c r="BI5" s="43" t="e">
        <f>BI4+(ATM_Conf!$C$5/ATM_Conf!$C$8)*(CC5*EXP(-(1/DQ5)*(AO5/CW5)^DQ5)-BI4)+(ATM_Conf!$C$5/AO192)*BI4*(BH4-BI4)</f>
        <v>#DIV/0!</v>
      </c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53"/>
      <c r="CY5" s="53"/>
      <c r="CZ5" s="53"/>
      <c r="DA5" s="53"/>
      <c r="DB5" s="53"/>
      <c r="DC5" s="53"/>
      <c r="DD5" s="53"/>
      <c r="DE5" s="53"/>
      <c r="DF5" s="53"/>
      <c r="DG5" s="53"/>
      <c r="DH5" s="53"/>
      <c r="DI5" s="53"/>
      <c r="DJ5" s="53"/>
      <c r="DK5" s="53"/>
      <c r="DL5" s="53"/>
      <c r="DM5" s="53"/>
      <c r="DN5" s="53"/>
      <c r="DO5" s="53"/>
      <c r="DP5" s="53"/>
      <c r="DQ5" s="53"/>
      <c r="DR5" s="43">
        <f t="shared" ref="DR5:DR14" si="23">DR$3</f>
        <v>0</v>
      </c>
      <c r="DS5" s="43">
        <f t="shared" si="22"/>
        <v>0</v>
      </c>
      <c r="DT5" s="43">
        <f t="shared" si="22"/>
        <v>0</v>
      </c>
      <c r="DU5" s="43">
        <f t="shared" si="22"/>
        <v>0</v>
      </c>
      <c r="DV5" s="43">
        <f t="shared" si="22"/>
        <v>0</v>
      </c>
      <c r="DW5" s="43">
        <f t="shared" si="22"/>
        <v>0</v>
      </c>
      <c r="DX5" s="43">
        <f t="shared" si="22"/>
        <v>0</v>
      </c>
      <c r="DY5" s="43">
        <f t="shared" si="22"/>
        <v>0</v>
      </c>
      <c r="DZ5" s="43">
        <f t="shared" si="22"/>
        <v>0</v>
      </c>
      <c r="EA5" s="43">
        <f t="shared" si="22"/>
        <v>0</v>
      </c>
      <c r="EB5" s="43">
        <f t="shared" si="22"/>
        <v>0</v>
      </c>
      <c r="EC5" s="43">
        <f t="shared" si="22"/>
        <v>0</v>
      </c>
      <c r="ED5" s="43">
        <f t="shared" si="22"/>
        <v>0</v>
      </c>
      <c r="EE5" s="43">
        <f t="shared" si="22"/>
        <v>0</v>
      </c>
      <c r="EF5" s="43">
        <f t="shared" si="22"/>
        <v>0</v>
      </c>
      <c r="EG5" s="43">
        <f t="shared" si="22"/>
        <v>0</v>
      </c>
      <c r="EH5" s="43">
        <f t="shared" si="22"/>
        <v>0</v>
      </c>
      <c r="EI5" s="43">
        <f t="shared" si="22"/>
        <v>0</v>
      </c>
      <c r="EJ5" s="43">
        <f t="shared" si="22"/>
        <v>0</v>
      </c>
      <c r="EK5" s="43">
        <f t="shared" si="22"/>
        <v>0</v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47"/>
      <c r="FC5" s="47"/>
      <c r="FD5" s="47"/>
      <c r="FE5" s="47"/>
    </row>
    <row r="6" spans="1:161" ht="14.25" x14ac:dyDescent="0.15">
      <c r="A6" s="46"/>
      <c r="B6" s="43" t="e">
        <f t="shared" si="2"/>
        <v>#DIV/0!</v>
      </c>
      <c r="C6" s="43" t="e">
        <f t="shared" si="3"/>
        <v>#DIV/0!</v>
      </c>
      <c r="D6" s="43" t="e">
        <f t="shared" si="4"/>
        <v>#DIV/0!</v>
      </c>
      <c r="E6" s="43" t="e">
        <f t="shared" si="5"/>
        <v>#DIV/0!</v>
      </c>
      <c r="F6" s="43" t="e">
        <f t="shared" si="6"/>
        <v>#DIV/0!</v>
      </c>
      <c r="G6" s="43" t="e">
        <f t="shared" si="7"/>
        <v>#DIV/0!</v>
      </c>
      <c r="H6" s="43" t="e">
        <f t="shared" si="8"/>
        <v>#DIV/0!</v>
      </c>
      <c r="I6" s="43" t="e">
        <f t="shared" si="9"/>
        <v>#DIV/0!</v>
      </c>
      <c r="J6" s="43" t="e">
        <f t="shared" si="10"/>
        <v>#DIV/0!</v>
      </c>
      <c r="K6" s="43" t="e">
        <f t="shared" si="11"/>
        <v>#DIV/0!</v>
      </c>
      <c r="L6" s="43" t="e">
        <f t="shared" si="12"/>
        <v>#DIV/0!</v>
      </c>
      <c r="M6" s="43" t="e">
        <f t="shared" si="13"/>
        <v>#DIV/0!</v>
      </c>
      <c r="N6" s="43" t="e">
        <f t="shared" si="14"/>
        <v>#DIV/0!</v>
      </c>
      <c r="O6" s="43" t="e">
        <f t="shared" si="15"/>
        <v>#DIV/0!</v>
      </c>
      <c r="P6" s="43" t="e">
        <f t="shared" si="16"/>
        <v>#DIV/0!</v>
      </c>
      <c r="Q6" s="43" t="e">
        <f t="shared" si="17"/>
        <v>#DIV/0!</v>
      </c>
      <c r="R6" s="43" t="e">
        <f t="shared" si="18"/>
        <v>#DIV/0!</v>
      </c>
      <c r="S6" s="43" t="e">
        <f t="shared" si="19"/>
        <v>#DIV/0!</v>
      </c>
      <c r="T6" s="43" t="e">
        <f t="shared" si="20"/>
        <v>#DIV/0!</v>
      </c>
      <c r="U6" s="43" t="e">
        <f t="shared" si="21"/>
        <v>#DIV/0!</v>
      </c>
      <c r="V6" s="53" t="e">
        <f>V5+ATM_Conf!$C$5*(B5)/(B193*V193)</f>
        <v>#DIV/0!</v>
      </c>
      <c r="W6" s="53" t="e">
        <f>W5+ATM_Conf!$C$5*(C5-B5)/(C193*W193)</f>
        <v>#DIV/0!</v>
      </c>
      <c r="X6" s="53" t="e">
        <f>X5+ATM_Conf!$C$5*(D5-C5)/(D193*X193)</f>
        <v>#DIV/0!</v>
      </c>
      <c r="Y6" s="53" t="e">
        <f>Y5+ATM_Conf!$C$5*(E5-D5)/(E193*Y193)</f>
        <v>#DIV/0!</v>
      </c>
      <c r="Z6" s="53" t="e">
        <f>Z5+ATM_Conf!$C$5*(F5-E5)/(F193*Z193)</f>
        <v>#DIV/0!</v>
      </c>
      <c r="AA6" s="53" t="e">
        <f>AA5+ATM_Conf!$C$5*(G5-F5)/(G193*AA193)</f>
        <v>#DIV/0!</v>
      </c>
      <c r="AB6" s="53" t="e">
        <f>AB5+ATM_Conf!$C$5*(H5-G5)/(H193*AB193)</f>
        <v>#DIV/0!</v>
      </c>
      <c r="AC6" s="53" t="e">
        <f>AC5+ATM_Conf!$C$5*(I5-H5)/(I193*AC193)</f>
        <v>#DIV/0!</v>
      </c>
      <c r="AD6" s="53" t="e">
        <f>AD5+ATM_Conf!$C$5*(J5-I5)/(J193*AD193)</f>
        <v>#DIV/0!</v>
      </c>
      <c r="AE6" s="53" t="e">
        <f>AE5+ATM_Conf!$C$5*(K5-J5)/(K193*AE193)</f>
        <v>#DIV/0!</v>
      </c>
      <c r="AF6" s="53" t="e">
        <f>AF5+ATM_Conf!$C$5*(L5)/(L193*AF193)</f>
        <v>#DIV/0!</v>
      </c>
      <c r="AG6" s="53" t="e">
        <f>AG5+ATM_Conf!$C$5*(M5-L5)/(M193*AG193)</f>
        <v>#DIV/0!</v>
      </c>
      <c r="AH6" s="53" t="e">
        <f>AH5+ATM_Conf!$C$5*(N5-M5)/(N193*AH193)</f>
        <v>#DIV/0!</v>
      </c>
      <c r="AI6" s="53" t="e">
        <f>AI5+ATM_Conf!$C$5*(O5-N5)/(O193*AI193)</f>
        <v>#DIV/0!</v>
      </c>
      <c r="AJ6" s="53" t="e">
        <f>AJ5+ATM_Conf!$C$5*(P5-O5)/(P193*AJ193)</f>
        <v>#DIV/0!</v>
      </c>
      <c r="AK6" s="53" t="e">
        <f>AK5+ATM_Conf!$C$5*(Q5-P5)/(Q193*AK193)</f>
        <v>#DIV/0!</v>
      </c>
      <c r="AL6" s="53" t="e">
        <f>AL5+ATM_Conf!$C$5*(R5-Q5)/(R193*AL193)</f>
        <v>#DIV/0!</v>
      </c>
      <c r="AM6" s="53" t="e">
        <f>AM5+ATM_Conf!$C$5*(S5-R5)/(S193*AM193)</f>
        <v>#DIV/0!</v>
      </c>
      <c r="AN6" s="53" t="e">
        <f>AN5+ATM_Conf!$C$5*(T5-S5)/(T193*AN193)</f>
        <v>#DIV/0!</v>
      </c>
      <c r="AO6" s="53" t="e">
        <f>AO5+ATM_Conf!$C$5*(U5-T5)/(U193*AO193)</f>
        <v>#DIV/0!</v>
      </c>
      <c r="AP6" s="43" t="e">
        <f>AP5+(ATM_Conf!$C$5/ATM_Conf!$C$8)*(BJ6*EXP(-(1/CX6)*(V6/CD6)^CX6)-AP5)-(ATM_Conf!$C$5*ATM_Conf!$C$9)/(V193*ATM_Conf!$C$8)*(Nodes!BO5-V5)/(V5+ATM_Conf!$C$10)</f>
        <v>#DIV/0!</v>
      </c>
      <c r="AQ6" s="43" t="e">
        <f>AQ5+(ATM_Conf!$C$5/ATM_Conf!$C$8)*(BK6*EXP(-(1/CY6)*(W6/CE6)^CY6)-AQ5)+(ATM_Conf!$C$5/W193)*AQ5*(AP5-AQ5)-(ATM_Conf!$C$5*ATM_Conf!$C$9)/(W193*ATM_Conf!$C$8)*(X5-W5)/(W5+ATM_Conf!$C$10)</f>
        <v>#DIV/0!</v>
      </c>
      <c r="AR6" s="43" t="e">
        <f>AR5+(ATM_Conf!$C$5/ATM_Conf!$C$8)*(BL6*EXP(-(1/CZ6)*(X6/CF6)^CZ6)-AR5)+(ATM_Conf!$C$5/X193)*AR5*(Nodes!BC5-AR5)-(ATM_Conf!$C$5*ATM_Conf!$C$9)/(X193*ATM_Conf!$C$8)*(Nodes!BQ5-X5)/(X5+ATM_Conf!$C$10)</f>
        <v>#DIV/0!</v>
      </c>
      <c r="AS6" s="43" t="e">
        <f>AS5+(ATM_Conf!$C$5/ATM_Conf!$C$8)*(BM6*EXP(-(1/DA6)*(Y6/CG6)^DA6)-AS5)+(ATM_Conf!$C$5/Y193)*AS5*(AR5-AS5)-(ATM_Conf!$C$5*ATM_Conf!$C$9)/(Y193*ATM_Conf!$C$8)*(Z5-Y5)/(Y5+ATM_Conf!$C$10)</f>
        <v>#DIV/0!</v>
      </c>
      <c r="AT6" s="43" t="e">
        <f>AT5+(ATM_Conf!$C$5/ATM_Conf!$C$8)*(BN6*EXP(-(1/DB6)*(Z6/CH6)^DB6)-AT5)+(ATM_Conf!$C$5/Z193)*AT5*(Nodes!BE5-AT5)-(ATM_Conf!$C$5*ATM_Conf!$C$9)/(Z193*ATM_Conf!$C$8)*(Nodes!BS5-Z5)/(Z5+ATM_Conf!$C$10)</f>
        <v>#DIV/0!</v>
      </c>
      <c r="AU6" s="43" t="e">
        <f>AU5+(ATM_Conf!$C$5/ATM_Conf!$C$8)*(BO6*EXP(-(1/DC6)*(AA6/CI6)^DC6)-AU5)+(ATM_Conf!$C$5/AA193)*AU5*(Nodes!BF5-AU5)-(ATM_Conf!$C$5*ATM_Conf!$C$9)/(AA193*ATM_Conf!$C$8)*(Nodes!BV5-AA5)/(AA5+ATM_Conf!$C$10)</f>
        <v>#DIV/0!</v>
      </c>
      <c r="AV6" s="43" t="e">
        <f>AV5+(ATM_Conf!$C$5/ATM_Conf!$C$8)*(BP6*EXP(-(1/DD6)*(AB6/CJ6)^DD6)-AV5)+(ATM_Conf!$C$5/AB193)*AV5*(AU5-AV5)-(ATM_Conf!$C$5*ATM_Conf!$C$9)/(AB193*ATM_Conf!$C$8)*(AC5-AB5)/(AB5+ATM_Conf!$C$10)</f>
        <v>#DIV/0!</v>
      </c>
      <c r="AW6" s="43" t="e">
        <f>AW5+(ATM_Conf!$C$5/ATM_Conf!$C$8)*(BQ6*EXP(-(1/DE6)*(AC6/CK6)^DE6)-AW5)+(ATM_Conf!$C$5/AC193)*AW5*(AV5-AW5)-(ATM_Conf!$C$5*ATM_Conf!$C$9)/(AC193*ATM_Conf!$C$8)*(AD5-AC5)/(AC5+ATM_Conf!$C$10)</f>
        <v>#DIV/0!</v>
      </c>
      <c r="AX6" s="43" t="e">
        <f>AX5+(ATM_Conf!$C$5/ATM_Conf!$C$8)*(BR6*EXP(-(1/DF6)*(AD6/CL6)^DF6)-AX5)+(ATM_Conf!$C$5/AD193)*AX5*(Nodes!BG5-AX5)-(ATM_Conf!$C$5*ATM_Conf!$C$9)/(AD193*ATM_Conf!$C$8)*(Nodes!BU5-AD5)/(AD5+ATM_Conf!$C$10)</f>
        <v>#DIV/0!</v>
      </c>
      <c r="AY6" s="43" t="e">
        <f>AY5+(ATM_Conf!$C$5/ATM_Conf!$C$8)*(BS6*EXP(-(1/DG6)*(AE6/CM6)^DG6)-AY5)+(ATM_Conf!$C$5/AE193)*AY5*(Nodes!BF5-AY5)</f>
        <v>#DIV/0!</v>
      </c>
      <c r="AZ6" s="43" t="e">
        <f>AZ5+(ATM_Conf!$C$5/ATM_Conf!$C$8)*(BT6*EXP(-(1/DH6)*(AF6/CN6)^DH6)-AZ5)-(ATM_Conf!$C$5*ATM_Conf!$C$9)/(AF193*ATM_Conf!$C$8)*(Nodes!BV5-AF5)/(AF5+ATM_Conf!$C$10)</f>
        <v>#DIV/0!</v>
      </c>
      <c r="BA6" s="43" t="e">
        <f>BA5+(ATM_Conf!$C$5/ATM_Conf!$C$8)*(BU6*EXP(-(1/DI6)*(AG6/CO6)^DI6)-BA5)+(ATM_Conf!$C$5/AG193)*BA5*(Nodes!BI5-BA5)-(ATM_Conf!$C$5*ATM_Conf!$C$9)/(AG193*ATM_Conf!$C$8)*(Nodes!BW5-AG5)/(AG5+ATM_Conf!$C$10)</f>
        <v>#DIV/0!</v>
      </c>
      <c r="BB6" s="43" t="e">
        <f>BB5+(ATM_Conf!$C$5/ATM_Conf!$C$8)*(BV6*EXP(-(1/DJ6)*(AH6/CP6)^DJ6)-BB5)+(ATM_Conf!$C$5/AH193)*BB5*(Nodes!BJ5-BB5)-(ATM_Conf!$C$5*ATM_Conf!$C$9)/(AH193*ATM_Conf!$C$8)*(AI5-AH5)/(AH5+ATM_Conf!$C$10)</f>
        <v>#DIV/0!</v>
      </c>
      <c r="BC6" s="43" t="e">
        <f>BC5+(ATM_Conf!$C$5/ATM_Conf!$C$8)*(BW6*EXP(-(1/DK6)*(AI6/CQ6)^DK6)-BC5)+(ATM_Conf!$C$5/AI193)*BC5*(BB5-BC5)-(ATM_Conf!$C$5*ATM_Conf!$C$9)/(AI193*ATM_Conf!$C$8)*(AJ5-AI5)/(AI5+ATM_Conf!$C$10)</f>
        <v>#DIV/0!</v>
      </c>
      <c r="BD6" s="43" t="e">
        <f>BD5+(ATM_Conf!$C$5/ATM_Conf!$C$8)*(BX6*EXP(-(1/DL6)*(AJ6/CR6)^DL6)-BD5)+(ATM_Conf!$C$5/AJ193)*BD5*(BC5-BD5)-(ATM_Conf!$C$5*ATM_Conf!$C$9)/(AJ193*ATM_Conf!$C$8)*(Nodes!BX5-AJ5)/(AJ5+ATM_Conf!$C$10)</f>
        <v>#DIV/0!</v>
      </c>
      <c r="BE6" s="43" t="e">
        <f>BE5+(ATM_Conf!$C$5/ATM_Conf!$C$8)*(BY6*EXP(-(1/DM6)*(AK6/CS6)^DM6)-BE5)+(ATM_Conf!$C$5/AK193)*BE5*(Nodes!BK5-BE5)-(ATM_Conf!$C$5*ATM_Conf!$C$9)/(AK193*ATM_Conf!$C$8)*(Nodes!BY5-AK5)/(AK5+ATM_Conf!$C$10)</f>
        <v>#DIV/0!</v>
      </c>
      <c r="BF6" s="43" t="e">
        <f>BF5+(ATM_Conf!$C$5/ATM_Conf!$C$8)*(BZ6*EXP(-(1/DN6)*(AL6/CT6)^DN6)-BF5)+(ATM_Conf!$C$5/AL193)*BF5*(BE5-BF5)-(ATM_Conf!$C$5*ATM_Conf!$C$9)/(AL193*ATM_Conf!$C$8)*(AM5-AL5)/(AL5+ATM_Conf!$C$10)</f>
        <v>#DIV/0!</v>
      </c>
      <c r="BG6" s="43" t="e">
        <f>BG5+(ATM_Conf!$C$5/ATM_Conf!$C$8)*(CA6*EXP(-(1/DO6)*(AM6/CU6)^DO6)-BG5)+(ATM_Conf!$C$5/AM193)*BG5*(Nodes!BM5-BG5)-(ATM_Conf!$C$5*ATM_Conf!$C$9)/(AM193*ATM_Conf!$C$8)*(Nodes!CA5-AM5)/(AM5+ATM_Conf!$C$10)</f>
        <v>#DIV/0!</v>
      </c>
      <c r="BH6" s="43" t="e">
        <f>BH5+(ATM_Conf!$C$5/ATM_Conf!$C$8)*(CB6*EXP(-(1/DP6)*(AN6/CV6)^DP6)-BH5)+(ATM_Conf!$C$5/AN193)*BH5*(BG5-BH5)-(ATM_Conf!$C$5*ATM_Conf!$C$9)/(AN193*ATM_Conf!$C$8)*(AO5-AN5)/(AN5+ATM_Conf!$C$10)</f>
        <v>#DIV/0!</v>
      </c>
      <c r="BI6" s="43" t="e">
        <f>BI5+(ATM_Conf!$C$5/ATM_Conf!$C$8)*(CC6*EXP(-(1/DQ6)*(AO6/CW6)^DQ6)-BI5)+(ATM_Conf!$C$5/AO193)*BI5*(BH5-BI5)</f>
        <v>#DIV/0!</v>
      </c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  <c r="CW6" s="43"/>
      <c r="CX6" s="53"/>
      <c r="CY6" s="53"/>
      <c r="CZ6" s="53"/>
      <c r="DA6" s="53"/>
      <c r="DB6" s="53"/>
      <c r="DC6" s="53"/>
      <c r="DD6" s="53"/>
      <c r="DE6" s="53"/>
      <c r="DF6" s="53"/>
      <c r="DG6" s="53"/>
      <c r="DH6" s="53"/>
      <c r="DI6" s="53"/>
      <c r="DJ6" s="53"/>
      <c r="DK6" s="53"/>
      <c r="DL6" s="53"/>
      <c r="DM6" s="53"/>
      <c r="DN6" s="53"/>
      <c r="DO6" s="53"/>
      <c r="DP6" s="53"/>
      <c r="DQ6" s="53"/>
      <c r="DR6" s="43">
        <f t="shared" si="23"/>
        <v>0</v>
      </c>
      <c r="DS6" s="43">
        <f t="shared" si="22"/>
        <v>0</v>
      </c>
      <c r="DT6" s="43">
        <f t="shared" si="22"/>
        <v>0</v>
      </c>
      <c r="DU6" s="43">
        <f t="shared" si="22"/>
        <v>0</v>
      </c>
      <c r="DV6" s="43">
        <f t="shared" si="22"/>
        <v>0</v>
      </c>
      <c r="DW6" s="43">
        <f t="shared" si="22"/>
        <v>0</v>
      </c>
      <c r="DX6" s="43">
        <f t="shared" si="22"/>
        <v>0</v>
      </c>
      <c r="DY6" s="43">
        <f t="shared" si="22"/>
        <v>0</v>
      </c>
      <c r="DZ6" s="43">
        <f t="shared" si="22"/>
        <v>0</v>
      </c>
      <c r="EA6" s="43">
        <f t="shared" si="22"/>
        <v>0</v>
      </c>
      <c r="EB6" s="43">
        <f t="shared" si="22"/>
        <v>0</v>
      </c>
      <c r="EC6" s="43">
        <f t="shared" si="22"/>
        <v>0</v>
      </c>
      <c r="ED6" s="43">
        <f t="shared" si="22"/>
        <v>0</v>
      </c>
      <c r="EE6" s="43">
        <f t="shared" si="22"/>
        <v>0</v>
      </c>
      <c r="EF6" s="43">
        <f t="shared" si="22"/>
        <v>0</v>
      </c>
      <c r="EG6" s="43">
        <f t="shared" si="22"/>
        <v>0</v>
      </c>
      <c r="EH6" s="43">
        <f t="shared" si="22"/>
        <v>0</v>
      </c>
      <c r="EI6" s="43">
        <f t="shared" si="22"/>
        <v>0</v>
      </c>
      <c r="EJ6" s="43">
        <f t="shared" si="22"/>
        <v>0</v>
      </c>
      <c r="EK6" s="43">
        <f t="shared" si="22"/>
        <v>0</v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47"/>
      <c r="FC6" s="47"/>
      <c r="FD6" s="47"/>
      <c r="FE6" s="47"/>
    </row>
    <row r="7" spans="1:161" ht="14.25" x14ac:dyDescent="0.15">
      <c r="A7" s="46"/>
      <c r="B7" s="43" t="e">
        <f t="shared" si="2"/>
        <v>#DIV/0!</v>
      </c>
      <c r="C7" s="43" t="e">
        <f t="shared" si="3"/>
        <v>#DIV/0!</v>
      </c>
      <c r="D7" s="43" t="e">
        <f t="shared" si="4"/>
        <v>#DIV/0!</v>
      </c>
      <c r="E7" s="43" t="e">
        <f t="shared" si="5"/>
        <v>#DIV/0!</v>
      </c>
      <c r="F7" s="43" t="e">
        <f t="shared" si="6"/>
        <v>#DIV/0!</v>
      </c>
      <c r="G7" s="43" t="e">
        <f t="shared" si="7"/>
        <v>#DIV/0!</v>
      </c>
      <c r="H7" s="43" t="e">
        <f t="shared" si="8"/>
        <v>#DIV/0!</v>
      </c>
      <c r="I7" s="43" t="e">
        <f t="shared" si="9"/>
        <v>#DIV/0!</v>
      </c>
      <c r="J7" s="43" t="e">
        <f t="shared" si="10"/>
        <v>#DIV/0!</v>
      </c>
      <c r="K7" s="43" t="e">
        <f t="shared" si="11"/>
        <v>#DIV/0!</v>
      </c>
      <c r="L7" s="43" t="e">
        <f t="shared" si="12"/>
        <v>#DIV/0!</v>
      </c>
      <c r="M7" s="43" t="e">
        <f t="shared" si="13"/>
        <v>#DIV/0!</v>
      </c>
      <c r="N7" s="43" t="e">
        <f t="shared" si="14"/>
        <v>#DIV/0!</v>
      </c>
      <c r="O7" s="43" t="e">
        <f t="shared" si="15"/>
        <v>#DIV/0!</v>
      </c>
      <c r="P7" s="43" t="e">
        <f t="shared" si="16"/>
        <v>#DIV/0!</v>
      </c>
      <c r="Q7" s="43" t="e">
        <f t="shared" si="17"/>
        <v>#DIV/0!</v>
      </c>
      <c r="R7" s="43" t="e">
        <f t="shared" si="18"/>
        <v>#DIV/0!</v>
      </c>
      <c r="S7" s="43" t="e">
        <f t="shared" si="19"/>
        <v>#DIV/0!</v>
      </c>
      <c r="T7" s="43" t="e">
        <f t="shared" si="20"/>
        <v>#DIV/0!</v>
      </c>
      <c r="U7" s="43" t="e">
        <f t="shared" si="21"/>
        <v>#DIV/0!</v>
      </c>
      <c r="V7" s="53" t="e">
        <f>V6+ATM_Conf!$C$5*(B6)/(B194*V194)</f>
        <v>#DIV/0!</v>
      </c>
      <c r="W7" s="53" t="e">
        <f>W6+ATM_Conf!$C$5*(C6-B6)/(C194*W194)</f>
        <v>#DIV/0!</v>
      </c>
      <c r="X7" s="53" t="e">
        <f>X6+ATM_Conf!$C$5*(D6-C6)/(D194*X194)</f>
        <v>#DIV/0!</v>
      </c>
      <c r="Y7" s="53" t="e">
        <f>Y6+ATM_Conf!$C$5*(E6-D6)/(E194*Y194)</f>
        <v>#DIV/0!</v>
      </c>
      <c r="Z7" s="53" t="e">
        <f>Z6+ATM_Conf!$C$5*(F6-E6)/(F194*Z194)</f>
        <v>#DIV/0!</v>
      </c>
      <c r="AA7" s="53" t="e">
        <f>AA6+ATM_Conf!$C$5*(G6-F6)/(G194*AA194)</f>
        <v>#DIV/0!</v>
      </c>
      <c r="AB7" s="53" t="e">
        <f>AB6+ATM_Conf!$C$5*(H6-G6)/(H194*AB194)</f>
        <v>#DIV/0!</v>
      </c>
      <c r="AC7" s="53" t="e">
        <f>AC6+ATM_Conf!$C$5*(I6-H6)/(I194*AC194)</f>
        <v>#DIV/0!</v>
      </c>
      <c r="AD7" s="53" t="e">
        <f>AD6+ATM_Conf!$C$5*(J6-I6)/(J194*AD194)</f>
        <v>#DIV/0!</v>
      </c>
      <c r="AE7" s="53" t="e">
        <f>AE6+ATM_Conf!$C$5*(K6-J6)/(K194*AE194)</f>
        <v>#DIV/0!</v>
      </c>
      <c r="AF7" s="53" t="e">
        <f>AF6+ATM_Conf!$C$5*(L6)/(L194*AF194)</f>
        <v>#DIV/0!</v>
      </c>
      <c r="AG7" s="53" t="e">
        <f>AG6+ATM_Conf!$C$5*(M6-L6)/(M194*AG194)</f>
        <v>#DIV/0!</v>
      </c>
      <c r="AH7" s="53" t="e">
        <f>AH6+ATM_Conf!$C$5*(N6-M6)/(N194*AH194)</f>
        <v>#DIV/0!</v>
      </c>
      <c r="AI7" s="53" t="e">
        <f>AI6+ATM_Conf!$C$5*(O6-N6)/(O194*AI194)</f>
        <v>#DIV/0!</v>
      </c>
      <c r="AJ7" s="53" t="e">
        <f>AJ6+ATM_Conf!$C$5*(P6-O6)/(P194*AJ194)</f>
        <v>#DIV/0!</v>
      </c>
      <c r="AK7" s="53" t="e">
        <f>AK6+ATM_Conf!$C$5*(Q6-P6)/(Q194*AK194)</f>
        <v>#DIV/0!</v>
      </c>
      <c r="AL7" s="53" t="e">
        <f>AL6+ATM_Conf!$C$5*(R6-Q6)/(R194*AL194)</f>
        <v>#DIV/0!</v>
      </c>
      <c r="AM7" s="53" t="e">
        <f>AM6+ATM_Conf!$C$5*(S6-R6)/(S194*AM194)</f>
        <v>#DIV/0!</v>
      </c>
      <c r="AN7" s="53" t="e">
        <f>AN6+ATM_Conf!$C$5*(T6-S6)/(T194*AN194)</f>
        <v>#DIV/0!</v>
      </c>
      <c r="AO7" s="53" t="e">
        <f>AO6+ATM_Conf!$C$5*(U6-T6)/(U194*AO194)</f>
        <v>#DIV/0!</v>
      </c>
      <c r="AP7" s="43" t="e">
        <f>AP6+(ATM_Conf!$C$5/ATM_Conf!$C$8)*(BJ7*EXP(-(1/CX7)*(V7/CD7)^CX7)-AP6)-(ATM_Conf!$C$5*ATM_Conf!$C$9)/(V194*ATM_Conf!$C$8)*(Nodes!BO6-V6)/(V6+ATM_Conf!$C$10)</f>
        <v>#DIV/0!</v>
      </c>
      <c r="AQ7" s="43" t="e">
        <f>AQ6+(ATM_Conf!$C$5/ATM_Conf!$C$8)*(BK7*EXP(-(1/CY7)*(W7/CE7)^CY7)-AQ6)+(ATM_Conf!$C$5/W194)*AQ6*(AP6-AQ6)-(ATM_Conf!$C$5*ATM_Conf!$C$9)/(W194*ATM_Conf!$C$8)*(X6-W6)/(W6+ATM_Conf!$C$10)</f>
        <v>#DIV/0!</v>
      </c>
      <c r="AR7" s="43" t="e">
        <f>AR6+(ATM_Conf!$C$5/ATM_Conf!$C$8)*(BL7*EXP(-(1/CZ7)*(X7/CF7)^CZ7)-AR6)+(ATM_Conf!$C$5/X194)*AR6*(Nodes!BC6-AR6)-(ATM_Conf!$C$5*ATM_Conf!$C$9)/(X194*ATM_Conf!$C$8)*(Nodes!BQ6-X6)/(X6+ATM_Conf!$C$10)</f>
        <v>#DIV/0!</v>
      </c>
      <c r="AS7" s="43" t="e">
        <f>AS6+(ATM_Conf!$C$5/ATM_Conf!$C$8)*(BM7*EXP(-(1/DA7)*(Y7/CG7)^DA7)-AS6)+(ATM_Conf!$C$5/Y194)*AS6*(AR6-AS6)-(ATM_Conf!$C$5*ATM_Conf!$C$9)/(Y194*ATM_Conf!$C$8)*(Z6-Y6)/(Y6+ATM_Conf!$C$10)</f>
        <v>#DIV/0!</v>
      </c>
      <c r="AT7" s="43" t="e">
        <f>AT6+(ATM_Conf!$C$5/ATM_Conf!$C$8)*(BN7*EXP(-(1/DB7)*(Z7/CH7)^DB7)-AT6)+(ATM_Conf!$C$5/Z194)*AT6*(Nodes!BE6-AT6)-(ATM_Conf!$C$5*ATM_Conf!$C$9)/(Z194*ATM_Conf!$C$8)*(Nodes!BS6-Z6)/(Z6+ATM_Conf!$C$10)</f>
        <v>#DIV/0!</v>
      </c>
      <c r="AU7" s="43" t="e">
        <f>AU6+(ATM_Conf!$C$5/ATM_Conf!$C$8)*(BO7*EXP(-(1/DC7)*(AA7/CI7)^DC7)-AU6)+(ATM_Conf!$C$5/AA194)*AU6*(Nodes!BF6-AU6)-(ATM_Conf!$C$5*ATM_Conf!$C$9)/(AA194*ATM_Conf!$C$8)*(Nodes!BV6-AA6)/(AA6+ATM_Conf!$C$10)</f>
        <v>#DIV/0!</v>
      </c>
      <c r="AV7" s="43" t="e">
        <f>AV6+(ATM_Conf!$C$5/ATM_Conf!$C$8)*(BP7*EXP(-(1/DD7)*(AB7/CJ7)^DD7)-AV6)+(ATM_Conf!$C$5/AB194)*AV6*(AU6-AV6)-(ATM_Conf!$C$5*ATM_Conf!$C$9)/(AB194*ATM_Conf!$C$8)*(AC6-AB6)/(AB6+ATM_Conf!$C$10)</f>
        <v>#DIV/0!</v>
      </c>
      <c r="AW7" s="43" t="e">
        <f>AW6+(ATM_Conf!$C$5/ATM_Conf!$C$8)*(BQ7*EXP(-(1/DE7)*(AC7/CK7)^DE7)-AW6)+(ATM_Conf!$C$5/AC194)*AW6*(AV6-AW6)-(ATM_Conf!$C$5*ATM_Conf!$C$9)/(AC194*ATM_Conf!$C$8)*(AD6-AC6)/(AC6+ATM_Conf!$C$10)</f>
        <v>#DIV/0!</v>
      </c>
      <c r="AX7" s="43" t="e">
        <f>AX6+(ATM_Conf!$C$5/ATM_Conf!$C$8)*(BR7*EXP(-(1/DF7)*(AD7/CL7)^DF7)-AX6)+(ATM_Conf!$C$5/AD194)*AX6*(Nodes!BG6-AX6)-(ATM_Conf!$C$5*ATM_Conf!$C$9)/(AD194*ATM_Conf!$C$8)*(Nodes!BU6-AD6)/(AD6+ATM_Conf!$C$10)</f>
        <v>#DIV/0!</v>
      </c>
      <c r="AY7" s="43" t="e">
        <f>AY6+(ATM_Conf!$C$5/ATM_Conf!$C$8)*(BS7*EXP(-(1/DG7)*(AE7/CM7)^DG7)-AY6)+(ATM_Conf!$C$5/AE194)*AY6*(Nodes!BF6-AY6)</f>
        <v>#DIV/0!</v>
      </c>
      <c r="AZ7" s="43" t="e">
        <f>AZ6+(ATM_Conf!$C$5/ATM_Conf!$C$8)*(BT7*EXP(-(1/DH7)*(AF7/CN7)^DH7)-AZ6)-(ATM_Conf!$C$5*ATM_Conf!$C$9)/(AF194*ATM_Conf!$C$8)*(Nodes!BV6-AF6)/(AF6+ATM_Conf!$C$10)</f>
        <v>#DIV/0!</v>
      </c>
      <c r="BA7" s="43" t="e">
        <f>BA6+(ATM_Conf!$C$5/ATM_Conf!$C$8)*(BU7*EXP(-(1/DI7)*(AG7/CO7)^DI7)-BA6)+(ATM_Conf!$C$5/AG194)*BA6*(Nodes!BI6-BA6)-(ATM_Conf!$C$5*ATM_Conf!$C$9)/(AG194*ATM_Conf!$C$8)*(Nodes!BW6-AG6)/(AG6+ATM_Conf!$C$10)</f>
        <v>#DIV/0!</v>
      </c>
      <c r="BB7" s="43" t="e">
        <f>BB6+(ATM_Conf!$C$5/ATM_Conf!$C$8)*(BV7*EXP(-(1/DJ7)*(AH7/CP7)^DJ7)-BB6)+(ATM_Conf!$C$5/AH194)*BB6*(Nodes!BJ6-BB6)-(ATM_Conf!$C$5*ATM_Conf!$C$9)/(AH194*ATM_Conf!$C$8)*(AI6-AH6)/(AH6+ATM_Conf!$C$10)</f>
        <v>#DIV/0!</v>
      </c>
      <c r="BC7" s="43" t="e">
        <f>BC6+(ATM_Conf!$C$5/ATM_Conf!$C$8)*(BW7*EXP(-(1/DK7)*(AI7/CQ7)^DK7)-BC6)+(ATM_Conf!$C$5/AI194)*BC6*(BB6-BC6)-(ATM_Conf!$C$5*ATM_Conf!$C$9)/(AI194*ATM_Conf!$C$8)*(AJ6-AI6)/(AI6+ATM_Conf!$C$10)</f>
        <v>#DIV/0!</v>
      </c>
      <c r="BD7" s="43" t="e">
        <f>BD6+(ATM_Conf!$C$5/ATM_Conf!$C$8)*(BX7*EXP(-(1/DL7)*(AJ7/CR7)^DL7)-BD6)+(ATM_Conf!$C$5/AJ194)*BD6*(BC6-BD6)-(ATM_Conf!$C$5*ATM_Conf!$C$9)/(AJ194*ATM_Conf!$C$8)*(Nodes!BX6-AJ6)/(AJ6+ATM_Conf!$C$10)</f>
        <v>#DIV/0!</v>
      </c>
      <c r="BE7" s="43" t="e">
        <f>BE6+(ATM_Conf!$C$5/ATM_Conf!$C$8)*(BY7*EXP(-(1/DM7)*(AK7/CS7)^DM7)-BE6)+(ATM_Conf!$C$5/AK194)*BE6*(Nodes!BK6-BE6)-(ATM_Conf!$C$5*ATM_Conf!$C$9)/(AK194*ATM_Conf!$C$8)*(Nodes!BY6-AK6)/(AK6+ATM_Conf!$C$10)</f>
        <v>#DIV/0!</v>
      </c>
      <c r="BF7" s="43" t="e">
        <f>BF6+(ATM_Conf!$C$5/ATM_Conf!$C$8)*(BZ7*EXP(-(1/DN7)*(AL7/CT7)^DN7)-BF6)+(ATM_Conf!$C$5/AL194)*BF6*(BE6-BF6)-(ATM_Conf!$C$5*ATM_Conf!$C$9)/(AL194*ATM_Conf!$C$8)*(AM6-AL6)/(AL6+ATM_Conf!$C$10)</f>
        <v>#DIV/0!</v>
      </c>
      <c r="BG7" s="43" t="e">
        <f>BG6+(ATM_Conf!$C$5/ATM_Conf!$C$8)*(CA7*EXP(-(1/DO7)*(AM7/CU7)^DO7)-BG6)+(ATM_Conf!$C$5/AM194)*BG6*(Nodes!BM6-BG6)-(ATM_Conf!$C$5*ATM_Conf!$C$9)/(AM194*ATM_Conf!$C$8)*(Nodes!CA6-AM6)/(AM6+ATM_Conf!$C$10)</f>
        <v>#DIV/0!</v>
      </c>
      <c r="BH7" s="43" t="e">
        <f>BH6+(ATM_Conf!$C$5/ATM_Conf!$C$8)*(CB7*EXP(-(1/DP7)*(AN7/CV7)^DP7)-BH6)+(ATM_Conf!$C$5/AN194)*BH6*(BG6-BH6)-(ATM_Conf!$C$5*ATM_Conf!$C$9)/(AN194*ATM_Conf!$C$8)*(AO6-AN6)/(AN6+ATM_Conf!$C$10)</f>
        <v>#DIV/0!</v>
      </c>
      <c r="BI7" s="43" t="e">
        <f>BI6+(ATM_Conf!$C$5/ATM_Conf!$C$8)*(CC7*EXP(-(1/DQ7)*(AO7/CW7)^DQ7)-BI6)+(ATM_Conf!$C$5/AO194)*BI6*(BH6-BI6)</f>
        <v>#DIV/0!</v>
      </c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53"/>
      <c r="CB7" s="53"/>
      <c r="CC7" s="5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  <c r="CW7" s="43"/>
      <c r="CX7" s="53"/>
      <c r="CY7" s="53"/>
      <c r="CZ7" s="53"/>
      <c r="DA7" s="53"/>
      <c r="DB7" s="53"/>
      <c r="DC7" s="53"/>
      <c r="DD7" s="53"/>
      <c r="DE7" s="53"/>
      <c r="DF7" s="53"/>
      <c r="DG7" s="53"/>
      <c r="DH7" s="53"/>
      <c r="DI7" s="53"/>
      <c r="DJ7" s="53"/>
      <c r="DK7" s="53"/>
      <c r="DL7" s="53"/>
      <c r="DM7" s="53"/>
      <c r="DN7" s="53"/>
      <c r="DO7" s="53"/>
      <c r="DP7" s="53"/>
      <c r="DQ7" s="53"/>
      <c r="DR7" s="43">
        <f t="shared" si="23"/>
        <v>0</v>
      </c>
      <c r="DS7" s="43">
        <f t="shared" si="22"/>
        <v>0</v>
      </c>
      <c r="DT7" s="43">
        <f t="shared" si="22"/>
        <v>0</v>
      </c>
      <c r="DU7" s="43">
        <f t="shared" si="22"/>
        <v>0</v>
      </c>
      <c r="DV7" s="43">
        <f t="shared" si="22"/>
        <v>0</v>
      </c>
      <c r="DW7" s="43">
        <f t="shared" si="22"/>
        <v>0</v>
      </c>
      <c r="DX7" s="43">
        <f t="shared" si="22"/>
        <v>0</v>
      </c>
      <c r="DY7" s="43">
        <f t="shared" si="22"/>
        <v>0</v>
      </c>
      <c r="DZ7" s="43">
        <f t="shared" si="22"/>
        <v>0</v>
      </c>
      <c r="EA7" s="43">
        <f t="shared" si="22"/>
        <v>0</v>
      </c>
      <c r="EB7" s="43">
        <f t="shared" si="22"/>
        <v>0</v>
      </c>
      <c r="EC7" s="43">
        <f t="shared" si="22"/>
        <v>0</v>
      </c>
      <c r="ED7" s="43">
        <f t="shared" si="22"/>
        <v>0</v>
      </c>
      <c r="EE7" s="43">
        <f t="shared" si="22"/>
        <v>0</v>
      </c>
      <c r="EF7" s="43">
        <f t="shared" si="22"/>
        <v>0</v>
      </c>
      <c r="EG7" s="43">
        <f t="shared" si="22"/>
        <v>0</v>
      </c>
      <c r="EH7" s="43">
        <f t="shared" si="22"/>
        <v>0</v>
      </c>
      <c r="EI7" s="43">
        <f t="shared" si="22"/>
        <v>0</v>
      </c>
      <c r="EJ7" s="43">
        <f t="shared" si="22"/>
        <v>0</v>
      </c>
      <c r="EK7" s="43">
        <f t="shared" si="22"/>
        <v>0</v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</row>
    <row r="8" spans="1:161" ht="14.25" x14ac:dyDescent="0.15">
      <c r="A8" s="46"/>
      <c r="B8" s="43" t="e">
        <f t="shared" si="2"/>
        <v>#DIV/0!</v>
      </c>
      <c r="C8" s="43" t="e">
        <f t="shared" si="3"/>
        <v>#DIV/0!</v>
      </c>
      <c r="D8" s="43" t="e">
        <f t="shared" si="4"/>
        <v>#DIV/0!</v>
      </c>
      <c r="E8" s="43" t="e">
        <f t="shared" si="5"/>
        <v>#DIV/0!</v>
      </c>
      <c r="F8" s="43" t="e">
        <f t="shared" si="6"/>
        <v>#DIV/0!</v>
      </c>
      <c r="G8" s="43" t="e">
        <f t="shared" si="7"/>
        <v>#DIV/0!</v>
      </c>
      <c r="H8" s="43" t="e">
        <f t="shared" si="8"/>
        <v>#DIV/0!</v>
      </c>
      <c r="I8" s="43" t="e">
        <f t="shared" si="9"/>
        <v>#DIV/0!</v>
      </c>
      <c r="J8" s="43" t="e">
        <f t="shared" si="10"/>
        <v>#DIV/0!</v>
      </c>
      <c r="K8" s="43" t="e">
        <f t="shared" si="11"/>
        <v>#DIV/0!</v>
      </c>
      <c r="L8" s="43" t="e">
        <f t="shared" si="12"/>
        <v>#DIV/0!</v>
      </c>
      <c r="M8" s="43" t="e">
        <f t="shared" si="13"/>
        <v>#DIV/0!</v>
      </c>
      <c r="N8" s="43" t="e">
        <f t="shared" si="14"/>
        <v>#DIV/0!</v>
      </c>
      <c r="O8" s="43" t="e">
        <f t="shared" si="15"/>
        <v>#DIV/0!</v>
      </c>
      <c r="P8" s="43" t="e">
        <f t="shared" si="16"/>
        <v>#DIV/0!</v>
      </c>
      <c r="Q8" s="43" t="e">
        <f t="shared" si="17"/>
        <v>#DIV/0!</v>
      </c>
      <c r="R8" s="43" t="e">
        <f t="shared" si="18"/>
        <v>#DIV/0!</v>
      </c>
      <c r="S8" s="43" t="e">
        <f t="shared" si="19"/>
        <v>#DIV/0!</v>
      </c>
      <c r="T8" s="43" t="e">
        <f t="shared" si="20"/>
        <v>#DIV/0!</v>
      </c>
      <c r="U8" s="43" t="e">
        <f t="shared" si="21"/>
        <v>#DIV/0!</v>
      </c>
      <c r="V8" s="53" t="e">
        <f>V7+ATM_Conf!$C$5*(B7)/(B195*V195)</f>
        <v>#DIV/0!</v>
      </c>
      <c r="W8" s="53" t="e">
        <f>W7+ATM_Conf!$C$5*(C7-B7)/(C195*W195)</f>
        <v>#DIV/0!</v>
      </c>
      <c r="X8" s="53" t="e">
        <f>X7+ATM_Conf!$C$5*(D7-C7)/(D195*X195)</f>
        <v>#DIV/0!</v>
      </c>
      <c r="Y8" s="53" t="e">
        <f>Y7+ATM_Conf!$C$5*(E7-D7)/(E195*Y195)</f>
        <v>#DIV/0!</v>
      </c>
      <c r="Z8" s="53" t="e">
        <f>Z7+ATM_Conf!$C$5*(F7-E7)/(F195*Z195)</f>
        <v>#DIV/0!</v>
      </c>
      <c r="AA8" s="53" t="e">
        <f>AA7+ATM_Conf!$C$5*(G7-F7)/(G195*AA195)</f>
        <v>#DIV/0!</v>
      </c>
      <c r="AB8" s="53" t="e">
        <f>AB7+ATM_Conf!$C$5*(H7-G7)/(H195*AB195)</f>
        <v>#DIV/0!</v>
      </c>
      <c r="AC8" s="53" t="e">
        <f>AC7+ATM_Conf!$C$5*(I7-H7)/(I195*AC195)</f>
        <v>#DIV/0!</v>
      </c>
      <c r="AD8" s="53" t="e">
        <f>AD7+ATM_Conf!$C$5*(J7-I7)/(J195*AD195)</f>
        <v>#DIV/0!</v>
      </c>
      <c r="AE8" s="53" t="e">
        <f>AE7+ATM_Conf!$C$5*(K7-J7)/(K195*AE195)</f>
        <v>#DIV/0!</v>
      </c>
      <c r="AF8" s="53" t="e">
        <f>AF7+ATM_Conf!$C$5*(L7)/(L195*AF195)</f>
        <v>#DIV/0!</v>
      </c>
      <c r="AG8" s="53" t="e">
        <f>AG7+ATM_Conf!$C$5*(M7-L7)/(M195*AG195)</f>
        <v>#DIV/0!</v>
      </c>
      <c r="AH8" s="53" t="e">
        <f>AH7+ATM_Conf!$C$5*(N7-M7)/(N195*AH195)</f>
        <v>#DIV/0!</v>
      </c>
      <c r="AI8" s="53" t="e">
        <f>AI7+ATM_Conf!$C$5*(O7-N7)/(O195*AI195)</f>
        <v>#DIV/0!</v>
      </c>
      <c r="AJ8" s="53" t="e">
        <f>AJ7+ATM_Conf!$C$5*(P7-O7)/(P195*AJ195)</f>
        <v>#DIV/0!</v>
      </c>
      <c r="AK8" s="53" t="e">
        <f>AK7+ATM_Conf!$C$5*(Q7-P7)/(Q195*AK195)</f>
        <v>#DIV/0!</v>
      </c>
      <c r="AL8" s="53" t="e">
        <f>AL7+ATM_Conf!$C$5*(R7-Q7)/(R195*AL195)</f>
        <v>#DIV/0!</v>
      </c>
      <c r="AM8" s="53" t="e">
        <f>AM7+ATM_Conf!$C$5*(S7-R7)/(S195*AM195)</f>
        <v>#DIV/0!</v>
      </c>
      <c r="AN8" s="53" t="e">
        <f>AN7+ATM_Conf!$C$5*(T7-S7)/(T195*AN195)</f>
        <v>#DIV/0!</v>
      </c>
      <c r="AO8" s="53" t="e">
        <f>AO7+ATM_Conf!$C$5*(U7-T7)/(U195*AO195)</f>
        <v>#DIV/0!</v>
      </c>
      <c r="AP8" s="43" t="e">
        <f>AP7+(ATM_Conf!$C$5/ATM_Conf!$C$8)*(BJ8*EXP(-(1/CX8)*(V8/CD8)^CX8)-AP7)-(ATM_Conf!$C$5*ATM_Conf!$C$9)/(V195*ATM_Conf!$C$8)*(Nodes!BO7-V7)/(V7+ATM_Conf!$C$10)</f>
        <v>#DIV/0!</v>
      </c>
      <c r="AQ8" s="43" t="e">
        <f>AQ7+(ATM_Conf!$C$5/ATM_Conf!$C$8)*(BK8*EXP(-(1/CY8)*(W8/CE8)^CY8)-AQ7)+(ATM_Conf!$C$5/W195)*AQ7*(AP7-AQ7)-(ATM_Conf!$C$5*ATM_Conf!$C$9)/(W195*ATM_Conf!$C$8)*(X7-W7)/(W7+ATM_Conf!$C$10)</f>
        <v>#DIV/0!</v>
      </c>
      <c r="AR8" s="43" t="e">
        <f>AR7+(ATM_Conf!$C$5/ATM_Conf!$C$8)*(BL8*EXP(-(1/CZ8)*(X8/CF8)^CZ8)-AR7)+(ATM_Conf!$C$5/X195)*AR7*(Nodes!BC7-AR7)-(ATM_Conf!$C$5*ATM_Conf!$C$9)/(X195*ATM_Conf!$C$8)*(Nodes!BQ7-X7)/(X7+ATM_Conf!$C$10)</f>
        <v>#DIV/0!</v>
      </c>
      <c r="AS8" s="43" t="e">
        <f>AS7+(ATM_Conf!$C$5/ATM_Conf!$C$8)*(BM8*EXP(-(1/DA8)*(Y8/CG8)^DA8)-AS7)+(ATM_Conf!$C$5/Y195)*AS7*(AR7-AS7)-(ATM_Conf!$C$5*ATM_Conf!$C$9)/(Y195*ATM_Conf!$C$8)*(Z7-Y7)/(Y7+ATM_Conf!$C$10)</f>
        <v>#DIV/0!</v>
      </c>
      <c r="AT8" s="43" t="e">
        <f>AT7+(ATM_Conf!$C$5/ATM_Conf!$C$8)*(BN8*EXP(-(1/DB8)*(Z8/CH8)^DB8)-AT7)+(ATM_Conf!$C$5/Z195)*AT7*(Nodes!BE7-AT7)-(ATM_Conf!$C$5*ATM_Conf!$C$9)/(Z195*ATM_Conf!$C$8)*(Nodes!BS7-Z7)/(Z7+ATM_Conf!$C$10)</f>
        <v>#DIV/0!</v>
      </c>
      <c r="AU8" s="43" t="e">
        <f>AU7+(ATM_Conf!$C$5/ATM_Conf!$C$8)*(BO8*EXP(-(1/DC8)*(AA8/CI8)^DC8)-AU7)+(ATM_Conf!$C$5/AA195)*AU7*(Nodes!BF7-AU7)-(ATM_Conf!$C$5*ATM_Conf!$C$9)/(AA195*ATM_Conf!$C$8)*(Nodes!BV7-AA7)/(AA7+ATM_Conf!$C$10)</f>
        <v>#DIV/0!</v>
      </c>
      <c r="AV8" s="43" t="e">
        <f>AV7+(ATM_Conf!$C$5/ATM_Conf!$C$8)*(BP8*EXP(-(1/DD8)*(AB8/CJ8)^DD8)-AV7)+(ATM_Conf!$C$5/AB195)*AV7*(AU7-AV7)-(ATM_Conf!$C$5*ATM_Conf!$C$9)/(AB195*ATM_Conf!$C$8)*(AC7-AB7)/(AB7+ATM_Conf!$C$10)</f>
        <v>#DIV/0!</v>
      </c>
      <c r="AW8" s="43" t="e">
        <f>AW7+(ATM_Conf!$C$5/ATM_Conf!$C$8)*(BQ8*EXP(-(1/DE8)*(AC8/CK8)^DE8)-AW7)+(ATM_Conf!$C$5/AC195)*AW7*(AV7-AW7)-(ATM_Conf!$C$5*ATM_Conf!$C$9)/(AC195*ATM_Conf!$C$8)*(AD7-AC7)/(AC7+ATM_Conf!$C$10)</f>
        <v>#DIV/0!</v>
      </c>
      <c r="AX8" s="43" t="e">
        <f>AX7+(ATM_Conf!$C$5/ATM_Conf!$C$8)*(BR8*EXP(-(1/DF8)*(AD8/CL8)^DF8)-AX7)+(ATM_Conf!$C$5/AD195)*AX7*(Nodes!BG7-AX7)-(ATM_Conf!$C$5*ATM_Conf!$C$9)/(AD195*ATM_Conf!$C$8)*(Nodes!BU7-AD7)/(AD7+ATM_Conf!$C$10)</f>
        <v>#DIV/0!</v>
      </c>
      <c r="AY8" s="43" t="e">
        <f>AY7+(ATM_Conf!$C$5/ATM_Conf!$C$8)*(BS8*EXP(-(1/DG8)*(AE8/CM8)^DG8)-AY7)+(ATM_Conf!$C$5/AE195)*AY7*(Nodes!BF7-AY7)</f>
        <v>#DIV/0!</v>
      </c>
      <c r="AZ8" s="43" t="e">
        <f>AZ7+(ATM_Conf!$C$5/ATM_Conf!$C$8)*(BT8*EXP(-(1/DH8)*(AF8/CN8)^DH8)-AZ7)-(ATM_Conf!$C$5*ATM_Conf!$C$9)/(AF195*ATM_Conf!$C$8)*(Nodes!BV7-AF7)/(AF7+ATM_Conf!$C$10)</f>
        <v>#DIV/0!</v>
      </c>
      <c r="BA8" s="43" t="e">
        <f>BA7+(ATM_Conf!$C$5/ATM_Conf!$C$8)*(BU8*EXP(-(1/DI8)*(AG8/CO8)^DI8)-BA7)+(ATM_Conf!$C$5/AG195)*BA7*(Nodes!BI7-BA7)-(ATM_Conf!$C$5*ATM_Conf!$C$9)/(AG195*ATM_Conf!$C$8)*(Nodes!BW7-AG7)/(AG7+ATM_Conf!$C$10)</f>
        <v>#DIV/0!</v>
      </c>
      <c r="BB8" s="43" t="e">
        <f>BB7+(ATM_Conf!$C$5/ATM_Conf!$C$8)*(BV8*EXP(-(1/DJ8)*(AH8/CP8)^DJ8)-BB7)+(ATM_Conf!$C$5/AH195)*BB7*(Nodes!BJ7-BB7)-(ATM_Conf!$C$5*ATM_Conf!$C$9)/(AH195*ATM_Conf!$C$8)*(AI7-AH7)/(AH7+ATM_Conf!$C$10)</f>
        <v>#DIV/0!</v>
      </c>
      <c r="BC8" s="43" t="e">
        <f>BC7+(ATM_Conf!$C$5/ATM_Conf!$C$8)*(BW8*EXP(-(1/DK8)*(AI8/CQ8)^DK8)-BC7)+(ATM_Conf!$C$5/AI195)*BC7*(BB7-BC7)-(ATM_Conf!$C$5*ATM_Conf!$C$9)/(AI195*ATM_Conf!$C$8)*(AJ7-AI7)/(AI7+ATM_Conf!$C$10)</f>
        <v>#DIV/0!</v>
      </c>
      <c r="BD8" s="43" t="e">
        <f>BD7+(ATM_Conf!$C$5/ATM_Conf!$C$8)*(BX8*EXP(-(1/DL8)*(AJ8/CR8)^DL8)-BD7)+(ATM_Conf!$C$5/AJ195)*BD7*(BC7-BD7)-(ATM_Conf!$C$5*ATM_Conf!$C$9)/(AJ195*ATM_Conf!$C$8)*(Nodes!BX7-AJ7)/(AJ7+ATM_Conf!$C$10)</f>
        <v>#DIV/0!</v>
      </c>
      <c r="BE8" s="43" t="e">
        <f>BE7+(ATM_Conf!$C$5/ATM_Conf!$C$8)*(BY8*EXP(-(1/DM8)*(AK8/CS8)^DM8)-BE7)+(ATM_Conf!$C$5/AK195)*BE7*(Nodes!BK7-BE7)-(ATM_Conf!$C$5*ATM_Conf!$C$9)/(AK195*ATM_Conf!$C$8)*(Nodes!BY7-AK7)/(AK7+ATM_Conf!$C$10)</f>
        <v>#DIV/0!</v>
      </c>
      <c r="BF8" s="43" t="e">
        <f>BF7+(ATM_Conf!$C$5/ATM_Conf!$C$8)*(BZ8*EXP(-(1/DN8)*(AL8/CT8)^DN8)-BF7)+(ATM_Conf!$C$5/AL195)*BF7*(BE7-BF7)-(ATM_Conf!$C$5*ATM_Conf!$C$9)/(AL195*ATM_Conf!$C$8)*(AM7-AL7)/(AL7+ATM_Conf!$C$10)</f>
        <v>#DIV/0!</v>
      </c>
      <c r="BG8" s="43" t="e">
        <f>BG7+(ATM_Conf!$C$5/ATM_Conf!$C$8)*(CA8*EXP(-(1/DO8)*(AM8/CU8)^DO8)-BG7)+(ATM_Conf!$C$5/AM195)*BG7*(Nodes!BM7-BG7)-(ATM_Conf!$C$5*ATM_Conf!$C$9)/(AM195*ATM_Conf!$C$8)*(Nodes!CA7-AM7)/(AM7+ATM_Conf!$C$10)</f>
        <v>#DIV/0!</v>
      </c>
      <c r="BH8" s="43" t="e">
        <f>BH7+(ATM_Conf!$C$5/ATM_Conf!$C$8)*(CB8*EXP(-(1/DP8)*(AN8/CV8)^DP8)-BH7)+(ATM_Conf!$C$5/AN195)*BH7*(BG7-BH7)-(ATM_Conf!$C$5*ATM_Conf!$C$9)/(AN195*ATM_Conf!$C$8)*(AO7-AN7)/(AN7+ATM_Conf!$C$10)</f>
        <v>#DIV/0!</v>
      </c>
      <c r="BI8" s="43" t="e">
        <f>BI7+(ATM_Conf!$C$5/ATM_Conf!$C$8)*(CC8*EXP(-(1/DQ8)*(AO8/CW8)^DQ8)-BI7)+(ATM_Conf!$C$5/AO195)*BI7*(BH7-BI7)</f>
        <v>#DIV/0!</v>
      </c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  <c r="CW8" s="43"/>
      <c r="CX8" s="53"/>
      <c r="CY8" s="53"/>
      <c r="CZ8" s="53"/>
      <c r="DA8" s="53"/>
      <c r="DB8" s="53"/>
      <c r="DC8" s="53"/>
      <c r="DD8" s="53"/>
      <c r="DE8" s="53"/>
      <c r="DF8" s="53"/>
      <c r="DG8" s="53"/>
      <c r="DH8" s="53"/>
      <c r="DI8" s="53"/>
      <c r="DJ8" s="53"/>
      <c r="DK8" s="53"/>
      <c r="DL8" s="53"/>
      <c r="DM8" s="53"/>
      <c r="DN8" s="53"/>
      <c r="DO8" s="53"/>
      <c r="DP8" s="53"/>
      <c r="DQ8" s="53"/>
      <c r="DR8" s="43">
        <f t="shared" si="23"/>
        <v>0</v>
      </c>
      <c r="DS8" s="43">
        <f t="shared" si="22"/>
        <v>0</v>
      </c>
      <c r="DT8" s="43">
        <f t="shared" si="22"/>
        <v>0</v>
      </c>
      <c r="DU8" s="43">
        <f t="shared" si="22"/>
        <v>0</v>
      </c>
      <c r="DV8" s="43">
        <f t="shared" si="22"/>
        <v>0</v>
      </c>
      <c r="DW8" s="43">
        <f t="shared" si="22"/>
        <v>0</v>
      </c>
      <c r="DX8" s="43">
        <f t="shared" si="22"/>
        <v>0</v>
      </c>
      <c r="DY8" s="43">
        <f t="shared" si="22"/>
        <v>0</v>
      </c>
      <c r="DZ8" s="43">
        <f t="shared" si="22"/>
        <v>0</v>
      </c>
      <c r="EA8" s="43">
        <f t="shared" si="22"/>
        <v>0</v>
      </c>
      <c r="EB8" s="43">
        <f t="shared" si="22"/>
        <v>0</v>
      </c>
      <c r="EC8" s="43">
        <f t="shared" si="22"/>
        <v>0</v>
      </c>
      <c r="ED8" s="43">
        <f t="shared" si="22"/>
        <v>0</v>
      </c>
      <c r="EE8" s="43">
        <f t="shared" si="22"/>
        <v>0</v>
      </c>
      <c r="EF8" s="43">
        <f t="shared" si="22"/>
        <v>0</v>
      </c>
      <c r="EG8" s="43">
        <f t="shared" si="22"/>
        <v>0</v>
      </c>
      <c r="EH8" s="43">
        <f t="shared" si="22"/>
        <v>0</v>
      </c>
      <c r="EI8" s="43">
        <f t="shared" si="22"/>
        <v>0</v>
      </c>
      <c r="EJ8" s="43">
        <f t="shared" si="22"/>
        <v>0</v>
      </c>
      <c r="EK8" s="43">
        <f t="shared" si="22"/>
        <v>0</v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47"/>
      <c r="FC8" s="47"/>
      <c r="FD8" s="47"/>
      <c r="FE8" s="47"/>
    </row>
    <row r="9" spans="1:161" ht="14.25" x14ac:dyDescent="0.15">
      <c r="A9" s="46"/>
      <c r="B9" s="43" t="e">
        <f t="shared" si="2"/>
        <v>#DIV/0!</v>
      </c>
      <c r="C9" s="43" t="e">
        <f t="shared" si="3"/>
        <v>#DIV/0!</v>
      </c>
      <c r="D9" s="43" t="e">
        <f t="shared" si="4"/>
        <v>#DIV/0!</v>
      </c>
      <c r="E9" s="43" t="e">
        <f t="shared" si="5"/>
        <v>#DIV/0!</v>
      </c>
      <c r="F9" s="43" t="e">
        <f t="shared" si="6"/>
        <v>#DIV/0!</v>
      </c>
      <c r="G9" s="43" t="e">
        <f t="shared" si="7"/>
        <v>#DIV/0!</v>
      </c>
      <c r="H9" s="43" t="e">
        <f t="shared" si="8"/>
        <v>#DIV/0!</v>
      </c>
      <c r="I9" s="43" t="e">
        <f t="shared" si="9"/>
        <v>#DIV/0!</v>
      </c>
      <c r="J9" s="43" t="e">
        <f t="shared" si="10"/>
        <v>#DIV/0!</v>
      </c>
      <c r="K9" s="43" t="e">
        <f t="shared" si="11"/>
        <v>#DIV/0!</v>
      </c>
      <c r="L9" s="43" t="e">
        <f t="shared" si="12"/>
        <v>#DIV/0!</v>
      </c>
      <c r="M9" s="43" t="e">
        <f t="shared" si="13"/>
        <v>#DIV/0!</v>
      </c>
      <c r="N9" s="43" t="e">
        <f t="shared" si="14"/>
        <v>#DIV/0!</v>
      </c>
      <c r="O9" s="43" t="e">
        <f t="shared" si="15"/>
        <v>#DIV/0!</v>
      </c>
      <c r="P9" s="43" t="e">
        <f t="shared" si="16"/>
        <v>#DIV/0!</v>
      </c>
      <c r="Q9" s="43" t="e">
        <f t="shared" si="17"/>
        <v>#DIV/0!</v>
      </c>
      <c r="R9" s="43" t="e">
        <f t="shared" si="18"/>
        <v>#DIV/0!</v>
      </c>
      <c r="S9" s="43" t="e">
        <f t="shared" si="19"/>
        <v>#DIV/0!</v>
      </c>
      <c r="T9" s="43" t="e">
        <f t="shared" si="20"/>
        <v>#DIV/0!</v>
      </c>
      <c r="U9" s="43" t="e">
        <f t="shared" si="21"/>
        <v>#DIV/0!</v>
      </c>
      <c r="V9" s="53" t="e">
        <f>V8+ATM_Conf!$C$5*(B8)/(B196*V196)</f>
        <v>#DIV/0!</v>
      </c>
      <c r="W9" s="53" t="e">
        <f>W8+ATM_Conf!$C$5*(C8-B8)/(C196*W196)</f>
        <v>#DIV/0!</v>
      </c>
      <c r="X9" s="53" t="e">
        <f>X8+ATM_Conf!$C$5*(D8-C8)/(D196*X196)</f>
        <v>#DIV/0!</v>
      </c>
      <c r="Y9" s="53" t="e">
        <f>Y8+ATM_Conf!$C$5*(E8-D8)/(E196*Y196)</f>
        <v>#DIV/0!</v>
      </c>
      <c r="Z9" s="53" t="e">
        <f>Z8+ATM_Conf!$C$5*(F8-E8)/(F196*Z196)</f>
        <v>#DIV/0!</v>
      </c>
      <c r="AA9" s="53" t="e">
        <f>AA8+ATM_Conf!$C$5*(G8-F8)/(G196*AA196)</f>
        <v>#DIV/0!</v>
      </c>
      <c r="AB9" s="53" t="e">
        <f>AB8+ATM_Conf!$C$5*(H8-G8)/(H196*AB196)</f>
        <v>#DIV/0!</v>
      </c>
      <c r="AC9" s="53" t="e">
        <f>AC8+ATM_Conf!$C$5*(I8-H8)/(I196*AC196)</f>
        <v>#DIV/0!</v>
      </c>
      <c r="AD9" s="53" t="e">
        <f>AD8+ATM_Conf!$C$5*(J8-I8)/(J196*AD196)</f>
        <v>#DIV/0!</v>
      </c>
      <c r="AE9" s="53" t="e">
        <f>AE8+ATM_Conf!$C$5*(K8-J8)/(K196*AE196)</f>
        <v>#DIV/0!</v>
      </c>
      <c r="AF9" s="53" t="e">
        <f>AF8+ATM_Conf!$C$5*(L8)/(L196*AF196)</f>
        <v>#DIV/0!</v>
      </c>
      <c r="AG9" s="53" t="e">
        <f>AG8+ATM_Conf!$C$5*(M8-L8)/(M196*AG196)</f>
        <v>#DIV/0!</v>
      </c>
      <c r="AH9" s="53" t="e">
        <f>AH8+ATM_Conf!$C$5*(N8-M8)/(N196*AH196)</f>
        <v>#DIV/0!</v>
      </c>
      <c r="AI9" s="53" t="e">
        <f>AI8+ATM_Conf!$C$5*(O8-N8)/(O196*AI196)</f>
        <v>#DIV/0!</v>
      </c>
      <c r="AJ9" s="53" t="e">
        <f>AJ8+ATM_Conf!$C$5*(P8-O8)/(P196*AJ196)</f>
        <v>#DIV/0!</v>
      </c>
      <c r="AK9" s="53" t="e">
        <f>AK8+ATM_Conf!$C$5*(Q8-P8)/(Q196*AK196)</f>
        <v>#DIV/0!</v>
      </c>
      <c r="AL9" s="53" t="e">
        <f>AL8+ATM_Conf!$C$5*(R8-Q8)/(R196*AL196)</f>
        <v>#DIV/0!</v>
      </c>
      <c r="AM9" s="53" t="e">
        <f>AM8+ATM_Conf!$C$5*(S8-R8)/(S196*AM196)</f>
        <v>#DIV/0!</v>
      </c>
      <c r="AN9" s="53" t="e">
        <f>AN8+ATM_Conf!$C$5*(T8-S8)/(T196*AN196)</f>
        <v>#DIV/0!</v>
      </c>
      <c r="AO9" s="53" t="e">
        <f>AO8+ATM_Conf!$C$5*(U8-T8)/(U196*AO196)</f>
        <v>#DIV/0!</v>
      </c>
      <c r="AP9" s="43" t="e">
        <f>AP8+(ATM_Conf!$C$5/ATM_Conf!$C$8)*(BJ9*EXP(-(1/CX9)*(V9/CD9)^CX9)-AP8)-(ATM_Conf!$C$5*ATM_Conf!$C$9)/(V196*ATM_Conf!$C$8)*(Nodes!BO8-V8)/(V8+ATM_Conf!$C$10)</f>
        <v>#DIV/0!</v>
      </c>
      <c r="AQ9" s="43" t="e">
        <f>AQ8+(ATM_Conf!$C$5/ATM_Conf!$C$8)*(BK9*EXP(-(1/CY9)*(W9/CE9)^CY9)-AQ8)+(ATM_Conf!$C$5/W196)*AQ8*(AP8-AQ8)-(ATM_Conf!$C$5*ATM_Conf!$C$9)/(W196*ATM_Conf!$C$8)*(X8-W8)/(W8+ATM_Conf!$C$10)</f>
        <v>#DIV/0!</v>
      </c>
      <c r="AR9" s="43" t="e">
        <f>AR8+(ATM_Conf!$C$5/ATM_Conf!$C$8)*(BL9*EXP(-(1/CZ9)*(X9/CF9)^CZ9)-AR8)+(ATM_Conf!$C$5/X196)*AR8*(Nodes!BC8-AR8)-(ATM_Conf!$C$5*ATM_Conf!$C$9)/(X196*ATM_Conf!$C$8)*(Nodes!BQ8-X8)/(X8+ATM_Conf!$C$10)</f>
        <v>#DIV/0!</v>
      </c>
      <c r="AS9" s="43" t="e">
        <f>AS8+(ATM_Conf!$C$5/ATM_Conf!$C$8)*(BM9*EXP(-(1/DA9)*(Y9/CG9)^DA9)-AS8)+(ATM_Conf!$C$5/Y196)*AS8*(AR8-AS8)-(ATM_Conf!$C$5*ATM_Conf!$C$9)/(Y196*ATM_Conf!$C$8)*(Z8-Y8)/(Y8+ATM_Conf!$C$10)</f>
        <v>#DIV/0!</v>
      </c>
      <c r="AT9" s="43" t="e">
        <f>AT8+(ATM_Conf!$C$5/ATM_Conf!$C$8)*(BN9*EXP(-(1/DB9)*(Z9/CH9)^DB9)-AT8)+(ATM_Conf!$C$5/Z196)*AT8*(Nodes!BE8-AT8)-(ATM_Conf!$C$5*ATM_Conf!$C$9)/(Z196*ATM_Conf!$C$8)*(Nodes!BS8-Z8)/(Z8+ATM_Conf!$C$10)</f>
        <v>#DIV/0!</v>
      </c>
      <c r="AU9" s="43" t="e">
        <f>AU8+(ATM_Conf!$C$5/ATM_Conf!$C$8)*(BO9*EXP(-(1/DC9)*(AA9/CI9)^DC9)-AU8)+(ATM_Conf!$C$5/AA196)*AU8*(Nodes!BF8-AU8)-(ATM_Conf!$C$5*ATM_Conf!$C$9)/(AA196*ATM_Conf!$C$8)*(Nodes!BV8-AA8)/(AA8+ATM_Conf!$C$10)</f>
        <v>#DIV/0!</v>
      </c>
      <c r="AV9" s="43" t="e">
        <f>AV8+(ATM_Conf!$C$5/ATM_Conf!$C$8)*(BP9*EXP(-(1/DD9)*(AB9/CJ9)^DD9)-AV8)+(ATM_Conf!$C$5/AB196)*AV8*(AU8-AV8)-(ATM_Conf!$C$5*ATM_Conf!$C$9)/(AB196*ATM_Conf!$C$8)*(AC8-AB8)/(AB8+ATM_Conf!$C$10)</f>
        <v>#DIV/0!</v>
      </c>
      <c r="AW9" s="43" t="e">
        <f>AW8+(ATM_Conf!$C$5/ATM_Conf!$C$8)*(BQ9*EXP(-(1/DE9)*(AC9/CK9)^DE9)-AW8)+(ATM_Conf!$C$5/AC196)*AW8*(AV8-AW8)-(ATM_Conf!$C$5*ATM_Conf!$C$9)/(AC196*ATM_Conf!$C$8)*(AD8-AC8)/(AC8+ATM_Conf!$C$10)</f>
        <v>#DIV/0!</v>
      </c>
      <c r="AX9" s="43" t="e">
        <f>AX8+(ATM_Conf!$C$5/ATM_Conf!$C$8)*(BR9*EXP(-(1/DF9)*(AD9/CL9)^DF9)-AX8)+(ATM_Conf!$C$5/AD196)*AX8*(Nodes!BG8-AX8)-(ATM_Conf!$C$5*ATM_Conf!$C$9)/(AD196*ATM_Conf!$C$8)*(Nodes!BU8-AD8)/(AD8+ATM_Conf!$C$10)</f>
        <v>#DIV/0!</v>
      </c>
      <c r="AY9" s="43" t="e">
        <f>AY8+(ATM_Conf!$C$5/ATM_Conf!$C$8)*(BS9*EXP(-(1/DG9)*(AE9/CM9)^DG9)-AY8)+(ATM_Conf!$C$5/AE196)*AY8*(Nodes!BF8-AY8)</f>
        <v>#DIV/0!</v>
      </c>
      <c r="AZ9" s="43" t="e">
        <f>AZ8+(ATM_Conf!$C$5/ATM_Conf!$C$8)*(BT9*EXP(-(1/DH9)*(AF9/CN9)^DH9)-AZ8)-(ATM_Conf!$C$5*ATM_Conf!$C$9)/(AF196*ATM_Conf!$C$8)*(Nodes!BV8-AF8)/(AF8+ATM_Conf!$C$10)</f>
        <v>#DIV/0!</v>
      </c>
      <c r="BA9" s="43" t="e">
        <f>BA8+(ATM_Conf!$C$5/ATM_Conf!$C$8)*(BU9*EXP(-(1/DI9)*(AG9/CO9)^DI9)-BA8)+(ATM_Conf!$C$5/AG196)*BA8*(Nodes!BI8-BA8)-(ATM_Conf!$C$5*ATM_Conf!$C$9)/(AG196*ATM_Conf!$C$8)*(Nodes!BW8-AG8)/(AG8+ATM_Conf!$C$10)</f>
        <v>#DIV/0!</v>
      </c>
      <c r="BB9" s="43" t="e">
        <f>BB8+(ATM_Conf!$C$5/ATM_Conf!$C$8)*(BV9*EXP(-(1/DJ9)*(AH9/CP9)^DJ9)-BB8)+(ATM_Conf!$C$5/AH196)*BB8*(Nodes!BJ8-BB8)-(ATM_Conf!$C$5*ATM_Conf!$C$9)/(AH196*ATM_Conf!$C$8)*(AI8-AH8)/(AH8+ATM_Conf!$C$10)</f>
        <v>#DIV/0!</v>
      </c>
      <c r="BC9" s="43" t="e">
        <f>BC8+(ATM_Conf!$C$5/ATM_Conf!$C$8)*(BW9*EXP(-(1/DK9)*(AI9/CQ9)^DK9)-BC8)+(ATM_Conf!$C$5/AI196)*BC8*(BB8-BC8)-(ATM_Conf!$C$5*ATM_Conf!$C$9)/(AI196*ATM_Conf!$C$8)*(AJ8-AI8)/(AI8+ATM_Conf!$C$10)</f>
        <v>#DIV/0!</v>
      </c>
      <c r="BD9" s="43" t="e">
        <f>BD8+(ATM_Conf!$C$5/ATM_Conf!$C$8)*(BX9*EXP(-(1/DL9)*(AJ9/CR9)^DL9)-BD8)+(ATM_Conf!$C$5/AJ196)*BD8*(BC8-BD8)-(ATM_Conf!$C$5*ATM_Conf!$C$9)/(AJ196*ATM_Conf!$C$8)*(Nodes!BX8-AJ8)/(AJ8+ATM_Conf!$C$10)</f>
        <v>#DIV/0!</v>
      </c>
      <c r="BE9" s="43" t="e">
        <f>BE8+(ATM_Conf!$C$5/ATM_Conf!$C$8)*(BY9*EXP(-(1/DM9)*(AK9/CS9)^DM9)-BE8)+(ATM_Conf!$C$5/AK196)*BE8*(Nodes!BK8-BE8)-(ATM_Conf!$C$5*ATM_Conf!$C$9)/(AK196*ATM_Conf!$C$8)*(Nodes!BY8-AK8)/(AK8+ATM_Conf!$C$10)</f>
        <v>#DIV/0!</v>
      </c>
      <c r="BF9" s="43" t="e">
        <f>BF8+(ATM_Conf!$C$5/ATM_Conf!$C$8)*(BZ9*EXP(-(1/DN9)*(AL9/CT9)^DN9)-BF8)+(ATM_Conf!$C$5/AL196)*BF8*(BE8-BF8)-(ATM_Conf!$C$5*ATM_Conf!$C$9)/(AL196*ATM_Conf!$C$8)*(AM8-AL8)/(AL8+ATM_Conf!$C$10)</f>
        <v>#DIV/0!</v>
      </c>
      <c r="BG9" s="43" t="e">
        <f>BG8+(ATM_Conf!$C$5/ATM_Conf!$C$8)*(CA9*EXP(-(1/DO9)*(AM9/CU9)^DO9)-BG8)+(ATM_Conf!$C$5/AM196)*BG8*(Nodes!BM8-BG8)-(ATM_Conf!$C$5*ATM_Conf!$C$9)/(AM196*ATM_Conf!$C$8)*(Nodes!CA8-AM8)/(AM8+ATM_Conf!$C$10)</f>
        <v>#DIV/0!</v>
      </c>
      <c r="BH9" s="43" t="e">
        <f>BH8+(ATM_Conf!$C$5/ATM_Conf!$C$8)*(CB9*EXP(-(1/DP9)*(AN9/CV9)^DP9)-BH8)+(ATM_Conf!$C$5/AN196)*BH8*(BG8-BH8)-(ATM_Conf!$C$5*ATM_Conf!$C$9)/(AN196*ATM_Conf!$C$8)*(AO8-AN8)/(AN8+ATM_Conf!$C$10)</f>
        <v>#DIV/0!</v>
      </c>
      <c r="BI9" s="43" t="e">
        <f>BI8+(ATM_Conf!$C$5/ATM_Conf!$C$8)*(CC9*EXP(-(1/DQ9)*(AO9/CW9)^DQ9)-BI8)+(ATM_Conf!$C$5/AO196)*BI8*(BH8-BI8)</f>
        <v>#DIV/0!</v>
      </c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53"/>
      <c r="CY9" s="53"/>
      <c r="CZ9" s="53"/>
      <c r="DA9" s="53"/>
      <c r="DB9" s="53"/>
      <c r="DC9" s="53"/>
      <c r="DD9" s="53"/>
      <c r="DE9" s="53"/>
      <c r="DF9" s="53"/>
      <c r="DG9" s="53"/>
      <c r="DH9" s="53"/>
      <c r="DI9" s="53"/>
      <c r="DJ9" s="53"/>
      <c r="DK9" s="53"/>
      <c r="DL9" s="53"/>
      <c r="DM9" s="53"/>
      <c r="DN9" s="53"/>
      <c r="DO9" s="53"/>
      <c r="DP9" s="53"/>
      <c r="DQ9" s="53"/>
      <c r="DR9" s="43">
        <f t="shared" si="23"/>
        <v>0</v>
      </c>
      <c r="DS9" s="43">
        <f t="shared" si="22"/>
        <v>0</v>
      </c>
      <c r="DT9" s="43">
        <f t="shared" si="22"/>
        <v>0</v>
      </c>
      <c r="DU9" s="43">
        <f t="shared" si="22"/>
        <v>0</v>
      </c>
      <c r="DV9" s="43">
        <f t="shared" si="22"/>
        <v>0</v>
      </c>
      <c r="DW9" s="43">
        <f t="shared" si="22"/>
        <v>0</v>
      </c>
      <c r="DX9" s="43">
        <f t="shared" si="22"/>
        <v>0</v>
      </c>
      <c r="DY9" s="43">
        <f t="shared" si="22"/>
        <v>0</v>
      </c>
      <c r="DZ9" s="43">
        <f t="shared" si="22"/>
        <v>0</v>
      </c>
      <c r="EA9" s="43">
        <f t="shared" si="22"/>
        <v>0</v>
      </c>
      <c r="EB9" s="43">
        <f t="shared" si="22"/>
        <v>0</v>
      </c>
      <c r="EC9" s="43">
        <f t="shared" si="22"/>
        <v>0</v>
      </c>
      <c r="ED9" s="43">
        <f t="shared" si="22"/>
        <v>0</v>
      </c>
      <c r="EE9" s="43">
        <f t="shared" si="22"/>
        <v>0</v>
      </c>
      <c r="EF9" s="43">
        <f t="shared" si="22"/>
        <v>0</v>
      </c>
      <c r="EG9" s="43">
        <f t="shared" si="22"/>
        <v>0</v>
      </c>
      <c r="EH9" s="43">
        <f t="shared" si="22"/>
        <v>0</v>
      </c>
      <c r="EI9" s="43">
        <f t="shared" si="22"/>
        <v>0</v>
      </c>
      <c r="EJ9" s="43">
        <f t="shared" si="22"/>
        <v>0</v>
      </c>
      <c r="EK9" s="43">
        <f t="shared" si="22"/>
        <v>0</v>
      </c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47"/>
      <c r="EZ9" s="47"/>
      <c r="FA9" s="47"/>
      <c r="FB9" s="47"/>
      <c r="FC9" s="47"/>
      <c r="FD9" s="47"/>
      <c r="FE9" s="47"/>
    </row>
    <row r="10" spans="1:161" ht="14.25" x14ac:dyDescent="0.15">
      <c r="A10" s="46"/>
      <c r="B10" s="43" t="e">
        <f t="shared" si="2"/>
        <v>#DIV/0!</v>
      </c>
      <c r="C10" s="43" t="e">
        <f t="shared" si="3"/>
        <v>#DIV/0!</v>
      </c>
      <c r="D10" s="43" t="e">
        <f t="shared" si="4"/>
        <v>#DIV/0!</v>
      </c>
      <c r="E10" s="43" t="e">
        <f t="shared" si="5"/>
        <v>#DIV/0!</v>
      </c>
      <c r="F10" s="43" t="e">
        <f t="shared" si="6"/>
        <v>#DIV/0!</v>
      </c>
      <c r="G10" s="43" t="e">
        <f t="shared" si="7"/>
        <v>#DIV/0!</v>
      </c>
      <c r="H10" s="43" t="e">
        <f t="shared" si="8"/>
        <v>#DIV/0!</v>
      </c>
      <c r="I10" s="43" t="e">
        <f t="shared" si="9"/>
        <v>#DIV/0!</v>
      </c>
      <c r="J10" s="43" t="e">
        <f t="shared" si="10"/>
        <v>#DIV/0!</v>
      </c>
      <c r="K10" s="43" t="e">
        <f t="shared" si="11"/>
        <v>#DIV/0!</v>
      </c>
      <c r="L10" s="43" t="e">
        <f t="shared" si="12"/>
        <v>#DIV/0!</v>
      </c>
      <c r="M10" s="43" t="e">
        <f t="shared" si="13"/>
        <v>#DIV/0!</v>
      </c>
      <c r="N10" s="43" t="e">
        <f t="shared" si="14"/>
        <v>#DIV/0!</v>
      </c>
      <c r="O10" s="43" t="e">
        <f t="shared" si="15"/>
        <v>#DIV/0!</v>
      </c>
      <c r="P10" s="43" t="e">
        <f t="shared" si="16"/>
        <v>#DIV/0!</v>
      </c>
      <c r="Q10" s="43" t="e">
        <f t="shared" si="17"/>
        <v>#DIV/0!</v>
      </c>
      <c r="R10" s="43" t="e">
        <f t="shared" si="18"/>
        <v>#DIV/0!</v>
      </c>
      <c r="S10" s="43" t="e">
        <f t="shared" si="19"/>
        <v>#DIV/0!</v>
      </c>
      <c r="T10" s="43" t="e">
        <f t="shared" si="20"/>
        <v>#DIV/0!</v>
      </c>
      <c r="U10" s="43" t="e">
        <f t="shared" si="21"/>
        <v>#DIV/0!</v>
      </c>
      <c r="V10" s="53" t="e">
        <f>V9+ATM_Conf!$C$5*(B9)/(B197*V197)</f>
        <v>#DIV/0!</v>
      </c>
      <c r="W10" s="53" t="e">
        <f>W9+ATM_Conf!$C$5*(C9-B9)/(C197*W197)</f>
        <v>#DIV/0!</v>
      </c>
      <c r="X10" s="53" t="e">
        <f>X9+ATM_Conf!$C$5*(D9-C9)/(D197*X197)</f>
        <v>#DIV/0!</v>
      </c>
      <c r="Y10" s="53" t="e">
        <f>Y9+ATM_Conf!$C$5*(E9-D9)/(E197*Y197)</f>
        <v>#DIV/0!</v>
      </c>
      <c r="Z10" s="53" t="e">
        <f>Z9+ATM_Conf!$C$5*(F9-E9)/(F197*Z197)</f>
        <v>#DIV/0!</v>
      </c>
      <c r="AA10" s="53" t="e">
        <f>AA9+ATM_Conf!$C$5*(G9-F9)/(G197*AA197)</f>
        <v>#DIV/0!</v>
      </c>
      <c r="AB10" s="53" t="e">
        <f>AB9+ATM_Conf!$C$5*(H9-G9)/(H197*AB197)</f>
        <v>#DIV/0!</v>
      </c>
      <c r="AC10" s="53" t="e">
        <f>AC9+ATM_Conf!$C$5*(I9-H9)/(I197*AC197)</f>
        <v>#DIV/0!</v>
      </c>
      <c r="AD10" s="53" t="e">
        <f>AD9+ATM_Conf!$C$5*(J9-I9)/(J197*AD197)</f>
        <v>#DIV/0!</v>
      </c>
      <c r="AE10" s="53" t="e">
        <f>AE9+ATM_Conf!$C$5*(K9-J9)/(K197*AE197)</f>
        <v>#DIV/0!</v>
      </c>
      <c r="AF10" s="53" t="e">
        <f>AF9+ATM_Conf!$C$5*(L9)/(L197*AF197)</f>
        <v>#DIV/0!</v>
      </c>
      <c r="AG10" s="53" t="e">
        <f>AG9+ATM_Conf!$C$5*(M9-L9)/(M197*AG197)</f>
        <v>#DIV/0!</v>
      </c>
      <c r="AH10" s="53" t="e">
        <f>AH9+ATM_Conf!$C$5*(N9-M9)/(N197*AH197)</f>
        <v>#DIV/0!</v>
      </c>
      <c r="AI10" s="53" t="e">
        <f>AI9+ATM_Conf!$C$5*(O9-N9)/(O197*AI197)</f>
        <v>#DIV/0!</v>
      </c>
      <c r="AJ10" s="53" t="e">
        <f>AJ9+ATM_Conf!$C$5*(P9-O9)/(P197*AJ197)</f>
        <v>#DIV/0!</v>
      </c>
      <c r="AK10" s="53" t="e">
        <f>AK9+ATM_Conf!$C$5*(Q9-P9)/(Q197*AK197)</f>
        <v>#DIV/0!</v>
      </c>
      <c r="AL10" s="53" t="e">
        <f>AL9+ATM_Conf!$C$5*(R9-Q9)/(R197*AL197)</f>
        <v>#DIV/0!</v>
      </c>
      <c r="AM10" s="53" t="e">
        <f>AM9+ATM_Conf!$C$5*(S9-R9)/(S197*AM197)</f>
        <v>#DIV/0!</v>
      </c>
      <c r="AN10" s="53" t="e">
        <f>AN9+ATM_Conf!$C$5*(T9-S9)/(T197*AN197)</f>
        <v>#DIV/0!</v>
      </c>
      <c r="AO10" s="53" t="e">
        <f>AO9+ATM_Conf!$C$5*(U9-T9)/(U197*AO197)</f>
        <v>#DIV/0!</v>
      </c>
      <c r="AP10" s="43" t="e">
        <f>AP9+(ATM_Conf!$C$5/ATM_Conf!$C$8)*(BJ10*EXP(-(1/CX10)*(V10/CD10)^CX10)-AP9)-(ATM_Conf!$C$5*ATM_Conf!$C$9)/(V197*ATM_Conf!$C$8)*(Nodes!BO9-V9)/(V9+ATM_Conf!$C$10)</f>
        <v>#DIV/0!</v>
      </c>
      <c r="AQ10" s="43" t="e">
        <f>AQ9+(ATM_Conf!$C$5/ATM_Conf!$C$8)*(BK10*EXP(-(1/CY10)*(W10/CE10)^CY10)-AQ9)+(ATM_Conf!$C$5/W197)*AQ9*(AP9-AQ9)-(ATM_Conf!$C$5*ATM_Conf!$C$9)/(W197*ATM_Conf!$C$8)*(X9-W9)/(W9+ATM_Conf!$C$10)</f>
        <v>#DIV/0!</v>
      </c>
      <c r="AR10" s="43" t="e">
        <f>AR9+(ATM_Conf!$C$5/ATM_Conf!$C$8)*(BL10*EXP(-(1/CZ10)*(X10/CF10)^CZ10)-AR9)+(ATM_Conf!$C$5/X197)*AR9*(Nodes!BC9-AR9)-(ATM_Conf!$C$5*ATM_Conf!$C$9)/(X197*ATM_Conf!$C$8)*(Nodes!BQ9-X9)/(X9+ATM_Conf!$C$10)</f>
        <v>#DIV/0!</v>
      </c>
      <c r="AS10" s="43" t="e">
        <f>AS9+(ATM_Conf!$C$5/ATM_Conf!$C$8)*(BM10*EXP(-(1/DA10)*(Y10/CG10)^DA10)-AS9)+(ATM_Conf!$C$5/Y197)*AS9*(AR9-AS9)-(ATM_Conf!$C$5*ATM_Conf!$C$9)/(Y197*ATM_Conf!$C$8)*(Z9-Y9)/(Y9+ATM_Conf!$C$10)</f>
        <v>#DIV/0!</v>
      </c>
      <c r="AT10" s="43" t="e">
        <f>AT9+(ATM_Conf!$C$5/ATM_Conf!$C$8)*(BN10*EXP(-(1/DB10)*(Z10/CH10)^DB10)-AT9)+(ATM_Conf!$C$5/Z197)*AT9*(Nodes!BE9-AT9)-(ATM_Conf!$C$5*ATM_Conf!$C$9)/(Z197*ATM_Conf!$C$8)*(Nodes!BS9-Z9)/(Z9+ATM_Conf!$C$10)</f>
        <v>#DIV/0!</v>
      </c>
      <c r="AU10" s="43" t="e">
        <f>AU9+(ATM_Conf!$C$5/ATM_Conf!$C$8)*(BO10*EXP(-(1/DC10)*(AA10/CI10)^DC10)-AU9)+(ATM_Conf!$C$5/AA197)*AU9*(Nodes!BF9-AU9)-(ATM_Conf!$C$5*ATM_Conf!$C$9)/(AA197*ATM_Conf!$C$8)*(Nodes!BV9-AA9)/(AA9+ATM_Conf!$C$10)</f>
        <v>#DIV/0!</v>
      </c>
      <c r="AV10" s="43" t="e">
        <f>AV9+(ATM_Conf!$C$5/ATM_Conf!$C$8)*(BP10*EXP(-(1/DD10)*(AB10/CJ10)^DD10)-AV9)+(ATM_Conf!$C$5/AB197)*AV9*(AU9-AV9)-(ATM_Conf!$C$5*ATM_Conf!$C$9)/(AB197*ATM_Conf!$C$8)*(AC9-AB9)/(AB9+ATM_Conf!$C$10)</f>
        <v>#DIV/0!</v>
      </c>
      <c r="AW10" s="43" t="e">
        <f>AW9+(ATM_Conf!$C$5/ATM_Conf!$C$8)*(BQ10*EXP(-(1/DE10)*(AC10/CK10)^DE10)-AW9)+(ATM_Conf!$C$5/AC197)*AW9*(AV9-AW9)-(ATM_Conf!$C$5*ATM_Conf!$C$9)/(AC197*ATM_Conf!$C$8)*(AD9-AC9)/(AC9+ATM_Conf!$C$10)</f>
        <v>#DIV/0!</v>
      </c>
      <c r="AX10" s="43" t="e">
        <f>AX9+(ATM_Conf!$C$5/ATM_Conf!$C$8)*(BR10*EXP(-(1/DF10)*(AD10/CL10)^DF10)-AX9)+(ATM_Conf!$C$5/AD197)*AX9*(Nodes!BG9-AX9)-(ATM_Conf!$C$5*ATM_Conf!$C$9)/(AD197*ATM_Conf!$C$8)*(Nodes!BU9-AD9)/(AD9+ATM_Conf!$C$10)</f>
        <v>#DIV/0!</v>
      </c>
      <c r="AY10" s="43" t="e">
        <f>AY9+(ATM_Conf!$C$5/ATM_Conf!$C$8)*(BS10*EXP(-(1/DG10)*(AE10/CM10)^DG10)-AY9)+(ATM_Conf!$C$5/AE197)*AY9*(Nodes!BF9-AY9)</f>
        <v>#DIV/0!</v>
      </c>
      <c r="AZ10" s="43" t="e">
        <f>AZ9+(ATM_Conf!$C$5/ATM_Conf!$C$8)*(BT10*EXP(-(1/DH10)*(AF10/CN10)^DH10)-AZ9)-(ATM_Conf!$C$5*ATM_Conf!$C$9)/(AF197*ATM_Conf!$C$8)*(Nodes!BV9-AF9)/(AF9+ATM_Conf!$C$10)</f>
        <v>#DIV/0!</v>
      </c>
      <c r="BA10" s="43" t="e">
        <f>BA9+(ATM_Conf!$C$5/ATM_Conf!$C$8)*(BU10*EXP(-(1/DI10)*(AG10/CO10)^DI10)-BA9)+(ATM_Conf!$C$5/AG197)*BA9*(Nodes!BI9-BA9)-(ATM_Conf!$C$5*ATM_Conf!$C$9)/(AG197*ATM_Conf!$C$8)*(Nodes!BW9-AG9)/(AG9+ATM_Conf!$C$10)</f>
        <v>#DIV/0!</v>
      </c>
      <c r="BB10" s="43" t="e">
        <f>BB9+(ATM_Conf!$C$5/ATM_Conf!$C$8)*(BV10*EXP(-(1/DJ10)*(AH10/CP10)^DJ10)-BB9)+(ATM_Conf!$C$5/AH197)*BB9*(Nodes!BJ9-BB9)-(ATM_Conf!$C$5*ATM_Conf!$C$9)/(AH197*ATM_Conf!$C$8)*(AI9-AH9)/(AH9+ATM_Conf!$C$10)</f>
        <v>#DIV/0!</v>
      </c>
      <c r="BC10" s="43" t="e">
        <f>BC9+(ATM_Conf!$C$5/ATM_Conf!$C$8)*(BW10*EXP(-(1/DK10)*(AI10/CQ10)^DK10)-BC9)+(ATM_Conf!$C$5/AI197)*BC9*(BB9-BC9)-(ATM_Conf!$C$5*ATM_Conf!$C$9)/(AI197*ATM_Conf!$C$8)*(AJ9-AI9)/(AI9+ATM_Conf!$C$10)</f>
        <v>#DIV/0!</v>
      </c>
      <c r="BD10" s="43" t="e">
        <f>BD9+(ATM_Conf!$C$5/ATM_Conf!$C$8)*(BX10*EXP(-(1/DL10)*(AJ10/CR10)^DL10)-BD9)+(ATM_Conf!$C$5/AJ197)*BD9*(BC9-BD9)-(ATM_Conf!$C$5*ATM_Conf!$C$9)/(AJ197*ATM_Conf!$C$8)*(Nodes!BX9-AJ9)/(AJ9+ATM_Conf!$C$10)</f>
        <v>#DIV/0!</v>
      </c>
      <c r="BE10" s="43" t="e">
        <f>BE9+(ATM_Conf!$C$5/ATM_Conf!$C$8)*(BY10*EXP(-(1/DM10)*(AK10/CS10)^DM10)-BE9)+(ATM_Conf!$C$5/AK197)*BE9*(Nodes!BK9-BE9)-(ATM_Conf!$C$5*ATM_Conf!$C$9)/(AK197*ATM_Conf!$C$8)*(Nodes!BY9-AK9)/(AK9+ATM_Conf!$C$10)</f>
        <v>#DIV/0!</v>
      </c>
      <c r="BF10" s="43" t="e">
        <f>BF9+(ATM_Conf!$C$5/ATM_Conf!$C$8)*(BZ10*EXP(-(1/DN10)*(AL10/CT10)^DN10)-BF9)+(ATM_Conf!$C$5/AL197)*BF9*(BE9-BF9)-(ATM_Conf!$C$5*ATM_Conf!$C$9)/(AL197*ATM_Conf!$C$8)*(AM9-AL9)/(AL9+ATM_Conf!$C$10)</f>
        <v>#DIV/0!</v>
      </c>
      <c r="BG10" s="43" t="e">
        <f>BG9+(ATM_Conf!$C$5/ATM_Conf!$C$8)*(CA10*EXP(-(1/DO10)*(AM10/CU10)^DO10)-BG9)+(ATM_Conf!$C$5/AM197)*BG9*(Nodes!BM9-BG9)-(ATM_Conf!$C$5*ATM_Conf!$C$9)/(AM197*ATM_Conf!$C$8)*(Nodes!CA9-AM9)/(AM9+ATM_Conf!$C$10)</f>
        <v>#DIV/0!</v>
      </c>
      <c r="BH10" s="43" t="e">
        <f>BH9+(ATM_Conf!$C$5/ATM_Conf!$C$8)*(CB10*EXP(-(1/DP10)*(AN10/CV10)^DP10)-BH9)+(ATM_Conf!$C$5/AN197)*BH9*(BG9-BH9)-(ATM_Conf!$C$5*ATM_Conf!$C$9)/(AN197*ATM_Conf!$C$8)*(AO9-AN9)/(AN9+ATM_Conf!$C$10)</f>
        <v>#DIV/0!</v>
      </c>
      <c r="BI10" s="43" t="e">
        <f>BI9+(ATM_Conf!$C$5/ATM_Conf!$C$8)*(CC10*EXP(-(1/DQ10)*(AO10/CW10)^DQ10)-BI9)+(ATM_Conf!$C$5/AO197)*BI9*(BH9-BI9)</f>
        <v>#DIV/0!</v>
      </c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  <c r="CW10" s="4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43">
        <f t="shared" si="23"/>
        <v>0</v>
      </c>
      <c r="DS10" s="43">
        <f t="shared" si="22"/>
        <v>0</v>
      </c>
      <c r="DT10" s="43">
        <f t="shared" si="22"/>
        <v>0</v>
      </c>
      <c r="DU10" s="43">
        <f t="shared" si="22"/>
        <v>0</v>
      </c>
      <c r="DV10" s="43">
        <f t="shared" si="22"/>
        <v>0</v>
      </c>
      <c r="DW10" s="43">
        <f t="shared" si="22"/>
        <v>0</v>
      </c>
      <c r="DX10" s="43">
        <f t="shared" si="22"/>
        <v>0</v>
      </c>
      <c r="DY10" s="43">
        <f t="shared" si="22"/>
        <v>0</v>
      </c>
      <c r="DZ10" s="43">
        <f t="shared" si="22"/>
        <v>0</v>
      </c>
      <c r="EA10" s="43">
        <f t="shared" si="22"/>
        <v>0</v>
      </c>
      <c r="EB10" s="43">
        <f t="shared" si="22"/>
        <v>0</v>
      </c>
      <c r="EC10" s="43">
        <f t="shared" si="22"/>
        <v>0</v>
      </c>
      <c r="ED10" s="43">
        <f t="shared" si="22"/>
        <v>0</v>
      </c>
      <c r="EE10" s="43">
        <f t="shared" si="22"/>
        <v>0</v>
      </c>
      <c r="EF10" s="43">
        <f t="shared" si="22"/>
        <v>0</v>
      </c>
      <c r="EG10" s="43">
        <f t="shared" si="22"/>
        <v>0</v>
      </c>
      <c r="EH10" s="43">
        <f t="shared" si="22"/>
        <v>0</v>
      </c>
      <c r="EI10" s="43">
        <f t="shared" si="22"/>
        <v>0</v>
      </c>
      <c r="EJ10" s="43">
        <f t="shared" si="22"/>
        <v>0</v>
      </c>
      <c r="EK10" s="43">
        <f t="shared" si="22"/>
        <v>0</v>
      </c>
      <c r="EL10" s="47"/>
      <c r="EM10" s="47"/>
      <c r="EN10" s="47"/>
      <c r="EO10" s="47"/>
      <c r="EP10" s="47"/>
      <c r="EQ10" s="47"/>
      <c r="ER10" s="47"/>
      <c r="ES10" s="47"/>
      <c r="ET10" s="47"/>
      <c r="EU10" s="47"/>
      <c r="EV10" s="47"/>
      <c r="EW10" s="47"/>
      <c r="EX10" s="47"/>
      <c r="EY10" s="47"/>
      <c r="EZ10" s="47"/>
      <c r="FA10" s="47"/>
      <c r="FB10" s="47"/>
      <c r="FC10" s="47"/>
      <c r="FD10" s="47"/>
      <c r="FE10" s="47"/>
    </row>
    <row r="11" spans="1:161" ht="14.25" x14ac:dyDescent="0.15">
      <c r="A11" s="46"/>
      <c r="B11" s="43" t="e">
        <f t="shared" si="2"/>
        <v>#DIV/0!</v>
      </c>
      <c r="C11" s="43" t="e">
        <f t="shared" si="3"/>
        <v>#DIV/0!</v>
      </c>
      <c r="D11" s="43" t="e">
        <f t="shared" si="4"/>
        <v>#DIV/0!</v>
      </c>
      <c r="E11" s="43" t="e">
        <f t="shared" si="5"/>
        <v>#DIV/0!</v>
      </c>
      <c r="F11" s="43" t="e">
        <f t="shared" si="6"/>
        <v>#DIV/0!</v>
      </c>
      <c r="G11" s="43" t="e">
        <f t="shared" si="7"/>
        <v>#DIV/0!</v>
      </c>
      <c r="H11" s="43" t="e">
        <f t="shared" si="8"/>
        <v>#DIV/0!</v>
      </c>
      <c r="I11" s="43" t="e">
        <f t="shared" si="9"/>
        <v>#DIV/0!</v>
      </c>
      <c r="J11" s="43" t="e">
        <f t="shared" si="10"/>
        <v>#DIV/0!</v>
      </c>
      <c r="K11" s="43" t="e">
        <f t="shared" si="11"/>
        <v>#DIV/0!</v>
      </c>
      <c r="L11" s="43" t="e">
        <f t="shared" si="12"/>
        <v>#DIV/0!</v>
      </c>
      <c r="M11" s="43" t="e">
        <f t="shared" si="13"/>
        <v>#DIV/0!</v>
      </c>
      <c r="N11" s="43" t="e">
        <f t="shared" si="14"/>
        <v>#DIV/0!</v>
      </c>
      <c r="O11" s="43" t="e">
        <f t="shared" si="15"/>
        <v>#DIV/0!</v>
      </c>
      <c r="P11" s="43" t="e">
        <f t="shared" si="16"/>
        <v>#DIV/0!</v>
      </c>
      <c r="Q11" s="43" t="e">
        <f t="shared" si="17"/>
        <v>#DIV/0!</v>
      </c>
      <c r="R11" s="43" t="e">
        <f t="shared" si="18"/>
        <v>#DIV/0!</v>
      </c>
      <c r="S11" s="43" t="e">
        <f t="shared" si="19"/>
        <v>#DIV/0!</v>
      </c>
      <c r="T11" s="43" t="e">
        <f t="shared" si="20"/>
        <v>#DIV/0!</v>
      </c>
      <c r="U11" s="43" t="e">
        <f t="shared" si="21"/>
        <v>#DIV/0!</v>
      </c>
      <c r="V11" s="53" t="e">
        <f>V10+ATM_Conf!$C$5*(B10)/(B198*V198)</f>
        <v>#DIV/0!</v>
      </c>
      <c r="W11" s="53" t="e">
        <f>W10+ATM_Conf!$C$5*(C10-B10)/(C198*W198)</f>
        <v>#DIV/0!</v>
      </c>
      <c r="X11" s="53" t="e">
        <f>X10+ATM_Conf!$C$5*(D10-C10)/(D198*X198)</f>
        <v>#DIV/0!</v>
      </c>
      <c r="Y11" s="53" t="e">
        <f>Y10+ATM_Conf!$C$5*(E10-D10)/(E198*Y198)</f>
        <v>#DIV/0!</v>
      </c>
      <c r="Z11" s="53" t="e">
        <f>Z10+ATM_Conf!$C$5*(F10-E10)/(F198*Z198)</f>
        <v>#DIV/0!</v>
      </c>
      <c r="AA11" s="53" t="e">
        <f>AA10+ATM_Conf!$C$5*(G10-F10)/(G198*AA198)</f>
        <v>#DIV/0!</v>
      </c>
      <c r="AB11" s="53" t="e">
        <f>AB10+ATM_Conf!$C$5*(H10-G10)/(H198*AB198)</f>
        <v>#DIV/0!</v>
      </c>
      <c r="AC11" s="53" t="e">
        <f>AC10+ATM_Conf!$C$5*(I10-H10)/(I198*AC198)</f>
        <v>#DIV/0!</v>
      </c>
      <c r="AD11" s="53" t="e">
        <f>AD10+ATM_Conf!$C$5*(J10-I10)/(J198*AD198)</f>
        <v>#DIV/0!</v>
      </c>
      <c r="AE11" s="53" t="e">
        <f>AE10+ATM_Conf!$C$5*(K10-J10)/(K198*AE198)</f>
        <v>#DIV/0!</v>
      </c>
      <c r="AF11" s="53" t="e">
        <f>AF10+ATM_Conf!$C$5*(L10)/(L198*AF198)</f>
        <v>#DIV/0!</v>
      </c>
      <c r="AG11" s="53" t="e">
        <f>AG10+ATM_Conf!$C$5*(M10-L10)/(M198*AG198)</f>
        <v>#DIV/0!</v>
      </c>
      <c r="AH11" s="53" t="e">
        <f>AH10+ATM_Conf!$C$5*(N10-M10)/(N198*AH198)</f>
        <v>#DIV/0!</v>
      </c>
      <c r="AI11" s="53" t="e">
        <f>AI10+ATM_Conf!$C$5*(O10-N10)/(O198*AI198)</f>
        <v>#DIV/0!</v>
      </c>
      <c r="AJ11" s="53" t="e">
        <f>AJ10+ATM_Conf!$C$5*(P10-O10)/(P198*AJ198)</f>
        <v>#DIV/0!</v>
      </c>
      <c r="AK11" s="53" t="e">
        <f>AK10+ATM_Conf!$C$5*(Q10-P10)/(Q198*AK198)</f>
        <v>#DIV/0!</v>
      </c>
      <c r="AL11" s="53" t="e">
        <f>AL10+ATM_Conf!$C$5*(R10-Q10)/(R198*AL198)</f>
        <v>#DIV/0!</v>
      </c>
      <c r="AM11" s="53" t="e">
        <f>AM10+ATM_Conf!$C$5*(S10-R10)/(S198*AM198)</f>
        <v>#DIV/0!</v>
      </c>
      <c r="AN11" s="53" t="e">
        <f>AN10+ATM_Conf!$C$5*(T10-S10)/(T198*AN198)</f>
        <v>#DIV/0!</v>
      </c>
      <c r="AO11" s="53" t="e">
        <f>AO10+ATM_Conf!$C$5*(U10-T10)/(U198*AO198)</f>
        <v>#DIV/0!</v>
      </c>
      <c r="AP11" s="43" t="e">
        <f>AP10+(ATM_Conf!$C$5/ATM_Conf!$C$8)*(BJ11*EXP(-(1/CX11)*(V11/CD11)^CX11)-AP10)-(ATM_Conf!$C$5*ATM_Conf!$C$9)/(V198*ATM_Conf!$C$8)*(Nodes!BO10-V10)/(V10+ATM_Conf!$C$10)</f>
        <v>#DIV/0!</v>
      </c>
      <c r="AQ11" s="43" t="e">
        <f>AQ10+(ATM_Conf!$C$5/ATM_Conf!$C$8)*(BK11*EXP(-(1/CY11)*(W11/CE11)^CY11)-AQ10)+(ATM_Conf!$C$5/W198)*AQ10*(AP10-AQ10)-(ATM_Conf!$C$5*ATM_Conf!$C$9)/(W198*ATM_Conf!$C$8)*(X10-W10)/(W10+ATM_Conf!$C$10)</f>
        <v>#DIV/0!</v>
      </c>
      <c r="AR11" s="43" t="e">
        <f>AR10+(ATM_Conf!$C$5/ATM_Conf!$C$8)*(BL11*EXP(-(1/CZ11)*(X11/CF11)^CZ11)-AR10)+(ATM_Conf!$C$5/X198)*AR10*(Nodes!BC10-AR10)-(ATM_Conf!$C$5*ATM_Conf!$C$9)/(X198*ATM_Conf!$C$8)*(Nodes!BQ10-X10)/(X10+ATM_Conf!$C$10)</f>
        <v>#DIV/0!</v>
      </c>
      <c r="AS11" s="43" t="e">
        <f>AS10+(ATM_Conf!$C$5/ATM_Conf!$C$8)*(BM11*EXP(-(1/DA11)*(Y11/CG11)^DA11)-AS10)+(ATM_Conf!$C$5/Y198)*AS10*(AR10-AS10)-(ATM_Conf!$C$5*ATM_Conf!$C$9)/(Y198*ATM_Conf!$C$8)*(Z10-Y10)/(Y10+ATM_Conf!$C$10)</f>
        <v>#DIV/0!</v>
      </c>
      <c r="AT11" s="43" t="e">
        <f>AT10+(ATM_Conf!$C$5/ATM_Conf!$C$8)*(BN11*EXP(-(1/DB11)*(Z11/CH11)^DB11)-AT10)+(ATM_Conf!$C$5/Z198)*AT10*(Nodes!BE10-AT10)-(ATM_Conf!$C$5*ATM_Conf!$C$9)/(Z198*ATM_Conf!$C$8)*(Nodes!BS10-Z10)/(Z10+ATM_Conf!$C$10)</f>
        <v>#DIV/0!</v>
      </c>
      <c r="AU11" s="43" t="e">
        <f>AU10+(ATM_Conf!$C$5/ATM_Conf!$C$8)*(BO11*EXP(-(1/DC11)*(AA11/CI11)^DC11)-AU10)+(ATM_Conf!$C$5/AA198)*AU10*(Nodes!BF10-AU10)-(ATM_Conf!$C$5*ATM_Conf!$C$9)/(AA198*ATM_Conf!$C$8)*(Nodes!BV10-AA10)/(AA10+ATM_Conf!$C$10)</f>
        <v>#DIV/0!</v>
      </c>
      <c r="AV11" s="43" t="e">
        <f>AV10+(ATM_Conf!$C$5/ATM_Conf!$C$8)*(BP11*EXP(-(1/DD11)*(AB11/CJ11)^DD11)-AV10)+(ATM_Conf!$C$5/AB198)*AV10*(AU10-AV10)-(ATM_Conf!$C$5*ATM_Conf!$C$9)/(AB198*ATM_Conf!$C$8)*(AC10-AB10)/(AB10+ATM_Conf!$C$10)</f>
        <v>#DIV/0!</v>
      </c>
      <c r="AW11" s="43" t="e">
        <f>AW10+(ATM_Conf!$C$5/ATM_Conf!$C$8)*(BQ11*EXP(-(1/DE11)*(AC11/CK11)^DE11)-AW10)+(ATM_Conf!$C$5/AC198)*AW10*(AV10-AW10)-(ATM_Conf!$C$5*ATM_Conf!$C$9)/(AC198*ATM_Conf!$C$8)*(AD10-AC10)/(AC10+ATM_Conf!$C$10)</f>
        <v>#DIV/0!</v>
      </c>
      <c r="AX11" s="43" t="e">
        <f>AX10+(ATM_Conf!$C$5/ATM_Conf!$C$8)*(BR11*EXP(-(1/DF11)*(AD11/CL11)^DF11)-AX10)+(ATM_Conf!$C$5/AD198)*AX10*(Nodes!BG10-AX10)-(ATM_Conf!$C$5*ATM_Conf!$C$9)/(AD198*ATM_Conf!$C$8)*(Nodes!BU10-AD10)/(AD10+ATM_Conf!$C$10)</f>
        <v>#DIV/0!</v>
      </c>
      <c r="AY11" s="43" t="e">
        <f>AY10+(ATM_Conf!$C$5/ATM_Conf!$C$8)*(BS11*EXP(-(1/DG11)*(AE11/CM11)^DG11)-AY10)+(ATM_Conf!$C$5/AE198)*AY10*(Nodes!BF10-AY10)</f>
        <v>#DIV/0!</v>
      </c>
      <c r="AZ11" s="43" t="e">
        <f>AZ10+(ATM_Conf!$C$5/ATM_Conf!$C$8)*(BT11*EXP(-(1/DH11)*(AF11/CN11)^DH11)-AZ10)-(ATM_Conf!$C$5*ATM_Conf!$C$9)/(AF198*ATM_Conf!$C$8)*(Nodes!BV10-AF10)/(AF10+ATM_Conf!$C$10)</f>
        <v>#DIV/0!</v>
      </c>
      <c r="BA11" s="43" t="e">
        <f>BA10+(ATM_Conf!$C$5/ATM_Conf!$C$8)*(BU11*EXP(-(1/DI11)*(AG11/CO11)^DI11)-BA10)+(ATM_Conf!$C$5/AG198)*BA10*(Nodes!BI10-BA10)-(ATM_Conf!$C$5*ATM_Conf!$C$9)/(AG198*ATM_Conf!$C$8)*(Nodes!BW10-AG10)/(AG10+ATM_Conf!$C$10)</f>
        <v>#DIV/0!</v>
      </c>
      <c r="BB11" s="43" t="e">
        <f>BB10+(ATM_Conf!$C$5/ATM_Conf!$C$8)*(BV11*EXP(-(1/DJ11)*(AH11/CP11)^DJ11)-BB10)+(ATM_Conf!$C$5/AH198)*BB10*(Nodes!BJ10-BB10)-(ATM_Conf!$C$5*ATM_Conf!$C$9)/(AH198*ATM_Conf!$C$8)*(AI10-AH10)/(AH10+ATM_Conf!$C$10)</f>
        <v>#DIV/0!</v>
      </c>
      <c r="BC11" s="43" t="e">
        <f>BC10+(ATM_Conf!$C$5/ATM_Conf!$C$8)*(BW11*EXP(-(1/DK11)*(AI11/CQ11)^DK11)-BC10)+(ATM_Conf!$C$5/AI198)*BC10*(BB10-BC10)-(ATM_Conf!$C$5*ATM_Conf!$C$9)/(AI198*ATM_Conf!$C$8)*(AJ10-AI10)/(AI10+ATM_Conf!$C$10)</f>
        <v>#DIV/0!</v>
      </c>
      <c r="BD11" s="43" t="e">
        <f>BD10+(ATM_Conf!$C$5/ATM_Conf!$C$8)*(BX11*EXP(-(1/DL11)*(AJ11/CR11)^DL11)-BD10)+(ATM_Conf!$C$5/AJ198)*BD10*(BC10-BD10)-(ATM_Conf!$C$5*ATM_Conf!$C$9)/(AJ198*ATM_Conf!$C$8)*(Nodes!BX10-AJ10)/(AJ10+ATM_Conf!$C$10)</f>
        <v>#DIV/0!</v>
      </c>
      <c r="BE11" s="43" t="e">
        <f>BE10+(ATM_Conf!$C$5/ATM_Conf!$C$8)*(BY11*EXP(-(1/DM11)*(AK11/CS11)^DM11)-BE10)+(ATM_Conf!$C$5/AK198)*BE10*(Nodes!BK10-BE10)-(ATM_Conf!$C$5*ATM_Conf!$C$9)/(AK198*ATM_Conf!$C$8)*(Nodes!BY10-AK10)/(AK10+ATM_Conf!$C$10)</f>
        <v>#DIV/0!</v>
      </c>
      <c r="BF11" s="43" t="e">
        <f>BF10+(ATM_Conf!$C$5/ATM_Conf!$C$8)*(BZ11*EXP(-(1/DN11)*(AL11/CT11)^DN11)-BF10)+(ATM_Conf!$C$5/AL198)*BF10*(BE10-BF10)-(ATM_Conf!$C$5*ATM_Conf!$C$9)/(AL198*ATM_Conf!$C$8)*(AM10-AL10)/(AL10+ATM_Conf!$C$10)</f>
        <v>#DIV/0!</v>
      </c>
      <c r="BG11" s="43" t="e">
        <f>BG10+(ATM_Conf!$C$5/ATM_Conf!$C$8)*(CA11*EXP(-(1/DO11)*(AM11/CU11)^DO11)-BG10)+(ATM_Conf!$C$5/AM198)*BG10*(Nodes!BM10-BG10)-(ATM_Conf!$C$5*ATM_Conf!$C$9)/(AM198*ATM_Conf!$C$8)*(Nodes!CA10-AM10)/(AM10+ATM_Conf!$C$10)</f>
        <v>#DIV/0!</v>
      </c>
      <c r="BH11" s="43" t="e">
        <f>BH10+(ATM_Conf!$C$5/ATM_Conf!$C$8)*(CB11*EXP(-(1/DP11)*(AN11/CV11)^DP11)-BH10)+(ATM_Conf!$C$5/AN198)*BH10*(BG10-BH10)-(ATM_Conf!$C$5*ATM_Conf!$C$9)/(AN198*ATM_Conf!$C$8)*(AO10-AN10)/(AN10+ATM_Conf!$C$10)</f>
        <v>#DIV/0!</v>
      </c>
      <c r="BI11" s="43" t="e">
        <f>BI10+(ATM_Conf!$C$5/ATM_Conf!$C$8)*(CC11*EXP(-(1/DQ11)*(AO11/CW11)^DQ11)-BI10)+(ATM_Conf!$C$5/AO198)*BI10*(BH10-BI10)</f>
        <v>#DIV/0!</v>
      </c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53"/>
      <c r="CY11" s="53"/>
      <c r="CZ11" s="53"/>
      <c r="DA11" s="53"/>
      <c r="DB11" s="53"/>
      <c r="DC11" s="53"/>
      <c r="DD11" s="53"/>
      <c r="DE11" s="53"/>
      <c r="DF11" s="53"/>
      <c r="DG11" s="53"/>
      <c r="DH11" s="53"/>
      <c r="DI11" s="53"/>
      <c r="DJ11" s="53"/>
      <c r="DK11" s="53"/>
      <c r="DL11" s="53"/>
      <c r="DM11" s="53"/>
      <c r="DN11" s="53"/>
      <c r="DO11" s="53"/>
      <c r="DP11" s="53"/>
      <c r="DQ11" s="53"/>
      <c r="DR11" s="43">
        <f t="shared" si="23"/>
        <v>0</v>
      </c>
      <c r="DS11" s="43">
        <f t="shared" si="22"/>
        <v>0</v>
      </c>
      <c r="DT11" s="43">
        <f t="shared" si="22"/>
        <v>0</v>
      </c>
      <c r="DU11" s="43">
        <f t="shared" si="22"/>
        <v>0</v>
      </c>
      <c r="DV11" s="43">
        <f t="shared" si="22"/>
        <v>0</v>
      </c>
      <c r="DW11" s="43">
        <f t="shared" si="22"/>
        <v>0</v>
      </c>
      <c r="DX11" s="43">
        <f t="shared" si="22"/>
        <v>0</v>
      </c>
      <c r="DY11" s="43">
        <f t="shared" si="22"/>
        <v>0</v>
      </c>
      <c r="DZ11" s="43">
        <f t="shared" si="22"/>
        <v>0</v>
      </c>
      <c r="EA11" s="43">
        <f t="shared" si="22"/>
        <v>0</v>
      </c>
      <c r="EB11" s="43">
        <f t="shared" si="22"/>
        <v>0</v>
      </c>
      <c r="EC11" s="43">
        <f t="shared" si="22"/>
        <v>0</v>
      </c>
      <c r="ED11" s="43">
        <f t="shared" si="22"/>
        <v>0</v>
      </c>
      <c r="EE11" s="43">
        <f t="shared" si="22"/>
        <v>0</v>
      </c>
      <c r="EF11" s="43">
        <f t="shared" si="22"/>
        <v>0</v>
      </c>
      <c r="EG11" s="43">
        <f t="shared" si="22"/>
        <v>0</v>
      </c>
      <c r="EH11" s="43">
        <f t="shared" si="22"/>
        <v>0</v>
      </c>
      <c r="EI11" s="43">
        <f t="shared" si="22"/>
        <v>0</v>
      </c>
      <c r="EJ11" s="43">
        <f t="shared" si="22"/>
        <v>0</v>
      </c>
      <c r="EK11" s="43">
        <f t="shared" si="22"/>
        <v>0</v>
      </c>
      <c r="EL11" s="47"/>
      <c r="EM11" s="47"/>
      <c r="EN11" s="47"/>
      <c r="EO11" s="47"/>
      <c r="EP11" s="47"/>
      <c r="EQ11" s="47"/>
      <c r="ER11" s="47"/>
      <c r="ES11" s="47"/>
      <c r="ET11" s="47"/>
      <c r="EU11" s="47"/>
      <c r="EV11" s="47"/>
      <c r="EW11" s="47"/>
      <c r="EX11" s="47"/>
      <c r="EY11" s="47"/>
      <c r="EZ11" s="47"/>
      <c r="FA11" s="47"/>
      <c r="FB11" s="47"/>
      <c r="FC11" s="47"/>
      <c r="FD11" s="47"/>
      <c r="FE11" s="47"/>
    </row>
    <row r="12" spans="1:161" ht="14.25" x14ac:dyDescent="0.15">
      <c r="A12" s="46"/>
      <c r="B12" s="43" t="e">
        <f t="shared" si="2"/>
        <v>#DIV/0!</v>
      </c>
      <c r="C12" s="43" t="e">
        <f t="shared" si="3"/>
        <v>#DIV/0!</v>
      </c>
      <c r="D12" s="43" t="e">
        <f t="shared" si="4"/>
        <v>#DIV/0!</v>
      </c>
      <c r="E12" s="43" t="e">
        <f t="shared" si="5"/>
        <v>#DIV/0!</v>
      </c>
      <c r="F12" s="43" t="e">
        <f t="shared" si="6"/>
        <v>#DIV/0!</v>
      </c>
      <c r="G12" s="43" t="e">
        <f t="shared" si="7"/>
        <v>#DIV/0!</v>
      </c>
      <c r="H12" s="43" t="e">
        <f t="shared" si="8"/>
        <v>#DIV/0!</v>
      </c>
      <c r="I12" s="43" t="e">
        <f t="shared" si="9"/>
        <v>#DIV/0!</v>
      </c>
      <c r="J12" s="43" t="e">
        <f t="shared" si="10"/>
        <v>#DIV/0!</v>
      </c>
      <c r="K12" s="43" t="e">
        <f t="shared" si="11"/>
        <v>#DIV/0!</v>
      </c>
      <c r="L12" s="43" t="e">
        <f t="shared" si="12"/>
        <v>#DIV/0!</v>
      </c>
      <c r="M12" s="43" t="e">
        <f t="shared" si="13"/>
        <v>#DIV/0!</v>
      </c>
      <c r="N12" s="43" t="e">
        <f t="shared" si="14"/>
        <v>#DIV/0!</v>
      </c>
      <c r="O12" s="43" t="e">
        <f t="shared" si="15"/>
        <v>#DIV/0!</v>
      </c>
      <c r="P12" s="43" t="e">
        <f t="shared" si="16"/>
        <v>#DIV/0!</v>
      </c>
      <c r="Q12" s="43" t="e">
        <f t="shared" si="17"/>
        <v>#DIV/0!</v>
      </c>
      <c r="R12" s="43" t="e">
        <f t="shared" si="18"/>
        <v>#DIV/0!</v>
      </c>
      <c r="S12" s="43" t="e">
        <f t="shared" si="19"/>
        <v>#DIV/0!</v>
      </c>
      <c r="T12" s="43" t="e">
        <f t="shared" si="20"/>
        <v>#DIV/0!</v>
      </c>
      <c r="U12" s="43" t="e">
        <f t="shared" si="21"/>
        <v>#DIV/0!</v>
      </c>
      <c r="V12" s="53" t="e">
        <f>V11+ATM_Conf!$C$5*(B11)/(B199*V199)</f>
        <v>#DIV/0!</v>
      </c>
      <c r="W12" s="53" t="e">
        <f>W11+ATM_Conf!$C$5*(C11-B11)/(C199*W199)</f>
        <v>#DIV/0!</v>
      </c>
      <c r="X12" s="53" t="e">
        <f>X11+ATM_Conf!$C$5*(D11-C11)/(D199*X199)</f>
        <v>#DIV/0!</v>
      </c>
      <c r="Y12" s="53" t="e">
        <f>Y11+ATM_Conf!$C$5*(E11-D11)/(E199*Y199)</f>
        <v>#DIV/0!</v>
      </c>
      <c r="Z12" s="53" t="e">
        <f>Z11+ATM_Conf!$C$5*(F11-E11)/(F199*Z199)</f>
        <v>#DIV/0!</v>
      </c>
      <c r="AA12" s="53" t="e">
        <f>AA11+ATM_Conf!$C$5*(G11-F11)/(G199*AA199)</f>
        <v>#DIV/0!</v>
      </c>
      <c r="AB12" s="53" t="e">
        <f>AB11+ATM_Conf!$C$5*(H11-G11)/(H199*AB199)</f>
        <v>#DIV/0!</v>
      </c>
      <c r="AC12" s="53" t="e">
        <f>AC11+ATM_Conf!$C$5*(I11-H11)/(I199*AC199)</f>
        <v>#DIV/0!</v>
      </c>
      <c r="AD12" s="53" t="e">
        <f>AD11+ATM_Conf!$C$5*(J11-I11)/(J199*AD199)</f>
        <v>#DIV/0!</v>
      </c>
      <c r="AE12" s="53" t="e">
        <f>AE11+ATM_Conf!$C$5*(K11-J11)/(K199*AE199)</f>
        <v>#DIV/0!</v>
      </c>
      <c r="AF12" s="53" t="e">
        <f>AF11+ATM_Conf!$C$5*(L11)/(L199*AF199)</f>
        <v>#DIV/0!</v>
      </c>
      <c r="AG12" s="53" t="e">
        <f>AG11+ATM_Conf!$C$5*(M11-L11)/(M199*AG199)</f>
        <v>#DIV/0!</v>
      </c>
      <c r="AH12" s="53" t="e">
        <f>AH11+ATM_Conf!$C$5*(N11-M11)/(N199*AH199)</f>
        <v>#DIV/0!</v>
      </c>
      <c r="AI12" s="53" t="e">
        <f>AI11+ATM_Conf!$C$5*(O11-N11)/(O199*AI199)</f>
        <v>#DIV/0!</v>
      </c>
      <c r="AJ12" s="53" t="e">
        <f>AJ11+ATM_Conf!$C$5*(P11-O11)/(P199*AJ199)</f>
        <v>#DIV/0!</v>
      </c>
      <c r="AK12" s="53" t="e">
        <f>AK11+ATM_Conf!$C$5*(Q11-P11)/(Q199*AK199)</f>
        <v>#DIV/0!</v>
      </c>
      <c r="AL12" s="53" t="e">
        <f>AL11+ATM_Conf!$C$5*(R11-Q11)/(R199*AL199)</f>
        <v>#DIV/0!</v>
      </c>
      <c r="AM12" s="53" t="e">
        <f>AM11+ATM_Conf!$C$5*(S11-R11)/(S199*AM199)</f>
        <v>#DIV/0!</v>
      </c>
      <c r="AN12" s="53" t="e">
        <f>AN11+ATM_Conf!$C$5*(T11-S11)/(T199*AN199)</f>
        <v>#DIV/0!</v>
      </c>
      <c r="AO12" s="53" t="e">
        <f>AO11+ATM_Conf!$C$5*(U11-T11)/(U199*AO199)</f>
        <v>#DIV/0!</v>
      </c>
      <c r="AP12" s="43" t="e">
        <f>AP11+(ATM_Conf!$C$5/ATM_Conf!$C$8)*(BJ12*EXP(-(1/CX12)*(V12/CD12)^CX12)-AP11)-(ATM_Conf!$C$5*ATM_Conf!$C$9)/(V199*ATM_Conf!$C$8)*(Nodes!BO11-V11)/(V11+ATM_Conf!$C$10)</f>
        <v>#DIV/0!</v>
      </c>
      <c r="AQ12" s="43" t="e">
        <f>AQ11+(ATM_Conf!$C$5/ATM_Conf!$C$8)*(BK12*EXP(-(1/CY12)*(W12/CE12)^CY12)-AQ11)+(ATM_Conf!$C$5/W199)*AQ11*(AP11-AQ11)-(ATM_Conf!$C$5*ATM_Conf!$C$9)/(W199*ATM_Conf!$C$8)*(X11-W11)/(W11+ATM_Conf!$C$10)</f>
        <v>#DIV/0!</v>
      </c>
      <c r="AR12" s="43" t="e">
        <f>AR11+(ATM_Conf!$C$5/ATM_Conf!$C$8)*(BL12*EXP(-(1/CZ12)*(X12/CF12)^CZ12)-AR11)+(ATM_Conf!$C$5/X199)*AR11*(Nodes!BC11-AR11)-(ATM_Conf!$C$5*ATM_Conf!$C$9)/(X199*ATM_Conf!$C$8)*(Nodes!BQ11-X11)/(X11+ATM_Conf!$C$10)</f>
        <v>#DIV/0!</v>
      </c>
      <c r="AS12" s="43" t="e">
        <f>AS11+(ATM_Conf!$C$5/ATM_Conf!$C$8)*(BM12*EXP(-(1/DA12)*(Y12/CG12)^DA12)-AS11)+(ATM_Conf!$C$5/Y199)*AS11*(AR11-AS11)-(ATM_Conf!$C$5*ATM_Conf!$C$9)/(Y199*ATM_Conf!$C$8)*(Z11-Y11)/(Y11+ATM_Conf!$C$10)</f>
        <v>#DIV/0!</v>
      </c>
      <c r="AT12" s="43" t="e">
        <f>AT11+(ATM_Conf!$C$5/ATM_Conf!$C$8)*(BN12*EXP(-(1/DB12)*(Z12/CH12)^DB12)-AT11)+(ATM_Conf!$C$5/Z199)*AT11*(Nodes!BE11-AT11)-(ATM_Conf!$C$5*ATM_Conf!$C$9)/(Z199*ATM_Conf!$C$8)*(Nodes!BS11-Z11)/(Z11+ATM_Conf!$C$10)</f>
        <v>#DIV/0!</v>
      </c>
      <c r="AU12" s="43" t="e">
        <f>AU11+(ATM_Conf!$C$5/ATM_Conf!$C$8)*(BO12*EXP(-(1/DC12)*(AA12/CI12)^DC12)-AU11)+(ATM_Conf!$C$5/AA199)*AU11*(Nodes!BF11-AU11)-(ATM_Conf!$C$5*ATM_Conf!$C$9)/(AA199*ATM_Conf!$C$8)*(Nodes!BV11-AA11)/(AA11+ATM_Conf!$C$10)</f>
        <v>#DIV/0!</v>
      </c>
      <c r="AV12" s="43" t="e">
        <f>AV11+(ATM_Conf!$C$5/ATM_Conf!$C$8)*(BP12*EXP(-(1/DD12)*(AB12/CJ12)^DD12)-AV11)+(ATM_Conf!$C$5/AB199)*AV11*(AU11-AV11)-(ATM_Conf!$C$5*ATM_Conf!$C$9)/(AB199*ATM_Conf!$C$8)*(AC11-AB11)/(AB11+ATM_Conf!$C$10)</f>
        <v>#DIV/0!</v>
      </c>
      <c r="AW12" s="43" t="e">
        <f>AW11+(ATM_Conf!$C$5/ATM_Conf!$C$8)*(BQ12*EXP(-(1/DE12)*(AC12/CK12)^DE12)-AW11)+(ATM_Conf!$C$5/AC199)*AW11*(AV11-AW11)-(ATM_Conf!$C$5*ATM_Conf!$C$9)/(AC199*ATM_Conf!$C$8)*(AD11-AC11)/(AC11+ATM_Conf!$C$10)</f>
        <v>#DIV/0!</v>
      </c>
      <c r="AX12" s="43" t="e">
        <f>AX11+(ATM_Conf!$C$5/ATM_Conf!$C$8)*(BR12*EXP(-(1/DF12)*(AD12/CL12)^DF12)-AX11)+(ATM_Conf!$C$5/AD199)*AX11*(Nodes!BG11-AX11)-(ATM_Conf!$C$5*ATM_Conf!$C$9)/(AD199*ATM_Conf!$C$8)*(Nodes!BU11-AD11)/(AD11+ATM_Conf!$C$10)</f>
        <v>#DIV/0!</v>
      </c>
      <c r="AY12" s="43" t="e">
        <f>AY11+(ATM_Conf!$C$5/ATM_Conf!$C$8)*(BS12*EXP(-(1/DG12)*(AE12/CM12)^DG12)-AY11)+(ATM_Conf!$C$5/AE199)*AY11*(Nodes!BF11-AY11)</f>
        <v>#DIV/0!</v>
      </c>
      <c r="AZ12" s="43" t="e">
        <f>AZ11+(ATM_Conf!$C$5/ATM_Conf!$C$8)*(BT12*EXP(-(1/DH12)*(AF12/CN12)^DH12)-AZ11)-(ATM_Conf!$C$5*ATM_Conf!$C$9)/(AF199*ATM_Conf!$C$8)*(Nodes!BV11-AF11)/(AF11+ATM_Conf!$C$10)</f>
        <v>#DIV/0!</v>
      </c>
      <c r="BA12" s="43" t="e">
        <f>BA11+(ATM_Conf!$C$5/ATM_Conf!$C$8)*(BU12*EXP(-(1/DI12)*(AG12/CO12)^DI12)-BA11)+(ATM_Conf!$C$5/AG199)*BA11*(Nodes!BI11-BA11)-(ATM_Conf!$C$5*ATM_Conf!$C$9)/(AG199*ATM_Conf!$C$8)*(Nodes!BW11-AG11)/(AG11+ATM_Conf!$C$10)</f>
        <v>#DIV/0!</v>
      </c>
      <c r="BB12" s="43" t="e">
        <f>BB11+(ATM_Conf!$C$5/ATM_Conf!$C$8)*(BV12*EXP(-(1/DJ12)*(AH12/CP12)^DJ12)-BB11)+(ATM_Conf!$C$5/AH199)*BB11*(Nodes!BJ11-BB11)-(ATM_Conf!$C$5*ATM_Conf!$C$9)/(AH199*ATM_Conf!$C$8)*(AI11-AH11)/(AH11+ATM_Conf!$C$10)</f>
        <v>#DIV/0!</v>
      </c>
      <c r="BC12" s="43" t="e">
        <f>BC11+(ATM_Conf!$C$5/ATM_Conf!$C$8)*(BW12*EXP(-(1/DK12)*(AI12/CQ12)^DK12)-BC11)+(ATM_Conf!$C$5/AI199)*BC11*(BB11-BC11)-(ATM_Conf!$C$5*ATM_Conf!$C$9)/(AI199*ATM_Conf!$C$8)*(AJ11-AI11)/(AI11+ATM_Conf!$C$10)</f>
        <v>#DIV/0!</v>
      </c>
      <c r="BD12" s="43" t="e">
        <f>BD11+(ATM_Conf!$C$5/ATM_Conf!$C$8)*(BX12*EXP(-(1/DL12)*(AJ12/CR12)^DL12)-BD11)+(ATM_Conf!$C$5/AJ199)*BD11*(BC11-BD11)-(ATM_Conf!$C$5*ATM_Conf!$C$9)/(AJ199*ATM_Conf!$C$8)*(Nodes!BX11-AJ11)/(AJ11+ATM_Conf!$C$10)</f>
        <v>#DIV/0!</v>
      </c>
      <c r="BE12" s="43" t="e">
        <f>BE11+(ATM_Conf!$C$5/ATM_Conf!$C$8)*(BY12*EXP(-(1/DM12)*(AK12/CS12)^DM12)-BE11)+(ATM_Conf!$C$5/AK199)*BE11*(Nodes!BK11-BE11)-(ATM_Conf!$C$5*ATM_Conf!$C$9)/(AK199*ATM_Conf!$C$8)*(Nodes!BY11-AK11)/(AK11+ATM_Conf!$C$10)</f>
        <v>#DIV/0!</v>
      </c>
      <c r="BF12" s="43" t="e">
        <f>BF11+(ATM_Conf!$C$5/ATM_Conf!$C$8)*(BZ12*EXP(-(1/DN12)*(AL12/CT12)^DN12)-BF11)+(ATM_Conf!$C$5/AL199)*BF11*(BE11-BF11)-(ATM_Conf!$C$5*ATM_Conf!$C$9)/(AL199*ATM_Conf!$C$8)*(AM11-AL11)/(AL11+ATM_Conf!$C$10)</f>
        <v>#DIV/0!</v>
      </c>
      <c r="BG12" s="43" t="e">
        <f>BG11+(ATM_Conf!$C$5/ATM_Conf!$C$8)*(CA12*EXP(-(1/DO12)*(AM12/CU12)^DO12)-BG11)+(ATM_Conf!$C$5/AM199)*BG11*(Nodes!BM11-BG11)-(ATM_Conf!$C$5*ATM_Conf!$C$9)/(AM199*ATM_Conf!$C$8)*(Nodes!CA11-AM11)/(AM11+ATM_Conf!$C$10)</f>
        <v>#DIV/0!</v>
      </c>
      <c r="BH12" s="43" t="e">
        <f>BH11+(ATM_Conf!$C$5/ATM_Conf!$C$8)*(CB12*EXP(-(1/DP12)*(AN12/CV12)^DP12)-BH11)+(ATM_Conf!$C$5/AN199)*BH11*(BG11-BH11)-(ATM_Conf!$C$5*ATM_Conf!$C$9)/(AN199*ATM_Conf!$C$8)*(AO11-AN11)/(AN11+ATM_Conf!$C$10)</f>
        <v>#DIV/0!</v>
      </c>
      <c r="BI12" s="43" t="e">
        <f>BI11+(ATM_Conf!$C$5/ATM_Conf!$C$8)*(CC12*EXP(-(1/DQ12)*(AO12/CW12)^DQ12)-BI11)+(ATM_Conf!$C$5/AO199)*BI11*(BH11-BI11)</f>
        <v>#DIV/0!</v>
      </c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43">
        <f t="shared" si="23"/>
        <v>0</v>
      </c>
      <c r="DS12" s="43">
        <f t="shared" si="22"/>
        <v>0</v>
      </c>
      <c r="DT12" s="43">
        <f t="shared" si="22"/>
        <v>0</v>
      </c>
      <c r="DU12" s="43">
        <f t="shared" si="22"/>
        <v>0</v>
      </c>
      <c r="DV12" s="43">
        <f t="shared" si="22"/>
        <v>0</v>
      </c>
      <c r="DW12" s="43">
        <f t="shared" si="22"/>
        <v>0</v>
      </c>
      <c r="DX12" s="43">
        <f t="shared" si="22"/>
        <v>0</v>
      </c>
      <c r="DY12" s="43">
        <f t="shared" si="22"/>
        <v>0</v>
      </c>
      <c r="DZ12" s="43">
        <f t="shared" si="22"/>
        <v>0</v>
      </c>
      <c r="EA12" s="43">
        <f t="shared" si="22"/>
        <v>0</v>
      </c>
      <c r="EB12" s="43">
        <f t="shared" si="22"/>
        <v>0</v>
      </c>
      <c r="EC12" s="43">
        <f t="shared" si="22"/>
        <v>0</v>
      </c>
      <c r="ED12" s="43">
        <f t="shared" si="22"/>
        <v>0</v>
      </c>
      <c r="EE12" s="43">
        <f t="shared" si="22"/>
        <v>0</v>
      </c>
      <c r="EF12" s="43">
        <f t="shared" si="22"/>
        <v>0</v>
      </c>
      <c r="EG12" s="43">
        <f t="shared" si="22"/>
        <v>0</v>
      </c>
      <c r="EH12" s="43">
        <f t="shared" si="22"/>
        <v>0</v>
      </c>
      <c r="EI12" s="43">
        <f t="shared" si="22"/>
        <v>0</v>
      </c>
      <c r="EJ12" s="43">
        <f t="shared" si="22"/>
        <v>0</v>
      </c>
      <c r="EK12" s="43">
        <f t="shared" si="22"/>
        <v>0</v>
      </c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</row>
    <row r="13" spans="1:161" ht="14.25" x14ac:dyDescent="0.15">
      <c r="A13" s="46"/>
      <c r="B13" s="43" t="e">
        <f t="shared" si="2"/>
        <v>#DIV/0!</v>
      </c>
      <c r="C13" s="43" t="e">
        <f t="shared" si="3"/>
        <v>#DIV/0!</v>
      </c>
      <c r="D13" s="43" t="e">
        <f t="shared" si="4"/>
        <v>#DIV/0!</v>
      </c>
      <c r="E13" s="43" t="e">
        <f t="shared" si="5"/>
        <v>#DIV/0!</v>
      </c>
      <c r="F13" s="43" t="e">
        <f t="shared" si="6"/>
        <v>#DIV/0!</v>
      </c>
      <c r="G13" s="43" t="e">
        <f t="shared" si="7"/>
        <v>#DIV/0!</v>
      </c>
      <c r="H13" s="43" t="e">
        <f t="shared" si="8"/>
        <v>#DIV/0!</v>
      </c>
      <c r="I13" s="43" t="e">
        <f t="shared" si="9"/>
        <v>#DIV/0!</v>
      </c>
      <c r="J13" s="43" t="e">
        <f t="shared" si="10"/>
        <v>#DIV/0!</v>
      </c>
      <c r="K13" s="43" t="e">
        <f t="shared" si="11"/>
        <v>#DIV/0!</v>
      </c>
      <c r="L13" s="43" t="e">
        <f t="shared" si="12"/>
        <v>#DIV/0!</v>
      </c>
      <c r="M13" s="43" t="e">
        <f t="shared" si="13"/>
        <v>#DIV/0!</v>
      </c>
      <c r="N13" s="43" t="e">
        <f t="shared" si="14"/>
        <v>#DIV/0!</v>
      </c>
      <c r="O13" s="43" t="e">
        <f t="shared" si="15"/>
        <v>#DIV/0!</v>
      </c>
      <c r="P13" s="43" t="e">
        <f t="shared" si="16"/>
        <v>#DIV/0!</v>
      </c>
      <c r="Q13" s="43" t="e">
        <f t="shared" si="17"/>
        <v>#DIV/0!</v>
      </c>
      <c r="R13" s="43" t="e">
        <f t="shared" si="18"/>
        <v>#DIV/0!</v>
      </c>
      <c r="S13" s="43" t="e">
        <f t="shared" si="19"/>
        <v>#DIV/0!</v>
      </c>
      <c r="T13" s="43" t="e">
        <f t="shared" si="20"/>
        <v>#DIV/0!</v>
      </c>
      <c r="U13" s="43" t="e">
        <f t="shared" si="21"/>
        <v>#DIV/0!</v>
      </c>
      <c r="V13" s="53" t="e">
        <f>V12+ATM_Conf!$C$5*(B12)/(B200*V200)</f>
        <v>#DIV/0!</v>
      </c>
      <c r="W13" s="53" t="e">
        <f>W12+ATM_Conf!$C$5*(C12-B12)/(C200*W200)</f>
        <v>#DIV/0!</v>
      </c>
      <c r="X13" s="53" t="e">
        <f>X12+ATM_Conf!$C$5*(D12-C12)/(D200*X200)</f>
        <v>#DIV/0!</v>
      </c>
      <c r="Y13" s="53" t="e">
        <f>Y12+ATM_Conf!$C$5*(E12-D12)/(E200*Y200)</f>
        <v>#DIV/0!</v>
      </c>
      <c r="Z13" s="53" t="e">
        <f>Z12+ATM_Conf!$C$5*(F12-E12)/(F200*Z200)</f>
        <v>#DIV/0!</v>
      </c>
      <c r="AA13" s="53" t="e">
        <f>AA12+ATM_Conf!$C$5*(G12-F12)/(G200*AA200)</f>
        <v>#DIV/0!</v>
      </c>
      <c r="AB13" s="53" t="e">
        <f>AB12+ATM_Conf!$C$5*(H12-G12)/(H200*AB200)</f>
        <v>#DIV/0!</v>
      </c>
      <c r="AC13" s="53" t="e">
        <f>AC12+ATM_Conf!$C$5*(I12-H12)/(I200*AC200)</f>
        <v>#DIV/0!</v>
      </c>
      <c r="AD13" s="53" t="e">
        <f>AD12+ATM_Conf!$C$5*(J12-I12)/(J200*AD200)</f>
        <v>#DIV/0!</v>
      </c>
      <c r="AE13" s="53" t="e">
        <f>AE12+ATM_Conf!$C$5*(K12-J12)/(K200*AE200)</f>
        <v>#DIV/0!</v>
      </c>
      <c r="AF13" s="53" t="e">
        <f>AF12+ATM_Conf!$C$5*(L12)/(L200*AF200)</f>
        <v>#DIV/0!</v>
      </c>
      <c r="AG13" s="53" t="e">
        <f>AG12+ATM_Conf!$C$5*(M12-L12)/(M200*AG200)</f>
        <v>#DIV/0!</v>
      </c>
      <c r="AH13" s="53" t="e">
        <f>AH12+ATM_Conf!$C$5*(N12-M12)/(N200*AH200)</f>
        <v>#DIV/0!</v>
      </c>
      <c r="AI13" s="53" t="e">
        <f>AI12+ATM_Conf!$C$5*(O12-N12)/(O200*AI200)</f>
        <v>#DIV/0!</v>
      </c>
      <c r="AJ13" s="53" t="e">
        <f>AJ12+ATM_Conf!$C$5*(P12-O12)/(P200*AJ200)</f>
        <v>#DIV/0!</v>
      </c>
      <c r="AK13" s="53" t="e">
        <f>AK12+ATM_Conf!$C$5*(Q12-P12)/(Q200*AK200)</f>
        <v>#DIV/0!</v>
      </c>
      <c r="AL13" s="53" t="e">
        <f>AL12+ATM_Conf!$C$5*(R12-Q12)/(R200*AL200)</f>
        <v>#DIV/0!</v>
      </c>
      <c r="AM13" s="53" t="e">
        <f>AM12+ATM_Conf!$C$5*(S12-R12)/(S200*AM200)</f>
        <v>#DIV/0!</v>
      </c>
      <c r="AN13" s="53" t="e">
        <f>AN12+ATM_Conf!$C$5*(T12-S12)/(T200*AN200)</f>
        <v>#DIV/0!</v>
      </c>
      <c r="AO13" s="53" t="e">
        <f>AO12+ATM_Conf!$C$5*(U12-T12)/(U200*AO200)</f>
        <v>#DIV/0!</v>
      </c>
      <c r="AP13" s="43" t="e">
        <f>AP12+(ATM_Conf!$C$5/ATM_Conf!$C$8)*(BJ13*EXP(-(1/CX13)*(V13/CD13)^CX13)-AP12)-(ATM_Conf!$C$5*ATM_Conf!$C$9)/(V200*ATM_Conf!$C$8)*(Nodes!BO12-V12)/(V12+ATM_Conf!$C$10)</f>
        <v>#DIV/0!</v>
      </c>
      <c r="AQ13" s="43" t="e">
        <f>AQ12+(ATM_Conf!$C$5/ATM_Conf!$C$8)*(BK13*EXP(-(1/CY13)*(W13/CE13)^CY13)-AQ12)+(ATM_Conf!$C$5/W200)*AQ12*(AP12-AQ12)-(ATM_Conf!$C$5*ATM_Conf!$C$9)/(W200*ATM_Conf!$C$8)*(X12-W12)/(W12+ATM_Conf!$C$10)</f>
        <v>#DIV/0!</v>
      </c>
      <c r="AR13" s="43" t="e">
        <f>AR12+(ATM_Conf!$C$5/ATM_Conf!$C$8)*(BL13*EXP(-(1/CZ13)*(X13/CF13)^CZ13)-AR12)+(ATM_Conf!$C$5/X200)*AR12*(Nodes!BC12-AR12)-(ATM_Conf!$C$5*ATM_Conf!$C$9)/(X200*ATM_Conf!$C$8)*(Nodes!BQ12-X12)/(X12+ATM_Conf!$C$10)</f>
        <v>#DIV/0!</v>
      </c>
      <c r="AS13" s="43" t="e">
        <f>AS12+(ATM_Conf!$C$5/ATM_Conf!$C$8)*(BM13*EXP(-(1/DA13)*(Y13/CG13)^DA13)-AS12)+(ATM_Conf!$C$5/Y200)*AS12*(AR12-AS12)-(ATM_Conf!$C$5*ATM_Conf!$C$9)/(Y200*ATM_Conf!$C$8)*(Z12-Y12)/(Y12+ATM_Conf!$C$10)</f>
        <v>#DIV/0!</v>
      </c>
      <c r="AT13" s="43" t="e">
        <f>AT12+(ATM_Conf!$C$5/ATM_Conf!$C$8)*(BN13*EXP(-(1/DB13)*(Z13/CH13)^DB13)-AT12)+(ATM_Conf!$C$5/Z200)*AT12*(Nodes!BE12-AT12)-(ATM_Conf!$C$5*ATM_Conf!$C$9)/(Z200*ATM_Conf!$C$8)*(Nodes!BS12-Z12)/(Z12+ATM_Conf!$C$10)</f>
        <v>#DIV/0!</v>
      </c>
      <c r="AU13" s="43" t="e">
        <f>AU12+(ATM_Conf!$C$5/ATM_Conf!$C$8)*(BO13*EXP(-(1/DC13)*(AA13/CI13)^DC13)-AU12)+(ATM_Conf!$C$5/AA200)*AU12*(Nodes!BF12-AU12)-(ATM_Conf!$C$5*ATM_Conf!$C$9)/(AA200*ATM_Conf!$C$8)*(Nodes!BV12-AA12)/(AA12+ATM_Conf!$C$10)</f>
        <v>#DIV/0!</v>
      </c>
      <c r="AV13" s="43" t="e">
        <f>AV12+(ATM_Conf!$C$5/ATM_Conf!$C$8)*(BP13*EXP(-(1/DD13)*(AB13/CJ13)^DD13)-AV12)+(ATM_Conf!$C$5/AB200)*AV12*(AU12-AV12)-(ATM_Conf!$C$5*ATM_Conf!$C$9)/(AB200*ATM_Conf!$C$8)*(AC12-AB12)/(AB12+ATM_Conf!$C$10)</f>
        <v>#DIV/0!</v>
      </c>
      <c r="AW13" s="43" t="e">
        <f>AW12+(ATM_Conf!$C$5/ATM_Conf!$C$8)*(BQ13*EXP(-(1/DE13)*(AC13/CK13)^DE13)-AW12)+(ATM_Conf!$C$5/AC200)*AW12*(AV12-AW12)-(ATM_Conf!$C$5*ATM_Conf!$C$9)/(AC200*ATM_Conf!$C$8)*(AD12-AC12)/(AC12+ATM_Conf!$C$10)</f>
        <v>#DIV/0!</v>
      </c>
      <c r="AX13" s="43" t="e">
        <f>AX12+(ATM_Conf!$C$5/ATM_Conf!$C$8)*(BR13*EXP(-(1/DF13)*(AD13/CL13)^DF13)-AX12)+(ATM_Conf!$C$5/AD200)*AX12*(Nodes!BG12-AX12)-(ATM_Conf!$C$5*ATM_Conf!$C$9)/(AD200*ATM_Conf!$C$8)*(Nodes!BU12-AD12)/(AD12+ATM_Conf!$C$10)</f>
        <v>#DIV/0!</v>
      </c>
      <c r="AY13" s="43" t="e">
        <f>AY12+(ATM_Conf!$C$5/ATM_Conf!$C$8)*(BS13*EXP(-(1/DG13)*(AE13/CM13)^DG13)-AY12)+(ATM_Conf!$C$5/AE200)*AY12*(Nodes!BF12-AY12)</f>
        <v>#DIV/0!</v>
      </c>
      <c r="AZ13" s="43" t="e">
        <f>AZ12+(ATM_Conf!$C$5/ATM_Conf!$C$8)*(BT13*EXP(-(1/DH13)*(AF13/CN13)^DH13)-AZ12)-(ATM_Conf!$C$5*ATM_Conf!$C$9)/(AF200*ATM_Conf!$C$8)*(Nodes!BV12-AF12)/(AF12+ATM_Conf!$C$10)</f>
        <v>#DIV/0!</v>
      </c>
      <c r="BA13" s="43" t="e">
        <f>BA12+(ATM_Conf!$C$5/ATM_Conf!$C$8)*(BU13*EXP(-(1/DI13)*(AG13/CO13)^DI13)-BA12)+(ATM_Conf!$C$5/AG200)*BA12*(Nodes!BI12-BA12)-(ATM_Conf!$C$5*ATM_Conf!$C$9)/(AG200*ATM_Conf!$C$8)*(Nodes!BW12-AG12)/(AG12+ATM_Conf!$C$10)</f>
        <v>#DIV/0!</v>
      </c>
      <c r="BB13" s="43" t="e">
        <f>BB12+(ATM_Conf!$C$5/ATM_Conf!$C$8)*(BV13*EXP(-(1/DJ13)*(AH13/CP13)^DJ13)-BB12)+(ATM_Conf!$C$5/AH200)*BB12*(Nodes!BJ12-BB12)-(ATM_Conf!$C$5*ATM_Conf!$C$9)/(AH200*ATM_Conf!$C$8)*(AI12-AH12)/(AH12+ATM_Conf!$C$10)</f>
        <v>#DIV/0!</v>
      </c>
      <c r="BC13" s="43" t="e">
        <f>BC12+(ATM_Conf!$C$5/ATM_Conf!$C$8)*(BW13*EXP(-(1/DK13)*(AI13/CQ13)^DK13)-BC12)+(ATM_Conf!$C$5/AI200)*BC12*(BB12-BC12)-(ATM_Conf!$C$5*ATM_Conf!$C$9)/(AI200*ATM_Conf!$C$8)*(AJ12-AI12)/(AI12+ATM_Conf!$C$10)</f>
        <v>#DIV/0!</v>
      </c>
      <c r="BD13" s="43" t="e">
        <f>BD12+(ATM_Conf!$C$5/ATM_Conf!$C$8)*(BX13*EXP(-(1/DL13)*(AJ13/CR13)^DL13)-BD12)+(ATM_Conf!$C$5/AJ200)*BD12*(BC12-BD12)-(ATM_Conf!$C$5*ATM_Conf!$C$9)/(AJ200*ATM_Conf!$C$8)*(Nodes!BX12-AJ12)/(AJ12+ATM_Conf!$C$10)</f>
        <v>#DIV/0!</v>
      </c>
      <c r="BE13" s="43" t="e">
        <f>BE12+(ATM_Conf!$C$5/ATM_Conf!$C$8)*(BY13*EXP(-(1/DM13)*(AK13/CS13)^DM13)-BE12)+(ATM_Conf!$C$5/AK200)*BE12*(Nodes!BK12-BE12)-(ATM_Conf!$C$5*ATM_Conf!$C$9)/(AK200*ATM_Conf!$C$8)*(Nodes!BY12-AK12)/(AK12+ATM_Conf!$C$10)</f>
        <v>#DIV/0!</v>
      </c>
      <c r="BF13" s="43" t="e">
        <f>BF12+(ATM_Conf!$C$5/ATM_Conf!$C$8)*(BZ13*EXP(-(1/DN13)*(AL13/CT13)^DN13)-BF12)+(ATM_Conf!$C$5/AL200)*BF12*(BE12-BF12)-(ATM_Conf!$C$5*ATM_Conf!$C$9)/(AL200*ATM_Conf!$C$8)*(AM12-AL12)/(AL12+ATM_Conf!$C$10)</f>
        <v>#DIV/0!</v>
      </c>
      <c r="BG13" s="43" t="e">
        <f>BG12+(ATM_Conf!$C$5/ATM_Conf!$C$8)*(CA13*EXP(-(1/DO13)*(AM13/CU13)^DO13)-BG12)+(ATM_Conf!$C$5/AM200)*BG12*(Nodes!BM12-BG12)-(ATM_Conf!$C$5*ATM_Conf!$C$9)/(AM200*ATM_Conf!$C$8)*(Nodes!CA12-AM12)/(AM12+ATM_Conf!$C$10)</f>
        <v>#DIV/0!</v>
      </c>
      <c r="BH13" s="43" t="e">
        <f>BH12+(ATM_Conf!$C$5/ATM_Conf!$C$8)*(CB13*EXP(-(1/DP13)*(AN13/CV13)^DP13)-BH12)+(ATM_Conf!$C$5/AN200)*BH12*(BG12-BH12)-(ATM_Conf!$C$5*ATM_Conf!$C$9)/(AN200*ATM_Conf!$C$8)*(AO12-AN12)/(AN12+ATM_Conf!$C$10)</f>
        <v>#DIV/0!</v>
      </c>
      <c r="BI13" s="43" t="e">
        <f>BI12+(ATM_Conf!$C$5/ATM_Conf!$C$8)*(CC13*EXP(-(1/DQ13)*(AO13/CW13)^DQ13)-BI12)+(ATM_Conf!$C$5/AO200)*BI12*(BH12-BI12)</f>
        <v>#DIV/0!</v>
      </c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53"/>
      <c r="CY13" s="53"/>
      <c r="CZ13" s="53"/>
      <c r="DA13" s="53"/>
      <c r="DB13" s="53"/>
      <c r="DC13" s="53"/>
      <c r="DD13" s="53"/>
      <c r="DE13" s="53"/>
      <c r="DF13" s="53"/>
      <c r="DG13" s="53"/>
      <c r="DH13" s="53"/>
      <c r="DI13" s="53"/>
      <c r="DJ13" s="53"/>
      <c r="DK13" s="53"/>
      <c r="DL13" s="53"/>
      <c r="DM13" s="53"/>
      <c r="DN13" s="53"/>
      <c r="DO13" s="53"/>
      <c r="DP13" s="53"/>
      <c r="DQ13" s="53"/>
      <c r="DR13" s="43">
        <f t="shared" si="23"/>
        <v>0</v>
      </c>
      <c r="DS13" s="43">
        <f t="shared" si="22"/>
        <v>0</v>
      </c>
      <c r="DT13" s="43">
        <f t="shared" si="22"/>
        <v>0</v>
      </c>
      <c r="DU13" s="43">
        <f t="shared" si="22"/>
        <v>0</v>
      </c>
      <c r="DV13" s="43">
        <f t="shared" si="22"/>
        <v>0</v>
      </c>
      <c r="DW13" s="43">
        <f t="shared" si="22"/>
        <v>0</v>
      </c>
      <c r="DX13" s="43">
        <f t="shared" si="22"/>
        <v>0</v>
      </c>
      <c r="DY13" s="43">
        <f t="shared" si="22"/>
        <v>0</v>
      </c>
      <c r="DZ13" s="43">
        <f t="shared" si="22"/>
        <v>0</v>
      </c>
      <c r="EA13" s="43">
        <f t="shared" si="22"/>
        <v>0</v>
      </c>
      <c r="EB13" s="43">
        <f t="shared" si="22"/>
        <v>0</v>
      </c>
      <c r="EC13" s="43">
        <f t="shared" si="22"/>
        <v>0</v>
      </c>
      <c r="ED13" s="43">
        <f t="shared" si="22"/>
        <v>0</v>
      </c>
      <c r="EE13" s="43">
        <f t="shared" si="22"/>
        <v>0</v>
      </c>
      <c r="EF13" s="43">
        <f t="shared" si="22"/>
        <v>0</v>
      </c>
      <c r="EG13" s="43">
        <f t="shared" si="22"/>
        <v>0</v>
      </c>
      <c r="EH13" s="43">
        <f t="shared" si="22"/>
        <v>0</v>
      </c>
      <c r="EI13" s="43">
        <f t="shared" si="22"/>
        <v>0</v>
      </c>
      <c r="EJ13" s="43">
        <f t="shared" si="22"/>
        <v>0</v>
      </c>
      <c r="EK13" s="43">
        <f t="shared" si="22"/>
        <v>0</v>
      </c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47"/>
      <c r="FA13" s="47"/>
      <c r="FB13" s="47"/>
      <c r="FC13" s="47"/>
      <c r="FD13" s="47"/>
      <c r="FE13" s="47"/>
    </row>
    <row r="14" spans="1:161" ht="14.25" x14ac:dyDescent="0.15">
      <c r="A14" s="46"/>
      <c r="B14" s="43" t="e">
        <f t="shared" si="2"/>
        <v>#DIV/0!</v>
      </c>
      <c r="C14" s="43" t="e">
        <f t="shared" si="3"/>
        <v>#DIV/0!</v>
      </c>
      <c r="D14" s="43" t="e">
        <f t="shared" si="4"/>
        <v>#DIV/0!</v>
      </c>
      <c r="E14" s="43" t="e">
        <f t="shared" si="5"/>
        <v>#DIV/0!</v>
      </c>
      <c r="F14" s="43" t="e">
        <f t="shared" si="6"/>
        <v>#DIV/0!</v>
      </c>
      <c r="G14" s="43" t="e">
        <f t="shared" si="7"/>
        <v>#DIV/0!</v>
      </c>
      <c r="H14" s="43" t="e">
        <f t="shared" si="8"/>
        <v>#DIV/0!</v>
      </c>
      <c r="I14" s="43" t="e">
        <f t="shared" si="9"/>
        <v>#DIV/0!</v>
      </c>
      <c r="J14" s="43" t="e">
        <f t="shared" si="10"/>
        <v>#DIV/0!</v>
      </c>
      <c r="K14" s="43" t="e">
        <f t="shared" si="11"/>
        <v>#DIV/0!</v>
      </c>
      <c r="L14" s="43" t="e">
        <f t="shared" si="12"/>
        <v>#DIV/0!</v>
      </c>
      <c r="M14" s="43" t="e">
        <f t="shared" si="13"/>
        <v>#DIV/0!</v>
      </c>
      <c r="N14" s="43" t="e">
        <f t="shared" si="14"/>
        <v>#DIV/0!</v>
      </c>
      <c r="O14" s="43" t="e">
        <f t="shared" si="15"/>
        <v>#DIV/0!</v>
      </c>
      <c r="P14" s="43" t="e">
        <f t="shared" si="16"/>
        <v>#DIV/0!</v>
      </c>
      <c r="Q14" s="43" t="e">
        <f t="shared" si="17"/>
        <v>#DIV/0!</v>
      </c>
      <c r="R14" s="43" t="e">
        <f t="shared" si="18"/>
        <v>#DIV/0!</v>
      </c>
      <c r="S14" s="43" t="e">
        <f t="shared" si="19"/>
        <v>#DIV/0!</v>
      </c>
      <c r="T14" s="43" t="e">
        <f t="shared" si="20"/>
        <v>#DIV/0!</v>
      </c>
      <c r="U14" s="43" t="e">
        <f t="shared" si="21"/>
        <v>#DIV/0!</v>
      </c>
      <c r="V14" s="53" t="e">
        <f>V13+ATM_Conf!$C$5*(B13)/(B201*V201)</f>
        <v>#DIV/0!</v>
      </c>
      <c r="W14" s="53" t="e">
        <f>W13+ATM_Conf!$C$5*(C13-B13)/(C201*W201)</f>
        <v>#DIV/0!</v>
      </c>
      <c r="X14" s="53" t="e">
        <f>X13+ATM_Conf!$C$5*(D13-C13)/(D201*X201)</f>
        <v>#DIV/0!</v>
      </c>
      <c r="Y14" s="53" t="e">
        <f>Y13+ATM_Conf!$C$5*(E13-D13)/(E201*Y201)</f>
        <v>#DIV/0!</v>
      </c>
      <c r="Z14" s="53" t="e">
        <f>Z13+ATM_Conf!$C$5*(F13-E13)/(F201*Z201)</f>
        <v>#DIV/0!</v>
      </c>
      <c r="AA14" s="53" t="e">
        <f>AA13+ATM_Conf!$C$5*(G13-F13)/(G201*AA201)</f>
        <v>#DIV/0!</v>
      </c>
      <c r="AB14" s="53" t="e">
        <f>AB13+ATM_Conf!$C$5*(H13-G13)/(H201*AB201)</f>
        <v>#DIV/0!</v>
      </c>
      <c r="AC14" s="53" t="e">
        <f>AC13+ATM_Conf!$C$5*(I13-H13)/(I201*AC201)</f>
        <v>#DIV/0!</v>
      </c>
      <c r="AD14" s="53" t="e">
        <f>AD13+ATM_Conf!$C$5*(J13-I13)/(J201*AD201)</f>
        <v>#DIV/0!</v>
      </c>
      <c r="AE14" s="53" t="e">
        <f>AE13+ATM_Conf!$C$5*(K13-J13)/(K201*AE201)</f>
        <v>#DIV/0!</v>
      </c>
      <c r="AF14" s="53" t="e">
        <f>AF13+ATM_Conf!$C$5*(L13)/(L201*AF201)</f>
        <v>#DIV/0!</v>
      </c>
      <c r="AG14" s="53" t="e">
        <f>AG13+ATM_Conf!$C$5*(M13-L13)/(M201*AG201)</f>
        <v>#DIV/0!</v>
      </c>
      <c r="AH14" s="53" t="e">
        <f>AH13+ATM_Conf!$C$5*(N13-M13)/(N201*AH201)</f>
        <v>#DIV/0!</v>
      </c>
      <c r="AI14" s="53" t="e">
        <f>AI13+ATM_Conf!$C$5*(O13-N13)/(O201*AI201)</f>
        <v>#DIV/0!</v>
      </c>
      <c r="AJ14" s="53" t="e">
        <f>AJ13+ATM_Conf!$C$5*(P13-O13)/(P201*AJ201)</f>
        <v>#DIV/0!</v>
      </c>
      <c r="AK14" s="53" t="e">
        <f>AK13+ATM_Conf!$C$5*(Q13-P13)/(Q201*AK201)</f>
        <v>#DIV/0!</v>
      </c>
      <c r="AL14" s="53" t="e">
        <f>AL13+ATM_Conf!$C$5*(R13-Q13)/(R201*AL201)</f>
        <v>#DIV/0!</v>
      </c>
      <c r="AM14" s="53" t="e">
        <f>AM13+ATM_Conf!$C$5*(S13-R13)/(S201*AM201)</f>
        <v>#DIV/0!</v>
      </c>
      <c r="AN14" s="53" t="e">
        <f>AN13+ATM_Conf!$C$5*(T13-S13)/(T201*AN201)</f>
        <v>#DIV/0!</v>
      </c>
      <c r="AO14" s="53" t="e">
        <f>AO13+ATM_Conf!$C$5*(U13-T13)/(U201*AO201)</f>
        <v>#DIV/0!</v>
      </c>
      <c r="AP14" s="43" t="e">
        <f>AP13+(ATM_Conf!$C$5/ATM_Conf!$C$8)*(BJ14*EXP(-(1/CX14)*(V14/CD14)^CX14)-AP13)-(ATM_Conf!$C$5*ATM_Conf!$C$9)/(V201*ATM_Conf!$C$8)*(Nodes!BO13-V13)/(V13+ATM_Conf!$C$10)</f>
        <v>#DIV/0!</v>
      </c>
      <c r="AQ14" s="43" t="e">
        <f>AQ13+(ATM_Conf!$C$5/ATM_Conf!$C$8)*(BK14*EXP(-(1/CY14)*(W14/CE14)^CY14)-AQ13)+(ATM_Conf!$C$5/W201)*AQ13*(AP13-AQ13)-(ATM_Conf!$C$5*ATM_Conf!$C$9)/(W201*ATM_Conf!$C$8)*(X13-W13)/(W13+ATM_Conf!$C$10)</f>
        <v>#DIV/0!</v>
      </c>
      <c r="AR14" s="43" t="e">
        <f>AR13+(ATM_Conf!$C$5/ATM_Conf!$C$8)*(BL14*EXP(-(1/CZ14)*(X14/CF14)^CZ14)-AR13)+(ATM_Conf!$C$5/X201)*AR13*(Nodes!BC13-AR13)-(ATM_Conf!$C$5*ATM_Conf!$C$9)/(X201*ATM_Conf!$C$8)*(Nodes!BQ13-X13)/(X13+ATM_Conf!$C$10)</f>
        <v>#DIV/0!</v>
      </c>
      <c r="AS14" s="43" t="e">
        <f>AS13+(ATM_Conf!$C$5/ATM_Conf!$C$8)*(BM14*EXP(-(1/DA14)*(Y14/CG14)^DA14)-AS13)+(ATM_Conf!$C$5/Y201)*AS13*(AR13-AS13)-(ATM_Conf!$C$5*ATM_Conf!$C$9)/(Y201*ATM_Conf!$C$8)*(Z13-Y13)/(Y13+ATM_Conf!$C$10)</f>
        <v>#DIV/0!</v>
      </c>
      <c r="AT14" s="43" t="e">
        <f>AT13+(ATM_Conf!$C$5/ATM_Conf!$C$8)*(BN14*EXP(-(1/DB14)*(Z14/CH14)^DB14)-AT13)+(ATM_Conf!$C$5/Z201)*AT13*(Nodes!BE13-AT13)-(ATM_Conf!$C$5*ATM_Conf!$C$9)/(Z201*ATM_Conf!$C$8)*(Nodes!BS13-Z13)/(Z13+ATM_Conf!$C$10)</f>
        <v>#DIV/0!</v>
      </c>
      <c r="AU14" s="43" t="e">
        <f>AU13+(ATM_Conf!$C$5/ATM_Conf!$C$8)*(BO14*EXP(-(1/DC14)*(AA14/CI14)^DC14)-AU13)+(ATM_Conf!$C$5/AA201)*AU13*(Nodes!BF13-AU13)-(ATM_Conf!$C$5*ATM_Conf!$C$9)/(AA201*ATM_Conf!$C$8)*(Nodes!BV13-AA13)/(AA13+ATM_Conf!$C$10)</f>
        <v>#DIV/0!</v>
      </c>
      <c r="AV14" s="43" t="e">
        <f>AV13+(ATM_Conf!$C$5/ATM_Conf!$C$8)*(BP14*EXP(-(1/DD14)*(AB14/CJ14)^DD14)-AV13)+(ATM_Conf!$C$5/AB201)*AV13*(AU13-AV13)-(ATM_Conf!$C$5*ATM_Conf!$C$9)/(AB201*ATM_Conf!$C$8)*(AC13-AB13)/(AB13+ATM_Conf!$C$10)</f>
        <v>#DIV/0!</v>
      </c>
      <c r="AW14" s="43" t="e">
        <f>AW13+(ATM_Conf!$C$5/ATM_Conf!$C$8)*(BQ14*EXP(-(1/DE14)*(AC14/CK14)^DE14)-AW13)+(ATM_Conf!$C$5/AC201)*AW13*(AV13-AW13)-(ATM_Conf!$C$5*ATM_Conf!$C$9)/(AC201*ATM_Conf!$C$8)*(AD13-AC13)/(AC13+ATM_Conf!$C$10)</f>
        <v>#DIV/0!</v>
      </c>
      <c r="AX14" s="43" t="e">
        <f>AX13+(ATM_Conf!$C$5/ATM_Conf!$C$8)*(BR14*EXP(-(1/DF14)*(AD14/CL14)^DF14)-AX13)+(ATM_Conf!$C$5/AD201)*AX13*(Nodes!BG13-AX13)-(ATM_Conf!$C$5*ATM_Conf!$C$9)/(AD201*ATM_Conf!$C$8)*(Nodes!BU13-AD13)/(AD13+ATM_Conf!$C$10)</f>
        <v>#DIV/0!</v>
      </c>
      <c r="AY14" s="43" t="e">
        <f>AY13+(ATM_Conf!$C$5/ATM_Conf!$C$8)*(BS14*EXP(-(1/DG14)*(AE14/CM14)^DG14)-AY13)+(ATM_Conf!$C$5/AE201)*AY13*(Nodes!BF13-AY13)</f>
        <v>#DIV/0!</v>
      </c>
      <c r="AZ14" s="43" t="e">
        <f>AZ13+(ATM_Conf!$C$5/ATM_Conf!$C$8)*(BT14*EXP(-(1/DH14)*(AF14/CN14)^DH14)-AZ13)-(ATM_Conf!$C$5*ATM_Conf!$C$9)/(AF201*ATM_Conf!$C$8)*(Nodes!BV13-AF13)/(AF13+ATM_Conf!$C$10)</f>
        <v>#DIV/0!</v>
      </c>
      <c r="BA14" s="43" t="e">
        <f>BA13+(ATM_Conf!$C$5/ATM_Conf!$C$8)*(BU14*EXP(-(1/DI14)*(AG14/CO14)^DI14)-BA13)+(ATM_Conf!$C$5/AG201)*BA13*(Nodes!BI13-BA13)-(ATM_Conf!$C$5*ATM_Conf!$C$9)/(AG201*ATM_Conf!$C$8)*(Nodes!BW13-AG13)/(AG13+ATM_Conf!$C$10)</f>
        <v>#DIV/0!</v>
      </c>
      <c r="BB14" s="43" t="e">
        <f>BB13+(ATM_Conf!$C$5/ATM_Conf!$C$8)*(BV14*EXP(-(1/DJ14)*(AH14/CP14)^DJ14)-BB13)+(ATM_Conf!$C$5/AH201)*BB13*(Nodes!BJ13-BB13)-(ATM_Conf!$C$5*ATM_Conf!$C$9)/(AH201*ATM_Conf!$C$8)*(AI13-AH13)/(AH13+ATM_Conf!$C$10)</f>
        <v>#DIV/0!</v>
      </c>
      <c r="BC14" s="43" t="e">
        <f>BC13+(ATM_Conf!$C$5/ATM_Conf!$C$8)*(BW14*EXP(-(1/DK14)*(AI14/CQ14)^DK14)-BC13)+(ATM_Conf!$C$5/AI201)*BC13*(BB13-BC13)-(ATM_Conf!$C$5*ATM_Conf!$C$9)/(AI201*ATM_Conf!$C$8)*(AJ13-AI13)/(AI13+ATM_Conf!$C$10)</f>
        <v>#DIV/0!</v>
      </c>
      <c r="BD14" s="43" t="e">
        <f>BD13+(ATM_Conf!$C$5/ATM_Conf!$C$8)*(BX14*EXP(-(1/DL14)*(AJ14/CR14)^DL14)-BD13)+(ATM_Conf!$C$5/AJ201)*BD13*(BC13-BD13)-(ATM_Conf!$C$5*ATM_Conf!$C$9)/(AJ201*ATM_Conf!$C$8)*(Nodes!BX13-AJ13)/(AJ13+ATM_Conf!$C$10)</f>
        <v>#DIV/0!</v>
      </c>
      <c r="BE14" s="43" t="e">
        <f>BE13+(ATM_Conf!$C$5/ATM_Conf!$C$8)*(BY14*EXP(-(1/DM14)*(AK14/CS14)^DM14)-BE13)+(ATM_Conf!$C$5/AK201)*BE13*(Nodes!BK13-BE13)-(ATM_Conf!$C$5*ATM_Conf!$C$9)/(AK201*ATM_Conf!$C$8)*(Nodes!BY13-AK13)/(AK13+ATM_Conf!$C$10)</f>
        <v>#DIV/0!</v>
      </c>
      <c r="BF14" s="43" t="e">
        <f>BF13+(ATM_Conf!$C$5/ATM_Conf!$C$8)*(BZ14*EXP(-(1/DN14)*(AL14/CT14)^DN14)-BF13)+(ATM_Conf!$C$5/AL201)*BF13*(BE13-BF13)-(ATM_Conf!$C$5*ATM_Conf!$C$9)/(AL201*ATM_Conf!$C$8)*(AM13-AL13)/(AL13+ATM_Conf!$C$10)</f>
        <v>#DIV/0!</v>
      </c>
      <c r="BG14" s="43" t="e">
        <f>BG13+(ATM_Conf!$C$5/ATM_Conf!$C$8)*(CA14*EXP(-(1/DO14)*(AM14/CU14)^DO14)-BG13)+(ATM_Conf!$C$5/AM201)*BG13*(Nodes!BM13-BG13)-(ATM_Conf!$C$5*ATM_Conf!$C$9)/(AM201*ATM_Conf!$C$8)*(Nodes!CA13-AM13)/(AM13+ATM_Conf!$C$10)</f>
        <v>#DIV/0!</v>
      </c>
      <c r="BH14" s="43" t="e">
        <f>BH13+(ATM_Conf!$C$5/ATM_Conf!$C$8)*(CB14*EXP(-(1/DP14)*(AN14/CV14)^DP14)-BH13)+(ATM_Conf!$C$5/AN201)*BH13*(BG13-BH13)-(ATM_Conf!$C$5*ATM_Conf!$C$9)/(AN201*ATM_Conf!$C$8)*(AO13-AN13)/(AN13+ATM_Conf!$C$10)</f>
        <v>#DIV/0!</v>
      </c>
      <c r="BI14" s="43" t="e">
        <f>BI13+(ATM_Conf!$C$5/ATM_Conf!$C$8)*(CC14*EXP(-(1/DQ14)*(AO14/CW14)^DQ14)-BI13)+(ATM_Conf!$C$5/AO201)*BI13*(BH13-BI13)</f>
        <v>#DIV/0!</v>
      </c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  <c r="CW14" s="4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43">
        <f t="shared" si="23"/>
        <v>0</v>
      </c>
      <c r="DS14" s="43">
        <f t="shared" si="22"/>
        <v>0</v>
      </c>
      <c r="DT14" s="43">
        <f t="shared" si="22"/>
        <v>0</v>
      </c>
      <c r="DU14" s="43">
        <f t="shared" si="22"/>
        <v>0</v>
      </c>
      <c r="DV14" s="43">
        <f t="shared" si="22"/>
        <v>0</v>
      </c>
      <c r="DW14" s="43">
        <f t="shared" si="22"/>
        <v>0</v>
      </c>
      <c r="DX14" s="43">
        <f t="shared" si="22"/>
        <v>0</v>
      </c>
      <c r="DY14" s="43">
        <f t="shared" si="22"/>
        <v>0</v>
      </c>
      <c r="DZ14" s="43">
        <f t="shared" si="22"/>
        <v>0</v>
      </c>
      <c r="EA14" s="43">
        <f t="shared" si="22"/>
        <v>0</v>
      </c>
      <c r="EB14" s="43">
        <f t="shared" si="22"/>
        <v>0</v>
      </c>
      <c r="EC14" s="43">
        <f t="shared" si="22"/>
        <v>0</v>
      </c>
      <c r="ED14" s="43">
        <f t="shared" si="22"/>
        <v>0</v>
      </c>
      <c r="EE14" s="43">
        <f t="shared" si="22"/>
        <v>0</v>
      </c>
      <c r="EF14" s="43">
        <f t="shared" si="22"/>
        <v>0</v>
      </c>
      <c r="EG14" s="43">
        <f t="shared" si="22"/>
        <v>0</v>
      </c>
      <c r="EH14" s="43">
        <f t="shared" si="22"/>
        <v>0</v>
      </c>
      <c r="EI14" s="43">
        <f t="shared" si="22"/>
        <v>0</v>
      </c>
      <c r="EJ14" s="43">
        <f t="shared" si="22"/>
        <v>0</v>
      </c>
      <c r="EK14" s="43">
        <f t="shared" si="22"/>
        <v>0</v>
      </c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</row>
    <row r="15" spans="1:161" ht="14.25" x14ac:dyDescent="0.15">
      <c r="A15" s="46"/>
      <c r="B15" s="43" t="e">
        <f t="shared" si="2"/>
        <v>#DIV/0!</v>
      </c>
      <c r="C15" s="43" t="e">
        <f t="shared" si="3"/>
        <v>#DIV/0!</v>
      </c>
      <c r="D15" s="43" t="e">
        <f t="shared" si="4"/>
        <v>#DIV/0!</v>
      </c>
      <c r="E15" s="43" t="e">
        <f t="shared" si="5"/>
        <v>#DIV/0!</v>
      </c>
      <c r="F15" s="43" t="e">
        <f t="shared" si="6"/>
        <v>#DIV/0!</v>
      </c>
      <c r="G15" s="43" t="e">
        <f t="shared" si="7"/>
        <v>#DIV/0!</v>
      </c>
      <c r="H15" s="43" t="e">
        <f t="shared" si="8"/>
        <v>#DIV/0!</v>
      </c>
      <c r="I15" s="43" t="e">
        <f t="shared" si="9"/>
        <v>#DIV/0!</v>
      </c>
      <c r="J15" s="43" t="e">
        <f t="shared" si="10"/>
        <v>#DIV/0!</v>
      </c>
      <c r="K15" s="43" t="e">
        <f t="shared" si="11"/>
        <v>#DIV/0!</v>
      </c>
      <c r="L15" s="43" t="e">
        <f t="shared" si="12"/>
        <v>#DIV/0!</v>
      </c>
      <c r="M15" s="43" t="e">
        <f t="shared" si="13"/>
        <v>#DIV/0!</v>
      </c>
      <c r="N15" s="43" t="e">
        <f t="shared" si="14"/>
        <v>#DIV/0!</v>
      </c>
      <c r="O15" s="43" t="e">
        <f t="shared" si="15"/>
        <v>#DIV/0!</v>
      </c>
      <c r="P15" s="43" t="e">
        <f t="shared" si="16"/>
        <v>#DIV/0!</v>
      </c>
      <c r="Q15" s="43" t="e">
        <f t="shared" si="17"/>
        <v>#DIV/0!</v>
      </c>
      <c r="R15" s="43" t="e">
        <f t="shared" si="18"/>
        <v>#DIV/0!</v>
      </c>
      <c r="S15" s="43" t="e">
        <f t="shared" si="19"/>
        <v>#DIV/0!</v>
      </c>
      <c r="T15" s="43" t="e">
        <f t="shared" si="20"/>
        <v>#DIV/0!</v>
      </c>
      <c r="U15" s="43" t="e">
        <f t="shared" si="21"/>
        <v>#DIV/0!</v>
      </c>
      <c r="V15" s="53" t="e">
        <f>V14+ATM_Conf!$C$5*(B14)/(B202*V202)</f>
        <v>#DIV/0!</v>
      </c>
      <c r="W15" s="53" t="e">
        <f>W14+ATM_Conf!$C$5*(C14-B14)/(C202*W202)</f>
        <v>#DIV/0!</v>
      </c>
      <c r="X15" s="53" t="e">
        <f>X14+ATM_Conf!$C$5*(D14-C14)/(D202*X202)</f>
        <v>#DIV/0!</v>
      </c>
      <c r="Y15" s="53" t="e">
        <f>Y14+ATM_Conf!$C$5*(E14-D14)/(E202*Y202)</f>
        <v>#DIV/0!</v>
      </c>
      <c r="Z15" s="53" t="e">
        <f>Z14+ATM_Conf!$C$5*(F14-E14)/(F202*Z202)</f>
        <v>#DIV/0!</v>
      </c>
      <c r="AA15" s="53" t="e">
        <f>AA14+ATM_Conf!$C$5*(G14-F14)/(G202*AA202)</f>
        <v>#DIV/0!</v>
      </c>
      <c r="AB15" s="53" t="e">
        <f>AB14+ATM_Conf!$C$5*(H14-G14)/(H202*AB202)</f>
        <v>#DIV/0!</v>
      </c>
      <c r="AC15" s="53" t="e">
        <f>AC14+ATM_Conf!$C$5*(I14-H14)/(I202*AC202)</f>
        <v>#DIV/0!</v>
      </c>
      <c r="AD15" s="53" t="e">
        <f>AD14+ATM_Conf!$C$5*(J14-I14)/(J202*AD202)</f>
        <v>#DIV/0!</v>
      </c>
      <c r="AE15" s="53" t="e">
        <f>AE14+ATM_Conf!$C$5*(K14-J14)/(K202*AE202)</f>
        <v>#DIV/0!</v>
      </c>
      <c r="AF15" s="53" t="e">
        <f>AF14+ATM_Conf!$C$5*(L14)/(L202*AF202)</f>
        <v>#DIV/0!</v>
      </c>
      <c r="AG15" s="53" t="e">
        <f>AG14+ATM_Conf!$C$5*(M14-L14)/(M202*AG202)</f>
        <v>#DIV/0!</v>
      </c>
      <c r="AH15" s="53" t="e">
        <f>AH14+ATM_Conf!$C$5*(N14-M14)/(N202*AH202)</f>
        <v>#DIV/0!</v>
      </c>
      <c r="AI15" s="53" t="e">
        <f>AI14+ATM_Conf!$C$5*(O14-N14)/(O202*AI202)</f>
        <v>#DIV/0!</v>
      </c>
      <c r="AJ15" s="53" t="e">
        <f>AJ14+ATM_Conf!$C$5*(P14-O14)/(P202*AJ202)</f>
        <v>#DIV/0!</v>
      </c>
      <c r="AK15" s="53" t="e">
        <f>AK14+ATM_Conf!$C$5*(Q14-P14)/(Q202*AK202)</f>
        <v>#DIV/0!</v>
      </c>
      <c r="AL15" s="53" t="e">
        <f>AL14+ATM_Conf!$C$5*(R14-Q14)/(R202*AL202)</f>
        <v>#DIV/0!</v>
      </c>
      <c r="AM15" s="53" t="e">
        <f>AM14+ATM_Conf!$C$5*(S14-R14)/(S202*AM202)</f>
        <v>#DIV/0!</v>
      </c>
      <c r="AN15" s="53" t="e">
        <f>AN14+ATM_Conf!$C$5*(T14-S14)/(T202*AN202)</f>
        <v>#DIV/0!</v>
      </c>
      <c r="AO15" s="53" t="e">
        <f>AO14+ATM_Conf!$C$5*(U14-T14)/(U202*AO202)</f>
        <v>#DIV/0!</v>
      </c>
      <c r="AP15" s="43" t="e">
        <f>AP14+(ATM_Conf!$C$5/ATM_Conf!$C$8)*(BJ15*EXP(-(1/CX15)*(V15/CD15)^CX15)-AP14)-(ATM_Conf!$C$5*ATM_Conf!$C$9)/(V202*ATM_Conf!$C$8)*(Nodes!BO14-V14)/(V14+ATM_Conf!$C$10)</f>
        <v>#DIV/0!</v>
      </c>
      <c r="AQ15" s="43" t="e">
        <f>AQ14+(ATM_Conf!$C$5/ATM_Conf!$C$8)*(BK15*EXP(-(1/CY15)*(W15/CE15)^CY15)-AQ14)+(ATM_Conf!$C$5/W202)*AQ14*(AP14-AQ14)-(ATM_Conf!$C$5*ATM_Conf!$C$9)/(W202*ATM_Conf!$C$8)*(X14-W14)/(W14+ATM_Conf!$C$10)</f>
        <v>#DIV/0!</v>
      </c>
      <c r="AR15" s="43" t="e">
        <f>AR14+(ATM_Conf!$C$5/ATM_Conf!$C$8)*(BL15*EXP(-(1/CZ15)*(X15/CF15)^CZ15)-AR14)+(ATM_Conf!$C$5/X202)*AR14*(Nodes!BC14-AR14)-(ATM_Conf!$C$5*ATM_Conf!$C$9)/(X202*ATM_Conf!$C$8)*(Nodes!BQ14-X14)/(X14+ATM_Conf!$C$10)</f>
        <v>#DIV/0!</v>
      </c>
      <c r="AS15" s="43" t="e">
        <f>AS14+(ATM_Conf!$C$5/ATM_Conf!$C$8)*(BM15*EXP(-(1/DA15)*(Y15/CG15)^DA15)-AS14)+(ATM_Conf!$C$5/Y202)*AS14*(AR14-AS14)-(ATM_Conf!$C$5*ATM_Conf!$C$9)/(Y202*ATM_Conf!$C$8)*(Z14-Y14)/(Y14+ATM_Conf!$C$10)</f>
        <v>#DIV/0!</v>
      </c>
      <c r="AT15" s="43" t="e">
        <f>AT14+(ATM_Conf!$C$5/ATM_Conf!$C$8)*(BN15*EXP(-(1/DB15)*(Z15/CH15)^DB15)-AT14)+(ATM_Conf!$C$5/Z202)*AT14*(Nodes!BE14-AT14)-(ATM_Conf!$C$5*ATM_Conf!$C$9)/(Z202*ATM_Conf!$C$8)*(Nodes!BS14-Z14)/(Z14+ATM_Conf!$C$10)</f>
        <v>#DIV/0!</v>
      </c>
      <c r="AU15" s="43" t="e">
        <f>AU14+(ATM_Conf!$C$5/ATM_Conf!$C$8)*(BO15*EXP(-(1/DC15)*(AA15/CI15)^DC15)-AU14)+(ATM_Conf!$C$5/AA202)*AU14*(Nodes!BF14-AU14)-(ATM_Conf!$C$5*ATM_Conf!$C$9)/(AA202*ATM_Conf!$C$8)*(Nodes!BV14-AA14)/(AA14+ATM_Conf!$C$10)</f>
        <v>#DIV/0!</v>
      </c>
      <c r="AV15" s="43" t="e">
        <f>AV14+(ATM_Conf!$C$5/ATM_Conf!$C$8)*(BP15*EXP(-(1/DD15)*(AB15/CJ15)^DD15)-AV14)+(ATM_Conf!$C$5/AB202)*AV14*(AU14-AV14)-(ATM_Conf!$C$5*ATM_Conf!$C$9)/(AB202*ATM_Conf!$C$8)*(AC14-AB14)/(AB14+ATM_Conf!$C$10)</f>
        <v>#DIV/0!</v>
      </c>
      <c r="AW15" s="43" t="e">
        <f>AW14+(ATM_Conf!$C$5/ATM_Conf!$C$8)*(BQ15*EXP(-(1/DE15)*(AC15/CK15)^DE15)-AW14)+(ATM_Conf!$C$5/AC202)*AW14*(AV14-AW14)-(ATM_Conf!$C$5*ATM_Conf!$C$9)/(AC202*ATM_Conf!$C$8)*(AD14-AC14)/(AC14+ATM_Conf!$C$10)</f>
        <v>#DIV/0!</v>
      </c>
      <c r="AX15" s="43" t="e">
        <f>AX14+(ATM_Conf!$C$5/ATM_Conf!$C$8)*(BR15*EXP(-(1/DF15)*(AD15/CL15)^DF15)-AX14)+(ATM_Conf!$C$5/AD202)*AX14*(Nodes!BG14-AX14)-(ATM_Conf!$C$5*ATM_Conf!$C$9)/(AD202*ATM_Conf!$C$8)*(Nodes!BU14-AD14)/(AD14+ATM_Conf!$C$10)</f>
        <v>#DIV/0!</v>
      </c>
      <c r="AY15" s="43" t="e">
        <f>AY14+(ATM_Conf!$C$5/ATM_Conf!$C$8)*(BS15*EXP(-(1/DG15)*(AE15/CM15)^DG15)-AY14)+(ATM_Conf!$C$5/AE202)*AY14*(Nodes!BF14-AY14)</f>
        <v>#DIV/0!</v>
      </c>
      <c r="AZ15" s="43" t="e">
        <f>AZ14+(ATM_Conf!$C$5/ATM_Conf!$C$8)*(BT15*EXP(-(1/DH15)*(AF15/CN15)^DH15)-AZ14)-(ATM_Conf!$C$5*ATM_Conf!$C$9)/(AF202*ATM_Conf!$C$8)*(Nodes!BV14-AF14)/(AF14+ATM_Conf!$C$10)</f>
        <v>#DIV/0!</v>
      </c>
      <c r="BA15" s="43" t="e">
        <f>BA14+(ATM_Conf!$C$5/ATM_Conf!$C$8)*(BU15*EXP(-(1/DI15)*(AG15/CO15)^DI15)-BA14)+(ATM_Conf!$C$5/AG202)*BA14*(Nodes!BI14-BA14)-(ATM_Conf!$C$5*ATM_Conf!$C$9)/(AG202*ATM_Conf!$C$8)*(Nodes!BW14-AG14)/(AG14+ATM_Conf!$C$10)</f>
        <v>#DIV/0!</v>
      </c>
      <c r="BB15" s="43" t="e">
        <f>BB14+(ATM_Conf!$C$5/ATM_Conf!$C$8)*(BV15*EXP(-(1/DJ15)*(AH15/CP15)^DJ15)-BB14)+(ATM_Conf!$C$5/AH202)*BB14*(Nodes!BJ14-BB14)-(ATM_Conf!$C$5*ATM_Conf!$C$9)/(AH202*ATM_Conf!$C$8)*(AI14-AH14)/(AH14+ATM_Conf!$C$10)</f>
        <v>#DIV/0!</v>
      </c>
      <c r="BC15" s="43" t="e">
        <f>BC14+(ATM_Conf!$C$5/ATM_Conf!$C$8)*(BW15*EXP(-(1/DK15)*(AI15/CQ15)^DK15)-BC14)+(ATM_Conf!$C$5/AI202)*BC14*(BB14-BC14)-(ATM_Conf!$C$5*ATM_Conf!$C$9)/(AI202*ATM_Conf!$C$8)*(AJ14-AI14)/(AI14+ATM_Conf!$C$10)</f>
        <v>#DIV/0!</v>
      </c>
      <c r="BD15" s="43" t="e">
        <f>BD14+(ATM_Conf!$C$5/ATM_Conf!$C$8)*(BX15*EXP(-(1/DL15)*(AJ15/CR15)^DL15)-BD14)+(ATM_Conf!$C$5/AJ202)*BD14*(BC14-BD14)-(ATM_Conf!$C$5*ATM_Conf!$C$9)/(AJ202*ATM_Conf!$C$8)*(Nodes!BX14-AJ14)/(AJ14+ATM_Conf!$C$10)</f>
        <v>#DIV/0!</v>
      </c>
      <c r="BE15" s="43" t="e">
        <f>BE14+(ATM_Conf!$C$5/ATM_Conf!$C$8)*(BY15*EXP(-(1/DM15)*(AK15/CS15)^DM15)-BE14)+(ATM_Conf!$C$5/AK202)*BE14*(Nodes!BK14-BE14)-(ATM_Conf!$C$5*ATM_Conf!$C$9)/(AK202*ATM_Conf!$C$8)*(Nodes!BY14-AK14)/(AK14+ATM_Conf!$C$10)</f>
        <v>#DIV/0!</v>
      </c>
      <c r="BF15" s="43" t="e">
        <f>BF14+(ATM_Conf!$C$5/ATM_Conf!$C$8)*(BZ15*EXP(-(1/DN15)*(AL15/CT15)^DN15)-BF14)+(ATM_Conf!$C$5/AL202)*BF14*(BE14-BF14)-(ATM_Conf!$C$5*ATM_Conf!$C$9)/(AL202*ATM_Conf!$C$8)*(AM14-AL14)/(AL14+ATM_Conf!$C$10)</f>
        <v>#DIV/0!</v>
      </c>
      <c r="BG15" s="43" t="e">
        <f>BG14+(ATM_Conf!$C$5/ATM_Conf!$C$8)*(CA15*EXP(-(1/DO15)*(AM15/CU15)^DO15)-BG14)+(ATM_Conf!$C$5/AM202)*BG14*(Nodes!BM14-BG14)-(ATM_Conf!$C$5*ATM_Conf!$C$9)/(AM202*ATM_Conf!$C$8)*(Nodes!CA14-AM14)/(AM14+ATM_Conf!$C$10)</f>
        <v>#DIV/0!</v>
      </c>
      <c r="BH15" s="43" t="e">
        <f>BH14+(ATM_Conf!$C$5/ATM_Conf!$C$8)*(CB15*EXP(-(1/DP15)*(AN15/CV15)^DP15)-BH14)+(ATM_Conf!$C$5/AN202)*BH14*(BG14-BH14)-(ATM_Conf!$C$5*ATM_Conf!$C$9)/(AN202*ATM_Conf!$C$8)*(AO14-AN14)/(AN14+ATM_Conf!$C$10)</f>
        <v>#DIV/0!</v>
      </c>
      <c r="BI15" s="43" t="e">
        <f>BI14+(ATM_Conf!$C$5/ATM_Conf!$C$8)*(CC15*EXP(-(1/DQ15)*(AO15/CW15)^DQ15)-BI14)+(ATM_Conf!$C$5/AO202)*BI14*(BH14-BI14)</f>
        <v>#DIV/0!</v>
      </c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  <c r="CW15" s="43"/>
      <c r="CX15" s="53"/>
      <c r="CY15" s="53"/>
      <c r="CZ15" s="53"/>
      <c r="DA15" s="53"/>
      <c r="DB15" s="53"/>
      <c r="DC15" s="53"/>
      <c r="DD15" s="53"/>
      <c r="DE15" s="53"/>
      <c r="DF15" s="53"/>
      <c r="DG15" s="53"/>
      <c r="DH15" s="53"/>
      <c r="DI15" s="53"/>
      <c r="DJ15" s="53"/>
      <c r="DK15" s="53"/>
      <c r="DL15" s="53"/>
      <c r="DM15" s="53"/>
      <c r="DN15" s="53"/>
      <c r="DO15" s="53"/>
      <c r="DP15" s="53"/>
      <c r="DQ15" s="53"/>
      <c r="DR15" s="62"/>
      <c r="DS15" s="62"/>
      <c r="DT15" s="62"/>
      <c r="DU15" s="62"/>
      <c r="DV15" s="62"/>
      <c r="DW15" s="62"/>
      <c r="DX15" s="62"/>
      <c r="DY15" s="62"/>
      <c r="DZ15" s="62"/>
      <c r="EA15" s="62"/>
      <c r="EB15" s="62"/>
      <c r="EC15" s="62"/>
      <c r="ED15" s="62"/>
      <c r="EE15" s="62"/>
      <c r="EF15" s="62"/>
      <c r="EG15" s="62"/>
      <c r="EH15" s="62"/>
      <c r="EI15" s="62"/>
      <c r="EJ15" s="62"/>
      <c r="EK15" s="62"/>
      <c r="EL15" s="47">
        <f>(DR15-DR3)^2</f>
        <v>0</v>
      </c>
      <c r="EM15" s="47">
        <f t="shared" ref="EM15:FE15" si="24">(DS15-DS3)^2</f>
        <v>0</v>
      </c>
      <c r="EN15" s="47">
        <f t="shared" si="24"/>
        <v>0</v>
      </c>
      <c r="EO15" s="47">
        <f t="shared" si="24"/>
        <v>0</v>
      </c>
      <c r="EP15" s="47">
        <f t="shared" si="24"/>
        <v>0</v>
      </c>
      <c r="EQ15" s="47">
        <f t="shared" si="24"/>
        <v>0</v>
      </c>
      <c r="ER15" s="47">
        <f t="shared" si="24"/>
        <v>0</v>
      </c>
      <c r="ES15" s="47">
        <f t="shared" si="24"/>
        <v>0</v>
      </c>
      <c r="ET15" s="47">
        <f t="shared" si="24"/>
        <v>0</v>
      </c>
      <c r="EU15" s="47">
        <f t="shared" si="24"/>
        <v>0</v>
      </c>
      <c r="EV15" s="47">
        <f t="shared" si="24"/>
        <v>0</v>
      </c>
      <c r="EW15" s="47">
        <f t="shared" si="24"/>
        <v>0</v>
      </c>
      <c r="EX15" s="47">
        <f t="shared" si="24"/>
        <v>0</v>
      </c>
      <c r="EY15" s="47">
        <f t="shared" si="24"/>
        <v>0</v>
      </c>
      <c r="EZ15" s="47">
        <f t="shared" si="24"/>
        <v>0</v>
      </c>
      <c r="FA15" s="47">
        <f t="shared" si="24"/>
        <v>0</v>
      </c>
      <c r="FB15" s="47">
        <f t="shared" si="24"/>
        <v>0</v>
      </c>
      <c r="FC15" s="47">
        <f t="shared" si="24"/>
        <v>0</v>
      </c>
      <c r="FD15" s="47">
        <f t="shared" si="24"/>
        <v>0</v>
      </c>
      <c r="FE15" s="47">
        <f t="shared" si="24"/>
        <v>0</v>
      </c>
    </row>
    <row r="16" spans="1:161" ht="14.25" x14ac:dyDescent="0.15">
      <c r="A16" s="46"/>
      <c r="B16" s="43" t="e">
        <f t="shared" si="2"/>
        <v>#DIV/0!</v>
      </c>
      <c r="C16" s="43" t="e">
        <f t="shared" si="3"/>
        <v>#DIV/0!</v>
      </c>
      <c r="D16" s="43" t="e">
        <f t="shared" si="4"/>
        <v>#DIV/0!</v>
      </c>
      <c r="E16" s="43" t="e">
        <f t="shared" si="5"/>
        <v>#DIV/0!</v>
      </c>
      <c r="F16" s="43" t="e">
        <f t="shared" si="6"/>
        <v>#DIV/0!</v>
      </c>
      <c r="G16" s="43" t="e">
        <f t="shared" si="7"/>
        <v>#DIV/0!</v>
      </c>
      <c r="H16" s="43" t="e">
        <f t="shared" si="8"/>
        <v>#DIV/0!</v>
      </c>
      <c r="I16" s="43" t="e">
        <f t="shared" si="9"/>
        <v>#DIV/0!</v>
      </c>
      <c r="J16" s="43" t="e">
        <f t="shared" si="10"/>
        <v>#DIV/0!</v>
      </c>
      <c r="K16" s="43" t="e">
        <f t="shared" si="11"/>
        <v>#DIV/0!</v>
      </c>
      <c r="L16" s="43" t="e">
        <f t="shared" si="12"/>
        <v>#DIV/0!</v>
      </c>
      <c r="M16" s="43" t="e">
        <f t="shared" si="13"/>
        <v>#DIV/0!</v>
      </c>
      <c r="N16" s="43" t="e">
        <f t="shared" si="14"/>
        <v>#DIV/0!</v>
      </c>
      <c r="O16" s="43" t="e">
        <f t="shared" si="15"/>
        <v>#DIV/0!</v>
      </c>
      <c r="P16" s="43" t="e">
        <f t="shared" si="16"/>
        <v>#DIV/0!</v>
      </c>
      <c r="Q16" s="43" t="e">
        <f t="shared" si="17"/>
        <v>#DIV/0!</v>
      </c>
      <c r="R16" s="43" t="e">
        <f t="shared" si="18"/>
        <v>#DIV/0!</v>
      </c>
      <c r="S16" s="43" t="e">
        <f t="shared" si="19"/>
        <v>#DIV/0!</v>
      </c>
      <c r="T16" s="43" t="e">
        <f t="shared" si="20"/>
        <v>#DIV/0!</v>
      </c>
      <c r="U16" s="43" t="e">
        <f t="shared" si="21"/>
        <v>#DIV/0!</v>
      </c>
      <c r="V16" s="53" t="e">
        <f>V15+ATM_Conf!$C$5*(B15)/(B203*V203)</f>
        <v>#DIV/0!</v>
      </c>
      <c r="W16" s="53" t="e">
        <f>W15+ATM_Conf!$C$5*(C15-B15)/(C203*W203)</f>
        <v>#DIV/0!</v>
      </c>
      <c r="X16" s="53" t="e">
        <f>X15+ATM_Conf!$C$5*(D15-C15)/(D203*X203)</f>
        <v>#DIV/0!</v>
      </c>
      <c r="Y16" s="53" t="e">
        <f>Y15+ATM_Conf!$C$5*(E15-D15)/(E203*Y203)</f>
        <v>#DIV/0!</v>
      </c>
      <c r="Z16" s="53" t="e">
        <f>Z15+ATM_Conf!$C$5*(F15-E15)/(F203*Z203)</f>
        <v>#DIV/0!</v>
      </c>
      <c r="AA16" s="53" t="e">
        <f>AA15+ATM_Conf!$C$5*(G15-F15)/(G203*AA203)</f>
        <v>#DIV/0!</v>
      </c>
      <c r="AB16" s="53" t="e">
        <f>AB15+ATM_Conf!$C$5*(H15-G15)/(H203*AB203)</f>
        <v>#DIV/0!</v>
      </c>
      <c r="AC16" s="53" t="e">
        <f>AC15+ATM_Conf!$C$5*(I15-H15)/(I203*AC203)</f>
        <v>#DIV/0!</v>
      </c>
      <c r="AD16" s="53" t="e">
        <f>AD15+ATM_Conf!$C$5*(J15-I15)/(J203*AD203)</f>
        <v>#DIV/0!</v>
      </c>
      <c r="AE16" s="53" t="e">
        <f>AE15+ATM_Conf!$C$5*(K15-J15)/(K203*AE203)</f>
        <v>#DIV/0!</v>
      </c>
      <c r="AF16" s="53" t="e">
        <f>AF15+ATM_Conf!$C$5*(L15)/(L203*AF203)</f>
        <v>#DIV/0!</v>
      </c>
      <c r="AG16" s="53" t="e">
        <f>AG15+ATM_Conf!$C$5*(M15-L15)/(M203*AG203)</f>
        <v>#DIV/0!</v>
      </c>
      <c r="AH16" s="53" t="e">
        <f>AH15+ATM_Conf!$C$5*(N15-M15)/(N203*AH203)</f>
        <v>#DIV/0!</v>
      </c>
      <c r="AI16" s="53" t="e">
        <f>AI15+ATM_Conf!$C$5*(O15-N15)/(O203*AI203)</f>
        <v>#DIV/0!</v>
      </c>
      <c r="AJ16" s="53" t="e">
        <f>AJ15+ATM_Conf!$C$5*(P15-O15)/(P203*AJ203)</f>
        <v>#DIV/0!</v>
      </c>
      <c r="AK16" s="53" t="e">
        <f>AK15+ATM_Conf!$C$5*(Q15-P15)/(Q203*AK203)</f>
        <v>#DIV/0!</v>
      </c>
      <c r="AL16" s="53" t="e">
        <f>AL15+ATM_Conf!$C$5*(R15-Q15)/(R203*AL203)</f>
        <v>#DIV/0!</v>
      </c>
      <c r="AM16" s="53" t="e">
        <f>AM15+ATM_Conf!$C$5*(S15-R15)/(S203*AM203)</f>
        <v>#DIV/0!</v>
      </c>
      <c r="AN16" s="53" t="e">
        <f>AN15+ATM_Conf!$C$5*(T15-S15)/(T203*AN203)</f>
        <v>#DIV/0!</v>
      </c>
      <c r="AO16" s="53" t="e">
        <f>AO15+ATM_Conf!$C$5*(U15-T15)/(U203*AO203)</f>
        <v>#DIV/0!</v>
      </c>
      <c r="AP16" s="43" t="e">
        <f>AP15+(ATM_Conf!$C$5/ATM_Conf!$C$8)*(BJ16*EXP(-(1/CX16)*(V16/CD16)^CX16)-AP15)-(ATM_Conf!$C$5*ATM_Conf!$C$9)/(V203*ATM_Conf!$C$8)*(Nodes!BO15-V15)/(V15+ATM_Conf!$C$10)</f>
        <v>#DIV/0!</v>
      </c>
      <c r="AQ16" s="43" t="e">
        <f>AQ15+(ATM_Conf!$C$5/ATM_Conf!$C$8)*(BK16*EXP(-(1/CY16)*(W16/CE16)^CY16)-AQ15)+(ATM_Conf!$C$5/W203)*AQ15*(AP15-AQ15)-(ATM_Conf!$C$5*ATM_Conf!$C$9)/(W203*ATM_Conf!$C$8)*(X15-W15)/(W15+ATM_Conf!$C$10)</f>
        <v>#DIV/0!</v>
      </c>
      <c r="AR16" s="43" t="e">
        <f>AR15+(ATM_Conf!$C$5/ATM_Conf!$C$8)*(BL16*EXP(-(1/CZ16)*(X16/CF16)^CZ16)-AR15)+(ATM_Conf!$C$5/X203)*AR15*(Nodes!BC15-AR15)-(ATM_Conf!$C$5*ATM_Conf!$C$9)/(X203*ATM_Conf!$C$8)*(Nodes!BQ15-X15)/(X15+ATM_Conf!$C$10)</f>
        <v>#DIV/0!</v>
      </c>
      <c r="AS16" s="43" t="e">
        <f>AS15+(ATM_Conf!$C$5/ATM_Conf!$C$8)*(BM16*EXP(-(1/DA16)*(Y16/CG16)^DA16)-AS15)+(ATM_Conf!$C$5/Y203)*AS15*(AR15-AS15)-(ATM_Conf!$C$5*ATM_Conf!$C$9)/(Y203*ATM_Conf!$C$8)*(Z15-Y15)/(Y15+ATM_Conf!$C$10)</f>
        <v>#DIV/0!</v>
      </c>
      <c r="AT16" s="43" t="e">
        <f>AT15+(ATM_Conf!$C$5/ATM_Conf!$C$8)*(BN16*EXP(-(1/DB16)*(Z16/CH16)^DB16)-AT15)+(ATM_Conf!$C$5/Z203)*AT15*(Nodes!BE15-AT15)-(ATM_Conf!$C$5*ATM_Conf!$C$9)/(Z203*ATM_Conf!$C$8)*(Nodes!BS15-Z15)/(Z15+ATM_Conf!$C$10)</f>
        <v>#DIV/0!</v>
      </c>
      <c r="AU16" s="43" t="e">
        <f>AU15+(ATM_Conf!$C$5/ATM_Conf!$C$8)*(BO16*EXP(-(1/DC16)*(AA16/CI16)^DC16)-AU15)+(ATM_Conf!$C$5/AA203)*AU15*(Nodes!BF15-AU15)-(ATM_Conf!$C$5*ATM_Conf!$C$9)/(AA203*ATM_Conf!$C$8)*(Nodes!BV15-AA15)/(AA15+ATM_Conf!$C$10)</f>
        <v>#DIV/0!</v>
      </c>
      <c r="AV16" s="43" t="e">
        <f>AV15+(ATM_Conf!$C$5/ATM_Conf!$C$8)*(BP16*EXP(-(1/DD16)*(AB16/CJ16)^DD16)-AV15)+(ATM_Conf!$C$5/AB203)*AV15*(AU15-AV15)-(ATM_Conf!$C$5*ATM_Conf!$C$9)/(AB203*ATM_Conf!$C$8)*(AC15-AB15)/(AB15+ATM_Conf!$C$10)</f>
        <v>#DIV/0!</v>
      </c>
      <c r="AW16" s="43" t="e">
        <f>AW15+(ATM_Conf!$C$5/ATM_Conf!$C$8)*(BQ16*EXP(-(1/DE16)*(AC16/CK16)^DE16)-AW15)+(ATM_Conf!$C$5/AC203)*AW15*(AV15-AW15)-(ATM_Conf!$C$5*ATM_Conf!$C$9)/(AC203*ATM_Conf!$C$8)*(AD15-AC15)/(AC15+ATM_Conf!$C$10)</f>
        <v>#DIV/0!</v>
      </c>
      <c r="AX16" s="43" t="e">
        <f>AX15+(ATM_Conf!$C$5/ATM_Conf!$C$8)*(BR16*EXP(-(1/DF16)*(AD16/CL16)^DF16)-AX15)+(ATM_Conf!$C$5/AD203)*AX15*(Nodes!BG15-AX15)-(ATM_Conf!$C$5*ATM_Conf!$C$9)/(AD203*ATM_Conf!$C$8)*(Nodes!BU15-AD15)/(AD15+ATM_Conf!$C$10)</f>
        <v>#DIV/0!</v>
      </c>
      <c r="AY16" s="43" t="e">
        <f>AY15+(ATM_Conf!$C$5/ATM_Conf!$C$8)*(BS16*EXP(-(1/DG16)*(AE16/CM16)^DG16)-AY15)+(ATM_Conf!$C$5/AE203)*AY15*(Nodes!BF15-AY15)</f>
        <v>#DIV/0!</v>
      </c>
      <c r="AZ16" s="43" t="e">
        <f>AZ15+(ATM_Conf!$C$5/ATM_Conf!$C$8)*(BT16*EXP(-(1/DH16)*(AF16/CN16)^DH16)-AZ15)-(ATM_Conf!$C$5*ATM_Conf!$C$9)/(AF203*ATM_Conf!$C$8)*(Nodes!BV15-AF15)/(AF15+ATM_Conf!$C$10)</f>
        <v>#DIV/0!</v>
      </c>
      <c r="BA16" s="43" t="e">
        <f>BA15+(ATM_Conf!$C$5/ATM_Conf!$C$8)*(BU16*EXP(-(1/DI16)*(AG16/CO16)^DI16)-BA15)+(ATM_Conf!$C$5/AG203)*BA15*(Nodes!BI15-BA15)-(ATM_Conf!$C$5*ATM_Conf!$C$9)/(AG203*ATM_Conf!$C$8)*(Nodes!BW15-AG15)/(AG15+ATM_Conf!$C$10)</f>
        <v>#DIV/0!</v>
      </c>
      <c r="BB16" s="43" t="e">
        <f>BB15+(ATM_Conf!$C$5/ATM_Conf!$C$8)*(BV16*EXP(-(1/DJ16)*(AH16/CP16)^DJ16)-BB15)+(ATM_Conf!$C$5/AH203)*BB15*(Nodes!BJ15-BB15)-(ATM_Conf!$C$5*ATM_Conf!$C$9)/(AH203*ATM_Conf!$C$8)*(AI15-AH15)/(AH15+ATM_Conf!$C$10)</f>
        <v>#DIV/0!</v>
      </c>
      <c r="BC16" s="43" t="e">
        <f>BC15+(ATM_Conf!$C$5/ATM_Conf!$C$8)*(BW16*EXP(-(1/DK16)*(AI16/CQ16)^DK16)-BC15)+(ATM_Conf!$C$5/AI203)*BC15*(BB15-BC15)-(ATM_Conf!$C$5*ATM_Conf!$C$9)/(AI203*ATM_Conf!$C$8)*(AJ15-AI15)/(AI15+ATM_Conf!$C$10)</f>
        <v>#DIV/0!</v>
      </c>
      <c r="BD16" s="43" t="e">
        <f>BD15+(ATM_Conf!$C$5/ATM_Conf!$C$8)*(BX16*EXP(-(1/DL16)*(AJ16/CR16)^DL16)-BD15)+(ATM_Conf!$C$5/AJ203)*BD15*(BC15-BD15)-(ATM_Conf!$C$5*ATM_Conf!$C$9)/(AJ203*ATM_Conf!$C$8)*(Nodes!BX15-AJ15)/(AJ15+ATM_Conf!$C$10)</f>
        <v>#DIV/0!</v>
      </c>
      <c r="BE16" s="43" t="e">
        <f>BE15+(ATM_Conf!$C$5/ATM_Conf!$C$8)*(BY16*EXP(-(1/DM16)*(AK16/CS16)^DM16)-BE15)+(ATM_Conf!$C$5/AK203)*BE15*(Nodes!BK15-BE15)-(ATM_Conf!$C$5*ATM_Conf!$C$9)/(AK203*ATM_Conf!$C$8)*(Nodes!BY15-AK15)/(AK15+ATM_Conf!$C$10)</f>
        <v>#DIV/0!</v>
      </c>
      <c r="BF16" s="43" t="e">
        <f>BF15+(ATM_Conf!$C$5/ATM_Conf!$C$8)*(BZ16*EXP(-(1/DN16)*(AL16/CT16)^DN16)-BF15)+(ATM_Conf!$C$5/AL203)*BF15*(BE15-BF15)-(ATM_Conf!$C$5*ATM_Conf!$C$9)/(AL203*ATM_Conf!$C$8)*(AM15-AL15)/(AL15+ATM_Conf!$C$10)</f>
        <v>#DIV/0!</v>
      </c>
      <c r="BG16" s="43" t="e">
        <f>BG15+(ATM_Conf!$C$5/ATM_Conf!$C$8)*(CA16*EXP(-(1/DO16)*(AM16/CU16)^DO16)-BG15)+(ATM_Conf!$C$5/AM203)*BG15*(Nodes!BM15-BG15)-(ATM_Conf!$C$5*ATM_Conf!$C$9)/(AM203*ATM_Conf!$C$8)*(Nodes!CA15-AM15)/(AM15+ATM_Conf!$C$10)</f>
        <v>#DIV/0!</v>
      </c>
      <c r="BH16" s="43" t="e">
        <f>BH15+(ATM_Conf!$C$5/ATM_Conf!$C$8)*(CB16*EXP(-(1/DP16)*(AN16/CV16)^DP16)-BH15)+(ATM_Conf!$C$5/AN203)*BH15*(BG15-BH15)-(ATM_Conf!$C$5*ATM_Conf!$C$9)/(AN203*ATM_Conf!$C$8)*(AO15-AN15)/(AN15+ATM_Conf!$C$10)</f>
        <v>#DIV/0!</v>
      </c>
      <c r="BI16" s="43" t="e">
        <f>BI15+(ATM_Conf!$C$5/ATM_Conf!$C$8)*(CC16*EXP(-(1/DQ16)*(AO16/CW16)^DQ16)-BI15)+(ATM_Conf!$C$5/AO203)*BI15*(BH15-BI15)</f>
        <v>#DIV/0!</v>
      </c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43">
        <f>DR$15</f>
        <v>0</v>
      </c>
      <c r="DS16" s="43">
        <f t="shared" ref="DS16:EK26" si="25">DS$15</f>
        <v>0</v>
      </c>
      <c r="DT16" s="43">
        <f t="shared" si="25"/>
        <v>0</v>
      </c>
      <c r="DU16" s="43">
        <f t="shared" si="25"/>
        <v>0</v>
      </c>
      <c r="DV16" s="43">
        <f t="shared" si="25"/>
        <v>0</v>
      </c>
      <c r="DW16" s="43">
        <f t="shared" si="25"/>
        <v>0</v>
      </c>
      <c r="DX16" s="43">
        <f t="shared" si="25"/>
        <v>0</v>
      </c>
      <c r="DY16" s="43">
        <f t="shared" si="25"/>
        <v>0</v>
      </c>
      <c r="DZ16" s="43">
        <f t="shared" si="25"/>
        <v>0</v>
      </c>
      <c r="EA16" s="43">
        <f t="shared" si="25"/>
        <v>0</v>
      </c>
      <c r="EB16" s="43">
        <f t="shared" si="25"/>
        <v>0</v>
      </c>
      <c r="EC16" s="43">
        <f t="shared" si="25"/>
        <v>0</v>
      </c>
      <c r="ED16" s="43">
        <f t="shared" si="25"/>
        <v>0</v>
      </c>
      <c r="EE16" s="43">
        <f t="shared" si="25"/>
        <v>0</v>
      </c>
      <c r="EF16" s="43">
        <f t="shared" si="25"/>
        <v>0</v>
      </c>
      <c r="EG16" s="43">
        <f t="shared" si="25"/>
        <v>0</v>
      </c>
      <c r="EH16" s="43">
        <f t="shared" si="25"/>
        <v>0</v>
      </c>
      <c r="EI16" s="43">
        <f t="shared" si="25"/>
        <v>0</v>
      </c>
      <c r="EJ16" s="43">
        <f t="shared" si="25"/>
        <v>0</v>
      </c>
      <c r="EK16" s="43">
        <f t="shared" si="25"/>
        <v>0</v>
      </c>
      <c r="EL16" s="47"/>
      <c r="EM16" s="47"/>
      <c r="EN16" s="47"/>
      <c r="EO16" s="47"/>
      <c r="EP16" s="47"/>
      <c r="EQ16" s="47"/>
      <c r="ER16" s="47"/>
      <c r="ES16" s="47"/>
      <c r="ET16" s="47"/>
      <c r="EU16" s="47"/>
      <c r="EV16" s="47"/>
      <c r="EW16" s="47"/>
      <c r="EX16" s="47"/>
      <c r="EY16" s="47"/>
      <c r="EZ16" s="47"/>
      <c r="FA16" s="47"/>
      <c r="FB16" s="47"/>
      <c r="FC16" s="47"/>
      <c r="FD16" s="47"/>
      <c r="FE16" s="47"/>
    </row>
    <row r="17" spans="1:161" ht="14.25" x14ac:dyDescent="0.15">
      <c r="A17" s="46"/>
      <c r="B17" s="43" t="e">
        <f t="shared" si="2"/>
        <v>#DIV/0!</v>
      </c>
      <c r="C17" s="43" t="e">
        <f t="shared" si="3"/>
        <v>#DIV/0!</v>
      </c>
      <c r="D17" s="43" t="e">
        <f t="shared" si="4"/>
        <v>#DIV/0!</v>
      </c>
      <c r="E17" s="43" t="e">
        <f t="shared" si="5"/>
        <v>#DIV/0!</v>
      </c>
      <c r="F17" s="43" t="e">
        <f t="shared" si="6"/>
        <v>#DIV/0!</v>
      </c>
      <c r="G17" s="43" t="e">
        <f t="shared" si="7"/>
        <v>#DIV/0!</v>
      </c>
      <c r="H17" s="43" t="e">
        <f t="shared" si="8"/>
        <v>#DIV/0!</v>
      </c>
      <c r="I17" s="43" t="e">
        <f t="shared" si="9"/>
        <v>#DIV/0!</v>
      </c>
      <c r="J17" s="43" t="e">
        <f t="shared" si="10"/>
        <v>#DIV/0!</v>
      </c>
      <c r="K17" s="43" t="e">
        <f t="shared" si="11"/>
        <v>#DIV/0!</v>
      </c>
      <c r="L17" s="43" t="e">
        <f t="shared" si="12"/>
        <v>#DIV/0!</v>
      </c>
      <c r="M17" s="43" t="e">
        <f t="shared" si="13"/>
        <v>#DIV/0!</v>
      </c>
      <c r="N17" s="43" t="e">
        <f t="shared" si="14"/>
        <v>#DIV/0!</v>
      </c>
      <c r="O17" s="43" t="e">
        <f t="shared" si="15"/>
        <v>#DIV/0!</v>
      </c>
      <c r="P17" s="43" t="e">
        <f t="shared" si="16"/>
        <v>#DIV/0!</v>
      </c>
      <c r="Q17" s="43" t="e">
        <f t="shared" si="17"/>
        <v>#DIV/0!</v>
      </c>
      <c r="R17" s="43" t="e">
        <f t="shared" si="18"/>
        <v>#DIV/0!</v>
      </c>
      <c r="S17" s="43" t="e">
        <f t="shared" si="19"/>
        <v>#DIV/0!</v>
      </c>
      <c r="T17" s="43" t="e">
        <f t="shared" si="20"/>
        <v>#DIV/0!</v>
      </c>
      <c r="U17" s="43" t="e">
        <f t="shared" si="21"/>
        <v>#DIV/0!</v>
      </c>
      <c r="V17" s="53" t="e">
        <f>V16+ATM_Conf!$C$5*(B16)/(B204*V204)</f>
        <v>#DIV/0!</v>
      </c>
      <c r="W17" s="53" t="e">
        <f>W16+ATM_Conf!$C$5*(C16-B16)/(C204*W204)</f>
        <v>#DIV/0!</v>
      </c>
      <c r="X17" s="53" t="e">
        <f>X16+ATM_Conf!$C$5*(D16-C16)/(D204*X204)</f>
        <v>#DIV/0!</v>
      </c>
      <c r="Y17" s="53" t="e">
        <f>Y16+ATM_Conf!$C$5*(E16-D16)/(E204*Y204)</f>
        <v>#DIV/0!</v>
      </c>
      <c r="Z17" s="53" t="e">
        <f>Z16+ATM_Conf!$C$5*(F16-E16)/(F204*Z204)</f>
        <v>#DIV/0!</v>
      </c>
      <c r="AA17" s="53" t="e">
        <f>AA16+ATM_Conf!$C$5*(G16-F16)/(G204*AA204)</f>
        <v>#DIV/0!</v>
      </c>
      <c r="AB17" s="53" t="e">
        <f>AB16+ATM_Conf!$C$5*(H16-G16)/(H204*AB204)</f>
        <v>#DIV/0!</v>
      </c>
      <c r="AC17" s="53" t="e">
        <f>AC16+ATM_Conf!$C$5*(I16-H16)/(I204*AC204)</f>
        <v>#DIV/0!</v>
      </c>
      <c r="AD17" s="53" t="e">
        <f>AD16+ATM_Conf!$C$5*(J16-I16)/(J204*AD204)</f>
        <v>#DIV/0!</v>
      </c>
      <c r="AE17" s="53" t="e">
        <f>AE16+ATM_Conf!$C$5*(K16-J16)/(K204*AE204)</f>
        <v>#DIV/0!</v>
      </c>
      <c r="AF17" s="53" t="e">
        <f>AF16+ATM_Conf!$C$5*(L16)/(L204*AF204)</f>
        <v>#DIV/0!</v>
      </c>
      <c r="AG17" s="53" t="e">
        <f>AG16+ATM_Conf!$C$5*(M16-L16)/(M204*AG204)</f>
        <v>#DIV/0!</v>
      </c>
      <c r="AH17" s="53" t="e">
        <f>AH16+ATM_Conf!$C$5*(N16-M16)/(N204*AH204)</f>
        <v>#DIV/0!</v>
      </c>
      <c r="AI17" s="53" t="e">
        <f>AI16+ATM_Conf!$C$5*(O16-N16)/(O204*AI204)</f>
        <v>#DIV/0!</v>
      </c>
      <c r="AJ17" s="53" t="e">
        <f>AJ16+ATM_Conf!$C$5*(P16-O16)/(P204*AJ204)</f>
        <v>#DIV/0!</v>
      </c>
      <c r="AK17" s="53" t="e">
        <f>AK16+ATM_Conf!$C$5*(Q16-P16)/(Q204*AK204)</f>
        <v>#DIV/0!</v>
      </c>
      <c r="AL17" s="53" t="e">
        <f>AL16+ATM_Conf!$C$5*(R16-Q16)/(R204*AL204)</f>
        <v>#DIV/0!</v>
      </c>
      <c r="AM17" s="53" t="e">
        <f>AM16+ATM_Conf!$C$5*(S16-R16)/(S204*AM204)</f>
        <v>#DIV/0!</v>
      </c>
      <c r="AN17" s="53" t="e">
        <f>AN16+ATM_Conf!$C$5*(T16-S16)/(T204*AN204)</f>
        <v>#DIV/0!</v>
      </c>
      <c r="AO17" s="53" t="e">
        <f>AO16+ATM_Conf!$C$5*(U16-T16)/(U204*AO204)</f>
        <v>#DIV/0!</v>
      </c>
      <c r="AP17" s="43" t="e">
        <f>AP16+(ATM_Conf!$C$5/ATM_Conf!$C$8)*(BJ17*EXP(-(1/CX17)*(V17/CD17)^CX17)-AP16)-(ATM_Conf!$C$5*ATM_Conf!$C$9)/(V204*ATM_Conf!$C$8)*(Nodes!BO16-V16)/(V16+ATM_Conf!$C$10)</f>
        <v>#DIV/0!</v>
      </c>
      <c r="AQ17" s="43" t="e">
        <f>AQ16+(ATM_Conf!$C$5/ATM_Conf!$C$8)*(BK17*EXP(-(1/CY17)*(W17/CE17)^CY17)-AQ16)+(ATM_Conf!$C$5/W204)*AQ16*(AP16-AQ16)-(ATM_Conf!$C$5*ATM_Conf!$C$9)/(W204*ATM_Conf!$C$8)*(X16-W16)/(W16+ATM_Conf!$C$10)</f>
        <v>#DIV/0!</v>
      </c>
      <c r="AR17" s="43" t="e">
        <f>AR16+(ATM_Conf!$C$5/ATM_Conf!$C$8)*(BL17*EXP(-(1/CZ17)*(X17/CF17)^CZ17)-AR16)+(ATM_Conf!$C$5/X204)*AR16*(Nodes!BC16-AR16)-(ATM_Conf!$C$5*ATM_Conf!$C$9)/(X204*ATM_Conf!$C$8)*(Nodes!BQ16-X16)/(X16+ATM_Conf!$C$10)</f>
        <v>#DIV/0!</v>
      </c>
      <c r="AS17" s="43" t="e">
        <f>AS16+(ATM_Conf!$C$5/ATM_Conf!$C$8)*(BM17*EXP(-(1/DA17)*(Y17/CG17)^DA17)-AS16)+(ATM_Conf!$C$5/Y204)*AS16*(AR16-AS16)-(ATM_Conf!$C$5*ATM_Conf!$C$9)/(Y204*ATM_Conf!$C$8)*(Z16-Y16)/(Y16+ATM_Conf!$C$10)</f>
        <v>#DIV/0!</v>
      </c>
      <c r="AT17" s="43" t="e">
        <f>AT16+(ATM_Conf!$C$5/ATM_Conf!$C$8)*(BN17*EXP(-(1/DB17)*(Z17/CH17)^DB17)-AT16)+(ATM_Conf!$C$5/Z204)*AT16*(Nodes!BE16-AT16)-(ATM_Conf!$C$5*ATM_Conf!$C$9)/(Z204*ATM_Conf!$C$8)*(Nodes!BS16-Z16)/(Z16+ATM_Conf!$C$10)</f>
        <v>#DIV/0!</v>
      </c>
      <c r="AU17" s="43" t="e">
        <f>AU16+(ATM_Conf!$C$5/ATM_Conf!$C$8)*(BO17*EXP(-(1/DC17)*(AA17/CI17)^DC17)-AU16)+(ATM_Conf!$C$5/AA204)*AU16*(Nodes!BF16-AU16)-(ATM_Conf!$C$5*ATM_Conf!$C$9)/(AA204*ATM_Conf!$C$8)*(Nodes!BV16-AA16)/(AA16+ATM_Conf!$C$10)</f>
        <v>#DIV/0!</v>
      </c>
      <c r="AV17" s="43" t="e">
        <f>AV16+(ATM_Conf!$C$5/ATM_Conf!$C$8)*(BP17*EXP(-(1/DD17)*(AB17/CJ17)^DD17)-AV16)+(ATM_Conf!$C$5/AB204)*AV16*(AU16-AV16)-(ATM_Conf!$C$5*ATM_Conf!$C$9)/(AB204*ATM_Conf!$C$8)*(AC16-AB16)/(AB16+ATM_Conf!$C$10)</f>
        <v>#DIV/0!</v>
      </c>
      <c r="AW17" s="43" t="e">
        <f>AW16+(ATM_Conf!$C$5/ATM_Conf!$C$8)*(BQ17*EXP(-(1/DE17)*(AC17/CK17)^DE17)-AW16)+(ATM_Conf!$C$5/AC204)*AW16*(AV16-AW16)-(ATM_Conf!$C$5*ATM_Conf!$C$9)/(AC204*ATM_Conf!$C$8)*(AD16-AC16)/(AC16+ATM_Conf!$C$10)</f>
        <v>#DIV/0!</v>
      </c>
      <c r="AX17" s="43" t="e">
        <f>AX16+(ATM_Conf!$C$5/ATM_Conf!$C$8)*(BR17*EXP(-(1/DF17)*(AD17/CL17)^DF17)-AX16)+(ATM_Conf!$C$5/AD204)*AX16*(Nodes!BG16-AX16)-(ATM_Conf!$C$5*ATM_Conf!$C$9)/(AD204*ATM_Conf!$C$8)*(Nodes!BU16-AD16)/(AD16+ATM_Conf!$C$10)</f>
        <v>#DIV/0!</v>
      </c>
      <c r="AY17" s="43" t="e">
        <f>AY16+(ATM_Conf!$C$5/ATM_Conf!$C$8)*(BS17*EXP(-(1/DG17)*(AE17/CM17)^DG17)-AY16)+(ATM_Conf!$C$5/AE204)*AY16*(Nodes!BF16-AY16)</f>
        <v>#DIV/0!</v>
      </c>
      <c r="AZ17" s="43" t="e">
        <f>AZ16+(ATM_Conf!$C$5/ATM_Conf!$C$8)*(BT17*EXP(-(1/DH17)*(AF17/CN17)^DH17)-AZ16)-(ATM_Conf!$C$5*ATM_Conf!$C$9)/(AF204*ATM_Conf!$C$8)*(Nodes!BV16-AF16)/(AF16+ATM_Conf!$C$10)</f>
        <v>#DIV/0!</v>
      </c>
      <c r="BA17" s="43" t="e">
        <f>BA16+(ATM_Conf!$C$5/ATM_Conf!$C$8)*(BU17*EXP(-(1/DI17)*(AG17/CO17)^DI17)-BA16)+(ATM_Conf!$C$5/AG204)*BA16*(Nodes!BI16-BA16)-(ATM_Conf!$C$5*ATM_Conf!$C$9)/(AG204*ATM_Conf!$C$8)*(Nodes!BW16-AG16)/(AG16+ATM_Conf!$C$10)</f>
        <v>#DIV/0!</v>
      </c>
      <c r="BB17" s="43" t="e">
        <f>BB16+(ATM_Conf!$C$5/ATM_Conf!$C$8)*(BV17*EXP(-(1/DJ17)*(AH17/CP17)^DJ17)-BB16)+(ATM_Conf!$C$5/AH204)*BB16*(Nodes!BJ16-BB16)-(ATM_Conf!$C$5*ATM_Conf!$C$9)/(AH204*ATM_Conf!$C$8)*(AI16-AH16)/(AH16+ATM_Conf!$C$10)</f>
        <v>#DIV/0!</v>
      </c>
      <c r="BC17" s="43" t="e">
        <f>BC16+(ATM_Conf!$C$5/ATM_Conf!$C$8)*(BW17*EXP(-(1/DK17)*(AI17/CQ17)^DK17)-BC16)+(ATM_Conf!$C$5/AI204)*BC16*(BB16-BC16)-(ATM_Conf!$C$5*ATM_Conf!$C$9)/(AI204*ATM_Conf!$C$8)*(AJ16-AI16)/(AI16+ATM_Conf!$C$10)</f>
        <v>#DIV/0!</v>
      </c>
      <c r="BD17" s="43" t="e">
        <f>BD16+(ATM_Conf!$C$5/ATM_Conf!$C$8)*(BX17*EXP(-(1/DL17)*(AJ17/CR17)^DL17)-BD16)+(ATM_Conf!$C$5/AJ204)*BD16*(BC16-BD16)-(ATM_Conf!$C$5*ATM_Conf!$C$9)/(AJ204*ATM_Conf!$C$8)*(Nodes!BX16-AJ16)/(AJ16+ATM_Conf!$C$10)</f>
        <v>#DIV/0!</v>
      </c>
      <c r="BE17" s="43" t="e">
        <f>BE16+(ATM_Conf!$C$5/ATM_Conf!$C$8)*(BY17*EXP(-(1/DM17)*(AK17/CS17)^DM17)-BE16)+(ATM_Conf!$C$5/AK204)*BE16*(Nodes!BK16-BE16)-(ATM_Conf!$C$5*ATM_Conf!$C$9)/(AK204*ATM_Conf!$C$8)*(Nodes!BY16-AK16)/(AK16+ATM_Conf!$C$10)</f>
        <v>#DIV/0!</v>
      </c>
      <c r="BF17" s="43" t="e">
        <f>BF16+(ATM_Conf!$C$5/ATM_Conf!$C$8)*(BZ17*EXP(-(1/DN17)*(AL17/CT17)^DN17)-BF16)+(ATM_Conf!$C$5/AL204)*BF16*(BE16-BF16)-(ATM_Conf!$C$5*ATM_Conf!$C$9)/(AL204*ATM_Conf!$C$8)*(AM16-AL16)/(AL16+ATM_Conf!$C$10)</f>
        <v>#DIV/0!</v>
      </c>
      <c r="BG17" s="43" t="e">
        <f>BG16+(ATM_Conf!$C$5/ATM_Conf!$C$8)*(CA17*EXP(-(1/DO17)*(AM17/CU17)^DO17)-BG16)+(ATM_Conf!$C$5/AM204)*BG16*(Nodes!BM16-BG16)-(ATM_Conf!$C$5*ATM_Conf!$C$9)/(AM204*ATM_Conf!$C$8)*(Nodes!CA16-AM16)/(AM16+ATM_Conf!$C$10)</f>
        <v>#DIV/0!</v>
      </c>
      <c r="BH17" s="43" t="e">
        <f>BH16+(ATM_Conf!$C$5/ATM_Conf!$C$8)*(CB17*EXP(-(1/DP17)*(AN17/CV17)^DP17)-BH16)+(ATM_Conf!$C$5/AN204)*BH16*(BG16-BH16)-(ATM_Conf!$C$5*ATM_Conf!$C$9)/(AN204*ATM_Conf!$C$8)*(AO16-AN16)/(AN16+ATM_Conf!$C$10)</f>
        <v>#DIV/0!</v>
      </c>
      <c r="BI17" s="43" t="e">
        <f>BI16+(ATM_Conf!$C$5/ATM_Conf!$C$8)*(CC17*EXP(-(1/DQ17)*(AO17/CW17)^DQ17)-BI16)+(ATM_Conf!$C$5/AO204)*BI16*(BH16-BI16)</f>
        <v>#DIV/0!</v>
      </c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53"/>
      <c r="CY17" s="53"/>
      <c r="CZ17" s="53"/>
      <c r="DA17" s="53"/>
      <c r="DB17" s="53"/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  <c r="DR17" s="43">
        <f t="shared" ref="DR17:DR26" si="26">DR$15</f>
        <v>0</v>
      </c>
      <c r="DS17" s="43">
        <f t="shared" si="25"/>
        <v>0</v>
      </c>
      <c r="DT17" s="43">
        <f t="shared" si="25"/>
        <v>0</v>
      </c>
      <c r="DU17" s="43">
        <f t="shared" si="25"/>
        <v>0</v>
      </c>
      <c r="DV17" s="43">
        <f t="shared" si="25"/>
        <v>0</v>
      </c>
      <c r="DW17" s="43">
        <f t="shared" si="25"/>
        <v>0</v>
      </c>
      <c r="DX17" s="43">
        <f t="shared" si="25"/>
        <v>0</v>
      </c>
      <c r="DY17" s="43">
        <f t="shared" si="25"/>
        <v>0</v>
      </c>
      <c r="DZ17" s="43">
        <f t="shared" si="25"/>
        <v>0</v>
      </c>
      <c r="EA17" s="43">
        <f t="shared" si="25"/>
        <v>0</v>
      </c>
      <c r="EB17" s="43">
        <f t="shared" si="25"/>
        <v>0</v>
      </c>
      <c r="EC17" s="43">
        <f t="shared" si="25"/>
        <v>0</v>
      </c>
      <c r="ED17" s="43">
        <f t="shared" si="25"/>
        <v>0</v>
      </c>
      <c r="EE17" s="43">
        <f t="shared" si="25"/>
        <v>0</v>
      </c>
      <c r="EF17" s="43">
        <f t="shared" si="25"/>
        <v>0</v>
      </c>
      <c r="EG17" s="43">
        <f t="shared" si="25"/>
        <v>0</v>
      </c>
      <c r="EH17" s="43">
        <f t="shared" si="25"/>
        <v>0</v>
      </c>
      <c r="EI17" s="43">
        <f t="shared" si="25"/>
        <v>0</v>
      </c>
      <c r="EJ17" s="43">
        <f t="shared" si="25"/>
        <v>0</v>
      </c>
      <c r="EK17" s="43">
        <f t="shared" si="25"/>
        <v>0</v>
      </c>
      <c r="EL17" s="47"/>
      <c r="EM17" s="47"/>
      <c r="EN17" s="47"/>
      <c r="EO17" s="47"/>
      <c r="EP17" s="47"/>
      <c r="EQ17" s="47"/>
      <c r="ER17" s="47"/>
      <c r="ES17" s="47"/>
      <c r="ET17" s="47"/>
      <c r="EU17" s="47"/>
      <c r="EV17" s="47"/>
      <c r="EW17" s="47"/>
      <c r="EX17" s="47"/>
      <c r="EY17" s="47"/>
      <c r="EZ17" s="47"/>
      <c r="FA17" s="47"/>
      <c r="FB17" s="47"/>
      <c r="FC17" s="47"/>
      <c r="FD17" s="47"/>
      <c r="FE17" s="47"/>
    </row>
    <row r="18" spans="1:161" ht="14.25" x14ac:dyDescent="0.15">
      <c r="A18" s="46"/>
      <c r="B18" s="43" t="e">
        <f t="shared" si="2"/>
        <v>#DIV/0!</v>
      </c>
      <c r="C18" s="43" t="e">
        <f t="shared" si="3"/>
        <v>#DIV/0!</v>
      </c>
      <c r="D18" s="43" t="e">
        <f t="shared" si="4"/>
        <v>#DIV/0!</v>
      </c>
      <c r="E18" s="43" t="e">
        <f t="shared" si="5"/>
        <v>#DIV/0!</v>
      </c>
      <c r="F18" s="43" t="e">
        <f t="shared" si="6"/>
        <v>#DIV/0!</v>
      </c>
      <c r="G18" s="43" t="e">
        <f t="shared" si="7"/>
        <v>#DIV/0!</v>
      </c>
      <c r="H18" s="43" t="e">
        <f t="shared" si="8"/>
        <v>#DIV/0!</v>
      </c>
      <c r="I18" s="43" t="e">
        <f t="shared" si="9"/>
        <v>#DIV/0!</v>
      </c>
      <c r="J18" s="43" t="e">
        <f t="shared" si="10"/>
        <v>#DIV/0!</v>
      </c>
      <c r="K18" s="43" t="e">
        <f t="shared" si="11"/>
        <v>#DIV/0!</v>
      </c>
      <c r="L18" s="43" t="e">
        <f t="shared" si="12"/>
        <v>#DIV/0!</v>
      </c>
      <c r="M18" s="43" t="e">
        <f t="shared" si="13"/>
        <v>#DIV/0!</v>
      </c>
      <c r="N18" s="43" t="e">
        <f t="shared" si="14"/>
        <v>#DIV/0!</v>
      </c>
      <c r="O18" s="43" t="e">
        <f t="shared" si="15"/>
        <v>#DIV/0!</v>
      </c>
      <c r="P18" s="43" t="e">
        <f t="shared" si="16"/>
        <v>#DIV/0!</v>
      </c>
      <c r="Q18" s="43" t="e">
        <f t="shared" si="17"/>
        <v>#DIV/0!</v>
      </c>
      <c r="R18" s="43" t="e">
        <f t="shared" si="18"/>
        <v>#DIV/0!</v>
      </c>
      <c r="S18" s="43" t="e">
        <f t="shared" si="19"/>
        <v>#DIV/0!</v>
      </c>
      <c r="T18" s="43" t="e">
        <f t="shared" si="20"/>
        <v>#DIV/0!</v>
      </c>
      <c r="U18" s="43" t="e">
        <f t="shared" si="21"/>
        <v>#DIV/0!</v>
      </c>
      <c r="V18" s="53" t="e">
        <f>V17+ATM_Conf!$C$5*(B17)/(B205*V205)</f>
        <v>#DIV/0!</v>
      </c>
      <c r="W18" s="53" t="e">
        <f>W17+ATM_Conf!$C$5*(C17-B17)/(C205*W205)</f>
        <v>#DIV/0!</v>
      </c>
      <c r="X18" s="53" t="e">
        <f>X17+ATM_Conf!$C$5*(D17-C17)/(D205*X205)</f>
        <v>#DIV/0!</v>
      </c>
      <c r="Y18" s="53" t="e">
        <f>Y17+ATM_Conf!$C$5*(E17-D17)/(E205*Y205)</f>
        <v>#DIV/0!</v>
      </c>
      <c r="Z18" s="53" t="e">
        <f>Z17+ATM_Conf!$C$5*(F17-E17)/(F205*Z205)</f>
        <v>#DIV/0!</v>
      </c>
      <c r="AA18" s="53" t="e">
        <f>AA17+ATM_Conf!$C$5*(G17-F17)/(G205*AA205)</f>
        <v>#DIV/0!</v>
      </c>
      <c r="AB18" s="53" t="e">
        <f>AB17+ATM_Conf!$C$5*(H17-G17)/(H205*AB205)</f>
        <v>#DIV/0!</v>
      </c>
      <c r="AC18" s="53" t="e">
        <f>AC17+ATM_Conf!$C$5*(I17-H17)/(I205*AC205)</f>
        <v>#DIV/0!</v>
      </c>
      <c r="AD18" s="53" t="e">
        <f>AD17+ATM_Conf!$C$5*(J17-I17)/(J205*AD205)</f>
        <v>#DIV/0!</v>
      </c>
      <c r="AE18" s="53" t="e">
        <f>AE17+ATM_Conf!$C$5*(K17-J17)/(K205*AE205)</f>
        <v>#DIV/0!</v>
      </c>
      <c r="AF18" s="53" t="e">
        <f>AF17+ATM_Conf!$C$5*(L17)/(L205*AF205)</f>
        <v>#DIV/0!</v>
      </c>
      <c r="AG18" s="53" t="e">
        <f>AG17+ATM_Conf!$C$5*(M17-L17)/(M205*AG205)</f>
        <v>#DIV/0!</v>
      </c>
      <c r="AH18" s="53" t="e">
        <f>AH17+ATM_Conf!$C$5*(N17-M17)/(N205*AH205)</f>
        <v>#DIV/0!</v>
      </c>
      <c r="AI18" s="53" t="e">
        <f>AI17+ATM_Conf!$C$5*(O17-N17)/(O205*AI205)</f>
        <v>#DIV/0!</v>
      </c>
      <c r="AJ18" s="53" t="e">
        <f>AJ17+ATM_Conf!$C$5*(P17-O17)/(P205*AJ205)</f>
        <v>#DIV/0!</v>
      </c>
      <c r="AK18" s="53" t="e">
        <f>AK17+ATM_Conf!$C$5*(Q17-P17)/(Q205*AK205)</f>
        <v>#DIV/0!</v>
      </c>
      <c r="AL18" s="53" t="e">
        <f>AL17+ATM_Conf!$C$5*(R17-Q17)/(R205*AL205)</f>
        <v>#DIV/0!</v>
      </c>
      <c r="AM18" s="53" t="e">
        <f>AM17+ATM_Conf!$C$5*(S17-R17)/(S205*AM205)</f>
        <v>#DIV/0!</v>
      </c>
      <c r="AN18" s="53" t="e">
        <f>AN17+ATM_Conf!$C$5*(T17-S17)/(T205*AN205)</f>
        <v>#DIV/0!</v>
      </c>
      <c r="AO18" s="53" t="e">
        <f>AO17+ATM_Conf!$C$5*(U17-T17)/(U205*AO205)</f>
        <v>#DIV/0!</v>
      </c>
      <c r="AP18" s="43" t="e">
        <f>AP17+(ATM_Conf!$C$5/ATM_Conf!$C$8)*(BJ18*EXP(-(1/CX18)*(V18/CD18)^CX18)-AP17)-(ATM_Conf!$C$5*ATM_Conf!$C$9)/(V205*ATM_Conf!$C$8)*(Nodes!BO17-V17)/(V17+ATM_Conf!$C$10)</f>
        <v>#DIV/0!</v>
      </c>
      <c r="AQ18" s="43" t="e">
        <f>AQ17+(ATM_Conf!$C$5/ATM_Conf!$C$8)*(BK18*EXP(-(1/CY18)*(W18/CE18)^CY18)-AQ17)+(ATM_Conf!$C$5/W205)*AQ17*(AP17-AQ17)-(ATM_Conf!$C$5*ATM_Conf!$C$9)/(W205*ATM_Conf!$C$8)*(X17-W17)/(W17+ATM_Conf!$C$10)</f>
        <v>#DIV/0!</v>
      </c>
      <c r="AR18" s="43" t="e">
        <f>AR17+(ATM_Conf!$C$5/ATM_Conf!$C$8)*(BL18*EXP(-(1/CZ18)*(X18/CF18)^CZ18)-AR17)+(ATM_Conf!$C$5/X205)*AR17*(Nodes!BC17-AR17)-(ATM_Conf!$C$5*ATM_Conf!$C$9)/(X205*ATM_Conf!$C$8)*(Nodes!BQ17-X17)/(X17+ATM_Conf!$C$10)</f>
        <v>#DIV/0!</v>
      </c>
      <c r="AS18" s="43" t="e">
        <f>AS17+(ATM_Conf!$C$5/ATM_Conf!$C$8)*(BM18*EXP(-(1/DA18)*(Y18/CG18)^DA18)-AS17)+(ATM_Conf!$C$5/Y205)*AS17*(AR17-AS17)-(ATM_Conf!$C$5*ATM_Conf!$C$9)/(Y205*ATM_Conf!$C$8)*(Z17-Y17)/(Y17+ATM_Conf!$C$10)</f>
        <v>#DIV/0!</v>
      </c>
      <c r="AT18" s="43" t="e">
        <f>AT17+(ATM_Conf!$C$5/ATM_Conf!$C$8)*(BN18*EXP(-(1/DB18)*(Z18/CH18)^DB18)-AT17)+(ATM_Conf!$C$5/Z205)*AT17*(Nodes!BE17-AT17)-(ATM_Conf!$C$5*ATM_Conf!$C$9)/(Z205*ATM_Conf!$C$8)*(Nodes!BS17-Z17)/(Z17+ATM_Conf!$C$10)</f>
        <v>#DIV/0!</v>
      </c>
      <c r="AU18" s="43" t="e">
        <f>AU17+(ATM_Conf!$C$5/ATM_Conf!$C$8)*(BO18*EXP(-(1/DC18)*(AA18/CI18)^DC18)-AU17)+(ATM_Conf!$C$5/AA205)*AU17*(Nodes!BF17-AU17)-(ATM_Conf!$C$5*ATM_Conf!$C$9)/(AA205*ATM_Conf!$C$8)*(Nodes!BV17-AA17)/(AA17+ATM_Conf!$C$10)</f>
        <v>#DIV/0!</v>
      </c>
      <c r="AV18" s="43" t="e">
        <f>AV17+(ATM_Conf!$C$5/ATM_Conf!$C$8)*(BP18*EXP(-(1/DD18)*(AB18/CJ18)^DD18)-AV17)+(ATM_Conf!$C$5/AB205)*AV17*(AU17-AV17)-(ATM_Conf!$C$5*ATM_Conf!$C$9)/(AB205*ATM_Conf!$C$8)*(AC17-AB17)/(AB17+ATM_Conf!$C$10)</f>
        <v>#DIV/0!</v>
      </c>
      <c r="AW18" s="43" t="e">
        <f>AW17+(ATM_Conf!$C$5/ATM_Conf!$C$8)*(BQ18*EXP(-(1/DE18)*(AC18/CK18)^DE18)-AW17)+(ATM_Conf!$C$5/AC205)*AW17*(AV17-AW17)-(ATM_Conf!$C$5*ATM_Conf!$C$9)/(AC205*ATM_Conf!$C$8)*(AD17-AC17)/(AC17+ATM_Conf!$C$10)</f>
        <v>#DIV/0!</v>
      </c>
      <c r="AX18" s="43" t="e">
        <f>AX17+(ATM_Conf!$C$5/ATM_Conf!$C$8)*(BR18*EXP(-(1/DF18)*(AD18/CL18)^DF18)-AX17)+(ATM_Conf!$C$5/AD205)*AX17*(Nodes!BG17-AX17)-(ATM_Conf!$C$5*ATM_Conf!$C$9)/(AD205*ATM_Conf!$C$8)*(Nodes!BU17-AD17)/(AD17+ATM_Conf!$C$10)</f>
        <v>#DIV/0!</v>
      </c>
      <c r="AY18" s="43" t="e">
        <f>AY17+(ATM_Conf!$C$5/ATM_Conf!$C$8)*(BS18*EXP(-(1/DG18)*(AE18/CM18)^DG18)-AY17)+(ATM_Conf!$C$5/AE205)*AY17*(Nodes!BF17-AY17)</f>
        <v>#DIV/0!</v>
      </c>
      <c r="AZ18" s="43" t="e">
        <f>AZ17+(ATM_Conf!$C$5/ATM_Conf!$C$8)*(BT18*EXP(-(1/DH18)*(AF18/CN18)^DH18)-AZ17)-(ATM_Conf!$C$5*ATM_Conf!$C$9)/(AF205*ATM_Conf!$C$8)*(Nodes!BV17-AF17)/(AF17+ATM_Conf!$C$10)</f>
        <v>#DIV/0!</v>
      </c>
      <c r="BA18" s="43" t="e">
        <f>BA17+(ATM_Conf!$C$5/ATM_Conf!$C$8)*(BU18*EXP(-(1/DI18)*(AG18/CO18)^DI18)-BA17)+(ATM_Conf!$C$5/AG205)*BA17*(Nodes!BI17-BA17)-(ATM_Conf!$C$5*ATM_Conf!$C$9)/(AG205*ATM_Conf!$C$8)*(Nodes!BW17-AG17)/(AG17+ATM_Conf!$C$10)</f>
        <v>#DIV/0!</v>
      </c>
      <c r="BB18" s="43" t="e">
        <f>BB17+(ATM_Conf!$C$5/ATM_Conf!$C$8)*(BV18*EXP(-(1/DJ18)*(AH18/CP18)^DJ18)-BB17)+(ATM_Conf!$C$5/AH205)*BB17*(Nodes!BJ17-BB17)-(ATM_Conf!$C$5*ATM_Conf!$C$9)/(AH205*ATM_Conf!$C$8)*(AI17-AH17)/(AH17+ATM_Conf!$C$10)</f>
        <v>#DIV/0!</v>
      </c>
      <c r="BC18" s="43" t="e">
        <f>BC17+(ATM_Conf!$C$5/ATM_Conf!$C$8)*(BW18*EXP(-(1/DK18)*(AI18/CQ18)^DK18)-BC17)+(ATM_Conf!$C$5/AI205)*BC17*(BB17-BC17)-(ATM_Conf!$C$5*ATM_Conf!$C$9)/(AI205*ATM_Conf!$C$8)*(AJ17-AI17)/(AI17+ATM_Conf!$C$10)</f>
        <v>#DIV/0!</v>
      </c>
      <c r="BD18" s="43" t="e">
        <f>BD17+(ATM_Conf!$C$5/ATM_Conf!$C$8)*(BX18*EXP(-(1/DL18)*(AJ18/CR18)^DL18)-BD17)+(ATM_Conf!$C$5/AJ205)*BD17*(BC17-BD17)-(ATM_Conf!$C$5*ATM_Conf!$C$9)/(AJ205*ATM_Conf!$C$8)*(Nodes!BX17-AJ17)/(AJ17+ATM_Conf!$C$10)</f>
        <v>#DIV/0!</v>
      </c>
      <c r="BE18" s="43" t="e">
        <f>BE17+(ATM_Conf!$C$5/ATM_Conf!$C$8)*(BY18*EXP(-(1/DM18)*(AK18/CS18)^DM18)-BE17)+(ATM_Conf!$C$5/AK205)*BE17*(Nodes!BK17-BE17)-(ATM_Conf!$C$5*ATM_Conf!$C$9)/(AK205*ATM_Conf!$C$8)*(Nodes!BY17-AK17)/(AK17+ATM_Conf!$C$10)</f>
        <v>#DIV/0!</v>
      </c>
      <c r="BF18" s="43" t="e">
        <f>BF17+(ATM_Conf!$C$5/ATM_Conf!$C$8)*(BZ18*EXP(-(1/DN18)*(AL18/CT18)^DN18)-BF17)+(ATM_Conf!$C$5/AL205)*BF17*(BE17-BF17)-(ATM_Conf!$C$5*ATM_Conf!$C$9)/(AL205*ATM_Conf!$C$8)*(AM17-AL17)/(AL17+ATM_Conf!$C$10)</f>
        <v>#DIV/0!</v>
      </c>
      <c r="BG18" s="43" t="e">
        <f>BG17+(ATM_Conf!$C$5/ATM_Conf!$C$8)*(CA18*EXP(-(1/DO18)*(AM18/CU18)^DO18)-BG17)+(ATM_Conf!$C$5/AM205)*BG17*(Nodes!BM17-BG17)-(ATM_Conf!$C$5*ATM_Conf!$C$9)/(AM205*ATM_Conf!$C$8)*(Nodes!CA17-AM17)/(AM17+ATM_Conf!$C$10)</f>
        <v>#DIV/0!</v>
      </c>
      <c r="BH18" s="43" t="e">
        <f>BH17+(ATM_Conf!$C$5/ATM_Conf!$C$8)*(CB18*EXP(-(1/DP18)*(AN18/CV18)^DP18)-BH17)+(ATM_Conf!$C$5/AN205)*BH17*(BG17-BH17)-(ATM_Conf!$C$5*ATM_Conf!$C$9)/(AN205*ATM_Conf!$C$8)*(AO17-AN17)/(AN17+ATM_Conf!$C$10)</f>
        <v>#DIV/0!</v>
      </c>
      <c r="BI18" s="43" t="e">
        <f>BI17+(ATM_Conf!$C$5/ATM_Conf!$C$8)*(CC18*EXP(-(1/DQ18)*(AO18/CW18)^DQ18)-BI17)+(ATM_Conf!$C$5/AO205)*BI17*(BH17-BI17)</f>
        <v>#DIV/0!</v>
      </c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43">
        <f t="shared" si="26"/>
        <v>0</v>
      </c>
      <c r="DS18" s="43">
        <f t="shared" si="25"/>
        <v>0</v>
      </c>
      <c r="DT18" s="43">
        <f t="shared" si="25"/>
        <v>0</v>
      </c>
      <c r="DU18" s="43">
        <f t="shared" si="25"/>
        <v>0</v>
      </c>
      <c r="DV18" s="43">
        <f t="shared" si="25"/>
        <v>0</v>
      </c>
      <c r="DW18" s="43">
        <f t="shared" si="25"/>
        <v>0</v>
      </c>
      <c r="DX18" s="43">
        <f t="shared" si="25"/>
        <v>0</v>
      </c>
      <c r="DY18" s="43">
        <f t="shared" si="25"/>
        <v>0</v>
      </c>
      <c r="DZ18" s="43">
        <f t="shared" si="25"/>
        <v>0</v>
      </c>
      <c r="EA18" s="43">
        <f t="shared" si="25"/>
        <v>0</v>
      </c>
      <c r="EB18" s="43">
        <f t="shared" si="25"/>
        <v>0</v>
      </c>
      <c r="EC18" s="43">
        <f t="shared" si="25"/>
        <v>0</v>
      </c>
      <c r="ED18" s="43">
        <f t="shared" si="25"/>
        <v>0</v>
      </c>
      <c r="EE18" s="43">
        <f t="shared" si="25"/>
        <v>0</v>
      </c>
      <c r="EF18" s="43">
        <f t="shared" si="25"/>
        <v>0</v>
      </c>
      <c r="EG18" s="43">
        <f t="shared" si="25"/>
        <v>0</v>
      </c>
      <c r="EH18" s="43">
        <f t="shared" si="25"/>
        <v>0</v>
      </c>
      <c r="EI18" s="43">
        <f t="shared" si="25"/>
        <v>0</v>
      </c>
      <c r="EJ18" s="43">
        <f t="shared" si="25"/>
        <v>0</v>
      </c>
      <c r="EK18" s="43">
        <f t="shared" si="25"/>
        <v>0</v>
      </c>
      <c r="EL18" s="47"/>
      <c r="EM18" s="47"/>
      <c r="EN18" s="47"/>
      <c r="EO18" s="47"/>
      <c r="EP18" s="47"/>
      <c r="EQ18" s="47"/>
      <c r="ER18" s="47"/>
      <c r="ES18" s="47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</row>
    <row r="19" spans="1:161" ht="14.25" x14ac:dyDescent="0.15">
      <c r="A19" s="46"/>
      <c r="B19" s="43" t="e">
        <f t="shared" si="2"/>
        <v>#DIV/0!</v>
      </c>
      <c r="C19" s="43" t="e">
        <f t="shared" si="3"/>
        <v>#DIV/0!</v>
      </c>
      <c r="D19" s="43" t="e">
        <f t="shared" si="4"/>
        <v>#DIV/0!</v>
      </c>
      <c r="E19" s="43" t="e">
        <f t="shared" si="5"/>
        <v>#DIV/0!</v>
      </c>
      <c r="F19" s="43" t="e">
        <f t="shared" si="6"/>
        <v>#DIV/0!</v>
      </c>
      <c r="G19" s="43" t="e">
        <f t="shared" si="7"/>
        <v>#DIV/0!</v>
      </c>
      <c r="H19" s="43" t="e">
        <f t="shared" si="8"/>
        <v>#DIV/0!</v>
      </c>
      <c r="I19" s="43" t="e">
        <f t="shared" si="9"/>
        <v>#DIV/0!</v>
      </c>
      <c r="J19" s="43" t="e">
        <f t="shared" si="10"/>
        <v>#DIV/0!</v>
      </c>
      <c r="K19" s="43" t="e">
        <f t="shared" si="11"/>
        <v>#DIV/0!</v>
      </c>
      <c r="L19" s="43" t="e">
        <f t="shared" si="12"/>
        <v>#DIV/0!</v>
      </c>
      <c r="M19" s="43" t="e">
        <f t="shared" si="13"/>
        <v>#DIV/0!</v>
      </c>
      <c r="N19" s="43" t="e">
        <f t="shared" si="14"/>
        <v>#DIV/0!</v>
      </c>
      <c r="O19" s="43" t="e">
        <f t="shared" si="15"/>
        <v>#DIV/0!</v>
      </c>
      <c r="P19" s="43" t="e">
        <f t="shared" si="16"/>
        <v>#DIV/0!</v>
      </c>
      <c r="Q19" s="43" t="e">
        <f t="shared" si="17"/>
        <v>#DIV/0!</v>
      </c>
      <c r="R19" s="43" t="e">
        <f t="shared" si="18"/>
        <v>#DIV/0!</v>
      </c>
      <c r="S19" s="43" t="e">
        <f t="shared" si="19"/>
        <v>#DIV/0!</v>
      </c>
      <c r="T19" s="43" t="e">
        <f t="shared" si="20"/>
        <v>#DIV/0!</v>
      </c>
      <c r="U19" s="43" t="e">
        <f t="shared" si="21"/>
        <v>#DIV/0!</v>
      </c>
      <c r="V19" s="53" t="e">
        <f>V18+ATM_Conf!$C$5*(B18)/(B206*V206)</f>
        <v>#DIV/0!</v>
      </c>
      <c r="W19" s="53" t="e">
        <f>W18+ATM_Conf!$C$5*(C18-B18)/(C206*W206)</f>
        <v>#DIV/0!</v>
      </c>
      <c r="X19" s="53" t="e">
        <f>X18+ATM_Conf!$C$5*(D18-C18)/(D206*X206)</f>
        <v>#DIV/0!</v>
      </c>
      <c r="Y19" s="53" t="e">
        <f>Y18+ATM_Conf!$C$5*(E18-D18)/(E206*Y206)</f>
        <v>#DIV/0!</v>
      </c>
      <c r="Z19" s="53" t="e">
        <f>Z18+ATM_Conf!$C$5*(F18-E18)/(F206*Z206)</f>
        <v>#DIV/0!</v>
      </c>
      <c r="AA19" s="53" t="e">
        <f>AA18+ATM_Conf!$C$5*(G18-F18)/(G206*AA206)</f>
        <v>#DIV/0!</v>
      </c>
      <c r="AB19" s="53" t="e">
        <f>AB18+ATM_Conf!$C$5*(H18-G18)/(H206*AB206)</f>
        <v>#DIV/0!</v>
      </c>
      <c r="AC19" s="53" t="e">
        <f>AC18+ATM_Conf!$C$5*(I18-H18)/(I206*AC206)</f>
        <v>#DIV/0!</v>
      </c>
      <c r="AD19" s="53" t="e">
        <f>AD18+ATM_Conf!$C$5*(J18-I18)/(J206*AD206)</f>
        <v>#DIV/0!</v>
      </c>
      <c r="AE19" s="53" t="e">
        <f>AE18+ATM_Conf!$C$5*(K18-J18)/(K206*AE206)</f>
        <v>#DIV/0!</v>
      </c>
      <c r="AF19" s="53" t="e">
        <f>AF18+ATM_Conf!$C$5*(L18)/(L206*AF206)</f>
        <v>#DIV/0!</v>
      </c>
      <c r="AG19" s="53" t="e">
        <f>AG18+ATM_Conf!$C$5*(M18-L18)/(M206*AG206)</f>
        <v>#DIV/0!</v>
      </c>
      <c r="AH19" s="53" t="e">
        <f>AH18+ATM_Conf!$C$5*(N18-M18)/(N206*AH206)</f>
        <v>#DIV/0!</v>
      </c>
      <c r="AI19" s="53" t="e">
        <f>AI18+ATM_Conf!$C$5*(O18-N18)/(O206*AI206)</f>
        <v>#DIV/0!</v>
      </c>
      <c r="AJ19" s="53" t="e">
        <f>AJ18+ATM_Conf!$C$5*(P18-O18)/(P206*AJ206)</f>
        <v>#DIV/0!</v>
      </c>
      <c r="AK19" s="53" t="e">
        <f>AK18+ATM_Conf!$C$5*(Q18-P18)/(Q206*AK206)</f>
        <v>#DIV/0!</v>
      </c>
      <c r="AL19" s="53" t="e">
        <f>AL18+ATM_Conf!$C$5*(R18-Q18)/(R206*AL206)</f>
        <v>#DIV/0!</v>
      </c>
      <c r="AM19" s="53" t="e">
        <f>AM18+ATM_Conf!$C$5*(S18-R18)/(S206*AM206)</f>
        <v>#DIV/0!</v>
      </c>
      <c r="AN19" s="53" t="e">
        <f>AN18+ATM_Conf!$C$5*(T18-S18)/(T206*AN206)</f>
        <v>#DIV/0!</v>
      </c>
      <c r="AO19" s="53" t="e">
        <f>AO18+ATM_Conf!$C$5*(U18-T18)/(U206*AO206)</f>
        <v>#DIV/0!</v>
      </c>
      <c r="AP19" s="43" t="e">
        <f>AP18+(ATM_Conf!$C$5/ATM_Conf!$C$8)*(BJ19*EXP(-(1/CX19)*(V19/CD19)^CX19)-AP18)-(ATM_Conf!$C$5*ATM_Conf!$C$9)/(V206*ATM_Conf!$C$8)*(Nodes!BO18-V18)/(V18+ATM_Conf!$C$10)</f>
        <v>#DIV/0!</v>
      </c>
      <c r="AQ19" s="43" t="e">
        <f>AQ18+(ATM_Conf!$C$5/ATM_Conf!$C$8)*(BK19*EXP(-(1/CY19)*(W19/CE19)^CY19)-AQ18)+(ATM_Conf!$C$5/W206)*AQ18*(AP18-AQ18)-(ATM_Conf!$C$5*ATM_Conf!$C$9)/(W206*ATM_Conf!$C$8)*(X18-W18)/(W18+ATM_Conf!$C$10)</f>
        <v>#DIV/0!</v>
      </c>
      <c r="AR19" s="43" t="e">
        <f>AR18+(ATM_Conf!$C$5/ATM_Conf!$C$8)*(BL19*EXP(-(1/CZ19)*(X19/CF19)^CZ19)-AR18)+(ATM_Conf!$C$5/X206)*AR18*(Nodes!BC18-AR18)-(ATM_Conf!$C$5*ATM_Conf!$C$9)/(X206*ATM_Conf!$C$8)*(Nodes!BQ18-X18)/(X18+ATM_Conf!$C$10)</f>
        <v>#DIV/0!</v>
      </c>
      <c r="AS19" s="43" t="e">
        <f>AS18+(ATM_Conf!$C$5/ATM_Conf!$C$8)*(BM19*EXP(-(1/DA19)*(Y19/CG19)^DA19)-AS18)+(ATM_Conf!$C$5/Y206)*AS18*(AR18-AS18)-(ATM_Conf!$C$5*ATM_Conf!$C$9)/(Y206*ATM_Conf!$C$8)*(Z18-Y18)/(Y18+ATM_Conf!$C$10)</f>
        <v>#DIV/0!</v>
      </c>
      <c r="AT19" s="43" t="e">
        <f>AT18+(ATM_Conf!$C$5/ATM_Conf!$C$8)*(BN19*EXP(-(1/DB19)*(Z19/CH19)^DB19)-AT18)+(ATM_Conf!$C$5/Z206)*AT18*(Nodes!BE18-AT18)-(ATM_Conf!$C$5*ATM_Conf!$C$9)/(Z206*ATM_Conf!$C$8)*(Nodes!BS18-Z18)/(Z18+ATM_Conf!$C$10)</f>
        <v>#DIV/0!</v>
      </c>
      <c r="AU19" s="43" t="e">
        <f>AU18+(ATM_Conf!$C$5/ATM_Conf!$C$8)*(BO19*EXP(-(1/DC19)*(AA19/CI19)^DC19)-AU18)+(ATM_Conf!$C$5/AA206)*AU18*(Nodes!BF18-AU18)-(ATM_Conf!$C$5*ATM_Conf!$C$9)/(AA206*ATM_Conf!$C$8)*(Nodes!BV18-AA18)/(AA18+ATM_Conf!$C$10)</f>
        <v>#DIV/0!</v>
      </c>
      <c r="AV19" s="43" t="e">
        <f>AV18+(ATM_Conf!$C$5/ATM_Conf!$C$8)*(BP19*EXP(-(1/DD19)*(AB19/CJ19)^DD19)-AV18)+(ATM_Conf!$C$5/AB206)*AV18*(AU18-AV18)-(ATM_Conf!$C$5*ATM_Conf!$C$9)/(AB206*ATM_Conf!$C$8)*(AC18-AB18)/(AB18+ATM_Conf!$C$10)</f>
        <v>#DIV/0!</v>
      </c>
      <c r="AW19" s="43" t="e">
        <f>AW18+(ATM_Conf!$C$5/ATM_Conf!$C$8)*(BQ19*EXP(-(1/DE19)*(AC19/CK19)^DE19)-AW18)+(ATM_Conf!$C$5/AC206)*AW18*(AV18-AW18)-(ATM_Conf!$C$5*ATM_Conf!$C$9)/(AC206*ATM_Conf!$C$8)*(AD18-AC18)/(AC18+ATM_Conf!$C$10)</f>
        <v>#DIV/0!</v>
      </c>
      <c r="AX19" s="43" t="e">
        <f>AX18+(ATM_Conf!$C$5/ATM_Conf!$C$8)*(BR19*EXP(-(1/DF19)*(AD19/CL19)^DF19)-AX18)+(ATM_Conf!$C$5/AD206)*AX18*(Nodes!BG18-AX18)-(ATM_Conf!$C$5*ATM_Conf!$C$9)/(AD206*ATM_Conf!$C$8)*(Nodes!BU18-AD18)/(AD18+ATM_Conf!$C$10)</f>
        <v>#DIV/0!</v>
      </c>
      <c r="AY19" s="43" t="e">
        <f>AY18+(ATM_Conf!$C$5/ATM_Conf!$C$8)*(BS19*EXP(-(1/DG19)*(AE19/CM19)^DG19)-AY18)+(ATM_Conf!$C$5/AE206)*AY18*(Nodes!BF18-AY18)</f>
        <v>#DIV/0!</v>
      </c>
      <c r="AZ19" s="43" t="e">
        <f>AZ18+(ATM_Conf!$C$5/ATM_Conf!$C$8)*(BT19*EXP(-(1/DH19)*(AF19/CN19)^DH19)-AZ18)-(ATM_Conf!$C$5*ATM_Conf!$C$9)/(AF206*ATM_Conf!$C$8)*(Nodes!BV18-AF18)/(AF18+ATM_Conf!$C$10)</f>
        <v>#DIV/0!</v>
      </c>
      <c r="BA19" s="43" t="e">
        <f>BA18+(ATM_Conf!$C$5/ATM_Conf!$C$8)*(BU19*EXP(-(1/DI19)*(AG19/CO19)^DI19)-BA18)+(ATM_Conf!$C$5/AG206)*BA18*(Nodes!BI18-BA18)-(ATM_Conf!$C$5*ATM_Conf!$C$9)/(AG206*ATM_Conf!$C$8)*(Nodes!BW18-AG18)/(AG18+ATM_Conf!$C$10)</f>
        <v>#DIV/0!</v>
      </c>
      <c r="BB19" s="43" t="e">
        <f>BB18+(ATM_Conf!$C$5/ATM_Conf!$C$8)*(BV19*EXP(-(1/DJ19)*(AH19/CP19)^DJ19)-BB18)+(ATM_Conf!$C$5/AH206)*BB18*(Nodes!BJ18-BB18)-(ATM_Conf!$C$5*ATM_Conf!$C$9)/(AH206*ATM_Conf!$C$8)*(AI18-AH18)/(AH18+ATM_Conf!$C$10)</f>
        <v>#DIV/0!</v>
      </c>
      <c r="BC19" s="43" t="e">
        <f>BC18+(ATM_Conf!$C$5/ATM_Conf!$C$8)*(BW19*EXP(-(1/DK19)*(AI19/CQ19)^DK19)-BC18)+(ATM_Conf!$C$5/AI206)*BC18*(BB18-BC18)-(ATM_Conf!$C$5*ATM_Conf!$C$9)/(AI206*ATM_Conf!$C$8)*(AJ18-AI18)/(AI18+ATM_Conf!$C$10)</f>
        <v>#DIV/0!</v>
      </c>
      <c r="BD19" s="43" t="e">
        <f>BD18+(ATM_Conf!$C$5/ATM_Conf!$C$8)*(BX19*EXP(-(1/DL19)*(AJ19/CR19)^DL19)-BD18)+(ATM_Conf!$C$5/AJ206)*BD18*(BC18-BD18)-(ATM_Conf!$C$5*ATM_Conf!$C$9)/(AJ206*ATM_Conf!$C$8)*(Nodes!BX18-AJ18)/(AJ18+ATM_Conf!$C$10)</f>
        <v>#DIV/0!</v>
      </c>
      <c r="BE19" s="43" t="e">
        <f>BE18+(ATM_Conf!$C$5/ATM_Conf!$C$8)*(BY19*EXP(-(1/DM19)*(AK19/CS19)^DM19)-BE18)+(ATM_Conf!$C$5/AK206)*BE18*(Nodes!BK18-BE18)-(ATM_Conf!$C$5*ATM_Conf!$C$9)/(AK206*ATM_Conf!$C$8)*(Nodes!BY18-AK18)/(AK18+ATM_Conf!$C$10)</f>
        <v>#DIV/0!</v>
      </c>
      <c r="BF19" s="43" t="e">
        <f>BF18+(ATM_Conf!$C$5/ATM_Conf!$C$8)*(BZ19*EXP(-(1/DN19)*(AL19/CT19)^DN19)-BF18)+(ATM_Conf!$C$5/AL206)*BF18*(BE18-BF18)-(ATM_Conf!$C$5*ATM_Conf!$C$9)/(AL206*ATM_Conf!$C$8)*(AM18-AL18)/(AL18+ATM_Conf!$C$10)</f>
        <v>#DIV/0!</v>
      </c>
      <c r="BG19" s="43" t="e">
        <f>BG18+(ATM_Conf!$C$5/ATM_Conf!$C$8)*(CA19*EXP(-(1/DO19)*(AM19/CU19)^DO19)-BG18)+(ATM_Conf!$C$5/AM206)*BG18*(Nodes!BM18-BG18)-(ATM_Conf!$C$5*ATM_Conf!$C$9)/(AM206*ATM_Conf!$C$8)*(Nodes!CA18-AM18)/(AM18+ATM_Conf!$C$10)</f>
        <v>#DIV/0!</v>
      </c>
      <c r="BH19" s="43" t="e">
        <f>BH18+(ATM_Conf!$C$5/ATM_Conf!$C$8)*(CB19*EXP(-(1/DP19)*(AN19/CV19)^DP19)-BH18)+(ATM_Conf!$C$5/AN206)*BH18*(BG18-BH18)-(ATM_Conf!$C$5*ATM_Conf!$C$9)/(AN206*ATM_Conf!$C$8)*(AO18-AN18)/(AN18+ATM_Conf!$C$10)</f>
        <v>#DIV/0!</v>
      </c>
      <c r="BI19" s="43" t="e">
        <f>BI18+(ATM_Conf!$C$5/ATM_Conf!$C$8)*(CC19*EXP(-(1/DQ19)*(AO19/CW19)^DQ19)-BI18)+(ATM_Conf!$C$5/AO206)*BI18*(BH18-BI18)</f>
        <v>#DIV/0!</v>
      </c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53"/>
      <c r="CY19" s="53"/>
      <c r="CZ19" s="53"/>
      <c r="DA19" s="53"/>
      <c r="DB19" s="53"/>
      <c r="DC19" s="53"/>
      <c r="DD19" s="53"/>
      <c r="DE19" s="53"/>
      <c r="DF19" s="53"/>
      <c r="DG19" s="53"/>
      <c r="DH19" s="53"/>
      <c r="DI19" s="53"/>
      <c r="DJ19" s="53"/>
      <c r="DK19" s="53"/>
      <c r="DL19" s="53"/>
      <c r="DM19" s="53"/>
      <c r="DN19" s="53"/>
      <c r="DO19" s="53"/>
      <c r="DP19" s="53"/>
      <c r="DQ19" s="53"/>
      <c r="DR19" s="43">
        <f t="shared" si="26"/>
        <v>0</v>
      </c>
      <c r="DS19" s="43">
        <f t="shared" si="25"/>
        <v>0</v>
      </c>
      <c r="DT19" s="43">
        <f t="shared" si="25"/>
        <v>0</v>
      </c>
      <c r="DU19" s="43">
        <f t="shared" si="25"/>
        <v>0</v>
      </c>
      <c r="DV19" s="43">
        <f t="shared" si="25"/>
        <v>0</v>
      </c>
      <c r="DW19" s="43">
        <f t="shared" si="25"/>
        <v>0</v>
      </c>
      <c r="DX19" s="43">
        <f t="shared" si="25"/>
        <v>0</v>
      </c>
      <c r="DY19" s="43">
        <f t="shared" si="25"/>
        <v>0</v>
      </c>
      <c r="DZ19" s="43">
        <f t="shared" si="25"/>
        <v>0</v>
      </c>
      <c r="EA19" s="43">
        <f t="shared" si="25"/>
        <v>0</v>
      </c>
      <c r="EB19" s="43">
        <f t="shared" si="25"/>
        <v>0</v>
      </c>
      <c r="EC19" s="43">
        <f t="shared" si="25"/>
        <v>0</v>
      </c>
      <c r="ED19" s="43">
        <f t="shared" si="25"/>
        <v>0</v>
      </c>
      <c r="EE19" s="43">
        <f t="shared" si="25"/>
        <v>0</v>
      </c>
      <c r="EF19" s="43">
        <f t="shared" si="25"/>
        <v>0</v>
      </c>
      <c r="EG19" s="43">
        <f t="shared" si="25"/>
        <v>0</v>
      </c>
      <c r="EH19" s="43">
        <f t="shared" si="25"/>
        <v>0</v>
      </c>
      <c r="EI19" s="43">
        <f t="shared" si="25"/>
        <v>0</v>
      </c>
      <c r="EJ19" s="43">
        <f t="shared" si="25"/>
        <v>0</v>
      </c>
      <c r="EK19" s="43">
        <f t="shared" si="25"/>
        <v>0</v>
      </c>
      <c r="EL19" s="47"/>
      <c r="EM19" s="47"/>
      <c r="EN19" s="47"/>
      <c r="EO19" s="47"/>
      <c r="EP19" s="47"/>
      <c r="EQ19" s="47"/>
      <c r="ER19" s="47"/>
      <c r="ES19" s="47"/>
      <c r="ET19" s="47"/>
      <c r="EU19" s="47"/>
      <c r="EV19" s="47"/>
      <c r="EW19" s="47"/>
      <c r="EX19" s="47"/>
      <c r="EY19" s="47"/>
      <c r="EZ19" s="47"/>
      <c r="FA19" s="47"/>
      <c r="FB19" s="47"/>
      <c r="FC19" s="47"/>
      <c r="FD19" s="47"/>
      <c r="FE19" s="47"/>
    </row>
    <row r="20" spans="1:161" ht="14.25" x14ac:dyDescent="0.15">
      <c r="A20" s="46"/>
      <c r="B20" s="43" t="e">
        <f t="shared" si="2"/>
        <v>#DIV/0!</v>
      </c>
      <c r="C20" s="43" t="e">
        <f t="shared" si="3"/>
        <v>#DIV/0!</v>
      </c>
      <c r="D20" s="43" t="e">
        <f t="shared" si="4"/>
        <v>#DIV/0!</v>
      </c>
      <c r="E20" s="43" t="e">
        <f t="shared" si="5"/>
        <v>#DIV/0!</v>
      </c>
      <c r="F20" s="43" t="e">
        <f t="shared" si="6"/>
        <v>#DIV/0!</v>
      </c>
      <c r="G20" s="43" t="e">
        <f t="shared" si="7"/>
        <v>#DIV/0!</v>
      </c>
      <c r="H20" s="43" t="e">
        <f t="shared" si="8"/>
        <v>#DIV/0!</v>
      </c>
      <c r="I20" s="43" t="e">
        <f t="shared" si="9"/>
        <v>#DIV/0!</v>
      </c>
      <c r="J20" s="43" t="e">
        <f t="shared" si="10"/>
        <v>#DIV/0!</v>
      </c>
      <c r="K20" s="43" t="e">
        <f t="shared" si="11"/>
        <v>#DIV/0!</v>
      </c>
      <c r="L20" s="43" t="e">
        <f t="shared" si="12"/>
        <v>#DIV/0!</v>
      </c>
      <c r="M20" s="43" t="e">
        <f t="shared" si="13"/>
        <v>#DIV/0!</v>
      </c>
      <c r="N20" s="43" t="e">
        <f t="shared" si="14"/>
        <v>#DIV/0!</v>
      </c>
      <c r="O20" s="43" t="e">
        <f t="shared" si="15"/>
        <v>#DIV/0!</v>
      </c>
      <c r="P20" s="43" t="e">
        <f t="shared" si="16"/>
        <v>#DIV/0!</v>
      </c>
      <c r="Q20" s="43" t="e">
        <f t="shared" si="17"/>
        <v>#DIV/0!</v>
      </c>
      <c r="R20" s="43" t="e">
        <f t="shared" si="18"/>
        <v>#DIV/0!</v>
      </c>
      <c r="S20" s="43" t="e">
        <f t="shared" si="19"/>
        <v>#DIV/0!</v>
      </c>
      <c r="T20" s="43" t="e">
        <f t="shared" si="20"/>
        <v>#DIV/0!</v>
      </c>
      <c r="U20" s="43" t="e">
        <f t="shared" si="21"/>
        <v>#DIV/0!</v>
      </c>
      <c r="V20" s="53" t="e">
        <f>V19+ATM_Conf!$C$5*(B19)/(B207*V207)</f>
        <v>#DIV/0!</v>
      </c>
      <c r="W20" s="53" t="e">
        <f>W19+ATM_Conf!$C$5*(C19-B19)/(C207*W207)</f>
        <v>#DIV/0!</v>
      </c>
      <c r="X20" s="53" t="e">
        <f>X19+ATM_Conf!$C$5*(D19-C19)/(D207*X207)</f>
        <v>#DIV/0!</v>
      </c>
      <c r="Y20" s="53" t="e">
        <f>Y19+ATM_Conf!$C$5*(E19-D19)/(E207*Y207)</f>
        <v>#DIV/0!</v>
      </c>
      <c r="Z20" s="53" t="e">
        <f>Z19+ATM_Conf!$C$5*(F19-E19)/(F207*Z207)</f>
        <v>#DIV/0!</v>
      </c>
      <c r="AA20" s="53" t="e">
        <f>AA19+ATM_Conf!$C$5*(G19-F19)/(G207*AA207)</f>
        <v>#DIV/0!</v>
      </c>
      <c r="AB20" s="53" t="e">
        <f>AB19+ATM_Conf!$C$5*(H19-G19)/(H207*AB207)</f>
        <v>#DIV/0!</v>
      </c>
      <c r="AC20" s="53" t="e">
        <f>AC19+ATM_Conf!$C$5*(I19-H19)/(I207*AC207)</f>
        <v>#DIV/0!</v>
      </c>
      <c r="AD20" s="53" t="e">
        <f>AD19+ATM_Conf!$C$5*(J19-I19)/(J207*AD207)</f>
        <v>#DIV/0!</v>
      </c>
      <c r="AE20" s="53" t="e">
        <f>AE19+ATM_Conf!$C$5*(K19-J19)/(K207*AE207)</f>
        <v>#DIV/0!</v>
      </c>
      <c r="AF20" s="53" t="e">
        <f>AF19+ATM_Conf!$C$5*(L19)/(L207*AF207)</f>
        <v>#DIV/0!</v>
      </c>
      <c r="AG20" s="53" t="e">
        <f>AG19+ATM_Conf!$C$5*(M19-L19)/(M207*AG207)</f>
        <v>#DIV/0!</v>
      </c>
      <c r="AH20" s="53" t="e">
        <f>AH19+ATM_Conf!$C$5*(N19-M19)/(N207*AH207)</f>
        <v>#DIV/0!</v>
      </c>
      <c r="AI20" s="53" t="e">
        <f>AI19+ATM_Conf!$C$5*(O19-N19)/(O207*AI207)</f>
        <v>#DIV/0!</v>
      </c>
      <c r="AJ20" s="53" t="e">
        <f>AJ19+ATM_Conf!$C$5*(P19-O19)/(P207*AJ207)</f>
        <v>#DIV/0!</v>
      </c>
      <c r="AK20" s="53" t="e">
        <f>AK19+ATM_Conf!$C$5*(Q19-P19)/(Q207*AK207)</f>
        <v>#DIV/0!</v>
      </c>
      <c r="AL20" s="53" t="e">
        <f>AL19+ATM_Conf!$C$5*(R19-Q19)/(R207*AL207)</f>
        <v>#DIV/0!</v>
      </c>
      <c r="AM20" s="53" t="e">
        <f>AM19+ATM_Conf!$C$5*(S19-R19)/(S207*AM207)</f>
        <v>#DIV/0!</v>
      </c>
      <c r="AN20" s="53" t="e">
        <f>AN19+ATM_Conf!$C$5*(T19-S19)/(T207*AN207)</f>
        <v>#DIV/0!</v>
      </c>
      <c r="AO20" s="53" t="e">
        <f>AO19+ATM_Conf!$C$5*(U19-T19)/(U207*AO207)</f>
        <v>#DIV/0!</v>
      </c>
      <c r="AP20" s="43" t="e">
        <f>AP19+(ATM_Conf!$C$5/ATM_Conf!$C$8)*(BJ20*EXP(-(1/CX20)*(V20/CD20)^CX20)-AP19)-(ATM_Conf!$C$5*ATM_Conf!$C$9)/(V207*ATM_Conf!$C$8)*(Nodes!BO19-V19)/(V19+ATM_Conf!$C$10)</f>
        <v>#DIV/0!</v>
      </c>
      <c r="AQ20" s="43" t="e">
        <f>AQ19+(ATM_Conf!$C$5/ATM_Conf!$C$8)*(BK20*EXP(-(1/CY20)*(W20/CE20)^CY20)-AQ19)+(ATM_Conf!$C$5/W207)*AQ19*(AP19-AQ19)-(ATM_Conf!$C$5*ATM_Conf!$C$9)/(W207*ATM_Conf!$C$8)*(X19-W19)/(W19+ATM_Conf!$C$10)</f>
        <v>#DIV/0!</v>
      </c>
      <c r="AR20" s="43" t="e">
        <f>AR19+(ATM_Conf!$C$5/ATM_Conf!$C$8)*(BL20*EXP(-(1/CZ20)*(X20/CF20)^CZ20)-AR19)+(ATM_Conf!$C$5/X207)*AR19*(Nodes!BC19-AR19)-(ATM_Conf!$C$5*ATM_Conf!$C$9)/(X207*ATM_Conf!$C$8)*(Nodes!BQ19-X19)/(X19+ATM_Conf!$C$10)</f>
        <v>#DIV/0!</v>
      </c>
      <c r="AS20" s="43" t="e">
        <f>AS19+(ATM_Conf!$C$5/ATM_Conf!$C$8)*(BM20*EXP(-(1/DA20)*(Y20/CG20)^DA20)-AS19)+(ATM_Conf!$C$5/Y207)*AS19*(AR19-AS19)-(ATM_Conf!$C$5*ATM_Conf!$C$9)/(Y207*ATM_Conf!$C$8)*(Z19-Y19)/(Y19+ATM_Conf!$C$10)</f>
        <v>#DIV/0!</v>
      </c>
      <c r="AT20" s="43" t="e">
        <f>AT19+(ATM_Conf!$C$5/ATM_Conf!$C$8)*(BN20*EXP(-(1/DB20)*(Z20/CH20)^DB20)-AT19)+(ATM_Conf!$C$5/Z207)*AT19*(Nodes!BE19-AT19)-(ATM_Conf!$C$5*ATM_Conf!$C$9)/(Z207*ATM_Conf!$C$8)*(Nodes!BS19-Z19)/(Z19+ATM_Conf!$C$10)</f>
        <v>#DIV/0!</v>
      </c>
      <c r="AU20" s="43" t="e">
        <f>AU19+(ATM_Conf!$C$5/ATM_Conf!$C$8)*(BO20*EXP(-(1/DC20)*(AA20/CI20)^DC20)-AU19)+(ATM_Conf!$C$5/AA207)*AU19*(Nodes!BF19-AU19)-(ATM_Conf!$C$5*ATM_Conf!$C$9)/(AA207*ATM_Conf!$C$8)*(Nodes!BV19-AA19)/(AA19+ATM_Conf!$C$10)</f>
        <v>#DIV/0!</v>
      </c>
      <c r="AV20" s="43" t="e">
        <f>AV19+(ATM_Conf!$C$5/ATM_Conf!$C$8)*(BP20*EXP(-(1/DD20)*(AB20/CJ20)^DD20)-AV19)+(ATM_Conf!$C$5/AB207)*AV19*(AU19-AV19)-(ATM_Conf!$C$5*ATM_Conf!$C$9)/(AB207*ATM_Conf!$C$8)*(AC19-AB19)/(AB19+ATM_Conf!$C$10)</f>
        <v>#DIV/0!</v>
      </c>
      <c r="AW20" s="43" t="e">
        <f>AW19+(ATM_Conf!$C$5/ATM_Conf!$C$8)*(BQ20*EXP(-(1/DE20)*(AC20/CK20)^DE20)-AW19)+(ATM_Conf!$C$5/AC207)*AW19*(AV19-AW19)-(ATM_Conf!$C$5*ATM_Conf!$C$9)/(AC207*ATM_Conf!$C$8)*(AD19-AC19)/(AC19+ATM_Conf!$C$10)</f>
        <v>#DIV/0!</v>
      </c>
      <c r="AX20" s="43" t="e">
        <f>AX19+(ATM_Conf!$C$5/ATM_Conf!$C$8)*(BR20*EXP(-(1/DF20)*(AD20/CL20)^DF20)-AX19)+(ATM_Conf!$C$5/AD207)*AX19*(Nodes!BG19-AX19)-(ATM_Conf!$C$5*ATM_Conf!$C$9)/(AD207*ATM_Conf!$C$8)*(Nodes!BU19-AD19)/(AD19+ATM_Conf!$C$10)</f>
        <v>#DIV/0!</v>
      </c>
      <c r="AY20" s="43" t="e">
        <f>AY19+(ATM_Conf!$C$5/ATM_Conf!$C$8)*(BS20*EXP(-(1/DG20)*(AE20/CM20)^DG20)-AY19)+(ATM_Conf!$C$5/AE207)*AY19*(Nodes!BF19-AY19)</f>
        <v>#DIV/0!</v>
      </c>
      <c r="AZ20" s="43" t="e">
        <f>AZ19+(ATM_Conf!$C$5/ATM_Conf!$C$8)*(BT20*EXP(-(1/DH20)*(AF20/CN20)^DH20)-AZ19)-(ATM_Conf!$C$5*ATM_Conf!$C$9)/(AF207*ATM_Conf!$C$8)*(Nodes!BV19-AF19)/(AF19+ATM_Conf!$C$10)</f>
        <v>#DIV/0!</v>
      </c>
      <c r="BA20" s="43" t="e">
        <f>BA19+(ATM_Conf!$C$5/ATM_Conf!$C$8)*(BU20*EXP(-(1/DI20)*(AG20/CO20)^DI20)-BA19)+(ATM_Conf!$C$5/AG207)*BA19*(Nodes!BI19-BA19)-(ATM_Conf!$C$5*ATM_Conf!$C$9)/(AG207*ATM_Conf!$C$8)*(Nodes!BW19-AG19)/(AG19+ATM_Conf!$C$10)</f>
        <v>#DIV/0!</v>
      </c>
      <c r="BB20" s="43" t="e">
        <f>BB19+(ATM_Conf!$C$5/ATM_Conf!$C$8)*(BV20*EXP(-(1/DJ20)*(AH20/CP20)^DJ20)-BB19)+(ATM_Conf!$C$5/AH207)*BB19*(Nodes!BJ19-BB19)-(ATM_Conf!$C$5*ATM_Conf!$C$9)/(AH207*ATM_Conf!$C$8)*(AI19-AH19)/(AH19+ATM_Conf!$C$10)</f>
        <v>#DIV/0!</v>
      </c>
      <c r="BC20" s="43" t="e">
        <f>BC19+(ATM_Conf!$C$5/ATM_Conf!$C$8)*(BW20*EXP(-(1/DK20)*(AI20/CQ20)^DK20)-BC19)+(ATM_Conf!$C$5/AI207)*BC19*(BB19-BC19)-(ATM_Conf!$C$5*ATM_Conf!$C$9)/(AI207*ATM_Conf!$C$8)*(AJ19-AI19)/(AI19+ATM_Conf!$C$10)</f>
        <v>#DIV/0!</v>
      </c>
      <c r="BD20" s="43" t="e">
        <f>BD19+(ATM_Conf!$C$5/ATM_Conf!$C$8)*(BX20*EXP(-(1/DL20)*(AJ20/CR20)^DL20)-BD19)+(ATM_Conf!$C$5/AJ207)*BD19*(BC19-BD19)-(ATM_Conf!$C$5*ATM_Conf!$C$9)/(AJ207*ATM_Conf!$C$8)*(Nodes!BX19-AJ19)/(AJ19+ATM_Conf!$C$10)</f>
        <v>#DIV/0!</v>
      </c>
      <c r="BE20" s="43" t="e">
        <f>BE19+(ATM_Conf!$C$5/ATM_Conf!$C$8)*(BY20*EXP(-(1/DM20)*(AK20/CS20)^DM20)-BE19)+(ATM_Conf!$C$5/AK207)*BE19*(Nodes!BK19-BE19)-(ATM_Conf!$C$5*ATM_Conf!$C$9)/(AK207*ATM_Conf!$C$8)*(Nodes!BY19-AK19)/(AK19+ATM_Conf!$C$10)</f>
        <v>#DIV/0!</v>
      </c>
      <c r="BF20" s="43" t="e">
        <f>BF19+(ATM_Conf!$C$5/ATM_Conf!$C$8)*(BZ20*EXP(-(1/DN20)*(AL20/CT20)^DN20)-BF19)+(ATM_Conf!$C$5/AL207)*BF19*(BE19-BF19)-(ATM_Conf!$C$5*ATM_Conf!$C$9)/(AL207*ATM_Conf!$C$8)*(AM19-AL19)/(AL19+ATM_Conf!$C$10)</f>
        <v>#DIV/0!</v>
      </c>
      <c r="BG20" s="43" t="e">
        <f>BG19+(ATM_Conf!$C$5/ATM_Conf!$C$8)*(CA20*EXP(-(1/DO20)*(AM20/CU20)^DO20)-BG19)+(ATM_Conf!$C$5/AM207)*BG19*(Nodes!BM19-BG19)-(ATM_Conf!$C$5*ATM_Conf!$C$9)/(AM207*ATM_Conf!$C$8)*(Nodes!CA19-AM19)/(AM19+ATM_Conf!$C$10)</f>
        <v>#DIV/0!</v>
      </c>
      <c r="BH20" s="43" t="e">
        <f>BH19+(ATM_Conf!$C$5/ATM_Conf!$C$8)*(CB20*EXP(-(1/DP20)*(AN20/CV20)^DP20)-BH19)+(ATM_Conf!$C$5/AN207)*BH19*(BG19-BH19)-(ATM_Conf!$C$5*ATM_Conf!$C$9)/(AN207*ATM_Conf!$C$8)*(AO19-AN19)/(AN19+ATM_Conf!$C$10)</f>
        <v>#DIV/0!</v>
      </c>
      <c r="BI20" s="43" t="e">
        <f>BI19+(ATM_Conf!$C$5/ATM_Conf!$C$8)*(CC20*EXP(-(1/DQ20)*(AO20/CW20)^DQ20)-BI19)+(ATM_Conf!$C$5/AO207)*BI19*(BH19-BI19)</f>
        <v>#DIV/0!</v>
      </c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43">
        <f t="shared" si="26"/>
        <v>0</v>
      </c>
      <c r="DS20" s="43">
        <f t="shared" si="25"/>
        <v>0</v>
      </c>
      <c r="DT20" s="43">
        <f t="shared" si="25"/>
        <v>0</v>
      </c>
      <c r="DU20" s="43">
        <f t="shared" si="25"/>
        <v>0</v>
      </c>
      <c r="DV20" s="43">
        <f t="shared" si="25"/>
        <v>0</v>
      </c>
      <c r="DW20" s="43">
        <f t="shared" si="25"/>
        <v>0</v>
      </c>
      <c r="DX20" s="43">
        <f t="shared" si="25"/>
        <v>0</v>
      </c>
      <c r="DY20" s="43">
        <f t="shared" si="25"/>
        <v>0</v>
      </c>
      <c r="DZ20" s="43">
        <f t="shared" si="25"/>
        <v>0</v>
      </c>
      <c r="EA20" s="43">
        <f t="shared" si="25"/>
        <v>0</v>
      </c>
      <c r="EB20" s="43">
        <f t="shared" si="25"/>
        <v>0</v>
      </c>
      <c r="EC20" s="43">
        <f t="shared" si="25"/>
        <v>0</v>
      </c>
      <c r="ED20" s="43">
        <f t="shared" si="25"/>
        <v>0</v>
      </c>
      <c r="EE20" s="43">
        <f t="shared" si="25"/>
        <v>0</v>
      </c>
      <c r="EF20" s="43">
        <f t="shared" si="25"/>
        <v>0</v>
      </c>
      <c r="EG20" s="43">
        <f t="shared" si="25"/>
        <v>0</v>
      </c>
      <c r="EH20" s="43">
        <f t="shared" si="25"/>
        <v>0</v>
      </c>
      <c r="EI20" s="43">
        <f t="shared" si="25"/>
        <v>0</v>
      </c>
      <c r="EJ20" s="43">
        <f t="shared" si="25"/>
        <v>0</v>
      </c>
      <c r="EK20" s="43">
        <f t="shared" si="25"/>
        <v>0</v>
      </c>
      <c r="EL20" s="47"/>
      <c r="EM20" s="47"/>
      <c r="EN20" s="47"/>
      <c r="EO20" s="47"/>
      <c r="EP20" s="47"/>
      <c r="EQ20" s="47"/>
      <c r="ER20" s="47"/>
      <c r="ES20" s="47"/>
      <c r="ET20" s="47"/>
      <c r="EU20" s="47"/>
      <c r="EV20" s="47"/>
      <c r="EW20" s="47"/>
      <c r="EX20" s="47"/>
      <c r="EY20" s="47"/>
      <c r="EZ20" s="47"/>
      <c r="FA20" s="47"/>
      <c r="FB20" s="47"/>
      <c r="FC20" s="47"/>
      <c r="FD20" s="47"/>
      <c r="FE20" s="47"/>
    </row>
    <row r="21" spans="1:161" ht="14.25" x14ac:dyDescent="0.15">
      <c r="A21" s="46"/>
      <c r="B21" s="43" t="e">
        <f t="shared" si="2"/>
        <v>#DIV/0!</v>
      </c>
      <c r="C21" s="43" t="e">
        <f t="shared" si="3"/>
        <v>#DIV/0!</v>
      </c>
      <c r="D21" s="43" t="e">
        <f t="shared" si="4"/>
        <v>#DIV/0!</v>
      </c>
      <c r="E21" s="43" t="e">
        <f t="shared" si="5"/>
        <v>#DIV/0!</v>
      </c>
      <c r="F21" s="43" t="e">
        <f t="shared" si="6"/>
        <v>#DIV/0!</v>
      </c>
      <c r="G21" s="43" t="e">
        <f t="shared" si="7"/>
        <v>#DIV/0!</v>
      </c>
      <c r="H21" s="43" t="e">
        <f t="shared" si="8"/>
        <v>#DIV/0!</v>
      </c>
      <c r="I21" s="43" t="e">
        <f t="shared" si="9"/>
        <v>#DIV/0!</v>
      </c>
      <c r="J21" s="43" t="e">
        <f t="shared" si="10"/>
        <v>#DIV/0!</v>
      </c>
      <c r="K21" s="43" t="e">
        <f t="shared" si="11"/>
        <v>#DIV/0!</v>
      </c>
      <c r="L21" s="43" t="e">
        <f t="shared" si="12"/>
        <v>#DIV/0!</v>
      </c>
      <c r="M21" s="43" t="e">
        <f t="shared" si="13"/>
        <v>#DIV/0!</v>
      </c>
      <c r="N21" s="43" t="e">
        <f t="shared" si="14"/>
        <v>#DIV/0!</v>
      </c>
      <c r="O21" s="43" t="e">
        <f t="shared" si="15"/>
        <v>#DIV/0!</v>
      </c>
      <c r="P21" s="43" t="e">
        <f t="shared" si="16"/>
        <v>#DIV/0!</v>
      </c>
      <c r="Q21" s="43" t="e">
        <f t="shared" si="17"/>
        <v>#DIV/0!</v>
      </c>
      <c r="R21" s="43" t="e">
        <f t="shared" si="18"/>
        <v>#DIV/0!</v>
      </c>
      <c r="S21" s="43" t="e">
        <f t="shared" si="19"/>
        <v>#DIV/0!</v>
      </c>
      <c r="T21" s="43" t="e">
        <f t="shared" si="20"/>
        <v>#DIV/0!</v>
      </c>
      <c r="U21" s="43" t="e">
        <f t="shared" si="21"/>
        <v>#DIV/0!</v>
      </c>
      <c r="V21" s="53" t="e">
        <f>V20+ATM_Conf!$C$5*(B20)/(B208*V208)</f>
        <v>#DIV/0!</v>
      </c>
      <c r="W21" s="53" t="e">
        <f>W20+ATM_Conf!$C$5*(C20-B20)/(C208*W208)</f>
        <v>#DIV/0!</v>
      </c>
      <c r="X21" s="53" t="e">
        <f>X20+ATM_Conf!$C$5*(D20-C20)/(D208*X208)</f>
        <v>#DIV/0!</v>
      </c>
      <c r="Y21" s="53" t="e">
        <f>Y20+ATM_Conf!$C$5*(E20-D20)/(E208*Y208)</f>
        <v>#DIV/0!</v>
      </c>
      <c r="Z21" s="53" t="e">
        <f>Z20+ATM_Conf!$C$5*(F20-E20)/(F208*Z208)</f>
        <v>#DIV/0!</v>
      </c>
      <c r="AA21" s="53" t="e">
        <f>AA20+ATM_Conf!$C$5*(G20-F20)/(G208*AA208)</f>
        <v>#DIV/0!</v>
      </c>
      <c r="AB21" s="53" t="e">
        <f>AB20+ATM_Conf!$C$5*(H20-G20)/(H208*AB208)</f>
        <v>#DIV/0!</v>
      </c>
      <c r="AC21" s="53" t="e">
        <f>AC20+ATM_Conf!$C$5*(I20-H20)/(I208*AC208)</f>
        <v>#DIV/0!</v>
      </c>
      <c r="AD21" s="53" t="e">
        <f>AD20+ATM_Conf!$C$5*(J20-I20)/(J208*AD208)</f>
        <v>#DIV/0!</v>
      </c>
      <c r="AE21" s="53" t="e">
        <f>AE20+ATM_Conf!$C$5*(K20-J20)/(K208*AE208)</f>
        <v>#DIV/0!</v>
      </c>
      <c r="AF21" s="53" t="e">
        <f>AF20+ATM_Conf!$C$5*(L20)/(L208*AF208)</f>
        <v>#DIV/0!</v>
      </c>
      <c r="AG21" s="53" t="e">
        <f>AG20+ATM_Conf!$C$5*(M20-L20)/(M208*AG208)</f>
        <v>#DIV/0!</v>
      </c>
      <c r="AH21" s="53" t="e">
        <f>AH20+ATM_Conf!$C$5*(N20-M20)/(N208*AH208)</f>
        <v>#DIV/0!</v>
      </c>
      <c r="AI21" s="53" t="e">
        <f>AI20+ATM_Conf!$C$5*(O20-N20)/(O208*AI208)</f>
        <v>#DIV/0!</v>
      </c>
      <c r="AJ21" s="53" t="e">
        <f>AJ20+ATM_Conf!$C$5*(P20-O20)/(P208*AJ208)</f>
        <v>#DIV/0!</v>
      </c>
      <c r="AK21" s="53" t="e">
        <f>AK20+ATM_Conf!$C$5*(Q20-P20)/(Q208*AK208)</f>
        <v>#DIV/0!</v>
      </c>
      <c r="AL21" s="53" t="e">
        <f>AL20+ATM_Conf!$C$5*(R20-Q20)/(R208*AL208)</f>
        <v>#DIV/0!</v>
      </c>
      <c r="AM21" s="53" t="e">
        <f>AM20+ATM_Conf!$C$5*(S20-R20)/(S208*AM208)</f>
        <v>#DIV/0!</v>
      </c>
      <c r="AN21" s="53" t="e">
        <f>AN20+ATM_Conf!$C$5*(T20-S20)/(T208*AN208)</f>
        <v>#DIV/0!</v>
      </c>
      <c r="AO21" s="53" t="e">
        <f>AO20+ATM_Conf!$C$5*(U20-T20)/(U208*AO208)</f>
        <v>#DIV/0!</v>
      </c>
      <c r="AP21" s="43" t="e">
        <f>AP20+(ATM_Conf!$C$5/ATM_Conf!$C$8)*(BJ21*EXP(-(1/CX21)*(V21/CD21)^CX21)-AP20)-(ATM_Conf!$C$5*ATM_Conf!$C$9)/(V208*ATM_Conf!$C$8)*(Nodes!BO20-V20)/(V20+ATM_Conf!$C$10)</f>
        <v>#DIV/0!</v>
      </c>
      <c r="AQ21" s="43" t="e">
        <f>AQ20+(ATM_Conf!$C$5/ATM_Conf!$C$8)*(BK21*EXP(-(1/CY21)*(W21/CE21)^CY21)-AQ20)+(ATM_Conf!$C$5/W208)*AQ20*(AP20-AQ20)-(ATM_Conf!$C$5*ATM_Conf!$C$9)/(W208*ATM_Conf!$C$8)*(X20-W20)/(W20+ATM_Conf!$C$10)</f>
        <v>#DIV/0!</v>
      </c>
      <c r="AR21" s="43" t="e">
        <f>AR20+(ATM_Conf!$C$5/ATM_Conf!$C$8)*(BL21*EXP(-(1/CZ21)*(X21/CF21)^CZ21)-AR20)+(ATM_Conf!$C$5/X208)*AR20*(Nodes!BC20-AR20)-(ATM_Conf!$C$5*ATM_Conf!$C$9)/(X208*ATM_Conf!$C$8)*(Nodes!BQ20-X20)/(X20+ATM_Conf!$C$10)</f>
        <v>#DIV/0!</v>
      </c>
      <c r="AS21" s="43" t="e">
        <f>AS20+(ATM_Conf!$C$5/ATM_Conf!$C$8)*(BM21*EXP(-(1/DA21)*(Y21/CG21)^DA21)-AS20)+(ATM_Conf!$C$5/Y208)*AS20*(AR20-AS20)-(ATM_Conf!$C$5*ATM_Conf!$C$9)/(Y208*ATM_Conf!$C$8)*(Z20-Y20)/(Y20+ATM_Conf!$C$10)</f>
        <v>#DIV/0!</v>
      </c>
      <c r="AT21" s="43" t="e">
        <f>AT20+(ATM_Conf!$C$5/ATM_Conf!$C$8)*(BN21*EXP(-(1/DB21)*(Z21/CH21)^DB21)-AT20)+(ATM_Conf!$C$5/Z208)*AT20*(Nodes!BE20-AT20)-(ATM_Conf!$C$5*ATM_Conf!$C$9)/(Z208*ATM_Conf!$C$8)*(Nodes!BS20-Z20)/(Z20+ATM_Conf!$C$10)</f>
        <v>#DIV/0!</v>
      </c>
      <c r="AU21" s="43" t="e">
        <f>AU20+(ATM_Conf!$C$5/ATM_Conf!$C$8)*(BO21*EXP(-(1/DC21)*(AA21/CI21)^DC21)-AU20)+(ATM_Conf!$C$5/AA208)*AU20*(Nodes!BF20-AU20)-(ATM_Conf!$C$5*ATM_Conf!$C$9)/(AA208*ATM_Conf!$C$8)*(Nodes!BV20-AA20)/(AA20+ATM_Conf!$C$10)</f>
        <v>#DIV/0!</v>
      </c>
      <c r="AV21" s="43" t="e">
        <f>AV20+(ATM_Conf!$C$5/ATM_Conf!$C$8)*(BP21*EXP(-(1/DD21)*(AB21/CJ21)^DD21)-AV20)+(ATM_Conf!$C$5/AB208)*AV20*(AU20-AV20)-(ATM_Conf!$C$5*ATM_Conf!$C$9)/(AB208*ATM_Conf!$C$8)*(AC20-AB20)/(AB20+ATM_Conf!$C$10)</f>
        <v>#DIV/0!</v>
      </c>
      <c r="AW21" s="43" t="e">
        <f>AW20+(ATM_Conf!$C$5/ATM_Conf!$C$8)*(BQ21*EXP(-(1/DE21)*(AC21/CK21)^DE21)-AW20)+(ATM_Conf!$C$5/AC208)*AW20*(AV20-AW20)-(ATM_Conf!$C$5*ATM_Conf!$C$9)/(AC208*ATM_Conf!$C$8)*(AD20-AC20)/(AC20+ATM_Conf!$C$10)</f>
        <v>#DIV/0!</v>
      </c>
      <c r="AX21" s="43" t="e">
        <f>AX20+(ATM_Conf!$C$5/ATM_Conf!$C$8)*(BR21*EXP(-(1/DF21)*(AD21/CL21)^DF21)-AX20)+(ATM_Conf!$C$5/AD208)*AX20*(Nodes!BG20-AX20)-(ATM_Conf!$C$5*ATM_Conf!$C$9)/(AD208*ATM_Conf!$C$8)*(Nodes!BU20-AD20)/(AD20+ATM_Conf!$C$10)</f>
        <v>#DIV/0!</v>
      </c>
      <c r="AY21" s="43" t="e">
        <f>AY20+(ATM_Conf!$C$5/ATM_Conf!$C$8)*(BS21*EXP(-(1/DG21)*(AE21/CM21)^DG21)-AY20)+(ATM_Conf!$C$5/AE208)*AY20*(Nodes!BF20-AY20)</f>
        <v>#DIV/0!</v>
      </c>
      <c r="AZ21" s="43" t="e">
        <f>AZ20+(ATM_Conf!$C$5/ATM_Conf!$C$8)*(BT21*EXP(-(1/DH21)*(AF21/CN21)^DH21)-AZ20)-(ATM_Conf!$C$5*ATM_Conf!$C$9)/(AF208*ATM_Conf!$C$8)*(Nodes!BV20-AF20)/(AF20+ATM_Conf!$C$10)</f>
        <v>#DIV/0!</v>
      </c>
      <c r="BA21" s="43" t="e">
        <f>BA20+(ATM_Conf!$C$5/ATM_Conf!$C$8)*(BU21*EXP(-(1/DI21)*(AG21/CO21)^DI21)-BA20)+(ATM_Conf!$C$5/AG208)*BA20*(Nodes!BI20-BA20)-(ATM_Conf!$C$5*ATM_Conf!$C$9)/(AG208*ATM_Conf!$C$8)*(Nodes!BW20-AG20)/(AG20+ATM_Conf!$C$10)</f>
        <v>#DIV/0!</v>
      </c>
      <c r="BB21" s="43" t="e">
        <f>BB20+(ATM_Conf!$C$5/ATM_Conf!$C$8)*(BV21*EXP(-(1/DJ21)*(AH21/CP21)^DJ21)-BB20)+(ATM_Conf!$C$5/AH208)*BB20*(Nodes!BJ20-BB20)-(ATM_Conf!$C$5*ATM_Conf!$C$9)/(AH208*ATM_Conf!$C$8)*(AI20-AH20)/(AH20+ATM_Conf!$C$10)</f>
        <v>#DIV/0!</v>
      </c>
      <c r="BC21" s="43" t="e">
        <f>BC20+(ATM_Conf!$C$5/ATM_Conf!$C$8)*(BW21*EXP(-(1/DK21)*(AI21/CQ21)^DK21)-BC20)+(ATM_Conf!$C$5/AI208)*BC20*(BB20-BC20)-(ATM_Conf!$C$5*ATM_Conf!$C$9)/(AI208*ATM_Conf!$C$8)*(AJ20-AI20)/(AI20+ATM_Conf!$C$10)</f>
        <v>#DIV/0!</v>
      </c>
      <c r="BD21" s="43" t="e">
        <f>BD20+(ATM_Conf!$C$5/ATM_Conf!$C$8)*(BX21*EXP(-(1/DL21)*(AJ21/CR21)^DL21)-BD20)+(ATM_Conf!$C$5/AJ208)*BD20*(BC20-BD20)-(ATM_Conf!$C$5*ATM_Conf!$C$9)/(AJ208*ATM_Conf!$C$8)*(Nodes!BX20-AJ20)/(AJ20+ATM_Conf!$C$10)</f>
        <v>#DIV/0!</v>
      </c>
      <c r="BE21" s="43" t="e">
        <f>BE20+(ATM_Conf!$C$5/ATM_Conf!$C$8)*(BY21*EXP(-(1/DM21)*(AK21/CS21)^DM21)-BE20)+(ATM_Conf!$C$5/AK208)*BE20*(Nodes!BK20-BE20)-(ATM_Conf!$C$5*ATM_Conf!$C$9)/(AK208*ATM_Conf!$C$8)*(Nodes!BY20-AK20)/(AK20+ATM_Conf!$C$10)</f>
        <v>#DIV/0!</v>
      </c>
      <c r="BF21" s="43" t="e">
        <f>BF20+(ATM_Conf!$C$5/ATM_Conf!$C$8)*(BZ21*EXP(-(1/DN21)*(AL21/CT21)^DN21)-BF20)+(ATM_Conf!$C$5/AL208)*BF20*(BE20-BF20)-(ATM_Conf!$C$5*ATM_Conf!$C$9)/(AL208*ATM_Conf!$C$8)*(AM20-AL20)/(AL20+ATM_Conf!$C$10)</f>
        <v>#DIV/0!</v>
      </c>
      <c r="BG21" s="43" t="e">
        <f>BG20+(ATM_Conf!$C$5/ATM_Conf!$C$8)*(CA21*EXP(-(1/DO21)*(AM21/CU21)^DO21)-BG20)+(ATM_Conf!$C$5/AM208)*BG20*(Nodes!BM20-BG20)-(ATM_Conf!$C$5*ATM_Conf!$C$9)/(AM208*ATM_Conf!$C$8)*(Nodes!CA20-AM20)/(AM20+ATM_Conf!$C$10)</f>
        <v>#DIV/0!</v>
      </c>
      <c r="BH21" s="43" t="e">
        <f>BH20+(ATM_Conf!$C$5/ATM_Conf!$C$8)*(CB21*EXP(-(1/DP21)*(AN21/CV21)^DP21)-BH20)+(ATM_Conf!$C$5/AN208)*BH20*(BG20-BH20)-(ATM_Conf!$C$5*ATM_Conf!$C$9)/(AN208*ATM_Conf!$C$8)*(AO20-AN20)/(AN20+ATM_Conf!$C$10)</f>
        <v>#DIV/0!</v>
      </c>
      <c r="BI21" s="43" t="e">
        <f>BI20+(ATM_Conf!$C$5/ATM_Conf!$C$8)*(CC21*EXP(-(1/DQ21)*(AO21/CW21)^DQ21)-BI20)+(ATM_Conf!$C$5/AO208)*BI20*(BH20-BI20)</f>
        <v>#DIV/0!</v>
      </c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53"/>
      <c r="CY21" s="53"/>
      <c r="CZ21" s="53"/>
      <c r="DA21" s="53"/>
      <c r="DB21" s="53"/>
      <c r="DC21" s="53"/>
      <c r="DD21" s="53"/>
      <c r="DE21" s="53"/>
      <c r="DF21" s="53"/>
      <c r="DG21" s="53"/>
      <c r="DH21" s="53"/>
      <c r="DI21" s="53"/>
      <c r="DJ21" s="53"/>
      <c r="DK21" s="53"/>
      <c r="DL21" s="53"/>
      <c r="DM21" s="53"/>
      <c r="DN21" s="53"/>
      <c r="DO21" s="53"/>
      <c r="DP21" s="53"/>
      <c r="DQ21" s="53"/>
      <c r="DR21" s="43">
        <f t="shared" si="26"/>
        <v>0</v>
      </c>
      <c r="DS21" s="43">
        <f t="shared" si="25"/>
        <v>0</v>
      </c>
      <c r="DT21" s="43">
        <f t="shared" si="25"/>
        <v>0</v>
      </c>
      <c r="DU21" s="43">
        <f t="shared" si="25"/>
        <v>0</v>
      </c>
      <c r="DV21" s="43">
        <f t="shared" si="25"/>
        <v>0</v>
      </c>
      <c r="DW21" s="43">
        <f t="shared" si="25"/>
        <v>0</v>
      </c>
      <c r="DX21" s="43">
        <f t="shared" si="25"/>
        <v>0</v>
      </c>
      <c r="DY21" s="43">
        <f t="shared" si="25"/>
        <v>0</v>
      </c>
      <c r="DZ21" s="43">
        <f t="shared" si="25"/>
        <v>0</v>
      </c>
      <c r="EA21" s="43">
        <f t="shared" si="25"/>
        <v>0</v>
      </c>
      <c r="EB21" s="43">
        <f t="shared" si="25"/>
        <v>0</v>
      </c>
      <c r="EC21" s="43">
        <f t="shared" si="25"/>
        <v>0</v>
      </c>
      <c r="ED21" s="43">
        <f t="shared" si="25"/>
        <v>0</v>
      </c>
      <c r="EE21" s="43">
        <f t="shared" si="25"/>
        <v>0</v>
      </c>
      <c r="EF21" s="43">
        <f t="shared" si="25"/>
        <v>0</v>
      </c>
      <c r="EG21" s="43">
        <f t="shared" si="25"/>
        <v>0</v>
      </c>
      <c r="EH21" s="43">
        <f t="shared" si="25"/>
        <v>0</v>
      </c>
      <c r="EI21" s="43">
        <f t="shared" si="25"/>
        <v>0</v>
      </c>
      <c r="EJ21" s="43">
        <f t="shared" si="25"/>
        <v>0</v>
      </c>
      <c r="EK21" s="43">
        <f t="shared" si="25"/>
        <v>0</v>
      </c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</row>
    <row r="22" spans="1:161" ht="14.25" x14ac:dyDescent="0.15">
      <c r="A22" s="46"/>
      <c r="B22" s="43" t="e">
        <f t="shared" si="2"/>
        <v>#DIV/0!</v>
      </c>
      <c r="C22" s="43" t="e">
        <f t="shared" si="3"/>
        <v>#DIV/0!</v>
      </c>
      <c r="D22" s="43" t="e">
        <f t="shared" si="4"/>
        <v>#DIV/0!</v>
      </c>
      <c r="E22" s="43" t="e">
        <f t="shared" si="5"/>
        <v>#DIV/0!</v>
      </c>
      <c r="F22" s="43" t="e">
        <f t="shared" si="6"/>
        <v>#DIV/0!</v>
      </c>
      <c r="G22" s="43" t="e">
        <f t="shared" si="7"/>
        <v>#DIV/0!</v>
      </c>
      <c r="H22" s="43" t="e">
        <f t="shared" si="8"/>
        <v>#DIV/0!</v>
      </c>
      <c r="I22" s="43" t="e">
        <f t="shared" si="9"/>
        <v>#DIV/0!</v>
      </c>
      <c r="J22" s="43" t="e">
        <f t="shared" si="10"/>
        <v>#DIV/0!</v>
      </c>
      <c r="K22" s="43" t="e">
        <f t="shared" si="11"/>
        <v>#DIV/0!</v>
      </c>
      <c r="L22" s="43" t="e">
        <f t="shared" si="12"/>
        <v>#DIV/0!</v>
      </c>
      <c r="M22" s="43" t="e">
        <f t="shared" si="13"/>
        <v>#DIV/0!</v>
      </c>
      <c r="N22" s="43" t="e">
        <f t="shared" si="14"/>
        <v>#DIV/0!</v>
      </c>
      <c r="O22" s="43" t="e">
        <f t="shared" si="15"/>
        <v>#DIV/0!</v>
      </c>
      <c r="P22" s="43" t="e">
        <f t="shared" si="16"/>
        <v>#DIV/0!</v>
      </c>
      <c r="Q22" s="43" t="e">
        <f t="shared" si="17"/>
        <v>#DIV/0!</v>
      </c>
      <c r="R22" s="43" t="e">
        <f t="shared" si="18"/>
        <v>#DIV/0!</v>
      </c>
      <c r="S22" s="43" t="e">
        <f t="shared" si="19"/>
        <v>#DIV/0!</v>
      </c>
      <c r="T22" s="43" t="e">
        <f t="shared" si="20"/>
        <v>#DIV/0!</v>
      </c>
      <c r="U22" s="43" t="e">
        <f t="shared" si="21"/>
        <v>#DIV/0!</v>
      </c>
      <c r="V22" s="53" t="e">
        <f>V21+ATM_Conf!$C$5*(B21)/(B209*V209)</f>
        <v>#DIV/0!</v>
      </c>
      <c r="W22" s="53" t="e">
        <f>W21+ATM_Conf!$C$5*(C21-B21)/(C209*W209)</f>
        <v>#DIV/0!</v>
      </c>
      <c r="X22" s="53" t="e">
        <f>X21+ATM_Conf!$C$5*(D21-C21)/(D209*X209)</f>
        <v>#DIV/0!</v>
      </c>
      <c r="Y22" s="53" t="e">
        <f>Y21+ATM_Conf!$C$5*(E21-D21)/(E209*Y209)</f>
        <v>#DIV/0!</v>
      </c>
      <c r="Z22" s="53" t="e">
        <f>Z21+ATM_Conf!$C$5*(F21-E21)/(F209*Z209)</f>
        <v>#DIV/0!</v>
      </c>
      <c r="AA22" s="53" t="e">
        <f>AA21+ATM_Conf!$C$5*(G21-F21)/(G209*AA209)</f>
        <v>#DIV/0!</v>
      </c>
      <c r="AB22" s="53" t="e">
        <f>AB21+ATM_Conf!$C$5*(H21-G21)/(H209*AB209)</f>
        <v>#DIV/0!</v>
      </c>
      <c r="AC22" s="53" t="e">
        <f>AC21+ATM_Conf!$C$5*(I21-H21)/(I209*AC209)</f>
        <v>#DIV/0!</v>
      </c>
      <c r="AD22" s="53" t="e">
        <f>AD21+ATM_Conf!$C$5*(J21-I21)/(J209*AD209)</f>
        <v>#DIV/0!</v>
      </c>
      <c r="AE22" s="53" t="e">
        <f>AE21+ATM_Conf!$C$5*(K21-J21)/(K209*AE209)</f>
        <v>#DIV/0!</v>
      </c>
      <c r="AF22" s="53" t="e">
        <f>AF21+ATM_Conf!$C$5*(L21)/(L209*AF209)</f>
        <v>#DIV/0!</v>
      </c>
      <c r="AG22" s="53" t="e">
        <f>AG21+ATM_Conf!$C$5*(M21-L21)/(M209*AG209)</f>
        <v>#DIV/0!</v>
      </c>
      <c r="AH22" s="53" t="e">
        <f>AH21+ATM_Conf!$C$5*(N21-M21)/(N209*AH209)</f>
        <v>#DIV/0!</v>
      </c>
      <c r="AI22" s="53" t="e">
        <f>AI21+ATM_Conf!$C$5*(O21-N21)/(O209*AI209)</f>
        <v>#DIV/0!</v>
      </c>
      <c r="AJ22" s="53" t="e">
        <f>AJ21+ATM_Conf!$C$5*(P21-O21)/(P209*AJ209)</f>
        <v>#DIV/0!</v>
      </c>
      <c r="AK22" s="53" t="e">
        <f>AK21+ATM_Conf!$C$5*(Q21-P21)/(Q209*AK209)</f>
        <v>#DIV/0!</v>
      </c>
      <c r="AL22" s="53" t="e">
        <f>AL21+ATM_Conf!$C$5*(R21-Q21)/(R209*AL209)</f>
        <v>#DIV/0!</v>
      </c>
      <c r="AM22" s="53" t="e">
        <f>AM21+ATM_Conf!$C$5*(S21-R21)/(S209*AM209)</f>
        <v>#DIV/0!</v>
      </c>
      <c r="AN22" s="53" t="e">
        <f>AN21+ATM_Conf!$C$5*(T21-S21)/(T209*AN209)</f>
        <v>#DIV/0!</v>
      </c>
      <c r="AO22" s="53" t="e">
        <f>AO21+ATM_Conf!$C$5*(U21-T21)/(U209*AO209)</f>
        <v>#DIV/0!</v>
      </c>
      <c r="AP22" s="43" t="e">
        <f>AP21+(ATM_Conf!$C$5/ATM_Conf!$C$8)*(BJ22*EXP(-(1/CX22)*(V22/CD22)^CX22)-AP21)-(ATM_Conf!$C$5*ATM_Conf!$C$9)/(V209*ATM_Conf!$C$8)*(Nodes!BO21-V21)/(V21+ATM_Conf!$C$10)</f>
        <v>#DIV/0!</v>
      </c>
      <c r="AQ22" s="43" t="e">
        <f>AQ21+(ATM_Conf!$C$5/ATM_Conf!$C$8)*(BK22*EXP(-(1/CY22)*(W22/CE22)^CY22)-AQ21)+(ATM_Conf!$C$5/W209)*AQ21*(AP21-AQ21)-(ATM_Conf!$C$5*ATM_Conf!$C$9)/(W209*ATM_Conf!$C$8)*(X21-W21)/(W21+ATM_Conf!$C$10)</f>
        <v>#DIV/0!</v>
      </c>
      <c r="AR22" s="43" t="e">
        <f>AR21+(ATM_Conf!$C$5/ATM_Conf!$C$8)*(BL22*EXP(-(1/CZ22)*(X22/CF22)^CZ22)-AR21)+(ATM_Conf!$C$5/X209)*AR21*(Nodes!BC21-AR21)-(ATM_Conf!$C$5*ATM_Conf!$C$9)/(X209*ATM_Conf!$C$8)*(Nodes!BQ21-X21)/(X21+ATM_Conf!$C$10)</f>
        <v>#DIV/0!</v>
      </c>
      <c r="AS22" s="43" t="e">
        <f>AS21+(ATM_Conf!$C$5/ATM_Conf!$C$8)*(BM22*EXP(-(1/DA22)*(Y22/CG22)^DA22)-AS21)+(ATM_Conf!$C$5/Y209)*AS21*(AR21-AS21)-(ATM_Conf!$C$5*ATM_Conf!$C$9)/(Y209*ATM_Conf!$C$8)*(Z21-Y21)/(Y21+ATM_Conf!$C$10)</f>
        <v>#DIV/0!</v>
      </c>
      <c r="AT22" s="43" t="e">
        <f>AT21+(ATM_Conf!$C$5/ATM_Conf!$C$8)*(BN22*EXP(-(1/DB22)*(Z22/CH22)^DB22)-AT21)+(ATM_Conf!$C$5/Z209)*AT21*(Nodes!BE21-AT21)-(ATM_Conf!$C$5*ATM_Conf!$C$9)/(Z209*ATM_Conf!$C$8)*(Nodes!BS21-Z21)/(Z21+ATM_Conf!$C$10)</f>
        <v>#DIV/0!</v>
      </c>
      <c r="AU22" s="43" t="e">
        <f>AU21+(ATM_Conf!$C$5/ATM_Conf!$C$8)*(BO22*EXP(-(1/DC22)*(AA22/CI22)^DC22)-AU21)+(ATM_Conf!$C$5/AA209)*AU21*(Nodes!BF21-AU21)-(ATM_Conf!$C$5*ATM_Conf!$C$9)/(AA209*ATM_Conf!$C$8)*(Nodes!BV21-AA21)/(AA21+ATM_Conf!$C$10)</f>
        <v>#DIV/0!</v>
      </c>
      <c r="AV22" s="43" t="e">
        <f>AV21+(ATM_Conf!$C$5/ATM_Conf!$C$8)*(BP22*EXP(-(1/DD22)*(AB22/CJ22)^DD22)-AV21)+(ATM_Conf!$C$5/AB209)*AV21*(AU21-AV21)-(ATM_Conf!$C$5*ATM_Conf!$C$9)/(AB209*ATM_Conf!$C$8)*(AC21-AB21)/(AB21+ATM_Conf!$C$10)</f>
        <v>#DIV/0!</v>
      </c>
      <c r="AW22" s="43" t="e">
        <f>AW21+(ATM_Conf!$C$5/ATM_Conf!$C$8)*(BQ22*EXP(-(1/DE22)*(AC22/CK22)^DE22)-AW21)+(ATM_Conf!$C$5/AC209)*AW21*(AV21-AW21)-(ATM_Conf!$C$5*ATM_Conf!$C$9)/(AC209*ATM_Conf!$C$8)*(AD21-AC21)/(AC21+ATM_Conf!$C$10)</f>
        <v>#DIV/0!</v>
      </c>
      <c r="AX22" s="43" t="e">
        <f>AX21+(ATM_Conf!$C$5/ATM_Conf!$C$8)*(BR22*EXP(-(1/DF22)*(AD22/CL22)^DF22)-AX21)+(ATM_Conf!$C$5/AD209)*AX21*(Nodes!BG21-AX21)-(ATM_Conf!$C$5*ATM_Conf!$C$9)/(AD209*ATM_Conf!$C$8)*(Nodes!BU21-AD21)/(AD21+ATM_Conf!$C$10)</f>
        <v>#DIV/0!</v>
      </c>
      <c r="AY22" s="43" t="e">
        <f>AY21+(ATM_Conf!$C$5/ATM_Conf!$C$8)*(BS22*EXP(-(1/DG22)*(AE22/CM22)^DG22)-AY21)+(ATM_Conf!$C$5/AE209)*AY21*(Nodes!BF21-AY21)</f>
        <v>#DIV/0!</v>
      </c>
      <c r="AZ22" s="43" t="e">
        <f>AZ21+(ATM_Conf!$C$5/ATM_Conf!$C$8)*(BT22*EXP(-(1/DH22)*(AF22/CN22)^DH22)-AZ21)-(ATM_Conf!$C$5*ATM_Conf!$C$9)/(AF209*ATM_Conf!$C$8)*(Nodes!BV21-AF21)/(AF21+ATM_Conf!$C$10)</f>
        <v>#DIV/0!</v>
      </c>
      <c r="BA22" s="43" t="e">
        <f>BA21+(ATM_Conf!$C$5/ATM_Conf!$C$8)*(BU22*EXP(-(1/DI22)*(AG22/CO22)^DI22)-BA21)+(ATM_Conf!$C$5/AG209)*BA21*(Nodes!BI21-BA21)-(ATM_Conf!$C$5*ATM_Conf!$C$9)/(AG209*ATM_Conf!$C$8)*(Nodes!BW21-AG21)/(AG21+ATM_Conf!$C$10)</f>
        <v>#DIV/0!</v>
      </c>
      <c r="BB22" s="43" t="e">
        <f>BB21+(ATM_Conf!$C$5/ATM_Conf!$C$8)*(BV22*EXP(-(1/DJ22)*(AH22/CP22)^DJ22)-BB21)+(ATM_Conf!$C$5/AH209)*BB21*(Nodes!BJ21-BB21)-(ATM_Conf!$C$5*ATM_Conf!$C$9)/(AH209*ATM_Conf!$C$8)*(AI21-AH21)/(AH21+ATM_Conf!$C$10)</f>
        <v>#DIV/0!</v>
      </c>
      <c r="BC22" s="43" t="e">
        <f>BC21+(ATM_Conf!$C$5/ATM_Conf!$C$8)*(BW22*EXP(-(1/DK22)*(AI22/CQ22)^DK22)-BC21)+(ATM_Conf!$C$5/AI209)*BC21*(BB21-BC21)-(ATM_Conf!$C$5*ATM_Conf!$C$9)/(AI209*ATM_Conf!$C$8)*(AJ21-AI21)/(AI21+ATM_Conf!$C$10)</f>
        <v>#DIV/0!</v>
      </c>
      <c r="BD22" s="43" t="e">
        <f>BD21+(ATM_Conf!$C$5/ATM_Conf!$C$8)*(BX22*EXP(-(1/DL22)*(AJ22/CR22)^DL22)-BD21)+(ATM_Conf!$C$5/AJ209)*BD21*(BC21-BD21)-(ATM_Conf!$C$5*ATM_Conf!$C$9)/(AJ209*ATM_Conf!$C$8)*(Nodes!BX21-AJ21)/(AJ21+ATM_Conf!$C$10)</f>
        <v>#DIV/0!</v>
      </c>
      <c r="BE22" s="43" t="e">
        <f>BE21+(ATM_Conf!$C$5/ATM_Conf!$C$8)*(BY22*EXP(-(1/DM22)*(AK22/CS22)^DM22)-BE21)+(ATM_Conf!$C$5/AK209)*BE21*(Nodes!BK21-BE21)-(ATM_Conf!$C$5*ATM_Conf!$C$9)/(AK209*ATM_Conf!$C$8)*(Nodes!BY21-AK21)/(AK21+ATM_Conf!$C$10)</f>
        <v>#DIV/0!</v>
      </c>
      <c r="BF22" s="43" t="e">
        <f>BF21+(ATM_Conf!$C$5/ATM_Conf!$C$8)*(BZ22*EXP(-(1/DN22)*(AL22/CT22)^DN22)-BF21)+(ATM_Conf!$C$5/AL209)*BF21*(BE21-BF21)-(ATM_Conf!$C$5*ATM_Conf!$C$9)/(AL209*ATM_Conf!$C$8)*(AM21-AL21)/(AL21+ATM_Conf!$C$10)</f>
        <v>#DIV/0!</v>
      </c>
      <c r="BG22" s="43" t="e">
        <f>BG21+(ATM_Conf!$C$5/ATM_Conf!$C$8)*(CA22*EXP(-(1/DO22)*(AM22/CU22)^DO22)-BG21)+(ATM_Conf!$C$5/AM209)*BG21*(Nodes!BM21-BG21)-(ATM_Conf!$C$5*ATM_Conf!$C$9)/(AM209*ATM_Conf!$C$8)*(Nodes!CA21-AM21)/(AM21+ATM_Conf!$C$10)</f>
        <v>#DIV/0!</v>
      </c>
      <c r="BH22" s="43" t="e">
        <f>BH21+(ATM_Conf!$C$5/ATM_Conf!$C$8)*(CB22*EXP(-(1/DP22)*(AN22/CV22)^DP22)-BH21)+(ATM_Conf!$C$5/AN209)*BH21*(BG21-BH21)-(ATM_Conf!$C$5*ATM_Conf!$C$9)/(AN209*ATM_Conf!$C$8)*(AO21-AN21)/(AN21+ATM_Conf!$C$10)</f>
        <v>#DIV/0!</v>
      </c>
      <c r="BI22" s="43" t="e">
        <f>BI21+(ATM_Conf!$C$5/ATM_Conf!$C$8)*(CC22*EXP(-(1/DQ22)*(AO22/CW22)^DQ22)-BI21)+(ATM_Conf!$C$5/AO209)*BI21*(BH21-BI21)</f>
        <v>#DIV/0!</v>
      </c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43">
        <f t="shared" si="26"/>
        <v>0</v>
      </c>
      <c r="DS22" s="43">
        <f t="shared" si="25"/>
        <v>0</v>
      </c>
      <c r="DT22" s="43">
        <f t="shared" si="25"/>
        <v>0</v>
      </c>
      <c r="DU22" s="43">
        <f t="shared" si="25"/>
        <v>0</v>
      </c>
      <c r="DV22" s="43">
        <f t="shared" si="25"/>
        <v>0</v>
      </c>
      <c r="DW22" s="43">
        <f t="shared" si="25"/>
        <v>0</v>
      </c>
      <c r="DX22" s="43">
        <f t="shared" si="25"/>
        <v>0</v>
      </c>
      <c r="DY22" s="43">
        <f t="shared" si="25"/>
        <v>0</v>
      </c>
      <c r="DZ22" s="43">
        <f t="shared" si="25"/>
        <v>0</v>
      </c>
      <c r="EA22" s="43">
        <f t="shared" si="25"/>
        <v>0</v>
      </c>
      <c r="EB22" s="43">
        <f t="shared" si="25"/>
        <v>0</v>
      </c>
      <c r="EC22" s="43">
        <f t="shared" si="25"/>
        <v>0</v>
      </c>
      <c r="ED22" s="43">
        <f t="shared" si="25"/>
        <v>0</v>
      </c>
      <c r="EE22" s="43">
        <f t="shared" si="25"/>
        <v>0</v>
      </c>
      <c r="EF22" s="43">
        <f t="shared" si="25"/>
        <v>0</v>
      </c>
      <c r="EG22" s="43">
        <f t="shared" si="25"/>
        <v>0</v>
      </c>
      <c r="EH22" s="43">
        <f t="shared" si="25"/>
        <v>0</v>
      </c>
      <c r="EI22" s="43">
        <f t="shared" si="25"/>
        <v>0</v>
      </c>
      <c r="EJ22" s="43">
        <f t="shared" si="25"/>
        <v>0</v>
      </c>
      <c r="EK22" s="43">
        <f t="shared" si="25"/>
        <v>0</v>
      </c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</row>
    <row r="23" spans="1:161" ht="14.25" x14ac:dyDescent="0.15">
      <c r="A23" s="46"/>
      <c r="B23" s="43" t="e">
        <f t="shared" si="2"/>
        <v>#DIV/0!</v>
      </c>
      <c r="C23" s="43" t="e">
        <f t="shared" si="3"/>
        <v>#DIV/0!</v>
      </c>
      <c r="D23" s="43" t="e">
        <f t="shared" si="4"/>
        <v>#DIV/0!</v>
      </c>
      <c r="E23" s="43" t="e">
        <f t="shared" si="5"/>
        <v>#DIV/0!</v>
      </c>
      <c r="F23" s="43" t="e">
        <f t="shared" si="6"/>
        <v>#DIV/0!</v>
      </c>
      <c r="G23" s="43" t="e">
        <f t="shared" si="7"/>
        <v>#DIV/0!</v>
      </c>
      <c r="H23" s="43" t="e">
        <f t="shared" si="8"/>
        <v>#DIV/0!</v>
      </c>
      <c r="I23" s="43" t="e">
        <f t="shared" si="9"/>
        <v>#DIV/0!</v>
      </c>
      <c r="J23" s="43" t="e">
        <f t="shared" si="10"/>
        <v>#DIV/0!</v>
      </c>
      <c r="K23" s="43" t="e">
        <f t="shared" si="11"/>
        <v>#DIV/0!</v>
      </c>
      <c r="L23" s="43" t="e">
        <f t="shared" si="12"/>
        <v>#DIV/0!</v>
      </c>
      <c r="M23" s="43" t="e">
        <f t="shared" si="13"/>
        <v>#DIV/0!</v>
      </c>
      <c r="N23" s="43" t="e">
        <f t="shared" si="14"/>
        <v>#DIV/0!</v>
      </c>
      <c r="O23" s="43" t="e">
        <f t="shared" si="15"/>
        <v>#DIV/0!</v>
      </c>
      <c r="P23" s="43" t="e">
        <f t="shared" si="16"/>
        <v>#DIV/0!</v>
      </c>
      <c r="Q23" s="43" t="e">
        <f t="shared" si="17"/>
        <v>#DIV/0!</v>
      </c>
      <c r="R23" s="43" t="e">
        <f t="shared" si="18"/>
        <v>#DIV/0!</v>
      </c>
      <c r="S23" s="43" t="e">
        <f t="shared" si="19"/>
        <v>#DIV/0!</v>
      </c>
      <c r="T23" s="43" t="e">
        <f t="shared" si="20"/>
        <v>#DIV/0!</v>
      </c>
      <c r="U23" s="43" t="e">
        <f t="shared" si="21"/>
        <v>#DIV/0!</v>
      </c>
      <c r="V23" s="53" t="e">
        <f>V22+ATM_Conf!$C$5*(B22)/(B210*V210)</f>
        <v>#DIV/0!</v>
      </c>
      <c r="W23" s="53" t="e">
        <f>W22+ATM_Conf!$C$5*(C22-B22)/(C210*W210)</f>
        <v>#DIV/0!</v>
      </c>
      <c r="X23" s="53" t="e">
        <f>X22+ATM_Conf!$C$5*(D22-C22)/(D210*X210)</f>
        <v>#DIV/0!</v>
      </c>
      <c r="Y23" s="53" t="e">
        <f>Y22+ATM_Conf!$C$5*(E22-D22)/(E210*Y210)</f>
        <v>#DIV/0!</v>
      </c>
      <c r="Z23" s="53" t="e">
        <f>Z22+ATM_Conf!$C$5*(F22-E22)/(F210*Z210)</f>
        <v>#DIV/0!</v>
      </c>
      <c r="AA23" s="53" t="e">
        <f>AA22+ATM_Conf!$C$5*(G22-F22)/(G210*AA210)</f>
        <v>#DIV/0!</v>
      </c>
      <c r="AB23" s="53" t="e">
        <f>AB22+ATM_Conf!$C$5*(H22-G22)/(H210*AB210)</f>
        <v>#DIV/0!</v>
      </c>
      <c r="AC23" s="53" t="e">
        <f>AC22+ATM_Conf!$C$5*(I22-H22)/(I210*AC210)</f>
        <v>#DIV/0!</v>
      </c>
      <c r="AD23" s="53" t="e">
        <f>AD22+ATM_Conf!$C$5*(J22-I22)/(J210*AD210)</f>
        <v>#DIV/0!</v>
      </c>
      <c r="AE23" s="53" t="e">
        <f>AE22+ATM_Conf!$C$5*(K22-J22)/(K210*AE210)</f>
        <v>#DIV/0!</v>
      </c>
      <c r="AF23" s="53" t="e">
        <f>AF22+ATM_Conf!$C$5*(L22)/(L210*AF210)</f>
        <v>#DIV/0!</v>
      </c>
      <c r="AG23" s="53" t="e">
        <f>AG22+ATM_Conf!$C$5*(M22-L22)/(M210*AG210)</f>
        <v>#DIV/0!</v>
      </c>
      <c r="AH23" s="53" t="e">
        <f>AH22+ATM_Conf!$C$5*(N22-M22)/(N210*AH210)</f>
        <v>#DIV/0!</v>
      </c>
      <c r="AI23" s="53" t="e">
        <f>AI22+ATM_Conf!$C$5*(O22-N22)/(O210*AI210)</f>
        <v>#DIV/0!</v>
      </c>
      <c r="AJ23" s="53" t="e">
        <f>AJ22+ATM_Conf!$C$5*(P22-O22)/(P210*AJ210)</f>
        <v>#DIV/0!</v>
      </c>
      <c r="AK23" s="53" t="e">
        <f>AK22+ATM_Conf!$C$5*(Q22-P22)/(Q210*AK210)</f>
        <v>#DIV/0!</v>
      </c>
      <c r="AL23" s="53" t="e">
        <f>AL22+ATM_Conf!$C$5*(R22-Q22)/(R210*AL210)</f>
        <v>#DIV/0!</v>
      </c>
      <c r="AM23" s="53" t="e">
        <f>AM22+ATM_Conf!$C$5*(S22-R22)/(S210*AM210)</f>
        <v>#DIV/0!</v>
      </c>
      <c r="AN23" s="53" t="e">
        <f>AN22+ATM_Conf!$C$5*(T22-S22)/(T210*AN210)</f>
        <v>#DIV/0!</v>
      </c>
      <c r="AO23" s="53" t="e">
        <f>AO22+ATM_Conf!$C$5*(U22-T22)/(U210*AO210)</f>
        <v>#DIV/0!</v>
      </c>
      <c r="AP23" s="43" t="e">
        <f>AP22+(ATM_Conf!$C$5/ATM_Conf!$C$8)*(BJ23*EXP(-(1/CX23)*(V23/CD23)^CX23)-AP22)-(ATM_Conf!$C$5*ATM_Conf!$C$9)/(V210*ATM_Conf!$C$8)*(Nodes!BO22-V22)/(V22+ATM_Conf!$C$10)</f>
        <v>#DIV/0!</v>
      </c>
      <c r="AQ23" s="43" t="e">
        <f>AQ22+(ATM_Conf!$C$5/ATM_Conf!$C$8)*(BK23*EXP(-(1/CY23)*(W23/CE23)^CY23)-AQ22)+(ATM_Conf!$C$5/W210)*AQ22*(AP22-AQ22)-(ATM_Conf!$C$5*ATM_Conf!$C$9)/(W210*ATM_Conf!$C$8)*(X22-W22)/(W22+ATM_Conf!$C$10)</f>
        <v>#DIV/0!</v>
      </c>
      <c r="AR23" s="43" t="e">
        <f>AR22+(ATM_Conf!$C$5/ATM_Conf!$C$8)*(BL23*EXP(-(1/CZ23)*(X23/CF23)^CZ23)-AR22)+(ATM_Conf!$C$5/X210)*AR22*(Nodes!BC22-AR22)-(ATM_Conf!$C$5*ATM_Conf!$C$9)/(X210*ATM_Conf!$C$8)*(Nodes!BQ22-X22)/(X22+ATM_Conf!$C$10)</f>
        <v>#DIV/0!</v>
      </c>
      <c r="AS23" s="43" t="e">
        <f>AS22+(ATM_Conf!$C$5/ATM_Conf!$C$8)*(BM23*EXP(-(1/DA23)*(Y23/CG23)^DA23)-AS22)+(ATM_Conf!$C$5/Y210)*AS22*(AR22-AS22)-(ATM_Conf!$C$5*ATM_Conf!$C$9)/(Y210*ATM_Conf!$C$8)*(Z22-Y22)/(Y22+ATM_Conf!$C$10)</f>
        <v>#DIV/0!</v>
      </c>
      <c r="AT23" s="43" t="e">
        <f>AT22+(ATM_Conf!$C$5/ATM_Conf!$C$8)*(BN23*EXP(-(1/DB23)*(Z23/CH23)^DB23)-AT22)+(ATM_Conf!$C$5/Z210)*AT22*(Nodes!BE22-AT22)-(ATM_Conf!$C$5*ATM_Conf!$C$9)/(Z210*ATM_Conf!$C$8)*(Nodes!BS22-Z22)/(Z22+ATM_Conf!$C$10)</f>
        <v>#DIV/0!</v>
      </c>
      <c r="AU23" s="43" t="e">
        <f>AU22+(ATM_Conf!$C$5/ATM_Conf!$C$8)*(BO23*EXP(-(1/DC23)*(AA23/CI23)^DC23)-AU22)+(ATM_Conf!$C$5/AA210)*AU22*(Nodes!BF22-AU22)-(ATM_Conf!$C$5*ATM_Conf!$C$9)/(AA210*ATM_Conf!$C$8)*(Nodes!BV22-AA22)/(AA22+ATM_Conf!$C$10)</f>
        <v>#DIV/0!</v>
      </c>
      <c r="AV23" s="43" t="e">
        <f>AV22+(ATM_Conf!$C$5/ATM_Conf!$C$8)*(BP23*EXP(-(1/DD23)*(AB23/CJ23)^DD23)-AV22)+(ATM_Conf!$C$5/AB210)*AV22*(AU22-AV22)-(ATM_Conf!$C$5*ATM_Conf!$C$9)/(AB210*ATM_Conf!$C$8)*(AC22-AB22)/(AB22+ATM_Conf!$C$10)</f>
        <v>#DIV/0!</v>
      </c>
      <c r="AW23" s="43" t="e">
        <f>AW22+(ATM_Conf!$C$5/ATM_Conf!$C$8)*(BQ23*EXP(-(1/DE23)*(AC23/CK23)^DE23)-AW22)+(ATM_Conf!$C$5/AC210)*AW22*(AV22-AW22)-(ATM_Conf!$C$5*ATM_Conf!$C$9)/(AC210*ATM_Conf!$C$8)*(AD22-AC22)/(AC22+ATM_Conf!$C$10)</f>
        <v>#DIV/0!</v>
      </c>
      <c r="AX23" s="43" t="e">
        <f>AX22+(ATM_Conf!$C$5/ATM_Conf!$C$8)*(BR23*EXP(-(1/DF23)*(AD23/CL23)^DF23)-AX22)+(ATM_Conf!$C$5/AD210)*AX22*(Nodes!BG22-AX22)-(ATM_Conf!$C$5*ATM_Conf!$C$9)/(AD210*ATM_Conf!$C$8)*(Nodes!BU22-AD22)/(AD22+ATM_Conf!$C$10)</f>
        <v>#DIV/0!</v>
      </c>
      <c r="AY23" s="43" t="e">
        <f>AY22+(ATM_Conf!$C$5/ATM_Conf!$C$8)*(BS23*EXP(-(1/DG23)*(AE23/CM23)^DG23)-AY22)+(ATM_Conf!$C$5/AE210)*AY22*(Nodes!BF22-AY22)</f>
        <v>#DIV/0!</v>
      </c>
      <c r="AZ23" s="43" t="e">
        <f>AZ22+(ATM_Conf!$C$5/ATM_Conf!$C$8)*(BT23*EXP(-(1/DH23)*(AF23/CN23)^DH23)-AZ22)-(ATM_Conf!$C$5*ATM_Conf!$C$9)/(AF210*ATM_Conf!$C$8)*(Nodes!BV22-AF22)/(AF22+ATM_Conf!$C$10)</f>
        <v>#DIV/0!</v>
      </c>
      <c r="BA23" s="43" t="e">
        <f>BA22+(ATM_Conf!$C$5/ATM_Conf!$C$8)*(BU23*EXP(-(1/DI23)*(AG23/CO23)^DI23)-BA22)+(ATM_Conf!$C$5/AG210)*BA22*(Nodes!BI22-BA22)-(ATM_Conf!$C$5*ATM_Conf!$C$9)/(AG210*ATM_Conf!$C$8)*(Nodes!BW22-AG22)/(AG22+ATM_Conf!$C$10)</f>
        <v>#DIV/0!</v>
      </c>
      <c r="BB23" s="43" t="e">
        <f>BB22+(ATM_Conf!$C$5/ATM_Conf!$C$8)*(BV23*EXP(-(1/DJ23)*(AH23/CP23)^DJ23)-BB22)+(ATM_Conf!$C$5/AH210)*BB22*(Nodes!BJ22-BB22)-(ATM_Conf!$C$5*ATM_Conf!$C$9)/(AH210*ATM_Conf!$C$8)*(AI22-AH22)/(AH22+ATM_Conf!$C$10)</f>
        <v>#DIV/0!</v>
      </c>
      <c r="BC23" s="43" t="e">
        <f>BC22+(ATM_Conf!$C$5/ATM_Conf!$C$8)*(BW23*EXP(-(1/DK23)*(AI23/CQ23)^DK23)-BC22)+(ATM_Conf!$C$5/AI210)*BC22*(BB22-BC22)-(ATM_Conf!$C$5*ATM_Conf!$C$9)/(AI210*ATM_Conf!$C$8)*(AJ22-AI22)/(AI22+ATM_Conf!$C$10)</f>
        <v>#DIV/0!</v>
      </c>
      <c r="BD23" s="43" t="e">
        <f>BD22+(ATM_Conf!$C$5/ATM_Conf!$C$8)*(BX23*EXP(-(1/DL23)*(AJ23/CR23)^DL23)-BD22)+(ATM_Conf!$C$5/AJ210)*BD22*(BC22-BD22)-(ATM_Conf!$C$5*ATM_Conf!$C$9)/(AJ210*ATM_Conf!$C$8)*(Nodes!BX22-AJ22)/(AJ22+ATM_Conf!$C$10)</f>
        <v>#DIV/0!</v>
      </c>
      <c r="BE23" s="43" t="e">
        <f>BE22+(ATM_Conf!$C$5/ATM_Conf!$C$8)*(BY23*EXP(-(1/DM23)*(AK23/CS23)^DM23)-BE22)+(ATM_Conf!$C$5/AK210)*BE22*(Nodes!BK22-BE22)-(ATM_Conf!$C$5*ATM_Conf!$C$9)/(AK210*ATM_Conf!$C$8)*(Nodes!BY22-AK22)/(AK22+ATM_Conf!$C$10)</f>
        <v>#DIV/0!</v>
      </c>
      <c r="BF23" s="43" t="e">
        <f>BF22+(ATM_Conf!$C$5/ATM_Conf!$C$8)*(BZ23*EXP(-(1/DN23)*(AL23/CT23)^DN23)-BF22)+(ATM_Conf!$C$5/AL210)*BF22*(BE22-BF22)-(ATM_Conf!$C$5*ATM_Conf!$C$9)/(AL210*ATM_Conf!$C$8)*(AM22-AL22)/(AL22+ATM_Conf!$C$10)</f>
        <v>#DIV/0!</v>
      </c>
      <c r="BG23" s="43" t="e">
        <f>BG22+(ATM_Conf!$C$5/ATM_Conf!$C$8)*(CA23*EXP(-(1/DO23)*(AM23/CU23)^DO23)-BG22)+(ATM_Conf!$C$5/AM210)*BG22*(Nodes!BM22-BG22)-(ATM_Conf!$C$5*ATM_Conf!$C$9)/(AM210*ATM_Conf!$C$8)*(Nodes!CA22-AM22)/(AM22+ATM_Conf!$C$10)</f>
        <v>#DIV/0!</v>
      </c>
      <c r="BH23" s="43" t="e">
        <f>BH22+(ATM_Conf!$C$5/ATM_Conf!$C$8)*(CB23*EXP(-(1/DP23)*(AN23/CV23)^DP23)-BH22)+(ATM_Conf!$C$5/AN210)*BH22*(BG22-BH22)-(ATM_Conf!$C$5*ATM_Conf!$C$9)/(AN210*ATM_Conf!$C$8)*(AO22-AN22)/(AN22+ATM_Conf!$C$10)</f>
        <v>#DIV/0!</v>
      </c>
      <c r="BI23" s="43" t="e">
        <f>BI22+(ATM_Conf!$C$5/ATM_Conf!$C$8)*(CC23*EXP(-(1/DQ23)*(AO23/CW23)^DQ23)-BI22)+(ATM_Conf!$C$5/AO210)*BI22*(BH22-BI22)</f>
        <v>#DIV/0!</v>
      </c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53"/>
      <c r="CY23" s="53"/>
      <c r="CZ23" s="53"/>
      <c r="DA23" s="53"/>
      <c r="DB23" s="53"/>
      <c r="DC23" s="53"/>
      <c r="DD23" s="53"/>
      <c r="DE23" s="53"/>
      <c r="DF23" s="53"/>
      <c r="DG23" s="53"/>
      <c r="DH23" s="53"/>
      <c r="DI23" s="53"/>
      <c r="DJ23" s="53"/>
      <c r="DK23" s="53"/>
      <c r="DL23" s="53"/>
      <c r="DM23" s="53"/>
      <c r="DN23" s="53"/>
      <c r="DO23" s="53"/>
      <c r="DP23" s="53"/>
      <c r="DQ23" s="53"/>
      <c r="DR23" s="43">
        <f t="shared" si="26"/>
        <v>0</v>
      </c>
      <c r="DS23" s="43">
        <f t="shared" si="25"/>
        <v>0</v>
      </c>
      <c r="DT23" s="43">
        <f t="shared" si="25"/>
        <v>0</v>
      </c>
      <c r="DU23" s="43">
        <f t="shared" si="25"/>
        <v>0</v>
      </c>
      <c r="DV23" s="43">
        <f t="shared" si="25"/>
        <v>0</v>
      </c>
      <c r="DW23" s="43">
        <f t="shared" si="25"/>
        <v>0</v>
      </c>
      <c r="DX23" s="43">
        <f t="shared" si="25"/>
        <v>0</v>
      </c>
      <c r="DY23" s="43">
        <f t="shared" si="25"/>
        <v>0</v>
      </c>
      <c r="DZ23" s="43">
        <f t="shared" si="25"/>
        <v>0</v>
      </c>
      <c r="EA23" s="43">
        <f t="shared" si="25"/>
        <v>0</v>
      </c>
      <c r="EB23" s="43">
        <f t="shared" si="25"/>
        <v>0</v>
      </c>
      <c r="EC23" s="43">
        <f t="shared" si="25"/>
        <v>0</v>
      </c>
      <c r="ED23" s="43">
        <f t="shared" si="25"/>
        <v>0</v>
      </c>
      <c r="EE23" s="43">
        <f t="shared" si="25"/>
        <v>0</v>
      </c>
      <c r="EF23" s="43">
        <f t="shared" si="25"/>
        <v>0</v>
      </c>
      <c r="EG23" s="43">
        <f t="shared" si="25"/>
        <v>0</v>
      </c>
      <c r="EH23" s="43">
        <f t="shared" si="25"/>
        <v>0</v>
      </c>
      <c r="EI23" s="43">
        <f t="shared" si="25"/>
        <v>0</v>
      </c>
      <c r="EJ23" s="43">
        <f t="shared" si="25"/>
        <v>0</v>
      </c>
      <c r="EK23" s="43">
        <f t="shared" si="25"/>
        <v>0</v>
      </c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</row>
    <row r="24" spans="1:161" ht="14.25" x14ac:dyDescent="0.15">
      <c r="A24" s="46"/>
      <c r="B24" s="43" t="e">
        <f t="shared" si="2"/>
        <v>#DIV/0!</v>
      </c>
      <c r="C24" s="43" t="e">
        <f t="shared" si="3"/>
        <v>#DIV/0!</v>
      </c>
      <c r="D24" s="43" t="e">
        <f t="shared" si="4"/>
        <v>#DIV/0!</v>
      </c>
      <c r="E24" s="43" t="e">
        <f t="shared" si="5"/>
        <v>#DIV/0!</v>
      </c>
      <c r="F24" s="43" t="e">
        <f t="shared" si="6"/>
        <v>#DIV/0!</v>
      </c>
      <c r="G24" s="43" t="e">
        <f t="shared" si="7"/>
        <v>#DIV/0!</v>
      </c>
      <c r="H24" s="43" t="e">
        <f t="shared" si="8"/>
        <v>#DIV/0!</v>
      </c>
      <c r="I24" s="43" t="e">
        <f t="shared" si="9"/>
        <v>#DIV/0!</v>
      </c>
      <c r="J24" s="43" t="e">
        <f t="shared" si="10"/>
        <v>#DIV/0!</v>
      </c>
      <c r="K24" s="43" t="e">
        <f t="shared" si="11"/>
        <v>#DIV/0!</v>
      </c>
      <c r="L24" s="43" t="e">
        <f t="shared" si="12"/>
        <v>#DIV/0!</v>
      </c>
      <c r="M24" s="43" t="e">
        <f t="shared" si="13"/>
        <v>#DIV/0!</v>
      </c>
      <c r="N24" s="43" t="e">
        <f t="shared" si="14"/>
        <v>#DIV/0!</v>
      </c>
      <c r="O24" s="43" t="e">
        <f t="shared" si="15"/>
        <v>#DIV/0!</v>
      </c>
      <c r="P24" s="43" t="e">
        <f t="shared" si="16"/>
        <v>#DIV/0!</v>
      </c>
      <c r="Q24" s="43" t="e">
        <f t="shared" si="17"/>
        <v>#DIV/0!</v>
      </c>
      <c r="R24" s="43" t="e">
        <f t="shared" si="18"/>
        <v>#DIV/0!</v>
      </c>
      <c r="S24" s="43" t="e">
        <f t="shared" si="19"/>
        <v>#DIV/0!</v>
      </c>
      <c r="T24" s="43" t="e">
        <f t="shared" si="20"/>
        <v>#DIV/0!</v>
      </c>
      <c r="U24" s="43" t="e">
        <f t="shared" si="21"/>
        <v>#DIV/0!</v>
      </c>
      <c r="V24" s="53" t="e">
        <f>V23+ATM_Conf!$C$5*(B23)/(B211*V211)</f>
        <v>#DIV/0!</v>
      </c>
      <c r="W24" s="53" t="e">
        <f>W23+ATM_Conf!$C$5*(C23-B23)/(C211*W211)</f>
        <v>#DIV/0!</v>
      </c>
      <c r="X24" s="53" t="e">
        <f>X23+ATM_Conf!$C$5*(D23-C23)/(D211*X211)</f>
        <v>#DIV/0!</v>
      </c>
      <c r="Y24" s="53" t="e">
        <f>Y23+ATM_Conf!$C$5*(E23-D23)/(E211*Y211)</f>
        <v>#DIV/0!</v>
      </c>
      <c r="Z24" s="53" t="e">
        <f>Z23+ATM_Conf!$C$5*(F23-E23)/(F211*Z211)</f>
        <v>#DIV/0!</v>
      </c>
      <c r="AA24" s="53" t="e">
        <f>AA23+ATM_Conf!$C$5*(G23-F23)/(G211*AA211)</f>
        <v>#DIV/0!</v>
      </c>
      <c r="AB24" s="53" t="e">
        <f>AB23+ATM_Conf!$C$5*(H23-G23)/(H211*AB211)</f>
        <v>#DIV/0!</v>
      </c>
      <c r="AC24" s="53" t="e">
        <f>AC23+ATM_Conf!$C$5*(I23-H23)/(I211*AC211)</f>
        <v>#DIV/0!</v>
      </c>
      <c r="AD24" s="53" t="e">
        <f>AD23+ATM_Conf!$C$5*(J23-I23)/(J211*AD211)</f>
        <v>#DIV/0!</v>
      </c>
      <c r="AE24" s="53" t="e">
        <f>AE23+ATM_Conf!$C$5*(K23-J23)/(K211*AE211)</f>
        <v>#DIV/0!</v>
      </c>
      <c r="AF24" s="53" t="e">
        <f>AF23+ATM_Conf!$C$5*(L23)/(L211*AF211)</f>
        <v>#DIV/0!</v>
      </c>
      <c r="AG24" s="53" t="e">
        <f>AG23+ATM_Conf!$C$5*(M23-L23)/(M211*AG211)</f>
        <v>#DIV/0!</v>
      </c>
      <c r="AH24" s="53" t="e">
        <f>AH23+ATM_Conf!$C$5*(N23-M23)/(N211*AH211)</f>
        <v>#DIV/0!</v>
      </c>
      <c r="AI24" s="53" t="e">
        <f>AI23+ATM_Conf!$C$5*(O23-N23)/(O211*AI211)</f>
        <v>#DIV/0!</v>
      </c>
      <c r="AJ24" s="53" t="e">
        <f>AJ23+ATM_Conf!$C$5*(P23-O23)/(P211*AJ211)</f>
        <v>#DIV/0!</v>
      </c>
      <c r="AK24" s="53" t="e">
        <f>AK23+ATM_Conf!$C$5*(Q23-P23)/(Q211*AK211)</f>
        <v>#DIV/0!</v>
      </c>
      <c r="AL24" s="53" t="e">
        <f>AL23+ATM_Conf!$C$5*(R23-Q23)/(R211*AL211)</f>
        <v>#DIV/0!</v>
      </c>
      <c r="AM24" s="53" t="e">
        <f>AM23+ATM_Conf!$C$5*(S23-R23)/(S211*AM211)</f>
        <v>#DIV/0!</v>
      </c>
      <c r="AN24" s="53" t="e">
        <f>AN23+ATM_Conf!$C$5*(T23-S23)/(T211*AN211)</f>
        <v>#DIV/0!</v>
      </c>
      <c r="AO24" s="53" t="e">
        <f>AO23+ATM_Conf!$C$5*(U23-T23)/(U211*AO211)</f>
        <v>#DIV/0!</v>
      </c>
      <c r="AP24" s="43" t="e">
        <f>AP23+(ATM_Conf!$C$5/ATM_Conf!$C$8)*(BJ24*EXP(-(1/CX24)*(V24/CD24)^CX24)-AP23)-(ATM_Conf!$C$5*ATM_Conf!$C$9)/(V211*ATM_Conf!$C$8)*(Nodes!BO23-V23)/(V23+ATM_Conf!$C$10)</f>
        <v>#DIV/0!</v>
      </c>
      <c r="AQ24" s="43" t="e">
        <f>AQ23+(ATM_Conf!$C$5/ATM_Conf!$C$8)*(BK24*EXP(-(1/CY24)*(W24/CE24)^CY24)-AQ23)+(ATM_Conf!$C$5/W211)*AQ23*(AP23-AQ23)-(ATM_Conf!$C$5*ATM_Conf!$C$9)/(W211*ATM_Conf!$C$8)*(X23-W23)/(W23+ATM_Conf!$C$10)</f>
        <v>#DIV/0!</v>
      </c>
      <c r="AR24" s="43" t="e">
        <f>AR23+(ATM_Conf!$C$5/ATM_Conf!$C$8)*(BL24*EXP(-(1/CZ24)*(X24/CF24)^CZ24)-AR23)+(ATM_Conf!$C$5/X211)*AR23*(Nodes!BC23-AR23)-(ATM_Conf!$C$5*ATM_Conf!$C$9)/(X211*ATM_Conf!$C$8)*(Nodes!BQ23-X23)/(X23+ATM_Conf!$C$10)</f>
        <v>#DIV/0!</v>
      </c>
      <c r="AS24" s="43" t="e">
        <f>AS23+(ATM_Conf!$C$5/ATM_Conf!$C$8)*(BM24*EXP(-(1/DA24)*(Y24/CG24)^DA24)-AS23)+(ATM_Conf!$C$5/Y211)*AS23*(AR23-AS23)-(ATM_Conf!$C$5*ATM_Conf!$C$9)/(Y211*ATM_Conf!$C$8)*(Z23-Y23)/(Y23+ATM_Conf!$C$10)</f>
        <v>#DIV/0!</v>
      </c>
      <c r="AT24" s="43" t="e">
        <f>AT23+(ATM_Conf!$C$5/ATM_Conf!$C$8)*(BN24*EXP(-(1/DB24)*(Z24/CH24)^DB24)-AT23)+(ATM_Conf!$C$5/Z211)*AT23*(Nodes!BE23-AT23)-(ATM_Conf!$C$5*ATM_Conf!$C$9)/(Z211*ATM_Conf!$C$8)*(Nodes!BS23-Z23)/(Z23+ATM_Conf!$C$10)</f>
        <v>#DIV/0!</v>
      </c>
      <c r="AU24" s="43" t="e">
        <f>AU23+(ATM_Conf!$C$5/ATM_Conf!$C$8)*(BO24*EXP(-(1/DC24)*(AA24/CI24)^DC24)-AU23)+(ATM_Conf!$C$5/AA211)*AU23*(Nodes!BF23-AU23)-(ATM_Conf!$C$5*ATM_Conf!$C$9)/(AA211*ATM_Conf!$C$8)*(Nodes!BV23-AA23)/(AA23+ATM_Conf!$C$10)</f>
        <v>#DIV/0!</v>
      </c>
      <c r="AV24" s="43" t="e">
        <f>AV23+(ATM_Conf!$C$5/ATM_Conf!$C$8)*(BP24*EXP(-(1/DD24)*(AB24/CJ24)^DD24)-AV23)+(ATM_Conf!$C$5/AB211)*AV23*(AU23-AV23)-(ATM_Conf!$C$5*ATM_Conf!$C$9)/(AB211*ATM_Conf!$C$8)*(AC23-AB23)/(AB23+ATM_Conf!$C$10)</f>
        <v>#DIV/0!</v>
      </c>
      <c r="AW24" s="43" t="e">
        <f>AW23+(ATM_Conf!$C$5/ATM_Conf!$C$8)*(BQ24*EXP(-(1/DE24)*(AC24/CK24)^DE24)-AW23)+(ATM_Conf!$C$5/AC211)*AW23*(AV23-AW23)-(ATM_Conf!$C$5*ATM_Conf!$C$9)/(AC211*ATM_Conf!$C$8)*(AD23-AC23)/(AC23+ATM_Conf!$C$10)</f>
        <v>#DIV/0!</v>
      </c>
      <c r="AX24" s="43" t="e">
        <f>AX23+(ATM_Conf!$C$5/ATM_Conf!$C$8)*(BR24*EXP(-(1/DF24)*(AD24/CL24)^DF24)-AX23)+(ATM_Conf!$C$5/AD211)*AX23*(Nodes!BG23-AX23)-(ATM_Conf!$C$5*ATM_Conf!$C$9)/(AD211*ATM_Conf!$C$8)*(Nodes!BU23-AD23)/(AD23+ATM_Conf!$C$10)</f>
        <v>#DIV/0!</v>
      </c>
      <c r="AY24" s="43" t="e">
        <f>AY23+(ATM_Conf!$C$5/ATM_Conf!$C$8)*(BS24*EXP(-(1/DG24)*(AE24/CM24)^DG24)-AY23)+(ATM_Conf!$C$5/AE211)*AY23*(Nodes!BF23-AY23)</f>
        <v>#DIV/0!</v>
      </c>
      <c r="AZ24" s="43" t="e">
        <f>AZ23+(ATM_Conf!$C$5/ATM_Conf!$C$8)*(BT24*EXP(-(1/DH24)*(AF24/CN24)^DH24)-AZ23)-(ATM_Conf!$C$5*ATM_Conf!$C$9)/(AF211*ATM_Conf!$C$8)*(Nodes!BV23-AF23)/(AF23+ATM_Conf!$C$10)</f>
        <v>#DIV/0!</v>
      </c>
      <c r="BA24" s="43" t="e">
        <f>BA23+(ATM_Conf!$C$5/ATM_Conf!$C$8)*(BU24*EXP(-(1/DI24)*(AG24/CO24)^DI24)-BA23)+(ATM_Conf!$C$5/AG211)*BA23*(Nodes!BI23-BA23)-(ATM_Conf!$C$5*ATM_Conf!$C$9)/(AG211*ATM_Conf!$C$8)*(Nodes!BW23-AG23)/(AG23+ATM_Conf!$C$10)</f>
        <v>#DIV/0!</v>
      </c>
      <c r="BB24" s="43" t="e">
        <f>BB23+(ATM_Conf!$C$5/ATM_Conf!$C$8)*(BV24*EXP(-(1/DJ24)*(AH24/CP24)^DJ24)-BB23)+(ATM_Conf!$C$5/AH211)*BB23*(Nodes!BJ23-BB23)-(ATM_Conf!$C$5*ATM_Conf!$C$9)/(AH211*ATM_Conf!$C$8)*(AI23-AH23)/(AH23+ATM_Conf!$C$10)</f>
        <v>#DIV/0!</v>
      </c>
      <c r="BC24" s="43" t="e">
        <f>BC23+(ATM_Conf!$C$5/ATM_Conf!$C$8)*(BW24*EXP(-(1/DK24)*(AI24/CQ24)^DK24)-BC23)+(ATM_Conf!$C$5/AI211)*BC23*(BB23-BC23)-(ATM_Conf!$C$5*ATM_Conf!$C$9)/(AI211*ATM_Conf!$C$8)*(AJ23-AI23)/(AI23+ATM_Conf!$C$10)</f>
        <v>#DIV/0!</v>
      </c>
      <c r="BD24" s="43" t="e">
        <f>BD23+(ATM_Conf!$C$5/ATM_Conf!$C$8)*(BX24*EXP(-(1/DL24)*(AJ24/CR24)^DL24)-BD23)+(ATM_Conf!$C$5/AJ211)*BD23*(BC23-BD23)-(ATM_Conf!$C$5*ATM_Conf!$C$9)/(AJ211*ATM_Conf!$C$8)*(Nodes!BX23-AJ23)/(AJ23+ATM_Conf!$C$10)</f>
        <v>#DIV/0!</v>
      </c>
      <c r="BE24" s="43" t="e">
        <f>BE23+(ATM_Conf!$C$5/ATM_Conf!$C$8)*(BY24*EXP(-(1/DM24)*(AK24/CS24)^DM24)-BE23)+(ATM_Conf!$C$5/AK211)*BE23*(Nodes!BK23-BE23)-(ATM_Conf!$C$5*ATM_Conf!$C$9)/(AK211*ATM_Conf!$C$8)*(Nodes!BY23-AK23)/(AK23+ATM_Conf!$C$10)</f>
        <v>#DIV/0!</v>
      </c>
      <c r="BF24" s="43" t="e">
        <f>BF23+(ATM_Conf!$C$5/ATM_Conf!$C$8)*(BZ24*EXP(-(1/DN24)*(AL24/CT24)^DN24)-BF23)+(ATM_Conf!$C$5/AL211)*BF23*(BE23-BF23)-(ATM_Conf!$C$5*ATM_Conf!$C$9)/(AL211*ATM_Conf!$C$8)*(AM23-AL23)/(AL23+ATM_Conf!$C$10)</f>
        <v>#DIV/0!</v>
      </c>
      <c r="BG24" s="43" t="e">
        <f>BG23+(ATM_Conf!$C$5/ATM_Conf!$C$8)*(CA24*EXP(-(1/DO24)*(AM24/CU24)^DO24)-BG23)+(ATM_Conf!$C$5/AM211)*BG23*(Nodes!BM23-BG23)-(ATM_Conf!$C$5*ATM_Conf!$C$9)/(AM211*ATM_Conf!$C$8)*(Nodes!CA23-AM23)/(AM23+ATM_Conf!$C$10)</f>
        <v>#DIV/0!</v>
      </c>
      <c r="BH24" s="43" t="e">
        <f>BH23+(ATM_Conf!$C$5/ATM_Conf!$C$8)*(CB24*EXP(-(1/DP24)*(AN24/CV24)^DP24)-BH23)+(ATM_Conf!$C$5/AN211)*BH23*(BG23-BH23)-(ATM_Conf!$C$5*ATM_Conf!$C$9)/(AN211*ATM_Conf!$C$8)*(AO23-AN23)/(AN23+ATM_Conf!$C$10)</f>
        <v>#DIV/0!</v>
      </c>
      <c r="BI24" s="43" t="e">
        <f>BI23+(ATM_Conf!$C$5/ATM_Conf!$C$8)*(CC24*EXP(-(1/DQ24)*(AO24/CW24)^DQ24)-BI23)+(ATM_Conf!$C$5/AO211)*BI23*(BH23-BI23)</f>
        <v>#DIV/0!</v>
      </c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53"/>
      <c r="CY24" s="53"/>
      <c r="CZ24" s="53"/>
      <c r="DA24" s="53"/>
      <c r="DB24" s="53"/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  <c r="DR24" s="43">
        <f t="shared" si="26"/>
        <v>0</v>
      </c>
      <c r="DS24" s="43">
        <f t="shared" si="25"/>
        <v>0</v>
      </c>
      <c r="DT24" s="43">
        <f t="shared" si="25"/>
        <v>0</v>
      </c>
      <c r="DU24" s="43">
        <f t="shared" si="25"/>
        <v>0</v>
      </c>
      <c r="DV24" s="43">
        <f t="shared" si="25"/>
        <v>0</v>
      </c>
      <c r="DW24" s="43">
        <f t="shared" si="25"/>
        <v>0</v>
      </c>
      <c r="DX24" s="43">
        <f t="shared" si="25"/>
        <v>0</v>
      </c>
      <c r="DY24" s="43">
        <f t="shared" si="25"/>
        <v>0</v>
      </c>
      <c r="DZ24" s="43">
        <f t="shared" si="25"/>
        <v>0</v>
      </c>
      <c r="EA24" s="43">
        <f t="shared" si="25"/>
        <v>0</v>
      </c>
      <c r="EB24" s="43">
        <f t="shared" si="25"/>
        <v>0</v>
      </c>
      <c r="EC24" s="43">
        <f t="shared" si="25"/>
        <v>0</v>
      </c>
      <c r="ED24" s="43">
        <f t="shared" si="25"/>
        <v>0</v>
      </c>
      <c r="EE24" s="43">
        <f t="shared" si="25"/>
        <v>0</v>
      </c>
      <c r="EF24" s="43">
        <f t="shared" si="25"/>
        <v>0</v>
      </c>
      <c r="EG24" s="43">
        <f t="shared" si="25"/>
        <v>0</v>
      </c>
      <c r="EH24" s="43">
        <f t="shared" si="25"/>
        <v>0</v>
      </c>
      <c r="EI24" s="43">
        <f t="shared" si="25"/>
        <v>0</v>
      </c>
      <c r="EJ24" s="43">
        <f t="shared" si="25"/>
        <v>0</v>
      </c>
      <c r="EK24" s="43">
        <f t="shared" si="25"/>
        <v>0</v>
      </c>
      <c r="EL24" s="47"/>
      <c r="EM24" s="47"/>
      <c r="EN24" s="47"/>
      <c r="EO24" s="47"/>
      <c r="EP24" s="47"/>
      <c r="EQ24" s="47"/>
      <c r="ER24" s="47"/>
      <c r="ES24" s="47"/>
      <c r="ET24" s="47"/>
      <c r="EU24" s="47"/>
      <c r="EV24" s="47"/>
      <c r="EW24" s="47"/>
      <c r="EX24" s="47"/>
      <c r="EY24" s="47"/>
      <c r="EZ24" s="47"/>
      <c r="FA24" s="47"/>
      <c r="FB24" s="47"/>
      <c r="FC24" s="47"/>
      <c r="FD24" s="47"/>
      <c r="FE24" s="47"/>
    </row>
    <row r="25" spans="1:161" ht="14.25" x14ac:dyDescent="0.15">
      <c r="A25" s="46"/>
      <c r="B25" s="43" t="e">
        <f t="shared" si="2"/>
        <v>#DIV/0!</v>
      </c>
      <c r="C25" s="43" t="e">
        <f t="shared" si="3"/>
        <v>#DIV/0!</v>
      </c>
      <c r="D25" s="43" t="e">
        <f t="shared" si="4"/>
        <v>#DIV/0!</v>
      </c>
      <c r="E25" s="43" t="e">
        <f t="shared" si="5"/>
        <v>#DIV/0!</v>
      </c>
      <c r="F25" s="43" t="e">
        <f t="shared" si="6"/>
        <v>#DIV/0!</v>
      </c>
      <c r="G25" s="43" t="e">
        <f t="shared" si="7"/>
        <v>#DIV/0!</v>
      </c>
      <c r="H25" s="43" t="e">
        <f t="shared" si="8"/>
        <v>#DIV/0!</v>
      </c>
      <c r="I25" s="43" t="e">
        <f t="shared" si="9"/>
        <v>#DIV/0!</v>
      </c>
      <c r="J25" s="43" t="e">
        <f t="shared" si="10"/>
        <v>#DIV/0!</v>
      </c>
      <c r="K25" s="43" t="e">
        <f t="shared" si="11"/>
        <v>#DIV/0!</v>
      </c>
      <c r="L25" s="43" t="e">
        <f t="shared" si="12"/>
        <v>#DIV/0!</v>
      </c>
      <c r="M25" s="43" t="e">
        <f t="shared" si="13"/>
        <v>#DIV/0!</v>
      </c>
      <c r="N25" s="43" t="e">
        <f t="shared" si="14"/>
        <v>#DIV/0!</v>
      </c>
      <c r="O25" s="43" t="e">
        <f t="shared" si="15"/>
        <v>#DIV/0!</v>
      </c>
      <c r="P25" s="43" t="e">
        <f t="shared" si="16"/>
        <v>#DIV/0!</v>
      </c>
      <c r="Q25" s="43" t="e">
        <f t="shared" si="17"/>
        <v>#DIV/0!</v>
      </c>
      <c r="R25" s="43" t="e">
        <f t="shared" si="18"/>
        <v>#DIV/0!</v>
      </c>
      <c r="S25" s="43" t="e">
        <f t="shared" si="19"/>
        <v>#DIV/0!</v>
      </c>
      <c r="T25" s="43" t="e">
        <f t="shared" si="20"/>
        <v>#DIV/0!</v>
      </c>
      <c r="U25" s="43" t="e">
        <f t="shared" si="21"/>
        <v>#DIV/0!</v>
      </c>
      <c r="V25" s="53" t="e">
        <f>V24+ATM_Conf!$C$5*(B24)/(B212*V212)</f>
        <v>#DIV/0!</v>
      </c>
      <c r="W25" s="53" t="e">
        <f>W24+ATM_Conf!$C$5*(C24-B24)/(C212*W212)</f>
        <v>#DIV/0!</v>
      </c>
      <c r="X25" s="53" t="e">
        <f>X24+ATM_Conf!$C$5*(D24-C24)/(D212*X212)</f>
        <v>#DIV/0!</v>
      </c>
      <c r="Y25" s="53" t="e">
        <f>Y24+ATM_Conf!$C$5*(E24-D24)/(E212*Y212)</f>
        <v>#DIV/0!</v>
      </c>
      <c r="Z25" s="53" t="e">
        <f>Z24+ATM_Conf!$C$5*(F24-E24)/(F212*Z212)</f>
        <v>#DIV/0!</v>
      </c>
      <c r="AA25" s="53" t="e">
        <f>AA24+ATM_Conf!$C$5*(G24-F24)/(G212*AA212)</f>
        <v>#DIV/0!</v>
      </c>
      <c r="AB25" s="53" t="e">
        <f>AB24+ATM_Conf!$C$5*(H24-G24)/(H212*AB212)</f>
        <v>#DIV/0!</v>
      </c>
      <c r="AC25" s="53" t="e">
        <f>AC24+ATM_Conf!$C$5*(I24-H24)/(I212*AC212)</f>
        <v>#DIV/0!</v>
      </c>
      <c r="AD25" s="53" t="e">
        <f>AD24+ATM_Conf!$C$5*(J24-I24)/(J212*AD212)</f>
        <v>#DIV/0!</v>
      </c>
      <c r="AE25" s="53" t="e">
        <f>AE24+ATM_Conf!$C$5*(K24-J24)/(K212*AE212)</f>
        <v>#DIV/0!</v>
      </c>
      <c r="AF25" s="53" t="e">
        <f>AF24+ATM_Conf!$C$5*(L24)/(L212*AF212)</f>
        <v>#DIV/0!</v>
      </c>
      <c r="AG25" s="53" t="e">
        <f>AG24+ATM_Conf!$C$5*(M24-L24)/(M212*AG212)</f>
        <v>#DIV/0!</v>
      </c>
      <c r="AH25" s="53" t="e">
        <f>AH24+ATM_Conf!$C$5*(N24-M24)/(N212*AH212)</f>
        <v>#DIV/0!</v>
      </c>
      <c r="AI25" s="53" t="e">
        <f>AI24+ATM_Conf!$C$5*(O24-N24)/(O212*AI212)</f>
        <v>#DIV/0!</v>
      </c>
      <c r="AJ25" s="53" t="e">
        <f>AJ24+ATM_Conf!$C$5*(P24-O24)/(P212*AJ212)</f>
        <v>#DIV/0!</v>
      </c>
      <c r="AK25" s="53" t="e">
        <f>AK24+ATM_Conf!$C$5*(Q24-P24)/(Q212*AK212)</f>
        <v>#DIV/0!</v>
      </c>
      <c r="AL25" s="53" t="e">
        <f>AL24+ATM_Conf!$C$5*(R24-Q24)/(R212*AL212)</f>
        <v>#DIV/0!</v>
      </c>
      <c r="AM25" s="53" t="e">
        <f>AM24+ATM_Conf!$C$5*(S24-R24)/(S212*AM212)</f>
        <v>#DIV/0!</v>
      </c>
      <c r="AN25" s="53" t="e">
        <f>AN24+ATM_Conf!$C$5*(T24-S24)/(T212*AN212)</f>
        <v>#DIV/0!</v>
      </c>
      <c r="AO25" s="53" t="e">
        <f>AO24+ATM_Conf!$C$5*(U24-T24)/(U212*AO212)</f>
        <v>#DIV/0!</v>
      </c>
      <c r="AP25" s="43" t="e">
        <f>AP24+(ATM_Conf!$C$5/ATM_Conf!$C$8)*(BJ25*EXP(-(1/CX25)*(V25/CD25)^CX25)-AP24)-(ATM_Conf!$C$5*ATM_Conf!$C$9)/(V212*ATM_Conf!$C$8)*(Nodes!BO24-V24)/(V24+ATM_Conf!$C$10)</f>
        <v>#DIV/0!</v>
      </c>
      <c r="AQ25" s="43" t="e">
        <f>AQ24+(ATM_Conf!$C$5/ATM_Conf!$C$8)*(BK25*EXP(-(1/CY25)*(W25/CE25)^CY25)-AQ24)+(ATM_Conf!$C$5/W212)*AQ24*(AP24-AQ24)-(ATM_Conf!$C$5*ATM_Conf!$C$9)/(W212*ATM_Conf!$C$8)*(X24-W24)/(W24+ATM_Conf!$C$10)</f>
        <v>#DIV/0!</v>
      </c>
      <c r="AR25" s="43" t="e">
        <f>AR24+(ATM_Conf!$C$5/ATM_Conf!$C$8)*(BL25*EXP(-(1/CZ25)*(X25/CF25)^CZ25)-AR24)+(ATM_Conf!$C$5/X212)*AR24*(Nodes!BC24-AR24)-(ATM_Conf!$C$5*ATM_Conf!$C$9)/(X212*ATM_Conf!$C$8)*(Nodes!BQ24-X24)/(X24+ATM_Conf!$C$10)</f>
        <v>#DIV/0!</v>
      </c>
      <c r="AS25" s="43" t="e">
        <f>AS24+(ATM_Conf!$C$5/ATM_Conf!$C$8)*(BM25*EXP(-(1/DA25)*(Y25/CG25)^DA25)-AS24)+(ATM_Conf!$C$5/Y212)*AS24*(AR24-AS24)-(ATM_Conf!$C$5*ATM_Conf!$C$9)/(Y212*ATM_Conf!$C$8)*(Z24-Y24)/(Y24+ATM_Conf!$C$10)</f>
        <v>#DIV/0!</v>
      </c>
      <c r="AT25" s="43" t="e">
        <f>AT24+(ATM_Conf!$C$5/ATM_Conf!$C$8)*(BN25*EXP(-(1/DB25)*(Z25/CH25)^DB25)-AT24)+(ATM_Conf!$C$5/Z212)*AT24*(Nodes!BE24-AT24)-(ATM_Conf!$C$5*ATM_Conf!$C$9)/(Z212*ATM_Conf!$C$8)*(Nodes!BS24-Z24)/(Z24+ATM_Conf!$C$10)</f>
        <v>#DIV/0!</v>
      </c>
      <c r="AU25" s="43" t="e">
        <f>AU24+(ATM_Conf!$C$5/ATM_Conf!$C$8)*(BO25*EXP(-(1/DC25)*(AA25/CI25)^DC25)-AU24)+(ATM_Conf!$C$5/AA212)*AU24*(Nodes!BF24-AU24)-(ATM_Conf!$C$5*ATM_Conf!$C$9)/(AA212*ATM_Conf!$C$8)*(Nodes!BV24-AA24)/(AA24+ATM_Conf!$C$10)</f>
        <v>#DIV/0!</v>
      </c>
      <c r="AV25" s="43" t="e">
        <f>AV24+(ATM_Conf!$C$5/ATM_Conf!$C$8)*(BP25*EXP(-(1/DD25)*(AB25/CJ25)^DD25)-AV24)+(ATM_Conf!$C$5/AB212)*AV24*(AU24-AV24)-(ATM_Conf!$C$5*ATM_Conf!$C$9)/(AB212*ATM_Conf!$C$8)*(AC24-AB24)/(AB24+ATM_Conf!$C$10)</f>
        <v>#DIV/0!</v>
      </c>
      <c r="AW25" s="43" t="e">
        <f>AW24+(ATM_Conf!$C$5/ATM_Conf!$C$8)*(BQ25*EXP(-(1/DE25)*(AC25/CK25)^DE25)-AW24)+(ATM_Conf!$C$5/AC212)*AW24*(AV24-AW24)-(ATM_Conf!$C$5*ATM_Conf!$C$9)/(AC212*ATM_Conf!$C$8)*(AD24-AC24)/(AC24+ATM_Conf!$C$10)</f>
        <v>#DIV/0!</v>
      </c>
      <c r="AX25" s="43" t="e">
        <f>AX24+(ATM_Conf!$C$5/ATM_Conf!$C$8)*(BR25*EXP(-(1/DF25)*(AD25/CL25)^DF25)-AX24)+(ATM_Conf!$C$5/AD212)*AX24*(Nodes!BG24-AX24)-(ATM_Conf!$C$5*ATM_Conf!$C$9)/(AD212*ATM_Conf!$C$8)*(Nodes!BU24-AD24)/(AD24+ATM_Conf!$C$10)</f>
        <v>#DIV/0!</v>
      </c>
      <c r="AY25" s="43" t="e">
        <f>AY24+(ATM_Conf!$C$5/ATM_Conf!$C$8)*(BS25*EXP(-(1/DG25)*(AE25/CM25)^DG25)-AY24)+(ATM_Conf!$C$5/AE212)*AY24*(Nodes!BF24-AY24)</f>
        <v>#DIV/0!</v>
      </c>
      <c r="AZ25" s="43" t="e">
        <f>AZ24+(ATM_Conf!$C$5/ATM_Conf!$C$8)*(BT25*EXP(-(1/DH25)*(AF25/CN25)^DH25)-AZ24)-(ATM_Conf!$C$5*ATM_Conf!$C$9)/(AF212*ATM_Conf!$C$8)*(Nodes!BV24-AF24)/(AF24+ATM_Conf!$C$10)</f>
        <v>#DIV/0!</v>
      </c>
      <c r="BA25" s="43" t="e">
        <f>BA24+(ATM_Conf!$C$5/ATM_Conf!$C$8)*(BU25*EXP(-(1/DI25)*(AG25/CO25)^DI25)-BA24)+(ATM_Conf!$C$5/AG212)*BA24*(Nodes!BI24-BA24)-(ATM_Conf!$C$5*ATM_Conf!$C$9)/(AG212*ATM_Conf!$C$8)*(Nodes!BW24-AG24)/(AG24+ATM_Conf!$C$10)</f>
        <v>#DIV/0!</v>
      </c>
      <c r="BB25" s="43" t="e">
        <f>BB24+(ATM_Conf!$C$5/ATM_Conf!$C$8)*(BV25*EXP(-(1/DJ25)*(AH25/CP25)^DJ25)-BB24)+(ATM_Conf!$C$5/AH212)*BB24*(Nodes!BJ24-BB24)-(ATM_Conf!$C$5*ATM_Conf!$C$9)/(AH212*ATM_Conf!$C$8)*(AI24-AH24)/(AH24+ATM_Conf!$C$10)</f>
        <v>#DIV/0!</v>
      </c>
      <c r="BC25" s="43" t="e">
        <f>BC24+(ATM_Conf!$C$5/ATM_Conf!$C$8)*(BW25*EXP(-(1/DK25)*(AI25/CQ25)^DK25)-BC24)+(ATM_Conf!$C$5/AI212)*BC24*(BB24-BC24)-(ATM_Conf!$C$5*ATM_Conf!$C$9)/(AI212*ATM_Conf!$C$8)*(AJ24-AI24)/(AI24+ATM_Conf!$C$10)</f>
        <v>#DIV/0!</v>
      </c>
      <c r="BD25" s="43" t="e">
        <f>BD24+(ATM_Conf!$C$5/ATM_Conf!$C$8)*(BX25*EXP(-(1/DL25)*(AJ25/CR25)^DL25)-BD24)+(ATM_Conf!$C$5/AJ212)*BD24*(BC24-BD24)-(ATM_Conf!$C$5*ATM_Conf!$C$9)/(AJ212*ATM_Conf!$C$8)*(Nodes!BX24-AJ24)/(AJ24+ATM_Conf!$C$10)</f>
        <v>#DIV/0!</v>
      </c>
      <c r="BE25" s="43" t="e">
        <f>BE24+(ATM_Conf!$C$5/ATM_Conf!$C$8)*(BY25*EXP(-(1/DM25)*(AK25/CS25)^DM25)-BE24)+(ATM_Conf!$C$5/AK212)*BE24*(Nodes!BK24-BE24)-(ATM_Conf!$C$5*ATM_Conf!$C$9)/(AK212*ATM_Conf!$C$8)*(Nodes!BY24-AK24)/(AK24+ATM_Conf!$C$10)</f>
        <v>#DIV/0!</v>
      </c>
      <c r="BF25" s="43" t="e">
        <f>BF24+(ATM_Conf!$C$5/ATM_Conf!$C$8)*(BZ25*EXP(-(1/DN25)*(AL25/CT25)^DN25)-BF24)+(ATM_Conf!$C$5/AL212)*BF24*(BE24-BF24)-(ATM_Conf!$C$5*ATM_Conf!$C$9)/(AL212*ATM_Conf!$C$8)*(AM24-AL24)/(AL24+ATM_Conf!$C$10)</f>
        <v>#DIV/0!</v>
      </c>
      <c r="BG25" s="43" t="e">
        <f>BG24+(ATM_Conf!$C$5/ATM_Conf!$C$8)*(CA25*EXP(-(1/DO25)*(AM25/CU25)^DO25)-BG24)+(ATM_Conf!$C$5/AM212)*BG24*(Nodes!BM24-BG24)-(ATM_Conf!$C$5*ATM_Conf!$C$9)/(AM212*ATM_Conf!$C$8)*(Nodes!CA24-AM24)/(AM24+ATM_Conf!$C$10)</f>
        <v>#DIV/0!</v>
      </c>
      <c r="BH25" s="43" t="e">
        <f>BH24+(ATM_Conf!$C$5/ATM_Conf!$C$8)*(CB25*EXP(-(1/DP25)*(AN25/CV25)^DP25)-BH24)+(ATM_Conf!$C$5/AN212)*BH24*(BG24-BH24)-(ATM_Conf!$C$5*ATM_Conf!$C$9)/(AN212*ATM_Conf!$C$8)*(AO24-AN24)/(AN24+ATM_Conf!$C$10)</f>
        <v>#DIV/0!</v>
      </c>
      <c r="BI25" s="43" t="e">
        <f>BI24+(ATM_Conf!$C$5/ATM_Conf!$C$8)*(CC25*EXP(-(1/DQ25)*(AO25/CW25)^DQ25)-BI24)+(ATM_Conf!$C$5/AO212)*BI24*(BH24-BI24)</f>
        <v>#DIV/0!</v>
      </c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53"/>
      <c r="CB25" s="53"/>
      <c r="CC25" s="5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53"/>
      <c r="CY25" s="53"/>
      <c r="CZ25" s="53"/>
      <c r="DA25" s="53"/>
      <c r="DB25" s="53"/>
      <c r="DC25" s="53"/>
      <c r="DD25" s="53"/>
      <c r="DE25" s="53"/>
      <c r="DF25" s="53"/>
      <c r="DG25" s="53"/>
      <c r="DH25" s="53"/>
      <c r="DI25" s="53"/>
      <c r="DJ25" s="53"/>
      <c r="DK25" s="53"/>
      <c r="DL25" s="53"/>
      <c r="DM25" s="53"/>
      <c r="DN25" s="53"/>
      <c r="DO25" s="53"/>
      <c r="DP25" s="53"/>
      <c r="DQ25" s="53"/>
      <c r="DR25" s="43">
        <f t="shared" si="26"/>
        <v>0</v>
      </c>
      <c r="DS25" s="43">
        <f t="shared" si="25"/>
        <v>0</v>
      </c>
      <c r="DT25" s="43">
        <f t="shared" si="25"/>
        <v>0</v>
      </c>
      <c r="DU25" s="43">
        <f t="shared" si="25"/>
        <v>0</v>
      </c>
      <c r="DV25" s="43">
        <f t="shared" si="25"/>
        <v>0</v>
      </c>
      <c r="DW25" s="43">
        <f t="shared" si="25"/>
        <v>0</v>
      </c>
      <c r="DX25" s="43">
        <f t="shared" si="25"/>
        <v>0</v>
      </c>
      <c r="DY25" s="43">
        <f t="shared" si="25"/>
        <v>0</v>
      </c>
      <c r="DZ25" s="43">
        <f t="shared" si="25"/>
        <v>0</v>
      </c>
      <c r="EA25" s="43">
        <f t="shared" si="25"/>
        <v>0</v>
      </c>
      <c r="EB25" s="43">
        <f t="shared" si="25"/>
        <v>0</v>
      </c>
      <c r="EC25" s="43">
        <f t="shared" si="25"/>
        <v>0</v>
      </c>
      <c r="ED25" s="43">
        <f t="shared" si="25"/>
        <v>0</v>
      </c>
      <c r="EE25" s="43">
        <f t="shared" si="25"/>
        <v>0</v>
      </c>
      <c r="EF25" s="43">
        <f t="shared" si="25"/>
        <v>0</v>
      </c>
      <c r="EG25" s="43">
        <f t="shared" si="25"/>
        <v>0</v>
      </c>
      <c r="EH25" s="43">
        <f t="shared" si="25"/>
        <v>0</v>
      </c>
      <c r="EI25" s="43">
        <f t="shared" si="25"/>
        <v>0</v>
      </c>
      <c r="EJ25" s="43">
        <f t="shared" si="25"/>
        <v>0</v>
      </c>
      <c r="EK25" s="43">
        <f t="shared" si="25"/>
        <v>0</v>
      </c>
      <c r="EL25" s="47"/>
      <c r="EM25" s="47"/>
      <c r="EN25" s="47"/>
      <c r="EO25" s="47"/>
      <c r="EP25" s="47"/>
      <c r="EQ25" s="47"/>
      <c r="ER25" s="47"/>
      <c r="ES25" s="47"/>
      <c r="ET25" s="47"/>
      <c r="EU25" s="47"/>
      <c r="EV25" s="47"/>
      <c r="EW25" s="47"/>
      <c r="EX25" s="47"/>
      <c r="EY25" s="47"/>
      <c r="EZ25" s="47"/>
      <c r="FA25" s="47"/>
      <c r="FB25" s="47"/>
      <c r="FC25" s="47"/>
      <c r="FD25" s="47"/>
      <c r="FE25" s="47"/>
    </row>
    <row r="26" spans="1:161" ht="14.25" x14ac:dyDescent="0.15">
      <c r="A26" s="46"/>
      <c r="B26" s="43" t="e">
        <f t="shared" si="2"/>
        <v>#DIV/0!</v>
      </c>
      <c r="C26" s="43" t="e">
        <f t="shared" si="3"/>
        <v>#DIV/0!</v>
      </c>
      <c r="D26" s="43" t="e">
        <f t="shared" si="4"/>
        <v>#DIV/0!</v>
      </c>
      <c r="E26" s="43" t="e">
        <f t="shared" si="5"/>
        <v>#DIV/0!</v>
      </c>
      <c r="F26" s="43" t="e">
        <f t="shared" si="6"/>
        <v>#DIV/0!</v>
      </c>
      <c r="G26" s="43" t="e">
        <f t="shared" si="7"/>
        <v>#DIV/0!</v>
      </c>
      <c r="H26" s="43" t="e">
        <f t="shared" si="8"/>
        <v>#DIV/0!</v>
      </c>
      <c r="I26" s="43" t="e">
        <f t="shared" si="9"/>
        <v>#DIV/0!</v>
      </c>
      <c r="J26" s="43" t="e">
        <f t="shared" si="10"/>
        <v>#DIV/0!</v>
      </c>
      <c r="K26" s="43" t="e">
        <f t="shared" si="11"/>
        <v>#DIV/0!</v>
      </c>
      <c r="L26" s="43" t="e">
        <f t="shared" si="12"/>
        <v>#DIV/0!</v>
      </c>
      <c r="M26" s="43" t="e">
        <f t="shared" si="13"/>
        <v>#DIV/0!</v>
      </c>
      <c r="N26" s="43" t="e">
        <f t="shared" si="14"/>
        <v>#DIV/0!</v>
      </c>
      <c r="O26" s="43" t="e">
        <f t="shared" si="15"/>
        <v>#DIV/0!</v>
      </c>
      <c r="P26" s="43" t="e">
        <f t="shared" si="16"/>
        <v>#DIV/0!</v>
      </c>
      <c r="Q26" s="43" t="e">
        <f t="shared" si="17"/>
        <v>#DIV/0!</v>
      </c>
      <c r="R26" s="43" t="e">
        <f t="shared" si="18"/>
        <v>#DIV/0!</v>
      </c>
      <c r="S26" s="43" t="e">
        <f t="shared" si="19"/>
        <v>#DIV/0!</v>
      </c>
      <c r="T26" s="43" t="e">
        <f t="shared" si="20"/>
        <v>#DIV/0!</v>
      </c>
      <c r="U26" s="43" t="e">
        <f t="shared" si="21"/>
        <v>#DIV/0!</v>
      </c>
      <c r="V26" s="53" t="e">
        <f>V25+ATM_Conf!$C$5*(B25)/(B213*V213)</f>
        <v>#DIV/0!</v>
      </c>
      <c r="W26" s="53" t="e">
        <f>W25+ATM_Conf!$C$5*(C25-B25)/(C213*W213)</f>
        <v>#DIV/0!</v>
      </c>
      <c r="X26" s="53" t="e">
        <f>X25+ATM_Conf!$C$5*(D25-C25)/(D213*X213)</f>
        <v>#DIV/0!</v>
      </c>
      <c r="Y26" s="53" t="e">
        <f>Y25+ATM_Conf!$C$5*(E25-D25)/(E213*Y213)</f>
        <v>#DIV/0!</v>
      </c>
      <c r="Z26" s="53" t="e">
        <f>Z25+ATM_Conf!$C$5*(F25-E25)/(F213*Z213)</f>
        <v>#DIV/0!</v>
      </c>
      <c r="AA26" s="53" t="e">
        <f>AA25+ATM_Conf!$C$5*(G25-F25)/(G213*AA213)</f>
        <v>#DIV/0!</v>
      </c>
      <c r="AB26" s="53" t="e">
        <f>AB25+ATM_Conf!$C$5*(H25-G25)/(H213*AB213)</f>
        <v>#DIV/0!</v>
      </c>
      <c r="AC26" s="53" t="e">
        <f>AC25+ATM_Conf!$C$5*(I25-H25)/(I213*AC213)</f>
        <v>#DIV/0!</v>
      </c>
      <c r="AD26" s="53" t="e">
        <f>AD25+ATM_Conf!$C$5*(J25-I25)/(J213*AD213)</f>
        <v>#DIV/0!</v>
      </c>
      <c r="AE26" s="53" t="e">
        <f>AE25+ATM_Conf!$C$5*(K25-J25)/(K213*AE213)</f>
        <v>#DIV/0!</v>
      </c>
      <c r="AF26" s="53" t="e">
        <f>AF25+ATM_Conf!$C$5*(L25)/(L213*AF213)</f>
        <v>#DIV/0!</v>
      </c>
      <c r="AG26" s="53" t="e">
        <f>AG25+ATM_Conf!$C$5*(M25-L25)/(M213*AG213)</f>
        <v>#DIV/0!</v>
      </c>
      <c r="AH26" s="53" t="e">
        <f>AH25+ATM_Conf!$C$5*(N25-M25)/(N213*AH213)</f>
        <v>#DIV/0!</v>
      </c>
      <c r="AI26" s="53" t="e">
        <f>AI25+ATM_Conf!$C$5*(O25-N25)/(O213*AI213)</f>
        <v>#DIV/0!</v>
      </c>
      <c r="AJ26" s="53" t="e">
        <f>AJ25+ATM_Conf!$C$5*(P25-O25)/(P213*AJ213)</f>
        <v>#DIV/0!</v>
      </c>
      <c r="AK26" s="53" t="e">
        <f>AK25+ATM_Conf!$C$5*(Q25-P25)/(Q213*AK213)</f>
        <v>#DIV/0!</v>
      </c>
      <c r="AL26" s="53" t="e">
        <f>AL25+ATM_Conf!$C$5*(R25-Q25)/(R213*AL213)</f>
        <v>#DIV/0!</v>
      </c>
      <c r="AM26" s="53" t="e">
        <f>AM25+ATM_Conf!$C$5*(S25-R25)/(S213*AM213)</f>
        <v>#DIV/0!</v>
      </c>
      <c r="AN26" s="53" t="e">
        <f>AN25+ATM_Conf!$C$5*(T25-S25)/(T213*AN213)</f>
        <v>#DIV/0!</v>
      </c>
      <c r="AO26" s="53" t="e">
        <f>AO25+ATM_Conf!$C$5*(U25-T25)/(U213*AO213)</f>
        <v>#DIV/0!</v>
      </c>
      <c r="AP26" s="43" t="e">
        <f>AP25+(ATM_Conf!$C$5/ATM_Conf!$C$8)*(BJ26*EXP(-(1/CX26)*(V26/CD26)^CX26)-AP25)-(ATM_Conf!$C$5*ATM_Conf!$C$9)/(V213*ATM_Conf!$C$8)*(Nodes!BO25-V25)/(V25+ATM_Conf!$C$10)</f>
        <v>#DIV/0!</v>
      </c>
      <c r="AQ26" s="43" t="e">
        <f>AQ25+(ATM_Conf!$C$5/ATM_Conf!$C$8)*(BK26*EXP(-(1/CY26)*(W26/CE26)^CY26)-AQ25)+(ATM_Conf!$C$5/W213)*AQ25*(AP25-AQ25)-(ATM_Conf!$C$5*ATM_Conf!$C$9)/(W213*ATM_Conf!$C$8)*(X25-W25)/(W25+ATM_Conf!$C$10)</f>
        <v>#DIV/0!</v>
      </c>
      <c r="AR26" s="43" t="e">
        <f>AR25+(ATM_Conf!$C$5/ATM_Conf!$C$8)*(BL26*EXP(-(1/CZ26)*(X26/CF26)^CZ26)-AR25)+(ATM_Conf!$C$5/X213)*AR25*(Nodes!BC25-AR25)-(ATM_Conf!$C$5*ATM_Conf!$C$9)/(X213*ATM_Conf!$C$8)*(Nodes!BQ25-X25)/(X25+ATM_Conf!$C$10)</f>
        <v>#DIV/0!</v>
      </c>
      <c r="AS26" s="43" t="e">
        <f>AS25+(ATM_Conf!$C$5/ATM_Conf!$C$8)*(BM26*EXP(-(1/DA26)*(Y26/CG26)^DA26)-AS25)+(ATM_Conf!$C$5/Y213)*AS25*(AR25-AS25)-(ATM_Conf!$C$5*ATM_Conf!$C$9)/(Y213*ATM_Conf!$C$8)*(Z25-Y25)/(Y25+ATM_Conf!$C$10)</f>
        <v>#DIV/0!</v>
      </c>
      <c r="AT26" s="43" t="e">
        <f>AT25+(ATM_Conf!$C$5/ATM_Conf!$C$8)*(BN26*EXP(-(1/DB26)*(Z26/CH26)^DB26)-AT25)+(ATM_Conf!$C$5/Z213)*AT25*(Nodes!BE25-AT25)-(ATM_Conf!$C$5*ATM_Conf!$C$9)/(Z213*ATM_Conf!$C$8)*(Nodes!BS25-Z25)/(Z25+ATM_Conf!$C$10)</f>
        <v>#DIV/0!</v>
      </c>
      <c r="AU26" s="43" t="e">
        <f>AU25+(ATM_Conf!$C$5/ATM_Conf!$C$8)*(BO26*EXP(-(1/DC26)*(AA26/CI26)^DC26)-AU25)+(ATM_Conf!$C$5/AA213)*AU25*(Nodes!BF25-AU25)-(ATM_Conf!$C$5*ATM_Conf!$C$9)/(AA213*ATM_Conf!$C$8)*(Nodes!BV25-AA25)/(AA25+ATM_Conf!$C$10)</f>
        <v>#DIV/0!</v>
      </c>
      <c r="AV26" s="43" t="e">
        <f>AV25+(ATM_Conf!$C$5/ATM_Conf!$C$8)*(BP26*EXP(-(1/DD26)*(AB26/CJ26)^DD26)-AV25)+(ATM_Conf!$C$5/AB213)*AV25*(AU25-AV25)-(ATM_Conf!$C$5*ATM_Conf!$C$9)/(AB213*ATM_Conf!$C$8)*(AC25-AB25)/(AB25+ATM_Conf!$C$10)</f>
        <v>#DIV/0!</v>
      </c>
      <c r="AW26" s="43" t="e">
        <f>AW25+(ATM_Conf!$C$5/ATM_Conf!$C$8)*(BQ26*EXP(-(1/DE26)*(AC26/CK26)^DE26)-AW25)+(ATM_Conf!$C$5/AC213)*AW25*(AV25-AW25)-(ATM_Conf!$C$5*ATM_Conf!$C$9)/(AC213*ATM_Conf!$C$8)*(AD25-AC25)/(AC25+ATM_Conf!$C$10)</f>
        <v>#DIV/0!</v>
      </c>
      <c r="AX26" s="43" t="e">
        <f>AX25+(ATM_Conf!$C$5/ATM_Conf!$C$8)*(BR26*EXP(-(1/DF26)*(AD26/CL26)^DF26)-AX25)+(ATM_Conf!$C$5/AD213)*AX25*(Nodes!BG25-AX25)-(ATM_Conf!$C$5*ATM_Conf!$C$9)/(AD213*ATM_Conf!$C$8)*(Nodes!BU25-AD25)/(AD25+ATM_Conf!$C$10)</f>
        <v>#DIV/0!</v>
      </c>
      <c r="AY26" s="43" t="e">
        <f>AY25+(ATM_Conf!$C$5/ATM_Conf!$C$8)*(BS26*EXP(-(1/DG26)*(AE26/CM26)^DG26)-AY25)+(ATM_Conf!$C$5/AE213)*AY25*(Nodes!BF25-AY25)</f>
        <v>#DIV/0!</v>
      </c>
      <c r="AZ26" s="43" t="e">
        <f>AZ25+(ATM_Conf!$C$5/ATM_Conf!$C$8)*(BT26*EXP(-(1/DH26)*(AF26/CN26)^DH26)-AZ25)-(ATM_Conf!$C$5*ATM_Conf!$C$9)/(AF213*ATM_Conf!$C$8)*(Nodes!BV25-AF25)/(AF25+ATM_Conf!$C$10)</f>
        <v>#DIV/0!</v>
      </c>
      <c r="BA26" s="43" t="e">
        <f>BA25+(ATM_Conf!$C$5/ATM_Conf!$C$8)*(BU26*EXP(-(1/DI26)*(AG26/CO26)^DI26)-BA25)+(ATM_Conf!$C$5/AG213)*BA25*(Nodes!BI25-BA25)-(ATM_Conf!$C$5*ATM_Conf!$C$9)/(AG213*ATM_Conf!$C$8)*(Nodes!BW25-AG25)/(AG25+ATM_Conf!$C$10)</f>
        <v>#DIV/0!</v>
      </c>
      <c r="BB26" s="43" t="e">
        <f>BB25+(ATM_Conf!$C$5/ATM_Conf!$C$8)*(BV26*EXP(-(1/DJ26)*(AH26/CP26)^DJ26)-BB25)+(ATM_Conf!$C$5/AH213)*BB25*(Nodes!BJ25-BB25)-(ATM_Conf!$C$5*ATM_Conf!$C$9)/(AH213*ATM_Conf!$C$8)*(AI25-AH25)/(AH25+ATM_Conf!$C$10)</f>
        <v>#DIV/0!</v>
      </c>
      <c r="BC26" s="43" t="e">
        <f>BC25+(ATM_Conf!$C$5/ATM_Conf!$C$8)*(BW26*EXP(-(1/DK26)*(AI26/CQ26)^DK26)-BC25)+(ATM_Conf!$C$5/AI213)*BC25*(BB25-BC25)-(ATM_Conf!$C$5*ATM_Conf!$C$9)/(AI213*ATM_Conf!$C$8)*(AJ25-AI25)/(AI25+ATM_Conf!$C$10)</f>
        <v>#DIV/0!</v>
      </c>
      <c r="BD26" s="43" t="e">
        <f>BD25+(ATM_Conf!$C$5/ATM_Conf!$C$8)*(BX26*EXP(-(1/DL26)*(AJ26/CR26)^DL26)-BD25)+(ATM_Conf!$C$5/AJ213)*BD25*(BC25-BD25)-(ATM_Conf!$C$5*ATM_Conf!$C$9)/(AJ213*ATM_Conf!$C$8)*(Nodes!BX25-AJ25)/(AJ25+ATM_Conf!$C$10)</f>
        <v>#DIV/0!</v>
      </c>
      <c r="BE26" s="43" t="e">
        <f>BE25+(ATM_Conf!$C$5/ATM_Conf!$C$8)*(BY26*EXP(-(1/DM26)*(AK26/CS26)^DM26)-BE25)+(ATM_Conf!$C$5/AK213)*BE25*(Nodes!BK25-BE25)-(ATM_Conf!$C$5*ATM_Conf!$C$9)/(AK213*ATM_Conf!$C$8)*(Nodes!BY25-AK25)/(AK25+ATM_Conf!$C$10)</f>
        <v>#DIV/0!</v>
      </c>
      <c r="BF26" s="43" t="e">
        <f>BF25+(ATM_Conf!$C$5/ATM_Conf!$C$8)*(BZ26*EXP(-(1/DN26)*(AL26/CT26)^DN26)-BF25)+(ATM_Conf!$C$5/AL213)*BF25*(BE25-BF25)-(ATM_Conf!$C$5*ATM_Conf!$C$9)/(AL213*ATM_Conf!$C$8)*(AM25-AL25)/(AL25+ATM_Conf!$C$10)</f>
        <v>#DIV/0!</v>
      </c>
      <c r="BG26" s="43" t="e">
        <f>BG25+(ATM_Conf!$C$5/ATM_Conf!$C$8)*(CA26*EXP(-(1/DO26)*(AM26/CU26)^DO26)-BG25)+(ATM_Conf!$C$5/AM213)*BG25*(Nodes!BM25-BG25)-(ATM_Conf!$C$5*ATM_Conf!$C$9)/(AM213*ATM_Conf!$C$8)*(Nodes!CA25-AM25)/(AM25+ATM_Conf!$C$10)</f>
        <v>#DIV/0!</v>
      </c>
      <c r="BH26" s="43" t="e">
        <f>BH25+(ATM_Conf!$C$5/ATM_Conf!$C$8)*(CB26*EXP(-(1/DP26)*(AN26/CV26)^DP26)-BH25)+(ATM_Conf!$C$5/AN213)*BH25*(BG25-BH25)-(ATM_Conf!$C$5*ATM_Conf!$C$9)/(AN213*ATM_Conf!$C$8)*(AO25-AN25)/(AN25+ATM_Conf!$C$10)</f>
        <v>#DIV/0!</v>
      </c>
      <c r="BI26" s="43" t="e">
        <f>BI25+(ATM_Conf!$C$5/ATM_Conf!$C$8)*(CC26*EXP(-(1/DQ26)*(AO26/CW26)^DQ26)-BI25)+(ATM_Conf!$C$5/AO213)*BI25*(BH25-BI25)</f>
        <v>#DIV/0!</v>
      </c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53"/>
      <c r="CB26" s="53"/>
      <c r="CC26" s="5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53"/>
      <c r="CY26" s="53"/>
      <c r="CZ26" s="53"/>
      <c r="DA26" s="53"/>
      <c r="DB26" s="53"/>
      <c r="DC26" s="53"/>
      <c r="DD26" s="53"/>
      <c r="DE26" s="53"/>
      <c r="DF26" s="53"/>
      <c r="DG26" s="53"/>
      <c r="DH26" s="53"/>
      <c r="DI26" s="53"/>
      <c r="DJ26" s="53"/>
      <c r="DK26" s="53"/>
      <c r="DL26" s="53"/>
      <c r="DM26" s="53"/>
      <c r="DN26" s="53"/>
      <c r="DO26" s="53"/>
      <c r="DP26" s="53"/>
      <c r="DQ26" s="53"/>
      <c r="DR26" s="43">
        <f t="shared" si="26"/>
        <v>0</v>
      </c>
      <c r="DS26" s="43">
        <f t="shared" si="25"/>
        <v>0</v>
      </c>
      <c r="DT26" s="43">
        <f t="shared" si="25"/>
        <v>0</v>
      </c>
      <c r="DU26" s="43">
        <f t="shared" si="25"/>
        <v>0</v>
      </c>
      <c r="DV26" s="43">
        <f t="shared" si="25"/>
        <v>0</v>
      </c>
      <c r="DW26" s="43">
        <f t="shared" si="25"/>
        <v>0</v>
      </c>
      <c r="DX26" s="43">
        <f t="shared" si="25"/>
        <v>0</v>
      </c>
      <c r="DY26" s="43">
        <f t="shared" si="25"/>
        <v>0</v>
      </c>
      <c r="DZ26" s="43">
        <f t="shared" si="25"/>
        <v>0</v>
      </c>
      <c r="EA26" s="43">
        <f t="shared" si="25"/>
        <v>0</v>
      </c>
      <c r="EB26" s="43">
        <f t="shared" si="25"/>
        <v>0</v>
      </c>
      <c r="EC26" s="43">
        <f t="shared" si="25"/>
        <v>0</v>
      </c>
      <c r="ED26" s="43">
        <f t="shared" si="25"/>
        <v>0</v>
      </c>
      <c r="EE26" s="43">
        <f t="shared" si="25"/>
        <v>0</v>
      </c>
      <c r="EF26" s="43">
        <f t="shared" si="25"/>
        <v>0</v>
      </c>
      <c r="EG26" s="43">
        <f t="shared" si="25"/>
        <v>0</v>
      </c>
      <c r="EH26" s="43">
        <f t="shared" si="25"/>
        <v>0</v>
      </c>
      <c r="EI26" s="43">
        <f t="shared" si="25"/>
        <v>0</v>
      </c>
      <c r="EJ26" s="43">
        <f t="shared" si="25"/>
        <v>0</v>
      </c>
      <c r="EK26" s="43">
        <f t="shared" si="25"/>
        <v>0</v>
      </c>
      <c r="EL26" s="47"/>
      <c r="EM26" s="47"/>
      <c r="EN26" s="47"/>
      <c r="EO26" s="47"/>
      <c r="EP26" s="47"/>
      <c r="EQ26" s="47"/>
      <c r="ER26" s="47"/>
      <c r="ES26" s="47"/>
      <c r="ET26" s="47"/>
      <c r="EU26" s="47"/>
      <c r="EV26" s="47"/>
      <c r="EW26" s="47"/>
      <c r="EX26" s="47"/>
      <c r="EY26" s="47"/>
      <c r="EZ26" s="47"/>
      <c r="FA26" s="47"/>
      <c r="FB26" s="47"/>
      <c r="FC26" s="47"/>
      <c r="FD26" s="47"/>
      <c r="FE26" s="47"/>
    </row>
    <row r="27" spans="1:161" ht="14.25" x14ac:dyDescent="0.15">
      <c r="A27" s="46"/>
      <c r="B27" s="43" t="e">
        <f t="shared" si="2"/>
        <v>#DIV/0!</v>
      </c>
      <c r="C27" s="43" t="e">
        <f t="shared" si="3"/>
        <v>#DIV/0!</v>
      </c>
      <c r="D27" s="43" t="e">
        <f t="shared" si="4"/>
        <v>#DIV/0!</v>
      </c>
      <c r="E27" s="43" t="e">
        <f t="shared" si="5"/>
        <v>#DIV/0!</v>
      </c>
      <c r="F27" s="43" t="e">
        <f t="shared" si="6"/>
        <v>#DIV/0!</v>
      </c>
      <c r="G27" s="43" t="e">
        <f t="shared" si="7"/>
        <v>#DIV/0!</v>
      </c>
      <c r="H27" s="43" t="e">
        <f t="shared" si="8"/>
        <v>#DIV/0!</v>
      </c>
      <c r="I27" s="43" t="e">
        <f t="shared" si="9"/>
        <v>#DIV/0!</v>
      </c>
      <c r="J27" s="43" t="e">
        <f t="shared" si="10"/>
        <v>#DIV/0!</v>
      </c>
      <c r="K27" s="43" t="e">
        <f t="shared" si="11"/>
        <v>#DIV/0!</v>
      </c>
      <c r="L27" s="43" t="e">
        <f t="shared" si="12"/>
        <v>#DIV/0!</v>
      </c>
      <c r="M27" s="43" t="e">
        <f t="shared" si="13"/>
        <v>#DIV/0!</v>
      </c>
      <c r="N27" s="43" t="e">
        <f t="shared" si="14"/>
        <v>#DIV/0!</v>
      </c>
      <c r="O27" s="43" t="e">
        <f t="shared" si="15"/>
        <v>#DIV/0!</v>
      </c>
      <c r="P27" s="43" t="e">
        <f t="shared" si="16"/>
        <v>#DIV/0!</v>
      </c>
      <c r="Q27" s="43" t="e">
        <f t="shared" si="17"/>
        <v>#DIV/0!</v>
      </c>
      <c r="R27" s="43" t="e">
        <f t="shared" si="18"/>
        <v>#DIV/0!</v>
      </c>
      <c r="S27" s="43" t="e">
        <f t="shared" si="19"/>
        <v>#DIV/0!</v>
      </c>
      <c r="T27" s="43" t="e">
        <f t="shared" si="20"/>
        <v>#DIV/0!</v>
      </c>
      <c r="U27" s="43" t="e">
        <f t="shared" si="21"/>
        <v>#DIV/0!</v>
      </c>
      <c r="V27" s="53" t="e">
        <f>V26+ATM_Conf!$C$5*(B26)/(B214*V214)</f>
        <v>#DIV/0!</v>
      </c>
      <c r="W27" s="53" t="e">
        <f>W26+ATM_Conf!$C$5*(C26-B26)/(C214*W214)</f>
        <v>#DIV/0!</v>
      </c>
      <c r="X27" s="53" t="e">
        <f>X26+ATM_Conf!$C$5*(D26-C26)/(D214*X214)</f>
        <v>#DIV/0!</v>
      </c>
      <c r="Y27" s="53" t="e">
        <f>Y26+ATM_Conf!$C$5*(E26-D26)/(E214*Y214)</f>
        <v>#DIV/0!</v>
      </c>
      <c r="Z27" s="53" t="e">
        <f>Z26+ATM_Conf!$C$5*(F26-E26)/(F214*Z214)</f>
        <v>#DIV/0!</v>
      </c>
      <c r="AA27" s="53" t="e">
        <f>AA26+ATM_Conf!$C$5*(G26-F26)/(G214*AA214)</f>
        <v>#DIV/0!</v>
      </c>
      <c r="AB27" s="53" t="e">
        <f>AB26+ATM_Conf!$C$5*(H26-G26)/(H214*AB214)</f>
        <v>#DIV/0!</v>
      </c>
      <c r="AC27" s="53" t="e">
        <f>AC26+ATM_Conf!$C$5*(I26-H26)/(I214*AC214)</f>
        <v>#DIV/0!</v>
      </c>
      <c r="AD27" s="53" t="e">
        <f>AD26+ATM_Conf!$C$5*(J26-I26)/(J214*AD214)</f>
        <v>#DIV/0!</v>
      </c>
      <c r="AE27" s="53" t="e">
        <f>AE26+ATM_Conf!$C$5*(K26-J26)/(K214*AE214)</f>
        <v>#DIV/0!</v>
      </c>
      <c r="AF27" s="53" t="e">
        <f>AF26+ATM_Conf!$C$5*(L26)/(L214*AF214)</f>
        <v>#DIV/0!</v>
      </c>
      <c r="AG27" s="53" t="e">
        <f>AG26+ATM_Conf!$C$5*(M26-L26)/(M214*AG214)</f>
        <v>#DIV/0!</v>
      </c>
      <c r="AH27" s="53" t="e">
        <f>AH26+ATM_Conf!$C$5*(N26-M26)/(N214*AH214)</f>
        <v>#DIV/0!</v>
      </c>
      <c r="AI27" s="53" t="e">
        <f>AI26+ATM_Conf!$C$5*(O26-N26)/(O214*AI214)</f>
        <v>#DIV/0!</v>
      </c>
      <c r="AJ27" s="53" t="e">
        <f>AJ26+ATM_Conf!$C$5*(P26-O26)/(P214*AJ214)</f>
        <v>#DIV/0!</v>
      </c>
      <c r="AK27" s="53" t="e">
        <f>AK26+ATM_Conf!$C$5*(Q26-P26)/(Q214*AK214)</f>
        <v>#DIV/0!</v>
      </c>
      <c r="AL27" s="53" t="e">
        <f>AL26+ATM_Conf!$C$5*(R26-Q26)/(R214*AL214)</f>
        <v>#DIV/0!</v>
      </c>
      <c r="AM27" s="53" t="e">
        <f>AM26+ATM_Conf!$C$5*(S26-R26)/(S214*AM214)</f>
        <v>#DIV/0!</v>
      </c>
      <c r="AN27" s="53" t="e">
        <f>AN26+ATM_Conf!$C$5*(T26-S26)/(T214*AN214)</f>
        <v>#DIV/0!</v>
      </c>
      <c r="AO27" s="53" t="e">
        <f>AO26+ATM_Conf!$C$5*(U26-T26)/(U214*AO214)</f>
        <v>#DIV/0!</v>
      </c>
      <c r="AP27" s="43" t="e">
        <f>AP26+(ATM_Conf!$C$5/ATM_Conf!$C$8)*(BJ27*EXP(-(1/CX27)*(V27/CD27)^CX27)-AP26)-(ATM_Conf!$C$5*ATM_Conf!$C$9)/(V214*ATM_Conf!$C$8)*(Nodes!BO26-V26)/(V26+ATM_Conf!$C$10)</f>
        <v>#DIV/0!</v>
      </c>
      <c r="AQ27" s="43" t="e">
        <f>AQ26+(ATM_Conf!$C$5/ATM_Conf!$C$8)*(BK27*EXP(-(1/CY27)*(W27/CE27)^CY27)-AQ26)+(ATM_Conf!$C$5/W214)*AQ26*(AP26-AQ26)-(ATM_Conf!$C$5*ATM_Conf!$C$9)/(W214*ATM_Conf!$C$8)*(X26-W26)/(W26+ATM_Conf!$C$10)</f>
        <v>#DIV/0!</v>
      </c>
      <c r="AR27" s="43" t="e">
        <f>AR26+(ATM_Conf!$C$5/ATM_Conf!$C$8)*(BL27*EXP(-(1/CZ27)*(X27/CF27)^CZ27)-AR26)+(ATM_Conf!$C$5/X214)*AR26*(Nodes!BC26-AR26)-(ATM_Conf!$C$5*ATM_Conf!$C$9)/(X214*ATM_Conf!$C$8)*(Nodes!BQ26-X26)/(X26+ATM_Conf!$C$10)</f>
        <v>#DIV/0!</v>
      </c>
      <c r="AS27" s="43" t="e">
        <f>AS26+(ATM_Conf!$C$5/ATM_Conf!$C$8)*(BM27*EXP(-(1/DA27)*(Y27/CG27)^DA27)-AS26)+(ATM_Conf!$C$5/Y214)*AS26*(AR26-AS26)-(ATM_Conf!$C$5*ATM_Conf!$C$9)/(Y214*ATM_Conf!$C$8)*(Z26-Y26)/(Y26+ATM_Conf!$C$10)</f>
        <v>#DIV/0!</v>
      </c>
      <c r="AT27" s="43" t="e">
        <f>AT26+(ATM_Conf!$C$5/ATM_Conf!$C$8)*(BN27*EXP(-(1/DB27)*(Z27/CH27)^DB27)-AT26)+(ATM_Conf!$C$5/Z214)*AT26*(Nodes!BE26-AT26)-(ATM_Conf!$C$5*ATM_Conf!$C$9)/(Z214*ATM_Conf!$C$8)*(Nodes!BS26-Z26)/(Z26+ATM_Conf!$C$10)</f>
        <v>#DIV/0!</v>
      </c>
      <c r="AU27" s="43" t="e">
        <f>AU26+(ATM_Conf!$C$5/ATM_Conf!$C$8)*(BO27*EXP(-(1/DC27)*(AA27/CI27)^DC27)-AU26)+(ATM_Conf!$C$5/AA214)*AU26*(Nodes!BF26-AU26)-(ATM_Conf!$C$5*ATM_Conf!$C$9)/(AA214*ATM_Conf!$C$8)*(Nodes!BV26-AA26)/(AA26+ATM_Conf!$C$10)</f>
        <v>#DIV/0!</v>
      </c>
      <c r="AV27" s="43" t="e">
        <f>AV26+(ATM_Conf!$C$5/ATM_Conf!$C$8)*(BP27*EXP(-(1/DD27)*(AB27/CJ27)^DD27)-AV26)+(ATM_Conf!$C$5/AB214)*AV26*(AU26-AV26)-(ATM_Conf!$C$5*ATM_Conf!$C$9)/(AB214*ATM_Conf!$C$8)*(AC26-AB26)/(AB26+ATM_Conf!$C$10)</f>
        <v>#DIV/0!</v>
      </c>
      <c r="AW27" s="43" t="e">
        <f>AW26+(ATM_Conf!$C$5/ATM_Conf!$C$8)*(BQ27*EXP(-(1/DE27)*(AC27/CK27)^DE27)-AW26)+(ATM_Conf!$C$5/AC214)*AW26*(AV26-AW26)-(ATM_Conf!$C$5*ATM_Conf!$C$9)/(AC214*ATM_Conf!$C$8)*(AD26-AC26)/(AC26+ATM_Conf!$C$10)</f>
        <v>#DIV/0!</v>
      </c>
      <c r="AX27" s="43" t="e">
        <f>AX26+(ATM_Conf!$C$5/ATM_Conf!$C$8)*(BR27*EXP(-(1/DF27)*(AD27/CL27)^DF27)-AX26)+(ATM_Conf!$C$5/AD214)*AX26*(Nodes!BG26-AX26)-(ATM_Conf!$C$5*ATM_Conf!$C$9)/(AD214*ATM_Conf!$C$8)*(Nodes!BU26-AD26)/(AD26+ATM_Conf!$C$10)</f>
        <v>#DIV/0!</v>
      </c>
      <c r="AY27" s="43" t="e">
        <f>AY26+(ATM_Conf!$C$5/ATM_Conf!$C$8)*(BS27*EXP(-(1/DG27)*(AE27/CM27)^DG27)-AY26)+(ATM_Conf!$C$5/AE214)*AY26*(Nodes!BF26-AY26)</f>
        <v>#DIV/0!</v>
      </c>
      <c r="AZ27" s="43" t="e">
        <f>AZ26+(ATM_Conf!$C$5/ATM_Conf!$C$8)*(BT27*EXP(-(1/DH27)*(AF27/CN27)^DH27)-AZ26)-(ATM_Conf!$C$5*ATM_Conf!$C$9)/(AF214*ATM_Conf!$C$8)*(Nodes!BV26-AF26)/(AF26+ATM_Conf!$C$10)</f>
        <v>#DIV/0!</v>
      </c>
      <c r="BA27" s="43" t="e">
        <f>BA26+(ATM_Conf!$C$5/ATM_Conf!$C$8)*(BU27*EXP(-(1/DI27)*(AG27/CO27)^DI27)-BA26)+(ATM_Conf!$C$5/AG214)*BA26*(Nodes!BI26-BA26)-(ATM_Conf!$C$5*ATM_Conf!$C$9)/(AG214*ATM_Conf!$C$8)*(Nodes!BW26-AG26)/(AG26+ATM_Conf!$C$10)</f>
        <v>#DIV/0!</v>
      </c>
      <c r="BB27" s="43" t="e">
        <f>BB26+(ATM_Conf!$C$5/ATM_Conf!$C$8)*(BV27*EXP(-(1/DJ27)*(AH27/CP27)^DJ27)-BB26)+(ATM_Conf!$C$5/AH214)*BB26*(Nodes!BJ26-BB26)-(ATM_Conf!$C$5*ATM_Conf!$C$9)/(AH214*ATM_Conf!$C$8)*(AI26-AH26)/(AH26+ATM_Conf!$C$10)</f>
        <v>#DIV/0!</v>
      </c>
      <c r="BC27" s="43" t="e">
        <f>BC26+(ATM_Conf!$C$5/ATM_Conf!$C$8)*(BW27*EXP(-(1/DK27)*(AI27/CQ27)^DK27)-BC26)+(ATM_Conf!$C$5/AI214)*BC26*(BB26-BC26)-(ATM_Conf!$C$5*ATM_Conf!$C$9)/(AI214*ATM_Conf!$C$8)*(AJ26-AI26)/(AI26+ATM_Conf!$C$10)</f>
        <v>#DIV/0!</v>
      </c>
      <c r="BD27" s="43" t="e">
        <f>BD26+(ATM_Conf!$C$5/ATM_Conf!$C$8)*(BX27*EXP(-(1/DL27)*(AJ27/CR27)^DL27)-BD26)+(ATM_Conf!$C$5/AJ214)*BD26*(BC26-BD26)-(ATM_Conf!$C$5*ATM_Conf!$C$9)/(AJ214*ATM_Conf!$C$8)*(Nodes!BX26-AJ26)/(AJ26+ATM_Conf!$C$10)</f>
        <v>#DIV/0!</v>
      </c>
      <c r="BE27" s="43" t="e">
        <f>BE26+(ATM_Conf!$C$5/ATM_Conf!$C$8)*(BY27*EXP(-(1/DM27)*(AK27/CS27)^DM27)-BE26)+(ATM_Conf!$C$5/AK214)*BE26*(Nodes!BK26-BE26)-(ATM_Conf!$C$5*ATM_Conf!$C$9)/(AK214*ATM_Conf!$C$8)*(Nodes!BY26-AK26)/(AK26+ATM_Conf!$C$10)</f>
        <v>#DIV/0!</v>
      </c>
      <c r="BF27" s="43" t="e">
        <f>BF26+(ATM_Conf!$C$5/ATM_Conf!$C$8)*(BZ27*EXP(-(1/DN27)*(AL27/CT27)^DN27)-BF26)+(ATM_Conf!$C$5/AL214)*BF26*(BE26-BF26)-(ATM_Conf!$C$5*ATM_Conf!$C$9)/(AL214*ATM_Conf!$C$8)*(AM26-AL26)/(AL26+ATM_Conf!$C$10)</f>
        <v>#DIV/0!</v>
      </c>
      <c r="BG27" s="43" t="e">
        <f>BG26+(ATM_Conf!$C$5/ATM_Conf!$C$8)*(CA27*EXP(-(1/DO27)*(AM27/CU27)^DO27)-BG26)+(ATM_Conf!$C$5/AM214)*BG26*(Nodes!BM26-BG26)-(ATM_Conf!$C$5*ATM_Conf!$C$9)/(AM214*ATM_Conf!$C$8)*(Nodes!CA26-AM26)/(AM26+ATM_Conf!$C$10)</f>
        <v>#DIV/0!</v>
      </c>
      <c r="BH27" s="43" t="e">
        <f>BH26+(ATM_Conf!$C$5/ATM_Conf!$C$8)*(CB27*EXP(-(1/DP27)*(AN27/CV27)^DP27)-BH26)+(ATM_Conf!$C$5/AN214)*BH26*(BG26-BH26)-(ATM_Conf!$C$5*ATM_Conf!$C$9)/(AN214*ATM_Conf!$C$8)*(AO26-AN26)/(AN26+ATM_Conf!$C$10)</f>
        <v>#DIV/0!</v>
      </c>
      <c r="BI27" s="43" t="e">
        <f>BI26+(ATM_Conf!$C$5/ATM_Conf!$C$8)*(CC27*EXP(-(1/DQ27)*(AO27/CW27)^DQ27)-BI26)+(ATM_Conf!$C$5/AO214)*BI26*(BH26-BI26)</f>
        <v>#DIV/0!</v>
      </c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53"/>
      <c r="CB27" s="53"/>
      <c r="CC27" s="5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53"/>
      <c r="CY27" s="53"/>
      <c r="CZ27" s="53"/>
      <c r="DA27" s="53"/>
      <c r="DB27" s="53"/>
      <c r="DC27" s="53"/>
      <c r="DD27" s="53"/>
      <c r="DE27" s="53"/>
      <c r="DF27" s="53"/>
      <c r="DG27" s="53"/>
      <c r="DH27" s="53"/>
      <c r="DI27" s="53"/>
      <c r="DJ27" s="53"/>
      <c r="DK27" s="53"/>
      <c r="DL27" s="53"/>
      <c r="DM27" s="53"/>
      <c r="DN27" s="53"/>
      <c r="DO27" s="53"/>
      <c r="DP27" s="53"/>
      <c r="DQ27" s="53"/>
      <c r="DR27" s="62"/>
      <c r="DS27" s="62"/>
      <c r="DT27" s="62"/>
      <c r="DU27" s="62"/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  <c r="EI27" s="62"/>
      <c r="EJ27" s="62"/>
      <c r="EK27" s="62"/>
      <c r="EL27" s="47">
        <f>(DR27-DR15)^2</f>
        <v>0</v>
      </c>
      <c r="EM27" s="47">
        <f t="shared" ref="EM27:FE27" si="27">(DS27-DS15)^2</f>
        <v>0</v>
      </c>
      <c r="EN27" s="47">
        <f t="shared" si="27"/>
        <v>0</v>
      </c>
      <c r="EO27" s="47">
        <f t="shared" si="27"/>
        <v>0</v>
      </c>
      <c r="EP27" s="47">
        <f t="shared" si="27"/>
        <v>0</v>
      </c>
      <c r="EQ27" s="47">
        <f t="shared" si="27"/>
        <v>0</v>
      </c>
      <c r="ER27" s="47">
        <f t="shared" si="27"/>
        <v>0</v>
      </c>
      <c r="ES27" s="47">
        <f t="shared" si="27"/>
        <v>0</v>
      </c>
      <c r="ET27" s="47">
        <f t="shared" si="27"/>
        <v>0</v>
      </c>
      <c r="EU27" s="47">
        <f t="shared" si="27"/>
        <v>0</v>
      </c>
      <c r="EV27" s="47">
        <f t="shared" si="27"/>
        <v>0</v>
      </c>
      <c r="EW27" s="47">
        <f t="shared" si="27"/>
        <v>0</v>
      </c>
      <c r="EX27" s="47">
        <f t="shared" si="27"/>
        <v>0</v>
      </c>
      <c r="EY27" s="47">
        <f t="shared" si="27"/>
        <v>0</v>
      </c>
      <c r="EZ27" s="47">
        <f t="shared" si="27"/>
        <v>0</v>
      </c>
      <c r="FA27" s="47">
        <f t="shared" si="27"/>
        <v>0</v>
      </c>
      <c r="FB27" s="47">
        <f t="shared" si="27"/>
        <v>0</v>
      </c>
      <c r="FC27" s="47">
        <f t="shared" si="27"/>
        <v>0</v>
      </c>
      <c r="FD27" s="47">
        <f t="shared" si="27"/>
        <v>0</v>
      </c>
      <c r="FE27" s="47">
        <f t="shared" si="27"/>
        <v>0</v>
      </c>
    </row>
    <row r="28" spans="1:161" ht="14.25" x14ac:dyDescent="0.15">
      <c r="A28" s="46"/>
      <c r="B28" s="43" t="e">
        <f t="shared" si="2"/>
        <v>#DIV/0!</v>
      </c>
      <c r="C28" s="43" t="e">
        <f t="shared" si="3"/>
        <v>#DIV/0!</v>
      </c>
      <c r="D28" s="43" t="e">
        <f t="shared" si="4"/>
        <v>#DIV/0!</v>
      </c>
      <c r="E28" s="43" t="e">
        <f t="shared" si="5"/>
        <v>#DIV/0!</v>
      </c>
      <c r="F28" s="43" t="e">
        <f t="shared" si="6"/>
        <v>#DIV/0!</v>
      </c>
      <c r="G28" s="43" t="e">
        <f t="shared" si="7"/>
        <v>#DIV/0!</v>
      </c>
      <c r="H28" s="43" t="e">
        <f t="shared" si="8"/>
        <v>#DIV/0!</v>
      </c>
      <c r="I28" s="43" t="e">
        <f t="shared" si="9"/>
        <v>#DIV/0!</v>
      </c>
      <c r="J28" s="43" t="e">
        <f t="shared" si="10"/>
        <v>#DIV/0!</v>
      </c>
      <c r="K28" s="43" t="e">
        <f t="shared" si="11"/>
        <v>#DIV/0!</v>
      </c>
      <c r="L28" s="43" t="e">
        <f t="shared" si="12"/>
        <v>#DIV/0!</v>
      </c>
      <c r="M28" s="43" t="e">
        <f t="shared" si="13"/>
        <v>#DIV/0!</v>
      </c>
      <c r="N28" s="43" t="e">
        <f t="shared" si="14"/>
        <v>#DIV/0!</v>
      </c>
      <c r="O28" s="43" t="e">
        <f t="shared" si="15"/>
        <v>#DIV/0!</v>
      </c>
      <c r="P28" s="43" t="e">
        <f t="shared" si="16"/>
        <v>#DIV/0!</v>
      </c>
      <c r="Q28" s="43" t="e">
        <f t="shared" si="17"/>
        <v>#DIV/0!</v>
      </c>
      <c r="R28" s="43" t="e">
        <f t="shared" si="18"/>
        <v>#DIV/0!</v>
      </c>
      <c r="S28" s="43" t="e">
        <f t="shared" si="19"/>
        <v>#DIV/0!</v>
      </c>
      <c r="T28" s="43" t="e">
        <f t="shared" si="20"/>
        <v>#DIV/0!</v>
      </c>
      <c r="U28" s="43" t="e">
        <f t="shared" si="21"/>
        <v>#DIV/0!</v>
      </c>
      <c r="V28" s="53" t="e">
        <f>V27+ATM_Conf!$C$5*(B27)/(B215*V215)</f>
        <v>#DIV/0!</v>
      </c>
      <c r="W28" s="53" t="e">
        <f>W27+ATM_Conf!$C$5*(C27-B27)/(C215*W215)</f>
        <v>#DIV/0!</v>
      </c>
      <c r="X28" s="53" t="e">
        <f>X27+ATM_Conf!$C$5*(D27-C27)/(D215*X215)</f>
        <v>#DIV/0!</v>
      </c>
      <c r="Y28" s="53" t="e">
        <f>Y27+ATM_Conf!$C$5*(E27-D27)/(E215*Y215)</f>
        <v>#DIV/0!</v>
      </c>
      <c r="Z28" s="53" t="e">
        <f>Z27+ATM_Conf!$C$5*(F27-E27)/(F215*Z215)</f>
        <v>#DIV/0!</v>
      </c>
      <c r="AA28" s="53" t="e">
        <f>AA27+ATM_Conf!$C$5*(G27-F27)/(G215*AA215)</f>
        <v>#DIV/0!</v>
      </c>
      <c r="AB28" s="53" t="e">
        <f>AB27+ATM_Conf!$C$5*(H27-G27)/(H215*AB215)</f>
        <v>#DIV/0!</v>
      </c>
      <c r="AC28" s="53" t="e">
        <f>AC27+ATM_Conf!$C$5*(I27-H27)/(I215*AC215)</f>
        <v>#DIV/0!</v>
      </c>
      <c r="AD28" s="53" t="e">
        <f>AD27+ATM_Conf!$C$5*(J27-I27)/(J215*AD215)</f>
        <v>#DIV/0!</v>
      </c>
      <c r="AE28" s="53" t="e">
        <f>AE27+ATM_Conf!$C$5*(K27-J27)/(K215*AE215)</f>
        <v>#DIV/0!</v>
      </c>
      <c r="AF28" s="53" t="e">
        <f>AF27+ATM_Conf!$C$5*(L27)/(L215*AF215)</f>
        <v>#DIV/0!</v>
      </c>
      <c r="AG28" s="53" t="e">
        <f>AG27+ATM_Conf!$C$5*(M27-L27)/(M215*AG215)</f>
        <v>#DIV/0!</v>
      </c>
      <c r="AH28" s="53" t="e">
        <f>AH27+ATM_Conf!$C$5*(N27-M27)/(N215*AH215)</f>
        <v>#DIV/0!</v>
      </c>
      <c r="AI28" s="53" t="e">
        <f>AI27+ATM_Conf!$C$5*(O27-N27)/(O215*AI215)</f>
        <v>#DIV/0!</v>
      </c>
      <c r="AJ28" s="53" t="e">
        <f>AJ27+ATM_Conf!$C$5*(P27-O27)/(P215*AJ215)</f>
        <v>#DIV/0!</v>
      </c>
      <c r="AK28" s="53" t="e">
        <f>AK27+ATM_Conf!$C$5*(Q27-P27)/(Q215*AK215)</f>
        <v>#DIV/0!</v>
      </c>
      <c r="AL28" s="53" t="e">
        <f>AL27+ATM_Conf!$C$5*(R27-Q27)/(R215*AL215)</f>
        <v>#DIV/0!</v>
      </c>
      <c r="AM28" s="53" t="e">
        <f>AM27+ATM_Conf!$C$5*(S27-R27)/(S215*AM215)</f>
        <v>#DIV/0!</v>
      </c>
      <c r="AN28" s="53" t="e">
        <f>AN27+ATM_Conf!$C$5*(T27-S27)/(T215*AN215)</f>
        <v>#DIV/0!</v>
      </c>
      <c r="AO28" s="53" t="e">
        <f>AO27+ATM_Conf!$C$5*(U27-T27)/(U215*AO215)</f>
        <v>#DIV/0!</v>
      </c>
      <c r="AP28" s="43" t="e">
        <f>AP27+(ATM_Conf!$C$5/ATM_Conf!$C$8)*(BJ28*EXP(-(1/CX28)*(V28/CD28)^CX28)-AP27)-(ATM_Conf!$C$5*ATM_Conf!$C$9)/(V215*ATM_Conf!$C$8)*(Nodes!BO27-V27)/(V27+ATM_Conf!$C$10)</f>
        <v>#DIV/0!</v>
      </c>
      <c r="AQ28" s="43" t="e">
        <f>AQ27+(ATM_Conf!$C$5/ATM_Conf!$C$8)*(BK28*EXP(-(1/CY28)*(W28/CE28)^CY28)-AQ27)+(ATM_Conf!$C$5/W215)*AQ27*(AP27-AQ27)-(ATM_Conf!$C$5*ATM_Conf!$C$9)/(W215*ATM_Conf!$C$8)*(X27-W27)/(W27+ATM_Conf!$C$10)</f>
        <v>#DIV/0!</v>
      </c>
      <c r="AR28" s="43" t="e">
        <f>AR27+(ATM_Conf!$C$5/ATM_Conf!$C$8)*(BL28*EXP(-(1/CZ28)*(X28/CF28)^CZ28)-AR27)+(ATM_Conf!$C$5/X215)*AR27*(Nodes!BC27-AR27)-(ATM_Conf!$C$5*ATM_Conf!$C$9)/(X215*ATM_Conf!$C$8)*(Nodes!BQ27-X27)/(X27+ATM_Conf!$C$10)</f>
        <v>#DIV/0!</v>
      </c>
      <c r="AS28" s="43" t="e">
        <f>AS27+(ATM_Conf!$C$5/ATM_Conf!$C$8)*(BM28*EXP(-(1/DA28)*(Y28/CG28)^DA28)-AS27)+(ATM_Conf!$C$5/Y215)*AS27*(AR27-AS27)-(ATM_Conf!$C$5*ATM_Conf!$C$9)/(Y215*ATM_Conf!$C$8)*(Z27-Y27)/(Y27+ATM_Conf!$C$10)</f>
        <v>#DIV/0!</v>
      </c>
      <c r="AT28" s="43" t="e">
        <f>AT27+(ATM_Conf!$C$5/ATM_Conf!$C$8)*(BN28*EXP(-(1/DB28)*(Z28/CH28)^DB28)-AT27)+(ATM_Conf!$C$5/Z215)*AT27*(Nodes!BE27-AT27)-(ATM_Conf!$C$5*ATM_Conf!$C$9)/(Z215*ATM_Conf!$C$8)*(Nodes!BS27-Z27)/(Z27+ATM_Conf!$C$10)</f>
        <v>#DIV/0!</v>
      </c>
      <c r="AU28" s="43" t="e">
        <f>AU27+(ATM_Conf!$C$5/ATM_Conf!$C$8)*(BO28*EXP(-(1/DC28)*(AA28/CI28)^DC28)-AU27)+(ATM_Conf!$C$5/AA215)*AU27*(Nodes!BF27-AU27)-(ATM_Conf!$C$5*ATM_Conf!$C$9)/(AA215*ATM_Conf!$C$8)*(Nodes!BV27-AA27)/(AA27+ATM_Conf!$C$10)</f>
        <v>#DIV/0!</v>
      </c>
      <c r="AV28" s="43" t="e">
        <f>AV27+(ATM_Conf!$C$5/ATM_Conf!$C$8)*(BP28*EXP(-(1/DD28)*(AB28/CJ28)^DD28)-AV27)+(ATM_Conf!$C$5/AB215)*AV27*(AU27-AV27)-(ATM_Conf!$C$5*ATM_Conf!$C$9)/(AB215*ATM_Conf!$C$8)*(AC27-AB27)/(AB27+ATM_Conf!$C$10)</f>
        <v>#DIV/0!</v>
      </c>
      <c r="AW28" s="43" t="e">
        <f>AW27+(ATM_Conf!$C$5/ATM_Conf!$C$8)*(BQ28*EXP(-(1/DE28)*(AC28/CK28)^DE28)-AW27)+(ATM_Conf!$C$5/AC215)*AW27*(AV27-AW27)-(ATM_Conf!$C$5*ATM_Conf!$C$9)/(AC215*ATM_Conf!$C$8)*(AD27-AC27)/(AC27+ATM_Conf!$C$10)</f>
        <v>#DIV/0!</v>
      </c>
      <c r="AX28" s="43" t="e">
        <f>AX27+(ATM_Conf!$C$5/ATM_Conf!$C$8)*(BR28*EXP(-(1/DF28)*(AD28/CL28)^DF28)-AX27)+(ATM_Conf!$C$5/AD215)*AX27*(Nodes!BG27-AX27)-(ATM_Conf!$C$5*ATM_Conf!$C$9)/(AD215*ATM_Conf!$C$8)*(Nodes!BU27-AD27)/(AD27+ATM_Conf!$C$10)</f>
        <v>#DIV/0!</v>
      </c>
      <c r="AY28" s="43" t="e">
        <f>AY27+(ATM_Conf!$C$5/ATM_Conf!$C$8)*(BS28*EXP(-(1/DG28)*(AE28/CM28)^DG28)-AY27)+(ATM_Conf!$C$5/AE215)*AY27*(Nodes!BF27-AY27)</f>
        <v>#DIV/0!</v>
      </c>
      <c r="AZ28" s="43" t="e">
        <f>AZ27+(ATM_Conf!$C$5/ATM_Conf!$C$8)*(BT28*EXP(-(1/DH28)*(AF28/CN28)^DH28)-AZ27)-(ATM_Conf!$C$5*ATM_Conf!$C$9)/(AF215*ATM_Conf!$C$8)*(Nodes!BV27-AF27)/(AF27+ATM_Conf!$C$10)</f>
        <v>#DIV/0!</v>
      </c>
      <c r="BA28" s="43" t="e">
        <f>BA27+(ATM_Conf!$C$5/ATM_Conf!$C$8)*(BU28*EXP(-(1/DI28)*(AG28/CO28)^DI28)-BA27)+(ATM_Conf!$C$5/AG215)*BA27*(Nodes!BI27-BA27)-(ATM_Conf!$C$5*ATM_Conf!$C$9)/(AG215*ATM_Conf!$C$8)*(Nodes!BW27-AG27)/(AG27+ATM_Conf!$C$10)</f>
        <v>#DIV/0!</v>
      </c>
      <c r="BB28" s="43" t="e">
        <f>BB27+(ATM_Conf!$C$5/ATM_Conf!$C$8)*(BV28*EXP(-(1/DJ28)*(AH28/CP28)^DJ28)-BB27)+(ATM_Conf!$C$5/AH215)*BB27*(Nodes!BJ27-BB27)-(ATM_Conf!$C$5*ATM_Conf!$C$9)/(AH215*ATM_Conf!$C$8)*(AI27-AH27)/(AH27+ATM_Conf!$C$10)</f>
        <v>#DIV/0!</v>
      </c>
      <c r="BC28" s="43" t="e">
        <f>BC27+(ATM_Conf!$C$5/ATM_Conf!$C$8)*(BW28*EXP(-(1/DK28)*(AI28/CQ28)^DK28)-BC27)+(ATM_Conf!$C$5/AI215)*BC27*(BB27-BC27)-(ATM_Conf!$C$5*ATM_Conf!$C$9)/(AI215*ATM_Conf!$C$8)*(AJ27-AI27)/(AI27+ATM_Conf!$C$10)</f>
        <v>#DIV/0!</v>
      </c>
      <c r="BD28" s="43" t="e">
        <f>BD27+(ATM_Conf!$C$5/ATM_Conf!$C$8)*(BX28*EXP(-(1/DL28)*(AJ28/CR28)^DL28)-BD27)+(ATM_Conf!$C$5/AJ215)*BD27*(BC27-BD27)-(ATM_Conf!$C$5*ATM_Conf!$C$9)/(AJ215*ATM_Conf!$C$8)*(Nodes!BX27-AJ27)/(AJ27+ATM_Conf!$C$10)</f>
        <v>#DIV/0!</v>
      </c>
      <c r="BE28" s="43" t="e">
        <f>BE27+(ATM_Conf!$C$5/ATM_Conf!$C$8)*(BY28*EXP(-(1/DM28)*(AK28/CS28)^DM28)-BE27)+(ATM_Conf!$C$5/AK215)*BE27*(Nodes!BK27-BE27)-(ATM_Conf!$C$5*ATM_Conf!$C$9)/(AK215*ATM_Conf!$C$8)*(Nodes!BY27-AK27)/(AK27+ATM_Conf!$C$10)</f>
        <v>#DIV/0!</v>
      </c>
      <c r="BF28" s="43" t="e">
        <f>BF27+(ATM_Conf!$C$5/ATM_Conf!$C$8)*(BZ28*EXP(-(1/DN28)*(AL28/CT28)^DN28)-BF27)+(ATM_Conf!$C$5/AL215)*BF27*(BE27-BF27)-(ATM_Conf!$C$5*ATM_Conf!$C$9)/(AL215*ATM_Conf!$C$8)*(AM27-AL27)/(AL27+ATM_Conf!$C$10)</f>
        <v>#DIV/0!</v>
      </c>
      <c r="BG28" s="43" t="e">
        <f>BG27+(ATM_Conf!$C$5/ATM_Conf!$C$8)*(CA28*EXP(-(1/DO28)*(AM28/CU28)^DO28)-BG27)+(ATM_Conf!$C$5/AM215)*BG27*(Nodes!BM27-BG27)-(ATM_Conf!$C$5*ATM_Conf!$C$9)/(AM215*ATM_Conf!$C$8)*(Nodes!CA27-AM27)/(AM27+ATM_Conf!$C$10)</f>
        <v>#DIV/0!</v>
      </c>
      <c r="BH28" s="43" t="e">
        <f>BH27+(ATM_Conf!$C$5/ATM_Conf!$C$8)*(CB28*EXP(-(1/DP28)*(AN28/CV28)^DP28)-BH27)+(ATM_Conf!$C$5/AN215)*BH27*(BG27-BH27)-(ATM_Conf!$C$5*ATM_Conf!$C$9)/(AN215*ATM_Conf!$C$8)*(AO27-AN27)/(AN27+ATM_Conf!$C$10)</f>
        <v>#DIV/0!</v>
      </c>
      <c r="BI28" s="43" t="e">
        <f>BI27+(ATM_Conf!$C$5/ATM_Conf!$C$8)*(CC28*EXP(-(1/DQ28)*(AO28/CW28)^DQ28)-BI27)+(ATM_Conf!$C$5/AO215)*BI27*(BH27-BI27)</f>
        <v>#DIV/0!</v>
      </c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53"/>
      <c r="CB28" s="53"/>
      <c r="CC28" s="5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53"/>
      <c r="CY28" s="53"/>
      <c r="CZ28" s="53"/>
      <c r="DA28" s="53"/>
      <c r="DB28" s="53"/>
      <c r="DC28" s="53"/>
      <c r="DD28" s="53"/>
      <c r="DE28" s="53"/>
      <c r="DF28" s="53"/>
      <c r="DG28" s="53"/>
      <c r="DH28" s="53"/>
      <c r="DI28" s="53"/>
      <c r="DJ28" s="53"/>
      <c r="DK28" s="53"/>
      <c r="DL28" s="53"/>
      <c r="DM28" s="53"/>
      <c r="DN28" s="53"/>
      <c r="DO28" s="53"/>
      <c r="DP28" s="53"/>
      <c r="DQ28" s="53"/>
      <c r="DR28" s="43">
        <f>DR$27</f>
        <v>0</v>
      </c>
      <c r="DS28" s="43">
        <f t="shared" ref="DS28:EK38" si="28">DS$27</f>
        <v>0</v>
      </c>
      <c r="DT28" s="43">
        <f t="shared" si="28"/>
        <v>0</v>
      </c>
      <c r="DU28" s="43">
        <f t="shared" si="28"/>
        <v>0</v>
      </c>
      <c r="DV28" s="43">
        <f t="shared" si="28"/>
        <v>0</v>
      </c>
      <c r="DW28" s="43">
        <f t="shared" si="28"/>
        <v>0</v>
      </c>
      <c r="DX28" s="43">
        <f t="shared" si="28"/>
        <v>0</v>
      </c>
      <c r="DY28" s="43">
        <f t="shared" si="28"/>
        <v>0</v>
      </c>
      <c r="DZ28" s="43">
        <f t="shared" si="28"/>
        <v>0</v>
      </c>
      <c r="EA28" s="43">
        <f t="shared" si="28"/>
        <v>0</v>
      </c>
      <c r="EB28" s="43">
        <f t="shared" si="28"/>
        <v>0</v>
      </c>
      <c r="EC28" s="43">
        <f t="shared" si="28"/>
        <v>0</v>
      </c>
      <c r="ED28" s="43">
        <f t="shared" si="28"/>
        <v>0</v>
      </c>
      <c r="EE28" s="43">
        <f t="shared" si="28"/>
        <v>0</v>
      </c>
      <c r="EF28" s="43">
        <f t="shared" si="28"/>
        <v>0</v>
      </c>
      <c r="EG28" s="43">
        <f t="shared" si="28"/>
        <v>0</v>
      </c>
      <c r="EH28" s="43">
        <f t="shared" si="28"/>
        <v>0</v>
      </c>
      <c r="EI28" s="43">
        <f t="shared" si="28"/>
        <v>0</v>
      </c>
      <c r="EJ28" s="43">
        <f t="shared" si="28"/>
        <v>0</v>
      </c>
      <c r="EK28" s="43">
        <f t="shared" si="28"/>
        <v>0</v>
      </c>
      <c r="EL28" s="47"/>
      <c r="EM28" s="47"/>
      <c r="EN28" s="47"/>
      <c r="EO28" s="47"/>
      <c r="EP28" s="47"/>
      <c r="EQ28" s="47"/>
      <c r="ER28" s="47"/>
      <c r="ES28" s="47"/>
      <c r="ET28" s="47"/>
      <c r="EU28" s="47"/>
      <c r="EV28" s="47"/>
      <c r="EW28" s="47"/>
      <c r="EX28" s="47"/>
      <c r="EY28" s="47"/>
      <c r="EZ28" s="47"/>
      <c r="FA28" s="47"/>
      <c r="FB28" s="47"/>
      <c r="FC28" s="47"/>
      <c r="FD28" s="47"/>
      <c r="FE28" s="47"/>
    </row>
    <row r="29" spans="1:161" ht="14.25" x14ac:dyDescent="0.15">
      <c r="A29" s="46"/>
      <c r="B29" s="43" t="e">
        <f t="shared" si="2"/>
        <v>#DIV/0!</v>
      </c>
      <c r="C29" s="43" t="e">
        <f t="shared" si="3"/>
        <v>#DIV/0!</v>
      </c>
      <c r="D29" s="43" t="e">
        <f t="shared" si="4"/>
        <v>#DIV/0!</v>
      </c>
      <c r="E29" s="43" t="e">
        <f t="shared" si="5"/>
        <v>#DIV/0!</v>
      </c>
      <c r="F29" s="43" t="e">
        <f t="shared" si="6"/>
        <v>#DIV/0!</v>
      </c>
      <c r="G29" s="43" t="e">
        <f t="shared" si="7"/>
        <v>#DIV/0!</v>
      </c>
      <c r="H29" s="43" t="e">
        <f t="shared" si="8"/>
        <v>#DIV/0!</v>
      </c>
      <c r="I29" s="43" t="e">
        <f t="shared" si="9"/>
        <v>#DIV/0!</v>
      </c>
      <c r="J29" s="43" t="e">
        <f t="shared" si="10"/>
        <v>#DIV/0!</v>
      </c>
      <c r="K29" s="43" t="e">
        <f t="shared" si="11"/>
        <v>#DIV/0!</v>
      </c>
      <c r="L29" s="43" t="e">
        <f t="shared" si="12"/>
        <v>#DIV/0!</v>
      </c>
      <c r="M29" s="43" t="e">
        <f t="shared" si="13"/>
        <v>#DIV/0!</v>
      </c>
      <c r="N29" s="43" t="e">
        <f t="shared" si="14"/>
        <v>#DIV/0!</v>
      </c>
      <c r="O29" s="43" t="e">
        <f t="shared" si="15"/>
        <v>#DIV/0!</v>
      </c>
      <c r="P29" s="43" t="e">
        <f t="shared" si="16"/>
        <v>#DIV/0!</v>
      </c>
      <c r="Q29" s="43" t="e">
        <f t="shared" si="17"/>
        <v>#DIV/0!</v>
      </c>
      <c r="R29" s="43" t="e">
        <f t="shared" si="18"/>
        <v>#DIV/0!</v>
      </c>
      <c r="S29" s="43" t="e">
        <f t="shared" si="19"/>
        <v>#DIV/0!</v>
      </c>
      <c r="T29" s="43" t="e">
        <f t="shared" si="20"/>
        <v>#DIV/0!</v>
      </c>
      <c r="U29" s="43" t="e">
        <f t="shared" si="21"/>
        <v>#DIV/0!</v>
      </c>
      <c r="V29" s="53" t="e">
        <f>V28+ATM_Conf!$C$5*(B28)/(B216*V216)</f>
        <v>#DIV/0!</v>
      </c>
      <c r="W29" s="53" t="e">
        <f>W28+ATM_Conf!$C$5*(C28-B28)/(C216*W216)</f>
        <v>#DIV/0!</v>
      </c>
      <c r="X29" s="53" t="e">
        <f>X28+ATM_Conf!$C$5*(D28-C28)/(D216*X216)</f>
        <v>#DIV/0!</v>
      </c>
      <c r="Y29" s="53" t="e">
        <f>Y28+ATM_Conf!$C$5*(E28-D28)/(E216*Y216)</f>
        <v>#DIV/0!</v>
      </c>
      <c r="Z29" s="53" t="e">
        <f>Z28+ATM_Conf!$C$5*(F28-E28)/(F216*Z216)</f>
        <v>#DIV/0!</v>
      </c>
      <c r="AA29" s="53" t="e">
        <f>AA28+ATM_Conf!$C$5*(G28-F28)/(G216*AA216)</f>
        <v>#DIV/0!</v>
      </c>
      <c r="AB29" s="53" t="e">
        <f>AB28+ATM_Conf!$C$5*(H28-G28)/(H216*AB216)</f>
        <v>#DIV/0!</v>
      </c>
      <c r="AC29" s="53" t="e">
        <f>AC28+ATM_Conf!$C$5*(I28-H28)/(I216*AC216)</f>
        <v>#DIV/0!</v>
      </c>
      <c r="AD29" s="53" t="e">
        <f>AD28+ATM_Conf!$C$5*(J28-I28)/(J216*AD216)</f>
        <v>#DIV/0!</v>
      </c>
      <c r="AE29" s="53" t="e">
        <f>AE28+ATM_Conf!$C$5*(K28-J28)/(K216*AE216)</f>
        <v>#DIV/0!</v>
      </c>
      <c r="AF29" s="53" t="e">
        <f>AF28+ATM_Conf!$C$5*(L28)/(L216*AF216)</f>
        <v>#DIV/0!</v>
      </c>
      <c r="AG29" s="53" t="e">
        <f>AG28+ATM_Conf!$C$5*(M28-L28)/(M216*AG216)</f>
        <v>#DIV/0!</v>
      </c>
      <c r="AH29" s="53" t="e">
        <f>AH28+ATM_Conf!$C$5*(N28-M28)/(N216*AH216)</f>
        <v>#DIV/0!</v>
      </c>
      <c r="AI29" s="53" t="e">
        <f>AI28+ATM_Conf!$C$5*(O28-N28)/(O216*AI216)</f>
        <v>#DIV/0!</v>
      </c>
      <c r="AJ29" s="53" t="e">
        <f>AJ28+ATM_Conf!$C$5*(P28-O28)/(P216*AJ216)</f>
        <v>#DIV/0!</v>
      </c>
      <c r="AK29" s="53" t="e">
        <f>AK28+ATM_Conf!$C$5*(Q28-P28)/(Q216*AK216)</f>
        <v>#DIV/0!</v>
      </c>
      <c r="AL29" s="53" t="e">
        <f>AL28+ATM_Conf!$C$5*(R28-Q28)/(R216*AL216)</f>
        <v>#DIV/0!</v>
      </c>
      <c r="AM29" s="53" t="e">
        <f>AM28+ATM_Conf!$C$5*(S28-R28)/(S216*AM216)</f>
        <v>#DIV/0!</v>
      </c>
      <c r="AN29" s="53" t="e">
        <f>AN28+ATM_Conf!$C$5*(T28-S28)/(T216*AN216)</f>
        <v>#DIV/0!</v>
      </c>
      <c r="AO29" s="53" t="e">
        <f>AO28+ATM_Conf!$C$5*(U28-T28)/(U216*AO216)</f>
        <v>#DIV/0!</v>
      </c>
      <c r="AP29" s="43" t="e">
        <f>AP28+(ATM_Conf!$C$5/ATM_Conf!$C$8)*(BJ29*EXP(-(1/CX29)*(V29/CD29)^CX29)-AP28)-(ATM_Conf!$C$5*ATM_Conf!$C$9)/(V216*ATM_Conf!$C$8)*(Nodes!BO28-V28)/(V28+ATM_Conf!$C$10)</f>
        <v>#DIV/0!</v>
      </c>
      <c r="AQ29" s="43" t="e">
        <f>AQ28+(ATM_Conf!$C$5/ATM_Conf!$C$8)*(BK29*EXP(-(1/CY29)*(W29/CE29)^CY29)-AQ28)+(ATM_Conf!$C$5/W216)*AQ28*(AP28-AQ28)-(ATM_Conf!$C$5*ATM_Conf!$C$9)/(W216*ATM_Conf!$C$8)*(X28-W28)/(W28+ATM_Conf!$C$10)</f>
        <v>#DIV/0!</v>
      </c>
      <c r="AR29" s="43" t="e">
        <f>AR28+(ATM_Conf!$C$5/ATM_Conf!$C$8)*(BL29*EXP(-(1/CZ29)*(X29/CF29)^CZ29)-AR28)+(ATM_Conf!$C$5/X216)*AR28*(Nodes!BC28-AR28)-(ATM_Conf!$C$5*ATM_Conf!$C$9)/(X216*ATM_Conf!$C$8)*(Nodes!BQ28-X28)/(X28+ATM_Conf!$C$10)</f>
        <v>#DIV/0!</v>
      </c>
      <c r="AS29" s="43" t="e">
        <f>AS28+(ATM_Conf!$C$5/ATM_Conf!$C$8)*(BM29*EXP(-(1/DA29)*(Y29/CG29)^DA29)-AS28)+(ATM_Conf!$C$5/Y216)*AS28*(AR28-AS28)-(ATM_Conf!$C$5*ATM_Conf!$C$9)/(Y216*ATM_Conf!$C$8)*(Z28-Y28)/(Y28+ATM_Conf!$C$10)</f>
        <v>#DIV/0!</v>
      </c>
      <c r="AT29" s="43" t="e">
        <f>AT28+(ATM_Conf!$C$5/ATM_Conf!$C$8)*(BN29*EXP(-(1/DB29)*(Z29/CH29)^DB29)-AT28)+(ATM_Conf!$C$5/Z216)*AT28*(Nodes!BE28-AT28)-(ATM_Conf!$C$5*ATM_Conf!$C$9)/(Z216*ATM_Conf!$C$8)*(Nodes!BS28-Z28)/(Z28+ATM_Conf!$C$10)</f>
        <v>#DIV/0!</v>
      </c>
      <c r="AU29" s="43" t="e">
        <f>AU28+(ATM_Conf!$C$5/ATM_Conf!$C$8)*(BO29*EXP(-(1/DC29)*(AA29/CI29)^DC29)-AU28)+(ATM_Conf!$C$5/AA216)*AU28*(Nodes!BF28-AU28)-(ATM_Conf!$C$5*ATM_Conf!$C$9)/(AA216*ATM_Conf!$C$8)*(Nodes!BV28-AA28)/(AA28+ATM_Conf!$C$10)</f>
        <v>#DIV/0!</v>
      </c>
      <c r="AV29" s="43" t="e">
        <f>AV28+(ATM_Conf!$C$5/ATM_Conf!$C$8)*(BP29*EXP(-(1/DD29)*(AB29/CJ29)^DD29)-AV28)+(ATM_Conf!$C$5/AB216)*AV28*(AU28-AV28)-(ATM_Conf!$C$5*ATM_Conf!$C$9)/(AB216*ATM_Conf!$C$8)*(AC28-AB28)/(AB28+ATM_Conf!$C$10)</f>
        <v>#DIV/0!</v>
      </c>
      <c r="AW29" s="43" t="e">
        <f>AW28+(ATM_Conf!$C$5/ATM_Conf!$C$8)*(BQ29*EXP(-(1/DE29)*(AC29/CK29)^DE29)-AW28)+(ATM_Conf!$C$5/AC216)*AW28*(AV28-AW28)-(ATM_Conf!$C$5*ATM_Conf!$C$9)/(AC216*ATM_Conf!$C$8)*(AD28-AC28)/(AC28+ATM_Conf!$C$10)</f>
        <v>#DIV/0!</v>
      </c>
      <c r="AX29" s="43" t="e">
        <f>AX28+(ATM_Conf!$C$5/ATM_Conf!$C$8)*(BR29*EXP(-(1/DF29)*(AD29/CL29)^DF29)-AX28)+(ATM_Conf!$C$5/AD216)*AX28*(Nodes!BG28-AX28)-(ATM_Conf!$C$5*ATM_Conf!$C$9)/(AD216*ATM_Conf!$C$8)*(Nodes!BU28-AD28)/(AD28+ATM_Conf!$C$10)</f>
        <v>#DIV/0!</v>
      </c>
      <c r="AY29" s="43" t="e">
        <f>AY28+(ATM_Conf!$C$5/ATM_Conf!$C$8)*(BS29*EXP(-(1/DG29)*(AE29/CM29)^DG29)-AY28)+(ATM_Conf!$C$5/AE216)*AY28*(Nodes!BF28-AY28)</f>
        <v>#DIV/0!</v>
      </c>
      <c r="AZ29" s="43" t="e">
        <f>AZ28+(ATM_Conf!$C$5/ATM_Conf!$C$8)*(BT29*EXP(-(1/DH29)*(AF29/CN29)^DH29)-AZ28)-(ATM_Conf!$C$5*ATM_Conf!$C$9)/(AF216*ATM_Conf!$C$8)*(Nodes!BV28-AF28)/(AF28+ATM_Conf!$C$10)</f>
        <v>#DIV/0!</v>
      </c>
      <c r="BA29" s="43" t="e">
        <f>BA28+(ATM_Conf!$C$5/ATM_Conf!$C$8)*(BU29*EXP(-(1/DI29)*(AG29/CO29)^DI29)-BA28)+(ATM_Conf!$C$5/AG216)*BA28*(Nodes!BI28-BA28)-(ATM_Conf!$C$5*ATM_Conf!$C$9)/(AG216*ATM_Conf!$C$8)*(Nodes!BW28-AG28)/(AG28+ATM_Conf!$C$10)</f>
        <v>#DIV/0!</v>
      </c>
      <c r="BB29" s="43" t="e">
        <f>BB28+(ATM_Conf!$C$5/ATM_Conf!$C$8)*(BV29*EXP(-(1/DJ29)*(AH29/CP29)^DJ29)-BB28)+(ATM_Conf!$C$5/AH216)*BB28*(Nodes!BJ28-BB28)-(ATM_Conf!$C$5*ATM_Conf!$C$9)/(AH216*ATM_Conf!$C$8)*(AI28-AH28)/(AH28+ATM_Conf!$C$10)</f>
        <v>#DIV/0!</v>
      </c>
      <c r="BC29" s="43" t="e">
        <f>BC28+(ATM_Conf!$C$5/ATM_Conf!$C$8)*(BW29*EXP(-(1/DK29)*(AI29/CQ29)^DK29)-BC28)+(ATM_Conf!$C$5/AI216)*BC28*(BB28-BC28)-(ATM_Conf!$C$5*ATM_Conf!$C$9)/(AI216*ATM_Conf!$C$8)*(AJ28-AI28)/(AI28+ATM_Conf!$C$10)</f>
        <v>#DIV/0!</v>
      </c>
      <c r="BD29" s="43" t="e">
        <f>BD28+(ATM_Conf!$C$5/ATM_Conf!$C$8)*(BX29*EXP(-(1/DL29)*(AJ29/CR29)^DL29)-BD28)+(ATM_Conf!$C$5/AJ216)*BD28*(BC28-BD28)-(ATM_Conf!$C$5*ATM_Conf!$C$9)/(AJ216*ATM_Conf!$C$8)*(Nodes!BX28-AJ28)/(AJ28+ATM_Conf!$C$10)</f>
        <v>#DIV/0!</v>
      </c>
      <c r="BE29" s="43" t="e">
        <f>BE28+(ATM_Conf!$C$5/ATM_Conf!$C$8)*(BY29*EXP(-(1/DM29)*(AK29/CS29)^DM29)-BE28)+(ATM_Conf!$C$5/AK216)*BE28*(Nodes!BK28-BE28)-(ATM_Conf!$C$5*ATM_Conf!$C$9)/(AK216*ATM_Conf!$C$8)*(Nodes!BY28-AK28)/(AK28+ATM_Conf!$C$10)</f>
        <v>#DIV/0!</v>
      </c>
      <c r="BF29" s="43" t="e">
        <f>BF28+(ATM_Conf!$C$5/ATM_Conf!$C$8)*(BZ29*EXP(-(1/DN29)*(AL29/CT29)^DN29)-BF28)+(ATM_Conf!$C$5/AL216)*BF28*(BE28-BF28)-(ATM_Conf!$C$5*ATM_Conf!$C$9)/(AL216*ATM_Conf!$C$8)*(AM28-AL28)/(AL28+ATM_Conf!$C$10)</f>
        <v>#DIV/0!</v>
      </c>
      <c r="BG29" s="43" t="e">
        <f>BG28+(ATM_Conf!$C$5/ATM_Conf!$C$8)*(CA29*EXP(-(1/DO29)*(AM29/CU29)^DO29)-BG28)+(ATM_Conf!$C$5/AM216)*BG28*(Nodes!BM28-BG28)-(ATM_Conf!$C$5*ATM_Conf!$C$9)/(AM216*ATM_Conf!$C$8)*(Nodes!CA28-AM28)/(AM28+ATM_Conf!$C$10)</f>
        <v>#DIV/0!</v>
      </c>
      <c r="BH29" s="43" t="e">
        <f>BH28+(ATM_Conf!$C$5/ATM_Conf!$C$8)*(CB29*EXP(-(1/DP29)*(AN29/CV29)^DP29)-BH28)+(ATM_Conf!$C$5/AN216)*BH28*(BG28-BH28)-(ATM_Conf!$C$5*ATM_Conf!$C$9)/(AN216*ATM_Conf!$C$8)*(AO28-AN28)/(AN28+ATM_Conf!$C$10)</f>
        <v>#DIV/0!</v>
      </c>
      <c r="BI29" s="43" t="e">
        <f>BI28+(ATM_Conf!$C$5/ATM_Conf!$C$8)*(CC29*EXP(-(1/DQ29)*(AO29/CW29)^DQ29)-BI28)+(ATM_Conf!$C$5/AO216)*BI28*(BH28-BI28)</f>
        <v>#DIV/0!</v>
      </c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53"/>
      <c r="CB29" s="53"/>
      <c r="CC29" s="5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53"/>
      <c r="CY29" s="53"/>
      <c r="CZ29" s="53"/>
      <c r="DA29" s="53"/>
      <c r="DB29" s="53"/>
      <c r="DC29" s="53"/>
      <c r="DD29" s="53"/>
      <c r="DE29" s="53"/>
      <c r="DF29" s="53"/>
      <c r="DG29" s="53"/>
      <c r="DH29" s="53"/>
      <c r="DI29" s="53"/>
      <c r="DJ29" s="53"/>
      <c r="DK29" s="53"/>
      <c r="DL29" s="53"/>
      <c r="DM29" s="53"/>
      <c r="DN29" s="53"/>
      <c r="DO29" s="53"/>
      <c r="DP29" s="53"/>
      <c r="DQ29" s="53"/>
      <c r="DR29" s="43">
        <f t="shared" ref="DR29:DR38" si="29">DR$27</f>
        <v>0</v>
      </c>
      <c r="DS29" s="43">
        <f t="shared" si="28"/>
        <v>0</v>
      </c>
      <c r="DT29" s="43">
        <f t="shared" si="28"/>
        <v>0</v>
      </c>
      <c r="DU29" s="43">
        <f t="shared" si="28"/>
        <v>0</v>
      </c>
      <c r="DV29" s="43">
        <f t="shared" si="28"/>
        <v>0</v>
      </c>
      <c r="DW29" s="43">
        <f t="shared" si="28"/>
        <v>0</v>
      </c>
      <c r="DX29" s="43">
        <f t="shared" si="28"/>
        <v>0</v>
      </c>
      <c r="DY29" s="43">
        <f t="shared" si="28"/>
        <v>0</v>
      </c>
      <c r="DZ29" s="43">
        <f t="shared" si="28"/>
        <v>0</v>
      </c>
      <c r="EA29" s="43">
        <f t="shared" si="28"/>
        <v>0</v>
      </c>
      <c r="EB29" s="43">
        <f t="shared" si="28"/>
        <v>0</v>
      </c>
      <c r="EC29" s="43">
        <f t="shared" si="28"/>
        <v>0</v>
      </c>
      <c r="ED29" s="43">
        <f t="shared" si="28"/>
        <v>0</v>
      </c>
      <c r="EE29" s="43">
        <f t="shared" si="28"/>
        <v>0</v>
      </c>
      <c r="EF29" s="43">
        <f t="shared" si="28"/>
        <v>0</v>
      </c>
      <c r="EG29" s="43">
        <f t="shared" si="28"/>
        <v>0</v>
      </c>
      <c r="EH29" s="43">
        <f t="shared" si="28"/>
        <v>0</v>
      </c>
      <c r="EI29" s="43">
        <f t="shared" si="28"/>
        <v>0</v>
      </c>
      <c r="EJ29" s="43">
        <f t="shared" si="28"/>
        <v>0</v>
      </c>
      <c r="EK29" s="43">
        <f t="shared" si="28"/>
        <v>0</v>
      </c>
      <c r="EL29" s="47"/>
      <c r="EM29" s="47"/>
      <c r="EN29" s="47"/>
      <c r="EO29" s="47"/>
      <c r="EP29" s="47"/>
      <c r="EQ29" s="47"/>
      <c r="ER29" s="47"/>
      <c r="ES29" s="47"/>
      <c r="ET29" s="47"/>
      <c r="EU29" s="47"/>
      <c r="EV29" s="47"/>
      <c r="EW29" s="47"/>
      <c r="EX29" s="47"/>
      <c r="EY29" s="47"/>
      <c r="EZ29" s="47"/>
      <c r="FA29" s="47"/>
      <c r="FB29" s="47"/>
      <c r="FC29" s="47"/>
      <c r="FD29" s="47"/>
      <c r="FE29" s="47"/>
    </row>
    <row r="30" spans="1:161" ht="14.25" x14ac:dyDescent="0.15">
      <c r="A30" s="46"/>
      <c r="B30" s="43" t="e">
        <f t="shared" si="2"/>
        <v>#DIV/0!</v>
      </c>
      <c r="C30" s="43" t="e">
        <f t="shared" si="3"/>
        <v>#DIV/0!</v>
      </c>
      <c r="D30" s="43" t="e">
        <f t="shared" si="4"/>
        <v>#DIV/0!</v>
      </c>
      <c r="E30" s="43" t="e">
        <f t="shared" si="5"/>
        <v>#DIV/0!</v>
      </c>
      <c r="F30" s="43" t="e">
        <f t="shared" si="6"/>
        <v>#DIV/0!</v>
      </c>
      <c r="G30" s="43" t="e">
        <f t="shared" si="7"/>
        <v>#DIV/0!</v>
      </c>
      <c r="H30" s="43" t="e">
        <f t="shared" si="8"/>
        <v>#DIV/0!</v>
      </c>
      <c r="I30" s="43" t="e">
        <f t="shared" si="9"/>
        <v>#DIV/0!</v>
      </c>
      <c r="J30" s="43" t="e">
        <f t="shared" si="10"/>
        <v>#DIV/0!</v>
      </c>
      <c r="K30" s="43" t="e">
        <f t="shared" si="11"/>
        <v>#DIV/0!</v>
      </c>
      <c r="L30" s="43" t="e">
        <f t="shared" si="12"/>
        <v>#DIV/0!</v>
      </c>
      <c r="M30" s="43" t="e">
        <f t="shared" si="13"/>
        <v>#DIV/0!</v>
      </c>
      <c r="N30" s="43" t="e">
        <f t="shared" si="14"/>
        <v>#DIV/0!</v>
      </c>
      <c r="O30" s="43" t="e">
        <f t="shared" si="15"/>
        <v>#DIV/0!</v>
      </c>
      <c r="P30" s="43" t="e">
        <f t="shared" si="16"/>
        <v>#DIV/0!</v>
      </c>
      <c r="Q30" s="43" t="e">
        <f t="shared" si="17"/>
        <v>#DIV/0!</v>
      </c>
      <c r="R30" s="43" t="e">
        <f t="shared" si="18"/>
        <v>#DIV/0!</v>
      </c>
      <c r="S30" s="43" t="e">
        <f t="shared" si="19"/>
        <v>#DIV/0!</v>
      </c>
      <c r="T30" s="43" t="e">
        <f t="shared" si="20"/>
        <v>#DIV/0!</v>
      </c>
      <c r="U30" s="43" t="e">
        <f t="shared" si="21"/>
        <v>#DIV/0!</v>
      </c>
      <c r="V30" s="53" t="e">
        <f>V29+ATM_Conf!$C$5*(B29)/(B217*V217)</f>
        <v>#DIV/0!</v>
      </c>
      <c r="W30" s="53" t="e">
        <f>W29+ATM_Conf!$C$5*(C29-B29)/(C217*W217)</f>
        <v>#DIV/0!</v>
      </c>
      <c r="X30" s="53" t="e">
        <f>X29+ATM_Conf!$C$5*(D29-C29)/(D217*X217)</f>
        <v>#DIV/0!</v>
      </c>
      <c r="Y30" s="53" t="e">
        <f>Y29+ATM_Conf!$C$5*(E29-D29)/(E217*Y217)</f>
        <v>#DIV/0!</v>
      </c>
      <c r="Z30" s="53" t="e">
        <f>Z29+ATM_Conf!$C$5*(F29-E29)/(F217*Z217)</f>
        <v>#DIV/0!</v>
      </c>
      <c r="AA30" s="53" t="e">
        <f>AA29+ATM_Conf!$C$5*(G29-F29)/(G217*AA217)</f>
        <v>#DIV/0!</v>
      </c>
      <c r="AB30" s="53" t="e">
        <f>AB29+ATM_Conf!$C$5*(H29-G29)/(H217*AB217)</f>
        <v>#DIV/0!</v>
      </c>
      <c r="AC30" s="53" t="e">
        <f>AC29+ATM_Conf!$C$5*(I29-H29)/(I217*AC217)</f>
        <v>#DIV/0!</v>
      </c>
      <c r="AD30" s="53" t="e">
        <f>AD29+ATM_Conf!$C$5*(J29-I29)/(J217*AD217)</f>
        <v>#DIV/0!</v>
      </c>
      <c r="AE30" s="53" t="e">
        <f>AE29+ATM_Conf!$C$5*(K29-J29)/(K217*AE217)</f>
        <v>#DIV/0!</v>
      </c>
      <c r="AF30" s="53" t="e">
        <f>AF29+ATM_Conf!$C$5*(L29)/(L217*AF217)</f>
        <v>#DIV/0!</v>
      </c>
      <c r="AG30" s="53" t="e">
        <f>AG29+ATM_Conf!$C$5*(M29-L29)/(M217*AG217)</f>
        <v>#DIV/0!</v>
      </c>
      <c r="AH30" s="53" t="e">
        <f>AH29+ATM_Conf!$C$5*(N29-M29)/(N217*AH217)</f>
        <v>#DIV/0!</v>
      </c>
      <c r="AI30" s="53" t="e">
        <f>AI29+ATM_Conf!$C$5*(O29-N29)/(O217*AI217)</f>
        <v>#DIV/0!</v>
      </c>
      <c r="AJ30" s="53" t="e">
        <f>AJ29+ATM_Conf!$C$5*(P29-O29)/(P217*AJ217)</f>
        <v>#DIV/0!</v>
      </c>
      <c r="AK30" s="53" t="e">
        <f>AK29+ATM_Conf!$C$5*(Q29-P29)/(Q217*AK217)</f>
        <v>#DIV/0!</v>
      </c>
      <c r="AL30" s="53" t="e">
        <f>AL29+ATM_Conf!$C$5*(R29-Q29)/(R217*AL217)</f>
        <v>#DIV/0!</v>
      </c>
      <c r="AM30" s="53" t="e">
        <f>AM29+ATM_Conf!$C$5*(S29-R29)/(S217*AM217)</f>
        <v>#DIV/0!</v>
      </c>
      <c r="AN30" s="53" t="e">
        <f>AN29+ATM_Conf!$C$5*(T29-S29)/(T217*AN217)</f>
        <v>#DIV/0!</v>
      </c>
      <c r="AO30" s="53" t="e">
        <f>AO29+ATM_Conf!$C$5*(U29-T29)/(U217*AO217)</f>
        <v>#DIV/0!</v>
      </c>
      <c r="AP30" s="43" t="e">
        <f>AP29+(ATM_Conf!$C$5/ATM_Conf!$C$8)*(BJ30*EXP(-(1/CX30)*(V30/CD30)^CX30)-AP29)-(ATM_Conf!$C$5*ATM_Conf!$C$9)/(V217*ATM_Conf!$C$8)*(Nodes!BO29-V29)/(V29+ATM_Conf!$C$10)</f>
        <v>#DIV/0!</v>
      </c>
      <c r="AQ30" s="43" t="e">
        <f>AQ29+(ATM_Conf!$C$5/ATM_Conf!$C$8)*(BK30*EXP(-(1/CY30)*(W30/CE30)^CY30)-AQ29)+(ATM_Conf!$C$5/W217)*AQ29*(AP29-AQ29)-(ATM_Conf!$C$5*ATM_Conf!$C$9)/(W217*ATM_Conf!$C$8)*(X29-W29)/(W29+ATM_Conf!$C$10)</f>
        <v>#DIV/0!</v>
      </c>
      <c r="AR30" s="43" t="e">
        <f>AR29+(ATM_Conf!$C$5/ATM_Conf!$C$8)*(BL30*EXP(-(1/CZ30)*(X30/CF30)^CZ30)-AR29)+(ATM_Conf!$C$5/X217)*AR29*(Nodes!BC29-AR29)-(ATM_Conf!$C$5*ATM_Conf!$C$9)/(X217*ATM_Conf!$C$8)*(Nodes!BQ29-X29)/(X29+ATM_Conf!$C$10)</f>
        <v>#DIV/0!</v>
      </c>
      <c r="AS30" s="43" t="e">
        <f>AS29+(ATM_Conf!$C$5/ATM_Conf!$C$8)*(BM30*EXP(-(1/DA30)*(Y30/CG30)^DA30)-AS29)+(ATM_Conf!$C$5/Y217)*AS29*(AR29-AS29)-(ATM_Conf!$C$5*ATM_Conf!$C$9)/(Y217*ATM_Conf!$C$8)*(Z29-Y29)/(Y29+ATM_Conf!$C$10)</f>
        <v>#DIV/0!</v>
      </c>
      <c r="AT30" s="43" t="e">
        <f>AT29+(ATM_Conf!$C$5/ATM_Conf!$C$8)*(BN30*EXP(-(1/DB30)*(Z30/CH30)^DB30)-AT29)+(ATM_Conf!$C$5/Z217)*AT29*(Nodes!BE29-AT29)-(ATM_Conf!$C$5*ATM_Conf!$C$9)/(Z217*ATM_Conf!$C$8)*(Nodes!BS29-Z29)/(Z29+ATM_Conf!$C$10)</f>
        <v>#DIV/0!</v>
      </c>
      <c r="AU30" s="43" t="e">
        <f>AU29+(ATM_Conf!$C$5/ATM_Conf!$C$8)*(BO30*EXP(-(1/DC30)*(AA30/CI30)^DC30)-AU29)+(ATM_Conf!$C$5/AA217)*AU29*(Nodes!BF29-AU29)-(ATM_Conf!$C$5*ATM_Conf!$C$9)/(AA217*ATM_Conf!$C$8)*(Nodes!BV29-AA29)/(AA29+ATM_Conf!$C$10)</f>
        <v>#DIV/0!</v>
      </c>
      <c r="AV30" s="43" t="e">
        <f>AV29+(ATM_Conf!$C$5/ATM_Conf!$C$8)*(BP30*EXP(-(1/DD30)*(AB30/CJ30)^DD30)-AV29)+(ATM_Conf!$C$5/AB217)*AV29*(AU29-AV29)-(ATM_Conf!$C$5*ATM_Conf!$C$9)/(AB217*ATM_Conf!$C$8)*(AC29-AB29)/(AB29+ATM_Conf!$C$10)</f>
        <v>#DIV/0!</v>
      </c>
      <c r="AW30" s="43" t="e">
        <f>AW29+(ATM_Conf!$C$5/ATM_Conf!$C$8)*(BQ30*EXP(-(1/DE30)*(AC30/CK30)^DE30)-AW29)+(ATM_Conf!$C$5/AC217)*AW29*(AV29-AW29)-(ATM_Conf!$C$5*ATM_Conf!$C$9)/(AC217*ATM_Conf!$C$8)*(AD29-AC29)/(AC29+ATM_Conf!$C$10)</f>
        <v>#DIV/0!</v>
      </c>
      <c r="AX30" s="43" t="e">
        <f>AX29+(ATM_Conf!$C$5/ATM_Conf!$C$8)*(BR30*EXP(-(1/DF30)*(AD30/CL30)^DF30)-AX29)+(ATM_Conf!$C$5/AD217)*AX29*(Nodes!BG29-AX29)-(ATM_Conf!$C$5*ATM_Conf!$C$9)/(AD217*ATM_Conf!$C$8)*(Nodes!BU29-AD29)/(AD29+ATM_Conf!$C$10)</f>
        <v>#DIV/0!</v>
      </c>
      <c r="AY30" s="43" t="e">
        <f>AY29+(ATM_Conf!$C$5/ATM_Conf!$C$8)*(BS30*EXP(-(1/DG30)*(AE30/CM30)^DG30)-AY29)+(ATM_Conf!$C$5/AE217)*AY29*(Nodes!BF29-AY29)</f>
        <v>#DIV/0!</v>
      </c>
      <c r="AZ30" s="43" t="e">
        <f>AZ29+(ATM_Conf!$C$5/ATM_Conf!$C$8)*(BT30*EXP(-(1/DH30)*(AF30/CN30)^DH30)-AZ29)-(ATM_Conf!$C$5*ATM_Conf!$C$9)/(AF217*ATM_Conf!$C$8)*(Nodes!BV29-AF29)/(AF29+ATM_Conf!$C$10)</f>
        <v>#DIV/0!</v>
      </c>
      <c r="BA30" s="43" t="e">
        <f>BA29+(ATM_Conf!$C$5/ATM_Conf!$C$8)*(BU30*EXP(-(1/DI30)*(AG30/CO30)^DI30)-BA29)+(ATM_Conf!$C$5/AG217)*BA29*(Nodes!BI29-BA29)-(ATM_Conf!$C$5*ATM_Conf!$C$9)/(AG217*ATM_Conf!$C$8)*(Nodes!BW29-AG29)/(AG29+ATM_Conf!$C$10)</f>
        <v>#DIV/0!</v>
      </c>
      <c r="BB30" s="43" t="e">
        <f>BB29+(ATM_Conf!$C$5/ATM_Conf!$C$8)*(BV30*EXP(-(1/DJ30)*(AH30/CP30)^DJ30)-BB29)+(ATM_Conf!$C$5/AH217)*BB29*(Nodes!BJ29-BB29)-(ATM_Conf!$C$5*ATM_Conf!$C$9)/(AH217*ATM_Conf!$C$8)*(AI29-AH29)/(AH29+ATM_Conf!$C$10)</f>
        <v>#DIV/0!</v>
      </c>
      <c r="BC30" s="43" t="e">
        <f>BC29+(ATM_Conf!$C$5/ATM_Conf!$C$8)*(BW30*EXP(-(1/DK30)*(AI30/CQ30)^DK30)-BC29)+(ATM_Conf!$C$5/AI217)*BC29*(BB29-BC29)-(ATM_Conf!$C$5*ATM_Conf!$C$9)/(AI217*ATM_Conf!$C$8)*(AJ29-AI29)/(AI29+ATM_Conf!$C$10)</f>
        <v>#DIV/0!</v>
      </c>
      <c r="BD30" s="43" t="e">
        <f>BD29+(ATM_Conf!$C$5/ATM_Conf!$C$8)*(BX30*EXP(-(1/DL30)*(AJ30/CR30)^DL30)-BD29)+(ATM_Conf!$C$5/AJ217)*BD29*(BC29-BD29)-(ATM_Conf!$C$5*ATM_Conf!$C$9)/(AJ217*ATM_Conf!$C$8)*(Nodes!BX29-AJ29)/(AJ29+ATM_Conf!$C$10)</f>
        <v>#DIV/0!</v>
      </c>
      <c r="BE30" s="43" t="e">
        <f>BE29+(ATM_Conf!$C$5/ATM_Conf!$C$8)*(BY30*EXP(-(1/DM30)*(AK30/CS30)^DM30)-BE29)+(ATM_Conf!$C$5/AK217)*BE29*(Nodes!BK29-BE29)-(ATM_Conf!$C$5*ATM_Conf!$C$9)/(AK217*ATM_Conf!$C$8)*(Nodes!BY29-AK29)/(AK29+ATM_Conf!$C$10)</f>
        <v>#DIV/0!</v>
      </c>
      <c r="BF30" s="43" t="e">
        <f>BF29+(ATM_Conf!$C$5/ATM_Conf!$C$8)*(BZ30*EXP(-(1/DN30)*(AL30/CT30)^DN30)-BF29)+(ATM_Conf!$C$5/AL217)*BF29*(BE29-BF29)-(ATM_Conf!$C$5*ATM_Conf!$C$9)/(AL217*ATM_Conf!$C$8)*(AM29-AL29)/(AL29+ATM_Conf!$C$10)</f>
        <v>#DIV/0!</v>
      </c>
      <c r="BG30" s="43" t="e">
        <f>BG29+(ATM_Conf!$C$5/ATM_Conf!$C$8)*(CA30*EXP(-(1/DO30)*(AM30/CU30)^DO30)-BG29)+(ATM_Conf!$C$5/AM217)*BG29*(Nodes!BM29-BG29)-(ATM_Conf!$C$5*ATM_Conf!$C$9)/(AM217*ATM_Conf!$C$8)*(Nodes!CA29-AM29)/(AM29+ATM_Conf!$C$10)</f>
        <v>#DIV/0!</v>
      </c>
      <c r="BH30" s="43" t="e">
        <f>BH29+(ATM_Conf!$C$5/ATM_Conf!$C$8)*(CB30*EXP(-(1/DP30)*(AN30/CV30)^DP30)-BH29)+(ATM_Conf!$C$5/AN217)*BH29*(BG29-BH29)-(ATM_Conf!$C$5*ATM_Conf!$C$9)/(AN217*ATM_Conf!$C$8)*(AO29-AN29)/(AN29+ATM_Conf!$C$10)</f>
        <v>#DIV/0!</v>
      </c>
      <c r="BI30" s="43" t="e">
        <f>BI29+(ATM_Conf!$C$5/ATM_Conf!$C$8)*(CC30*EXP(-(1/DQ30)*(AO30/CW30)^DQ30)-BI29)+(ATM_Conf!$C$5/AO217)*BI29*(BH29-BI29)</f>
        <v>#DIV/0!</v>
      </c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A30" s="53"/>
      <c r="CB30" s="53"/>
      <c r="CC30" s="5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53"/>
      <c r="CY30" s="53"/>
      <c r="CZ30" s="53"/>
      <c r="DA30" s="53"/>
      <c r="DB30" s="53"/>
      <c r="DC30" s="53"/>
      <c r="DD30" s="53"/>
      <c r="DE30" s="53"/>
      <c r="DF30" s="53"/>
      <c r="DG30" s="53"/>
      <c r="DH30" s="53"/>
      <c r="DI30" s="53"/>
      <c r="DJ30" s="53"/>
      <c r="DK30" s="53"/>
      <c r="DL30" s="53"/>
      <c r="DM30" s="53"/>
      <c r="DN30" s="53"/>
      <c r="DO30" s="53"/>
      <c r="DP30" s="53"/>
      <c r="DQ30" s="53"/>
      <c r="DR30" s="43">
        <f t="shared" si="29"/>
        <v>0</v>
      </c>
      <c r="DS30" s="43">
        <f t="shared" si="28"/>
        <v>0</v>
      </c>
      <c r="DT30" s="43">
        <f t="shared" si="28"/>
        <v>0</v>
      </c>
      <c r="DU30" s="43">
        <f t="shared" si="28"/>
        <v>0</v>
      </c>
      <c r="DV30" s="43">
        <f t="shared" si="28"/>
        <v>0</v>
      </c>
      <c r="DW30" s="43">
        <f t="shared" si="28"/>
        <v>0</v>
      </c>
      <c r="DX30" s="43">
        <f t="shared" si="28"/>
        <v>0</v>
      </c>
      <c r="DY30" s="43">
        <f t="shared" si="28"/>
        <v>0</v>
      </c>
      <c r="DZ30" s="43">
        <f t="shared" si="28"/>
        <v>0</v>
      </c>
      <c r="EA30" s="43">
        <f t="shared" si="28"/>
        <v>0</v>
      </c>
      <c r="EB30" s="43">
        <f t="shared" si="28"/>
        <v>0</v>
      </c>
      <c r="EC30" s="43">
        <f t="shared" si="28"/>
        <v>0</v>
      </c>
      <c r="ED30" s="43">
        <f t="shared" si="28"/>
        <v>0</v>
      </c>
      <c r="EE30" s="43">
        <f t="shared" si="28"/>
        <v>0</v>
      </c>
      <c r="EF30" s="43">
        <f t="shared" si="28"/>
        <v>0</v>
      </c>
      <c r="EG30" s="43">
        <f t="shared" si="28"/>
        <v>0</v>
      </c>
      <c r="EH30" s="43">
        <f t="shared" si="28"/>
        <v>0</v>
      </c>
      <c r="EI30" s="43">
        <f t="shared" si="28"/>
        <v>0</v>
      </c>
      <c r="EJ30" s="43">
        <f t="shared" si="28"/>
        <v>0</v>
      </c>
      <c r="EK30" s="43">
        <f t="shared" si="28"/>
        <v>0</v>
      </c>
      <c r="EL30" s="47"/>
      <c r="EM30" s="47"/>
      <c r="EN30" s="47"/>
      <c r="EO30" s="47"/>
      <c r="EP30" s="47"/>
      <c r="EQ30" s="47"/>
      <c r="ER30" s="47"/>
      <c r="ES30" s="47"/>
      <c r="ET30" s="47"/>
      <c r="EU30" s="47"/>
      <c r="EV30" s="47"/>
      <c r="EW30" s="47"/>
      <c r="EX30" s="47"/>
      <c r="EY30" s="47"/>
      <c r="EZ30" s="47"/>
      <c r="FA30" s="47"/>
      <c r="FB30" s="47"/>
      <c r="FC30" s="47"/>
      <c r="FD30" s="47"/>
      <c r="FE30" s="47"/>
    </row>
    <row r="31" spans="1:161" ht="14.25" x14ac:dyDescent="0.15">
      <c r="A31" s="46"/>
      <c r="B31" s="43" t="e">
        <f t="shared" si="2"/>
        <v>#DIV/0!</v>
      </c>
      <c r="C31" s="43" t="e">
        <f t="shared" si="3"/>
        <v>#DIV/0!</v>
      </c>
      <c r="D31" s="43" t="e">
        <f t="shared" si="4"/>
        <v>#DIV/0!</v>
      </c>
      <c r="E31" s="43" t="e">
        <f t="shared" si="5"/>
        <v>#DIV/0!</v>
      </c>
      <c r="F31" s="43" t="e">
        <f t="shared" si="6"/>
        <v>#DIV/0!</v>
      </c>
      <c r="G31" s="43" t="e">
        <f t="shared" si="7"/>
        <v>#DIV/0!</v>
      </c>
      <c r="H31" s="43" t="e">
        <f t="shared" si="8"/>
        <v>#DIV/0!</v>
      </c>
      <c r="I31" s="43" t="e">
        <f t="shared" si="9"/>
        <v>#DIV/0!</v>
      </c>
      <c r="J31" s="43" t="e">
        <f t="shared" si="10"/>
        <v>#DIV/0!</v>
      </c>
      <c r="K31" s="43" t="e">
        <f t="shared" si="11"/>
        <v>#DIV/0!</v>
      </c>
      <c r="L31" s="43" t="e">
        <f t="shared" si="12"/>
        <v>#DIV/0!</v>
      </c>
      <c r="M31" s="43" t="e">
        <f t="shared" si="13"/>
        <v>#DIV/0!</v>
      </c>
      <c r="N31" s="43" t="e">
        <f t="shared" si="14"/>
        <v>#DIV/0!</v>
      </c>
      <c r="O31" s="43" t="e">
        <f t="shared" si="15"/>
        <v>#DIV/0!</v>
      </c>
      <c r="P31" s="43" t="e">
        <f t="shared" si="16"/>
        <v>#DIV/0!</v>
      </c>
      <c r="Q31" s="43" t="e">
        <f t="shared" si="17"/>
        <v>#DIV/0!</v>
      </c>
      <c r="R31" s="43" t="e">
        <f t="shared" si="18"/>
        <v>#DIV/0!</v>
      </c>
      <c r="S31" s="43" t="e">
        <f t="shared" si="19"/>
        <v>#DIV/0!</v>
      </c>
      <c r="T31" s="43" t="e">
        <f t="shared" si="20"/>
        <v>#DIV/0!</v>
      </c>
      <c r="U31" s="43" t="e">
        <f t="shared" si="21"/>
        <v>#DIV/0!</v>
      </c>
      <c r="V31" s="53" t="e">
        <f>V30+ATM_Conf!$C$5*(B30)/(B218*V218)</f>
        <v>#DIV/0!</v>
      </c>
      <c r="W31" s="53" t="e">
        <f>W30+ATM_Conf!$C$5*(C30-B30)/(C218*W218)</f>
        <v>#DIV/0!</v>
      </c>
      <c r="X31" s="53" t="e">
        <f>X30+ATM_Conf!$C$5*(D30-C30)/(D218*X218)</f>
        <v>#DIV/0!</v>
      </c>
      <c r="Y31" s="53" t="e">
        <f>Y30+ATM_Conf!$C$5*(E30-D30)/(E218*Y218)</f>
        <v>#DIV/0!</v>
      </c>
      <c r="Z31" s="53" t="e">
        <f>Z30+ATM_Conf!$C$5*(F30-E30)/(F218*Z218)</f>
        <v>#DIV/0!</v>
      </c>
      <c r="AA31" s="53" t="e">
        <f>AA30+ATM_Conf!$C$5*(G30-F30)/(G218*AA218)</f>
        <v>#DIV/0!</v>
      </c>
      <c r="AB31" s="53" t="e">
        <f>AB30+ATM_Conf!$C$5*(H30-G30)/(H218*AB218)</f>
        <v>#DIV/0!</v>
      </c>
      <c r="AC31" s="53" t="e">
        <f>AC30+ATM_Conf!$C$5*(I30-H30)/(I218*AC218)</f>
        <v>#DIV/0!</v>
      </c>
      <c r="AD31" s="53" t="e">
        <f>AD30+ATM_Conf!$C$5*(J30-I30)/(J218*AD218)</f>
        <v>#DIV/0!</v>
      </c>
      <c r="AE31" s="53" t="e">
        <f>AE30+ATM_Conf!$C$5*(K30-J30)/(K218*AE218)</f>
        <v>#DIV/0!</v>
      </c>
      <c r="AF31" s="53" t="e">
        <f>AF30+ATM_Conf!$C$5*(L30)/(L218*AF218)</f>
        <v>#DIV/0!</v>
      </c>
      <c r="AG31" s="53" t="e">
        <f>AG30+ATM_Conf!$C$5*(M30-L30)/(M218*AG218)</f>
        <v>#DIV/0!</v>
      </c>
      <c r="AH31" s="53" t="e">
        <f>AH30+ATM_Conf!$C$5*(N30-M30)/(N218*AH218)</f>
        <v>#DIV/0!</v>
      </c>
      <c r="AI31" s="53" t="e">
        <f>AI30+ATM_Conf!$C$5*(O30-N30)/(O218*AI218)</f>
        <v>#DIV/0!</v>
      </c>
      <c r="AJ31" s="53" t="e">
        <f>AJ30+ATM_Conf!$C$5*(P30-O30)/(P218*AJ218)</f>
        <v>#DIV/0!</v>
      </c>
      <c r="AK31" s="53" t="e">
        <f>AK30+ATM_Conf!$C$5*(Q30-P30)/(Q218*AK218)</f>
        <v>#DIV/0!</v>
      </c>
      <c r="AL31" s="53" t="e">
        <f>AL30+ATM_Conf!$C$5*(R30-Q30)/(R218*AL218)</f>
        <v>#DIV/0!</v>
      </c>
      <c r="AM31" s="53" t="e">
        <f>AM30+ATM_Conf!$C$5*(S30-R30)/(S218*AM218)</f>
        <v>#DIV/0!</v>
      </c>
      <c r="AN31" s="53" t="e">
        <f>AN30+ATM_Conf!$C$5*(T30-S30)/(T218*AN218)</f>
        <v>#DIV/0!</v>
      </c>
      <c r="AO31" s="53" t="e">
        <f>AO30+ATM_Conf!$C$5*(U30-T30)/(U218*AO218)</f>
        <v>#DIV/0!</v>
      </c>
      <c r="AP31" s="43" t="e">
        <f>AP30+(ATM_Conf!$C$5/ATM_Conf!$C$8)*(BJ31*EXP(-(1/CX31)*(V31/CD31)^CX31)-AP30)-(ATM_Conf!$C$5*ATM_Conf!$C$9)/(V218*ATM_Conf!$C$8)*(Nodes!BO30-V30)/(V30+ATM_Conf!$C$10)</f>
        <v>#DIV/0!</v>
      </c>
      <c r="AQ31" s="43" t="e">
        <f>AQ30+(ATM_Conf!$C$5/ATM_Conf!$C$8)*(BK31*EXP(-(1/CY31)*(W31/CE31)^CY31)-AQ30)+(ATM_Conf!$C$5/W218)*AQ30*(AP30-AQ30)-(ATM_Conf!$C$5*ATM_Conf!$C$9)/(W218*ATM_Conf!$C$8)*(X30-W30)/(W30+ATM_Conf!$C$10)</f>
        <v>#DIV/0!</v>
      </c>
      <c r="AR31" s="43" t="e">
        <f>AR30+(ATM_Conf!$C$5/ATM_Conf!$C$8)*(BL31*EXP(-(1/CZ31)*(X31/CF31)^CZ31)-AR30)+(ATM_Conf!$C$5/X218)*AR30*(Nodes!BC30-AR30)-(ATM_Conf!$C$5*ATM_Conf!$C$9)/(X218*ATM_Conf!$C$8)*(Nodes!BQ30-X30)/(X30+ATM_Conf!$C$10)</f>
        <v>#DIV/0!</v>
      </c>
      <c r="AS31" s="43" t="e">
        <f>AS30+(ATM_Conf!$C$5/ATM_Conf!$C$8)*(BM31*EXP(-(1/DA31)*(Y31/CG31)^DA31)-AS30)+(ATM_Conf!$C$5/Y218)*AS30*(AR30-AS30)-(ATM_Conf!$C$5*ATM_Conf!$C$9)/(Y218*ATM_Conf!$C$8)*(Z30-Y30)/(Y30+ATM_Conf!$C$10)</f>
        <v>#DIV/0!</v>
      </c>
      <c r="AT31" s="43" t="e">
        <f>AT30+(ATM_Conf!$C$5/ATM_Conf!$C$8)*(BN31*EXP(-(1/DB31)*(Z31/CH31)^DB31)-AT30)+(ATM_Conf!$C$5/Z218)*AT30*(Nodes!BE30-AT30)-(ATM_Conf!$C$5*ATM_Conf!$C$9)/(Z218*ATM_Conf!$C$8)*(Nodes!BS30-Z30)/(Z30+ATM_Conf!$C$10)</f>
        <v>#DIV/0!</v>
      </c>
      <c r="AU31" s="43" t="e">
        <f>AU30+(ATM_Conf!$C$5/ATM_Conf!$C$8)*(BO31*EXP(-(1/DC31)*(AA31/CI31)^DC31)-AU30)+(ATM_Conf!$C$5/AA218)*AU30*(Nodes!BF30-AU30)-(ATM_Conf!$C$5*ATM_Conf!$C$9)/(AA218*ATM_Conf!$C$8)*(Nodes!BV30-AA30)/(AA30+ATM_Conf!$C$10)</f>
        <v>#DIV/0!</v>
      </c>
      <c r="AV31" s="43" t="e">
        <f>AV30+(ATM_Conf!$C$5/ATM_Conf!$C$8)*(BP31*EXP(-(1/DD31)*(AB31/CJ31)^DD31)-AV30)+(ATM_Conf!$C$5/AB218)*AV30*(AU30-AV30)-(ATM_Conf!$C$5*ATM_Conf!$C$9)/(AB218*ATM_Conf!$C$8)*(AC30-AB30)/(AB30+ATM_Conf!$C$10)</f>
        <v>#DIV/0!</v>
      </c>
      <c r="AW31" s="43" t="e">
        <f>AW30+(ATM_Conf!$C$5/ATM_Conf!$C$8)*(BQ31*EXP(-(1/DE31)*(AC31/CK31)^DE31)-AW30)+(ATM_Conf!$C$5/AC218)*AW30*(AV30-AW30)-(ATM_Conf!$C$5*ATM_Conf!$C$9)/(AC218*ATM_Conf!$C$8)*(AD30-AC30)/(AC30+ATM_Conf!$C$10)</f>
        <v>#DIV/0!</v>
      </c>
      <c r="AX31" s="43" t="e">
        <f>AX30+(ATM_Conf!$C$5/ATM_Conf!$C$8)*(BR31*EXP(-(1/DF31)*(AD31/CL31)^DF31)-AX30)+(ATM_Conf!$C$5/AD218)*AX30*(Nodes!BG30-AX30)-(ATM_Conf!$C$5*ATM_Conf!$C$9)/(AD218*ATM_Conf!$C$8)*(Nodes!BU30-AD30)/(AD30+ATM_Conf!$C$10)</f>
        <v>#DIV/0!</v>
      </c>
      <c r="AY31" s="43" t="e">
        <f>AY30+(ATM_Conf!$C$5/ATM_Conf!$C$8)*(BS31*EXP(-(1/DG31)*(AE31/CM31)^DG31)-AY30)+(ATM_Conf!$C$5/AE218)*AY30*(Nodes!BF30-AY30)</f>
        <v>#DIV/0!</v>
      </c>
      <c r="AZ31" s="43" t="e">
        <f>AZ30+(ATM_Conf!$C$5/ATM_Conf!$C$8)*(BT31*EXP(-(1/DH31)*(AF31/CN31)^DH31)-AZ30)-(ATM_Conf!$C$5*ATM_Conf!$C$9)/(AF218*ATM_Conf!$C$8)*(Nodes!BV30-AF30)/(AF30+ATM_Conf!$C$10)</f>
        <v>#DIV/0!</v>
      </c>
      <c r="BA31" s="43" t="e">
        <f>BA30+(ATM_Conf!$C$5/ATM_Conf!$C$8)*(BU31*EXP(-(1/DI31)*(AG31/CO31)^DI31)-BA30)+(ATM_Conf!$C$5/AG218)*BA30*(Nodes!BI30-BA30)-(ATM_Conf!$C$5*ATM_Conf!$C$9)/(AG218*ATM_Conf!$C$8)*(Nodes!BW30-AG30)/(AG30+ATM_Conf!$C$10)</f>
        <v>#DIV/0!</v>
      </c>
      <c r="BB31" s="43" t="e">
        <f>BB30+(ATM_Conf!$C$5/ATM_Conf!$C$8)*(BV31*EXP(-(1/DJ31)*(AH31/CP31)^DJ31)-BB30)+(ATM_Conf!$C$5/AH218)*BB30*(Nodes!BJ30-BB30)-(ATM_Conf!$C$5*ATM_Conf!$C$9)/(AH218*ATM_Conf!$C$8)*(AI30-AH30)/(AH30+ATM_Conf!$C$10)</f>
        <v>#DIV/0!</v>
      </c>
      <c r="BC31" s="43" t="e">
        <f>BC30+(ATM_Conf!$C$5/ATM_Conf!$C$8)*(BW31*EXP(-(1/DK31)*(AI31/CQ31)^DK31)-BC30)+(ATM_Conf!$C$5/AI218)*BC30*(BB30-BC30)-(ATM_Conf!$C$5*ATM_Conf!$C$9)/(AI218*ATM_Conf!$C$8)*(AJ30-AI30)/(AI30+ATM_Conf!$C$10)</f>
        <v>#DIV/0!</v>
      </c>
      <c r="BD31" s="43" t="e">
        <f>BD30+(ATM_Conf!$C$5/ATM_Conf!$C$8)*(BX31*EXP(-(1/DL31)*(AJ31/CR31)^DL31)-BD30)+(ATM_Conf!$C$5/AJ218)*BD30*(BC30-BD30)-(ATM_Conf!$C$5*ATM_Conf!$C$9)/(AJ218*ATM_Conf!$C$8)*(Nodes!BX30-AJ30)/(AJ30+ATM_Conf!$C$10)</f>
        <v>#DIV/0!</v>
      </c>
      <c r="BE31" s="43" t="e">
        <f>BE30+(ATM_Conf!$C$5/ATM_Conf!$C$8)*(BY31*EXP(-(1/DM31)*(AK31/CS31)^DM31)-BE30)+(ATM_Conf!$C$5/AK218)*BE30*(Nodes!BK30-BE30)-(ATM_Conf!$C$5*ATM_Conf!$C$9)/(AK218*ATM_Conf!$C$8)*(Nodes!BY30-AK30)/(AK30+ATM_Conf!$C$10)</f>
        <v>#DIV/0!</v>
      </c>
      <c r="BF31" s="43" t="e">
        <f>BF30+(ATM_Conf!$C$5/ATM_Conf!$C$8)*(BZ31*EXP(-(1/DN31)*(AL31/CT31)^DN31)-BF30)+(ATM_Conf!$C$5/AL218)*BF30*(BE30-BF30)-(ATM_Conf!$C$5*ATM_Conf!$C$9)/(AL218*ATM_Conf!$C$8)*(AM30-AL30)/(AL30+ATM_Conf!$C$10)</f>
        <v>#DIV/0!</v>
      </c>
      <c r="BG31" s="43" t="e">
        <f>BG30+(ATM_Conf!$C$5/ATM_Conf!$C$8)*(CA31*EXP(-(1/DO31)*(AM31/CU31)^DO31)-BG30)+(ATM_Conf!$C$5/AM218)*BG30*(Nodes!BM30-BG30)-(ATM_Conf!$C$5*ATM_Conf!$C$9)/(AM218*ATM_Conf!$C$8)*(Nodes!CA30-AM30)/(AM30+ATM_Conf!$C$10)</f>
        <v>#DIV/0!</v>
      </c>
      <c r="BH31" s="43" t="e">
        <f>BH30+(ATM_Conf!$C$5/ATM_Conf!$C$8)*(CB31*EXP(-(1/DP31)*(AN31/CV31)^DP31)-BH30)+(ATM_Conf!$C$5/AN218)*BH30*(BG30-BH30)-(ATM_Conf!$C$5*ATM_Conf!$C$9)/(AN218*ATM_Conf!$C$8)*(AO30-AN30)/(AN30+ATM_Conf!$C$10)</f>
        <v>#DIV/0!</v>
      </c>
      <c r="BI31" s="43" t="e">
        <f>BI30+(ATM_Conf!$C$5/ATM_Conf!$C$8)*(CC31*EXP(-(1/DQ31)*(AO31/CW31)^DQ31)-BI30)+(ATM_Conf!$C$5/AO218)*BI30*(BH30-BI30)</f>
        <v>#DIV/0!</v>
      </c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53"/>
      <c r="CB31" s="53"/>
      <c r="CC31" s="5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53"/>
      <c r="CY31" s="53"/>
      <c r="CZ31" s="53"/>
      <c r="DA31" s="53"/>
      <c r="DB31" s="53"/>
      <c r="DC31" s="53"/>
      <c r="DD31" s="53"/>
      <c r="DE31" s="53"/>
      <c r="DF31" s="53"/>
      <c r="DG31" s="53"/>
      <c r="DH31" s="53"/>
      <c r="DI31" s="53"/>
      <c r="DJ31" s="53"/>
      <c r="DK31" s="53"/>
      <c r="DL31" s="53"/>
      <c r="DM31" s="53"/>
      <c r="DN31" s="53"/>
      <c r="DO31" s="53"/>
      <c r="DP31" s="53"/>
      <c r="DQ31" s="53"/>
      <c r="DR31" s="43">
        <f t="shared" si="29"/>
        <v>0</v>
      </c>
      <c r="DS31" s="43">
        <f t="shared" si="28"/>
        <v>0</v>
      </c>
      <c r="DT31" s="43">
        <f t="shared" si="28"/>
        <v>0</v>
      </c>
      <c r="DU31" s="43">
        <f t="shared" si="28"/>
        <v>0</v>
      </c>
      <c r="DV31" s="43">
        <f t="shared" si="28"/>
        <v>0</v>
      </c>
      <c r="DW31" s="43">
        <f t="shared" si="28"/>
        <v>0</v>
      </c>
      <c r="DX31" s="43">
        <f t="shared" si="28"/>
        <v>0</v>
      </c>
      <c r="DY31" s="43">
        <f t="shared" si="28"/>
        <v>0</v>
      </c>
      <c r="DZ31" s="43">
        <f t="shared" si="28"/>
        <v>0</v>
      </c>
      <c r="EA31" s="43">
        <f t="shared" si="28"/>
        <v>0</v>
      </c>
      <c r="EB31" s="43">
        <f t="shared" si="28"/>
        <v>0</v>
      </c>
      <c r="EC31" s="43">
        <f t="shared" si="28"/>
        <v>0</v>
      </c>
      <c r="ED31" s="43">
        <f t="shared" si="28"/>
        <v>0</v>
      </c>
      <c r="EE31" s="43">
        <f t="shared" si="28"/>
        <v>0</v>
      </c>
      <c r="EF31" s="43">
        <f t="shared" si="28"/>
        <v>0</v>
      </c>
      <c r="EG31" s="43">
        <f t="shared" si="28"/>
        <v>0</v>
      </c>
      <c r="EH31" s="43">
        <f t="shared" si="28"/>
        <v>0</v>
      </c>
      <c r="EI31" s="43">
        <f t="shared" si="28"/>
        <v>0</v>
      </c>
      <c r="EJ31" s="43">
        <f t="shared" si="28"/>
        <v>0</v>
      </c>
      <c r="EK31" s="43">
        <f t="shared" si="28"/>
        <v>0</v>
      </c>
      <c r="EL31" s="47"/>
      <c r="EM31" s="47"/>
      <c r="EN31" s="47"/>
      <c r="EO31" s="47"/>
      <c r="EP31" s="47"/>
      <c r="EQ31" s="47"/>
      <c r="ER31" s="47"/>
      <c r="ES31" s="47"/>
      <c r="ET31" s="47"/>
      <c r="EU31" s="47"/>
      <c r="EV31" s="47"/>
      <c r="EW31" s="47"/>
      <c r="EX31" s="47"/>
      <c r="EY31" s="47"/>
      <c r="EZ31" s="47"/>
      <c r="FA31" s="47"/>
      <c r="FB31" s="47"/>
      <c r="FC31" s="47"/>
      <c r="FD31" s="47"/>
      <c r="FE31" s="47"/>
    </row>
    <row r="32" spans="1:161" ht="14.25" x14ac:dyDescent="0.15">
      <c r="A32" s="46"/>
      <c r="B32" s="43" t="e">
        <f t="shared" si="2"/>
        <v>#DIV/0!</v>
      </c>
      <c r="C32" s="43" t="e">
        <f t="shared" si="3"/>
        <v>#DIV/0!</v>
      </c>
      <c r="D32" s="43" t="e">
        <f t="shared" si="4"/>
        <v>#DIV/0!</v>
      </c>
      <c r="E32" s="43" t="e">
        <f t="shared" si="5"/>
        <v>#DIV/0!</v>
      </c>
      <c r="F32" s="43" t="e">
        <f t="shared" si="6"/>
        <v>#DIV/0!</v>
      </c>
      <c r="G32" s="43" t="e">
        <f t="shared" si="7"/>
        <v>#DIV/0!</v>
      </c>
      <c r="H32" s="43" t="e">
        <f t="shared" si="8"/>
        <v>#DIV/0!</v>
      </c>
      <c r="I32" s="43" t="e">
        <f t="shared" si="9"/>
        <v>#DIV/0!</v>
      </c>
      <c r="J32" s="43" t="e">
        <f t="shared" si="10"/>
        <v>#DIV/0!</v>
      </c>
      <c r="K32" s="43" t="e">
        <f t="shared" si="11"/>
        <v>#DIV/0!</v>
      </c>
      <c r="L32" s="43" t="e">
        <f t="shared" si="12"/>
        <v>#DIV/0!</v>
      </c>
      <c r="M32" s="43" t="e">
        <f t="shared" si="13"/>
        <v>#DIV/0!</v>
      </c>
      <c r="N32" s="43" t="e">
        <f t="shared" si="14"/>
        <v>#DIV/0!</v>
      </c>
      <c r="O32" s="43" t="e">
        <f t="shared" si="15"/>
        <v>#DIV/0!</v>
      </c>
      <c r="P32" s="43" t="e">
        <f t="shared" si="16"/>
        <v>#DIV/0!</v>
      </c>
      <c r="Q32" s="43" t="e">
        <f t="shared" si="17"/>
        <v>#DIV/0!</v>
      </c>
      <c r="R32" s="43" t="e">
        <f t="shared" si="18"/>
        <v>#DIV/0!</v>
      </c>
      <c r="S32" s="43" t="e">
        <f t="shared" si="19"/>
        <v>#DIV/0!</v>
      </c>
      <c r="T32" s="43" t="e">
        <f t="shared" si="20"/>
        <v>#DIV/0!</v>
      </c>
      <c r="U32" s="43" t="e">
        <f t="shared" si="21"/>
        <v>#DIV/0!</v>
      </c>
      <c r="V32" s="53" t="e">
        <f>V31+ATM_Conf!$C$5*(B31)/(B219*V219)</f>
        <v>#DIV/0!</v>
      </c>
      <c r="W32" s="53" t="e">
        <f>W31+ATM_Conf!$C$5*(C31-B31)/(C219*W219)</f>
        <v>#DIV/0!</v>
      </c>
      <c r="X32" s="53" t="e">
        <f>X31+ATM_Conf!$C$5*(D31-C31)/(D219*X219)</f>
        <v>#DIV/0!</v>
      </c>
      <c r="Y32" s="53" t="e">
        <f>Y31+ATM_Conf!$C$5*(E31-D31)/(E219*Y219)</f>
        <v>#DIV/0!</v>
      </c>
      <c r="Z32" s="53" t="e">
        <f>Z31+ATM_Conf!$C$5*(F31-E31)/(F219*Z219)</f>
        <v>#DIV/0!</v>
      </c>
      <c r="AA32" s="53" t="e">
        <f>AA31+ATM_Conf!$C$5*(G31-F31)/(G219*AA219)</f>
        <v>#DIV/0!</v>
      </c>
      <c r="AB32" s="53" t="e">
        <f>AB31+ATM_Conf!$C$5*(H31-G31)/(H219*AB219)</f>
        <v>#DIV/0!</v>
      </c>
      <c r="AC32" s="53" t="e">
        <f>AC31+ATM_Conf!$C$5*(I31-H31)/(I219*AC219)</f>
        <v>#DIV/0!</v>
      </c>
      <c r="AD32" s="53" t="e">
        <f>AD31+ATM_Conf!$C$5*(J31-I31)/(J219*AD219)</f>
        <v>#DIV/0!</v>
      </c>
      <c r="AE32" s="53" t="e">
        <f>AE31+ATM_Conf!$C$5*(K31-J31)/(K219*AE219)</f>
        <v>#DIV/0!</v>
      </c>
      <c r="AF32" s="53" t="e">
        <f>AF31+ATM_Conf!$C$5*(L31)/(L219*AF219)</f>
        <v>#DIV/0!</v>
      </c>
      <c r="AG32" s="53" t="e">
        <f>AG31+ATM_Conf!$C$5*(M31-L31)/(M219*AG219)</f>
        <v>#DIV/0!</v>
      </c>
      <c r="AH32" s="53" t="e">
        <f>AH31+ATM_Conf!$C$5*(N31-M31)/(N219*AH219)</f>
        <v>#DIV/0!</v>
      </c>
      <c r="AI32" s="53" t="e">
        <f>AI31+ATM_Conf!$C$5*(O31-N31)/(O219*AI219)</f>
        <v>#DIV/0!</v>
      </c>
      <c r="AJ32" s="53" t="e">
        <f>AJ31+ATM_Conf!$C$5*(P31-O31)/(P219*AJ219)</f>
        <v>#DIV/0!</v>
      </c>
      <c r="AK32" s="53" t="e">
        <f>AK31+ATM_Conf!$C$5*(Q31-P31)/(Q219*AK219)</f>
        <v>#DIV/0!</v>
      </c>
      <c r="AL32" s="53" t="e">
        <f>AL31+ATM_Conf!$C$5*(R31-Q31)/(R219*AL219)</f>
        <v>#DIV/0!</v>
      </c>
      <c r="AM32" s="53" t="e">
        <f>AM31+ATM_Conf!$C$5*(S31-R31)/(S219*AM219)</f>
        <v>#DIV/0!</v>
      </c>
      <c r="AN32" s="53" t="e">
        <f>AN31+ATM_Conf!$C$5*(T31-S31)/(T219*AN219)</f>
        <v>#DIV/0!</v>
      </c>
      <c r="AO32" s="53" t="e">
        <f>AO31+ATM_Conf!$C$5*(U31-T31)/(U219*AO219)</f>
        <v>#DIV/0!</v>
      </c>
      <c r="AP32" s="43" t="e">
        <f>AP31+(ATM_Conf!$C$5/ATM_Conf!$C$8)*(BJ32*EXP(-(1/CX32)*(V32/CD32)^CX32)-AP31)-(ATM_Conf!$C$5*ATM_Conf!$C$9)/(V219*ATM_Conf!$C$8)*(Nodes!BO31-V31)/(V31+ATM_Conf!$C$10)</f>
        <v>#DIV/0!</v>
      </c>
      <c r="AQ32" s="43" t="e">
        <f>AQ31+(ATM_Conf!$C$5/ATM_Conf!$C$8)*(BK32*EXP(-(1/CY32)*(W32/CE32)^CY32)-AQ31)+(ATM_Conf!$C$5/W219)*AQ31*(AP31-AQ31)-(ATM_Conf!$C$5*ATM_Conf!$C$9)/(W219*ATM_Conf!$C$8)*(X31-W31)/(W31+ATM_Conf!$C$10)</f>
        <v>#DIV/0!</v>
      </c>
      <c r="AR32" s="43" t="e">
        <f>AR31+(ATM_Conf!$C$5/ATM_Conf!$C$8)*(BL32*EXP(-(1/CZ32)*(X32/CF32)^CZ32)-AR31)+(ATM_Conf!$C$5/X219)*AR31*(Nodes!BC31-AR31)-(ATM_Conf!$C$5*ATM_Conf!$C$9)/(X219*ATM_Conf!$C$8)*(Nodes!BQ31-X31)/(X31+ATM_Conf!$C$10)</f>
        <v>#DIV/0!</v>
      </c>
      <c r="AS32" s="43" t="e">
        <f>AS31+(ATM_Conf!$C$5/ATM_Conf!$C$8)*(BM32*EXP(-(1/DA32)*(Y32/CG32)^DA32)-AS31)+(ATM_Conf!$C$5/Y219)*AS31*(AR31-AS31)-(ATM_Conf!$C$5*ATM_Conf!$C$9)/(Y219*ATM_Conf!$C$8)*(Z31-Y31)/(Y31+ATM_Conf!$C$10)</f>
        <v>#DIV/0!</v>
      </c>
      <c r="AT32" s="43" t="e">
        <f>AT31+(ATM_Conf!$C$5/ATM_Conf!$C$8)*(BN32*EXP(-(1/DB32)*(Z32/CH32)^DB32)-AT31)+(ATM_Conf!$C$5/Z219)*AT31*(Nodes!BE31-AT31)-(ATM_Conf!$C$5*ATM_Conf!$C$9)/(Z219*ATM_Conf!$C$8)*(Nodes!BS31-Z31)/(Z31+ATM_Conf!$C$10)</f>
        <v>#DIV/0!</v>
      </c>
      <c r="AU32" s="43" t="e">
        <f>AU31+(ATM_Conf!$C$5/ATM_Conf!$C$8)*(BO32*EXP(-(1/DC32)*(AA32/CI32)^DC32)-AU31)+(ATM_Conf!$C$5/AA219)*AU31*(Nodes!BF31-AU31)-(ATM_Conf!$C$5*ATM_Conf!$C$9)/(AA219*ATM_Conf!$C$8)*(Nodes!BV31-AA31)/(AA31+ATM_Conf!$C$10)</f>
        <v>#DIV/0!</v>
      </c>
      <c r="AV32" s="43" t="e">
        <f>AV31+(ATM_Conf!$C$5/ATM_Conf!$C$8)*(BP32*EXP(-(1/DD32)*(AB32/CJ32)^DD32)-AV31)+(ATM_Conf!$C$5/AB219)*AV31*(AU31-AV31)-(ATM_Conf!$C$5*ATM_Conf!$C$9)/(AB219*ATM_Conf!$C$8)*(AC31-AB31)/(AB31+ATM_Conf!$C$10)</f>
        <v>#DIV/0!</v>
      </c>
      <c r="AW32" s="43" t="e">
        <f>AW31+(ATM_Conf!$C$5/ATM_Conf!$C$8)*(BQ32*EXP(-(1/DE32)*(AC32/CK32)^DE32)-AW31)+(ATM_Conf!$C$5/AC219)*AW31*(AV31-AW31)-(ATM_Conf!$C$5*ATM_Conf!$C$9)/(AC219*ATM_Conf!$C$8)*(AD31-AC31)/(AC31+ATM_Conf!$C$10)</f>
        <v>#DIV/0!</v>
      </c>
      <c r="AX32" s="43" t="e">
        <f>AX31+(ATM_Conf!$C$5/ATM_Conf!$C$8)*(BR32*EXP(-(1/DF32)*(AD32/CL32)^DF32)-AX31)+(ATM_Conf!$C$5/AD219)*AX31*(Nodes!BG31-AX31)-(ATM_Conf!$C$5*ATM_Conf!$C$9)/(AD219*ATM_Conf!$C$8)*(Nodes!BU31-AD31)/(AD31+ATM_Conf!$C$10)</f>
        <v>#DIV/0!</v>
      </c>
      <c r="AY32" s="43" t="e">
        <f>AY31+(ATM_Conf!$C$5/ATM_Conf!$C$8)*(BS32*EXP(-(1/DG32)*(AE32/CM32)^DG32)-AY31)+(ATM_Conf!$C$5/AE219)*AY31*(Nodes!BF31-AY31)</f>
        <v>#DIV/0!</v>
      </c>
      <c r="AZ32" s="43" t="e">
        <f>AZ31+(ATM_Conf!$C$5/ATM_Conf!$C$8)*(BT32*EXP(-(1/DH32)*(AF32/CN32)^DH32)-AZ31)-(ATM_Conf!$C$5*ATM_Conf!$C$9)/(AF219*ATM_Conf!$C$8)*(Nodes!BV31-AF31)/(AF31+ATM_Conf!$C$10)</f>
        <v>#DIV/0!</v>
      </c>
      <c r="BA32" s="43" t="e">
        <f>BA31+(ATM_Conf!$C$5/ATM_Conf!$C$8)*(BU32*EXP(-(1/DI32)*(AG32/CO32)^DI32)-BA31)+(ATM_Conf!$C$5/AG219)*BA31*(Nodes!BI31-BA31)-(ATM_Conf!$C$5*ATM_Conf!$C$9)/(AG219*ATM_Conf!$C$8)*(Nodes!BW31-AG31)/(AG31+ATM_Conf!$C$10)</f>
        <v>#DIV/0!</v>
      </c>
      <c r="BB32" s="43" t="e">
        <f>BB31+(ATM_Conf!$C$5/ATM_Conf!$C$8)*(BV32*EXP(-(1/DJ32)*(AH32/CP32)^DJ32)-BB31)+(ATM_Conf!$C$5/AH219)*BB31*(Nodes!BJ31-BB31)-(ATM_Conf!$C$5*ATM_Conf!$C$9)/(AH219*ATM_Conf!$C$8)*(AI31-AH31)/(AH31+ATM_Conf!$C$10)</f>
        <v>#DIV/0!</v>
      </c>
      <c r="BC32" s="43" t="e">
        <f>BC31+(ATM_Conf!$C$5/ATM_Conf!$C$8)*(BW32*EXP(-(1/DK32)*(AI32/CQ32)^DK32)-BC31)+(ATM_Conf!$C$5/AI219)*BC31*(BB31-BC31)-(ATM_Conf!$C$5*ATM_Conf!$C$9)/(AI219*ATM_Conf!$C$8)*(AJ31-AI31)/(AI31+ATM_Conf!$C$10)</f>
        <v>#DIV/0!</v>
      </c>
      <c r="BD32" s="43" t="e">
        <f>BD31+(ATM_Conf!$C$5/ATM_Conf!$C$8)*(BX32*EXP(-(1/DL32)*(AJ32/CR32)^DL32)-BD31)+(ATM_Conf!$C$5/AJ219)*BD31*(BC31-BD31)-(ATM_Conf!$C$5*ATM_Conf!$C$9)/(AJ219*ATM_Conf!$C$8)*(Nodes!BX31-AJ31)/(AJ31+ATM_Conf!$C$10)</f>
        <v>#DIV/0!</v>
      </c>
      <c r="BE32" s="43" t="e">
        <f>BE31+(ATM_Conf!$C$5/ATM_Conf!$C$8)*(BY32*EXP(-(1/DM32)*(AK32/CS32)^DM32)-BE31)+(ATM_Conf!$C$5/AK219)*BE31*(Nodes!BK31-BE31)-(ATM_Conf!$C$5*ATM_Conf!$C$9)/(AK219*ATM_Conf!$C$8)*(Nodes!BY31-AK31)/(AK31+ATM_Conf!$C$10)</f>
        <v>#DIV/0!</v>
      </c>
      <c r="BF32" s="43" t="e">
        <f>BF31+(ATM_Conf!$C$5/ATM_Conf!$C$8)*(BZ32*EXP(-(1/DN32)*(AL32/CT32)^DN32)-BF31)+(ATM_Conf!$C$5/AL219)*BF31*(BE31-BF31)-(ATM_Conf!$C$5*ATM_Conf!$C$9)/(AL219*ATM_Conf!$C$8)*(AM31-AL31)/(AL31+ATM_Conf!$C$10)</f>
        <v>#DIV/0!</v>
      </c>
      <c r="BG32" s="43" t="e">
        <f>BG31+(ATM_Conf!$C$5/ATM_Conf!$C$8)*(CA32*EXP(-(1/DO32)*(AM32/CU32)^DO32)-BG31)+(ATM_Conf!$C$5/AM219)*BG31*(Nodes!BM31-BG31)-(ATM_Conf!$C$5*ATM_Conf!$C$9)/(AM219*ATM_Conf!$C$8)*(Nodes!CA31-AM31)/(AM31+ATM_Conf!$C$10)</f>
        <v>#DIV/0!</v>
      </c>
      <c r="BH32" s="43" t="e">
        <f>BH31+(ATM_Conf!$C$5/ATM_Conf!$C$8)*(CB32*EXP(-(1/DP32)*(AN32/CV32)^DP32)-BH31)+(ATM_Conf!$C$5/AN219)*BH31*(BG31-BH31)-(ATM_Conf!$C$5*ATM_Conf!$C$9)/(AN219*ATM_Conf!$C$8)*(AO31-AN31)/(AN31+ATM_Conf!$C$10)</f>
        <v>#DIV/0!</v>
      </c>
      <c r="BI32" s="43" t="e">
        <f>BI31+(ATM_Conf!$C$5/ATM_Conf!$C$8)*(CC32*EXP(-(1/DQ32)*(AO32/CW32)^DQ32)-BI31)+(ATM_Conf!$C$5/AO219)*BI31*(BH31-BI31)</f>
        <v>#DIV/0!</v>
      </c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53"/>
      <c r="CY32" s="53"/>
      <c r="CZ32" s="53"/>
      <c r="DA32" s="53"/>
      <c r="DB32" s="53"/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  <c r="DR32" s="43">
        <f t="shared" si="29"/>
        <v>0</v>
      </c>
      <c r="DS32" s="43">
        <f t="shared" si="28"/>
        <v>0</v>
      </c>
      <c r="DT32" s="43">
        <f t="shared" si="28"/>
        <v>0</v>
      </c>
      <c r="DU32" s="43">
        <f t="shared" si="28"/>
        <v>0</v>
      </c>
      <c r="DV32" s="43">
        <f t="shared" si="28"/>
        <v>0</v>
      </c>
      <c r="DW32" s="43">
        <f t="shared" si="28"/>
        <v>0</v>
      </c>
      <c r="DX32" s="43">
        <f t="shared" si="28"/>
        <v>0</v>
      </c>
      <c r="DY32" s="43">
        <f t="shared" si="28"/>
        <v>0</v>
      </c>
      <c r="DZ32" s="43">
        <f t="shared" si="28"/>
        <v>0</v>
      </c>
      <c r="EA32" s="43">
        <f t="shared" si="28"/>
        <v>0</v>
      </c>
      <c r="EB32" s="43">
        <f t="shared" si="28"/>
        <v>0</v>
      </c>
      <c r="EC32" s="43">
        <f t="shared" si="28"/>
        <v>0</v>
      </c>
      <c r="ED32" s="43">
        <f t="shared" si="28"/>
        <v>0</v>
      </c>
      <c r="EE32" s="43">
        <f t="shared" si="28"/>
        <v>0</v>
      </c>
      <c r="EF32" s="43">
        <f t="shared" si="28"/>
        <v>0</v>
      </c>
      <c r="EG32" s="43">
        <f t="shared" si="28"/>
        <v>0</v>
      </c>
      <c r="EH32" s="43">
        <f t="shared" si="28"/>
        <v>0</v>
      </c>
      <c r="EI32" s="43">
        <f t="shared" si="28"/>
        <v>0</v>
      </c>
      <c r="EJ32" s="43">
        <f t="shared" si="28"/>
        <v>0</v>
      </c>
      <c r="EK32" s="43">
        <f t="shared" si="28"/>
        <v>0</v>
      </c>
      <c r="EL32" s="47"/>
      <c r="EM32" s="47"/>
      <c r="EN32" s="47"/>
      <c r="EO32" s="47"/>
      <c r="EP32" s="47"/>
      <c r="EQ32" s="47"/>
      <c r="ER32" s="47"/>
      <c r="ES32" s="47"/>
      <c r="ET32" s="47"/>
      <c r="EU32" s="47"/>
      <c r="EV32" s="47"/>
      <c r="EW32" s="47"/>
      <c r="EX32" s="47"/>
      <c r="EY32" s="47"/>
      <c r="EZ32" s="47"/>
      <c r="FA32" s="47"/>
      <c r="FB32" s="47"/>
      <c r="FC32" s="47"/>
      <c r="FD32" s="47"/>
      <c r="FE32" s="47"/>
    </row>
    <row r="33" spans="1:161" ht="14.25" x14ac:dyDescent="0.15">
      <c r="A33" s="46"/>
      <c r="B33" s="43" t="e">
        <f t="shared" si="2"/>
        <v>#DIV/0!</v>
      </c>
      <c r="C33" s="43" t="e">
        <f t="shared" si="3"/>
        <v>#DIV/0!</v>
      </c>
      <c r="D33" s="43" t="e">
        <f t="shared" si="4"/>
        <v>#DIV/0!</v>
      </c>
      <c r="E33" s="43" t="e">
        <f t="shared" si="5"/>
        <v>#DIV/0!</v>
      </c>
      <c r="F33" s="43" t="e">
        <f t="shared" si="6"/>
        <v>#DIV/0!</v>
      </c>
      <c r="G33" s="43" t="e">
        <f t="shared" si="7"/>
        <v>#DIV/0!</v>
      </c>
      <c r="H33" s="43" t="e">
        <f t="shared" si="8"/>
        <v>#DIV/0!</v>
      </c>
      <c r="I33" s="43" t="e">
        <f t="shared" si="9"/>
        <v>#DIV/0!</v>
      </c>
      <c r="J33" s="43" t="e">
        <f t="shared" si="10"/>
        <v>#DIV/0!</v>
      </c>
      <c r="K33" s="43" t="e">
        <f t="shared" si="11"/>
        <v>#DIV/0!</v>
      </c>
      <c r="L33" s="43" t="e">
        <f t="shared" si="12"/>
        <v>#DIV/0!</v>
      </c>
      <c r="M33" s="43" t="e">
        <f t="shared" si="13"/>
        <v>#DIV/0!</v>
      </c>
      <c r="N33" s="43" t="e">
        <f t="shared" si="14"/>
        <v>#DIV/0!</v>
      </c>
      <c r="O33" s="43" t="e">
        <f t="shared" si="15"/>
        <v>#DIV/0!</v>
      </c>
      <c r="P33" s="43" t="e">
        <f t="shared" si="16"/>
        <v>#DIV/0!</v>
      </c>
      <c r="Q33" s="43" t="e">
        <f t="shared" si="17"/>
        <v>#DIV/0!</v>
      </c>
      <c r="R33" s="43" t="e">
        <f t="shared" si="18"/>
        <v>#DIV/0!</v>
      </c>
      <c r="S33" s="43" t="e">
        <f t="shared" si="19"/>
        <v>#DIV/0!</v>
      </c>
      <c r="T33" s="43" t="e">
        <f t="shared" si="20"/>
        <v>#DIV/0!</v>
      </c>
      <c r="U33" s="43" t="e">
        <f t="shared" si="21"/>
        <v>#DIV/0!</v>
      </c>
      <c r="V33" s="53" t="e">
        <f>V32+ATM_Conf!$C$5*(B32)/(B220*V220)</f>
        <v>#DIV/0!</v>
      </c>
      <c r="W33" s="53" t="e">
        <f>W32+ATM_Conf!$C$5*(C32-B32)/(C220*W220)</f>
        <v>#DIV/0!</v>
      </c>
      <c r="X33" s="53" t="e">
        <f>X32+ATM_Conf!$C$5*(D32-C32)/(D220*X220)</f>
        <v>#DIV/0!</v>
      </c>
      <c r="Y33" s="53" t="e">
        <f>Y32+ATM_Conf!$C$5*(E32-D32)/(E220*Y220)</f>
        <v>#DIV/0!</v>
      </c>
      <c r="Z33" s="53" t="e">
        <f>Z32+ATM_Conf!$C$5*(F32-E32)/(F220*Z220)</f>
        <v>#DIV/0!</v>
      </c>
      <c r="AA33" s="53" t="e">
        <f>AA32+ATM_Conf!$C$5*(G32-F32)/(G220*AA220)</f>
        <v>#DIV/0!</v>
      </c>
      <c r="AB33" s="53" t="e">
        <f>AB32+ATM_Conf!$C$5*(H32-G32)/(H220*AB220)</f>
        <v>#DIV/0!</v>
      </c>
      <c r="AC33" s="53" t="e">
        <f>AC32+ATM_Conf!$C$5*(I32-H32)/(I220*AC220)</f>
        <v>#DIV/0!</v>
      </c>
      <c r="AD33" s="53" t="e">
        <f>AD32+ATM_Conf!$C$5*(J32-I32)/(J220*AD220)</f>
        <v>#DIV/0!</v>
      </c>
      <c r="AE33" s="53" t="e">
        <f>AE32+ATM_Conf!$C$5*(K32-J32)/(K220*AE220)</f>
        <v>#DIV/0!</v>
      </c>
      <c r="AF33" s="53" t="e">
        <f>AF32+ATM_Conf!$C$5*(L32)/(L220*AF220)</f>
        <v>#DIV/0!</v>
      </c>
      <c r="AG33" s="53" t="e">
        <f>AG32+ATM_Conf!$C$5*(M32-L32)/(M220*AG220)</f>
        <v>#DIV/0!</v>
      </c>
      <c r="AH33" s="53" t="e">
        <f>AH32+ATM_Conf!$C$5*(N32-M32)/(N220*AH220)</f>
        <v>#DIV/0!</v>
      </c>
      <c r="AI33" s="53" t="e">
        <f>AI32+ATM_Conf!$C$5*(O32-N32)/(O220*AI220)</f>
        <v>#DIV/0!</v>
      </c>
      <c r="AJ33" s="53" t="e">
        <f>AJ32+ATM_Conf!$C$5*(P32-O32)/(P220*AJ220)</f>
        <v>#DIV/0!</v>
      </c>
      <c r="AK33" s="53" t="e">
        <f>AK32+ATM_Conf!$C$5*(Q32-P32)/(Q220*AK220)</f>
        <v>#DIV/0!</v>
      </c>
      <c r="AL33" s="53" t="e">
        <f>AL32+ATM_Conf!$C$5*(R32-Q32)/(R220*AL220)</f>
        <v>#DIV/0!</v>
      </c>
      <c r="AM33" s="53" t="e">
        <f>AM32+ATM_Conf!$C$5*(S32-R32)/(S220*AM220)</f>
        <v>#DIV/0!</v>
      </c>
      <c r="AN33" s="53" t="e">
        <f>AN32+ATM_Conf!$C$5*(T32-S32)/(T220*AN220)</f>
        <v>#DIV/0!</v>
      </c>
      <c r="AO33" s="53" t="e">
        <f>AO32+ATM_Conf!$C$5*(U32-T32)/(U220*AO220)</f>
        <v>#DIV/0!</v>
      </c>
      <c r="AP33" s="43" t="e">
        <f>AP32+(ATM_Conf!$C$5/ATM_Conf!$C$8)*(BJ33*EXP(-(1/CX33)*(V33/CD33)^CX33)-AP32)-(ATM_Conf!$C$5*ATM_Conf!$C$9)/(V220*ATM_Conf!$C$8)*(Nodes!BO32-V32)/(V32+ATM_Conf!$C$10)</f>
        <v>#DIV/0!</v>
      </c>
      <c r="AQ33" s="43" t="e">
        <f>AQ32+(ATM_Conf!$C$5/ATM_Conf!$C$8)*(BK33*EXP(-(1/CY33)*(W33/CE33)^CY33)-AQ32)+(ATM_Conf!$C$5/W220)*AQ32*(AP32-AQ32)-(ATM_Conf!$C$5*ATM_Conf!$C$9)/(W220*ATM_Conf!$C$8)*(X32-W32)/(W32+ATM_Conf!$C$10)</f>
        <v>#DIV/0!</v>
      </c>
      <c r="AR33" s="43" t="e">
        <f>AR32+(ATM_Conf!$C$5/ATM_Conf!$C$8)*(BL33*EXP(-(1/CZ33)*(X33/CF33)^CZ33)-AR32)+(ATM_Conf!$C$5/X220)*AR32*(Nodes!BC32-AR32)-(ATM_Conf!$C$5*ATM_Conf!$C$9)/(X220*ATM_Conf!$C$8)*(Nodes!BQ32-X32)/(X32+ATM_Conf!$C$10)</f>
        <v>#DIV/0!</v>
      </c>
      <c r="AS33" s="43" t="e">
        <f>AS32+(ATM_Conf!$C$5/ATM_Conf!$C$8)*(BM33*EXP(-(1/DA33)*(Y33/CG33)^DA33)-AS32)+(ATM_Conf!$C$5/Y220)*AS32*(AR32-AS32)-(ATM_Conf!$C$5*ATM_Conf!$C$9)/(Y220*ATM_Conf!$C$8)*(Z32-Y32)/(Y32+ATM_Conf!$C$10)</f>
        <v>#DIV/0!</v>
      </c>
      <c r="AT33" s="43" t="e">
        <f>AT32+(ATM_Conf!$C$5/ATM_Conf!$C$8)*(BN33*EXP(-(1/DB33)*(Z33/CH33)^DB33)-AT32)+(ATM_Conf!$C$5/Z220)*AT32*(Nodes!BE32-AT32)-(ATM_Conf!$C$5*ATM_Conf!$C$9)/(Z220*ATM_Conf!$C$8)*(Nodes!BS32-Z32)/(Z32+ATM_Conf!$C$10)</f>
        <v>#DIV/0!</v>
      </c>
      <c r="AU33" s="43" t="e">
        <f>AU32+(ATM_Conf!$C$5/ATM_Conf!$C$8)*(BO33*EXP(-(1/DC33)*(AA33/CI33)^DC33)-AU32)+(ATM_Conf!$C$5/AA220)*AU32*(Nodes!BF32-AU32)-(ATM_Conf!$C$5*ATM_Conf!$C$9)/(AA220*ATM_Conf!$C$8)*(Nodes!BV32-AA32)/(AA32+ATM_Conf!$C$10)</f>
        <v>#DIV/0!</v>
      </c>
      <c r="AV33" s="43" t="e">
        <f>AV32+(ATM_Conf!$C$5/ATM_Conf!$C$8)*(BP33*EXP(-(1/DD33)*(AB33/CJ33)^DD33)-AV32)+(ATM_Conf!$C$5/AB220)*AV32*(AU32-AV32)-(ATM_Conf!$C$5*ATM_Conf!$C$9)/(AB220*ATM_Conf!$C$8)*(AC32-AB32)/(AB32+ATM_Conf!$C$10)</f>
        <v>#DIV/0!</v>
      </c>
      <c r="AW33" s="43" t="e">
        <f>AW32+(ATM_Conf!$C$5/ATM_Conf!$C$8)*(BQ33*EXP(-(1/DE33)*(AC33/CK33)^DE33)-AW32)+(ATM_Conf!$C$5/AC220)*AW32*(AV32-AW32)-(ATM_Conf!$C$5*ATM_Conf!$C$9)/(AC220*ATM_Conf!$C$8)*(AD32-AC32)/(AC32+ATM_Conf!$C$10)</f>
        <v>#DIV/0!</v>
      </c>
      <c r="AX33" s="43" t="e">
        <f>AX32+(ATM_Conf!$C$5/ATM_Conf!$C$8)*(BR33*EXP(-(1/DF33)*(AD33/CL33)^DF33)-AX32)+(ATM_Conf!$C$5/AD220)*AX32*(Nodes!BG32-AX32)-(ATM_Conf!$C$5*ATM_Conf!$C$9)/(AD220*ATM_Conf!$C$8)*(Nodes!BU32-AD32)/(AD32+ATM_Conf!$C$10)</f>
        <v>#DIV/0!</v>
      </c>
      <c r="AY33" s="43" t="e">
        <f>AY32+(ATM_Conf!$C$5/ATM_Conf!$C$8)*(BS33*EXP(-(1/DG33)*(AE33/CM33)^DG33)-AY32)+(ATM_Conf!$C$5/AE220)*AY32*(Nodes!BF32-AY32)</f>
        <v>#DIV/0!</v>
      </c>
      <c r="AZ33" s="43" t="e">
        <f>AZ32+(ATM_Conf!$C$5/ATM_Conf!$C$8)*(BT33*EXP(-(1/DH33)*(AF33/CN33)^DH33)-AZ32)-(ATM_Conf!$C$5*ATM_Conf!$C$9)/(AF220*ATM_Conf!$C$8)*(Nodes!BV32-AF32)/(AF32+ATM_Conf!$C$10)</f>
        <v>#DIV/0!</v>
      </c>
      <c r="BA33" s="43" t="e">
        <f>BA32+(ATM_Conf!$C$5/ATM_Conf!$C$8)*(BU33*EXP(-(1/DI33)*(AG33/CO33)^DI33)-BA32)+(ATM_Conf!$C$5/AG220)*BA32*(Nodes!BI32-BA32)-(ATM_Conf!$C$5*ATM_Conf!$C$9)/(AG220*ATM_Conf!$C$8)*(Nodes!BW32-AG32)/(AG32+ATM_Conf!$C$10)</f>
        <v>#DIV/0!</v>
      </c>
      <c r="BB33" s="43" t="e">
        <f>BB32+(ATM_Conf!$C$5/ATM_Conf!$C$8)*(BV33*EXP(-(1/DJ33)*(AH33/CP33)^DJ33)-BB32)+(ATM_Conf!$C$5/AH220)*BB32*(Nodes!BJ32-BB32)-(ATM_Conf!$C$5*ATM_Conf!$C$9)/(AH220*ATM_Conf!$C$8)*(AI32-AH32)/(AH32+ATM_Conf!$C$10)</f>
        <v>#DIV/0!</v>
      </c>
      <c r="BC33" s="43" t="e">
        <f>BC32+(ATM_Conf!$C$5/ATM_Conf!$C$8)*(BW33*EXP(-(1/DK33)*(AI33/CQ33)^DK33)-BC32)+(ATM_Conf!$C$5/AI220)*BC32*(BB32-BC32)-(ATM_Conf!$C$5*ATM_Conf!$C$9)/(AI220*ATM_Conf!$C$8)*(AJ32-AI32)/(AI32+ATM_Conf!$C$10)</f>
        <v>#DIV/0!</v>
      </c>
      <c r="BD33" s="43" t="e">
        <f>BD32+(ATM_Conf!$C$5/ATM_Conf!$C$8)*(BX33*EXP(-(1/DL33)*(AJ33/CR33)^DL33)-BD32)+(ATM_Conf!$C$5/AJ220)*BD32*(BC32-BD32)-(ATM_Conf!$C$5*ATM_Conf!$C$9)/(AJ220*ATM_Conf!$C$8)*(Nodes!BX32-AJ32)/(AJ32+ATM_Conf!$C$10)</f>
        <v>#DIV/0!</v>
      </c>
      <c r="BE33" s="43" t="e">
        <f>BE32+(ATM_Conf!$C$5/ATM_Conf!$C$8)*(BY33*EXP(-(1/DM33)*(AK33/CS33)^DM33)-BE32)+(ATM_Conf!$C$5/AK220)*BE32*(Nodes!BK32-BE32)-(ATM_Conf!$C$5*ATM_Conf!$C$9)/(AK220*ATM_Conf!$C$8)*(Nodes!BY32-AK32)/(AK32+ATM_Conf!$C$10)</f>
        <v>#DIV/0!</v>
      </c>
      <c r="BF33" s="43" t="e">
        <f>BF32+(ATM_Conf!$C$5/ATM_Conf!$C$8)*(BZ33*EXP(-(1/DN33)*(AL33/CT33)^DN33)-BF32)+(ATM_Conf!$C$5/AL220)*BF32*(BE32-BF32)-(ATM_Conf!$C$5*ATM_Conf!$C$9)/(AL220*ATM_Conf!$C$8)*(AM32-AL32)/(AL32+ATM_Conf!$C$10)</f>
        <v>#DIV/0!</v>
      </c>
      <c r="BG33" s="43" t="e">
        <f>BG32+(ATM_Conf!$C$5/ATM_Conf!$C$8)*(CA33*EXP(-(1/DO33)*(AM33/CU33)^DO33)-BG32)+(ATM_Conf!$C$5/AM220)*BG32*(Nodes!BM32-BG32)-(ATM_Conf!$C$5*ATM_Conf!$C$9)/(AM220*ATM_Conf!$C$8)*(Nodes!CA32-AM32)/(AM32+ATM_Conf!$C$10)</f>
        <v>#DIV/0!</v>
      </c>
      <c r="BH33" s="43" t="e">
        <f>BH32+(ATM_Conf!$C$5/ATM_Conf!$C$8)*(CB33*EXP(-(1/DP33)*(AN33/CV33)^DP33)-BH32)+(ATM_Conf!$C$5/AN220)*BH32*(BG32-BH32)-(ATM_Conf!$C$5*ATM_Conf!$C$9)/(AN220*ATM_Conf!$C$8)*(AO32-AN32)/(AN32+ATM_Conf!$C$10)</f>
        <v>#DIV/0!</v>
      </c>
      <c r="BI33" s="43" t="e">
        <f>BI32+(ATM_Conf!$C$5/ATM_Conf!$C$8)*(CC33*EXP(-(1/DQ33)*(AO33/CW33)^DQ33)-BI32)+(ATM_Conf!$C$5/AO220)*BI32*(BH32-BI32)</f>
        <v>#DIV/0!</v>
      </c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53"/>
      <c r="CY33" s="53"/>
      <c r="CZ33" s="53"/>
      <c r="DA33" s="53"/>
      <c r="DB33" s="53"/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  <c r="DR33" s="43">
        <f t="shared" si="29"/>
        <v>0</v>
      </c>
      <c r="DS33" s="43">
        <f t="shared" si="28"/>
        <v>0</v>
      </c>
      <c r="DT33" s="43">
        <f t="shared" si="28"/>
        <v>0</v>
      </c>
      <c r="DU33" s="43">
        <f t="shared" si="28"/>
        <v>0</v>
      </c>
      <c r="DV33" s="43">
        <f t="shared" si="28"/>
        <v>0</v>
      </c>
      <c r="DW33" s="43">
        <f t="shared" si="28"/>
        <v>0</v>
      </c>
      <c r="DX33" s="43">
        <f t="shared" si="28"/>
        <v>0</v>
      </c>
      <c r="DY33" s="43">
        <f t="shared" si="28"/>
        <v>0</v>
      </c>
      <c r="DZ33" s="43">
        <f t="shared" si="28"/>
        <v>0</v>
      </c>
      <c r="EA33" s="43">
        <f t="shared" si="28"/>
        <v>0</v>
      </c>
      <c r="EB33" s="43">
        <f t="shared" si="28"/>
        <v>0</v>
      </c>
      <c r="EC33" s="43">
        <f t="shared" si="28"/>
        <v>0</v>
      </c>
      <c r="ED33" s="43">
        <f t="shared" si="28"/>
        <v>0</v>
      </c>
      <c r="EE33" s="43">
        <f t="shared" si="28"/>
        <v>0</v>
      </c>
      <c r="EF33" s="43">
        <f t="shared" si="28"/>
        <v>0</v>
      </c>
      <c r="EG33" s="43">
        <f t="shared" si="28"/>
        <v>0</v>
      </c>
      <c r="EH33" s="43">
        <f t="shared" si="28"/>
        <v>0</v>
      </c>
      <c r="EI33" s="43">
        <f t="shared" si="28"/>
        <v>0</v>
      </c>
      <c r="EJ33" s="43">
        <f t="shared" si="28"/>
        <v>0</v>
      </c>
      <c r="EK33" s="43">
        <f t="shared" si="28"/>
        <v>0</v>
      </c>
      <c r="EL33" s="47"/>
      <c r="EM33" s="47"/>
      <c r="EN33" s="47"/>
      <c r="EO33" s="47"/>
      <c r="EP33" s="47"/>
      <c r="EQ33" s="47"/>
      <c r="ER33" s="47"/>
      <c r="ES33" s="47"/>
      <c r="ET33" s="47"/>
      <c r="EU33" s="47"/>
      <c r="EV33" s="47"/>
      <c r="EW33" s="47"/>
      <c r="EX33" s="47"/>
      <c r="EY33" s="47"/>
      <c r="EZ33" s="47"/>
      <c r="FA33" s="47"/>
      <c r="FB33" s="47"/>
      <c r="FC33" s="47"/>
      <c r="FD33" s="47"/>
      <c r="FE33" s="47"/>
    </row>
    <row r="34" spans="1:161" ht="14.25" x14ac:dyDescent="0.15">
      <c r="A34" s="46"/>
      <c r="B34" s="43" t="e">
        <f t="shared" si="2"/>
        <v>#DIV/0!</v>
      </c>
      <c r="C34" s="43" t="e">
        <f t="shared" si="3"/>
        <v>#DIV/0!</v>
      </c>
      <c r="D34" s="43" t="e">
        <f t="shared" si="4"/>
        <v>#DIV/0!</v>
      </c>
      <c r="E34" s="43" t="e">
        <f t="shared" si="5"/>
        <v>#DIV/0!</v>
      </c>
      <c r="F34" s="43" t="e">
        <f t="shared" si="6"/>
        <v>#DIV/0!</v>
      </c>
      <c r="G34" s="43" t="e">
        <f t="shared" si="7"/>
        <v>#DIV/0!</v>
      </c>
      <c r="H34" s="43" t="e">
        <f t="shared" si="8"/>
        <v>#DIV/0!</v>
      </c>
      <c r="I34" s="43" t="e">
        <f t="shared" si="9"/>
        <v>#DIV/0!</v>
      </c>
      <c r="J34" s="43" t="e">
        <f t="shared" si="10"/>
        <v>#DIV/0!</v>
      </c>
      <c r="K34" s="43" t="e">
        <f t="shared" si="11"/>
        <v>#DIV/0!</v>
      </c>
      <c r="L34" s="43" t="e">
        <f t="shared" si="12"/>
        <v>#DIV/0!</v>
      </c>
      <c r="M34" s="43" t="e">
        <f t="shared" si="13"/>
        <v>#DIV/0!</v>
      </c>
      <c r="N34" s="43" t="e">
        <f t="shared" si="14"/>
        <v>#DIV/0!</v>
      </c>
      <c r="O34" s="43" t="e">
        <f t="shared" si="15"/>
        <v>#DIV/0!</v>
      </c>
      <c r="P34" s="43" t="e">
        <f t="shared" si="16"/>
        <v>#DIV/0!</v>
      </c>
      <c r="Q34" s="43" t="e">
        <f t="shared" si="17"/>
        <v>#DIV/0!</v>
      </c>
      <c r="R34" s="43" t="e">
        <f t="shared" si="18"/>
        <v>#DIV/0!</v>
      </c>
      <c r="S34" s="43" t="e">
        <f t="shared" si="19"/>
        <v>#DIV/0!</v>
      </c>
      <c r="T34" s="43" t="e">
        <f t="shared" si="20"/>
        <v>#DIV/0!</v>
      </c>
      <c r="U34" s="43" t="e">
        <f t="shared" si="21"/>
        <v>#DIV/0!</v>
      </c>
      <c r="V34" s="53" t="e">
        <f>V33+ATM_Conf!$C$5*(B33)/(B221*V221)</f>
        <v>#DIV/0!</v>
      </c>
      <c r="W34" s="53" t="e">
        <f>W33+ATM_Conf!$C$5*(C33-B33)/(C221*W221)</f>
        <v>#DIV/0!</v>
      </c>
      <c r="X34" s="53" t="e">
        <f>X33+ATM_Conf!$C$5*(D33-C33)/(D221*X221)</f>
        <v>#DIV/0!</v>
      </c>
      <c r="Y34" s="53" t="e">
        <f>Y33+ATM_Conf!$C$5*(E33-D33)/(E221*Y221)</f>
        <v>#DIV/0!</v>
      </c>
      <c r="Z34" s="53" t="e">
        <f>Z33+ATM_Conf!$C$5*(F33-E33)/(F221*Z221)</f>
        <v>#DIV/0!</v>
      </c>
      <c r="AA34" s="53" t="e">
        <f>AA33+ATM_Conf!$C$5*(G33-F33)/(G221*AA221)</f>
        <v>#DIV/0!</v>
      </c>
      <c r="AB34" s="53" t="e">
        <f>AB33+ATM_Conf!$C$5*(H33-G33)/(H221*AB221)</f>
        <v>#DIV/0!</v>
      </c>
      <c r="AC34" s="53" t="e">
        <f>AC33+ATM_Conf!$C$5*(I33-H33)/(I221*AC221)</f>
        <v>#DIV/0!</v>
      </c>
      <c r="AD34" s="53" t="e">
        <f>AD33+ATM_Conf!$C$5*(J33-I33)/(J221*AD221)</f>
        <v>#DIV/0!</v>
      </c>
      <c r="AE34" s="53" t="e">
        <f>AE33+ATM_Conf!$C$5*(K33-J33)/(K221*AE221)</f>
        <v>#DIV/0!</v>
      </c>
      <c r="AF34" s="53" t="e">
        <f>AF33+ATM_Conf!$C$5*(L33)/(L221*AF221)</f>
        <v>#DIV/0!</v>
      </c>
      <c r="AG34" s="53" t="e">
        <f>AG33+ATM_Conf!$C$5*(M33-L33)/(M221*AG221)</f>
        <v>#DIV/0!</v>
      </c>
      <c r="AH34" s="53" t="e">
        <f>AH33+ATM_Conf!$C$5*(N33-M33)/(N221*AH221)</f>
        <v>#DIV/0!</v>
      </c>
      <c r="AI34" s="53" t="e">
        <f>AI33+ATM_Conf!$C$5*(O33-N33)/(O221*AI221)</f>
        <v>#DIV/0!</v>
      </c>
      <c r="AJ34" s="53" t="e">
        <f>AJ33+ATM_Conf!$C$5*(P33-O33)/(P221*AJ221)</f>
        <v>#DIV/0!</v>
      </c>
      <c r="AK34" s="53" t="e">
        <f>AK33+ATM_Conf!$C$5*(Q33-P33)/(Q221*AK221)</f>
        <v>#DIV/0!</v>
      </c>
      <c r="AL34" s="53" t="e">
        <f>AL33+ATM_Conf!$C$5*(R33-Q33)/(R221*AL221)</f>
        <v>#DIV/0!</v>
      </c>
      <c r="AM34" s="53" t="e">
        <f>AM33+ATM_Conf!$C$5*(S33-R33)/(S221*AM221)</f>
        <v>#DIV/0!</v>
      </c>
      <c r="AN34" s="53" t="e">
        <f>AN33+ATM_Conf!$C$5*(T33-S33)/(T221*AN221)</f>
        <v>#DIV/0!</v>
      </c>
      <c r="AO34" s="53" t="e">
        <f>AO33+ATM_Conf!$C$5*(U33-T33)/(U221*AO221)</f>
        <v>#DIV/0!</v>
      </c>
      <c r="AP34" s="43" t="e">
        <f>AP33+(ATM_Conf!$C$5/ATM_Conf!$C$8)*(BJ34*EXP(-(1/CX34)*(V34/CD34)^CX34)-AP33)-(ATM_Conf!$C$5*ATM_Conf!$C$9)/(V221*ATM_Conf!$C$8)*(Nodes!BO33-V33)/(V33+ATM_Conf!$C$10)</f>
        <v>#DIV/0!</v>
      </c>
      <c r="AQ34" s="43" t="e">
        <f>AQ33+(ATM_Conf!$C$5/ATM_Conf!$C$8)*(BK34*EXP(-(1/CY34)*(W34/CE34)^CY34)-AQ33)+(ATM_Conf!$C$5/W221)*AQ33*(AP33-AQ33)-(ATM_Conf!$C$5*ATM_Conf!$C$9)/(W221*ATM_Conf!$C$8)*(X33-W33)/(W33+ATM_Conf!$C$10)</f>
        <v>#DIV/0!</v>
      </c>
      <c r="AR34" s="43" t="e">
        <f>AR33+(ATM_Conf!$C$5/ATM_Conf!$C$8)*(BL34*EXP(-(1/CZ34)*(X34/CF34)^CZ34)-AR33)+(ATM_Conf!$C$5/X221)*AR33*(Nodes!BC33-AR33)-(ATM_Conf!$C$5*ATM_Conf!$C$9)/(X221*ATM_Conf!$C$8)*(Nodes!BQ33-X33)/(X33+ATM_Conf!$C$10)</f>
        <v>#DIV/0!</v>
      </c>
      <c r="AS34" s="43" t="e">
        <f>AS33+(ATM_Conf!$C$5/ATM_Conf!$C$8)*(BM34*EXP(-(1/DA34)*(Y34/CG34)^DA34)-AS33)+(ATM_Conf!$C$5/Y221)*AS33*(AR33-AS33)-(ATM_Conf!$C$5*ATM_Conf!$C$9)/(Y221*ATM_Conf!$C$8)*(Z33-Y33)/(Y33+ATM_Conf!$C$10)</f>
        <v>#DIV/0!</v>
      </c>
      <c r="AT34" s="43" t="e">
        <f>AT33+(ATM_Conf!$C$5/ATM_Conf!$C$8)*(BN34*EXP(-(1/DB34)*(Z34/CH34)^DB34)-AT33)+(ATM_Conf!$C$5/Z221)*AT33*(Nodes!BE33-AT33)-(ATM_Conf!$C$5*ATM_Conf!$C$9)/(Z221*ATM_Conf!$C$8)*(Nodes!BS33-Z33)/(Z33+ATM_Conf!$C$10)</f>
        <v>#DIV/0!</v>
      </c>
      <c r="AU34" s="43" t="e">
        <f>AU33+(ATM_Conf!$C$5/ATM_Conf!$C$8)*(BO34*EXP(-(1/DC34)*(AA34/CI34)^DC34)-AU33)+(ATM_Conf!$C$5/AA221)*AU33*(Nodes!BF33-AU33)-(ATM_Conf!$C$5*ATM_Conf!$C$9)/(AA221*ATM_Conf!$C$8)*(Nodes!BV33-AA33)/(AA33+ATM_Conf!$C$10)</f>
        <v>#DIV/0!</v>
      </c>
      <c r="AV34" s="43" t="e">
        <f>AV33+(ATM_Conf!$C$5/ATM_Conf!$C$8)*(BP34*EXP(-(1/DD34)*(AB34/CJ34)^DD34)-AV33)+(ATM_Conf!$C$5/AB221)*AV33*(AU33-AV33)-(ATM_Conf!$C$5*ATM_Conf!$C$9)/(AB221*ATM_Conf!$C$8)*(AC33-AB33)/(AB33+ATM_Conf!$C$10)</f>
        <v>#DIV/0!</v>
      </c>
      <c r="AW34" s="43" t="e">
        <f>AW33+(ATM_Conf!$C$5/ATM_Conf!$C$8)*(BQ34*EXP(-(1/DE34)*(AC34/CK34)^DE34)-AW33)+(ATM_Conf!$C$5/AC221)*AW33*(AV33-AW33)-(ATM_Conf!$C$5*ATM_Conf!$C$9)/(AC221*ATM_Conf!$C$8)*(AD33-AC33)/(AC33+ATM_Conf!$C$10)</f>
        <v>#DIV/0!</v>
      </c>
      <c r="AX34" s="43" t="e">
        <f>AX33+(ATM_Conf!$C$5/ATM_Conf!$C$8)*(BR34*EXP(-(1/DF34)*(AD34/CL34)^DF34)-AX33)+(ATM_Conf!$C$5/AD221)*AX33*(Nodes!BG33-AX33)-(ATM_Conf!$C$5*ATM_Conf!$C$9)/(AD221*ATM_Conf!$C$8)*(Nodes!BU33-AD33)/(AD33+ATM_Conf!$C$10)</f>
        <v>#DIV/0!</v>
      </c>
      <c r="AY34" s="43" t="e">
        <f>AY33+(ATM_Conf!$C$5/ATM_Conf!$C$8)*(BS34*EXP(-(1/DG34)*(AE34/CM34)^DG34)-AY33)+(ATM_Conf!$C$5/AE221)*AY33*(Nodes!BF33-AY33)</f>
        <v>#DIV/0!</v>
      </c>
      <c r="AZ34" s="43" t="e">
        <f>AZ33+(ATM_Conf!$C$5/ATM_Conf!$C$8)*(BT34*EXP(-(1/DH34)*(AF34/CN34)^DH34)-AZ33)-(ATM_Conf!$C$5*ATM_Conf!$C$9)/(AF221*ATM_Conf!$C$8)*(Nodes!BV33-AF33)/(AF33+ATM_Conf!$C$10)</f>
        <v>#DIV/0!</v>
      </c>
      <c r="BA34" s="43" t="e">
        <f>BA33+(ATM_Conf!$C$5/ATM_Conf!$C$8)*(BU34*EXP(-(1/DI34)*(AG34/CO34)^DI34)-BA33)+(ATM_Conf!$C$5/AG221)*BA33*(Nodes!BI33-BA33)-(ATM_Conf!$C$5*ATM_Conf!$C$9)/(AG221*ATM_Conf!$C$8)*(Nodes!BW33-AG33)/(AG33+ATM_Conf!$C$10)</f>
        <v>#DIV/0!</v>
      </c>
      <c r="BB34" s="43" t="e">
        <f>BB33+(ATM_Conf!$C$5/ATM_Conf!$C$8)*(BV34*EXP(-(1/DJ34)*(AH34/CP34)^DJ34)-BB33)+(ATM_Conf!$C$5/AH221)*BB33*(Nodes!BJ33-BB33)-(ATM_Conf!$C$5*ATM_Conf!$C$9)/(AH221*ATM_Conf!$C$8)*(AI33-AH33)/(AH33+ATM_Conf!$C$10)</f>
        <v>#DIV/0!</v>
      </c>
      <c r="BC34" s="43" t="e">
        <f>BC33+(ATM_Conf!$C$5/ATM_Conf!$C$8)*(BW34*EXP(-(1/DK34)*(AI34/CQ34)^DK34)-BC33)+(ATM_Conf!$C$5/AI221)*BC33*(BB33-BC33)-(ATM_Conf!$C$5*ATM_Conf!$C$9)/(AI221*ATM_Conf!$C$8)*(AJ33-AI33)/(AI33+ATM_Conf!$C$10)</f>
        <v>#DIV/0!</v>
      </c>
      <c r="BD34" s="43" t="e">
        <f>BD33+(ATM_Conf!$C$5/ATM_Conf!$C$8)*(BX34*EXP(-(1/DL34)*(AJ34/CR34)^DL34)-BD33)+(ATM_Conf!$C$5/AJ221)*BD33*(BC33-BD33)-(ATM_Conf!$C$5*ATM_Conf!$C$9)/(AJ221*ATM_Conf!$C$8)*(Nodes!BX33-AJ33)/(AJ33+ATM_Conf!$C$10)</f>
        <v>#DIV/0!</v>
      </c>
      <c r="BE34" s="43" t="e">
        <f>BE33+(ATM_Conf!$C$5/ATM_Conf!$C$8)*(BY34*EXP(-(1/DM34)*(AK34/CS34)^DM34)-BE33)+(ATM_Conf!$C$5/AK221)*BE33*(Nodes!BK33-BE33)-(ATM_Conf!$C$5*ATM_Conf!$C$9)/(AK221*ATM_Conf!$C$8)*(Nodes!BY33-AK33)/(AK33+ATM_Conf!$C$10)</f>
        <v>#DIV/0!</v>
      </c>
      <c r="BF34" s="43" t="e">
        <f>BF33+(ATM_Conf!$C$5/ATM_Conf!$C$8)*(BZ34*EXP(-(1/DN34)*(AL34/CT34)^DN34)-BF33)+(ATM_Conf!$C$5/AL221)*BF33*(BE33-BF33)-(ATM_Conf!$C$5*ATM_Conf!$C$9)/(AL221*ATM_Conf!$C$8)*(AM33-AL33)/(AL33+ATM_Conf!$C$10)</f>
        <v>#DIV/0!</v>
      </c>
      <c r="BG34" s="43" t="e">
        <f>BG33+(ATM_Conf!$C$5/ATM_Conf!$C$8)*(CA34*EXP(-(1/DO34)*(AM34/CU34)^DO34)-BG33)+(ATM_Conf!$C$5/AM221)*BG33*(Nodes!BM33-BG33)-(ATM_Conf!$C$5*ATM_Conf!$C$9)/(AM221*ATM_Conf!$C$8)*(Nodes!CA33-AM33)/(AM33+ATM_Conf!$C$10)</f>
        <v>#DIV/0!</v>
      </c>
      <c r="BH34" s="43" t="e">
        <f>BH33+(ATM_Conf!$C$5/ATM_Conf!$C$8)*(CB34*EXP(-(1/DP34)*(AN34/CV34)^DP34)-BH33)+(ATM_Conf!$C$5/AN221)*BH33*(BG33-BH33)-(ATM_Conf!$C$5*ATM_Conf!$C$9)/(AN221*ATM_Conf!$C$8)*(AO33-AN33)/(AN33+ATM_Conf!$C$10)</f>
        <v>#DIV/0!</v>
      </c>
      <c r="BI34" s="43" t="e">
        <f>BI33+(ATM_Conf!$C$5/ATM_Conf!$C$8)*(CC34*EXP(-(1/DQ34)*(AO34/CW34)^DQ34)-BI33)+(ATM_Conf!$C$5/AO221)*BI33*(BH33-BI33)</f>
        <v>#DIV/0!</v>
      </c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53"/>
      <c r="CY34" s="53"/>
      <c r="CZ34" s="53"/>
      <c r="DA34" s="53"/>
      <c r="DB34" s="53"/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  <c r="DR34" s="43">
        <f t="shared" si="29"/>
        <v>0</v>
      </c>
      <c r="DS34" s="43">
        <f t="shared" si="28"/>
        <v>0</v>
      </c>
      <c r="DT34" s="43">
        <f t="shared" si="28"/>
        <v>0</v>
      </c>
      <c r="DU34" s="43">
        <f t="shared" si="28"/>
        <v>0</v>
      </c>
      <c r="DV34" s="43">
        <f t="shared" si="28"/>
        <v>0</v>
      </c>
      <c r="DW34" s="43">
        <f t="shared" si="28"/>
        <v>0</v>
      </c>
      <c r="DX34" s="43">
        <f t="shared" si="28"/>
        <v>0</v>
      </c>
      <c r="DY34" s="43">
        <f t="shared" si="28"/>
        <v>0</v>
      </c>
      <c r="DZ34" s="43">
        <f t="shared" si="28"/>
        <v>0</v>
      </c>
      <c r="EA34" s="43">
        <f t="shared" si="28"/>
        <v>0</v>
      </c>
      <c r="EB34" s="43">
        <f t="shared" si="28"/>
        <v>0</v>
      </c>
      <c r="EC34" s="43">
        <f t="shared" si="28"/>
        <v>0</v>
      </c>
      <c r="ED34" s="43">
        <f t="shared" si="28"/>
        <v>0</v>
      </c>
      <c r="EE34" s="43">
        <f t="shared" si="28"/>
        <v>0</v>
      </c>
      <c r="EF34" s="43">
        <f t="shared" si="28"/>
        <v>0</v>
      </c>
      <c r="EG34" s="43">
        <f t="shared" si="28"/>
        <v>0</v>
      </c>
      <c r="EH34" s="43">
        <f t="shared" si="28"/>
        <v>0</v>
      </c>
      <c r="EI34" s="43">
        <f t="shared" si="28"/>
        <v>0</v>
      </c>
      <c r="EJ34" s="43">
        <f t="shared" si="28"/>
        <v>0</v>
      </c>
      <c r="EK34" s="43">
        <f t="shared" si="28"/>
        <v>0</v>
      </c>
      <c r="EL34" s="47"/>
      <c r="EM34" s="47"/>
      <c r="EN34" s="47"/>
      <c r="EO34" s="47"/>
      <c r="EP34" s="47"/>
      <c r="EQ34" s="47"/>
      <c r="ER34" s="47"/>
      <c r="ES34" s="47"/>
      <c r="ET34" s="47"/>
      <c r="EU34" s="47"/>
      <c r="EV34" s="47"/>
      <c r="EW34" s="47"/>
      <c r="EX34" s="47"/>
      <c r="EY34" s="47"/>
      <c r="EZ34" s="47"/>
      <c r="FA34" s="47"/>
      <c r="FB34" s="47"/>
      <c r="FC34" s="47"/>
      <c r="FD34" s="47"/>
      <c r="FE34" s="47"/>
    </row>
    <row r="35" spans="1:161" ht="14.25" x14ac:dyDescent="0.15">
      <c r="A35" s="46"/>
      <c r="B35" s="43" t="e">
        <f t="shared" si="2"/>
        <v>#DIV/0!</v>
      </c>
      <c r="C35" s="43" t="e">
        <f t="shared" si="3"/>
        <v>#DIV/0!</v>
      </c>
      <c r="D35" s="43" t="e">
        <f t="shared" si="4"/>
        <v>#DIV/0!</v>
      </c>
      <c r="E35" s="43" t="e">
        <f t="shared" si="5"/>
        <v>#DIV/0!</v>
      </c>
      <c r="F35" s="43" t="e">
        <f t="shared" si="6"/>
        <v>#DIV/0!</v>
      </c>
      <c r="G35" s="43" t="e">
        <f t="shared" si="7"/>
        <v>#DIV/0!</v>
      </c>
      <c r="H35" s="43" t="e">
        <f t="shared" si="8"/>
        <v>#DIV/0!</v>
      </c>
      <c r="I35" s="43" t="e">
        <f t="shared" si="9"/>
        <v>#DIV/0!</v>
      </c>
      <c r="J35" s="43" t="e">
        <f t="shared" si="10"/>
        <v>#DIV/0!</v>
      </c>
      <c r="K35" s="43" t="e">
        <f t="shared" si="11"/>
        <v>#DIV/0!</v>
      </c>
      <c r="L35" s="43" t="e">
        <f t="shared" si="12"/>
        <v>#DIV/0!</v>
      </c>
      <c r="M35" s="43" t="e">
        <f t="shared" si="13"/>
        <v>#DIV/0!</v>
      </c>
      <c r="N35" s="43" t="e">
        <f t="shared" si="14"/>
        <v>#DIV/0!</v>
      </c>
      <c r="O35" s="43" t="e">
        <f t="shared" si="15"/>
        <v>#DIV/0!</v>
      </c>
      <c r="P35" s="43" t="e">
        <f t="shared" si="16"/>
        <v>#DIV/0!</v>
      </c>
      <c r="Q35" s="43" t="e">
        <f t="shared" si="17"/>
        <v>#DIV/0!</v>
      </c>
      <c r="R35" s="43" t="e">
        <f t="shared" si="18"/>
        <v>#DIV/0!</v>
      </c>
      <c r="S35" s="43" t="e">
        <f t="shared" si="19"/>
        <v>#DIV/0!</v>
      </c>
      <c r="T35" s="43" t="e">
        <f t="shared" si="20"/>
        <v>#DIV/0!</v>
      </c>
      <c r="U35" s="43" t="e">
        <f t="shared" si="21"/>
        <v>#DIV/0!</v>
      </c>
      <c r="V35" s="53" t="e">
        <f>V34+ATM_Conf!$C$5*(B34)/(B222*V222)</f>
        <v>#DIV/0!</v>
      </c>
      <c r="W35" s="53" t="e">
        <f>W34+ATM_Conf!$C$5*(C34-B34)/(C222*W222)</f>
        <v>#DIV/0!</v>
      </c>
      <c r="X35" s="53" t="e">
        <f>X34+ATM_Conf!$C$5*(D34-C34)/(D222*X222)</f>
        <v>#DIV/0!</v>
      </c>
      <c r="Y35" s="53" t="e">
        <f>Y34+ATM_Conf!$C$5*(E34-D34)/(E222*Y222)</f>
        <v>#DIV/0!</v>
      </c>
      <c r="Z35" s="53" t="e">
        <f>Z34+ATM_Conf!$C$5*(F34-E34)/(F222*Z222)</f>
        <v>#DIV/0!</v>
      </c>
      <c r="AA35" s="53" t="e">
        <f>AA34+ATM_Conf!$C$5*(G34-F34)/(G222*AA222)</f>
        <v>#DIV/0!</v>
      </c>
      <c r="AB35" s="53" t="e">
        <f>AB34+ATM_Conf!$C$5*(H34-G34)/(H222*AB222)</f>
        <v>#DIV/0!</v>
      </c>
      <c r="AC35" s="53" t="e">
        <f>AC34+ATM_Conf!$C$5*(I34-H34)/(I222*AC222)</f>
        <v>#DIV/0!</v>
      </c>
      <c r="AD35" s="53" t="e">
        <f>AD34+ATM_Conf!$C$5*(J34-I34)/(J222*AD222)</f>
        <v>#DIV/0!</v>
      </c>
      <c r="AE35" s="53" t="e">
        <f>AE34+ATM_Conf!$C$5*(K34-J34)/(K222*AE222)</f>
        <v>#DIV/0!</v>
      </c>
      <c r="AF35" s="53" t="e">
        <f>AF34+ATM_Conf!$C$5*(L34)/(L222*AF222)</f>
        <v>#DIV/0!</v>
      </c>
      <c r="AG35" s="53" t="e">
        <f>AG34+ATM_Conf!$C$5*(M34-L34)/(M222*AG222)</f>
        <v>#DIV/0!</v>
      </c>
      <c r="AH35" s="53" t="e">
        <f>AH34+ATM_Conf!$C$5*(N34-M34)/(N222*AH222)</f>
        <v>#DIV/0!</v>
      </c>
      <c r="AI35" s="53" t="e">
        <f>AI34+ATM_Conf!$C$5*(O34-N34)/(O222*AI222)</f>
        <v>#DIV/0!</v>
      </c>
      <c r="AJ35" s="53" t="e">
        <f>AJ34+ATM_Conf!$C$5*(P34-O34)/(P222*AJ222)</f>
        <v>#DIV/0!</v>
      </c>
      <c r="AK35" s="53" t="e">
        <f>AK34+ATM_Conf!$C$5*(Q34-P34)/(Q222*AK222)</f>
        <v>#DIV/0!</v>
      </c>
      <c r="AL35" s="53" t="e">
        <f>AL34+ATM_Conf!$C$5*(R34-Q34)/(R222*AL222)</f>
        <v>#DIV/0!</v>
      </c>
      <c r="AM35" s="53" t="e">
        <f>AM34+ATM_Conf!$C$5*(S34-R34)/(S222*AM222)</f>
        <v>#DIV/0!</v>
      </c>
      <c r="AN35" s="53" t="e">
        <f>AN34+ATM_Conf!$C$5*(T34-S34)/(T222*AN222)</f>
        <v>#DIV/0!</v>
      </c>
      <c r="AO35" s="53" t="e">
        <f>AO34+ATM_Conf!$C$5*(U34-T34)/(U222*AO222)</f>
        <v>#DIV/0!</v>
      </c>
      <c r="AP35" s="43" t="e">
        <f>AP34+(ATM_Conf!$C$5/ATM_Conf!$C$8)*(BJ35*EXP(-(1/CX35)*(V35/CD35)^CX35)-AP34)-(ATM_Conf!$C$5*ATM_Conf!$C$9)/(V222*ATM_Conf!$C$8)*(Nodes!BO34-V34)/(V34+ATM_Conf!$C$10)</f>
        <v>#DIV/0!</v>
      </c>
      <c r="AQ35" s="43" t="e">
        <f>AQ34+(ATM_Conf!$C$5/ATM_Conf!$C$8)*(BK35*EXP(-(1/CY35)*(W35/CE35)^CY35)-AQ34)+(ATM_Conf!$C$5/W222)*AQ34*(AP34-AQ34)-(ATM_Conf!$C$5*ATM_Conf!$C$9)/(W222*ATM_Conf!$C$8)*(X34-W34)/(W34+ATM_Conf!$C$10)</f>
        <v>#DIV/0!</v>
      </c>
      <c r="AR35" s="43" t="e">
        <f>AR34+(ATM_Conf!$C$5/ATM_Conf!$C$8)*(BL35*EXP(-(1/CZ35)*(X35/CF35)^CZ35)-AR34)+(ATM_Conf!$C$5/X222)*AR34*(Nodes!BC34-AR34)-(ATM_Conf!$C$5*ATM_Conf!$C$9)/(X222*ATM_Conf!$C$8)*(Nodes!BQ34-X34)/(X34+ATM_Conf!$C$10)</f>
        <v>#DIV/0!</v>
      </c>
      <c r="AS35" s="43" t="e">
        <f>AS34+(ATM_Conf!$C$5/ATM_Conf!$C$8)*(BM35*EXP(-(1/DA35)*(Y35/CG35)^DA35)-AS34)+(ATM_Conf!$C$5/Y222)*AS34*(AR34-AS34)-(ATM_Conf!$C$5*ATM_Conf!$C$9)/(Y222*ATM_Conf!$C$8)*(Z34-Y34)/(Y34+ATM_Conf!$C$10)</f>
        <v>#DIV/0!</v>
      </c>
      <c r="AT35" s="43" t="e">
        <f>AT34+(ATM_Conf!$C$5/ATM_Conf!$C$8)*(BN35*EXP(-(1/DB35)*(Z35/CH35)^DB35)-AT34)+(ATM_Conf!$C$5/Z222)*AT34*(Nodes!BE34-AT34)-(ATM_Conf!$C$5*ATM_Conf!$C$9)/(Z222*ATM_Conf!$C$8)*(Nodes!BS34-Z34)/(Z34+ATM_Conf!$C$10)</f>
        <v>#DIV/0!</v>
      </c>
      <c r="AU35" s="43" t="e">
        <f>AU34+(ATM_Conf!$C$5/ATM_Conf!$C$8)*(BO35*EXP(-(1/DC35)*(AA35/CI35)^DC35)-AU34)+(ATM_Conf!$C$5/AA222)*AU34*(Nodes!BF34-AU34)-(ATM_Conf!$C$5*ATM_Conf!$C$9)/(AA222*ATM_Conf!$C$8)*(Nodes!BV34-AA34)/(AA34+ATM_Conf!$C$10)</f>
        <v>#DIV/0!</v>
      </c>
      <c r="AV35" s="43" t="e">
        <f>AV34+(ATM_Conf!$C$5/ATM_Conf!$C$8)*(BP35*EXP(-(1/DD35)*(AB35/CJ35)^DD35)-AV34)+(ATM_Conf!$C$5/AB222)*AV34*(AU34-AV34)-(ATM_Conf!$C$5*ATM_Conf!$C$9)/(AB222*ATM_Conf!$C$8)*(AC34-AB34)/(AB34+ATM_Conf!$C$10)</f>
        <v>#DIV/0!</v>
      </c>
      <c r="AW35" s="43" t="e">
        <f>AW34+(ATM_Conf!$C$5/ATM_Conf!$C$8)*(BQ35*EXP(-(1/DE35)*(AC35/CK35)^DE35)-AW34)+(ATM_Conf!$C$5/AC222)*AW34*(AV34-AW34)-(ATM_Conf!$C$5*ATM_Conf!$C$9)/(AC222*ATM_Conf!$C$8)*(AD34-AC34)/(AC34+ATM_Conf!$C$10)</f>
        <v>#DIV/0!</v>
      </c>
      <c r="AX35" s="43" t="e">
        <f>AX34+(ATM_Conf!$C$5/ATM_Conf!$C$8)*(BR35*EXP(-(1/DF35)*(AD35/CL35)^DF35)-AX34)+(ATM_Conf!$C$5/AD222)*AX34*(Nodes!BG34-AX34)-(ATM_Conf!$C$5*ATM_Conf!$C$9)/(AD222*ATM_Conf!$C$8)*(Nodes!BU34-AD34)/(AD34+ATM_Conf!$C$10)</f>
        <v>#DIV/0!</v>
      </c>
      <c r="AY35" s="43" t="e">
        <f>AY34+(ATM_Conf!$C$5/ATM_Conf!$C$8)*(BS35*EXP(-(1/DG35)*(AE35/CM35)^DG35)-AY34)+(ATM_Conf!$C$5/AE222)*AY34*(Nodes!BF34-AY34)</f>
        <v>#DIV/0!</v>
      </c>
      <c r="AZ35" s="43" t="e">
        <f>AZ34+(ATM_Conf!$C$5/ATM_Conf!$C$8)*(BT35*EXP(-(1/DH35)*(AF35/CN35)^DH35)-AZ34)-(ATM_Conf!$C$5*ATM_Conf!$C$9)/(AF222*ATM_Conf!$C$8)*(Nodes!BV34-AF34)/(AF34+ATM_Conf!$C$10)</f>
        <v>#DIV/0!</v>
      </c>
      <c r="BA35" s="43" t="e">
        <f>BA34+(ATM_Conf!$C$5/ATM_Conf!$C$8)*(BU35*EXP(-(1/DI35)*(AG35/CO35)^DI35)-BA34)+(ATM_Conf!$C$5/AG222)*BA34*(Nodes!BI34-BA34)-(ATM_Conf!$C$5*ATM_Conf!$C$9)/(AG222*ATM_Conf!$C$8)*(Nodes!BW34-AG34)/(AG34+ATM_Conf!$C$10)</f>
        <v>#DIV/0!</v>
      </c>
      <c r="BB35" s="43" t="e">
        <f>BB34+(ATM_Conf!$C$5/ATM_Conf!$C$8)*(BV35*EXP(-(1/DJ35)*(AH35/CP35)^DJ35)-BB34)+(ATM_Conf!$C$5/AH222)*BB34*(Nodes!BJ34-BB34)-(ATM_Conf!$C$5*ATM_Conf!$C$9)/(AH222*ATM_Conf!$C$8)*(AI34-AH34)/(AH34+ATM_Conf!$C$10)</f>
        <v>#DIV/0!</v>
      </c>
      <c r="BC35" s="43" t="e">
        <f>BC34+(ATM_Conf!$C$5/ATM_Conf!$C$8)*(BW35*EXP(-(1/DK35)*(AI35/CQ35)^DK35)-BC34)+(ATM_Conf!$C$5/AI222)*BC34*(BB34-BC34)-(ATM_Conf!$C$5*ATM_Conf!$C$9)/(AI222*ATM_Conf!$C$8)*(AJ34-AI34)/(AI34+ATM_Conf!$C$10)</f>
        <v>#DIV/0!</v>
      </c>
      <c r="BD35" s="43" t="e">
        <f>BD34+(ATM_Conf!$C$5/ATM_Conf!$C$8)*(BX35*EXP(-(1/DL35)*(AJ35/CR35)^DL35)-BD34)+(ATM_Conf!$C$5/AJ222)*BD34*(BC34-BD34)-(ATM_Conf!$C$5*ATM_Conf!$C$9)/(AJ222*ATM_Conf!$C$8)*(Nodes!BX34-AJ34)/(AJ34+ATM_Conf!$C$10)</f>
        <v>#DIV/0!</v>
      </c>
      <c r="BE35" s="43" t="e">
        <f>BE34+(ATM_Conf!$C$5/ATM_Conf!$C$8)*(BY35*EXP(-(1/DM35)*(AK35/CS35)^DM35)-BE34)+(ATM_Conf!$C$5/AK222)*BE34*(Nodes!BK34-BE34)-(ATM_Conf!$C$5*ATM_Conf!$C$9)/(AK222*ATM_Conf!$C$8)*(Nodes!BY34-AK34)/(AK34+ATM_Conf!$C$10)</f>
        <v>#DIV/0!</v>
      </c>
      <c r="BF35" s="43" t="e">
        <f>BF34+(ATM_Conf!$C$5/ATM_Conf!$C$8)*(BZ35*EXP(-(1/DN35)*(AL35/CT35)^DN35)-BF34)+(ATM_Conf!$C$5/AL222)*BF34*(BE34-BF34)-(ATM_Conf!$C$5*ATM_Conf!$C$9)/(AL222*ATM_Conf!$C$8)*(AM34-AL34)/(AL34+ATM_Conf!$C$10)</f>
        <v>#DIV/0!</v>
      </c>
      <c r="BG35" s="43" t="e">
        <f>BG34+(ATM_Conf!$C$5/ATM_Conf!$C$8)*(CA35*EXP(-(1/DO35)*(AM35/CU35)^DO35)-BG34)+(ATM_Conf!$C$5/AM222)*BG34*(Nodes!BM34-BG34)-(ATM_Conf!$C$5*ATM_Conf!$C$9)/(AM222*ATM_Conf!$C$8)*(Nodes!CA34-AM34)/(AM34+ATM_Conf!$C$10)</f>
        <v>#DIV/0!</v>
      </c>
      <c r="BH35" s="43" t="e">
        <f>BH34+(ATM_Conf!$C$5/ATM_Conf!$C$8)*(CB35*EXP(-(1/DP35)*(AN35/CV35)^DP35)-BH34)+(ATM_Conf!$C$5/AN222)*BH34*(BG34-BH34)-(ATM_Conf!$C$5*ATM_Conf!$C$9)/(AN222*ATM_Conf!$C$8)*(AO34-AN34)/(AN34+ATM_Conf!$C$10)</f>
        <v>#DIV/0!</v>
      </c>
      <c r="BI35" s="43" t="e">
        <f>BI34+(ATM_Conf!$C$5/ATM_Conf!$C$8)*(CC35*EXP(-(1/DQ35)*(AO35/CW35)^DQ35)-BI34)+(ATM_Conf!$C$5/AO222)*BI34*(BH34-BI34)</f>
        <v>#DIV/0!</v>
      </c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53"/>
      <c r="CY35" s="53"/>
      <c r="CZ35" s="53"/>
      <c r="DA35" s="53"/>
      <c r="DB35" s="53"/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  <c r="DR35" s="43">
        <f t="shared" si="29"/>
        <v>0</v>
      </c>
      <c r="DS35" s="43">
        <f t="shared" si="28"/>
        <v>0</v>
      </c>
      <c r="DT35" s="43">
        <f t="shared" si="28"/>
        <v>0</v>
      </c>
      <c r="DU35" s="43">
        <f t="shared" si="28"/>
        <v>0</v>
      </c>
      <c r="DV35" s="43">
        <f t="shared" si="28"/>
        <v>0</v>
      </c>
      <c r="DW35" s="43">
        <f t="shared" si="28"/>
        <v>0</v>
      </c>
      <c r="DX35" s="43">
        <f t="shared" si="28"/>
        <v>0</v>
      </c>
      <c r="DY35" s="43">
        <f t="shared" si="28"/>
        <v>0</v>
      </c>
      <c r="DZ35" s="43">
        <f t="shared" si="28"/>
        <v>0</v>
      </c>
      <c r="EA35" s="43">
        <f t="shared" si="28"/>
        <v>0</v>
      </c>
      <c r="EB35" s="43">
        <f t="shared" si="28"/>
        <v>0</v>
      </c>
      <c r="EC35" s="43">
        <f t="shared" si="28"/>
        <v>0</v>
      </c>
      <c r="ED35" s="43">
        <f t="shared" si="28"/>
        <v>0</v>
      </c>
      <c r="EE35" s="43">
        <f t="shared" si="28"/>
        <v>0</v>
      </c>
      <c r="EF35" s="43">
        <f t="shared" si="28"/>
        <v>0</v>
      </c>
      <c r="EG35" s="43">
        <f t="shared" si="28"/>
        <v>0</v>
      </c>
      <c r="EH35" s="43">
        <f t="shared" si="28"/>
        <v>0</v>
      </c>
      <c r="EI35" s="43">
        <f t="shared" si="28"/>
        <v>0</v>
      </c>
      <c r="EJ35" s="43">
        <f t="shared" si="28"/>
        <v>0</v>
      </c>
      <c r="EK35" s="43">
        <f t="shared" si="28"/>
        <v>0</v>
      </c>
      <c r="EL35" s="47"/>
      <c r="EM35" s="47"/>
      <c r="EN35" s="47"/>
      <c r="EO35" s="47"/>
      <c r="EP35" s="47"/>
      <c r="EQ35" s="47"/>
      <c r="ER35" s="47"/>
      <c r="ES35" s="47"/>
      <c r="ET35" s="47"/>
      <c r="EU35" s="47"/>
      <c r="EV35" s="47"/>
      <c r="EW35" s="47"/>
      <c r="EX35" s="47"/>
      <c r="EY35" s="47"/>
      <c r="EZ35" s="47"/>
      <c r="FA35" s="47"/>
      <c r="FB35" s="47"/>
      <c r="FC35" s="47"/>
      <c r="FD35" s="47"/>
      <c r="FE35" s="47"/>
    </row>
    <row r="36" spans="1:161" ht="14.25" x14ac:dyDescent="0.15">
      <c r="A36" s="46"/>
      <c r="B36" s="43" t="e">
        <f t="shared" si="2"/>
        <v>#DIV/0!</v>
      </c>
      <c r="C36" s="43" t="e">
        <f t="shared" si="3"/>
        <v>#DIV/0!</v>
      </c>
      <c r="D36" s="43" t="e">
        <f t="shared" si="4"/>
        <v>#DIV/0!</v>
      </c>
      <c r="E36" s="43" t="e">
        <f t="shared" si="5"/>
        <v>#DIV/0!</v>
      </c>
      <c r="F36" s="43" t="e">
        <f t="shared" si="6"/>
        <v>#DIV/0!</v>
      </c>
      <c r="G36" s="43" t="e">
        <f t="shared" si="7"/>
        <v>#DIV/0!</v>
      </c>
      <c r="H36" s="43" t="e">
        <f t="shared" si="8"/>
        <v>#DIV/0!</v>
      </c>
      <c r="I36" s="43" t="e">
        <f t="shared" si="9"/>
        <v>#DIV/0!</v>
      </c>
      <c r="J36" s="43" t="e">
        <f t="shared" si="10"/>
        <v>#DIV/0!</v>
      </c>
      <c r="K36" s="43" t="e">
        <f t="shared" si="11"/>
        <v>#DIV/0!</v>
      </c>
      <c r="L36" s="43" t="e">
        <f t="shared" si="12"/>
        <v>#DIV/0!</v>
      </c>
      <c r="M36" s="43" t="e">
        <f t="shared" si="13"/>
        <v>#DIV/0!</v>
      </c>
      <c r="N36" s="43" t="e">
        <f t="shared" si="14"/>
        <v>#DIV/0!</v>
      </c>
      <c r="O36" s="43" t="e">
        <f t="shared" si="15"/>
        <v>#DIV/0!</v>
      </c>
      <c r="P36" s="43" t="e">
        <f t="shared" si="16"/>
        <v>#DIV/0!</v>
      </c>
      <c r="Q36" s="43" t="e">
        <f t="shared" si="17"/>
        <v>#DIV/0!</v>
      </c>
      <c r="R36" s="43" t="e">
        <f t="shared" si="18"/>
        <v>#DIV/0!</v>
      </c>
      <c r="S36" s="43" t="e">
        <f t="shared" si="19"/>
        <v>#DIV/0!</v>
      </c>
      <c r="T36" s="43" t="e">
        <f t="shared" si="20"/>
        <v>#DIV/0!</v>
      </c>
      <c r="U36" s="43" t="e">
        <f t="shared" si="21"/>
        <v>#DIV/0!</v>
      </c>
      <c r="V36" s="53" t="e">
        <f>V35+ATM_Conf!$C$5*(B35)/(B223*V223)</f>
        <v>#DIV/0!</v>
      </c>
      <c r="W36" s="53" t="e">
        <f>W35+ATM_Conf!$C$5*(C35-B35)/(C223*W223)</f>
        <v>#DIV/0!</v>
      </c>
      <c r="X36" s="53" t="e">
        <f>X35+ATM_Conf!$C$5*(D35-C35)/(D223*X223)</f>
        <v>#DIV/0!</v>
      </c>
      <c r="Y36" s="53" t="e">
        <f>Y35+ATM_Conf!$C$5*(E35-D35)/(E223*Y223)</f>
        <v>#DIV/0!</v>
      </c>
      <c r="Z36" s="53" t="e">
        <f>Z35+ATM_Conf!$C$5*(F35-E35)/(F223*Z223)</f>
        <v>#DIV/0!</v>
      </c>
      <c r="AA36" s="53" t="e">
        <f>AA35+ATM_Conf!$C$5*(G35-F35)/(G223*AA223)</f>
        <v>#DIV/0!</v>
      </c>
      <c r="AB36" s="53" t="e">
        <f>AB35+ATM_Conf!$C$5*(H35-G35)/(H223*AB223)</f>
        <v>#DIV/0!</v>
      </c>
      <c r="AC36" s="53" t="e">
        <f>AC35+ATM_Conf!$C$5*(I35-H35)/(I223*AC223)</f>
        <v>#DIV/0!</v>
      </c>
      <c r="AD36" s="53" t="e">
        <f>AD35+ATM_Conf!$C$5*(J35-I35)/(J223*AD223)</f>
        <v>#DIV/0!</v>
      </c>
      <c r="AE36" s="53" t="e">
        <f>AE35+ATM_Conf!$C$5*(K35-J35)/(K223*AE223)</f>
        <v>#DIV/0!</v>
      </c>
      <c r="AF36" s="53" t="e">
        <f>AF35+ATM_Conf!$C$5*(L35)/(L223*AF223)</f>
        <v>#DIV/0!</v>
      </c>
      <c r="AG36" s="53" t="e">
        <f>AG35+ATM_Conf!$C$5*(M35-L35)/(M223*AG223)</f>
        <v>#DIV/0!</v>
      </c>
      <c r="AH36" s="53" t="e">
        <f>AH35+ATM_Conf!$C$5*(N35-M35)/(N223*AH223)</f>
        <v>#DIV/0!</v>
      </c>
      <c r="AI36" s="53" t="e">
        <f>AI35+ATM_Conf!$C$5*(O35-N35)/(O223*AI223)</f>
        <v>#DIV/0!</v>
      </c>
      <c r="AJ36" s="53" t="e">
        <f>AJ35+ATM_Conf!$C$5*(P35-O35)/(P223*AJ223)</f>
        <v>#DIV/0!</v>
      </c>
      <c r="AK36" s="53" t="e">
        <f>AK35+ATM_Conf!$C$5*(Q35-P35)/(Q223*AK223)</f>
        <v>#DIV/0!</v>
      </c>
      <c r="AL36" s="53" t="e">
        <f>AL35+ATM_Conf!$C$5*(R35-Q35)/(R223*AL223)</f>
        <v>#DIV/0!</v>
      </c>
      <c r="AM36" s="53" t="e">
        <f>AM35+ATM_Conf!$C$5*(S35-R35)/(S223*AM223)</f>
        <v>#DIV/0!</v>
      </c>
      <c r="AN36" s="53" t="e">
        <f>AN35+ATM_Conf!$C$5*(T35-S35)/(T223*AN223)</f>
        <v>#DIV/0!</v>
      </c>
      <c r="AO36" s="53" t="e">
        <f>AO35+ATM_Conf!$C$5*(U35-T35)/(U223*AO223)</f>
        <v>#DIV/0!</v>
      </c>
      <c r="AP36" s="43" t="e">
        <f>AP35+(ATM_Conf!$C$5/ATM_Conf!$C$8)*(BJ36*EXP(-(1/CX36)*(V36/CD36)^CX36)-AP35)-(ATM_Conf!$C$5*ATM_Conf!$C$9)/(V223*ATM_Conf!$C$8)*(Nodes!BO35-V35)/(V35+ATM_Conf!$C$10)</f>
        <v>#DIV/0!</v>
      </c>
      <c r="AQ36" s="43" t="e">
        <f>AQ35+(ATM_Conf!$C$5/ATM_Conf!$C$8)*(BK36*EXP(-(1/CY36)*(W36/CE36)^CY36)-AQ35)+(ATM_Conf!$C$5/W223)*AQ35*(AP35-AQ35)-(ATM_Conf!$C$5*ATM_Conf!$C$9)/(W223*ATM_Conf!$C$8)*(X35-W35)/(W35+ATM_Conf!$C$10)</f>
        <v>#DIV/0!</v>
      </c>
      <c r="AR36" s="43" t="e">
        <f>AR35+(ATM_Conf!$C$5/ATM_Conf!$C$8)*(BL36*EXP(-(1/CZ36)*(X36/CF36)^CZ36)-AR35)+(ATM_Conf!$C$5/X223)*AR35*(Nodes!BC35-AR35)-(ATM_Conf!$C$5*ATM_Conf!$C$9)/(X223*ATM_Conf!$C$8)*(Nodes!BQ35-X35)/(X35+ATM_Conf!$C$10)</f>
        <v>#DIV/0!</v>
      </c>
      <c r="AS36" s="43" t="e">
        <f>AS35+(ATM_Conf!$C$5/ATM_Conf!$C$8)*(BM36*EXP(-(1/DA36)*(Y36/CG36)^DA36)-AS35)+(ATM_Conf!$C$5/Y223)*AS35*(AR35-AS35)-(ATM_Conf!$C$5*ATM_Conf!$C$9)/(Y223*ATM_Conf!$C$8)*(Z35-Y35)/(Y35+ATM_Conf!$C$10)</f>
        <v>#DIV/0!</v>
      </c>
      <c r="AT36" s="43" t="e">
        <f>AT35+(ATM_Conf!$C$5/ATM_Conf!$C$8)*(BN36*EXP(-(1/DB36)*(Z36/CH36)^DB36)-AT35)+(ATM_Conf!$C$5/Z223)*AT35*(Nodes!BE35-AT35)-(ATM_Conf!$C$5*ATM_Conf!$C$9)/(Z223*ATM_Conf!$C$8)*(Nodes!BS35-Z35)/(Z35+ATM_Conf!$C$10)</f>
        <v>#DIV/0!</v>
      </c>
      <c r="AU36" s="43" t="e">
        <f>AU35+(ATM_Conf!$C$5/ATM_Conf!$C$8)*(BO36*EXP(-(1/DC36)*(AA36/CI36)^DC36)-AU35)+(ATM_Conf!$C$5/AA223)*AU35*(Nodes!BF35-AU35)-(ATM_Conf!$C$5*ATM_Conf!$C$9)/(AA223*ATM_Conf!$C$8)*(Nodes!BV35-AA35)/(AA35+ATM_Conf!$C$10)</f>
        <v>#DIV/0!</v>
      </c>
      <c r="AV36" s="43" t="e">
        <f>AV35+(ATM_Conf!$C$5/ATM_Conf!$C$8)*(BP36*EXP(-(1/DD36)*(AB36/CJ36)^DD36)-AV35)+(ATM_Conf!$C$5/AB223)*AV35*(AU35-AV35)-(ATM_Conf!$C$5*ATM_Conf!$C$9)/(AB223*ATM_Conf!$C$8)*(AC35-AB35)/(AB35+ATM_Conf!$C$10)</f>
        <v>#DIV/0!</v>
      </c>
      <c r="AW36" s="43" t="e">
        <f>AW35+(ATM_Conf!$C$5/ATM_Conf!$C$8)*(BQ36*EXP(-(1/DE36)*(AC36/CK36)^DE36)-AW35)+(ATM_Conf!$C$5/AC223)*AW35*(AV35-AW35)-(ATM_Conf!$C$5*ATM_Conf!$C$9)/(AC223*ATM_Conf!$C$8)*(AD35-AC35)/(AC35+ATM_Conf!$C$10)</f>
        <v>#DIV/0!</v>
      </c>
      <c r="AX36" s="43" t="e">
        <f>AX35+(ATM_Conf!$C$5/ATM_Conf!$C$8)*(BR36*EXP(-(1/DF36)*(AD36/CL36)^DF36)-AX35)+(ATM_Conf!$C$5/AD223)*AX35*(Nodes!BG35-AX35)-(ATM_Conf!$C$5*ATM_Conf!$C$9)/(AD223*ATM_Conf!$C$8)*(Nodes!BU35-AD35)/(AD35+ATM_Conf!$C$10)</f>
        <v>#DIV/0!</v>
      </c>
      <c r="AY36" s="43" t="e">
        <f>AY35+(ATM_Conf!$C$5/ATM_Conf!$C$8)*(BS36*EXP(-(1/DG36)*(AE36/CM36)^DG36)-AY35)+(ATM_Conf!$C$5/AE223)*AY35*(Nodes!BF35-AY35)</f>
        <v>#DIV/0!</v>
      </c>
      <c r="AZ36" s="43" t="e">
        <f>AZ35+(ATM_Conf!$C$5/ATM_Conf!$C$8)*(BT36*EXP(-(1/DH36)*(AF36/CN36)^DH36)-AZ35)-(ATM_Conf!$C$5*ATM_Conf!$C$9)/(AF223*ATM_Conf!$C$8)*(Nodes!BV35-AF35)/(AF35+ATM_Conf!$C$10)</f>
        <v>#DIV/0!</v>
      </c>
      <c r="BA36" s="43" t="e">
        <f>BA35+(ATM_Conf!$C$5/ATM_Conf!$C$8)*(BU36*EXP(-(1/DI36)*(AG36/CO36)^DI36)-BA35)+(ATM_Conf!$C$5/AG223)*BA35*(Nodes!BI35-BA35)-(ATM_Conf!$C$5*ATM_Conf!$C$9)/(AG223*ATM_Conf!$C$8)*(Nodes!BW35-AG35)/(AG35+ATM_Conf!$C$10)</f>
        <v>#DIV/0!</v>
      </c>
      <c r="BB36" s="43" t="e">
        <f>BB35+(ATM_Conf!$C$5/ATM_Conf!$C$8)*(BV36*EXP(-(1/DJ36)*(AH36/CP36)^DJ36)-BB35)+(ATM_Conf!$C$5/AH223)*BB35*(Nodes!BJ35-BB35)-(ATM_Conf!$C$5*ATM_Conf!$C$9)/(AH223*ATM_Conf!$C$8)*(AI35-AH35)/(AH35+ATM_Conf!$C$10)</f>
        <v>#DIV/0!</v>
      </c>
      <c r="BC36" s="43" t="e">
        <f>BC35+(ATM_Conf!$C$5/ATM_Conf!$C$8)*(BW36*EXP(-(1/DK36)*(AI36/CQ36)^DK36)-BC35)+(ATM_Conf!$C$5/AI223)*BC35*(BB35-BC35)-(ATM_Conf!$C$5*ATM_Conf!$C$9)/(AI223*ATM_Conf!$C$8)*(AJ35-AI35)/(AI35+ATM_Conf!$C$10)</f>
        <v>#DIV/0!</v>
      </c>
      <c r="BD36" s="43" t="e">
        <f>BD35+(ATM_Conf!$C$5/ATM_Conf!$C$8)*(BX36*EXP(-(1/DL36)*(AJ36/CR36)^DL36)-BD35)+(ATM_Conf!$C$5/AJ223)*BD35*(BC35-BD35)-(ATM_Conf!$C$5*ATM_Conf!$C$9)/(AJ223*ATM_Conf!$C$8)*(Nodes!BX35-AJ35)/(AJ35+ATM_Conf!$C$10)</f>
        <v>#DIV/0!</v>
      </c>
      <c r="BE36" s="43" t="e">
        <f>BE35+(ATM_Conf!$C$5/ATM_Conf!$C$8)*(BY36*EXP(-(1/DM36)*(AK36/CS36)^DM36)-BE35)+(ATM_Conf!$C$5/AK223)*BE35*(Nodes!BK35-BE35)-(ATM_Conf!$C$5*ATM_Conf!$C$9)/(AK223*ATM_Conf!$C$8)*(Nodes!BY35-AK35)/(AK35+ATM_Conf!$C$10)</f>
        <v>#DIV/0!</v>
      </c>
      <c r="BF36" s="43" t="e">
        <f>BF35+(ATM_Conf!$C$5/ATM_Conf!$C$8)*(BZ36*EXP(-(1/DN36)*(AL36/CT36)^DN36)-BF35)+(ATM_Conf!$C$5/AL223)*BF35*(BE35-BF35)-(ATM_Conf!$C$5*ATM_Conf!$C$9)/(AL223*ATM_Conf!$C$8)*(AM35-AL35)/(AL35+ATM_Conf!$C$10)</f>
        <v>#DIV/0!</v>
      </c>
      <c r="BG36" s="43" t="e">
        <f>BG35+(ATM_Conf!$C$5/ATM_Conf!$C$8)*(CA36*EXP(-(1/DO36)*(AM36/CU36)^DO36)-BG35)+(ATM_Conf!$C$5/AM223)*BG35*(Nodes!BM35-BG35)-(ATM_Conf!$C$5*ATM_Conf!$C$9)/(AM223*ATM_Conf!$C$8)*(Nodes!CA35-AM35)/(AM35+ATM_Conf!$C$10)</f>
        <v>#DIV/0!</v>
      </c>
      <c r="BH36" s="43" t="e">
        <f>BH35+(ATM_Conf!$C$5/ATM_Conf!$C$8)*(CB36*EXP(-(1/DP36)*(AN36/CV36)^DP36)-BH35)+(ATM_Conf!$C$5/AN223)*BH35*(BG35-BH35)-(ATM_Conf!$C$5*ATM_Conf!$C$9)/(AN223*ATM_Conf!$C$8)*(AO35-AN35)/(AN35+ATM_Conf!$C$10)</f>
        <v>#DIV/0!</v>
      </c>
      <c r="BI36" s="43" t="e">
        <f>BI35+(ATM_Conf!$C$5/ATM_Conf!$C$8)*(CC36*EXP(-(1/DQ36)*(AO36/CW36)^DQ36)-BI35)+(ATM_Conf!$C$5/AO223)*BI35*(BH35-BI35)</f>
        <v>#DIV/0!</v>
      </c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53"/>
      <c r="CY36" s="53"/>
      <c r="CZ36" s="53"/>
      <c r="DA36" s="53"/>
      <c r="DB36" s="53"/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  <c r="DR36" s="43">
        <f t="shared" si="29"/>
        <v>0</v>
      </c>
      <c r="DS36" s="43">
        <f t="shared" si="28"/>
        <v>0</v>
      </c>
      <c r="DT36" s="43">
        <f t="shared" si="28"/>
        <v>0</v>
      </c>
      <c r="DU36" s="43">
        <f t="shared" si="28"/>
        <v>0</v>
      </c>
      <c r="DV36" s="43">
        <f t="shared" si="28"/>
        <v>0</v>
      </c>
      <c r="DW36" s="43">
        <f t="shared" si="28"/>
        <v>0</v>
      </c>
      <c r="DX36" s="43">
        <f t="shared" si="28"/>
        <v>0</v>
      </c>
      <c r="DY36" s="43">
        <f t="shared" si="28"/>
        <v>0</v>
      </c>
      <c r="DZ36" s="43">
        <f t="shared" si="28"/>
        <v>0</v>
      </c>
      <c r="EA36" s="43">
        <f t="shared" si="28"/>
        <v>0</v>
      </c>
      <c r="EB36" s="43">
        <f t="shared" si="28"/>
        <v>0</v>
      </c>
      <c r="EC36" s="43">
        <f t="shared" si="28"/>
        <v>0</v>
      </c>
      <c r="ED36" s="43">
        <f t="shared" si="28"/>
        <v>0</v>
      </c>
      <c r="EE36" s="43">
        <f t="shared" si="28"/>
        <v>0</v>
      </c>
      <c r="EF36" s="43">
        <f t="shared" si="28"/>
        <v>0</v>
      </c>
      <c r="EG36" s="43">
        <f t="shared" si="28"/>
        <v>0</v>
      </c>
      <c r="EH36" s="43">
        <f t="shared" si="28"/>
        <v>0</v>
      </c>
      <c r="EI36" s="43">
        <f t="shared" si="28"/>
        <v>0</v>
      </c>
      <c r="EJ36" s="43">
        <f t="shared" si="28"/>
        <v>0</v>
      </c>
      <c r="EK36" s="43">
        <f t="shared" si="28"/>
        <v>0</v>
      </c>
      <c r="EL36" s="47"/>
      <c r="EM36" s="47"/>
      <c r="EN36" s="47"/>
      <c r="EO36" s="47"/>
      <c r="EP36" s="47"/>
      <c r="EQ36" s="47"/>
      <c r="ER36" s="47"/>
      <c r="ES36" s="47"/>
      <c r="ET36" s="47"/>
      <c r="EU36" s="47"/>
      <c r="EV36" s="47"/>
      <c r="EW36" s="47"/>
      <c r="EX36" s="47"/>
      <c r="EY36" s="47"/>
      <c r="EZ36" s="47"/>
      <c r="FA36" s="47"/>
      <c r="FB36" s="47"/>
      <c r="FC36" s="47"/>
      <c r="FD36" s="47"/>
      <c r="FE36" s="47"/>
    </row>
    <row r="37" spans="1:161" ht="14.25" x14ac:dyDescent="0.15">
      <c r="A37" s="46"/>
      <c r="B37" s="43" t="e">
        <f t="shared" si="2"/>
        <v>#DIV/0!</v>
      </c>
      <c r="C37" s="43" t="e">
        <f t="shared" si="3"/>
        <v>#DIV/0!</v>
      </c>
      <c r="D37" s="43" t="e">
        <f t="shared" si="4"/>
        <v>#DIV/0!</v>
      </c>
      <c r="E37" s="43" t="e">
        <f t="shared" si="5"/>
        <v>#DIV/0!</v>
      </c>
      <c r="F37" s="43" t="e">
        <f t="shared" si="6"/>
        <v>#DIV/0!</v>
      </c>
      <c r="G37" s="43" t="e">
        <f t="shared" si="7"/>
        <v>#DIV/0!</v>
      </c>
      <c r="H37" s="43" t="e">
        <f t="shared" si="8"/>
        <v>#DIV/0!</v>
      </c>
      <c r="I37" s="43" t="e">
        <f t="shared" si="9"/>
        <v>#DIV/0!</v>
      </c>
      <c r="J37" s="43" t="e">
        <f t="shared" si="10"/>
        <v>#DIV/0!</v>
      </c>
      <c r="K37" s="43" t="e">
        <f t="shared" si="11"/>
        <v>#DIV/0!</v>
      </c>
      <c r="L37" s="43" t="e">
        <f t="shared" si="12"/>
        <v>#DIV/0!</v>
      </c>
      <c r="M37" s="43" t="e">
        <f t="shared" si="13"/>
        <v>#DIV/0!</v>
      </c>
      <c r="N37" s="43" t="e">
        <f t="shared" si="14"/>
        <v>#DIV/0!</v>
      </c>
      <c r="O37" s="43" t="e">
        <f t="shared" si="15"/>
        <v>#DIV/0!</v>
      </c>
      <c r="P37" s="43" t="e">
        <f t="shared" si="16"/>
        <v>#DIV/0!</v>
      </c>
      <c r="Q37" s="43" t="e">
        <f t="shared" si="17"/>
        <v>#DIV/0!</v>
      </c>
      <c r="R37" s="43" t="e">
        <f t="shared" si="18"/>
        <v>#DIV/0!</v>
      </c>
      <c r="S37" s="43" t="e">
        <f t="shared" si="19"/>
        <v>#DIV/0!</v>
      </c>
      <c r="T37" s="43" t="e">
        <f t="shared" si="20"/>
        <v>#DIV/0!</v>
      </c>
      <c r="U37" s="43" t="e">
        <f t="shared" si="21"/>
        <v>#DIV/0!</v>
      </c>
      <c r="V37" s="53" t="e">
        <f>V36+ATM_Conf!$C$5*(B36)/(B224*V224)</f>
        <v>#DIV/0!</v>
      </c>
      <c r="W37" s="53" t="e">
        <f>W36+ATM_Conf!$C$5*(C36-B36)/(C224*W224)</f>
        <v>#DIV/0!</v>
      </c>
      <c r="X37" s="53" t="e">
        <f>X36+ATM_Conf!$C$5*(D36-C36)/(D224*X224)</f>
        <v>#DIV/0!</v>
      </c>
      <c r="Y37" s="53" t="e">
        <f>Y36+ATM_Conf!$C$5*(E36-D36)/(E224*Y224)</f>
        <v>#DIV/0!</v>
      </c>
      <c r="Z37" s="53" t="e">
        <f>Z36+ATM_Conf!$C$5*(F36-E36)/(F224*Z224)</f>
        <v>#DIV/0!</v>
      </c>
      <c r="AA37" s="53" t="e">
        <f>AA36+ATM_Conf!$C$5*(G36-F36)/(G224*AA224)</f>
        <v>#DIV/0!</v>
      </c>
      <c r="AB37" s="53" t="e">
        <f>AB36+ATM_Conf!$C$5*(H36-G36)/(H224*AB224)</f>
        <v>#DIV/0!</v>
      </c>
      <c r="AC37" s="53" t="e">
        <f>AC36+ATM_Conf!$C$5*(I36-H36)/(I224*AC224)</f>
        <v>#DIV/0!</v>
      </c>
      <c r="AD37" s="53" t="e">
        <f>AD36+ATM_Conf!$C$5*(J36-I36)/(J224*AD224)</f>
        <v>#DIV/0!</v>
      </c>
      <c r="AE37" s="53" t="e">
        <f>AE36+ATM_Conf!$C$5*(K36-J36)/(K224*AE224)</f>
        <v>#DIV/0!</v>
      </c>
      <c r="AF37" s="53" t="e">
        <f>AF36+ATM_Conf!$C$5*(L36)/(L224*AF224)</f>
        <v>#DIV/0!</v>
      </c>
      <c r="AG37" s="53" t="e">
        <f>AG36+ATM_Conf!$C$5*(M36-L36)/(M224*AG224)</f>
        <v>#DIV/0!</v>
      </c>
      <c r="AH37" s="53" t="e">
        <f>AH36+ATM_Conf!$C$5*(N36-M36)/(N224*AH224)</f>
        <v>#DIV/0!</v>
      </c>
      <c r="AI37" s="53" t="e">
        <f>AI36+ATM_Conf!$C$5*(O36-N36)/(O224*AI224)</f>
        <v>#DIV/0!</v>
      </c>
      <c r="AJ37" s="53" t="e">
        <f>AJ36+ATM_Conf!$C$5*(P36-O36)/(P224*AJ224)</f>
        <v>#DIV/0!</v>
      </c>
      <c r="AK37" s="53" t="e">
        <f>AK36+ATM_Conf!$C$5*(Q36-P36)/(Q224*AK224)</f>
        <v>#DIV/0!</v>
      </c>
      <c r="AL37" s="53" t="e">
        <f>AL36+ATM_Conf!$C$5*(R36-Q36)/(R224*AL224)</f>
        <v>#DIV/0!</v>
      </c>
      <c r="AM37" s="53" t="e">
        <f>AM36+ATM_Conf!$C$5*(S36-R36)/(S224*AM224)</f>
        <v>#DIV/0!</v>
      </c>
      <c r="AN37" s="53" t="e">
        <f>AN36+ATM_Conf!$C$5*(T36-S36)/(T224*AN224)</f>
        <v>#DIV/0!</v>
      </c>
      <c r="AO37" s="53" t="e">
        <f>AO36+ATM_Conf!$C$5*(U36-T36)/(U224*AO224)</f>
        <v>#DIV/0!</v>
      </c>
      <c r="AP37" s="43" t="e">
        <f>AP36+(ATM_Conf!$C$5/ATM_Conf!$C$8)*(BJ37*EXP(-(1/CX37)*(V37/CD37)^CX37)-AP36)-(ATM_Conf!$C$5*ATM_Conf!$C$9)/(V224*ATM_Conf!$C$8)*(Nodes!BO36-V36)/(V36+ATM_Conf!$C$10)</f>
        <v>#DIV/0!</v>
      </c>
      <c r="AQ37" s="43" t="e">
        <f>AQ36+(ATM_Conf!$C$5/ATM_Conf!$C$8)*(BK37*EXP(-(1/CY37)*(W37/CE37)^CY37)-AQ36)+(ATM_Conf!$C$5/W224)*AQ36*(AP36-AQ36)-(ATM_Conf!$C$5*ATM_Conf!$C$9)/(W224*ATM_Conf!$C$8)*(X36-W36)/(W36+ATM_Conf!$C$10)</f>
        <v>#DIV/0!</v>
      </c>
      <c r="AR37" s="43" t="e">
        <f>AR36+(ATM_Conf!$C$5/ATM_Conf!$C$8)*(BL37*EXP(-(1/CZ37)*(X37/CF37)^CZ37)-AR36)+(ATM_Conf!$C$5/X224)*AR36*(Nodes!BC36-AR36)-(ATM_Conf!$C$5*ATM_Conf!$C$9)/(X224*ATM_Conf!$C$8)*(Nodes!BQ36-X36)/(X36+ATM_Conf!$C$10)</f>
        <v>#DIV/0!</v>
      </c>
      <c r="AS37" s="43" t="e">
        <f>AS36+(ATM_Conf!$C$5/ATM_Conf!$C$8)*(BM37*EXP(-(1/DA37)*(Y37/CG37)^DA37)-AS36)+(ATM_Conf!$C$5/Y224)*AS36*(AR36-AS36)-(ATM_Conf!$C$5*ATM_Conf!$C$9)/(Y224*ATM_Conf!$C$8)*(Z36-Y36)/(Y36+ATM_Conf!$C$10)</f>
        <v>#DIV/0!</v>
      </c>
      <c r="AT37" s="43" t="e">
        <f>AT36+(ATM_Conf!$C$5/ATM_Conf!$C$8)*(BN37*EXP(-(1/DB37)*(Z37/CH37)^DB37)-AT36)+(ATM_Conf!$C$5/Z224)*AT36*(Nodes!BE36-AT36)-(ATM_Conf!$C$5*ATM_Conf!$C$9)/(Z224*ATM_Conf!$C$8)*(Nodes!BS36-Z36)/(Z36+ATM_Conf!$C$10)</f>
        <v>#DIV/0!</v>
      </c>
      <c r="AU37" s="43" t="e">
        <f>AU36+(ATM_Conf!$C$5/ATM_Conf!$C$8)*(BO37*EXP(-(1/DC37)*(AA37/CI37)^DC37)-AU36)+(ATM_Conf!$C$5/AA224)*AU36*(Nodes!BF36-AU36)-(ATM_Conf!$C$5*ATM_Conf!$C$9)/(AA224*ATM_Conf!$C$8)*(Nodes!BV36-AA36)/(AA36+ATM_Conf!$C$10)</f>
        <v>#DIV/0!</v>
      </c>
      <c r="AV37" s="43" t="e">
        <f>AV36+(ATM_Conf!$C$5/ATM_Conf!$C$8)*(BP37*EXP(-(1/DD37)*(AB37/CJ37)^DD37)-AV36)+(ATM_Conf!$C$5/AB224)*AV36*(AU36-AV36)-(ATM_Conf!$C$5*ATM_Conf!$C$9)/(AB224*ATM_Conf!$C$8)*(AC36-AB36)/(AB36+ATM_Conf!$C$10)</f>
        <v>#DIV/0!</v>
      </c>
      <c r="AW37" s="43" t="e">
        <f>AW36+(ATM_Conf!$C$5/ATM_Conf!$C$8)*(BQ37*EXP(-(1/DE37)*(AC37/CK37)^DE37)-AW36)+(ATM_Conf!$C$5/AC224)*AW36*(AV36-AW36)-(ATM_Conf!$C$5*ATM_Conf!$C$9)/(AC224*ATM_Conf!$C$8)*(AD36-AC36)/(AC36+ATM_Conf!$C$10)</f>
        <v>#DIV/0!</v>
      </c>
      <c r="AX37" s="43" t="e">
        <f>AX36+(ATM_Conf!$C$5/ATM_Conf!$C$8)*(BR37*EXP(-(1/DF37)*(AD37/CL37)^DF37)-AX36)+(ATM_Conf!$C$5/AD224)*AX36*(Nodes!BG36-AX36)-(ATM_Conf!$C$5*ATM_Conf!$C$9)/(AD224*ATM_Conf!$C$8)*(Nodes!BU36-AD36)/(AD36+ATM_Conf!$C$10)</f>
        <v>#DIV/0!</v>
      </c>
      <c r="AY37" s="43" t="e">
        <f>AY36+(ATM_Conf!$C$5/ATM_Conf!$C$8)*(BS37*EXP(-(1/DG37)*(AE37/CM37)^DG37)-AY36)+(ATM_Conf!$C$5/AE224)*AY36*(Nodes!BF36-AY36)</f>
        <v>#DIV/0!</v>
      </c>
      <c r="AZ37" s="43" t="e">
        <f>AZ36+(ATM_Conf!$C$5/ATM_Conf!$C$8)*(BT37*EXP(-(1/DH37)*(AF37/CN37)^DH37)-AZ36)-(ATM_Conf!$C$5*ATM_Conf!$C$9)/(AF224*ATM_Conf!$C$8)*(Nodes!BV36-AF36)/(AF36+ATM_Conf!$C$10)</f>
        <v>#DIV/0!</v>
      </c>
      <c r="BA37" s="43" t="e">
        <f>BA36+(ATM_Conf!$C$5/ATM_Conf!$C$8)*(BU37*EXP(-(1/DI37)*(AG37/CO37)^DI37)-BA36)+(ATM_Conf!$C$5/AG224)*BA36*(Nodes!BI36-BA36)-(ATM_Conf!$C$5*ATM_Conf!$C$9)/(AG224*ATM_Conf!$C$8)*(Nodes!BW36-AG36)/(AG36+ATM_Conf!$C$10)</f>
        <v>#DIV/0!</v>
      </c>
      <c r="BB37" s="43" t="e">
        <f>BB36+(ATM_Conf!$C$5/ATM_Conf!$C$8)*(BV37*EXP(-(1/DJ37)*(AH37/CP37)^DJ37)-BB36)+(ATM_Conf!$C$5/AH224)*BB36*(Nodes!BJ36-BB36)-(ATM_Conf!$C$5*ATM_Conf!$C$9)/(AH224*ATM_Conf!$C$8)*(AI36-AH36)/(AH36+ATM_Conf!$C$10)</f>
        <v>#DIV/0!</v>
      </c>
      <c r="BC37" s="43" t="e">
        <f>BC36+(ATM_Conf!$C$5/ATM_Conf!$C$8)*(BW37*EXP(-(1/DK37)*(AI37/CQ37)^DK37)-BC36)+(ATM_Conf!$C$5/AI224)*BC36*(BB36-BC36)-(ATM_Conf!$C$5*ATM_Conf!$C$9)/(AI224*ATM_Conf!$C$8)*(AJ36-AI36)/(AI36+ATM_Conf!$C$10)</f>
        <v>#DIV/0!</v>
      </c>
      <c r="BD37" s="43" t="e">
        <f>BD36+(ATM_Conf!$C$5/ATM_Conf!$C$8)*(BX37*EXP(-(1/DL37)*(AJ37/CR37)^DL37)-BD36)+(ATM_Conf!$C$5/AJ224)*BD36*(BC36-BD36)-(ATM_Conf!$C$5*ATM_Conf!$C$9)/(AJ224*ATM_Conf!$C$8)*(Nodes!BX36-AJ36)/(AJ36+ATM_Conf!$C$10)</f>
        <v>#DIV/0!</v>
      </c>
      <c r="BE37" s="43" t="e">
        <f>BE36+(ATM_Conf!$C$5/ATM_Conf!$C$8)*(BY37*EXP(-(1/DM37)*(AK37/CS37)^DM37)-BE36)+(ATM_Conf!$C$5/AK224)*BE36*(Nodes!BK36-BE36)-(ATM_Conf!$C$5*ATM_Conf!$C$9)/(AK224*ATM_Conf!$C$8)*(Nodes!BY36-AK36)/(AK36+ATM_Conf!$C$10)</f>
        <v>#DIV/0!</v>
      </c>
      <c r="BF37" s="43" t="e">
        <f>BF36+(ATM_Conf!$C$5/ATM_Conf!$C$8)*(BZ37*EXP(-(1/DN37)*(AL37/CT37)^DN37)-BF36)+(ATM_Conf!$C$5/AL224)*BF36*(BE36-BF36)-(ATM_Conf!$C$5*ATM_Conf!$C$9)/(AL224*ATM_Conf!$C$8)*(AM36-AL36)/(AL36+ATM_Conf!$C$10)</f>
        <v>#DIV/0!</v>
      </c>
      <c r="BG37" s="43" t="e">
        <f>BG36+(ATM_Conf!$C$5/ATM_Conf!$C$8)*(CA37*EXP(-(1/DO37)*(AM37/CU37)^DO37)-BG36)+(ATM_Conf!$C$5/AM224)*BG36*(Nodes!BM36-BG36)-(ATM_Conf!$C$5*ATM_Conf!$C$9)/(AM224*ATM_Conf!$C$8)*(Nodes!CA36-AM36)/(AM36+ATM_Conf!$C$10)</f>
        <v>#DIV/0!</v>
      </c>
      <c r="BH37" s="43" t="e">
        <f>BH36+(ATM_Conf!$C$5/ATM_Conf!$C$8)*(CB37*EXP(-(1/DP37)*(AN37/CV37)^DP37)-BH36)+(ATM_Conf!$C$5/AN224)*BH36*(BG36-BH36)-(ATM_Conf!$C$5*ATM_Conf!$C$9)/(AN224*ATM_Conf!$C$8)*(AO36-AN36)/(AN36+ATM_Conf!$C$10)</f>
        <v>#DIV/0!</v>
      </c>
      <c r="BI37" s="43" t="e">
        <f>BI36+(ATM_Conf!$C$5/ATM_Conf!$C$8)*(CC37*EXP(-(1/DQ37)*(AO37/CW37)^DQ37)-BI36)+(ATM_Conf!$C$5/AO224)*BI36*(BH36-BI36)</f>
        <v>#DIV/0!</v>
      </c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53"/>
      <c r="CY37" s="53"/>
      <c r="CZ37" s="53"/>
      <c r="DA37" s="53"/>
      <c r="DB37" s="53"/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  <c r="DR37" s="43">
        <f t="shared" si="29"/>
        <v>0</v>
      </c>
      <c r="DS37" s="43">
        <f t="shared" si="28"/>
        <v>0</v>
      </c>
      <c r="DT37" s="43">
        <f t="shared" si="28"/>
        <v>0</v>
      </c>
      <c r="DU37" s="43">
        <f t="shared" si="28"/>
        <v>0</v>
      </c>
      <c r="DV37" s="43">
        <f t="shared" si="28"/>
        <v>0</v>
      </c>
      <c r="DW37" s="43">
        <f t="shared" si="28"/>
        <v>0</v>
      </c>
      <c r="DX37" s="43">
        <f t="shared" si="28"/>
        <v>0</v>
      </c>
      <c r="DY37" s="43">
        <f t="shared" si="28"/>
        <v>0</v>
      </c>
      <c r="DZ37" s="43">
        <f t="shared" si="28"/>
        <v>0</v>
      </c>
      <c r="EA37" s="43">
        <f t="shared" si="28"/>
        <v>0</v>
      </c>
      <c r="EB37" s="43">
        <f t="shared" si="28"/>
        <v>0</v>
      </c>
      <c r="EC37" s="43">
        <f t="shared" si="28"/>
        <v>0</v>
      </c>
      <c r="ED37" s="43">
        <f t="shared" si="28"/>
        <v>0</v>
      </c>
      <c r="EE37" s="43">
        <f t="shared" si="28"/>
        <v>0</v>
      </c>
      <c r="EF37" s="43">
        <f t="shared" si="28"/>
        <v>0</v>
      </c>
      <c r="EG37" s="43">
        <f t="shared" si="28"/>
        <v>0</v>
      </c>
      <c r="EH37" s="43">
        <f t="shared" si="28"/>
        <v>0</v>
      </c>
      <c r="EI37" s="43">
        <f t="shared" si="28"/>
        <v>0</v>
      </c>
      <c r="EJ37" s="43">
        <f t="shared" si="28"/>
        <v>0</v>
      </c>
      <c r="EK37" s="43">
        <f t="shared" si="28"/>
        <v>0</v>
      </c>
      <c r="EL37" s="47"/>
      <c r="EM37" s="47"/>
      <c r="EN37" s="47"/>
      <c r="EO37" s="47"/>
      <c r="EP37" s="47"/>
      <c r="EQ37" s="47"/>
      <c r="ER37" s="47"/>
      <c r="ES37" s="47"/>
      <c r="ET37" s="47"/>
      <c r="EU37" s="47"/>
      <c r="EV37" s="47"/>
      <c r="EW37" s="47"/>
      <c r="EX37" s="47"/>
      <c r="EY37" s="47"/>
      <c r="EZ37" s="47"/>
      <c r="FA37" s="47"/>
      <c r="FB37" s="47"/>
      <c r="FC37" s="47"/>
      <c r="FD37" s="47"/>
      <c r="FE37" s="47"/>
    </row>
    <row r="38" spans="1:161" ht="14.25" x14ac:dyDescent="0.15">
      <c r="A38" s="46"/>
      <c r="B38" s="43" t="e">
        <f t="shared" si="2"/>
        <v>#DIV/0!</v>
      </c>
      <c r="C38" s="43" t="e">
        <f t="shared" si="3"/>
        <v>#DIV/0!</v>
      </c>
      <c r="D38" s="43" t="e">
        <f t="shared" si="4"/>
        <v>#DIV/0!</v>
      </c>
      <c r="E38" s="43" t="e">
        <f t="shared" si="5"/>
        <v>#DIV/0!</v>
      </c>
      <c r="F38" s="43" t="e">
        <f t="shared" si="6"/>
        <v>#DIV/0!</v>
      </c>
      <c r="G38" s="43" t="e">
        <f t="shared" si="7"/>
        <v>#DIV/0!</v>
      </c>
      <c r="H38" s="43" t="e">
        <f t="shared" si="8"/>
        <v>#DIV/0!</v>
      </c>
      <c r="I38" s="43" t="e">
        <f t="shared" si="9"/>
        <v>#DIV/0!</v>
      </c>
      <c r="J38" s="43" t="e">
        <f t="shared" si="10"/>
        <v>#DIV/0!</v>
      </c>
      <c r="K38" s="43" t="e">
        <f t="shared" si="11"/>
        <v>#DIV/0!</v>
      </c>
      <c r="L38" s="43" t="e">
        <f t="shared" si="12"/>
        <v>#DIV/0!</v>
      </c>
      <c r="M38" s="43" t="e">
        <f t="shared" si="13"/>
        <v>#DIV/0!</v>
      </c>
      <c r="N38" s="43" t="e">
        <f t="shared" si="14"/>
        <v>#DIV/0!</v>
      </c>
      <c r="O38" s="43" t="e">
        <f t="shared" si="15"/>
        <v>#DIV/0!</v>
      </c>
      <c r="P38" s="43" t="e">
        <f t="shared" si="16"/>
        <v>#DIV/0!</v>
      </c>
      <c r="Q38" s="43" t="e">
        <f t="shared" si="17"/>
        <v>#DIV/0!</v>
      </c>
      <c r="R38" s="43" t="e">
        <f t="shared" si="18"/>
        <v>#DIV/0!</v>
      </c>
      <c r="S38" s="43" t="e">
        <f t="shared" si="19"/>
        <v>#DIV/0!</v>
      </c>
      <c r="T38" s="43" t="e">
        <f t="shared" si="20"/>
        <v>#DIV/0!</v>
      </c>
      <c r="U38" s="43" t="e">
        <f t="shared" si="21"/>
        <v>#DIV/0!</v>
      </c>
      <c r="V38" s="53" t="e">
        <f>V37+ATM_Conf!$C$5*(B37)/(B225*V225)</f>
        <v>#DIV/0!</v>
      </c>
      <c r="W38" s="53" t="e">
        <f>W37+ATM_Conf!$C$5*(C37-B37)/(C225*W225)</f>
        <v>#DIV/0!</v>
      </c>
      <c r="X38" s="53" t="e">
        <f>X37+ATM_Conf!$C$5*(D37-C37)/(D225*X225)</f>
        <v>#DIV/0!</v>
      </c>
      <c r="Y38" s="53" t="e">
        <f>Y37+ATM_Conf!$C$5*(E37-D37)/(E225*Y225)</f>
        <v>#DIV/0!</v>
      </c>
      <c r="Z38" s="53" t="e">
        <f>Z37+ATM_Conf!$C$5*(F37-E37)/(F225*Z225)</f>
        <v>#DIV/0!</v>
      </c>
      <c r="AA38" s="53" t="e">
        <f>AA37+ATM_Conf!$C$5*(G37-F37)/(G225*AA225)</f>
        <v>#DIV/0!</v>
      </c>
      <c r="AB38" s="53" t="e">
        <f>AB37+ATM_Conf!$C$5*(H37-G37)/(H225*AB225)</f>
        <v>#DIV/0!</v>
      </c>
      <c r="AC38" s="53" t="e">
        <f>AC37+ATM_Conf!$C$5*(I37-H37)/(I225*AC225)</f>
        <v>#DIV/0!</v>
      </c>
      <c r="AD38" s="53" t="e">
        <f>AD37+ATM_Conf!$C$5*(J37-I37)/(J225*AD225)</f>
        <v>#DIV/0!</v>
      </c>
      <c r="AE38" s="53" t="e">
        <f>AE37+ATM_Conf!$C$5*(K37-J37)/(K225*AE225)</f>
        <v>#DIV/0!</v>
      </c>
      <c r="AF38" s="53" t="e">
        <f>AF37+ATM_Conf!$C$5*(L37)/(L225*AF225)</f>
        <v>#DIV/0!</v>
      </c>
      <c r="AG38" s="53" t="e">
        <f>AG37+ATM_Conf!$C$5*(M37-L37)/(M225*AG225)</f>
        <v>#DIV/0!</v>
      </c>
      <c r="AH38" s="53" t="e">
        <f>AH37+ATM_Conf!$C$5*(N37-M37)/(N225*AH225)</f>
        <v>#DIV/0!</v>
      </c>
      <c r="AI38" s="53" t="e">
        <f>AI37+ATM_Conf!$C$5*(O37-N37)/(O225*AI225)</f>
        <v>#DIV/0!</v>
      </c>
      <c r="AJ38" s="53" t="e">
        <f>AJ37+ATM_Conf!$C$5*(P37-O37)/(P225*AJ225)</f>
        <v>#DIV/0!</v>
      </c>
      <c r="AK38" s="53" t="e">
        <f>AK37+ATM_Conf!$C$5*(Q37-P37)/(Q225*AK225)</f>
        <v>#DIV/0!</v>
      </c>
      <c r="AL38" s="53" t="e">
        <f>AL37+ATM_Conf!$C$5*(R37-Q37)/(R225*AL225)</f>
        <v>#DIV/0!</v>
      </c>
      <c r="AM38" s="53" t="e">
        <f>AM37+ATM_Conf!$C$5*(S37-R37)/(S225*AM225)</f>
        <v>#DIV/0!</v>
      </c>
      <c r="AN38" s="53" t="e">
        <f>AN37+ATM_Conf!$C$5*(T37-S37)/(T225*AN225)</f>
        <v>#DIV/0!</v>
      </c>
      <c r="AO38" s="53" t="e">
        <f>AO37+ATM_Conf!$C$5*(U37-T37)/(U225*AO225)</f>
        <v>#DIV/0!</v>
      </c>
      <c r="AP38" s="43" t="e">
        <f>AP37+(ATM_Conf!$C$5/ATM_Conf!$C$8)*(BJ38*EXP(-(1/CX38)*(V38/CD38)^CX38)-AP37)-(ATM_Conf!$C$5*ATM_Conf!$C$9)/(V225*ATM_Conf!$C$8)*(Nodes!BO37-V37)/(V37+ATM_Conf!$C$10)</f>
        <v>#DIV/0!</v>
      </c>
      <c r="AQ38" s="43" t="e">
        <f>AQ37+(ATM_Conf!$C$5/ATM_Conf!$C$8)*(BK38*EXP(-(1/CY38)*(W38/CE38)^CY38)-AQ37)+(ATM_Conf!$C$5/W225)*AQ37*(AP37-AQ37)-(ATM_Conf!$C$5*ATM_Conf!$C$9)/(W225*ATM_Conf!$C$8)*(X37-W37)/(W37+ATM_Conf!$C$10)</f>
        <v>#DIV/0!</v>
      </c>
      <c r="AR38" s="43" t="e">
        <f>AR37+(ATM_Conf!$C$5/ATM_Conf!$C$8)*(BL38*EXP(-(1/CZ38)*(X38/CF38)^CZ38)-AR37)+(ATM_Conf!$C$5/X225)*AR37*(Nodes!BC37-AR37)-(ATM_Conf!$C$5*ATM_Conf!$C$9)/(X225*ATM_Conf!$C$8)*(Nodes!BQ37-X37)/(X37+ATM_Conf!$C$10)</f>
        <v>#DIV/0!</v>
      </c>
      <c r="AS38" s="43" t="e">
        <f>AS37+(ATM_Conf!$C$5/ATM_Conf!$C$8)*(BM38*EXP(-(1/DA38)*(Y38/CG38)^DA38)-AS37)+(ATM_Conf!$C$5/Y225)*AS37*(AR37-AS37)-(ATM_Conf!$C$5*ATM_Conf!$C$9)/(Y225*ATM_Conf!$C$8)*(Z37-Y37)/(Y37+ATM_Conf!$C$10)</f>
        <v>#DIV/0!</v>
      </c>
      <c r="AT38" s="43" t="e">
        <f>AT37+(ATM_Conf!$C$5/ATM_Conf!$C$8)*(BN38*EXP(-(1/DB38)*(Z38/CH38)^DB38)-AT37)+(ATM_Conf!$C$5/Z225)*AT37*(Nodes!BE37-AT37)-(ATM_Conf!$C$5*ATM_Conf!$C$9)/(Z225*ATM_Conf!$C$8)*(Nodes!BS37-Z37)/(Z37+ATM_Conf!$C$10)</f>
        <v>#DIV/0!</v>
      </c>
      <c r="AU38" s="43" t="e">
        <f>AU37+(ATM_Conf!$C$5/ATM_Conf!$C$8)*(BO38*EXP(-(1/DC38)*(AA38/CI38)^DC38)-AU37)+(ATM_Conf!$C$5/AA225)*AU37*(Nodes!BF37-AU37)-(ATM_Conf!$C$5*ATM_Conf!$C$9)/(AA225*ATM_Conf!$C$8)*(Nodes!BV37-AA37)/(AA37+ATM_Conf!$C$10)</f>
        <v>#DIV/0!</v>
      </c>
      <c r="AV38" s="43" t="e">
        <f>AV37+(ATM_Conf!$C$5/ATM_Conf!$C$8)*(BP38*EXP(-(1/DD38)*(AB38/CJ38)^DD38)-AV37)+(ATM_Conf!$C$5/AB225)*AV37*(AU37-AV37)-(ATM_Conf!$C$5*ATM_Conf!$C$9)/(AB225*ATM_Conf!$C$8)*(AC37-AB37)/(AB37+ATM_Conf!$C$10)</f>
        <v>#DIV/0!</v>
      </c>
      <c r="AW38" s="43" t="e">
        <f>AW37+(ATM_Conf!$C$5/ATM_Conf!$C$8)*(BQ38*EXP(-(1/DE38)*(AC38/CK38)^DE38)-AW37)+(ATM_Conf!$C$5/AC225)*AW37*(AV37-AW37)-(ATM_Conf!$C$5*ATM_Conf!$C$9)/(AC225*ATM_Conf!$C$8)*(AD37-AC37)/(AC37+ATM_Conf!$C$10)</f>
        <v>#DIV/0!</v>
      </c>
      <c r="AX38" s="43" t="e">
        <f>AX37+(ATM_Conf!$C$5/ATM_Conf!$C$8)*(BR38*EXP(-(1/DF38)*(AD38/CL38)^DF38)-AX37)+(ATM_Conf!$C$5/AD225)*AX37*(Nodes!BG37-AX37)-(ATM_Conf!$C$5*ATM_Conf!$C$9)/(AD225*ATM_Conf!$C$8)*(Nodes!BU37-AD37)/(AD37+ATM_Conf!$C$10)</f>
        <v>#DIV/0!</v>
      </c>
      <c r="AY38" s="43" t="e">
        <f>AY37+(ATM_Conf!$C$5/ATM_Conf!$C$8)*(BS38*EXP(-(1/DG38)*(AE38/CM38)^DG38)-AY37)+(ATM_Conf!$C$5/AE225)*AY37*(Nodes!BF37-AY37)</f>
        <v>#DIV/0!</v>
      </c>
      <c r="AZ38" s="43" t="e">
        <f>AZ37+(ATM_Conf!$C$5/ATM_Conf!$C$8)*(BT38*EXP(-(1/DH38)*(AF38/CN38)^DH38)-AZ37)-(ATM_Conf!$C$5*ATM_Conf!$C$9)/(AF225*ATM_Conf!$C$8)*(Nodes!BV37-AF37)/(AF37+ATM_Conf!$C$10)</f>
        <v>#DIV/0!</v>
      </c>
      <c r="BA38" s="43" t="e">
        <f>BA37+(ATM_Conf!$C$5/ATM_Conf!$C$8)*(BU38*EXP(-(1/DI38)*(AG38/CO38)^DI38)-BA37)+(ATM_Conf!$C$5/AG225)*BA37*(Nodes!BI37-BA37)-(ATM_Conf!$C$5*ATM_Conf!$C$9)/(AG225*ATM_Conf!$C$8)*(Nodes!BW37-AG37)/(AG37+ATM_Conf!$C$10)</f>
        <v>#DIV/0!</v>
      </c>
      <c r="BB38" s="43" t="e">
        <f>BB37+(ATM_Conf!$C$5/ATM_Conf!$C$8)*(BV38*EXP(-(1/DJ38)*(AH38/CP38)^DJ38)-BB37)+(ATM_Conf!$C$5/AH225)*BB37*(Nodes!BJ37-BB37)-(ATM_Conf!$C$5*ATM_Conf!$C$9)/(AH225*ATM_Conf!$C$8)*(AI37-AH37)/(AH37+ATM_Conf!$C$10)</f>
        <v>#DIV/0!</v>
      </c>
      <c r="BC38" s="43" t="e">
        <f>BC37+(ATM_Conf!$C$5/ATM_Conf!$C$8)*(BW38*EXP(-(1/DK38)*(AI38/CQ38)^DK38)-BC37)+(ATM_Conf!$C$5/AI225)*BC37*(BB37-BC37)-(ATM_Conf!$C$5*ATM_Conf!$C$9)/(AI225*ATM_Conf!$C$8)*(AJ37-AI37)/(AI37+ATM_Conf!$C$10)</f>
        <v>#DIV/0!</v>
      </c>
      <c r="BD38" s="43" t="e">
        <f>BD37+(ATM_Conf!$C$5/ATM_Conf!$C$8)*(BX38*EXP(-(1/DL38)*(AJ38/CR38)^DL38)-BD37)+(ATM_Conf!$C$5/AJ225)*BD37*(BC37-BD37)-(ATM_Conf!$C$5*ATM_Conf!$C$9)/(AJ225*ATM_Conf!$C$8)*(Nodes!BX37-AJ37)/(AJ37+ATM_Conf!$C$10)</f>
        <v>#DIV/0!</v>
      </c>
      <c r="BE38" s="43" t="e">
        <f>BE37+(ATM_Conf!$C$5/ATM_Conf!$C$8)*(BY38*EXP(-(1/DM38)*(AK38/CS38)^DM38)-BE37)+(ATM_Conf!$C$5/AK225)*BE37*(Nodes!BK37-BE37)-(ATM_Conf!$C$5*ATM_Conf!$C$9)/(AK225*ATM_Conf!$C$8)*(Nodes!BY37-AK37)/(AK37+ATM_Conf!$C$10)</f>
        <v>#DIV/0!</v>
      </c>
      <c r="BF38" s="43" t="e">
        <f>BF37+(ATM_Conf!$C$5/ATM_Conf!$C$8)*(BZ38*EXP(-(1/DN38)*(AL38/CT38)^DN38)-BF37)+(ATM_Conf!$C$5/AL225)*BF37*(BE37-BF37)-(ATM_Conf!$C$5*ATM_Conf!$C$9)/(AL225*ATM_Conf!$C$8)*(AM37-AL37)/(AL37+ATM_Conf!$C$10)</f>
        <v>#DIV/0!</v>
      </c>
      <c r="BG38" s="43" t="e">
        <f>BG37+(ATM_Conf!$C$5/ATM_Conf!$C$8)*(CA38*EXP(-(1/DO38)*(AM38/CU38)^DO38)-BG37)+(ATM_Conf!$C$5/AM225)*BG37*(Nodes!BM37-BG37)-(ATM_Conf!$C$5*ATM_Conf!$C$9)/(AM225*ATM_Conf!$C$8)*(Nodes!CA37-AM37)/(AM37+ATM_Conf!$C$10)</f>
        <v>#DIV/0!</v>
      </c>
      <c r="BH38" s="43" t="e">
        <f>BH37+(ATM_Conf!$C$5/ATM_Conf!$C$8)*(CB38*EXP(-(1/DP38)*(AN38/CV38)^DP38)-BH37)+(ATM_Conf!$C$5/AN225)*BH37*(BG37-BH37)-(ATM_Conf!$C$5*ATM_Conf!$C$9)/(AN225*ATM_Conf!$C$8)*(AO37-AN37)/(AN37+ATM_Conf!$C$10)</f>
        <v>#DIV/0!</v>
      </c>
      <c r="BI38" s="43" t="e">
        <f>BI37+(ATM_Conf!$C$5/ATM_Conf!$C$8)*(CC38*EXP(-(1/DQ38)*(AO38/CW38)^DQ38)-BI37)+(ATM_Conf!$C$5/AO225)*BI37*(BH37-BI37)</f>
        <v>#DIV/0!</v>
      </c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53"/>
      <c r="CY38" s="53"/>
      <c r="CZ38" s="53"/>
      <c r="DA38" s="53"/>
      <c r="DB38" s="53"/>
      <c r="DC38" s="53"/>
      <c r="DD38" s="53"/>
      <c r="DE38" s="53"/>
      <c r="DF38" s="53"/>
      <c r="DG38" s="53"/>
      <c r="DH38" s="53"/>
      <c r="DI38" s="53"/>
      <c r="DJ38" s="53"/>
      <c r="DK38" s="53"/>
      <c r="DL38" s="53"/>
      <c r="DM38" s="53"/>
      <c r="DN38" s="53"/>
      <c r="DO38" s="53"/>
      <c r="DP38" s="53"/>
      <c r="DQ38" s="53"/>
      <c r="DR38" s="43">
        <f t="shared" si="29"/>
        <v>0</v>
      </c>
      <c r="DS38" s="43">
        <f t="shared" si="28"/>
        <v>0</v>
      </c>
      <c r="DT38" s="43">
        <f t="shared" si="28"/>
        <v>0</v>
      </c>
      <c r="DU38" s="43">
        <f t="shared" si="28"/>
        <v>0</v>
      </c>
      <c r="DV38" s="43">
        <f t="shared" si="28"/>
        <v>0</v>
      </c>
      <c r="DW38" s="43">
        <f t="shared" si="28"/>
        <v>0</v>
      </c>
      <c r="DX38" s="43">
        <f t="shared" si="28"/>
        <v>0</v>
      </c>
      <c r="DY38" s="43">
        <f t="shared" si="28"/>
        <v>0</v>
      </c>
      <c r="DZ38" s="43">
        <f t="shared" si="28"/>
        <v>0</v>
      </c>
      <c r="EA38" s="43">
        <f t="shared" si="28"/>
        <v>0</v>
      </c>
      <c r="EB38" s="43">
        <f t="shared" si="28"/>
        <v>0</v>
      </c>
      <c r="EC38" s="43">
        <f t="shared" si="28"/>
        <v>0</v>
      </c>
      <c r="ED38" s="43">
        <f t="shared" si="28"/>
        <v>0</v>
      </c>
      <c r="EE38" s="43">
        <f t="shared" si="28"/>
        <v>0</v>
      </c>
      <c r="EF38" s="43">
        <f t="shared" si="28"/>
        <v>0</v>
      </c>
      <c r="EG38" s="43">
        <f t="shared" si="28"/>
        <v>0</v>
      </c>
      <c r="EH38" s="43">
        <f t="shared" si="28"/>
        <v>0</v>
      </c>
      <c r="EI38" s="43">
        <f t="shared" si="28"/>
        <v>0</v>
      </c>
      <c r="EJ38" s="43">
        <f t="shared" si="28"/>
        <v>0</v>
      </c>
      <c r="EK38" s="43">
        <f t="shared" si="28"/>
        <v>0</v>
      </c>
      <c r="EL38" s="47"/>
      <c r="EM38" s="47"/>
      <c r="EN38" s="47"/>
      <c r="EO38" s="47"/>
      <c r="EP38" s="47"/>
      <c r="EQ38" s="47"/>
      <c r="ER38" s="47"/>
      <c r="ES38" s="47"/>
      <c r="ET38" s="47"/>
      <c r="EU38" s="47"/>
      <c r="EV38" s="47"/>
      <c r="EW38" s="47"/>
      <c r="EX38" s="47"/>
      <c r="EY38" s="47"/>
      <c r="EZ38" s="47"/>
      <c r="FA38" s="47"/>
      <c r="FB38" s="47"/>
      <c r="FC38" s="47"/>
      <c r="FD38" s="47"/>
      <c r="FE38" s="47"/>
    </row>
    <row r="39" spans="1:161" ht="14.25" x14ac:dyDescent="0.15">
      <c r="A39" s="46"/>
      <c r="B39" s="43" t="e">
        <f t="shared" si="2"/>
        <v>#DIV/0!</v>
      </c>
      <c r="C39" s="43" t="e">
        <f t="shared" si="3"/>
        <v>#DIV/0!</v>
      </c>
      <c r="D39" s="43" t="e">
        <f t="shared" si="4"/>
        <v>#DIV/0!</v>
      </c>
      <c r="E39" s="43" t="e">
        <f t="shared" si="5"/>
        <v>#DIV/0!</v>
      </c>
      <c r="F39" s="43" t="e">
        <f t="shared" si="6"/>
        <v>#DIV/0!</v>
      </c>
      <c r="G39" s="43" t="e">
        <f t="shared" si="7"/>
        <v>#DIV/0!</v>
      </c>
      <c r="H39" s="43" t="e">
        <f t="shared" si="8"/>
        <v>#DIV/0!</v>
      </c>
      <c r="I39" s="43" t="e">
        <f t="shared" si="9"/>
        <v>#DIV/0!</v>
      </c>
      <c r="J39" s="43" t="e">
        <f t="shared" si="10"/>
        <v>#DIV/0!</v>
      </c>
      <c r="K39" s="43" t="e">
        <f t="shared" si="11"/>
        <v>#DIV/0!</v>
      </c>
      <c r="L39" s="43" t="e">
        <f t="shared" si="12"/>
        <v>#DIV/0!</v>
      </c>
      <c r="M39" s="43" t="e">
        <f t="shared" si="13"/>
        <v>#DIV/0!</v>
      </c>
      <c r="N39" s="43" t="e">
        <f t="shared" si="14"/>
        <v>#DIV/0!</v>
      </c>
      <c r="O39" s="43" t="e">
        <f t="shared" si="15"/>
        <v>#DIV/0!</v>
      </c>
      <c r="P39" s="43" t="e">
        <f t="shared" si="16"/>
        <v>#DIV/0!</v>
      </c>
      <c r="Q39" s="43" t="e">
        <f t="shared" si="17"/>
        <v>#DIV/0!</v>
      </c>
      <c r="R39" s="43" t="e">
        <f t="shared" si="18"/>
        <v>#DIV/0!</v>
      </c>
      <c r="S39" s="43" t="e">
        <f t="shared" si="19"/>
        <v>#DIV/0!</v>
      </c>
      <c r="T39" s="43" t="e">
        <f t="shared" si="20"/>
        <v>#DIV/0!</v>
      </c>
      <c r="U39" s="43" t="e">
        <f t="shared" si="21"/>
        <v>#DIV/0!</v>
      </c>
      <c r="V39" s="53" t="e">
        <f>V38+ATM_Conf!$C$5*(B38)/(B226*V226)</f>
        <v>#DIV/0!</v>
      </c>
      <c r="W39" s="53" t="e">
        <f>W38+ATM_Conf!$C$5*(C38-B38)/(C226*W226)</f>
        <v>#DIV/0!</v>
      </c>
      <c r="X39" s="53" t="e">
        <f>X38+ATM_Conf!$C$5*(D38-C38)/(D226*X226)</f>
        <v>#DIV/0!</v>
      </c>
      <c r="Y39" s="53" t="e">
        <f>Y38+ATM_Conf!$C$5*(E38-D38)/(E226*Y226)</f>
        <v>#DIV/0!</v>
      </c>
      <c r="Z39" s="53" t="e">
        <f>Z38+ATM_Conf!$C$5*(F38-E38)/(F226*Z226)</f>
        <v>#DIV/0!</v>
      </c>
      <c r="AA39" s="53" t="e">
        <f>AA38+ATM_Conf!$C$5*(G38-F38)/(G226*AA226)</f>
        <v>#DIV/0!</v>
      </c>
      <c r="AB39" s="53" t="e">
        <f>AB38+ATM_Conf!$C$5*(H38-G38)/(H226*AB226)</f>
        <v>#DIV/0!</v>
      </c>
      <c r="AC39" s="53" t="e">
        <f>AC38+ATM_Conf!$C$5*(I38-H38)/(I226*AC226)</f>
        <v>#DIV/0!</v>
      </c>
      <c r="AD39" s="53" t="e">
        <f>AD38+ATM_Conf!$C$5*(J38-I38)/(J226*AD226)</f>
        <v>#DIV/0!</v>
      </c>
      <c r="AE39" s="53" t="e">
        <f>AE38+ATM_Conf!$C$5*(K38-J38)/(K226*AE226)</f>
        <v>#DIV/0!</v>
      </c>
      <c r="AF39" s="53" t="e">
        <f>AF38+ATM_Conf!$C$5*(L38)/(L226*AF226)</f>
        <v>#DIV/0!</v>
      </c>
      <c r="AG39" s="53" t="e">
        <f>AG38+ATM_Conf!$C$5*(M38-L38)/(M226*AG226)</f>
        <v>#DIV/0!</v>
      </c>
      <c r="AH39" s="53" t="e">
        <f>AH38+ATM_Conf!$C$5*(N38-M38)/(N226*AH226)</f>
        <v>#DIV/0!</v>
      </c>
      <c r="AI39" s="53" t="e">
        <f>AI38+ATM_Conf!$C$5*(O38-N38)/(O226*AI226)</f>
        <v>#DIV/0!</v>
      </c>
      <c r="AJ39" s="53" t="e">
        <f>AJ38+ATM_Conf!$C$5*(P38-O38)/(P226*AJ226)</f>
        <v>#DIV/0!</v>
      </c>
      <c r="AK39" s="53" t="e">
        <f>AK38+ATM_Conf!$C$5*(Q38-P38)/(Q226*AK226)</f>
        <v>#DIV/0!</v>
      </c>
      <c r="AL39" s="53" t="e">
        <f>AL38+ATM_Conf!$C$5*(R38-Q38)/(R226*AL226)</f>
        <v>#DIV/0!</v>
      </c>
      <c r="AM39" s="53" t="e">
        <f>AM38+ATM_Conf!$C$5*(S38-R38)/(S226*AM226)</f>
        <v>#DIV/0!</v>
      </c>
      <c r="AN39" s="53" t="e">
        <f>AN38+ATM_Conf!$C$5*(T38-S38)/(T226*AN226)</f>
        <v>#DIV/0!</v>
      </c>
      <c r="AO39" s="53" t="e">
        <f>AO38+ATM_Conf!$C$5*(U38-T38)/(U226*AO226)</f>
        <v>#DIV/0!</v>
      </c>
      <c r="AP39" s="43" t="e">
        <f>AP38+(ATM_Conf!$C$5/ATM_Conf!$C$8)*(BJ39*EXP(-(1/CX39)*(V39/CD39)^CX39)-AP38)-(ATM_Conf!$C$5*ATM_Conf!$C$9)/(V226*ATM_Conf!$C$8)*(Nodes!BO38-V38)/(V38+ATM_Conf!$C$10)</f>
        <v>#DIV/0!</v>
      </c>
      <c r="AQ39" s="43" t="e">
        <f>AQ38+(ATM_Conf!$C$5/ATM_Conf!$C$8)*(BK39*EXP(-(1/CY39)*(W39/CE39)^CY39)-AQ38)+(ATM_Conf!$C$5/W226)*AQ38*(AP38-AQ38)-(ATM_Conf!$C$5*ATM_Conf!$C$9)/(W226*ATM_Conf!$C$8)*(X38-W38)/(W38+ATM_Conf!$C$10)</f>
        <v>#DIV/0!</v>
      </c>
      <c r="AR39" s="43" t="e">
        <f>AR38+(ATM_Conf!$C$5/ATM_Conf!$C$8)*(BL39*EXP(-(1/CZ39)*(X39/CF39)^CZ39)-AR38)+(ATM_Conf!$C$5/X226)*AR38*(Nodes!BC38-AR38)-(ATM_Conf!$C$5*ATM_Conf!$C$9)/(X226*ATM_Conf!$C$8)*(Nodes!BQ38-X38)/(X38+ATM_Conf!$C$10)</f>
        <v>#DIV/0!</v>
      </c>
      <c r="AS39" s="43" t="e">
        <f>AS38+(ATM_Conf!$C$5/ATM_Conf!$C$8)*(BM39*EXP(-(1/DA39)*(Y39/CG39)^DA39)-AS38)+(ATM_Conf!$C$5/Y226)*AS38*(AR38-AS38)-(ATM_Conf!$C$5*ATM_Conf!$C$9)/(Y226*ATM_Conf!$C$8)*(Z38-Y38)/(Y38+ATM_Conf!$C$10)</f>
        <v>#DIV/0!</v>
      </c>
      <c r="AT39" s="43" t="e">
        <f>AT38+(ATM_Conf!$C$5/ATM_Conf!$C$8)*(BN39*EXP(-(1/DB39)*(Z39/CH39)^DB39)-AT38)+(ATM_Conf!$C$5/Z226)*AT38*(Nodes!BE38-AT38)-(ATM_Conf!$C$5*ATM_Conf!$C$9)/(Z226*ATM_Conf!$C$8)*(Nodes!BS38-Z38)/(Z38+ATM_Conf!$C$10)</f>
        <v>#DIV/0!</v>
      </c>
      <c r="AU39" s="43" t="e">
        <f>AU38+(ATM_Conf!$C$5/ATM_Conf!$C$8)*(BO39*EXP(-(1/DC39)*(AA39/CI39)^DC39)-AU38)+(ATM_Conf!$C$5/AA226)*AU38*(Nodes!BF38-AU38)-(ATM_Conf!$C$5*ATM_Conf!$C$9)/(AA226*ATM_Conf!$C$8)*(Nodes!BV38-AA38)/(AA38+ATM_Conf!$C$10)</f>
        <v>#DIV/0!</v>
      </c>
      <c r="AV39" s="43" t="e">
        <f>AV38+(ATM_Conf!$C$5/ATM_Conf!$C$8)*(BP39*EXP(-(1/DD39)*(AB39/CJ39)^DD39)-AV38)+(ATM_Conf!$C$5/AB226)*AV38*(AU38-AV38)-(ATM_Conf!$C$5*ATM_Conf!$C$9)/(AB226*ATM_Conf!$C$8)*(AC38-AB38)/(AB38+ATM_Conf!$C$10)</f>
        <v>#DIV/0!</v>
      </c>
      <c r="AW39" s="43" t="e">
        <f>AW38+(ATM_Conf!$C$5/ATM_Conf!$C$8)*(BQ39*EXP(-(1/DE39)*(AC39/CK39)^DE39)-AW38)+(ATM_Conf!$C$5/AC226)*AW38*(AV38-AW38)-(ATM_Conf!$C$5*ATM_Conf!$C$9)/(AC226*ATM_Conf!$C$8)*(AD38-AC38)/(AC38+ATM_Conf!$C$10)</f>
        <v>#DIV/0!</v>
      </c>
      <c r="AX39" s="43" t="e">
        <f>AX38+(ATM_Conf!$C$5/ATM_Conf!$C$8)*(BR39*EXP(-(1/DF39)*(AD39/CL39)^DF39)-AX38)+(ATM_Conf!$C$5/AD226)*AX38*(Nodes!BG38-AX38)-(ATM_Conf!$C$5*ATM_Conf!$C$9)/(AD226*ATM_Conf!$C$8)*(Nodes!BU38-AD38)/(AD38+ATM_Conf!$C$10)</f>
        <v>#DIV/0!</v>
      </c>
      <c r="AY39" s="43" t="e">
        <f>AY38+(ATM_Conf!$C$5/ATM_Conf!$C$8)*(BS39*EXP(-(1/DG39)*(AE39/CM39)^DG39)-AY38)+(ATM_Conf!$C$5/AE226)*AY38*(Nodes!BF38-AY38)</f>
        <v>#DIV/0!</v>
      </c>
      <c r="AZ39" s="43" t="e">
        <f>AZ38+(ATM_Conf!$C$5/ATM_Conf!$C$8)*(BT39*EXP(-(1/DH39)*(AF39/CN39)^DH39)-AZ38)-(ATM_Conf!$C$5*ATM_Conf!$C$9)/(AF226*ATM_Conf!$C$8)*(Nodes!BV38-AF38)/(AF38+ATM_Conf!$C$10)</f>
        <v>#DIV/0!</v>
      </c>
      <c r="BA39" s="43" t="e">
        <f>BA38+(ATM_Conf!$C$5/ATM_Conf!$C$8)*(BU39*EXP(-(1/DI39)*(AG39/CO39)^DI39)-BA38)+(ATM_Conf!$C$5/AG226)*BA38*(Nodes!BI38-BA38)-(ATM_Conf!$C$5*ATM_Conf!$C$9)/(AG226*ATM_Conf!$C$8)*(Nodes!BW38-AG38)/(AG38+ATM_Conf!$C$10)</f>
        <v>#DIV/0!</v>
      </c>
      <c r="BB39" s="43" t="e">
        <f>BB38+(ATM_Conf!$C$5/ATM_Conf!$C$8)*(BV39*EXP(-(1/DJ39)*(AH39/CP39)^DJ39)-BB38)+(ATM_Conf!$C$5/AH226)*BB38*(Nodes!BJ38-BB38)-(ATM_Conf!$C$5*ATM_Conf!$C$9)/(AH226*ATM_Conf!$C$8)*(AI38-AH38)/(AH38+ATM_Conf!$C$10)</f>
        <v>#DIV/0!</v>
      </c>
      <c r="BC39" s="43" t="e">
        <f>BC38+(ATM_Conf!$C$5/ATM_Conf!$C$8)*(BW39*EXP(-(1/DK39)*(AI39/CQ39)^DK39)-BC38)+(ATM_Conf!$C$5/AI226)*BC38*(BB38-BC38)-(ATM_Conf!$C$5*ATM_Conf!$C$9)/(AI226*ATM_Conf!$C$8)*(AJ38-AI38)/(AI38+ATM_Conf!$C$10)</f>
        <v>#DIV/0!</v>
      </c>
      <c r="BD39" s="43" t="e">
        <f>BD38+(ATM_Conf!$C$5/ATM_Conf!$C$8)*(BX39*EXP(-(1/DL39)*(AJ39/CR39)^DL39)-BD38)+(ATM_Conf!$C$5/AJ226)*BD38*(BC38-BD38)-(ATM_Conf!$C$5*ATM_Conf!$C$9)/(AJ226*ATM_Conf!$C$8)*(Nodes!BX38-AJ38)/(AJ38+ATM_Conf!$C$10)</f>
        <v>#DIV/0!</v>
      </c>
      <c r="BE39" s="43" t="e">
        <f>BE38+(ATM_Conf!$C$5/ATM_Conf!$C$8)*(BY39*EXP(-(1/DM39)*(AK39/CS39)^DM39)-BE38)+(ATM_Conf!$C$5/AK226)*BE38*(Nodes!BK38-BE38)-(ATM_Conf!$C$5*ATM_Conf!$C$9)/(AK226*ATM_Conf!$C$8)*(Nodes!BY38-AK38)/(AK38+ATM_Conf!$C$10)</f>
        <v>#DIV/0!</v>
      </c>
      <c r="BF39" s="43" t="e">
        <f>BF38+(ATM_Conf!$C$5/ATM_Conf!$C$8)*(BZ39*EXP(-(1/DN39)*(AL39/CT39)^DN39)-BF38)+(ATM_Conf!$C$5/AL226)*BF38*(BE38-BF38)-(ATM_Conf!$C$5*ATM_Conf!$C$9)/(AL226*ATM_Conf!$C$8)*(AM38-AL38)/(AL38+ATM_Conf!$C$10)</f>
        <v>#DIV/0!</v>
      </c>
      <c r="BG39" s="43" t="e">
        <f>BG38+(ATM_Conf!$C$5/ATM_Conf!$C$8)*(CA39*EXP(-(1/DO39)*(AM39/CU39)^DO39)-BG38)+(ATM_Conf!$C$5/AM226)*BG38*(Nodes!BM38-BG38)-(ATM_Conf!$C$5*ATM_Conf!$C$9)/(AM226*ATM_Conf!$C$8)*(Nodes!CA38-AM38)/(AM38+ATM_Conf!$C$10)</f>
        <v>#DIV/0!</v>
      </c>
      <c r="BH39" s="43" t="e">
        <f>BH38+(ATM_Conf!$C$5/ATM_Conf!$C$8)*(CB39*EXP(-(1/DP39)*(AN39/CV39)^DP39)-BH38)+(ATM_Conf!$C$5/AN226)*BH38*(BG38-BH38)-(ATM_Conf!$C$5*ATM_Conf!$C$9)/(AN226*ATM_Conf!$C$8)*(AO38-AN38)/(AN38+ATM_Conf!$C$10)</f>
        <v>#DIV/0!</v>
      </c>
      <c r="BI39" s="43" t="e">
        <f>BI38+(ATM_Conf!$C$5/ATM_Conf!$C$8)*(CC39*EXP(-(1/DQ39)*(AO39/CW39)^DQ39)-BI38)+(ATM_Conf!$C$5/AO226)*BI38*(BH38-BI38)</f>
        <v>#DIV/0!</v>
      </c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53"/>
      <c r="CY39" s="53"/>
      <c r="CZ39" s="53"/>
      <c r="DA39" s="53"/>
      <c r="DB39" s="53"/>
      <c r="DC39" s="53"/>
      <c r="DD39" s="53"/>
      <c r="DE39" s="53"/>
      <c r="DF39" s="53"/>
      <c r="DG39" s="53"/>
      <c r="DH39" s="53"/>
      <c r="DI39" s="53"/>
      <c r="DJ39" s="53"/>
      <c r="DK39" s="53"/>
      <c r="DL39" s="53"/>
      <c r="DM39" s="53"/>
      <c r="DN39" s="53"/>
      <c r="DO39" s="53"/>
      <c r="DP39" s="53"/>
      <c r="DQ39" s="53"/>
      <c r="DR39" s="62"/>
      <c r="DS39" s="62"/>
      <c r="DT39" s="62"/>
      <c r="DU39" s="62"/>
      <c r="DV39" s="62"/>
      <c r="DW39" s="62"/>
      <c r="DX39" s="62"/>
      <c r="DY39" s="62"/>
      <c r="DZ39" s="62"/>
      <c r="EA39" s="62"/>
      <c r="EB39" s="62"/>
      <c r="EC39" s="62"/>
      <c r="ED39" s="62"/>
      <c r="EE39" s="62"/>
      <c r="EF39" s="62"/>
      <c r="EG39" s="62"/>
      <c r="EH39" s="62"/>
      <c r="EI39" s="62"/>
      <c r="EJ39" s="62"/>
      <c r="EK39" s="62"/>
      <c r="EL39" s="47">
        <f>(DR39-DR27)^2</f>
        <v>0</v>
      </c>
      <c r="EM39" s="47">
        <f t="shared" ref="EM39:FE39" si="30">(DS39-DS27)^2</f>
        <v>0</v>
      </c>
      <c r="EN39" s="47">
        <f t="shared" si="30"/>
        <v>0</v>
      </c>
      <c r="EO39" s="47">
        <f t="shared" si="30"/>
        <v>0</v>
      </c>
      <c r="EP39" s="47">
        <f t="shared" si="30"/>
        <v>0</v>
      </c>
      <c r="EQ39" s="47">
        <f t="shared" si="30"/>
        <v>0</v>
      </c>
      <c r="ER39" s="47">
        <f t="shared" si="30"/>
        <v>0</v>
      </c>
      <c r="ES39" s="47">
        <f t="shared" si="30"/>
        <v>0</v>
      </c>
      <c r="ET39" s="47">
        <f t="shared" si="30"/>
        <v>0</v>
      </c>
      <c r="EU39" s="47">
        <f t="shared" si="30"/>
        <v>0</v>
      </c>
      <c r="EV39" s="47">
        <f t="shared" si="30"/>
        <v>0</v>
      </c>
      <c r="EW39" s="47">
        <f t="shared" si="30"/>
        <v>0</v>
      </c>
      <c r="EX39" s="47">
        <f t="shared" si="30"/>
        <v>0</v>
      </c>
      <c r="EY39" s="47">
        <f t="shared" si="30"/>
        <v>0</v>
      </c>
      <c r="EZ39" s="47">
        <f t="shared" si="30"/>
        <v>0</v>
      </c>
      <c r="FA39" s="47">
        <f t="shared" si="30"/>
        <v>0</v>
      </c>
      <c r="FB39" s="47">
        <f t="shared" si="30"/>
        <v>0</v>
      </c>
      <c r="FC39" s="47">
        <f t="shared" si="30"/>
        <v>0</v>
      </c>
      <c r="FD39" s="47">
        <f t="shared" si="30"/>
        <v>0</v>
      </c>
      <c r="FE39" s="47">
        <f t="shared" si="30"/>
        <v>0</v>
      </c>
    </row>
    <row r="40" spans="1:161" ht="14.25" x14ac:dyDescent="0.15">
      <c r="A40" s="46"/>
      <c r="B40" s="43" t="e">
        <f t="shared" si="2"/>
        <v>#DIV/0!</v>
      </c>
      <c r="C40" s="43" t="e">
        <f t="shared" si="3"/>
        <v>#DIV/0!</v>
      </c>
      <c r="D40" s="43" t="e">
        <f t="shared" si="4"/>
        <v>#DIV/0!</v>
      </c>
      <c r="E40" s="43" t="e">
        <f t="shared" si="5"/>
        <v>#DIV/0!</v>
      </c>
      <c r="F40" s="43" t="e">
        <f t="shared" si="6"/>
        <v>#DIV/0!</v>
      </c>
      <c r="G40" s="43" t="e">
        <f t="shared" si="7"/>
        <v>#DIV/0!</v>
      </c>
      <c r="H40" s="43" t="e">
        <f t="shared" si="8"/>
        <v>#DIV/0!</v>
      </c>
      <c r="I40" s="43" t="e">
        <f t="shared" si="9"/>
        <v>#DIV/0!</v>
      </c>
      <c r="J40" s="43" t="e">
        <f t="shared" si="10"/>
        <v>#DIV/0!</v>
      </c>
      <c r="K40" s="43" t="e">
        <f t="shared" si="11"/>
        <v>#DIV/0!</v>
      </c>
      <c r="L40" s="43" t="e">
        <f t="shared" si="12"/>
        <v>#DIV/0!</v>
      </c>
      <c r="M40" s="43" t="e">
        <f t="shared" si="13"/>
        <v>#DIV/0!</v>
      </c>
      <c r="N40" s="43" t="e">
        <f t="shared" si="14"/>
        <v>#DIV/0!</v>
      </c>
      <c r="O40" s="43" t="e">
        <f t="shared" si="15"/>
        <v>#DIV/0!</v>
      </c>
      <c r="P40" s="43" t="e">
        <f t="shared" si="16"/>
        <v>#DIV/0!</v>
      </c>
      <c r="Q40" s="43" t="e">
        <f t="shared" si="17"/>
        <v>#DIV/0!</v>
      </c>
      <c r="R40" s="43" t="e">
        <f t="shared" si="18"/>
        <v>#DIV/0!</v>
      </c>
      <c r="S40" s="43" t="e">
        <f t="shared" si="19"/>
        <v>#DIV/0!</v>
      </c>
      <c r="T40" s="43" t="e">
        <f t="shared" si="20"/>
        <v>#DIV/0!</v>
      </c>
      <c r="U40" s="43" t="e">
        <f t="shared" si="21"/>
        <v>#DIV/0!</v>
      </c>
      <c r="V40" s="53" t="e">
        <f>V39+ATM_Conf!$C$5*(B39)/(B227*V227)</f>
        <v>#DIV/0!</v>
      </c>
      <c r="W40" s="53" t="e">
        <f>W39+ATM_Conf!$C$5*(C39-B39)/(C227*W227)</f>
        <v>#DIV/0!</v>
      </c>
      <c r="X40" s="53" t="e">
        <f>X39+ATM_Conf!$C$5*(D39-C39)/(D227*X227)</f>
        <v>#DIV/0!</v>
      </c>
      <c r="Y40" s="53" t="e">
        <f>Y39+ATM_Conf!$C$5*(E39-D39)/(E227*Y227)</f>
        <v>#DIV/0!</v>
      </c>
      <c r="Z40" s="53" t="e">
        <f>Z39+ATM_Conf!$C$5*(F39-E39)/(F227*Z227)</f>
        <v>#DIV/0!</v>
      </c>
      <c r="AA40" s="53" t="e">
        <f>AA39+ATM_Conf!$C$5*(G39-F39)/(G227*AA227)</f>
        <v>#DIV/0!</v>
      </c>
      <c r="AB40" s="53" t="e">
        <f>AB39+ATM_Conf!$C$5*(H39-G39)/(H227*AB227)</f>
        <v>#DIV/0!</v>
      </c>
      <c r="AC40" s="53" t="e">
        <f>AC39+ATM_Conf!$C$5*(I39-H39)/(I227*AC227)</f>
        <v>#DIV/0!</v>
      </c>
      <c r="AD40" s="53" t="e">
        <f>AD39+ATM_Conf!$C$5*(J39-I39)/(J227*AD227)</f>
        <v>#DIV/0!</v>
      </c>
      <c r="AE40" s="53" t="e">
        <f>AE39+ATM_Conf!$C$5*(K39-J39)/(K227*AE227)</f>
        <v>#DIV/0!</v>
      </c>
      <c r="AF40" s="53" t="e">
        <f>AF39+ATM_Conf!$C$5*(L39)/(L227*AF227)</f>
        <v>#DIV/0!</v>
      </c>
      <c r="AG40" s="53" t="e">
        <f>AG39+ATM_Conf!$C$5*(M39-L39)/(M227*AG227)</f>
        <v>#DIV/0!</v>
      </c>
      <c r="AH40" s="53" t="e">
        <f>AH39+ATM_Conf!$C$5*(N39-M39)/(N227*AH227)</f>
        <v>#DIV/0!</v>
      </c>
      <c r="AI40" s="53" t="e">
        <f>AI39+ATM_Conf!$C$5*(O39-N39)/(O227*AI227)</f>
        <v>#DIV/0!</v>
      </c>
      <c r="AJ40" s="53" t="e">
        <f>AJ39+ATM_Conf!$C$5*(P39-O39)/(P227*AJ227)</f>
        <v>#DIV/0!</v>
      </c>
      <c r="AK40" s="53" t="e">
        <f>AK39+ATM_Conf!$C$5*(Q39-P39)/(Q227*AK227)</f>
        <v>#DIV/0!</v>
      </c>
      <c r="AL40" s="53" t="e">
        <f>AL39+ATM_Conf!$C$5*(R39-Q39)/(R227*AL227)</f>
        <v>#DIV/0!</v>
      </c>
      <c r="AM40" s="53" t="e">
        <f>AM39+ATM_Conf!$C$5*(S39-R39)/(S227*AM227)</f>
        <v>#DIV/0!</v>
      </c>
      <c r="AN40" s="53" t="e">
        <f>AN39+ATM_Conf!$C$5*(T39-S39)/(T227*AN227)</f>
        <v>#DIV/0!</v>
      </c>
      <c r="AO40" s="53" t="e">
        <f>AO39+ATM_Conf!$C$5*(U39-T39)/(U227*AO227)</f>
        <v>#DIV/0!</v>
      </c>
      <c r="AP40" s="43" t="e">
        <f>AP39+(ATM_Conf!$C$5/ATM_Conf!$C$8)*(BJ40*EXP(-(1/CX40)*(V40/CD40)^CX40)-AP39)-(ATM_Conf!$C$5*ATM_Conf!$C$9)/(V227*ATM_Conf!$C$8)*(Nodes!BO39-V39)/(V39+ATM_Conf!$C$10)</f>
        <v>#DIV/0!</v>
      </c>
      <c r="AQ40" s="43" t="e">
        <f>AQ39+(ATM_Conf!$C$5/ATM_Conf!$C$8)*(BK40*EXP(-(1/CY40)*(W40/CE40)^CY40)-AQ39)+(ATM_Conf!$C$5/W227)*AQ39*(AP39-AQ39)-(ATM_Conf!$C$5*ATM_Conf!$C$9)/(W227*ATM_Conf!$C$8)*(X39-W39)/(W39+ATM_Conf!$C$10)</f>
        <v>#DIV/0!</v>
      </c>
      <c r="AR40" s="43" t="e">
        <f>AR39+(ATM_Conf!$C$5/ATM_Conf!$C$8)*(BL40*EXP(-(1/CZ40)*(X40/CF40)^CZ40)-AR39)+(ATM_Conf!$C$5/X227)*AR39*(Nodes!BC39-AR39)-(ATM_Conf!$C$5*ATM_Conf!$C$9)/(X227*ATM_Conf!$C$8)*(Nodes!BQ39-X39)/(X39+ATM_Conf!$C$10)</f>
        <v>#DIV/0!</v>
      </c>
      <c r="AS40" s="43" t="e">
        <f>AS39+(ATM_Conf!$C$5/ATM_Conf!$C$8)*(BM40*EXP(-(1/DA40)*(Y40/CG40)^DA40)-AS39)+(ATM_Conf!$C$5/Y227)*AS39*(AR39-AS39)-(ATM_Conf!$C$5*ATM_Conf!$C$9)/(Y227*ATM_Conf!$C$8)*(Z39-Y39)/(Y39+ATM_Conf!$C$10)</f>
        <v>#DIV/0!</v>
      </c>
      <c r="AT40" s="43" t="e">
        <f>AT39+(ATM_Conf!$C$5/ATM_Conf!$C$8)*(BN40*EXP(-(1/DB40)*(Z40/CH40)^DB40)-AT39)+(ATM_Conf!$C$5/Z227)*AT39*(Nodes!BE39-AT39)-(ATM_Conf!$C$5*ATM_Conf!$C$9)/(Z227*ATM_Conf!$C$8)*(Nodes!BS39-Z39)/(Z39+ATM_Conf!$C$10)</f>
        <v>#DIV/0!</v>
      </c>
      <c r="AU40" s="43" t="e">
        <f>AU39+(ATM_Conf!$C$5/ATM_Conf!$C$8)*(BO40*EXP(-(1/DC40)*(AA40/CI40)^DC40)-AU39)+(ATM_Conf!$C$5/AA227)*AU39*(Nodes!BF39-AU39)-(ATM_Conf!$C$5*ATM_Conf!$C$9)/(AA227*ATM_Conf!$C$8)*(Nodes!BV39-AA39)/(AA39+ATM_Conf!$C$10)</f>
        <v>#DIV/0!</v>
      </c>
      <c r="AV40" s="43" t="e">
        <f>AV39+(ATM_Conf!$C$5/ATM_Conf!$C$8)*(BP40*EXP(-(1/DD40)*(AB40/CJ40)^DD40)-AV39)+(ATM_Conf!$C$5/AB227)*AV39*(AU39-AV39)-(ATM_Conf!$C$5*ATM_Conf!$C$9)/(AB227*ATM_Conf!$C$8)*(AC39-AB39)/(AB39+ATM_Conf!$C$10)</f>
        <v>#DIV/0!</v>
      </c>
      <c r="AW40" s="43" t="e">
        <f>AW39+(ATM_Conf!$C$5/ATM_Conf!$C$8)*(BQ40*EXP(-(1/DE40)*(AC40/CK40)^DE40)-AW39)+(ATM_Conf!$C$5/AC227)*AW39*(AV39-AW39)-(ATM_Conf!$C$5*ATM_Conf!$C$9)/(AC227*ATM_Conf!$C$8)*(AD39-AC39)/(AC39+ATM_Conf!$C$10)</f>
        <v>#DIV/0!</v>
      </c>
      <c r="AX40" s="43" t="e">
        <f>AX39+(ATM_Conf!$C$5/ATM_Conf!$C$8)*(BR40*EXP(-(1/DF40)*(AD40/CL40)^DF40)-AX39)+(ATM_Conf!$C$5/AD227)*AX39*(Nodes!BG39-AX39)-(ATM_Conf!$C$5*ATM_Conf!$C$9)/(AD227*ATM_Conf!$C$8)*(Nodes!BU39-AD39)/(AD39+ATM_Conf!$C$10)</f>
        <v>#DIV/0!</v>
      </c>
      <c r="AY40" s="43" t="e">
        <f>AY39+(ATM_Conf!$C$5/ATM_Conf!$C$8)*(BS40*EXP(-(1/DG40)*(AE40/CM40)^DG40)-AY39)+(ATM_Conf!$C$5/AE227)*AY39*(Nodes!BF39-AY39)</f>
        <v>#DIV/0!</v>
      </c>
      <c r="AZ40" s="43" t="e">
        <f>AZ39+(ATM_Conf!$C$5/ATM_Conf!$C$8)*(BT40*EXP(-(1/DH40)*(AF40/CN40)^DH40)-AZ39)-(ATM_Conf!$C$5*ATM_Conf!$C$9)/(AF227*ATM_Conf!$C$8)*(Nodes!BV39-AF39)/(AF39+ATM_Conf!$C$10)</f>
        <v>#DIV/0!</v>
      </c>
      <c r="BA40" s="43" t="e">
        <f>BA39+(ATM_Conf!$C$5/ATM_Conf!$C$8)*(BU40*EXP(-(1/DI40)*(AG40/CO40)^DI40)-BA39)+(ATM_Conf!$C$5/AG227)*BA39*(Nodes!BI39-BA39)-(ATM_Conf!$C$5*ATM_Conf!$C$9)/(AG227*ATM_Conf!$C$8)*(Nodes!BW39-AG39)/(AG39+ATM_Conf!$C$10)</f>
        <v>#DIV/0!</v>
      </c>
      <c r="BB40" s="43" t="e">
        <f>BB39+(ATM_Conf!$C$5/ATM_Conf!$C$8)*(BV40*EXP(-(1/DJ40)*(AH40/CP40)^DJ40)-BB39)+(ATM_Conf!$C$5/AH227)*BB39*(Nodes!BJ39-BB39)-(ATM_Conf!$C$5*ATM_Conf!$C$9)/(AH227*ATM_Conf!$C$8)*(AI39-AH39)/(AH39+ATM_Conf!$C$10)</f>
        <v>#DIV/0!</v>
      </c>
      <c r="BC40" s="43" t="e">
        <f>BC39+(ATM_Conf!$C$5/ATM_Conf!$C$8)*(BW40*EXP(-(1/DK40)*(AI40/CQ40)^DK40)-BC39)+(ATM_Conf!$C$5/AI227)*BC39*(BB39-BC39)-(ATM_Conf!$C$5*ATM_Conf!$C$9)/(AI227*ATM_Conf!$C$8)*(AJ39-AI39)/(AI39+ATM_Conf!$C$10)</f>
        <v>#DIV/0!</v>
      </c>
      <c r="BD40" s="43" t="e">
        <f>BD39+(ATM_Conf!$C$5/ATM_Conf!$C$8)*(BX40*EXP(-(1/DL40)*(AJ40/CR40)^DL40)-BD39)+(ATM_Conf!$C$5/AJ227)*BD39*(BC39-BD39)-(ATM_Conf!$C$5*ATM_Conf!$C$9)/(AJ227*ATM_Conf!$C$8)*(Nodes!BX39-AJ39)/(AJ39+ATM_Conf!$C$10)</f>
        <v>#DIV/0!</v>
      </c>
      <c r="BE40" s="43" t="e">
        <f>BE39+(ATM_Conf!$C$5/ATM_Conf!$C$8)*(BY40*EXP(-(1/DM40)*(AK40/CS40)^DM40)-BE39)+(ATM_Conf!$C$5/AK227)*BE39*(Nodes!BK39-BE39)-(ATM_Conf!$C$5*ATM_Conf!$C$9)/(AK227*ATM_Conf!$C$8)*(Nodes!BY39-AK39)/(AK39+ATM_Conf!$C$10)</f>
        <v>#DIV/0!</v>
      </c>
      <c r="BF40" s="43" t="e">
        <f>BF39+(ATM_Conf!$C$5/ATM_Conf!$C$8)*(BZ40*EXP(-(1/DN40)*(AL40/CT40)^DN40)-BF39)+(ATM_Conf!$C$5/AL227)*BF39*(BE39-BF39)-(ATM_Conf!$C$5*ATM_Conf!$C$9)/(AL227*ATM_Conf!$C$8)*(AM39-AL39)/(AL39+ATM_Conf!$C$10)</f>
        <v>#DIV/0!</v>
      </c>
      <c r="BG40" s="43" t="e">
        <f>BG39+(ATM_Conf!$C$5/ATM_Conf!$C$8)*(CA40*EXP(-(1/DO40)*(AM40/CU40)^DO40)-BG39)+(ATM_Conf!$C$5/AM227)*BG39*(Nodes!BM39-BG39)-(ATM_Conf!$C$5*ATM_Conf!$C$9)/(AM227*ATM_Conf!$C$8)*(Nodes!CA39-AM39)/(AM39+ATM_Conf!$C$10)</f>
        <v>#DIV/0!</v>
      </c>
      <c r="BH40" s="43" t="e">
        <f>BH39+(ATM_Conf!$C$5/ATM_Conf!$C$8)*(CB40*EXP(-(1/DP40)*(AN40/CV40)^DP40)-BH39)+(ATM_Conf!$C$5/AN227)*BH39*(BG39-BH39)-(ATM_Conf!$C$5*ATM_Conf!$C$9)/(AN227*ATM_Conf!$C$8)*(AO39-AN39)/(AN39+ATM_Conf!$C$10)</f>
        <v>#DIV/0!</v>
      </c>
      <c r="BI40" s="43" t="e">
        <f>BI39+(ATM_Conf!$C$5/ATM_Conf!$C$8)*(CC40*EXP(-(1/DQ40)*(AO40/CW40)^DQ40)-BI39)+(ATM_Conf!$C$5/AO227)*BI39*(BH39-BI39)</f>
        <v>#DIV/0!</v>
      </c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53"/>
      <c r="CB40" s="53"/>
      <c r="CC40" s="5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53"/>
      <c r="CY40" s="53"/>
      <c r="CZ40" s="53"/>
      <c r="DA40" s="53"/>
      <c r="DB40" s="53"/>
      <c r="DC40" s="53"/>
      <c r="DD40" s="53"/>
      <c r="DE40" s="53"/>
      <c r="DF40" s="53"/>
      <c r="DG40" s="53"/>
      <c r="DH40" s="53"/>
      <c r="DI40" s="53"/>
      <c r="DJ40" s="53"/>
      <c r="DK40" s="53"/>
      <c r="DL40" s="53"/>
      <c r="DM40" s="53"/>
      <c r="DN40" s="53"/>
      <c r="DO40" s="53"/>
      <c r="DP40" s="53"/>
      <c r="DQ40" s="53"/>
      <c r="DR40" s="43">
        <f>DR$39</f>
        <v>0</v>
      </c>
      <c r="DS40" s="43">
        <f t="shared" ref="DS40:EK50" si="31">DS$39</f>
        <v>0</v>
      </c>
      <c r="DT40" s="43">
        <f t="shared" si="31"/>
        <v>0</v>
      </c>
      <c r="DU40" s="43">
        <f t="shared" si="31"/>
        <v>0</v>
      </c>
      <c r="DV40" s="43">
        <f t="shared" si="31"/>
        <v>0</v>
      </c>
      <c r="DW40" s="43">
        <f t="shared" si="31"/>
        <v>0</v>
      </c>
      <c r="DX40" s="43">
        <f t="shared" si="31"/>
        <v>0</v>
      </c>
      <c r="DY40" s="43">
        <f t="shared" si="31"/>
        <v>0</v>
      </c>
      <c r="DZ40" s="43">
        <f t="shared" si="31"/>
        <v>0</v>
      </c>
      <c r="EA40" s="43">
        <f t="shared" si="31"/>
        <v>0</v>
      </c>
      <c r="EB40" s="43">
        <f t="shared" si="31"/>
        <v>0</v>
      </c>
      <c r="EC40" s="43">
        <f t="shared" si="31"/>
        <v>0</v>
      </c>
      <c r="ED40" s="43">
        <f t="shared" si="31"/>
        <v>0</v>
      </c>
      <c r="EE40" s="43">
        <f t="shared" si="31"/>
        <v>0</v>
      </c>
      <c r="EF40" s="43">
        <f t="shared" si="31"/>
        <v>0</v>
      </c>
      <c r="EG40" s="43">
        <f t="shared" si="31"/>
        <v>0</v>
      </c>
      <c r="EH40" s="43">
        <f t="shared" si="31"/>
        <v>0</v>
      </c>
      <c r="EI40" s="43">
        <f t="shared" si="31"/>
        <v>0</v>
      </c>
      <c r="EJ40" s="43">
        <f t="shared" si="31"/>
        <v>0</v>
      </c>
      <c r="EK40" s="43">
        <f t="shared" si="31"/>
        <v>0</v>
      </c>
      <c r="EL40" s="47"/>
      <c r="EM40" s="47"/>
      <c r="EN40" s="47"/>
      <c r="EO40" s="47"/>
      <c r="EP40" s="47"/>
      <c r="EQ40" s="47"/>
      <c r="ER40" s="47"/>
      <c r="ES40" s="47"/>
      <c r="ET40" s="47"/>
      <c r="EU40" s="47"/>
      <c r="EV40" s="47"/>
      <c r="EW40" s="47"/>
      <c r="EX40" s="47"/>
      <c r="EY40" s="47"/>
      <c r="EZ40" s="47"/>
      <c r="FA40" s="47"/>
      <c r="FB40" s="47"/>
      <c r="FC40" s="47"/>
      <c r="FD40" s="47"/>
      <c r="FE40" s="47"/>
    </row>
    <row r="41" spans="1:161" ht="14.25" x14ac:dyDescent="0.15">
      <c r="A41" s="46"/>
      <c r="B41" s="43" t="e">
        <f t="shared" si="2"/>
        <v>#DIV/0!</v>
      </c>
      <c r="C41" s="43" t="e">
        <f t="shared" si="3"/>
        <v>#DIV/0!</v>
      </c>
      <c r="D41" s="43" t="e">
        <f t="shared" si="4"/>
        <v>#DIV/0!</v>
      </c>
      <c r="E41" s="43" t="e">
        <f t="shared" si="5"/>
        <v>#DIV/0!</v>
      </c>
      <c r="F41" s="43" t="e">
        <f t="shared" si="6"/>
        <v>#DIV/0!</v>
      </c>
      <c r="G41" s="43" t="e">
        <f t="shared" si="7"/>
        <v>#DIV/0!</v>
      </c>
      <c r="H41" s="43" t="e">
        <f t="shared" si="8"/>
        <v>#DIV/0!</v>
      </c>
      <c r="I41" s="43" t="e">
        <f t="shared" si="9"/>
        <v>#DIV/0!</v>
      </c>
      <c r="J41" s="43" t="e">
        <f t="shared" si="10"/>
        <v>#DIV/0!</v>
      </c>
      <c r="K41" s="43" t="e">
        <f t="shared" si="11"/>
        <v>#DIV/0!</v>
      </c>
      <c r="L41" s="43" t="e">
        <f t="shared" si="12"/>
        <v>#DIV/0!</v>
      </c>
      <c r="M41" s="43" t="e">
        <f t="shared" si="13"/>
        <v>#DIV/0!</v>
      </c>
      <c r="N41" s="43" t="e">
        <f t="shared" si="14"/>
        <v>#DIV/0!</v>
      </c>
      <c r="O41" s="43" t="e">
        <f t="shared" si="15"/>
        <v>#DIV/0!</v>
      </c>
      <c r="P41" s="43" t="e">
        <f t="shared" si="16"/>
        <v>#DIV/0!</v>
      </c>
      <c r="Q41" s="43" t="e">
        <f t="shared" si="17"/>
        <v>#DIV/0!</v>
      </c>
      <c r="R41" s="43" t="e">
        <f t="shared" si="18"/>
        <v>#DIV/0!</v>
      </c>
      <c r="S41" s="43" t="e">
        <f t="shared" si="19"/>
        <v>#DIV/0!</v>
      </c>
      <c r="T41" s="43" t="e">
        <f t="shared" si="20"/>
        <v>#DIV/0!</v>
      </c>
      <c r="U41" s="43" t="e">
        <f t="shared" si="21"/>
        <v>#DIV/0!</v>
      </c>
      <c r="V41" s="53" t="e">
        <f>V40+ATM_Conf!$C$5*(B40)/(B228*V228)</f>
        <v>#DIV/0!</v>
      </c>
      <c r="W41" s="53" t="e">
        <f>W40+ATM_Conf!$C$5*(C40-B40)/(C228*W228)</f>
        <v>#DIV/0!</v>
      </c>
      <c r="X41" s="53" t="e">
        <f>X40+ATM_Conf!$C$5*(D40-C40)/(D228*X228)</f>
        <v>#DIV/0!</v>
      </c>
      <c r="Y41" s="53" t="e">
        <f>Y40+ATM_Conf!$C$5*(E40-D40)/(E228*Y228)</f>
        <v>#DIV/0!</v>
      </c>
      <c r="Z41" s="53" t="e">
        <f>Z40+ATM_Conf!$C$5*(F40-E40)/(F228*Z228)</f>
        <v>#DIV/0!</v>
      </c>
      <c r="AA41" s="53" t="e">
        <f>AA40+ATM_Conf!$C$5*(G40-F40)/(G228*AA228)</f>
        <v>#DIV/0!</v>
      </c>
      <c r="AB41" s="53" t="e">
        <f>AB40+ATM_Conf!$C$5*(H40-G40)/(H228*AB228)</f>
        <v>#DIV/0!</v>
      </c>
      <c r="AC41" s="53" t="e">
        <f>AC40+ATM_Conf!$C$5*(I40-H40)/(I228*AC228)</f>
        <v>#DIV/0!</v>
      </c>
      <c r="AD41" s="53" t="e">
        <f>AD40+ATM_Conf!$C$5*(J40-I40)/(J228*AD228)</f>
        <v>#DIV/0!</v>
      </c>
      <c r="AE41" s="53" t="e">
        <f>AE40+ATM_Conf!$C$5*(K40-J40)/(K228*AE228)</f>
        <v>#DIV/0!</v>
      </c>
      <c r="AF41" s="53" t="e">
        <f>AF40+ATM_Conf!$C$5*(L40)/(L228*AF228)</f>
        <v>#DIV/0!</v>
      </c>
      <c r="AG41" s="53" t="e">
        <f>AG40+ATM_Conf!$C$5*(M40-L40)/(M228*AG228)</f>
        <v>#DIV/0!</v>
      </c>
      <c r="AH41" s="53" t="e">
        <f>AH40+ATM_Conf!$C$5*(N40-M40)/(N228*AH228)</f>
        <v>#DIV/0!</v>
      </c>
      <c r="AI41" s="53" t="e">
        <f>AI40+ATM_Conf!$C$5*(O40-N40)/(O228*AI228)</f>
        <v>#DIV/0!</v>
      </c>
      <c r="AJ41" s="53" t="e">
        <f>AJ40+ATM_Conf!$C$5*(P40-O40)/(P228*AJ228)</f>
        <v>#DIV/0!</v>
      </c>
      <c r="AK41" s="53" t="e">
        <f>AK40+ATM_Conf!$C$5*(Q40-P40)/(Q228*AK228)</f>
        <v>#DIV/0!</v>
      </c>
      <c r="AL41" s="53" t="e">
        <f>AL40+ATM_Conf!$C$5*(R40-Q40)/(R228*AL228)</f>
        <v>#DIV/0!</v>
      </c>
      <c r="AM41" s="53" t="e">
        <f>AM40+ATM_Conf!$C$5*(S40-R40)/(S228*AM228)</f>
        <v>#DIV/0!</v>
      </c>
      <c r="AN41" s="53" t="e">
        <f>AN40+ATM_Conf!$C$5*(T40-S40)/(T228*AN228)</f>
        <v>#DIV/0!</v>
      </c>
      <c r="AO41" s="53" t="e">
        <f>AO40+ATM_Conf!$C$5*(U40-T40)/(U228*AO228)</f>
        <v>#DIV/0!</v>
      </c>
      <c r="AP41" s="43" t="e">
        <f>AP40+(ATM_Conf!$C$5/ATM_Conf!$C$8)*(BJ41*EXP(-(1/CX41)*(V41/CD41)^CX41)-AP40)-(ATM_Conf!$C$5*ATM_Conf!$C$9)/(V228*ATM_Conf!$C$8)*(Nodes!BO40-V40)/(V40+ATM_Conf!$C$10)</f>
        <v>#DIV/0!</v>
      </c>
      <c r="AQ41" s="43" t="e">
        <f>AQ40+(ATM_Conf!$C$5/ATM_Conf!$C$8)*(BK41*EXP(-(1/CY41)*(W41/CE41)^CY41)-AQ40)+(ATM_Conf!$C$5/W228)*AQ40*(AP40-AQ40)-(ATM_Conf!$C$5*ATM_Conf!$C$9)/(W228*ATM_Conf!$C$8)*(X40-W40)/(W40+ATM_Conf!$C$10)</f>
        <v>#DIV/0!</v>
      </c>
      <c r="AR41" s="43" t="e">
        <f>AR40+(ATM_Conf!$C$5/ATM_Conf!$C$8)*(BL41*EXP(-(1/CZ41)*(X41/CF41)^CZ41)-AR40)+(ATM_Conf!$C$5/X228)*AR40*(Nodes!BC40-AR40)-(ATM_Conf!$C$5*ATM_Conf!$C$9)/(X228*ATM_Conf!$C$8)*(Nodes!BQ40-X40)/(X40+ATM_Conf!$C$10)</f>
        <v>#DIV/0!</v>
      </c>
      <c r="AS41" s="43" t="e">
        <f>AS40+(ATM_Conf!$C$5/ATM_Conf!$C$8)*(BM41*EXP(-(1/DA41)*(Y41/CG41)^DA41)-AS40)+(ATM_Conf!$C$5/Y228)*AS40*(AR40-AS40)-(ATM_Conf!$C$5*ATM_Conf!$C$9)/(Y228*ATM_Conf!$C$8)*(Z40-Y40)/(Y40+ATM_Conf!$C$10)</f>
        <v>#DIV/0!</v>
      </c>
      <c r="AT41" s="43" t="e">
        <f>AT40+(ATM_Conf!$C$5/ATM_Conf!$C$8)*(BN41*EXP(-(1/DB41)*(Z41/CH41)^DB41)-AT40)+(ATM_Conf!$C$5/Z228)*AT40*(Nodes!BE40-AT40)-(ATM_Conf!$C$5*ATM_Conf!$C$9)/(Z228*ATM_Conf!$C$8)*(Nodes!BS40-Z40)/(Z40+ATM_Conf!$C$10)</f>
        <v>#DIV/0!</v>
      </c>
      <c r="AU41" s="43" t="e">
        <f>AU40+(ATM_Conf!$C$5/ATM_Conf!$C$8)*(BO41*EXP(-(1/DC41)*(AA41/CI41)^DC41)-AU40)+(ATM_Conf!$C$5/AA228)*AU40*(Nodes!BF40-AU40)-(ATM_Conf!$C$5*ATM_Conf!$C$9)/(AA228*ATM_Conf!$C$8)*(Nodes!BV40-AA40)/(AA40+ATM_Conf!$C$10)</f>
        <v>#DIV/0!</v>
      </c>
      <c r="AV41" s="43" t="e">
        <f>AV40+(ATM_Conf!$C$5/ATM_Conf!$C$8)*(BP41*EXP(-(1/DD41)*(AB41/CJ41)^DD41)-AV40)+(ATM_Conf!$C$5/AB228)*AV40*(AU40-AV40)-(ATM_Conf!$C$5*ATM_Conf!$C$9)/(AB228*ATM_Conf!$C$8)*(AC40-AB40)/(AB40+ATM_Conf!$C$10)</f>
        <v>#DIV/0!</v>
      </c>
      <c r="AW41" s="43" t="e">
        <f>AW40+(ATM_Conf!$C$5/ATM_Conf!$C$8)*(BQ41*EXP(-(1/DE41)*(AC41/CK41)^DE41)-AW40)+(ATM_Conf!$C$5/AC228)*AW40*(AV40-AW40)-(ATM_Conf!$C$5*ATM_Conf!$C$9)/(AC228*ATM_Conf!$C$8)*(AD40-AC40)/(AC40+ATM_Conf!$C$10)</f>
        <v>#DIV/0!</v>
      </c>
      <c r="AX41" s="43" t="e">
        <f>AX40+(ATM_Conf!$C$5/ATM_Conf!$C$8)*(BR41*EXP(-(1/DF41)*(AD41/CL41)^DF41)-AX40)+(ATM_Conf!$C$5/AD228)*AX40*(Nodes!BG40-AX40)-(ATM_Conf!$C$5*ATM_Conf!$C$9)/(AD228*ATM_Conf!$C$8)*(Nodes!BU40-AD40)/(AD40+ATM_Conf!$C$10)</f>
        <v>#DIV/0!</v>
      </c>
      <c r="AY41" s="43" t="e">
        <f>AY40+(ATM_Conf!$C$5/ATM_Conf!$C$8)*(BS41*EXP(-(1/DG41)*(AE41/CM41)^DG41)-AY40)+(ATM_Conf!$C$5/AE228)*AY40*(Nodes!BF40-AY40)</f>
        <v>#DIV/0!</v>
      </c>
      <c r="AZ41" s="43" t="e">
        <f>AZ40+(ATM_Conf!$C$5/ATM_Conf!$C$8)*(BT41*EXP(-(1/DH41)*(AF41/CN41)^DH41)-AZ40)-(ATM_Conf!$C$5*ATM_Conf!$C$9)/(AF228*ATM_Conf!$C$8)*(Nodes!BV40-AF40)/(AF40+ATM_Conf!$C$10)</f>
        <v>#DIV/0!</v>
      </c>
      <c r="BA41" s="43" t="e">
        <f>BA40+(ATM_Conf!$C$5/ATM_Conf!$C$8)*(BU41*EXP(-(1/DI41)*(AG41/CO41)^DI41)-BA40)+(ATM_Conf!$C$5/AG228)*BA40*(Nodes!BI40-BA40)-(ATM_Conf!$C$5*ATM_Conf!$C$9)/(AG228*ATM_Conf!$C$8)*(Nodes!BW40-AG40)/(AG40+ATM_Conf!$C$10)</f>
        <v>#DIV/0!</v>
      </c>
      <c r="BB41" s="43" t="e">
        <f>BB40+(ATM_Conf!$C$5/ATM_Conf!$C$8)*(BV41*EXP(-(1/DJ41)*(AH41/CP41)^DJ41)-BB40)+(ATM_Conf!$C$5/AH228)*BB40*(Nodes!BJ40-BB40)-(ATM_Conf!$C$5*ATM_Conf!$C$9)/(AH228*ATM_Conf!$C$8)*(AI40-AH40)/(AH40+ATM_Conf!$C$10)</f>
        <v>#DIV/0!</v>
      </c>
      <c r="BC41" s="43" t="e">
        <f>BC40+(ATM_Conf!$C$5/ATM_Conf!$C$8)*(BW41*EXP(-(1/DK41)*(AI41/CQ41)^DK41)-BC40)+(ATM_Conf!$C$5/AI228)*BC40*(BB40-BC40)-(ATM_Conf!$C$5*ATM_Conf!$C$9)/(AI228*ATM_Conf!$C$8)*(AJ40-AI40)/(AI40+ATM_Conf!$C$10)</f>
        <v>#DIV/0!</v>
      </c>
      <c r="BD41" s="43" t="e">
        <f>BD40+(ATM_Conf!$C$5/ATM_Conf!$C$8)*(BX41*EXP(-(1/DL41)*(AJ41/CR41)^DL41)-BD40)+(ATM_Conf!$C$5/AJ228)*BD40*(BC40-BD40)-(ATM_Conf!$C$5*ATM_Conf!$C$9)/(AJ228*ATM_Conf!$C$8)*(Nodes!BX40-AJ40)/(AJ40+ATM_Conf!$C$10)</f>
        <v>#DIV/0!</v>
      </c>
      <c r="BE41" s="43" t="e">
        <f>BE40+(ATM_Conf!$C$5/ATM_Conf!$C$8)*(BY41*EXP(-(1/DM41)*(AK41/CS41)^DM41)-BE40)+(ATM_Conf!$C$5/AK228)*BE40*(Nodes!BK40-BE40)-(ATM_Conf!$C$5*ATM_Conf!$C$9)/(AK228*ATM_Conf!$C$8)*(Nodes!BY40-AK40)/(AK40+ATM_Conf!$C$10)</f>
        <v>#DIV/0!</v>
      </c>
      <c r="BF41" s="43" t="e">
        <f>BF40+(ATM_Conf!$C$5/ATM_Conf!$C$8)*(BZ41*EXP(-(1/DN41)*(AL41/CT41)^DN41)-BF40)+(ATM_Conf!$C$5/AL228)*BF40*(BE40-BF40)-(ATM_Conf!$C$5*ATM_Conf!$C$9)/(AL228*ATM_Conf!$C$8)*(AM40-AL40)/(AL40+ATM_Conf!$C$10)</f>
        <v>#DIV/0!</v>
      </c>
      <c r="BG41" s="43" t="e">
        <f>BG40+(ATM_Conf!$C$5/ATM_Conf!$C$8)*(CA41*EXP(-(1/DO41)*(AM41/CU41)^DO41)-BG40)+(ATM_Conf!$C$5/AM228)*BG40*(Nodes!BM40-BG40)-(ATM_Conf!$C$5*ATM_Conf!$C$9)/(AM228*ATM_Conf!$C$8)*(Nodes!CA40-AM40)/(AM40+ATM_Conf!$C$10)</f>
        <v>#DIV/0!</v>
      </c>
      <c r="BH41" s="43" t="e">
        <f>BH40+(ATM_Conf!$C$5/ATM_Conf!$C$8)*(CB41*EXP(-(1/DP41)*(AN41/CV41)^DP41)-BH40)+(ATM_Conf!$C$5/AN228)*BH40*(BG40-BH40)-(ATM_Conf!$C$5*ATM_Conf!$C$9)/(AN228*ATM_Conf!$C$8)*(AO40-AN40)/(AN40+ATM_Conf!$C$10)</f>
        <v>#DIV/0!</v>
      </c>
      <c r="BI41" s="43" t="e">
        <f>BI40+(ATM_Conf!$C$5/ATM_Conf!$C$8)*(CC41*EXP(-(1/DQ41)*(AO41/CW41)^DQ41)-BI40)+(ATM_Conf!$C$5/AO228)*BI40*(BH40-BI40)</f>
        <v>#DIV/0!</v>
      </c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53"/>
      <c r="CY41" s="53"/>
      <c r="CZ41" s="53"/>
      <c r="DA41" s="53"/>
      <c r="DB41" s="53"/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  <c r="DR41" s="43">
        <f t="shared" ref="DR41:DR50" si="32">DR$39</f>
        <v>0</v>
      </c>
      <c r="DS41" s="43">
        <f t="shared" si="31"/>
        <v>0</v>
      </c>
      <c r="DT41" s="43">
        <f t="shared" si="31"/>
        <v>0</v>
      </c>
      <c r="DU41" s="43">
        <f t="shared" si="31"/>
        <v>0</v>
      </c>
      <c r="DV41" s="43">
        <f t="shared" si="31"/>
        <v>0</v>
      </c>
      <c r="DW41" s="43">
        <f t="shared" si="31"/>
        <v>0</v>
      </c>
      <c r="DX41" s="43">
        <f t="shared" si="31"/>
        <v>0</v>
      </c>
      <c r="DY41" s="43">
        <f t="shared" si="31"/>
        <v>0</v>
      </c>
      <c r="DZ41" s="43">
        <f t="shared" si="31"/>
        <v>0</v>
      </c>
      <c r="EA41" s="43">
        <f t="shared" si="31"/>
        <v>0</v>
      </c>
      <c r="EB41" s="43">
        <f t="shared" si="31"/>
        <v>0</v>
      </c>
      <c r="EC41" s="43">
        <f t="shared" si="31"/>
        <v>0</v>
      </c>
      <c r="ED41" s="43">
        <f t="shared" si="31"/>
        <v>0</v>
      </c>
      <c r="EE41" s="43">
        <f t="shared" si="31"/>
        <v>0</v>
      </c>
      <c r="EF41" s="43">
        <f t="shared" si="31"/>
        <v>0</v>
      </c>
      <c r="EG41" s="43">
        <f t="shared" si="31"/>
        <v>0</v>
      </c>
      <c r="EH41" s="43">
        <f t="shared" si="31"/>
        <v>0</v>
      </c>
      <c r="EI41" s="43">
        <f t="shared" si="31"/>
        <v>0</v>
      </c>
      <c r="EJ41" s="43">
        <f t="shared" si="31"/>
        <v>0</v>
      </c>
      <c r="EK41" s="43">
        <f t="shared" si="31"/>
        <v>0</v>
      </c>
      <c r="EL41" s="47"/>
      <c r="EM41" s="47"/>
      <c r="EN41" s="47"/>
      <c r="EO41" s="47"/>
      <c r="EP41" s="47"/>
      <c r="EQ41" s="47"/>
      <c r="ER41" s="47"/>
      <c r="ES41" s="47"/>
      <c r="ET41" s="47"/>
      <c r="EU41" s="47"/>
      <c r="EV41" s="47"/>
      <c r="EW41" s="47"/>
      <c r="EX41" s="47"/>
      <c r="EY41" s="47"/>
      <c r="EZ41" s="47"/>
      <c r="FA41" s="47"/>
      <c r="FB41" s="47"/>
      <c r="FC41" s="47"/>
      <c r="FD41" s="47"/>
      <c r="FE41" s="47"/>
    </row>
    <row r="42" spans="1:161" ht="14.25" x14ac:dyDescent="0.15">
      <c r="A42" s="46"/>
      <c r="B42" s="43" t="e">
        <f t="shared" si="2"/>
        <v>#DIV/0!</v>
      </c>
      <c r="C42" s="43" t="e">
        <f t="shared" si="3"/>
        <v>#DIV/0!</v>
      </c>
      <c r="D42" s="43" t="e">
        <f t="shared" si="4"/>
        <v>#DIV/0!</v>
      </c>
      <c r="E42" s="43" t="e">
        <f t="shared" si="5"/>
        <v>#DIV/0!</v>
      </c>
      <c r="F42" s="43" t="e">
        <f t="shared" si="6"/>
        <v>#DIV/0!</v>
      </c>
      <c r="G42" s="43" t="e">
        <f t="shared" si="7"/>
        <v>#DIV/0!</v>
      </c>
      <c r="H42" s="43" t="e">
        <f t="shared" si="8"/>
        <v>#DIV/0!</v>
      </c>
      <c r="I42" s="43" t="e">
        <f t="shared" si="9"/>
        <v>#DIV/0!</v>
      </c>
      <c r="J42" s="43" t="e">
        <f t="shared" si="10"/>
        <v>#DIV/0!</v>
      </c>
      <c r="K42" s="43" t="e">
        <f t="shared" si="11"/>
        <v>#DIV/0!</v>
      </c>
      <c r="L42" s="43" t="e">
        <f t="shared" si="12"/>
        <v>#DIV/0!</v>
      </c>
      <c r="M42" s="43" t="e">
        <f t="shared" si="13"/>
        <v>#DIV/0!</v>
      </c>
      <c r="N42" s="43" t="e">
        <f t="shared" si="14"/>
        <v>#DIV/0!</v>
      </c>
      <c r="O42" s="43" t="e">
        <f t="shared" si="15"/>
        <v>#DIV/0!</v>
      </c>
      <c r="P42" s="43" t="e">
        <f t="shared" si="16"/>
        <v>#DIV/0!</v>
      </c>
      <c r="Q42" s="43" t="e">
        <f t="shared" si="17"/>
        <v>#DIV/0!</v>
      </c>
      <c r="R42" s="43" t="e">
        <f t="shared" si="18"/>
        <v>#DIV/0!</v>
      </c>
      <c r="S42" s="43" t="e">
        <f t="shared" si="19"/>
        <v>#DIV/0!</v>
      </c>
      <c r="T42" s="43" t="e">
        <f t="shared" si="20"/>
        <v>#DIV/0!</v>
      </c>
      <c r="U42" s="43" t="e">
        <f t="shared" si="21"/>
        <v>#DIV/0!</v>
      </c>
      <c r="V42" s="53" t="e">
        <f>V41+ATM_Conf!$C$5*(B41)/(B229*V229)</f>
        <v>#DIV/0!</v>
      </c>
      <c r="W42" s="53" t="e">
        <f>W41+ATM_Conf!$C$5*(C41-B41)/(C229*W229)</f>
        <v>#DIV/0!</v>
      </c>
      <c r="X42" s="53" t="e">
        <f>X41+ATM_Conf!$C$5*(D41-C41)/(D229*X229)</f>
        <v>#DIV/0!</v>
      </c>
      <c r="Y42" s="53" t="e">
        <f>Y41+ATM_Conf!$C$5*(E41-D41)/(E229*Y229)</f>
        <v>#DIV/0!</v>
      </c>
      <c r="Z42" s="53" t="e">
        <f>Z41+ATM_Conf!$C$5*(F41-E41)/(F229*Z229)</f>
        <v>#DIV/0!</v>
      </c>
      <c r="AA42" s="53" t="e">
        <f>AA41+ATM_Conf!$C$5*(G41-F41)/(G229*AA229)</f>
        <v>#DIV/0!</v>
      </c>
      <c r="AB42" s="53" t="e">
        <f>AB41+ATM_Conf!$C$5*(H41-G41)/(H229*AB229)</f>
        <v>#DIV/0!</v>
      </c>
      <c r="AC42" s="53" t="e">
        <f>AC41+ATM_Conf!$C$5*(I41-H41)/(I229*AC229)</f>
        <v>#DIV/0!</v>
      </c>
      <c r="AD42" s="53" t="e">
        <f>AD41+ATM_Conf!$C$5*(J41-I41)/(J229*AD229)</f>
        <v>#DIV/0!</v>
      </c>
      <c r="AE42" s="53" t="e">
        <f>AE41+ATM_Conf!$C$5*(K41-J41)/(K229*AE229)</f>
        <v>#DIV/0!</v>
      </c>
      <c r="AF42" s="53" t="e">
        <f>AF41+ATM_Conf!$C$5*(L41)/(L229*AF229)</f>
        <v>#DIV/0!</v>
      </c>
      <c r="AG42" s="53" t="e">
        <f>AG41+ATM_Conf!$C$5*(M41-L41)/(M229*AG229)</f>
        <v>#DIV/0!</v>
      </c>
      <c r="AH42" s="53" t="e">
        <f>AH41+ATM_Conf!$C$5*(N41-M41)/(N229*AH229)</f>
        <v>#DIV/0!</v>
      </c>
      <c r="AI42" s="53" t="e">
        <f>AI41+ATM_Conf!$C$5*(O41-N41)/(O229*AI229)</f>
        <v>#DIV/0!</v>
      </c>
      <c r="AJ42" s="53" t="e">
        <f>AJ41+ATM_Conf!$C$5*(P41-O41)/(P229*AJ229)</f>
        <v>#DIV/0!</v>
      </c>
      <c r="AK42" s="53" t="e">
        <f>AK41+ATM_Conf!$C$5*(Q41-P41)/(Q229*AK229)</f>
        <v>#DIV/0!</v>
      </c>
      <c r="AL42" s="53" t="e">
        <f>AL41+ATM_Conf!$C$5*(R41-Q41)/(R229*AL229)</f>
        <v>#DIV/0!</v>
      </c>
      <c r="AM42" s="53" t="e">
        <f>AM41+ATM_Conf!$C$5*(S41-R41)/(S229*AM229)</f>
        <v>#DIV/0!</v>
      </c>
      <c r="AN42" s="53" t="e">
        <f>AN41+ATM_Conf!$C$5*(T41-S41)/(T229*AN229)</f>
        <v>#DIV/0!</v>
      </c>
      <c r="AO42" s="53" t="e">
        <f>AO41+ATM_Conf!$C$5*(U41-T41)/(U229*AO229)</f>
        <v>#DIV/0!</v>
      </c>
      <c r="AP42" s="43" t="e">
        <f>AP41+(ATM_Conf!$C$5/ATM_Conf!$C$8)*(BJ42*EXP(-(1/CX42)*(V42/CD42)^CX42)-AP41)-(ATM_Conf!$C$5*ATM_Conf!$C$9)/(V229*ATM_Conf!$C$8)*(Nodes!BO41-V41)/(V41+ATM_Conf!$C$10)</f>
        <v>#DIV/0!</v>
      </c>
      <c r="AQ42" s="43" t="e">
        <f>AQ41+(ATM_Conf!$C$5/ATM_Conf!$C$8)*(BK42*EXP(-(1/CY42)*(W42/CE42)^CY42)-AQ41)+(ATM_Conf!$C$5/W229)*AQ41*(AP41-AQ41)-(ATM_Conf!$C$5*ATM_Conf!$C$9)/(W229*ATM_Conf!$C$8)*(X41-W41)/(W41+ATM_Conf!$C$10)</f>
        <v>#DIV/0!</v>
      </c>
      <c r="AR42" s="43" t="e">
        <f>AR41+(ATM_Conf!$C$5/ATM_Conf!$C$8)*(BL42*EXP(-(1/CZ42)*(X42/CF42)^CZ42)-AR41)+(ATM_Conf!$C$5/X229)*AR41*(Nodes!BC41-AR41)-(ATM_Conf!$C$5*ATM_Conf!$C$9)/(X229*ATM_Conf!$C$8)*(Nodes!BQ41-X41)/(X41+ATM_Conf!$C$10)</f>
        <v>#DIV/0!</v>
      </c>
      <c r="AS42" s="43" t="e">
        <f>AS41+(ATM_Conf!$C$5/ATM_Conf!$C$8)*(BM42*EXP(-(1/DA42)*(Y42/CG42)^DA42)-AS41)+(ATM_Conf!$C$5/Y229)*AS41*(AR41-AS41)-(ATM_Conf!$C$5*ATM_Conf!$C$9)/(Y229*ATM_Conf!$C$8)*(Z41-Y41)/(Y41+ATM_Conf!$C$10)</f>
        <v>#DIV/0!</v>
      </c>
      <c r="AT42" s="43" t="e">
        <f>AT41+(ATM_Conf!$C$5/ATM_Conf!$C$8)*(BN42*EXP(-(1/DB42)*(Z42/CH42)^DB42)-AT41)+(ATM_Conf!$C$5/Z229)*AT41*(Nodes!BE41-AT41)-(ATM_Conf!$C$5*ATM_Conf!$C$9)/(Z229*ATM_Conf!$C$8)*(Nodes!BS41-Z41)/(Z41+ATM_Conf!$C$10)</f>
        <v>#DIV/0!</v>
      </c>
      <c r="AU42" s="43" t="e">
        <f>AU41+(ATM_Conf!$C$5/ATM_Conf!$C$8)*(BO42*EXP(-(1/DC42)*(AA42/CI42)^DC42)-AU41)+(ATM_Conf!$C$5/AA229)*AU41*(Nodes!BF41-AU41)-(ATM_Conf!$C$5*ATM_Conf!$C$9)/(AA229*ATM_Conf!$C$8)*(Nodes!BV41-AA41)/(AA41+ATM_Conf!$C$10)</f>
        <v>#DIV/0!</v>
      </c>
      <c r="AV42" s="43" t="e">
        <f>AV41+(ATM_Conf!$C$5/ATM_Conf!$C$8)*(BP42*EXP(-(1/DD42)*(AB42/CJ42)^DD42)-AV41)+(ATM_Conf!$C$5/AB229)*AV41*(AU41-AV41)-(ATM_Conf!$C$5*ATM_Conf!$C$9)/(AB229*ATM_Conf!$C$8)*(AC41-AB41)/(AB41+ATM_Conf!$C$10)</f>
        <v>#DIV/0!</v>
      </c>
      <c r="AW42" s="43" t="e">
        <f>AW41+(ATM_Conf!$C$5/ATM_Conf!$C$8)*(BQ42*EXP(-(1/DE42)*(AC42/CK42)^DE42)-AW41)+(ATM_Conf!$C$5/AC229)*AW41*(AV41-AW41)-(ATM_Conf!$C$5*ATM_Conf!$C$9)/(AC229*ATM_Conf!$C$8)*(AD41-AC41)/(AC41+ATM_Conf!$C$10)</f>
        <v>#DIV/0!</v>
      </c>
      <c r="AX42" s="43" t="e">
        <f>AX41+(ATM_Conf!$C$5/ATM_Conf!$C$8)*(BR42*EXP(-(1/DF42)*(AD42/CL42)^DF42)-AX41)+(ATM_Conf!$C$5/AD229)*AX41*(Nodes!BG41-AX41)-(ATM_Conf!$C$5*ATM_Conf!$C$9)/(AD229*ATM_Conf!$C$8)*(Nodes!BU41-AD41)/(AD41+ATM_Conf!$C$10)</f>
        <v>#DIV/0!</v>
      </c>
      <c r="AY42" s="43" t="e">
        <f>AY41+(ATM_Conf!$C$5/ATM_Conf!$C$8)*(BS42*EXP(-(1/DG42)*(AE42/CM42)^DG42)-AY41)+(ATM_Conf!$C$5/AE229)*AY41*(Nodes!BF41-AY41)</f>
        <v>#DIV/0!</v>
      </c>
      <c r="AZ42" s="43" t="e">
        <f>AZ41+(ATM_Conf!$C$5/ATM_Conf!$C$8)*(BT42*EXP(-(1/DH42)*(AF42/CN42)^DH42)-AZ41)-(ATM_Conf!$C$5*ATM_Conf!$C$9)/(AF229*ATM_Conf!$C$8)*(Nodes!BV41-AF41)/(AF41+ATM_Conf!$C$10)</f>
        <v>#DIV/0!</v>
      </c>
      <c r="BA42" s="43" t="e">
        <f>BA41+(ATM_Conf!$C$5/ATM_Conf!$C$8)*(BU42*EXP(-(1/DI42)*(AG42/CO42)^DI42)-BA41)+(ATM_Conf!$C$5/AG229)*BA41*(Nodes!BI41-BA41)-(ATM_Conf!$C$5*ATM_Conf!$C$9)/(AG229*ATM_Conf!$C$8)*(Nodes!BW41-AG41)/(AG41+ATM_Conf!$C$10)</f>
        <v>#DIV/0!</v>
      </c>
      <c r="BB42" s="43" t="e">
        <f>BB41+(ATM_Conf!$C$5/ATM_Conf!$C$8)*(BV42*EXP(-(1/DJ42)*(AH42/CP42)^DJ42)-BB41)+(ATM_Conf!$C$5/AH229)*BB41*(Nodes!BJ41-BB41)-(ATM_Conf!$C$5*ATM_Conf!$C$9)/(AH229*ATM_Conf!$C$8)*(AI41-AH41)/(AH41+ATM_Conf!$C$10)</f>
        <v>#DIV/0!</v>
      </c>
      <c r="BC42" s="43" t="e">
        <f>BC41+(ATM_Conf!$C$5/ATM_Conf!$C$8)*(BW42*EXP(-(1/DK42)*(AI42/CQ42)^DK42)-BC41)+(ATM_Conf!$C$5/AI229)*BC41*(BB41-BC41)-(ATM_Conf!$C$5*ATM_Conf!$C$9)/(AI229*ATM_Conf!$C$8)*(AJ41-AI41)/(AI41+ATM_Conf!$C$10)</f>
        <v>#DIV/0!</v>
      </c>
      <c r="BD42" s="43" t="e">
        <f>BD41+(ATM_Conf!$C$5/ATM_Conf!$C$8)*(BX42*EXP(-(1/DL42)*(AJ42/CR42)^DL42)-BD41)+(ATM_Conf!$C$5/AJ229)*BD41*(BC41-BD41)-(ATM_Conf!$C$5*ATM_Conf!$C$9)/(AJ229*ATM_Conf!$C$8)*(Nodes!BX41-AJ41)/(AJ41+ATM_Conf!$C$10)</f>
        <v>#DIV/0!</v>
      </c>
      <c r="BE42" s="43" t="e">
        <f>BE41+(ATM_Conf!$C$5/ATM_Conf!$C$8)*(BY42*EXP(-(1/DM42)*(AK42/CS42)^DM42)-BE41)+(ATM_Conf!$C$5/AK229)*BE41*(Nodes!BK41-BE41)-(ATM_Conf!$C$5*ATM_Conf!$C$9)/(AK229*ATM_Conf!$C$8)*(Nodes!BY41-AK41)/(AK41+ATM_Conf!$C$10)</f>
        <v>#DIV/0!</v>
      </c>
      <c r="BF42" s="43" t="e">
        <f>BF41+(ATM_Conf!$C$5/ATM_Conf!$C$8)*(BZ42*EXP(-(1/DN42)*(AL42/CT42)^DN42)-BF41)+(ATM_Conf!$C$5/AL229)*BF41*(BE41-BF41)-(ATM_Conf!$C$5*ATM_Conf!$C$9)/(AL229*ATM_Conf!$C$8)*(AM41-AL41)/(AL41+ATM_Conf!$C$10)</f>
        <v>#DIV/0!</v>
      </c>
      <c r="BG42" s="43" t="e">
        <f>BG41+(ATM_Conf!$C$5/ATM_Conf!$C$8)*(CA42*EXP(-(1/DO42)*(AM42/CU42)^DO42)-BG41)+(ATM_Conf!$C$5/AM229)*BG41*(Nodes!BM41-BG41)-(ATM_Conf!$C$5*ATM_Conf!$C$9)/(AM229*ATM_Conf!$C$8)*(Nodes!CA41-AM41)/(AM41+ATM_Conf!$C$10)</f>
        <v>#DIV/0!</v>
      </c>
      <c r="BH42" s="43" t="e">
        <f>BH41+(ATM_Conf!$C$5/ATM_Conf!$C$8)*(CB42*EXP(-(1/DP42)*(AN42/CV42)^DP42)-BH41)+(ATM_Conf!$C$5/AN229)*BH41*(BG41-BH41)-(ATM_Conf!$C$5*ATM_Conf!$C$9)/(AN229*ATM_Conf!$C$8)*(AO41-AN41)/(AN41+ATM_Conf!$C$10)</f>
        <v>#DIV/0!</v>
      </c>
      <c r="BI42" s="43" t="e">
        <f>BI41+(ATM_Conf!$C$5/ATM_Conf!$C$8)*(CC42*EXP(-(1/DQ42)*(AO42/CW42)^DQ42)-BI41)+(ATM_Conf!$C$5/AO229)*BI41*(BH41-BI41)</f>
        <v>#DIV/0!</v>
      </c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53"/>
      <c r="CY42" s="53"/>
      <c r="CZ42" s="53"/>
      <c r="DA42" s="53"/>
      <c r="DB42" s="53"/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  <c r="DR42" s="43">
        <f t="shared" si="32"/>
        <v>0</v>
      </c>
      <c r="DS42" s="43">
        <f t="shared" si="31"/>
        <v>0</v>
      </c>
      <c r="DT42" s="43">
        <f t="shared" si="31"/>
        <v>0</v>
      </c>
      <c r="DU42" s="43">
        <f t="shared" si="31"/>
        <v>0</v>
      </c>
      <c r="DV42" s="43">
        <f t="shared" si="31"/>
        <v>0</v>
      </c>
      <c r="DW42" s="43">
        <f t="shared" si="31"/>
        <v>0</v>
      </c>
      <c r="DX42" s="43">
        <f t="shared" si="31"/>
        <v>0</v>
      </c>
      <c r="DY42" s="43">
        <f t="shared" si="31"/>
        <v>0</v>
      </c>
      <c r="DZ42" s="43">
        <f t="shared" si="31"/>
        <v>0</v>
      </c>
      <c r="EA42" s="43">
        <f t="shared" si="31"/>
        <v>0</v>
      </c>
      <c r="EB42" s="43">
        <f t="shared" si="31"/>
        <v>0</v>
      </c>
      <c r="EC42" s="43">
        <f t="shared" si="31"/>
        <v>0</v>
      </c>
      <c r="ED42" s="43">
        <f t="shared" si="31"/>
        <v>0</v>
      </c>
      <c r="EE42" s="43">
        <f t="shared" si="31"/>
        <v>0</v>
      </c>
      <c r="EF42" s="43">
        <f t="shared" si="31"/>
        <v>0</v>
      </c>
      <c r="EG42" s="43">
        <f t="shared" si="31"/>
        <v>0</v>
      </c>
      <c r="EH42" s="43">
        <f t="shared" si="31"/>
        <v>0</v>
      </c>
      <c r="EI42" s="43">
        <f t="shared" si="31"/>
        <v>0</v>
      </c>
      <c r="EJ42" s="43">
        <f t="shared" si="31"/>
        <v>0</v>
      </c>
      <c r="EK42" s="43">
        <f t="shared" si="31"/>
        <v>0</v>
      </c>
      <c r="EL42" s="47"/>
      <c r="EM42" s="47"/>
      <c r="EN42" s="47"/>
      <c r="EO42" s="47"/>
      <c r="EP42" s="47"/>
      <c r="EQ42" s="47"/>
      <c r="ER42" s="47"/>
      <c r="ES42" s="47"/>
      <c r="ET42" s="47"/>
      <c r="EU42" s="47"/>
      <c r="EV42" s="47"/>
      <c r="EW42" s="47"/>
      <c r="EX42" s="47"/>
      <c r="EY42" s="47"/>
      <c r="EZ42" s="47"/>
      <c r="FA42" s="47"/>
      <c r="FB42" s="47"/>
      <c r="FC42" s="47"/>
      <c r="FD42" s="47"/>
      <c r="FE42" s="47"/>
    </row>
    <row r="43" spans="1:161" ht="14.25" x14ac:dyDescent="0.15">
      <c r="A43" s="46"/>
      <c r="B43" s="43" t="e">
        <f t="shared" si="2"/>
        <v>#DIV/0!</v>
      </c>
      <c r="C43" s="43" t="e">
        <f t="shared" si="3"/>
        <v>#DIV/0!</v>
      </c>
      <c r="D43" s="43" t="e">
        <f t="shared" si="4"/>
        <v>#DIV/0!</v>
      </c>
      <c r="E43" s="43" t="e">
        <f t="shared" si="5"/>
        <v>#DIV/0!</v>
      </c>
      <c r="F43" s="43" t="e">
        <f t="shared" si="6"/>
        <v>#DIV/0!</v>
      </c>
      <c r="G43" s="43" t="e">
        <f t="shared" si="7"/>
        <v>#DIV/0!</v>
      </c>
      <c r="H43" s="43" t="e">
        <f t="shared" si="8"/>
        <v>#DIV/0!</v>
      </c>
      <c r="I43" s="43" t="e">
        <f t="shared" si="9"/>
        <v>#DIV/0!</v>
      </c>
      <c r="J43" s="43" t="e">
        <f t="shared" si="10"/>
        <v>#DIV/0!</v>
      </c>
      <c r="K43" s="43" t="e">
        <f t="shared" si="11"/>
        <v>#DIV/0!</v>
      </c>
      <c r="L43" s="43" t="e">
        <f t="shared" si="12"/>
        <v>#DIV/0!</v>
      </c>
      <c r="M43" s="43" t="e">
        <f t="shared" si="13"/>
        <v>#DIV/0!</v>
      </c>
      <c r="N43" s="43" t="e">
        <f t="shared" si="14"/>
        <v>#DIV/0!</v>
      </c>
      <c r="O43" s="43" t="e">
        <f t="shared" si="15"/>
        <v>#DIV/0!</v>
      </c>
      <c r="P43" s="43" t="e">
        <f t="shared" si="16"/>
        <v>#DIV/0!</v>
      </c>
      <c r="Q43" s="43" t="e">
        <f t="shared" si="17"/>
        <v>#DIV/0!</v>
      </c>
      <c r="R43" s="43" t="e">
        <f t="shared" si="18"/>
        <v>#DIV/0!</v>
      </c>
      <c r="S43" s="43" t="e">
        <f t="shared" si="19"/>
        <v>#DIV/0!</v>
      </c>
      <c r="T43" s="43" t="e">
        <f t="shared" si="20"/>
        <v>#DIV/0!</v>
      </c>
      <c r="U43" s="43" t="e">
        <f t="shared" si="21"/>
        <v>#DIV/0!</v>
      </c>
      <c r="V43" s="53" t="e">
        <f>V42+ATM_Conf!$C$5*(B42)/(B230*V230)</f>
        <v>#DIV/0!</v>
      </c>
      <c r="W43" s="53" t="e">
        <f>W42+ATM_Conf!$C$5*(C42-B42)/(C230*W230)</f>
        <v>#DIV/0!</v>
      </c>
      <c r="X43" s="53" t="e">
        <f>X42+ATM_Conf!$C$5*(D42-C42)/(D230*X230)</f>
        <v>#DIV/0!</v>
      </c>
      <c r="Y43" s="53" t="e">
        <f>Y42+ATM_Conf!$C$5*(E42-D42)/(E230*Y230)</f>
        <v>#DIV/0!</v>
      </c>
      <c r="Z43" s="53" t="e">
        <f>Z42+ATM_Conf!$C$5*(F42-E42)/(F230*Z230)</f>
        <v>#DIV/0!</v>
      </c>
      <c r="AA43" s="53" t="e">
        <f>AA42+ATM_Conf!$C$5*(G42-F42)/(G230*AA230)</f>
        <v>#DIV/0!</v>
      </c>
      <c r="AB43" s="53" t="e">
        <f>AB42+ATM_Conf!$C$5*(H42-G42)/(H230*AB230)</f>
        <v>#DIV/0!</v>
      </c>
      <c r="AC43" s="53" t="e">
        <f>AC42+ATM_Conf!$C$5*(I42-H42)/(I230*AC230)</f>
        <v>#DIV/0!</v>
      </c>
      <c r="AD43" s="53" t="e">
        <f>AD42+ATM_Conf!$C$5*(J42-I42)/(J230*AD230)</f>
        <v>#DIV/0!</v>
      </c>
      <c r="AE43" s="53" t="e">
        <f>AE42+ATM_Conf!$C$5*(K42-J42)/(K230*AE230)</f>
        <v>#DIV/0!</v>
      </c>
      <c r="AF43" s="53" t="e">
        <f>AF42+ATM_Conf!$C$5*(L42)/(L230*AF230)</f>
        <v>#DIV/0!</v>
      </c>
      <c r="AG43" s="53" t="e">
        <f>AG42+ATM_Conf!$C$5*(M42-L42)/(M230*AG230)</f>
        <v>#DIV/0!</v>
      </c>
      <c r="AH43" s="53" t="e">
        <f>AH42+ATM_Conf!$C$5*(N42-M42)/(N230*AH230)</f>
        <v>#DIV/0!</v>
      </c>
      <c r="AI43" s="53" t="e">
        <f>AI42+ATM_Conf!$C$5*(O42-N42)/(O230*AI230)</f>
        <v>#DIV/0!</v>
      </c>
      <c r="AJ43" s="53" t="e">
        <f>AJ42+ATM_Conf!$C$5*(P42-O42)/(P230*AJ230)</f>
        <v>#DIV/0!</v>
      </c>
      <c r="AK43" s="53" t="e">
        <f>AK42+ATM_Conf!$C$5*(Q42-P42)/(Q230*AK230)</f>
        <v>#DIV/0!</v>
      </c>
      <c r="AL43" s="53" t="e">
        <f>AL42+ATM_Conf!$C$5*(R42-Q42)/(R230*AL230)</f>
        <v>#DIV/0!</v>
      </c>
      <c r="AM43" s="53" t="e">
        <f>AM42+ATM_Conf!$C$5*(S42-R42)/(S230*AM230)</f>
        <v>#DIV/0!</v>
      </c>
      <c r="AN43" s="53" t="e">
        <f>AN42+ATM_Conf!$C$5*(T42-S42)/(T230*AN230)</f>
        <v>#DIV/0!</v>
      </c>
      <c r="AO43" s="53" t="e">
        <f>AO42+ATM_Conf!$C$5*(U42-T42)/(U230*AO230)</f>
        <v>#DIV/0!</v>
      </c>
      <c r="AP43" s="43" t="e">
        <f>AP42+(ATM_Conf!$C$5/ATM_Conf!$C$8)*(BJ43*EXP(-(1/CX43)*(V43/CD43)^CX43)-AP42)-(ATM_Conf!$C$5*ATM_Conf!$C$9)/(V230*ATM_Conf!$C$8)*(Nodes!BO42-V42)/(V42+ATM_Conf!$C$10)</f>
        <v>#DIV/0!</v>
      </c>
      <c r="AQ43" s="43" t="e">
        <f>AQ42+(ATM_Conf!$C$5/ATM_Conf!$C$8)*(BK43*EXP(-(1/CY43)*(W43/CE43)^CY43)-AQ42)+(ATM_Conf!$C$5/W230)*AQ42*(AP42-AQ42)-(ATM_Conf!$C$5*ATM_Conf!$C$9)/(W230*ATM_Conf!$C$8)*(X42-W42)/(W42+ATM_Conf!$C$10)</f>
        <v>#DIV/0!</v>
      </c>
      <c r="AR43" s="43" t="e">
        <f>AR42+(ATM_Conf!$C$5/ATM_Conf!$C$8)*(BL43*EXP(-(1/CZ43)*(X43/CF43)^CZ43)-AR42)+(ATM_Conf!$C$5/X230)*AR42*(Nodes!BC42-AR42)-(ATM_Conf!$C$5*ATM_Conf!$C$9)/(X230*ATM_Conf!$C$8)*(Nodes!BQ42-X42)/(X42+ATM_Conf!$C$10)</f>
        <v>#DIV/0!</v>
      </c>
      <c r="AS43" s="43" t="e">
        <f>AS42+(ATM_Conf!$C$5/ATM_Conf!$C$8)*(BM43*EXP(-(1/DA43)*(Y43/CG43)^DA43)-AS42)+(ATM_Conf!$C$5/Y230)*AS42*(AR42-AS42)-(ATM_Conf!$C$5*ATM_Conf!$C$9)/(Y230*ATM_Conf!$C$8)*(Z42-Y42)/(Y42+ATM_Conf!$C$10)</f>
        <v>#DIV/0!</v>
      </c>
      <c r="AT43" s="43" t="e">
        <f>AT42+(ATM_Conf!$C$5/ATM_Conf!$C$8)*(BN43*EXP(-(1/DB43)*(Z43/CH43)^DB43)-AT42)+(ATM_Conf!$C$5/Z230)*AT42*(Nodes!BE42-AT42)-(ATM_Conf!$C$5*ATM_Conf!$C$9)/(Z230*ATM_Conf!$C$8)*(Nodes!BS42-Z42)/(Z42+ATM_Conf!$C$10)</f>
        <v>#DIV/0!</v>
      </c>
      <c r="AU43" s="43" t="e">
        <f>AU42+(ATM_Conf!$C$5/ATM_Conf!$C$8)*(BO43*EXP(-(1/DC43)*(AA43/CI43)^DC43)-AU42)+(ATM_Conf!$C$5/AA230)*AU42*(Nodes!BF42-AU42)-(ATM_Conf!$C$5*ATM_Conf!$C$9)/(AA230*ATM_Conf!$C$8)*(Nodes!BV42-AA42)/(AA42+ATM_Conf!$C$10)</f>
        <v>#DIV/0!</v>
      </c>
      <c r="AV43" s="43" t="e">
        <f>AV42+(ATM_Conf!$C$5/ATM_Conf!$C$8)*(BP43*EXP(-(1/DD43)*(AB43/CJ43)^DD43)-AV42)+(ATM_Conf!$C$5/AB230)*AV42*(AU42-AV42)-(ATM_Conf!$C$5*ATM_Conf!$C$9)/(AB230*ATM_Conf!$C$8)*(AC42-AB42)/(AB42+ATM_Conf!$C$10)</f>
        <v>#DIV/0!</v>
      </c>
      <c r="AW43" s="43" t="e">
        <f>AW42+(ATM_Conf!$C$5/ATM_Conf!$C$8)*(BQ43*EXP(-(1/DE43)*(AC43/CK43)^DE43)-AW42)+(ATM_Conf!$C$5/AC230)*AW42*(AV42-AW42)-(ATM_Conf!$C$5*ATM_Conf!$C$9)/(AC230*ATM_Conf!$C$8)*(AD42-AC42)/(AC42+ATM_Conf!$C$10)</f>
        <v>#DIV/0!</v>
      </c>
      <c r="AX43" s="43" t="e">
        <f>AX42+(ATM_Conf!$C$5/ATM_Conf!$C$8)*(BR43*EXP(-(1/DF43)*(AD43/CL43)^DF43)-AX42)+(ATM_Conf!$C$5/AD230)*AX42*(Nodes!BG42-AX42)-(ATM_Conf!$C$5*ATM_Conf!$C$9)/(AD230*ATM_Conf!$C$8)*(Nodes!BU42-AD42)/(AD42+ATM_Conf!$C$10)</f>
        <v>#DIV/0!</v>
      </c>
      <c r="AY43" s="43" t="e">
        <f>AY42+(ATM_Conf!$C$5/ATM_Conf!$C$8)*(BS43*EXP(-(1/DG43)*(AE43/CM43)^DG43)-AY42)+(ATM_Conf!$C$5/AE230)*AY42*(Nodes!BF42-AY42)</f>
        <v>#DIV/0!</v>
      </c>
      <c r="AZ43" s="43" t="e">
        <f>AZ42+(ATM_Conf!$C$5/ATM_Conf!$C$8)*(BT43*EXP(-(1/DH43)*(AF43/CN43)^DH43)-AZ42)-(ATM_Conf!$C$5*ATM_Conf!$C$9)/(AF230*ATM_Conf!$C$8)*(Nodes!BV42-AF42)/(AF42+ATM_Conf!$C$10)</f>
        <v>#DIV/0!</v>
      </c>
      <c r="BA43" s="43" t="e">
        <f>BA42+(ATM_Conf!$C$5/ATM_Conf!$C$8)*(BU43*EXP(-(1/DI43)*(AG43/CO43)^DI43)-BA42)+(ATM_Conf!$C$5/AG230)*BA42*(Nodes!BI42-BA42)-(ATM_Conf!$C$5*ATM_Conf!$C$9)/(AG230*ATM_Conf!$C$8)*(Nodes!BW42-AG42)/(AG42+ATM_Conf!$C$10)</f>
        <v>#DIV/0!</v>
      </c>
      <c r="BB43" s="43" t="e">
        <f>BB42+(ATM_Conf!$C$5/ATM_Conf!$C$8)*(BV43*EXP(-(1/DJ43)*(AH43/CP43)^DJ43)-BB42)+(ATM_Conf!$C$5/AH230)*BB42*(Nodes!BJ42-BB42)-(ATM_Conf!$C$5*ATM_Conf!$C$9)/(AH230*ATM_Conf!$C$8)*(AI42-AH42)/(AH42+ATM_Conf!$C$10)</f>
        <v>#DIV/0!</v>
      </c>
      <c r="BC43" s="43" t="e">
        <f>BC42+(ATM_Conf!$C$5/ATM_Conf!$C$8)*(BW43*EXP(-(1/DK43)*(AI43/CQ43)^DK43)-BC42)+(ATM_Conf!$C$5/AI230)*BC42*(BB42-BC42)-(ATM_Conf!$C$5*ATM_Conf!$C$9)/(AI230*ATM_Conf!$C$8)*(AJ42-AI42)/(AI42+ATM_Conf!$C$10)</f>
        <v>#DIV/0!</v>
      </c>
      <c r="BD43" s="43" t="e">
        <f>BD42+(ATM_Conf!$C$5/ATM_Conf!$C$8)*(BX43*EXP(-(1/DL43)*(AJ43/CR43)^DL43)-BD42)+(ATM_Conf!$C$5/AJ230)*BD42*(BC42-BD42)-(ATM_Conf!$C$5*ATM_Conf!$C$9)/(AJ230*ATM_Conf!$C$8)*(Nodes!BX42-AJ42)/(AJ42+ATM_Conf!$C$10)</f>
        <v>#DIV/0!</v>
      </c>
      <c r="BE43" s="43" t="e">
        <f>BE42+(ATM_Conf!$C$5/ATM_Conf!$C$8)*(BY43*EXP(-(1/DM43)*(AK43/CS43)^DM43)-BE42)+(ATM_Conf!$C$5/AK230)*BE42*(Nodes!BK42-BE42)-(ATM_Conf!$C$5*ATM_Conf!$C$9)/(AK230*ATM_Conf!$C$8)*(Nodes!BY42-AK42)/(AK42+ATM_Conf!$C$10)</f>
        <v>#DIV/0!</v>
      </c>
      <c r="BF43" s="43" t="e">
        <f>BF42+(ATM_Conf!$C$5/ATM_Conf!$C$8)*(BZ43*EXP(-(1/DN43)*(AL43/CT43)^DN43)-BF42)+(ATM_Conf!$C$5/AL230)*BF42*(BE42-BF42)-(ATM_Conf!$C$5*ATM_Conf!$C$9)/(AL230*ATM_Conf!$C$8)*(AM42-AL42)/(AL42+ATM_Conf!$C$10)</f>
        <v>#DIV/0!</v>
      </c>
      <c r="BG43" s="43" t="e">
        <f>BG42+(ATM_Conf!$C$5/ATM_Conf!$C$8)*(CA43*EXP(-(1/DO43)*(AM43/CU43)^DO43)-BG42)+(ATM_Conf!$C$5/AM230)*BG42*(Nodes!BM42-BG42)-(ATM_Conf!$C$5*ATM_Conf!$C$9)/(AM230*ATM_Conf!$C$8)*(Nodes!CA42-AM42)/(AM42+ATM_Conf!$C$10)</f>
        <v>#DIV/0!</v>
      </c>
      <c r="BH43" s="43" t="e">
        <f>BH42+(ATM_Conf!$C$5/ATM_Conf!$C$8)*(CB43*EXP(-(1/DP43)*(AN43/CV43)^DP43)-BH42)+(ATM_Conf!$C$5/AN230)*BH42*(BG42-BH42)-(ATM_Conf!$C$5*ATM_Conf!$C$9)/(AN230*ATM_Conf!$C$8)*(AO42-AN42)/(AN42+ATM_Conf!$C$10)</f>
        <v>#DIV/0!</v>
      </c>
      <c r="BI43" s="43" t="e">
        <f>BI42+(ATM_Conf!$C$5/ATM_Conf!$C$8)*(CC43*EXP(-(1/DQ43)*(AO43/CW43)^DQ43)-BI42)+(ATM_Conf!$C$5/AO230)*BI42*(BH42-BI42)</f>
        <v>#DIV/0!</v>
      </c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53"/>
      <c r="CY43" s="53"/>
      <c r="CZ43" s="53"/>
      <c r="DA43" s="53"/>
      <c r="DB43" s="53"/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  <c r="DR43" s="43">
        <f t="shared" si="32"/>
        <v>0</v>
      </c>
      <c r="DS43" s="43">
        <f t="shared" si="31"/>
        <v>0</v>
      </c>
      <c r="DT43" s="43">
        <f t="shared" si="31"/>
        <v>0</v>
      </c>
      <c r="DU43" s="43">
        <f t="shared" si="31"/>
        <v>0</v>
      </c>
      <c r="DV43" s="43">
        <f t="shared" si="31"/>
        <v>0</v>
      </c>
      <c r="DW43" s="43">
        <f t="shared" si="31"/>
        <v>0</v>
      </c>
      <c r="DX43" s="43">
        <f t="shared" si="31"/>
        <v>0</v>
      </c>
      <c r="DY43" s="43">
        <f t="shared" si="31"/>
        <v>0</v>
      </c>
      <c r="DZ43" s="43">
        <f t="shared" si="31"/>
        <v>0</v>
      </c>
      <c r="EA43" s="43">
        <f t="shared" si="31"/>
        <v>0</v>
      </c>
      <c r="EB43" s="43">
        <f t="shared" si="31"/>
        <v>0</v>
      </c>
      <c r="EC43" s="43">
        <f t="shared" si="31"/>
        <v>0</v>
      </c>
      <c r="ED43" s="43">
        <f t="shared" si="31"/>
        <v>0</v>
      </c>
      <c r="EE43" s="43">
        <f t="shared" si="31"/>
        <v>0</v>
      </c>
      <c r="EF43" s="43">
        <f t="shared" si="31"/>
        <v>0</v>
      </c>
      <c r="EG43" s="43">
        <f t="shared" si="31"/>
        <v>0</v>
      </c>
      <c r="EH43" s="43">
        <f t="shared" si="31"/>
        <v>0</v>
      </c>
      <c r="EI43" s="43">
        <f t="shared" si="31"/>
        <v>0</v>
      </c>
      <c r="EJ43" s="43">
        <f t="shared" si="31"/>
        <v>0</v>
      </c>
      <c r="EK43" s="43">
        <f t="shared" si="31"/>
        <v>0</v>
      </c>
      <c r="EL43" s="47"/>
      <c r="EM43" s="47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</row>
    <row r="44" spans="1:161" ht="14.25" x14ac:dyDescent="0.15">
      <c r="A44" s="46"/>
      <c r="B44" s="43" t="e">
        <f t="shared" si="2"/>
        <v>#DIV/0!</v>
      </c>
      <c r="C44" s="43" t="e">
        <f t="shared" si="3"/>
        <v>#DIV/0!</v>
      </c>
      <c r="D44" s="43" t="e">
        <f t="shared" si="4"/>
        <v>#DIV/0!</v>
      </c>
      <c r="E44" s="43" t="e">
        <f t="shared" si="5"/>
        <v>#DIV/0!</v>
      </c>
      <c r="F44" s="43" t="e">
        <f t="shared" si="6"/>
        <v>#DIV/0!</v>
      </c>
      <c r="G44" s="43" t="e">
        <f t="shared" si="7"/>
        <v>#DIV/0!</v>
      </c>
      <c r="H44" s="43" t="e">
        <f t="shared" si="8"/>
        <v>#DIV/0!</v>
      </c>
      <c r="I44" s="43" t="e">
        <f t="shared" si="9"/>
        <v>#DIV/0!</v>
      </c>
      <c r="J44" s="43" t="e">
        <f t="shared" si="10"/>
        <v>#DIV/0!</v>
      </c>
      <c r="K44" s="43" t="e">
        <f t="shared" si="11"/>
        <v>#DIV/0!</v>
      </c>
      <c r="L44" s="43" t="e">
        <f t="shared" si="12"/>
        <v>#DIV/0!</v>
      </c>
      <c r="M44" s="43" t="e">
        <f t="shared" si="13"/>
        <v>#DIV/0!</v>
      </c>
      <c r="N44" s="43" t="e">
        <f t="shared" si="14"/>
        <v>#DIV/0!</v>
      </c>
      <c r="O44" s="43" t="e">
        <f t="shared" si="15"/>
        <v>#DIV/0!</v>
      </c>
      <c r="P44" s="43" t="e">
        <f t="shared" si="16"/>
        <v>#DIV/0!</v>
      </c>
      <c r="Q44" s="43" t="e">
        <f t="shared" si="17"/>
        <v>#DIV/0!</v>
      </c>
      <c r="R44" s="43" t="e">
        <f t="shared" si="18"/>
        <v>#DIV/0!</v>
      </c>
      <c r="S44" s="43" t="e">
        <f t="shared" si="19"/>
        <v>#DIV/0!</v>
      </c>
      <c r="T44" s="43" t="e">
        <f t="shared" si="20"/>
        <v>#DIV/0!</v>
      </c>
      <c r="U44" s="43" t="e">
        <f t="shared" si="21"/>
        <v>#DIV/0!</v>
      </c>
      <c r="V44" s="53" t="e">
        <f>V43+ATM_Conf!$C$5*(B43)/(B231*V231)</f>
        <v>#DIV/0!</v>
      </c>
      <c r="W44" s="53" t="e">
        <f>W43+ATM_Conf!$C$5*(C43-B43)/(C231*W231)</f>
        <v>#DIV/0!</v>
      </c>
      <c r="X44" s="53" t="e">
        <f>X43+ATM_Conf!$C$5*(D43-C43)/(D231*X231)</f>
        <v>#DIV/0!</v>
      </c>
      <c r="Y44" s="53" t="e">
        <f>Y43+ATM_Conf!$C$5*(E43-D43)/(E231*Y231)</f>
        <v>#DIV/0!</v>
      </c>
      <c r="Z44" s="53" t="e">
        <f>Z43+ATM_Conf!$C$5*(F43-E43)/(F231*Z231)</f>
        <v>#DIV/0!</v>
      </c>
      <c r="AA44" s="53" t="e">
        <f>AA43+ATM_Conf!$C$5*(G43-F43)/(G231*AA231)</f>
        <v>#DIV/0!</v>
      </c>
      <c r="AB44" s="53" t="e">
        <f>AB43+ATM_Conf!$C$5*(H43-G43)/(H231*AB231)</f>
        <v>#DIV/0!</v>
      </c>
      <c r="AC44" s="53" t="e">
        <f>AC43+ATM_Conf!$C$5*(I43-H43)/(I231*AC231)</f>
        <v>#DIV/0!</v>
      </c>
      <c r="AD44" s="53" t="e">
        <f>AD43+ATM_Conf!$C$5*(J43-I43)/(J231*AD231)</f>
        <v>#DIV/0!</v>
      </c>
      <c r="AE44" s="53" t="e">
        <f>AE43+ATM_Conf!$C$5*(K43-J43)/(K231*AE231)</f>
        <v>#DIV/0!</v>
      </c>
      <c r="AF44" s="53" t="e">
        <f>AF43+ATM_Conf!$C$5*(L43)/(L231*AF231)</f>
        <v>#DIV/0!</v>
      </c>
      <c r="AG44" s="53" t="e">
        <f>AG43+ATM_Conf!$C$5*(M43-L43)/(M231*AG231)</f>
        <v>#DIV/0!</v>
      </c>
      <c r="AH44" s="53" t="e">
        <f>AH43+ATM_Conf!$C$5*(N43-M43)/(N231*AH231)</f>
        <v>#DIV/0!</v>
      </c>
      <c r="AI44" s="53" t="e">
        <f>AI43+ATM_Conf!$C$5*(O43-N43)/(O231*AI231)</f>
        <v>#DIV/0!</v>
      </c>
      <c r="AJ44" s="53" t="e">
        <f>AJ43+ATM_Conf!$C$5*(P43-O43)/(P231*AJ231)</f>
        <v>#DIV/0!</v>
      </c>
      <c r="AK44" s="53" t="e">
        <f>AK43+ATM_Conf!$C$5*(Q43-P43)/(Q231*AK231)</f>
        <v>#DIV/0!</v>
      </c>
      <c r="AL44" s="53" t="e">
        <f>AL43+ATM_Conf!$C$5*(R43-Q43)/(R231*AL231)</f>
        <v>#DIV/0!</v>
      </c>
      <c r="AM44" s="53" t="e">
        <f>AM43+ATM_Conf!$C$5*(S43-R43)/(S231*AM231)</f>
        <v>#DIV/0!</v>
      </c>
      <c r="AN44" s="53" t="e">
        <f>AN43+ATM_Conf!$C$5*(T43-S43)/(T231*AN231)</f>
        <v>#DIV/0!</v>
      </c>
      <c r="AO44" s="53" t="e">
        <f>AO43+ATM_Conf!$C$5*(U43-T43)/(U231*AO231)</f>
        <v>#DIV/0!</v>
      </c>
      <c r="AP44" s="43" t="e">
        <f>AP43+(ATM_Conf!$C$5/ATM_Conf!$C$8)*(BJ44*EXP(-(1/CX44)*(V44/CD44)^CX44)-AP43)-(ATM_Conf!$C$5*ATM_Conf!$C$9)/(V231*ATM_Conf!$C$8)*(Nodes!BO43-V43)/(V43+ATM_Conf!$C$10)</f>
        <v>#DIV/0!</v>
      </c>
      <c r="AQ44" s="43" t="e">
        <f>AQ43+(ATM_Conf!$C$5/ATM_Conf!$C$8)*(BK44*EXP(-(1/CY44)*(W44/CE44)^CY44)-AQ43)+(ATM_Conf!$C$5/W231)*AQ43*(AP43-AQ43)-(ATM_Conf!$C$5*ATM_Conf!$C$9)/(W231*ATM_Conf!$C$8)*(X43-W43)/(W43+ATM_Conf!$C$10)</f>
        <v>#DIV/0!</v>
      </c>
      <c r="AR44" s="43" t="e">
        <f>AR43+(ATM_Conf!$C$5/ATM_Conf!$C$8)*(BL44*EXP(-(1/CZ44)*(X44/CF44)^CZ44)-AR43)+(ATM_Conf!$C$5/X231)*AR43*(Nodes!BC43-AR43)-(ATM_Conf!$C$5*ATM_Conf!$C$9)/(X231*ATM_Conf!$C$8)*(Nodes!BQ43-X43)/(X43+ATM_Conf!$C$10)</f>
        <v>#DIV/0!</v>
      </c>
      <c r="AS44" s="43" t="e">
        <f>AS43+(ATM_Conf!$C$5/ATM_Conf!$C$8)*(BM44*EXP(-(1/DA44)*(Y44/CG44)^DA44)-AS43)+(ATM_Conf!$C$5/Y231)*AS43*(AR43-AS43)-(ATM_Conf!$C$5*ATM_Conf!$C$9)/(Y231*ATM_Conf!$C$8)*(Z43-Y43)/(Y43+ATM_Conf!$C$10)</f>
        <v>#DIV/0!</v>
      </c>
      <c r="AT44" s="43" t="e">
        <f>AT43+(ATM_Conf!$C$5/ATM_Conf!$C$8)*(BN44*EXP(-(1/DB44)*(Z44/CH44)^DB44)-AT43)+(ATM_Conf!$C$5/Z231)*AT43*(Nodes!BE43-AT43)-(ATM_Conf!$C$5*ATM_Conf!$C$9)/(Z231*ATM_Conf!$C$8)*(Nodes!BS43-Z43)/(Z43+ATM_Conf!$C$10)</f>
        <v>#DIV/0!</v>
      </c>
      <c r="AU44" s="43" t="e">
        <f>AU43+(ATM_Conf!$C$5/ATM_Conf!$C$8)*(BO44*EXP(-(1/DC44)*(AA44/CI44)^DC44)-AU43)+(ATM_Conf!$C$5/AA231)*AU43*(Nodes!BF43-AU43)-(ATM_Conf!$C$5*ATM_Conf!$C$9)/(AA231*ATM_Conf!$C$8)*(Nodes!BV43-AA43)/(AA43+ATM_Conf!$C$10)</f>
        <v>#DIV/0!</v>
      </c>
      <c r="AV44" s="43" t="e">
        <f>AV43+(ATM_Conf!$C$5/ATM_Conf!$C$8)*(BP44*EXP(-(1/DD44)*(AB44/CJ44)^DD44)-AV43)+(ATM_Conf!$C$5/AB231)*AV43*(AU43-AV43)-(ATM_Conf!$C$5*ATM_Conf!$C$9)/(AB231*ATM_Conf!$C$8)*(AC43-AB43)/(AB43+ATM_Conf!$C$10)</f>
        <v>#DIV/0!</v>
      </c>
      <c r="AW44" s="43" t="e">
        <f>AW43+(ATM_Conf!$C$5/ATM_Conf!$C$8)*(BQ44*EXP(-(1/DE44)*(AC44/CK44)^DE44)-AW43)+(ATM_Conf!$C$5/AC231)*AW43*(AV43-AW43)-(ATM_Conf!$C$5*ATM_Conf!$C$9)/(AC231*ATM_Conf!$C$8)*(AD43-AC43)/(AC43+ATM_Conf!$C$10)</f>
        <v>#DIV/0!</v>
      </c>
      <c r="AX44" s="43" t="e">
        <f>AX43+(ATM_Conf!$C$5/ATM_Conf!$C$8)*(BR44*EXP(-(1/DF44)*(AD44/CL44)^DF44)-AX43)+(ATM_Conf!$C$5/AD231)*AX43*(Nodes!BG43-AX43)-(ATM_Conf!$C$5*ATM_Conf!$C$9)/(AD231*ATM_Conf!$C$8)*(Nodes!BU43-AD43)/(AD43+ATM_Conf!$C$10)</f>
        <v>#DIV/0!</v>
      </c>
      <c r="AY44" s="43" t="e">
        <f>AY43+(ATM_Conf!$C$5/ATM_Conf!$C$8)*(BS44*EXP(-(1/DG44)*(AE44/CM44)^DG44)-AY43)+(ATM_Conf!$C$5/AE231)*AY43*(Nodes!BF43-AY43)</f>
        <v>#DIV/0!</v>
      </c>
      <c r="AZ44" s="43" t="e">
        <f>AZ43+(ATM_Conf!$C$5/ATM_Conf!$C$8)*(BT44*EXP(-(1/DH44)*(AF44/CN44)^DH44)-AZ43)-(ATM_Conf!$C$5*ATM_Conf!$C$9)/(AF231*ATM_Conf!$C$8)*(Nodes!BV43-AF43)/(AF43+ATM_Conf!$C$10)</f>
        <v>#DIV/0!</v>
      </c>
      <c r="BA44" s="43" t="e">
        <f>BA43+(ATM_Conf!$C$5/ATM_Conf!$C$8)*(BU44*EXP(-(1/DI44)*(AG44/CO44)^DI44)-BA43)+(ATM_Conf!$C$5/AG231)*BA43*(Nodes!BI43-BA43)-(ATM_Conf!$C$5*ATM_Conf!$C$9)/(AG231*ATM_Conf!$C$8)*(Nodes!BW43-AG43)/(AG43+ATM_Conf!$C$10)</f>
        <v>#DIV/0!</v>
      </c>
      <c r="BB44" s="43" t="e">
        <f>BB43+(ATM_Conf!$C$5/ATM_Conf!$C$8)*(BV44*EXP(-(1/DJ44)*(AH44/CP44)^DJ44)-BB43)+(ATM_Conf!$C$5/AH231)*BB43*(Nodes!BJ43-BB43)-(ATM_Conf!$C$5*ATM_Conf!$C$9)/(AH231*ATM_Conf!$C$8)*(AI43-AH43)/(AH43+ATM_Conf!$C$10)</f>
        <v>#DIV/0!</v>
      </c>
      <c r="BC44" s="43" t="e">
        <f>BC43+(ATM_Conf!$C$5/ATM_Conf!$C$8)*(BW44*EXP(-(1/DK44)*(AI44/CQ44)^DK44)-BC43)+(ATM_Conf!$C$5/AI231)*BC43*(BB43-BC43)-(ATM_Conf!$C$5*ATM_Conf!$C$9)/(AI231*ATM_Conf!$C$8)*(AJ43-AI43)/(AI43+ATM_Conf!$C$10)</f>
        <v>#DIV/0!</v>
      </c>
      <c r="BD44" s="43" t="e">
        <f>BD43+(ATM_Conf!$C$5/ATM_Conf!$C$8)*(BX44*EXP(-(1/DL44)*(AJ44/CR44)^DL44)-BD43)+(ATM_Conf!$C$5/AJ231)*BD43*(BC43-BD43)-(ATM_Conf!$C$5*ATM_Conf!$C$9)/(AJ231*ATM_Conf!$C$8)*(Nodes!BX43-AJ43)/(AJ43+ATM_Conf!$C$10)</f>
        <v>#DIV/0!</v>
      </c>
      <c r="BE44" s="43" t="e">
        <f>BE43+(ATM_Conf!$C$5/ATM_Conf!$C$8)*(BY44*EXP(-(1/DM44)*(AK44/CS44)^DM44)-BE43)+(ATM_Conf!$C$5/AK231)*BE43*(Nodes!BK43-BE43)-(ATM_Conf!$C$5*ATM_Conf!$C$9)/(AK231*ATM_Conf!$C$8)*(Nodes!BY43-AK43)/(AK43+ATM_Conf!$C$10)</f>
        <v>#DIV/0!</v>
      </c>
      <c r="BF44" s="43" t="e">
        <f>BF43+(ATM_Conf!$C$5/ATM_Conf!$C$8)*(BZ44*EXP(-(1/DN44)*(AL44/CT44)^DN44)-BF43)+(ATM_Conf!$C$5/AL231)*BF43*(BE43-BF43)-(ATM_Conf!$C$5*ATM_Conf!$C$9)/(AL231*ATM_Conf!$C$8)*(AM43-AL43)/(AL43+ATM_Conf!$C$10)</f>
        <v>#DIV/0!</v>
      </c>
      <c r="BG44" s="43" t="e">
        <f>BG43+(ATM_Conf!$C$5/ATM_Conf!$C$8)*(CA44*EXP(-(1/DO44)*(AM44/CU44)^DO44)-BG43)+(ATM_Conf!$C$5/AM231)*BG43*(Nodes!BM43-BG43)-(ATM_Conf!$C$5*ATM_Conf!$C$9)/(AM231*ATM_Conf!$C$8)*(Nodes!CA43-AM43)/(AM43+ATM_Conf!$C$10)</f>
        <v>#DIV/0!</v>
      </c>
      <c r="BH44" s="43" t="e">
        <f>BH43+(ATM_Conf!$C$5/ATM_Conf!$C$8)*(CB44*EXP(-(1/DP44)*(AN44/CV44)^DP44)-BH43)+(ATM_Conf!$C$5/AN231)*BH43*(BG43-BH43)-(ATM_Conf!$C$5*ATM_Conf!$C$9)/(AN231*ATM_Conf!$C$8)*(AO43-AN43)/(AN43+ATM_Conf!$C$10)</f>
        <v>#DIV/0!</v>
      </c>
      <c r="BI44" s="43" t="e">
        <f>BI43+(ATM_Conf!$C$5/ATM_Conf!$C$8)*(CC44*EXP(-(1/DQ44)*(AO44/CW44)^DQ44)-BI43)+(ATM_Conf!$C$5/AO231)*BI43*(BH43-BI43)</f>
        <v>#DIV/0!</v>
      </c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53"/>
      <c r="CY44" s="53"/>
      <c r="CZ44" s="53"/>
      <c r="DA44" s="53"/>
      <c r="DB44" s="53"/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  <c r="DR44" s="43">
        <f t="shared" si="32"/>
        <v>0</v>
      </c>
      <c r="DS44" s="43">
        <f t="shared" si="31"/>
        <v>0</v>
      </c>
      <c r="DT44" s="43">
        <f t="shared" si="31"/>
        <v>0</v>
      </c>
      <c r="DU44" s="43">
        <f t="shared" si="31"/>
        <v>0</v>
      </c>
      <c r="DV44" s="43">
        <f t="shared" si="31"/>
        <v>0</v>
      </c>
      <c r="DW44" s="43">
        <f t="shared" si="31"/>
        <v>0</v>
      </c>
      <c r="DX44" s="43">
        <f t="shared" si="31"/>
        <v>0</v>
      </c>
      <c r="DY44" s="43">
        <f t="shared" si="31"/>
        <v>0</v>
      </c>
      <c r="DZ44" s="43">
        <f t="shared" si="31"/>
        <v>0</v>
      </c>
      <c r="EA44" s="43">
        <f t="shared" si="31"/>
        <v>0</v>
      </c>
      <c r="EB44" s="43">
        <f t="shared" si="31"/>
        <v>0</v>
      </c>
      <c r="EC44" s="43">
        <f t="shared" si="31"/>
        <v>0</v>
      </c>
      <c r="ED44" s="43">
        <f t="shared" si="31"/>
        <v>0</v>
      </c>
      <c r="EE44" s="43">
        <f t="shared" si="31"/>
        <v>0</v>
      </c>
      <c r="EF44" s="43">
        <f t="shared" si="31"/>
        <v>0</v>
      </c>
      <c r="EG44" s="43">
        <f t="shared" si="31"/>
        <v>0</v>
      </c>
      <c r="EH44" s="43">
        <f t="shared" si="31"/>
        <v>0</v>
      </c>
      <c r="EI44" s="43">
        <f t="shared" si="31"/>
        <v>0</v>
      </c>
      <c r="EJ44" s="43">
        <f t="shared" si="31"/>
        <v>0</v>
      </c>
      <c r="EK44" s="43">
        <f t="shared" si="31"/>
        <v>0</v>
      </c>
      <c r="EL44" s="47"/>
      <c r="EM44" s="47"/>
      <c r="EN44" s="47"/>
      <c r="EO44" s="47"/>
      <c r="EP44" s="47"/>
      <c r="EQ44" s="47"/>
      <c r="ER44" s="47"/>
      <c r="ES44" s="47"/>
      <c r="ET44" s="47"/>
      <c r="EU44" s="47"/>
      <c r="EV44" s="47"/>
      <c r="EW44" s="47"/>
      <c r="EX44" s="47"/>
      <c r="EY44" s="47"/>
      <c r="EZ44" s="47"/>
      <c r="FA44" s="47"/>
      <c r="FB44" s="47"/>
      <c r="FC44" s="47"/>
      <c r="FD44" s="47"/>
      <c r="FE44" s="47"/>
    </row>
    <row r="45" spans="1:161" ht="14.25" x14ac:dyDescent="0.15">
      <c r="A45" s="46"/>
      <c r="B45" s="43" t="e">
        <f t="shared" si="2"/>
        <v>#DIV/0!</v>
      </c>
      <c r="C45" s="43" t="e">
        <f t="shared" si="3"/>
        <v>#DIV/0!</v>
      </c>
      <c r="D45" s="43" t="e">
        <f t="shared" si="4"/>
        <v>#DIV/0!</v>
      </c>
      <c r="E45" s="43" t="e">
        <f t="shared" si="5"/>
        <v>#DIV/0!</v>
      </c>
      <c r="F45" s="43" t="e">
        <f t="shared" si="6"/>
        <v>#DIV/0!</v>
      </c>
      <c r="G45" s="43" t="e">
        <f t="shared" si="7"/>
        <v>#DIV/0!</v>
      </c>
      <c r="H45" s="43" t="e">
        <f t="shared" si="8"/>
        <v>#DIV/0!</v>
      </c>
      <c r="I45" s="43" t="e">
        <f t="shared" si="9"/>
        <v>#DIV/0!</v>
      </c>
      <c r="J45" s="43" t="e">
        <f t="shared" si="10"/>
        <v>#DIV/0!</v>
      </c>
      <c r="K45" s="43" t="e">
        <f t="shared" si="11"/>
        <v>#DIV/0!</v>
      </c>
      <c r="L45" s="43" t="e">
        <f t="shared" si="12"/>
        <v>#DIV/0!</v>
      </c>
      <c r="M45" s="43" t="e">
        <f t="shared" si="13"/>
        <v>#DIV/0!</v>
      </c>
      <c r="N45" s="43" t="e">
        <f t="shared" si="14"/>
        <v>#DIV/0!</v>
      </c>
      <c r="O45" s="43" t="e">
        <f t="shared" si="15"/>
        <v>#DIV/0!</v>
      </c>
      <c r="P45" s="43" t="e">
        <f t="shared" si="16"/>
        <v>#DIV/0!</v>
      </c>
      <c r="Q45" s="43" t="e">
        <f t="shared" si="17"/>
        <v>#DIV/0!</v>
      </c>
      <c r="R45" s="43" t="e">
        <f t="shared" si="18"/>
        <v>#DIV/0!</v>
      </c>
      <c r="S45" s="43" t="e">
        <f t="shared" si="19"/>
        <v>#DIV/0!</v>
      </c>
      <c r="T45" s="43" t="e">
        <f t="shared" si="20"/>
        <v>#DIV/0!</v>
      </c>
      <c r="U45" s="43" t="e">
        <f t="shared" si="21"/>
        <v>#DIV/0!</v>
      </c>
      <c r="V45" s="53" t="e">
        <f>V44+ATM_Conf!$C$5*(B44)/(B232*V232)</f>
        <v>#DIV/0!</v>
      </c>
      <c r="W45" s="53" t="e">
        <f>W44+ATM_Conf!$C$5*(C44-B44)/(C232*W232)</f>
        <v>#DIV/0!</v>
      </c>
      <c r="X45" s="53" t="e">
        <f>X44+ATM_Conf!$C$5*(D44-C44)/(D232*X232)</f>
        <v>#DIV/0!</v>
      </c>
      <c r="Y45" s="53" t="e">
        <f>Y44+ATM_Conf!$C$5*(E44-D44)/(E232*Y232)</f>
        <v>#DIV/0!</v>
      </c>
      <c r="Z45" s="53" t="e">
        <f>Z44+ATM_Conf!$C$5*(F44-E44)/(F232*Z232)</f>
        <v>#DIV/0!</v>
      </c>
      <c r="AA45" s="53" t="e">
        <f>AA44+ATM_Conf!$C$5*(G44-F44)/(G232*AA232)</f>
        <v>#DIV/0!</v>
      </c>
      <c r="AB45" s="53" t="e">
        <f>AB44+ATM_Conf!$C$5*(H44-G44)/(H232*AB232)</f>
        <v>#DIV/0!</v>
      </c>
      <c r="AC45" s="53" t="e">
        <f>AC44+ATM_Conf!$C$5*(I44-H44)/(I232*AC232)</f>
        <v>#DIV/0!</v>
      </c>
      <c r="AD45" s="53" t="e">
        <f>AD44+ATM_Conf!$C$5*(J44-I44)/(J232*AD232)</f>
        <v>#DIV/0!</v>
      </c>
      <c r="AE45" s="53" t="e">
        <f>AE44+ATM_Conf!$C$5*(K44-J44)/(K232*AE232)</f>
        <v>#DIV/0!</v>
      </c>
      <c r="AF45" s="53" t="e">
        <f>AF44+ATM_Conf!$C$5*(L44)/(L232*AF232)</f>
        <v>#DIV/0!</v>
      </c>
      <c r="AG45" s="53" t="e">
        <f>AG44+ATM_Conf!$C$5*(M44-L44)/(M232*AG232)</f>
        <v>#DIV/0!</v>
      </c>
      <c r="AH45" s="53" t="e">
        <f>AH44+ATM_Conf!$C$5*(N44-M44)/(N232*AH232)</f>
        <v>#DIV/0!</v>
      </c>
      <c r="AI45" s="53" t="e">
        <f>AI44+ATM_Conf!$C$5*(O44-N44)/(O232*AI232)</f>
        <v>#DIV/0!</v>
      </c>
      <c r="AJ45" s="53" t="e">
        <f>AJ44+ATM_Conf!$C$5*(P44-O44)/(P232*AJ232)</f>
        <v>#DIV/0!</v>
      </c>
      <c r="AK45" s="53" t="e">
        <f>AK44+ATM_Conf!$C$5*(Q44-P44)/(Q232*AK232)</f>
        <v>#DIV/0!</v>
      </c>
      <c r="AL45" s="53" t="e">
        <f>AL44+ATM_Conf!$C$5*(R44-Q44)/(R232*AL232)</f>
        <v>#DIV/0!</v>
      </c>
      <c r="AM45" s="53" t="e">
        <f>AM44+ATM_Conf!$C$5*(S44-R44)/(S232*AM232)</f>
        <v>#DIV/0!</v>
      </c>
      <c r="AN45" s="53" t="e">
        <f>AN44+ATM_Conf!$C$5*(T44-S44)/(T232*AN232)</f>
        <v>#DIV/0!</v>
      </c>
      <c r="AO45" s="53" t="e">
        <f>AO44+ATM_Conf!$C$5*(U44-T44)/(U232*AO232)</f>
        <v>#DIV/0!</v>
      </c>
      <c r="AP45" s="43" t="e">
        <f>AP44+(ATM_Conf!$C$5/ATM_Conf!$C$8)*(BJ45*EXP(-(1/CX45)*(V45/CD45)^CX45)-AP44)-(ATM_Conf!$C$5*ATM_Conf!$C$9)/(V232*ATM_Conf!$C$8)*(Nodes!BO44-V44)/(V44+ATM_Conf!$C$10)</f>
        <v>#DIV/0!</v>
      </c>
      <c r="AQ45" s="43" t="e">
        <f>AQ44+(ATM_Conf!$C$5/ATM_Conf!$C$8)*(BK45*EXP(-(1/CY45)*(W45/CE45)^CY45)-AQ44)+(ATM_Conf!$C$5/W232)*AQ44*(AP44-AQ44)-(ATM_Conf!$C$5*ATM_Conf!$C$9)/(W232*ATM_Conf!$C$8)*(X44-W44)/(W44+ATM_Conf!$C$10)</f>
        <v>#DIV/0!</v>
      </c>
      <c r="AR45" s="43" t="e">
        <f>AR44+(ATM_Conf!$C$5/ATM_Conf!$C$8)*(BL45*EXP(-(1/CZ45)*(X45/CF45)^CZ45)-AR44)+(ATM_Conf!$C$5/X232)*AR44*(Nodes!BC44-AR44)-(ATM_Conf!$C$5*ATM_Conf!$C$9)/(X232*ATM_Conf!$C$8)*(Nodes!BQ44-X44)/(X44+ATM_Conf!$C$10)</f>
        <v>#DIV/0!</v>
      </c>
      <c r="AS45" s="43" t="e">
        <f>AS44+(ATM_Conf!$C$5/ATM_Conf!$C$8)*(BM45*EXP(-(1/DA45)*(Y45/CG45)^DA45)-AS44)+(ATM_Conf!$C$5/Y232)*AS44*(AR44-AS44)-(ATM_Conf!$C$5*ATM_Conf!$C$9)/(Y232*ATM_Conf!$C$8)*(Z44-Y44)/(Y44+ATM_Conf!$C$10)</f>
        <v>#DIV/0!</v>
      </c>
      <c r="AT45" s="43" t="e">
        <f>AT44+(ATM_Conf!$C$5/ATM_Conf!$C$8)*(BN45*EXP(-(1/DB45)*(Z45/CH45)^DB45)-AT44)+(ATM_Conf!$C$5/Z232)*AT44*(Nodes!BE44-AT44)-(ATM_Conf!$C$5*ATM_Conf!$C$9)/(Z232*ATM_Conf!$C$8)*(Nodes!BS44-Z44)/(Z44+ATM_Conf!$C$10)</f>
        <v>#DIV/0!</v>
      </c>
      <c r="AU45" s="43" t="e">
        <f>AU44+(ATM_Conf!$C$5/ATM_Conf!$C$8)*(BO45*EXP(-(1/DC45)*(AA45/CI45)^DC45)-AU44)+(ATM_Conf!$C$5/AA232)*AU44*(Nodes!BF44-AU44)-(ATM_Conf!$C$5*ATM_Conf!$C$9)/(AA232*ATM_Conf!$C$8)*(Nodes!BV44-AA44)/(AA44+ATM_Conf!$C$10)</f>
        <v>#DIV/0!</v>
      </c>
      <c r="AV45" s="43" t="e">
        <f>AV44+(ATM_Conf!$C$5/ATM_Conf!$C$8)*(BP45*EXP(-(1/DD45)*(AB45/CJ45)^DD45)-AV44)+(ATM_Conf!$C$5/AB232)*AV44*(AU44-AV44)-(ATM_Conf!$C$5*ATM_Conf!$C$9)/(AB232*ATM_Conf!$C$8)*(AC44-AB44)/(AB44+ATM_Conf!$C$10)</f>
        <v>#DIV/0!</v>
      </c>
      <c r="AW45" s="43" t="e">
        <f>AW44+(ATM_Conf!$C$5/ATM_Conf!$C$8)*(BQ45*EXP(-(1/DE45)*(AC45/CK45)^DE45)-AW44)+(ATM_Conf!$C$5/AC232)*AW44*(AV44-AW44)-(ATM_Conf!$C$5*ATM_Conf!$C$9)/(AC232*ATM_Conf!$C$8)*(AD44-AC44)/(AC44+ATM_Conf!$C$10)</f>
        <v>#DIV/0!</v>
      </c>
      <c r="AX45" s="43" t="e">
        <f>AX44+(ATM_Conf!$C$5/ATM_Conf!$C$8)*(BR45*EXP(-(1/DF45)*(AD45/CL45)^DF45)-AX44)+(ATM_Conf!$C$5/AD232)*AX44*(Nodes!BG44-AX44)-(ATM_Conf!$C$5*ATM_Conf!$C$9)/(AD232*ATM_Conf!$C$8)*(Nodes!BU44-AD44)/(AD44+ATM_Conf!$C$10)</f>
        <v>#DIV/0!</v>
      </c>
      <c r="AY45" s="43" t="e">
        <f>AY44+(ATM_Conf!$C$5/ATM_Conf!$C$8)*(BS45*EXP(-(1/DG45)*(AE45/CM45)^DG45)-AY44)+(ATM_Conf!$C$5/AE232)*AY44*(Nodes!BF44-AY44)</f>
        <v>#DIV/0!</v>
      </c>
      <c r="AZ45" s="43" t="e">
        <f>AZ44+(ATM_Conf!$C$5/ATM_Conf!$C$8)*(BT45*EXP(-(1/DH45)*(AF45/CN45)^DH45)-AZ44)-(ATM_Conf!$C$5*ATM_Conf!$C$9)/(AF232*ATM_Conf!$C$8)*(Nodes!BV44-AF44)/(AF44+ATM_Conf!$C$10)</f>
        <v>#DIV/0!</v>
      </c>
      <c r="BA45" s="43" t="e">
        <f>BA44+(ATM_Conf!$C$5/ATM_Conf!$C$8)*(BU45*EXP(-(1/DI45)*(AG45/CO45)^DI45)-BA44)+(ATM_Conf!$C$5/AG232)*BA44*(Nodes!BI44-BA44)-(ATM_Conf!$C$5*ATM_Conf!$C$9)/(AG232*ATM_Conf!$C$8)*(Nodes!BW44-AG44)/(AG44+ATM_Conf!$C$10)</f>
        <v>#DIV/0!</v>
      </c>
      <c r="BB45" s="43" t="e">
        <f>BB44+(ATM_Conf!$C$5/ATM_Conf!$C$8)*(BV45*EXP(-(1/DJ45)*(AH45/CP45)^DJ45)-BB44)+(ATM_Conf!$C$5/AH232)*BB44*(Nodes!BJ44-BB44)-(ATM_Conf!$C$5*ATM_Conf!$C$9)/(AH232*ATM_Conf!$C$8)*(AI44-AH44)/(AH44+ATM_Conf!$C$10)</f>
        <v>#DIV/0!</v>
      </c>
      <c r="BC45" s="43" t="e">
        <f>BC44+(ATM_Conf!$C$5/ATM_Conf!$C$8)*(BW45*EXP(-(1/DK45)*(AI45/CQ45)^DK45)-BC44)+(ATM_Conf!$C$5/AI232)*BC44*(BB44-BC44)-(ATM_Conf!$C$5*ATM_Conf!$C$9)/(AI232*ATM_Conf!$C$8)*(AJ44-AI44)/(AI44+ATM_Conf!$C$10)</f>
        <v>#DIV/0!</v>
      </c>
      <c r="BD45" s="43" t="e">
        <f>BD44+(ATM_Conf!$C$5/ATM_Conf!$C$8)*(BX45*EXP(-(1/DL45)*(AJ45/CR45)^DL45)-BD44)+(ATM_Conf!$C$5/AJ232)*BD44*(BC44-BD44)-(ATM_Conf!$C$5*ATM_Conf!$C$9)/(AJ232*ATM_Conf!$C$8)*(Nodes!BX44-AJ44)/(AJ44+ATM_Conf!$C$10)</f>
        <v>#DIV/0!</v>
      </c>
      <c r="BE45" s="43" t="e">
        <f>BE44+(ATM_Conf!$C$5/ATM_Conf!$C$8)*(BY45*EXP(-(1/DM45)*(AK45/CS45)^DM45)-BE44)+(ATM_Conf!$C$5/AK232)*BE44*(Nodes!BK44-BE44)-(ATM_Conf!$C$5*ATM_Conf!$C$9)/(AK232*ATM_Conf!$C$8)*(Nodes!BY44-AK44)/(AK44+ATM_Conf!$C$10)</f>
        <v>#DIV/0!</v>
      </c>
      <c r="BF45" s="43" t="e">
        <f>BF44+(ATM_Conf!$C$5/ATM_Conf!$C$8)*(BZ45*EXP(-(1/DN45)*(AL45/CT45)^DN45)-BF44)+(ATM_Conf!$C$5/AL232)*BF44*(BE44-BF44)-(ATM_Conf!$C$5*ATM_Conf!$C$9)/(AL232*ATM_Conf!$C$8)*(AM44-AL44)/(AL44+ATM_Conf!$C$10)</f>
        <v>#DIV/0!</v>
      </c>
      <c r="BG45" s="43" t="e">
        <f>BG44+(ATM_Conf!$C$5/ATM_Conf!$C$8)*(CA45*EXP(-(1/DO45)*(AM45/CU45)^DO45)-BG44)+(ATM_Conf!$C$5/AM232)*BG44*(Nodes!BM44-BG44)-(ATM_Conf!$C$5*ATM_Conf!$C$9)/(AM232*ATM_Conf!$C$8)*(Nodes!CA44-AM44)/(AM44+ATM_Conf!$C$10)</f>
        <v>#DIV/0!</v>
      </c>
      <c r="BH45" s="43" t="e">
        <f>BH44+(ATM_Conf!$C$5/ATM_Conf!$C$8)*(CB45*EXP(-(1/DP45)*(AN45/CV45)^DP45)-BH44)+(ATM_Conf!$C$5/AN232)*BH44*(BG44-BH44)-(ATM_Conf!$C$5*ATM_Conf!$C$9)/(AN232*ATM_Conf!$C$8)*(AO44-AN44)/(AN44+ATM_Conf!$C$10)</f>
        <v>#DIV/0!</v>
      </c>
      <c r="BI45" s="43" t="e">
        <f>BI44+(ATM_Conf!$C$5/ATM_Conf!$C$8)*(CC45*EXP(-(1/DQ45)*(AO45/CW45)^DQ45)-BI44)+(ATM_Conf!$C$5/AO232)*BI44*(BH44-BI44)</f>
        <v>#DIV/0!</v>
      </c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53"/>
      <c r="CY45" s="53"/>
      <c r="CZ45" s="53"/>
      <c r="DA45" s="53"/>
      <c r="DB45" s="53"/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  <c r="DR45" s="43">
        <f t="shared" si="32"/>
        <v>0</v>
      </c>
      <c r="DS45" s="43">
        <f t="shared" si="31"/>
        <v>0</v>
      </c>
      <c r="DT45" s="43">
        <f t="shared" si="31"/>
        <v>0</v>
      </c>
      <c r="DU45" s="43">
        <f t="shared" si="31"/>
        <v>0</v>
      </c>
      <c r="DV45" s="43">
        <f t="shared" si="31"/>
        <v>0</v>
      </c>
      <c r="DW45" s="43">
        <f t="shared" si="31"/>
        <v>0</v>
      </c>
      <c r="DX45" s="43">
        <f t="shared" si="31"/>
        <v>0</v>
      </c>
      <c r="DY45" s="43">
        <f t="shared" si="31"/>
        <v>0</v>
      </c>
      <c r="DZ45" s="43">
        <f t="shared" si="31"/>
        <v>0</v>
      </c>
      <c r="EA45" s="43">
        <f t="shared" si="31"/>
        <v>0</v>
      </c>
      <c r="EB45" s="43">
        <f t="shared" si="31"/>
        <v>0</v>
      </c>
      <c r="EC45" s="43">
        <f t="shared" si="31"/>
        <v>0</v>
      </c>
      <c r="ED45" s="43">
        <f t="shared" si="31"/>
        <v>0</v>
      </c>
      <c r="EE45" s="43">
        <f t="shared" si="31"/>
        <v>0</v>
      </c>
      <c r="EF45" s="43">
        <f t="shared" si="31"/>
        <v>0</v>
      </c>
      <c r="EG45" s="43">
        <f t="shared" si="31"/>
        <v>0</v>
      </c>
      <c r="EH45" s="43">
        <f t="shared" si="31"/>
        <v>0</v>
      </c>
      <c r="EI45" s="43">
        <f t="shared" si="31"/>
        <v>0</v>
      </c>
      <c r="EJ45" s="43">
        <f t="shared" si="31"/>
        <v>0</v>
      </c>
      <c r="EK45" s="43">
        <f t="shared" si="31"/>
        <v>0</v>
      </c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</row>
    <row r="46" spans="1:161" ht="14.25" x14ac:dyDescent="0.15">
      <c r="A46" s="46"/>
      <c r="B46" s="43" t="e">
        <f t="shared" si="2"/>
        <v>#DIV/0!</v>
      </c>
      <c r="C46" s="43" t="e">
        <f t="shared" si="3"/>
        <v>#DIV/0!</v>
      </c>
      <c r="D46" s="43" t="e">
        <f t="shared" si="4"/>
        <v>#DIV/0!</v>
      </c>
      <c r="E46" s="43" t="e">
        <f t="shared" si="5"/>
        <v>#DIV/0!</v>
      </c>
      <c r="F46" s="43" t="e">
        <f t="shared" si="6"/>
        <v>#DIV/0!</v>
      </c>
      <c r="G46" s="43" t="e">
        <f t="shared" si="7"/>
        <v>#DIV/0!</v>
      </c>
      <c r="H46" s="43" t="e">
        <f t="shared" si="8"/>
        <v>#DIV/0!</v>
      </c>
      <c r="I46" s="43" t="e">
        <f t="shared" si="9"/>
        <v>#DIV/0!</v>
      </c>
      <c r="J46" s="43" t="e">
        <f t="shared" si="10"/>
        <v>#DIV/0!</v>
      </c>
      <c r="K46" s="43" t="e">
        <f t="shared" si="11"/>
        <v>#DIV/0!</v>
      </c>
      <c r="L46" s="43" t="e">
        <f t="shared" si="12"/>
        <v>#DIV/0!</v>
      </c>
      <c r="M46" s="43" t="e">
        <f t="shared" si="13"/>
        <v>#DIV/0!</v>
      </c>
      <c r="N46" s="43" t="e">
        <f t="shared" si="14"/>
        <v>#DIV/0!</v>
      </c>
      <c r="O46" s="43" t="e">
        <f t="shared" si="15"/>
        <v>#DIV/0!</v>
      </c>
      <c r="P46" s="43" t="e">
        <f t="shared" si="16"/>
        <v>#DIV/0!</v>
      </c>
      <c r="Q46" s="43" t="e">
        <f t="shared" si="17"/>
        <v>#DIV/0!</v>
      </c>
      <c r="R46" s="43" t="e">
        <f t="shared" si="18"/>
        <v>#DIV/0!</v>
      </c>
      <c r="S46" s="43" t="e">
        <f t="shared" si="19"/>
        <v>#DIV/0!</v>
      </c>
      <c r="T46" s="43" t="e">
        <f t="shared" si="20"/>
        <v>#DIV/0!</v>
      </c>
      <c r="U46" s="43" t="e">
        <f t="shared" si="21"/>
        <v>#DIV/0!</v>
      </c>
      <c r="V46" s="53" t="e">
        <f>V45+ATM_Conf!$C$5*(B45)/(B233*V233)</f>
        <v>#DIV/0!</v>
      </c>
      <c r="W46" s="53" t="e">
        <f>W45+ATM_Conf!$C$5*(C45-B45)/(C233*W233)</f>
        <v>#DIV/0!</v>
      </c>
      <c r="X46" s="53" t="e">
        <f>X45+ATM_Conf!$C$5*(D45-C45)/(D233*X233)</f>
        <v>#DIV/0!</v>
      </c>
      <c r="Y46" s="53" t="e">
        <f>Y45+ATM_Conf!$C$5*(E45-D45)/(E233*Y233)</f>
        <v>#DIV/0!</v>
      </c>
      <c r="Z46" s="53" t="e">
        <f>Z45+ATM_Conf!$C$5*(F45-E45)/(F233*Z233)</f>
        <v>#DIV/0!</v>
      </c>
      <c r="AA46" s="53" t="e">
        <f>AA45+ATM_Conf!$C$5*(G45-F45)/(G233*AA233)</f>
        <v>#DIV/0!</v>
      </c>
      <c r="AB46" s="53" t="e">
        <f>AB45+ATM_Conf!$C$5*(H45-G45)/(H233*AB233)</f>
        <v>#DIV/0!</v>
      </c>
      <c r="AC46" s="53" t="e">
        <f>AC45+ATM_Conf!$C$5*(I45-H45)/(I233*AC233)</f>
        <v>#DIV/0!</v>
      </c>
      <c r="AD46" s="53" t="e">
        <f>AD45+ATM_Conf!$C$5*(J45-I45)/(J233*AD233)</f>
        <v>#DIV/0!</v>
      </c>
      <c r="AE46" s="53" t="e">
        <f>AE45+ATM_Conf!$C$5*(K45-J45)/(K233*AE233)</f>
        <v>#DIV/0!</v>
      </c>
      <c r="AF46" s="53" t="e">
        <f>AF45+ATM_Conf!$C$5*(L45)/(L233*AF233)</f>
        <v>#DIV/0!</v>
      </c>
      <c r="AG46" s="53" t="e">
        <f>AG45+ATM_Conf!$C$5*(M45-L45)/(M233*AG233)</f>
        <v>#DIV/0!</v>
      </c>
      <c r="AH46" s="53" t="e">
        <f>AH45+ATM_Conf!$C$5*(N45-M45)/(N233*AH233)</f>
        <v>#DIV/0!</v>
      </c>
      <c r="AI46" s="53" t="e">
        <f>AI45+ATM_Conf!$C$5*(O45-N45)/(O233*AI233)</f>
        <v>#DIV/0!</v>
      </c>
      <c r="AJ46" s="53" t="e">
        <f>AJ45+ATM_Conf!$C$5*(P45-O45)/(P233*AJ233)</f>
        <v>#DIV/0!</v>
      </c>
      <c r="AK46" s="53" t="e">
        <f>AK45+ATM_Conf!$C$5*(Q45-P45)/(Q233*AK233)</f>
        <v>#DIV/0!</v>
      </c>
      <c r="AL46" s="53" t="e">
        <f>AL45+ATM_Conf!$C$5*(R45-Q45)/(R233*AL233)</f>
        <v>#DIV/0!</v>
      </c>
      <c r="AM46" s="53" t="e">
        <f>AM45+ATM_Conf!$C$5*(S45-R45)/(S233*AM233)</f>
        <v>#DIV/0!</v>
      </c>
      <c r="AN46" s="53" t="e">
        <f>AN45+ATM_Conf!$C$5*(T45-S45)/(T233*AN233)</f>
        <v>#DIV/0!</v>
      </c>
      <c r="AO46" s="53" t="e">
        <f>AO45+ATM_Conf!$C$5*(U45-T45)/(U233*AO233)</f>
        <v>#DIV/0!</v>
      </c>
      <c r="AP46" s="43" t="e">
        <f>AP45+(ATM_Conf!$C$5/ATM_Conf!$C$8)*(BJ46*EXP(-(1/CX46)*(V46/CD46)^CX46)-AP45)-(ATM_Conf!$C$5*ATM_Conf!$C$9)/(V233*ATM_Conf!$C$8)*(Nodes!BO45-V45)/(V45+ATM_Conf!$C$10)</f>
        <v>#DIV/0!</v>
      </c>
      <c r="AQ46" s="43" t="e">
        <f>AQ45+(ATM_Conf!$C$5/ATM_Conf!$C$8)*(BK46*EXP(-(1/CY46)*(W46/CE46)^CY46)-AQ45)+(ATM_Conf!$C$5/W233)*AQ45*(AP45-AQ45)-(ATM_Conf!$C$5*ATM_Conf!$C$9)/(W233*ATM_Conf!$C$8)*(X45-W45)/(W45+ATM_Conf!$C$10)</f>
        <v>#DIV/0!</v>
      </c>
      <c r="AR46" s="43" t="e">
        <f>AR45+(ATM_Conf!$C$5/ATM_Conf!$C$8)*(BL46*EXP(-(1/CZ46)*(X46/CF46)^CZ46)-AR45)+(ATM_Conf!$C$5/X233)*AR45*(Nodes!BC45-AR45)-(ATM_Conf!$C$5*ATM_Conf!$C$9)/(X233*ATM_Conf!$C$8)*(Nodes!BQ45-X45)/(X45+ATM_Conf!$C$10)</f>
        <v>#DIV/0!</v>
      </c>
      <c r="AS46" s="43" t="e">
        <f>AS45+(ATM_Conf!$C$5/ATM_Conf!$C$8)*(BM46*EXP(-(1/DA46)*(Y46/CG46)^DA46)-AS45)+(ATM_Conf!$C$5/Y233)*AS45*(AR45-AS45)-(ATM_Conf!$C$5*ATM_Conf!$C$9)/(Y233*ATM_Conf!$C$8)*(Z45-Y45)/(Y45+ATM_Conf!$C$10)</f>
        <v>#DIV/0!</v>
      </c>
      <c r="AT46" s="43" t="e">
        <f>AT45+(ATM_Conf!$C$5/ATM_Conf!$C$8)*(BN46*EXP(-(1/DB46)*(Z46/CH46)^DB46)-AT45)+(ATM_Conf!$C$5/Z233)*AT45*(Nodes!BE45-AT45)-(ATM_Conf!$C$5*ATM_Conf!$C$9)/(Z233*ATM_Conf!$C$8)*(Nodes!BS45-Z45)/(Z45+ATM_Conf!$C$10)</f>
        <v>#DIV/0!</v>
      </c>
      <c r="AU46" s="43" t="e">
        <f>AU45+(ATM_Conf!$C$5/ATM_Conf!$C$8)*(BO46*EXP(-(1/DC46)*(AA46/CI46)^DC46)-AU45)+(ATM_Conf!$C$5/AA233)*AU45*(Nodes!BF45-AU45)-(ATM_Conf!$C$5*ATM_Conf!$C$9)/(AA233*ATM_Conf!$C$8)*(Nodes!BV45-AA45)/(AA45+ATM_Conf!$C$10)</f>
        <v>#DIV/0!</v>
      </c>
      <c r="AV46" s="43" t="e">
        <f>AV45+(ATM_Conf!$C$5/ATM_Conf!$C$8)*(BP46*EXP(-(1/DD46)*(AB46/CJ46)^DD46)-AV45)+(ATM_Conf!$C$5/AB233)*AV45*(AU45-AV45)-(ATM_Conf!$C$5*ATM_Conf!$C$9)/(AB233*ATM_Conf!$C$8)*(AC45-AB45)/(AB45+ATM_Conf!$C$10)</f>
        <v>#DIV/0!</v>
      </c>
      <c r="AW46" s="43" t="e">
        <f>AW45+(ATM_Conf!$C$5/ATM_Conf!$C$8)*(BQ46*EXP(-(1/DE46)*(AC46/CK46)^DE46)-AW45)+(ATM_Conf!$C$5/AC233)*AW45*(AV45-AW45)-(ATM_Conf!$C$5*ATM_Conf!$C$9)/(AC233*ATM_Conf!$C$8)*(AD45-AC45)/(AC45+ATM_Conf!$C$10)</f>
        <v>#DIV/0!</v>
      </c>
      <c r="AX46" s="43" t="e">
        <f>AX45+(ATM_Conf!$C$5/ATM_Conf!$C$8)*(BR46*EXP(-(1/DF46)*(AD46/CL46)^DF46)-AX45)+(ATM_Conf!$C$5/AD233)*AX45*(Nodes!BG45-AX45)-(ATM_Conf!$C$5*ATM_Conf!$C$9)/(AD233*ATM_Conf!$C$8)*(Nodes!BU45-AD45)/(AD45+ATM_Conf!$C$10)</f>
        <v>#DIV/0!</v>
      </c>
      <c r="AY46" s="43" t="e">
        <f>AY45+(ATM_Conf!$C$5/ATM_Conf!$C$8)*(BS46*EXP(-(1/DG46)*(AE46/CM46)^DG46)-AY45)+(ATM_Conf!$C$5/AE233)*AY45*(Nodes!BF45-AY45)</f>
        <v>#DIV/0!</v>
      </c>
      <c r="AZ46" s="43" t="e">
        <f>AZ45+(ATM_Conf!$C$5/ATM_Conf!$C$8)*(BT46*EXP(-(1/DH46)*(AF46/CN46)^DH46)-AZ45)-(ATM_Conf!$C$5*ATM_Conf!$C$9)/(AF233*ATM_Conf!$C$8)*(Nodes!BV45-AF45)/(AF45+ATM_Conf!$C$10)</f>
        <v>#DIV/0!</v>
      </c>
      <c r="BA46" s="43" t="e">
        <f>BA45+(ATM_Conf!$C$5/ATM_Conf!$C$8)*(BU46*EXP(-(1/DI46)*(AG46/CO46)^DI46)-BA45)+(ATM_Conf!$C$5/AG233)*BA45*(Nodes!BI45-BA45)-(ATM_Conf!$C$5*ATM_Conf!$C$9)/(AG233*ATM_Conf!$C$8)*(Nodes!BW45-AG45)/(AG45+ATM_Conf!$C$10)</f>
        <v>#DIV/0!</v>
      </c>
      <c r="BB46" s="43" t="e">
        <f>BB45+(ATM_Conf!$C$5/ATM_Conf!$C$8)*(BV46*EXP(-(1/DJ46)*(AH46/CP46)^DJ46)-BB45)+(ATM_Conf!$C$5/AH233)*BB45*(Nodes!BJ45-BB45)-(ATM_Conf!$C$5*ATM_Conf!$C$9)/(AH233*ATM_Conf!$C$8)*(AI45-AH45)/(AH45+ATM_Conf!$C$10)</f>
        <v>#DIV/0!</v>
      </c>
      <c r="BC46" s="43" t="e">
        <f>BC45+(ATM_Conf!$C$5/ATM_Conf!$C$8)*(BW46*EXP(-(1/DK46)*(AI46/CQ46)^DK46)-BC45)+(ATM_Conf!$C$5/AI233)*BC45*(BB45-BC45)-(ATM_Conf!$C$5*ATM_Conf!$C$9)/(AI233*ATM_Conf!$C$8)*(AJ45-AI45)/(AI45+ATM_Conf!$C$10)</f>
        <v>#DIV/0!</v>
      </c>
      <c r="BD46" s="43" t="e">
        <f>BD45+(ATM_Conf!$C$5/ATM_Conf!$C$8)*(BX46*EXP(-(1/DL46)*(AJ46/CR46)^DL46)-BD45)+(ATM_Conf!$C$5/AJ233)*BD45*(BC45-BD45)-(ATM_Conf!$C$5*ATM_Conf!$C$9)/(AJ233*ATM_Conf!$C$8)*(Nodes!BX45-AJ45)/(AJ45+ATM_Conf!$C$10)</f>
        <v>#DIV/0!</v>
      </c>
      <c r="BE46" s="43" t="e">
        <f>BE45+(ATM_Conf!$C$5/ATM_Conf!$C$8)*(BY46*EXP(-(1/DM46)*(AK46/CS46)^DM46)-BE45)+(ATM_Conf!$C$5/AK233)*BE45*(Nodes!BK45-BE45)-(ATM_Conf!$C$5*ATM_Conf!$C$9)/(AK233*ATM_Conf!$C$8)*(Nodes!BY45-AK45)/(AK45+ATM_Conf!$C$10)</f>
        <v>#DIV/0!</v>
      </c>
      <c r="BF46" s="43" t="e">
        <f>BF45+(ATM_Conf!$C$5/ATM_Conf!$C$8)*(BZ46*EXP(-(1/DN46)*(AL46/CT46)^DN46)-BF45)+(ATM_Conf!$C$5/AL233)*BF45*(BE45-BF45)-(ATM_Conf!$C$5*ATM_Conf!$C$9)/(AL233*ATM_Conf!$C$8)*(AM45-AL45)/(AL45+ATM_Conf!$C$10)</f>
        <v>#DIV/0!</v>
      </c>
      <c r="BG46" s="43" t="e">
        <f>BG45+(ATM_Conf!$C$5/ATM_Conf!$C$8)*(CA46*EXP(-(1/DO46)*(AM46/CU46)^DO46)-BG45)+(ATM_Conf!$C$5/AM233)*BG45*(Nodes!BM45-BG45)-(ATM_Conf!$C$5*ATM_Conf!$C$9)/(AM233*ATM_Conf!$C$8)*(Nodes!CA45-AM45)/(AM45+ATM_Conf!$C$10)</f>
        <v>#DIV/0!</v>
      </c>
      <c r="BH46" s="43" t="e">
        <f>BH45+(ATM_Conf!$C$5/ATM_Conf!$C$8)*(CB46*EXP(-(1/DP46)*(AN46/CV46)^DP46)-BH45)+(ATM_Conf!$C$5/AN233)*BH45*(BG45-BH45)-(ATM_Conf!$C$5*ATM_Conf!$C$9)/(AN233*ATM_Conf!$C$8)*(AO45-AN45)/(AN45+ATM_Conf!$C$10)</f>
        <v>#DIV/0!</v>
      </c>
      <c r="BI46" s="43" t="e">
        <f>BI45+(ATM_Conf!$C$5/ATM_Conf!$C$8)*(CC46*EXP(-(1/DQ46)*(AO46/CW46)^DQ46)-BI45)+(ATM_Conf!$C$5/AO233)*BI45*(BH45-BI45)</f>
        <v>#DIV/0!</v>
      </c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53"/>
      <c r="CY46" s="53"/>
      <c r="CZ46" s="53"/>
      <c r="DA46" s="53"/>
      <c r="DB46" s="53"/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  <c r="DR46" s="43">
        <f t="shared" si="32"/>
        <v>0</v>
      </c>
      <c r="DS46" s="43">
        <f t="shared" si="31"/>
        <v>0</v>
      </c>
      <c r="DT46" s="43">
        <f t="shared" si="31"/>
        <v>0</v>
      </c>
      <c r="DU46" s="43">
        <f t="shared" si="31"/>
        <v>0</v>
      </c>
      <c r="DV46" s="43">
        <f t="shared" si="31"/>
        <v>0</v>
      </c>
      <c r="DW46" s="43">
        <f t="shared" si="31"/>
        <v>0</v>
      </c>
      <c r="DX46" s="43">
        <f t="shared" si="31"/>
        <v>0</v>
      </c>
      <c r="DY46" s="43">
        <f t="shared" si="31"/>
        <v>0</v>
      </c>
      <c r="DZ46" s="43">
        <f t="shared" si="31"/>
        <v>0</v>
      </c>
      <c r="EA46" s="43">
        <f t="shared" si="31"/>
        <v>0</v>
      </c>
      <c r="EB46" s="43">
        <f t="shared" si="31"/>
        <v>0</v>
      </c>
      <c r="EC46" s="43">
        <f t="shared" si="31"/>
        <v>0</v>
      </c>
      <c r="ED46" s="43">
        <f t="shared" si="31"/>
        <v>0</v>
      </c>
      <c r="EE46" s="43">
        <f t="shared" si="31"/>
        <v>0</v>
      </c>
      <c r="EF46" s="43">
        <f t="shared" si="31"/>
        <v>0</v>
      </c>
      <c r="EG46" s="43">
        <f t="shared" si="31"/>
        <v>0</v>
      </c>
      <c r="EH46" s="43">
        <f t="shared" si="31"/>
        <v>0</v>
      </c>
      <c r="EI46" s="43">
        <f t="shared" si="31"/>
        <v>0</v>
      </c>
      <c r="EJ46" s="43">
        <f t="shared" si="31"/>
        <v>0</v>
      </c>
      <c r="EK46" s="43">
        <f t="shared" si="31"/>
        <v>0</v>
      </c>
      <c r="EL46" s="47"/>
      <c r="EM46" s="47"/>
      <c r="EN46" s="47"/>
      <c r="EO46" s="47"/>
      <c r="EP46" s="47"/>
      <c r="EQ46" s="47"/>
      <c r="ER46" s="47"/>
      <c r="ES46" s="47"/>
      <c r="ET46" s="47"/>
      <c r="EU46" s="47"/>
      <c r="EV46" s="47"/>
      <c r="EW46" s="47"/>
      <c r="EX46" s="47"/>
      <c r="EY46" s="47"/>
      <c r="EZ46" s="47"/>
      <c r="FA46" s="47"/>
      <c r="FB46" s="47"/>
      <c r="FC46" s="47"/>
      <c r="FD46" s="47"/>
      <c r="FE46" s="47"/>
    </row>
    <row r="47" spans="1:161" ht="14.25" x14ac:dyDescent="0.15">
      <c r="A47" s="46"/>
      <c r="B47" s="43" t="e">
        <f t="shared" si="2"/>
        <v>#DIV/0!</v>
      </c>
      <c r="C47" s="43" t="e">
        <f t="shared" si="3"/>
        <v>#DIV/0!</v>
      </c>
      <c r="D47" s="43" t="e">
        <f t="shared" si="4"/>
        <v>#DIV/0!</v>
      </c>
      <c r="E47" s="43" t="e">
        <f t="shared" si="5"/>
        <v>#DIV/0!</v>
      </c>
      <c r="F47" s="43" t="e">
        <f t="shared" si="6"/>
        <v>#DIV/0!</v>
      </c>
      <c r="G47" s="43" t="e">
        <f t="shared" si="7"/>
        <v>#DIV/0!</v>
      </c>
      <c r="H47" s="43" t="e">
        <f t="shared" si="8"/>
        <v>#DIV/0!</v>
      </c>
      <c r="I47" s="43" t="e">
        <f t="shared" si="9"/>
        <v>#DIV/0!</v>
      </c>
      <c r="J47" s="43" t="e">
        <f t="shared" si="10"/>
        <v>#DIV/0!</v>
      </c>
      <c r="K47" s="43" t="e">
        <f t="shared" si="11"/>
        <v>#DIV/0!</v>
      </c>
      <c r="L47" s="43" t="e">
        <f t="shared" si="12"/>
        <v>#DIV/0!</v>
      </c>
      <c r="M47" s="43" t="e">
        <f t="shared" si="13"/>
        <v>#DIV/0!</v>
      </c>
      <c r="N47" s="43" t="e">
        <f t="shared" si="14"/>
        <v>#DIV/0!</v>
      </c>
      <c r="O47" s="43" t="e">
        <f t="shared" si="15"/>
        <v>#DIV/0!</v>
      </c>
      <c r="P47" s="43" t="e">
        <f t="shared" si="16"/>
        <v>#DIV/0!</v>
      </c>
      <c r="Q47" s="43" t="e">
        <f t="shared" si="17"/>
        <v>#DIV/0!</v>
      </c>
      <c r="R47" s="43" t="e">
        <f t="shared" si="18"/>
        <v>#DIV/0!</v>
      </c>
      <c r="S47" s="43" t="e">
        <f t="shared" si="19"/>
        <v>#DIV/0!</v>
      </c>
      <c r="T47" s="43" t="e">
        <f t="shared" si="20"/>
        <v>#DIV/0!</v>
      </c>
      <c r="U47" s="43" t="e">
        <f t="shared" si="21"/>
        <v>#DIV/0!</v>
      </c>
      <c r="V47" s="53" t="e">
        <f>V46+ATM_Conf!$C$5*(B46)/(B234*V234)</f>
        <v>#DIV/0!</v>
      </c>
      <c r="W47" s="53" t="e">
        <f>W46+ATM_Conf!$C$5*(C46-B46)/(C234*W234)</f>
        <v>#DIV/0!</v>
      </c>
      <c r="X47" s="53" t="e">
        <f>X46+ATM_Conf!$C$5*(D46-C46)/(D234*X234)</f>
        <v>#DIV/0!</v>
      </c>
      <c r="Y47" s="53" t="e">
        <f>Y46+ATM_Conf!$C$5*(E46-D46)/(E234*Y234)</f>
        <v>#DIV/0!</v>
      </c>
      <c r="Z47" s="53" t="e">
        <f>Z46+ATM_Conf!$C$5*(F46-E46)/(F234*Z234)</f>
        <v>#DIV/0!</v>
      </c>
      <c r="AA47" s="53" t="e">
        <f>AA46+ATM_Conf!$C$5*(G46-F46)/(G234*AA234)</f>
        <v>#DIV/0!</v>
      </c>
      <c r="AB47" s="53" t="e">
        <f>AB46+ATM_Conf!$C$5*(H46-G46)/(H234*AB234)</f>
        <v>#DIV/0!</v>
      </c>
      <c r="AC47" s="53" t="e">
        <f>AC46+ATM_Conf!$C$5*(I46-H46)/(I234*AC234)</f>
        <v>#DIV/0!</v>
      </c>
      <c r="AD47" s="53" t="e">
        <f>AD46+ATM_Conf!$C$5*(J46-I46)/(J234*AD234)</f>
        <v>#DIV/0!</v>
      </c>
      <c r="AE47" s="53" t="e">
        <f>AE46+ATM_Conf!$C$5*(K46-J46)/(K234*AE234)</f>
        <v>#DIV/0!</v>
      </c>
      <c r="AF47" s="53" t="e">
        <f>AF46+ATM_Conf!$C$5*(L46)/(L234*AF234)</f>
        <v>#DIV/0!</v>
      </c>
      <c r="AG47" s="53" t="e">
        <f>AG46+ATM_Conf!$C$5*(M46-L46)/(M234*AG234)</f>
        <v>#DIV/0!</v>
      </c>
      <c r="AH47" s="53" t="e">
        <f>AH46+ATM_Conf!$C$5*(N46-M46)/(N234*AH234)</f>
        <v>#DIV/0!</v>
      </c>
      <c r="AI47" s="53" t="e">
        <f>AI46+ATM_Conf!$C$5*(O46-N46)/(O234*AI234)</f>
        <v>#DIV/0!</v>
      </c>
      <c r="AJ47" s="53" t="e">
        <f>AJ46+ATM_Conf!$C$5*(P46-O46)/(P234*AJ234)</f>
        <v>#DIV/0!</v>
      </c>
      <c r="AK47" s="53" t="e">
        <f>AK46+ATM_Conf!$C$5*(Q46-P46)/(Q234*AK234)</f>
        <v>#DIV/0!</v>
      </c>
      <c r="AL47" s="53" t="e">
        <f>AL46+ATM_Conf!$C$5*(R46-Q46)/(R234*AL234)</f>
        <v>#DIV/0!</v>
      </c>
      <c r="AM47" s="53" t="e">
        <f>AM46+ATM_Conf!$C$5*(S46-R46)/(S234*AM234)</f>
        <v>#DIV/0!</v>
      </c>
      <c r="AN47" s="53" t="e">
        <f>AN46+ATM_Conf!$C$5*(T46-S46)/(T234*AN234)</f>
        <v>#DIV/0!</v>
      </c>
      <c r="AO47" s="53" t="e">
        <f>AO46+ATM_Conf!$C$5*(U46-T46)/(U234*AO234)</f>
        <v>#DIV/0!</v>
      </c>
      <c r="AP47" s="43" t="e">
        <f>AP46+(ATM_Conf!$C$5/ATM_Conf!$C$8)*(BJ47*EXP(-(1/CX47)*(V47/CD47)^CX47)-AP46)-(ATM_Conf!$C$5*ATM_Conf!$C$9)/(V234*ATM_Conf!$C$8)*(Nodes!BO46-V46)/(V46+ATM_Conf!$C$10)</f>
        <v>#DIV/0!</v>
      </c>
      <c r="AQ47" s="43" t="e">
        <f>AQ46+(ATM_Conf!$C$5/ATM_Conf!$C$8)*(BK47*EXP(-(1/CY47)*(W47/CE47)^CY47)-AQ46)+(ATM_Conf!$C$5/W234)*AQ46*(AP46-AQ46)-(ATM_Conf!$C$5*ATM_Conf!$C$9)/(W234*ATM_Conf!$C$8)*(X46-W46)/(W46+ATM_Conf!$C$10)</f>
        <v>#DIV/0!</v>
      </c>
      <c r="AR47" s="43" t="e">
        <f>AR46+(ATM_Conf!$C$5/ATM_Conf!$C$8)*(BL47*EXP(-(1/CZ47)*(X47/CF47)^CZ47)-AR46)+(ATM_Conf!$C$5/X234)*AR46*(Nodes!BC46-AR46)-(ATM_Conf!$C$5*ATM_Conf!$C$9)/(X234*ATM_Conf!$C$8)*(Nodes!BQ46-X46)/(X46+ATM_Conf!$C$10)</f>
        <v>#DIV/0!</v>
      </c>
      <c r="AS47" s="43" t="e">
        <f>AS46+(ATM_Conf!$C$5/ATM_Conf!$C$8)*(BM47*EXP(-(1/DA47)*(Y47/CG47)^DA47)-AS46)+(ATM_Conf!$C$5/Y234)*AS46*(AR46-AS46)-(ATM_Conf!$C$5*ATM_Conf!$C$9)/(Y234*ATM_Conf!$C$8)*(Z46-Y46)/(Y46+ATM_Conf!$C$10)</f>
        <v>#DIV/0!</v>
      </c>
      <c r="AT47" s="43" t="e">
        <f>AT46+(ATM_Conf!$C$5/ATM_Conf!$C$8)*(BN47*EXP(-(1/DB47)*(Z47/CH47)^DB47)-AT46)+(ATM_Conf!$C$5/Z234)*AT46*(Nodes!BE46-AT46)-(ATM_Conf!$C$5*ATM_Conf!$C$9)/(Z234*ATM_Conf!$C$8)*(Nodes!BS46-Z46)/(Z46+ATM_Conf!$C$10)</f>
        <v>#DIV/0!</v>
      </c>
      <c r="AU47" s="43" t="e">
        <f>AU46+(ATM_Conf!$C$5/ATM_Conf!$C$8)*(BO47*EXP(-(1/DC47)*(AA47/CI47)^DC47)-AU46)+(ATM_Conf!$C$5/AA234)*AU46*(Nodes!BF46-AU46)-(ATM_Conf!$C$5*ATM_Conf!$C$9)/(AA234*ATM_Conf!$C$8)*(Nodes!BV46-AA46)/(AA46+ATM_Conf!$C$10)</f>
        <v>#DIV/0!</v>
      </c>
      <c r="AV47" s="43" t="e">
        <f>AV46+(ATM_Conf!$C$5/ATM_Conf!$C$8)*(BP47*EXP(-(1/DD47)*(AB47/CJ47)^DD47)-AV46)+(ATM_Conf!$C$5/AB234)*AV46*(AU46-AV46)-(ATM_Conf!$C$5*ATM_Conf!$C$9)/(AB234*ATM_Conf!$C$8)*(AC46-AB46)/(AB46+ATM_Conf!$C$10)</f>
        <v>#DIV/0!</v>
      </c>
      <c r="AW47" s="43" t="e">
        <f>AW46+(ATM_Conf!$C$5/ATM_Conf!$C$8)*(BQ47*EXP(-(1/DE47)*(AC47/CK47)^DE47)-AW46)+(ATM_Conf!$C$5/AC234)*AW46*(AV46-AW46)-(ATM_Conf!$C$5*ATM_Conf!$C$9)/(AC234*ATM_Conf!$C$8)*(AD46-AC46)/(AC46+ATM_Conf!$C$10)</f>
        <v>#DIV/0!</v>
      </c>
      <c r="AX47" s="43" t="e">
        <f>AX46+(ATM_Conf!$C$5/ATM_Conf!$C$8)*(BR47*EXP(-(1/DF47)*(AD47/CL47)^DF47)-AX46)+(ATM_Conf!$C$5/AD234)*AX46*(Nodes!BG46-AX46)-(ATM_Conf!$C$5*ATM_Conf!$C$9)/(AD234*ATM_Conf!$C$8)*(Nodes!BU46-AD46)/(AD46+ATM_Conf!$C$10)</f>
        <v>#DIV/0!</v>
      </c>
      <c r="AY47" s="43" t="e">
        <f>AY46+(ATM_Conf!$C$5/ATM_Conf!$C$8)*(BS47*EXP(-(1/DG47)*(AE47/CM47)^DG47)-AY46)+(ATM_Conf!$C$5/AE234)*AY46*(Nodes!BF46-AY46)</f>
        <v>#DIV/0!</v>
      </c>
      <c r="AZ47" s="43" t="e">
        <f>AZ46+(ATM_Conf!$C$5/ATM_Conf!$C$8)*(BT47*EXP(-(1/DH47)*(AF47/CN47)^DH47)-AZ46)-(ATM_Conf!$C$5*ATM_Conf!$C$9)/(AF234*ATM_Conf!$C$8)*(Nodes!BV46-AF46)/(AF46+ATM_Conf!$C$10)</f>
        <v>#DIV/0!</v>
      </c>
      <c r="BA47" s="43" t="e">
        <f>BA46+(ATM_Conf!$C$5/ATM_Conf!$C$8)*(BU47*EXP(-(1/DI47)*(AG47/CO47)^DI47)-BA46)+(ATM_Conf!$C$5/AG234)*BA46*(Nodes!BI46-BA46)-(ATM_Conf!$C$5*ATM_Conf!$C$9)/(AG234*ATM_Conf!$C$8)*(Nodes!BW46-AG46)/(AG46+ATM_Conf!$C$10)</f>
        <v>#DIV/0!</v>
      </c>
      <c r="BB47" s="43" t="e">
        <f>BB46+(ATM_Conf!$C$5/ATM_Conf!$C$8)*(BV47*EXP(-(1/DJ47)*(AH47/CP47)^DJ47)-BB46)+(ATM_Conf!$C$5/AH234)*BB46*(Nodes!BJ46-BB46)-(ATM_Conf!$C$5*ATM_Conf!$C$9)/(AH234*ATM_Conf!$C$8)*(AI46-AH46)/(AH46+ATM_Conf!$C$10)</f>
        <v>#DIV/0!</v>
      </c>
      <c r="BC47" s="43" t="e">
        <f>BC46+(ATM_Conf!$C$5/ATM_Conf!$C$8)*(BW47*EXP(-(1/DK47)*(AI47/CQ47)^DK47)-BC46)+(ATM_Conf!$C$5/AI234)*BC46*(BB46-BC46)-(ATM_Conf!$C$5*ATM_Conf!$C$9)/(AI234*ATM_Conf!$C$8)*(AJ46-AI46)/(AI46+ATM_Conf!$C$10)</f>
        <v>#DIV/0!</v>
      </c>
      <c r="BD47" s="43" t="e">
        <f>BD46+(ATM_Conf!$C$5/ATM_Conf!$C$8)*(BX47*EXP(-(1/DL47)*(AJ47/CR47)^DL47)-BD46)+(ATM_Conf!$C$5/AJ234)*BD46*(BC46-BD46)-(ATM_Conf!$C$5*ATM_Conf!$C$9)/(AJ234*ATM_Conf!$C$8)*(Nodes!BX46-AJ46)/(AJ46+ATM_Conf!$C$10)</f>
        <v>#DIV/0!</v>
      </c>
      <c r="BE47" s="43" t="e">
        <f>BE46+(ATM_Conf!$C$5/ATM_Conf!$C$8)*(BY47*EXP(-(1/DM47)*(AK47/CS47)^DM47)-BE46)+(ATM_Conf!$C$5/AK234)*BE46*(Nodes!BK46-BE46)-(ATM_Conf!$C$5*ATM_Conf!$C$9)/(AK234*ATM_Conf!$C$8)*(Nodes!BY46-AK46)/(AK46+ATM_Conf!$C$10)</f>
        <v>#DIV/0!</v>
      </c>
      <c r="BF47" s="43" t="e">
        <f>BF46+(ATM_Conf!$C$5/ATM_Conf!$C$8)*(BZ47*EXP(-(1/DN47)*(AL47/CT47)^DN47)-BF46)+(ATM_Conf!$C$5/AL234)*BF46*(BE46-BF46)-(ATM_Conf!$C$5*ATM_Conf!$C$9)/(AL234*ATM_Conf!$C$8)*(AM46-AL46)/(AL46+ATM_Conf!$C$10)</f>
        <v>#DIV/0!</v>
      </c>
      <c r="BG47" s="43" t="e">
        <f>BG46+(ATM_Conf!$C$5/ATM_Conf!$C$8)*(CA47*EXP(-(1/DO47)*(AM47/CU47)^DO47)-BG46)+(ATM_Conf!$C$5/AM234)*BG46*(Nodes!BM46-BG46)-(ATM_Conf!$C$5*ATM_Conf!$C$9)/(AM234*ATM_Conf!$C$8)*(Nodes!CA46-AM46)/(AM46+ATM_Conf!$C$10)</f>
        <v>#DIV/0!</v>
      </c>
      <c r="BH47" s="43" t="e">
        <f>BH46+(ATM_Conf!$C$5/ATM_Conf!$C$8)*(CB47*EXP(-(1/DP47)*(AN47/CV47)^DP47)-BH46)+(ATM_Conf!$C$5/AN234)*BH46*(BG46-BH46)-(ATM_Conf!$C$5*ATM_Conf!$C$9)/(AN234*ATM_Conf!$C$8)*(AO46-AN46)/(AN46+ATM_Conf!$C$10)</f>
        <v>#DIV/0!</v>
      </c>
      <c r="BI47" s="43" t="e">
        <f>BI46+(ATM_Conf!$C$5/ATM_Conf!$C$8)*(CC47*EXP(-(1/DQ47)*(AO47/CW47)^DQ47)-BI46)+(ATM_Conf!$C$5/AO234)*BI46*(BH46-BI46)</f>
        <v>#DIV/0!</v>
      </c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53"/>
      <c r="CY47" s="53"/>
      <c r="CZ47" s="53"/>
      <c r="DA47" s="53"/>
      <c r="DB47" s="53"/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  <c r="DR47" s="43">
        <f t="shared" si="32"/>
        <v>0</v>
      </c>
      <c r="DS47" s="43">
        <f t="shared" si="31"/>
        <v>0</v>
      </c>
      <c r="DT47" s="43">
        <f t="shared" si="31"/>
        <v>0</v>
      </c>
      <c r="DU47" s="43">
        <f t="shared" si="31"/>
        <v>0</v>
      </c>
      <c r="DV47" s="43">
        <f t="shared" si="31"/>
        <v>0</v>
      </c>
      <c r="DW47" s="43">
        <f t="shared" si="31"/>
        <v>0</v>
      </c>
      <c r="DX47" s="43">
        <f t="shared" si="31"/>
        <v>0</v>
      </c>
      <c r="DY47" s="43">
        <f t="shared" si="31"/>
        <v>0</v>
      </c>
      <c r="DZ47" s="43">
        <f t="shared" si="31"/>
        <v>0</v>
      </c>
      <c r="EA47" s="43">
        <f t="shared" si="31"/>
        <v>0</v>
      </c>
      <c r="EB47" s="43">
        <f t="shared" si="31"/>
        <v>0</v>
      </c>
      <c r="EC47" s="43">
        <f t="shared" si="31"/>
        <v>0</v>
      </c>
      <c r="ED47" s="43">
        <f t="shared" si="31"/>
        <v>0</v>
      </c>
      <c r="EE47" s="43">
        <f t="shared" si="31"/>
        <v>0</v>
      </c>
      <c r="EF47" s="43">
        <f t="shared" si="31"/>
        <v>0</v>
      </c>
      <c r="EG47" s="43">
        <f t="shared" si="31"/>
        <v>0</v>
      </c>
      <c r="EH47" s="43">
        <f t="shared" si="31"/>
        <v>0</v>
      </c>
      <c r="EI47" s="43">
        <f t="shared" si="31"/>
        <v>0</v>
      </c>
      <c r="EJ47" s="43">
        <f t="shared" si="31"/>
        <v>0</v>
      </c>
      <c r="EK47" s="43">
        <f t="shared" si="31"/>
        <v>0</v>
      </c>
      <c r="EL47" s="47"/>
      <c r="EM47" s="47"/>
      <c r="EN47" s="47"/>
      <c r="EO47" s="47"/>
      <c r="EP47" s="47"/>
      <c r="EQ47" s="47"/>
      <c r="ER47" s="47"/>
      <c r="ES47" s="47"/>
      <c r="ET47" s="47"/>
      <c r="EU47" s="47"/>
      <c r="EV47" s="47"/>
      <c r="EW47" s="47"/>
      <c r="EX47" s="47"/>
      <c r="EY47" s="47"/>
      <c r="EZ47" s="47"/>
      <c r="FA47" s="47"/>
      <c r="FB47" s="47"/>
      <c r="FC47" s="47"/>
      <c r="FD47" s="47"/>
      <c r="FE47" s="47"/>
    </row>
    <row r="48" spans="1:161" ht="14.25" x14ac:dyDescent="0.15">
      <c r="A48" s="46"/>
      <c r="B48" s="43" t="e">
        <f t="shared" si="2"/>
        <v>#DIV/0!</v>
      </c>
      <c r="C48" s="43" t="e">
        <f t="shared" si="3"/>
        <v>#DIV/0!</v>
      </c>
      <c r="D48" s="43" t="e">
        <f t="shared" si="4"/>
        <v>#DIV/0!</v>
      </c>
      <c r="E48" s="43" t="e">
        <f t="shared" si="5"/>
        <v>#DIV/0!</v>
      </c>
      <c r="F48" s="43" t="e">
        <f t="shared" si="6"/>
        <v>#DIV/0!</v>
      </c>
      <c r="G48" s="43" t="e">
        <f t="shared" si="7"/>
        <v>#DIV/0!</v>
      </c>
      <c r="H48" s="43" t="e">
        <f t="shared" si="8"/>
        <v>#DIV/0!</v>
      </c>
      <c r="I48" s="43" t="e">
        <f t="shared" si="9"/>
        <v>#DIV/0!</v>
      </c>
      <c r="J48" s="43" t="e">
        <f t="shared" si="10"/>
        <v>#DIV/0!</v>
      </c>
      <c r="K48" s="43" t="e">
        <f t="shared" si="11"/>
        <v>#DIV/0!</v>
      </c>
      <c r="L48" s="43" t="e">
        <f t="shared" si="12"/>
        <v>#DIV/0!</v>
      </c>
      <c r="M48" s="43" t="e">
        <f t="shared" si="13"/>
        <v>#DIV/0!</v>
      </c>
      <c r="N48" s="43" t="e">
        <f t="shared" si="14"/>
        <v>#DIV/0!</v>
      </c>
      <c r="O48" s="43" t="e">
        <f t="shared" si="15"/>
        <v>#DIV/0!</v>
      </c>
      <c r="P48" s="43" t="e">
        <f t="shared" si="16"/>
        <v>#DIV/0!</v>
      </c>
      <c r="Q48" s="43" t="e">
        <f t="shared" si="17"/>
        <v>#DIV/0!</v>
      </c>
      <c r="R48" s="43" t="e">
        <f t="shared" si="18"/>
        <v>#DIV/0!</v>
      </c>
      <c r="S48" s="43" t="e">
        <f t="shared" si="19"/>
        <v>#DIV/0!</v>
      </c>
      <c r="T48" s="43" t="e">
        <f t="shared" si="20"/>
        <v>#DIV/0!</v>
      </c>
      <c r="U48" s="43" t="e">
        <f t="shared" si="21"/>
        <v>#DIV/0!</v>
      </c>
      <c r="V48" s="53" t="e">
        <f>V47+ATM_Conf!$C$5*(B47)/(B235*V235)</f>
        <v>#DIV/0!</v>
      </c>
      <c r="W48" s="53" t="e">
        <f>W47+ATM_Conf!$C$5*(C47-B47)/(C235*W235)</f>
        <v>#DIV/0!</v>
      </c>
      <c r="X48" s="53" t="e">
        <f>X47+ATM_Conf!$C$5*(D47-C47)/(D235*X235)</f>
        <v>#DIV/0!</v>
      </c>
      <c r="Y48" s="53" t="e">
        <f>Y47+ATM_Conf!$C$5*(E47-D47)/(E235*Y235)</f>
        <v>#DIV/0!</v>
      </c>
      <c r="Z48" s="53" t="e">
        <f>Z47+ATM_Conf!$C$5*(F47-E47)/(F235*Z235)</f>
        <v>#DIV/0!</v>
      </c>
      <c r="AA48" s="53" t="e">
        <f>AA47+ATM_Conf!$C$5*(G47-F47)/(G235*AA235)</f>
        <v>#DIV/0!</v>
      </c>
      <c r="AB48" s="53" t="e">
        <f>AB47+ATM_Conf!$C$5*(H47-G47)/(H235*AB235)</f>
        <v>#DIV/0!</v>
      </c>
      <c r="AC48" s="53" t="e">
        <f>AC47+ATM_Conf!$C$5*(I47-H47)/(I235*AC235)</f>
        <v>#DIV/0!</v>
      </c>
      <c r="AD48" s="53" t="e">
        <f>AD47+ATM_Conf!$C$5*(J47-I47)/(J235*AD235)</f>
        <v>#DIV/0!</v>
      </c>
      <c r="AE48" s="53" t="e">
        <f>AE47+ATM_Conf!$C$5*(K47-J47)/(K235*AE235)</f>
        <v>#DIV/0!</v>
      </c>
      <c r="AF48" s="53" t="e">
        <f>AF47+ATM_Conf!$C$5*(L47)/(L235*AF235)</f>
        <v>#DIV/0!</v>
      </c>
      <c r="AG48" s="53" t="e">
        <f>AG47+ATM_Conf!$C$5*(M47-L47)/(M235*AG235)</f>
        <v>#DIV/0!</v>
      </c>
      <c r="AH48" s="53" t="e">
        <f>AH47+ATM_Conf!$C$5*(N47-M47)/(N235*AH235)</f>
        <v>#DIV/0!</v>
      </c>
      <c r="AI48" s="53" t="e">
        <f>AI47+ATM_Conf!$C$5*(O47-N47)/(O235*AI235)</f>
        <v>#DIV/0!</v>
      </c>
      <c r="AJ48" s="53" t="e">
        <f>AJ47+ATM_Conf!$C$5*(P47-O47)/(P235*AJ235)</f>
        <v>#DIV/0!</v>
      </c>
      <c r="AK48" s="53" t="e">
        <f>AK47+ATM_Conf!$C$5*(Q47-P47)/(Q235*AK235)</f>
        <v>#DIV/0!</v>
      </c>
      <c r="AL48" s="53" t="e">
        <f>AL47+ATM_Conf!$C$5*(R47-Q47)/(R235*AL235)</f>
        <v>#DIV/0!</v>
      </c>
      <c r="AM48" s="53" t="e">
        <f>AM47+ATM_Conf!$C$5*(S47-R47)/(S235*AM235)</f>
        <v>#DIV/0!</v>
      </c>
      <c r="AN48" s="53" t="e">
        <f>AN47+ATM_Conf!$C$5*(T47-S47)/(T235*AN235)</f>
        <v>#DIV/0!</v>
      </c>
      <c r="AO48" s="53" t="e">
        <f>AO47+ATM_Conf!$C$5*(U47-T47)/(U235*AO235)</f>
        <v>#DIV/0!</v>
      </c>
      <c r="AP48" s="43" t="e">
        <f>AP47+(ATM_Conf!$C$5/ATM_Conf!$C$8)*(BJ48*EXP(-(1/CX48)*(V48/CD48)^CX48)-AP47)-(ATM_Conf!$C$5*ATM_Conf!$C$9)/(V235*ATM_Conf!$C$8)*(Nodes!BO47-V47)/(V47+ATM_Conf!$C$10)</f>
        <v>#DIV/0!</v>
      </c>
      <c r="AQ48" s="43" t="e">
        <f>AQ47+(ATM_Conf!$C$5/ATM_Conf!$C$8)*(BK48*EXP(-(1/CY48)*(W48/CE48)^CY48)-AQ47)+(ATM_Conf!$C$5/W235)*AQ47*(AP47-AQ47)-(ATM_Conf!$C$5*ATM_Conf!$C$9)/(W235*ATM_Conf!$C$8)*(X47-W47)/(W47+ATM_Conf!$C$10)</f>
        <v>#DIV/0!</v>
      </c>
      <c r="AR48" s="43" t="e">
        <f>AR47+(ATM_Conf!$C$5/ATM_Conf!$C$8)*(BL48*EXP(-(1/CZ48)*(X48/CF48)^CZ48)-AR47)+(ATM_Conf!$C$5/X235)*AR47*(Nodes!BC47-AR47)-(ATM_Conf!$C$5*ATM_Conf!$C$9)/(X235*ATM_Conf!$C$8)*(Nodes!BQ47-X47)/(X47+ATM_Conf!$C$10)</f>
        <v>#DIV/0!</v>
      </c>
      <c r="AS48" s="43" t="e">
        <f>AS47+(ATM_Conf!$C$5/ATM_Conf!$C$8)*(BM48*EXP(-(1/DA48)*(Y48/CG48)^DA48)-AS47)+(ATM_Conf!$C$5/Y235)*AS47*(AR47-AS47)-(ATM_Conf!$C$5*ATM_Conf!$C$9)/(Y235*ATM_Conf!$C$8)*(Z47-Y47)/(Y47+ATM_Conf!$C$10)</f>
        <v>#DIV/0!</v>
      </c>
      <c r="AT48" s="43" t="e">
        <f>AT47+(ATM_Conf!$C$5/ATM_Conf!$C$8)*(BN48*EXP(-(1/DB48)*(Z48/CH48)^DB48)-AT47)+(ATM_Conf!$C$5/Z235)*AT47*(Nodes!BE47-AT47)-(ATM_Conf!$C$5*ATM_Conf!$C$9)/(Z235*ATM_Conf!$C$8)*(Nodes!BS47-Z47)/(Z47+ATM_Conf!$C$10)</f>
        <v>#DIV/0!</v>
      </c>
      <c r="AU48" s="43" t="e">
        <f>AU47+(ATM_Conf!$C$5/ATM_Conf!$C$8)*(BO48*EXP(-(1/DC48)*(AA48/CI48)^DC48)-AU47)+(ATM_Conf!$C$5/AA235)*AU47*(Nodes!BF47-AU47)-(ATM_Conf!$C$5*ATM_Conf!$C$9)/(AA235*ATM_Conf!$C$8)*(Nodes!BV47-AA47)/(AA47+ATM_Conf!$C$10)</f>
        <v>#DIV/0!</v>
      </c>
      <c r="AV48" s="43" t="e">
        <f>AV47+(ATM_Conf!$C$5/ATM_Conf!$C$8)*(BP48*EXP(-(1/DD48)*(AB48/CJ48)^DD48)-AV47)+(ATM_Conf!$C$5/AB235)*AV47*(AU47-AV47)-(ATM_Conf!$C$5*ATM_Conf!$C$9)/(AB235*ATM_Conf!$C$8)*(AC47-AB47)/(AB47+ATM_Conf!$C$10)</f>
        <v>#DIV/0!</v>
      </c>
      <c r="AW48" s="43" t="e">
        <f>AW47+(ATM_Conf!$C$5/ATM_Conf!$C$8)*(BQ48*EXP(-(1/DE48)*(AC48/CK48)^DE48)-AW47)+(ATM_Conf!$C$5/AC235)*AW47*(AV47-AW47)-(ATM_Conf!$C$5*ATM_Conf!$C$9)/(AC235*ATM_Conf!$C$8)*(AD47-AC47)/(AC47+ATM_Conf!$C$10)</f>
        <v>#DIV/0!</v>
      </c>
      <c r="AX48" s="43" t="e">
        <f>AX47+(ATM_Conf!$C$5/ATM_Conf!$C$8)*(BR48*EXP(-(1/DF48)*(AD48/CL48)^DF48)-AX47)+(ATM_Conf!$C$5/AD235)*AX47*(Nodes!BG47-AX47)-(ATM_Conf!$C$5*ATM_Conf!$C$9)/(AD235*ATM_Conf!$C$8)*(Nodes!BU47-AD47)/(AD47+ATM_Conf!$C$10)</f>
        <v>#DIV/0!</v>
      </c>
      <c r="AY48" s="43" t="e">
        <f>AY47+(ATM_Conf!$C$5/ATM_Conf!$C$8)*(BS48*EXP(-(1/DG48)*(AE48/CM48)^DG48)-AY47)+(ATM_Conf!$C$5/AE235)*AY47*(Nodes!BF47-AY47)</f>
        <v>#DIV/0!</v>
      </c>
      <c r="AZ48" s="43" t="e">
        <f>AZ47+(ATM_Conf!$C$5/ATM_Conf!$C$8)*(BT48*EXP(-(1/DH48)*(AF48/CN48)^DH48)-AZ47)-(ATM_Conf!$C$5*ATM_Conf!$C$9)/(AF235*ATM_Conf!$C$8)*(Nodes!BV47-AF47)/(AF47+ATM_Conf!$C$10)</f>
        <v>#DIV/0!</v>
      </c>
      <c r="BA48" s="43" t="e">
        <f>BA47+(ATM_Conf!$C$5/ATM_Conf!$C$8)*(BU48*EXP(-(1/DI48)*(AG48/CO48)^DI48)-BA47)+(ATM_Conf!$C$5/AG235)*BA47*(Nodes!BI47-BA47)-(ATM_Conf!$C$5*ATM_Conf!$C$9)/(AG235*ATM_Conf!$C$8)*(Nodes!BW47-AG47)/(AG47+ATM_Conf!$C$10)</f>
        <v>#DIV/0!</v>
      </c>
      <c r="BB48" s="43" t="e">
        <f>BB47+(ATM_Conf!$C$5/ATM_Conf!$C$8)*(BV48*EXP(-(1/DJ48)*(AH48/CP48)^DJ48)-BB47)+(ATM_Conf!$C$5/AH235)*BB47*(Nodes!BJ47-BB47)-(ATM_Conf!$C$5*ATM_Conf!$C$9)/(AH235*ATM_Conf!$C$8)*(AI47-AH47)/(AH47+ATM_Conf!$C$10)</f>
        <v>#DIV/0!</v>
      </c>
      <c r="BC48" s="43" t="e">
        <f>BC47+(ATM_Conf!$C$5/ATM_Conf!$C$8)*(BW48*EXP(-(1/DK48)*(AI48/CQ48)^DK48)-BC47)+(ATM_Conf!$C$5/AI235)*BC47*(BB47-BC47)-(ATM_Conf!$C$5*ATM_Conf!$C$9)/(AI235*ATM_Conf!$C$8)*(AJ47-AI47)/(AI47+ATM_Conf!$C$10)</f>
        <v>#DIV/0!</v>
      </c>
      <c r="BD48" s="43" t="e">
        <f>BD47+(ATM_Conf!$C$5/ATM_Conf!$C$8)*(BX48*EXP(-(1/DL48)*(AJ48/CR48)^DL48)-BD47)+(ATM_Conf!$C$5/AJ235)*BD47*(BC47-BD47)-(ATM_Conf!$C$5*ATM_Conf!$C$9)/(AJ235*ATM_Conf!$C$8)*(Nodes!BX47-AJ47)/(AJ47+ATM_Conf!$C$10)</f>
        <v>#DIV/0!</v>
      </c>
      <c r="BE48" s="43" t="e">
        <f>BE47+(ATM_Conf!$C$5/ATM_Conf!$C$8)*(BY48*EXP(-(1/DM48)*(AK48/CS48)^DM48)-BE47)+(ATM_Conf!$C$5/AK235)*BE47*(Nodes!BK47-BE47)-(ATM_Conf!$C$5*ATM_Conf!$C$9)/(AK235*ATM_Conf!$C$8)*(Nodes!BY47-AK47)/(AK47+ATM_Conf!$C$10)</f>
        <v>#DIV/0!</v>
      </c>
      <c r="BF48" s="43" t="e">
        <f>BF47+(ATM_Conf!$C$5/ATM_Conf!$C$8)*(BZ48*EXP(-(1/DN48)*(AL48/CT48)^DN48)-BF47)+(ATM_Conf!$C$5/AL235)*BF47*(BE47-BF47)-(ATM_Conf!$C$5*ATM_Conf!$C$9)/(AL235*ATM_Conf!$C$8)*(AM47-AL47)/(AL47+ATM_Conf!$C$10)</f>
        <v>#DIV/0!</v>
      </c>
      <c r="BG48" s="43" t="e">
        <f>BG47+(ATM_Conf!$C$5/ATM_Conf!$C$8)*(CA48*EXP(-(1/DO48)*(AM48/CU48)^DO48)-BG47)+(ATM_Conf!$C$5/AM235)*BG47*(Nodes!BM47-BG47)-(ATM_Conf!$C$5*ATM_Conf!$C$9)/(AM235*ATM_Conf!$C$8)*(Nodes!CA47-AM47)/(AM47+ATM_Conf!$C$10)</f>
        <v>#DIV/0!</v>
      </c>
      <c r="BH48" s="43" t="e">
        <f>BH47+(ATM_Conf!$C$5/ATM_Conf!$C$8)*(CB48*EXP(-(1/DP48)*(AN48/CV48)^DP48)-BH47)+(ATM_Conf!$C$5/AN235)*BH47*(BG47-BH47)-(ATM_Conf!$C$5*ATM_Conf!$C$9)/(AN235*ATM_Conf!$C$8)*(AO47-AN47)/(AN47+ATM_Conf!$C$10)</f>
        <v>#DIV/0!</v>
      </c>
      <c r="BI48" s="43" t="e">
        <f>BI47+(ATM_Conf!$C$5/ATM_Conf!$C$8)*(CC48*EXP(-(1/DQ48)*(AO48/CW48)^DQ48)-BI47)+(ATM_Conf!$C$5/AO235)*BI47*(BH47-BI47)</f>
        <v>#DIV/0!</v>
      </c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53"/>
      <c r="CC48" s="5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53"/>
      <c r="CY48" s="53"/>
      <c r="CZ48" s="53"/>
      <c r="DA48" s="53"/>
      <c r="DB48" s="53"/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  <c r="DR48" s="43">
        <f t="shared" si="32"/>
        <v>0</v>
      </c>
      <c r="DS48" s="43">
        <f t="shared" si="31"/>
        <v>0</v>
      </c>
      <c r="DT48" s="43">
        <f t="shared" si="31"/>
        <v>0</v>
      </c>
      <c r="DU48" s="43">
        <f t="shared" si="31"/>
        <v>0</v>
      </c>
      <c r="DV48" s="43">
        <f t="shared" si="31"/>
        <v>0</v>
      </c>
      <c r="DW48" s="43">
        <f t="shared" si="31"/>
        <v>0</v>
      </c>
      <c r="DX48" s="43">
        <f t="shared" si="31"/>
        <v>0</v>
      </c>
      <c r="DY48" s="43">
        <f t="shared" si="31"/>
        <v>0</v>
      </c>
      <c r="DZ48" s="43">
        <f t="shared" si="31"/>
        <v>0</v>
      </c>
      <c r="EA48" s="43">
        <f t="shared" si="31"/>
        <v>0</v>
      </c>
      <c r="EB48" s="43">
        <f t="shared" si="31"/>
        <v>0</v>
      </c>
      <c r="EC48" s="43">
        <f t="shared" si="31"/>
        <v>0</v>
      </c>
      <c r="ED48" s="43">
        <f t="shared" si="31"/>
        <v>0</v>
      </c>
      <c r="EE48" s="43">
        <f t="shared" si="31"/>
        <v>0</v>
      </c>
      <c r="EF48" s="43">
        <f t="shared" si="31"/>
        <v>0</v>
      </c>
      <c r="EG48" s="43">
        <f t="shared" si="31"/>
        <v>0</v>
      </c>
      <c r="EH48" s="43">
        <f t="shared" si="31"/>
        <v>0</v>
      </c>
      <c r="EI48" s="43">
        <f t="shared" si="31"/>
        <v>0</v>
      </c>
      <c r="EJ48" s="43">
        <f t="shared" si="31"/>
        <v>0</v>
      </c>
      <c r="EK48" s="43">
        <f t="shared" si="31"/>
        <v>0</v>
      </c>
      <c r="EL48" s="47"/>
      <c r="EM48" s="47"/>
      <c r="EN48" s="47"/>
      <c r="EO48" s="47"/>
      <c r="EP48" s="47"/>
      <c r="EQ48" s="47"/>
      <c r="ER48" s="47"/>
      <c r="ES48" s="47"/>
      <c r="ET48" s="47"/>
      <c r="EU48" s="47"/>
      <c r="EV48" s="47"/>
      <c r="EW48" s="47"/>
      <c r="EX48" s="47"/>
      <c r="EY48" s="47"/>
      <c r="EZ48" s="47"/>
      <c r="FA48" s="47"/>
      <c r="FB48" s="47"/>
      <c r="FC48" s="47"/>
      <c r="FD48" s="47"/>
      <c r="FE48" s="47"/>
    </row>
    <row r="49" spans="1:161" ht="14.25" x14ac:dyDescent="0.15">
      <c r="A49" s="46"/>
      <c r="B49" s="43" t="e">
        <f t="shared" si="2"/>
        <v>#DIV/0!</v>
      </c>
      <c r="C49" s="43" t="e">
        <f t="shared" si="3"/>
        <v>#DIV/0!</v>
      </c>
      <c r="D49" s="43" t="e">
        <f t="shared" si="4"/>
        <v>#DIV/0!</v>
      </c>
      <c r="E49" s="43" t="e">
        <f t="shared" si="5"/>
        <v>#DIV/0!</v>
      </c>
      <c r="F49" s="43" t="e">
        <f t="shared" si="6"/>
        <v>#DIV/0!</v>
      </c>
      <c r="G49" s="43" t="e">
        <f t="shared" si="7"/>
        <v>#DIV/0!</v>
      </c>
      <c r="H49" s="43" t="e">
        <f t="shared" si="8"/>
        <v>#DIV/0!</v>
      </c>
      <c r="I49" s="43" t="e">
        <f t="shared" si="9"/>
        <v>#DIV/0!</v>
      </c>
      <c r="J49" s="43" t="e">
        <f t="shared" si="10"/>
        <v>#DIV/0!</v>
      </c>
      <c r="K49" s="43" t="e">
        <f t="shared" si="11"/>
        <v>#DIV/0!</v>
      </c>
      <c r="L49" s="43" t="e">
        <f t="shared" si="12"/>
        <v>#DIV/0!</v>
      </c>
      <c r="M49" s="43" t="e">
        <f t="shared" si="13"/>
        <v>#DIV/0!</v>
      </c>
      <c r="N49" s="43" t="e">
        <f t="shared" si="14"/>
        <v>#DIV/0!</v>
      </c>
      <c r="O49" s="43" t="e">
        <f t="shared" si="15"/>
        <v>#DIV/0!</v>
      </c>
      <c r="P49" s="43" t="e">
        <f t="shared" si="16"/>
        <v>#DIV/0!</v>
      </c>
      <c r="Q49" s="43" t="e">
        <f t="shared" si="17"/>
        <v>#DIV/0!</v>
      </c>
      <c r="R49" s="43" t="e">
        <f t="shared" si="18"/>
        <v>#DIV/0!</v>
      </c>
      <c r="S49" s="43" t="e">
        <f t="shared" si="19"/>
        <v>#DIV/0!</v>
      </c>
      <c r="T49" s="43" t="e">
        <f t="shared" si="20"/>
        <v>#DIV/0!</v>
      </c>
      <c r="U49" s="43" t="e">
        <f t="shared" si="21"/>
        <v>#DIV/0!</v>
      </c>
      <c r="V49" s="53" t="e">
        <f>V48+ATM_Conf!$C$5*(B48)/(B236*V236)</f>
        <v>#DIV/0!</v>
      </c>
      <c r="W49" s="53" t="e">
        <f>W48+ATM_Conf!$C$5*(C48-B48)/(C236*W236)</f>
        <v>#DIV/0!</v>
      </c>
      <c r="X49" s="53" t="e">
        <f>X48+ATM_Conf!$C$5*(D48-C48)/(D236*X236)</f>
        <v>#DIV/0!</v>
      </c>
      <c r="Y49" s="53" t="e">
        <f>Y48+ATM_Conf!$C$5*(E48-D48)/(E236*Y236)</f>
        <v>#DIV/0!</v>
      </c>
      <c r="Z49" s="53" t="e">
        <f>Z48+ATM_Conf!$C$5*(F48-E48)/(F236*Z236)</f>
        <v>#DIV/0!</v>
      </c>
      <c r="AA49" s="53" t="e">
        <f>AA48+ATM_Conf!$C$5*(G48-F48)/(G236*AA236)</f>
        <v>#DIV/0!</v>
      </c>
      <c r="AB49" s="53" t="e">
        <f>AB48+ATM_Conf!$C$5*(H48-G48)/(H236*AB236)</f>
        <v>#DIV/0!</v>
      </c>
      <c r="AC49" s="53" t="e">
        <f>AC48+ATM_Conf!$C$5*(I48-H48)/(I236*AC236)</f>
        <v>#DIV/0!</v>
      </c>
      <c r="AD49" s="53" t="e">
        <f>AD48+ATM_Conf!$C$5*(J48-I48)/(J236*AD236)</f>
        <v>#DIV/0!</v>
      </c>
      <c r="AE49" s="53" t="e">
        <f>AE48+ATM_Conf!$C$5*(K48-J48)/(K236*AE236)</f>
        <v>#DIV/0!</v>
      </c>
      <c r="AF49" s="53" t="e">
        <f>AF48+ATM_Conf!$C$5*(L48)/(L236*AF236)</f>
        <v>#DIV/0!</v>
      </c>
      <c r="AG49" s="53" t="e">
        <f>AG48+ATM_Conf!$C$5*(M48-L48)/(M236*AG236)</f>
        <v>#DIV/0!</v>
      </c>
      <c r="AH49" s="53" t="e">
        <f>AH48+ATM_Conf!$C$5*(N48-M48)/(N236*AH236)</f>
        <v>#DIV/0!</v>
      </c>
      <c r="AI49" s="53" t="e">
        <f>AI48+ATM_Conf!$C$5*(O48-N48)/(O236*AI236)</f>
        <v>#DIV/0!</v>
      </c>
      <c r="AJ49" s="53" t="e">
        <f>AJ48+ATM_Conf!$C$5*(P48-O48)/(P236*AJ236)</f>
        <v>#DIV/0!</v>
      </c>
      <c r="AK49" s="53" t="e">
        <f>AK48+ATM_Conf!$C$5*(Q48-P48)/(Q236*AK236)</f>
        <v>#DIV/0!</v>
      </c>
      <c r="AL49" s="53" t="e">
        <f>AL48+ATM_Conf!$C$5*(R48-Q48)/(R236*AL236)</f>
        <v>#DIV/0!</v>
      </c>
      <c r="AM49" s="53" t="e">
        <f>AM48+ATM_Conf!$C$5*(S48-R48)/(S236*AM236)</f>
        <v>#DIV/0!</v>
      </c>
      <c r="AN49" s="53" t="e">
        <f>AN48+ATM_Conf!$C$5*(T48-S48)/(T236*AN236)</f>
        <v>#DIV/0!</v>
      </c>
      <c r="AO49" s="53" t="e">
        <f>AO48+ATM_Conf!$C$5*(U48-T48)/(U236*AO236)</f>
        <v>#DIV/0!</v>
      </c>
      <c r="AP49" s="43" t="e">
        <f>AP48+(ATM_Conf!$C$5/ATM_Conf!$C$8)*(BJ49*EXP(-(1/CX49)*(V49/CD49)^CX49)-AP48)-(ATM_Conf!$C$5*ATM_Conf!$C$9)/(V236*ATM_Conf!$C$8)*(Nodes!BO48-V48)/(V48+ATM_Conf!$C$10)</f>
        <v>#DIV/0!</v>
      </c>
      <c r="AQ49" s="43" t="e">
        <f>AQ48+(ATM_Conf!$C$5/ATM_Conf!$C$8)*(BK49*EXP(-(1/CY49)*(W49/CE49)^CY49)-AQ48)+(ATM_Conf!$C$5/W236)*AQ48*(AP48-AQ48)-(ATM_Conf!$C$5*ATM_Conf!$C$9)/(W236*ATM_Conf!$C$8)*(X48-W48)/(W48+ATM_Conf!$C$10)</f>
        <v>#DIV/0!</v>
      </c>
      <c r="AR49" s="43" t="e">
        <f>AR48+(ATM_Conf!$C$5/ATM_Conf!$C$8)*(BL49*EXP(-(1/CZ49)*(X49/CF49)^CZ49)-AR48)+(ATM_Conf!$C$5/X236)*AR48*(Nodes!BC48-AR48)-(ATM_Conf!$C$5*ATM_Conf!$C$9)/(X236*ATM_Conf!$C$8)*(Nodes!BQ48-X48)/(X48+ATM_Conf!$C$10)</f>
        <v>#DIV/0!</v>
      </c>
      <c r="AS49" s="43" t="e">
        <f>AS48+(ATM_Conf!$C$5/ATM_Conf!$C$8)*(BM49*EXP(-(1/DA49)*(Y49/CG49)^DA49)-AS48)+(ATM_Conf!$C$5/Y236)*AS48*(AR48-AS48)-(ATM_Conf!$C$5*ATM_Conf!$C$9)/(Y236*ATM_Conf!$C$8)*(Z48-Y48)/(Y48+ATM_Conf!$C$10)</f>
        <v>#DIV/0!</v>
      </c>
      <c r="AT49" s="43" t="e">
        <f>AT48+(ATM_Conf!$C$5/ATM_Conf!$C$8)*(BN49*EXP(-(1/DB49)*(Z49/CH49)^DB49)-AT48)+(ATM_Conf!$C$5/Z236)*AT48*(Nodes!BE48-AT48)-(ATM_Conf!$C$5*ATM_Conf!$C$9)/(Z236*ATM_Conf!$C$8)*(Nodes!BS48-Z48)/(Z48+ATM_Conf!$C$10)</f>
        <v>#DIV/0!</v>
      </c>
      <c r="AU49" s="43" t="e">
        <f>AU48+(ATM_Conf!$C$5/ATM_Conf!$C$8)*(BO49*EXP(-(1/DC49)*(AA49/CI49)^DC49)-AU48)+(ATM_Conf!$C$5/AA236)*AU48*(Nodes!BF48-AU48)-(ATM_Conf!$C$5*ATM_Conf!$C$9)/(AA236*ATM_Conf!$C$8)*(Nodes!BV48-AA48)/(AA48+ATM_Conf!$C$10)</f>
        <v>#DIV/0!</v>
      </c>
      <c r="AV49" s="43" t="e">
        <f>AV48+(ATM_Conf!$C$5/ATM_Conf!$C$8)*(BP49*EXP(-(1/DD49)*(AB49/CJ49)^DD49)-AV48)+(ATM_Conf!$C$5/AB236)*AV48*(AU48-AV48)-(ATM_Conf!$C$5*ATM_Conf!$C$9)/(AB236*ATM_Conf!$C$8)*(AC48-AB48)/(AB48+ATM_Conf!$C$10)</f>
        <v>#DIV/0!</v>
      </c>
      <c r="AW49" s="43" t="e">
        <f>AW48+(ATM_Conf!$C$5/ATM_Conf!$C$8)*(BQ49*EXP(-(1/DE49)*(AC49/CK49)^DE49)-AW48)+(ATM_Conf!$C$5/AC236)*AW48*(AV48-AW48)-(ATM_Conf!$C$5*ATM_Conf!$C$9)/(AC236*ATM_Conf!$C$8)*(AD48-AC48)/(AC48+ATM_Conf!$C$10)</f>
        <v>#DIV/0!</v>
      </c>
      <c r="AX49" s="43" t="e">
        <f>AX48+(ATM_Conf!$C$5/ATM_Conf!$C$8)*(BR49*EXP(-(1/DF49)*(AD49/CL49)^DF49)-AX48)+(ATM_Conf!$C$5/AD236)*AX48*(Nodes!BG48-AX48)-(ATM_Conf!$C$5*ATM_Conf!$C$9)/(AD236*ATM_Conf!$C$8)*(Nodes!BU48-AD48)/(AD48+ATM_Conf!$C$10)</f>
        <v>#DIV/0!</v>
      </c>
      <c r="AY49" s="43" t="e">
        <f>AY48+(ATM_Conf!$C$5/ATM_Conf!$C$8)*(BS49*EXP(-(1/DG49)*(AE49/CM49)^DG49)-AY48)+(ATM_Conf!$C$5/AE236)*AY48*(Nodes!BF48-AY48)</f>
        <v>#DIV/0!</v>
      </c>
      <c r="AZ49" s="43" t="e">
        <f>AZ48+(ATM_Conf!$C$5/ATM_Conf!$C$8)*(BT49*EXP(-(1/DH49)*(AF49/CN49)^DH49)-AZ48)-(ATM_Conf!$C$5*ATM_Conf!$C$9)/(AF236*ATM_Conf!$C$8)*(Nodes!BV48-AF48)/(AF48+ATM_Conf!$C$10)</f>
        <v>#DIV/0!</v>
      </c>
      <c r="BA49" s="43" t="e">
        <f>BA48+(ATM_Conf!$C$5/ATM_Conf!$C$8)*(BU49*EXP(-(1/DI49)*(AG49/CO49)^DI49)-BA48)+(ATM_Conf!$C$5/AG236)*BA48*(Nodes!BI48-BA48)-(ATM_Conf!$C$5*ATM_Conf!$C$9)/(AG236*ATM_Conf!$C$8)*(Nodes!BW48-AG48)/(AG48+ATM_Conf!$C$10)</f>
        <v>#DIV/0!</v>
      </c>
      <c r="BB49" s="43" t="e">
        <f>BB48+(ATM_Conf!$C$5/ATM_Conf!$C$8)*(BV49*EXP(-(1/DJ49)*(AH49/CP49)^DJ49)-BB48)+(ATM_Conf!$C$5/AH236)*BB48*(Nodes!BJ48-BB48)-(ATM_Conf!$C$5*ATM_Conf!$C$9)/(AH236*ATM_Conf!$C$8)*(AI48-AH48)/(AH48+ATM_Conf!$C$10)</f>
        <v>#DIV/0!</v>
      </c>
      <c r="BC49" s="43" t="e">
        <f>BC48+(ATM_Conf!$C$5/ATM_Conf!$C$8)*(BW49*EXP(-(1/DK49)*(AI49/CQ49)^DK49)-BC48)+(ATM_Conf!$C$5/AI236)*BC48*(BB48-BC48)-(ATM_Conf!$C$5*ATM_Conf!$C$9)/(AI236*ATM_Conf!$C$8)*(AJ48-AI48)/(AI48+ATM_Conf!$C$10)</f>
        <v>#DIV/0!</v>
      </c>
      <c r="BD49" s="43" t="e">
        <f>BD48+(ATM_Conf!$C$5/ATM_Conf!$C$8)*(BX49*EXP(-(1/DL49)*(AJ49/CR49)^DL49)-BD48)+(ATM_Conf!$C$5/AJ236)*BD48*(BC48-BD48)-(ATM_Conf!$C$5*ATM_Conf!$C$9)/(AJ236*ATM_Conf!$C$8)*(Nodes!BX48-AJ48)/(AJ48+ATM_Conf!$C$10)</f>
        <v>#DIV/0!</v>
      </c>
      <c r="BE49" s="43" t="e">
        <f>BE48+(ATM_Conf!$C$5/ATM_Conf!$C$8)*(BY49*EXP(-(1/DM49)*(AK49/CS49)^DM49)-BE48)+(ATM_Conf!$C$5/AK236)*BE48*(Nodes!BK48-BE48)-(ATM_Conf!$C$5*ATM_Conf!$C$9)/(AK236*ATM_Conf!$C$8)*(Nodes!BY48-AK48)/(AK48+ATM_Conf!$C$10)</f>
        <v>#DIV/0!</v>
      </c>
      <c r="BF49" s="43" t="e">
        <f>BF48+(ATM_Conf!$C$5/ATM_Conf!$C$8)*(BZ49*EXP(-(1/DN49)*(AL49/CT49)^DN49)-BF48)+(ATM_Conf!$C$5/AL236)*BF48*(BE48-BF48)-(ATM_Conf!$C$5*ATM_Conf!$C$9)/(AL236*ATM_Conf!$C$8)*(AM48-AL48)/(AL48+ATM_Conf!$C$10)</f>
        <v>#DIV/0!</v>
      </c>
      <c r="BG49" s="43" t="e">
        <f>BG48+(ATM_Conf!$C$5/ATM_Conf!$C$8)*(CA49*EXP(-(1/DO49)*(AM49/CU49)^DO49)-BG48)+(ATM_Conf!$C$5/AM236)*BG48*(Nodes!BM48-BG48)-(ATM_Conf!$C$5*ATM_Conf!$C$9)/(AM236*ATM_Conf!$C$8)*(Nodes!CA48-AM48)/(AM48+ATM_Conf!$C$10)</f>
        <v>#DIV/0!</v>
      </c>
      <c r="BH49" s="43" t="e">
        <f>BH48+(ATM_Conf!$C$5/ATM_Conf!$C$8)*(CB49*EXP(-(1/DP49)*(AN49/CV49)^DP49)-BH48)+(ATM_Conf!$C$5/AN236)*BH48*(BG48-BH48)-(ATM_Conf!$C$5*ATM_Conf!$C$9)/(AN236*ATM_Conf!$C$8)*(AO48-AN48)/(AN48+ATM_Conf!$C$10)</f>
        <v>#DIV/0!</v>
      </c>
      <c r="BI49" s="43" t="e">
        <f>BI48+(ATM_Conf!$C$5/ATM_Conf!$C$8)*(CC49*EXP(-(1/DQ49)*(AO49/CW49)^DQ49)-BI48)+(ATM_Conf!$C$5/AO236)*BI48*(BH48-BI48)</f>
        <v>#DIV/0!</v>
      </c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53"/>
      <c r="CB49" s="53"/>
      <c r="CC49" s="5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53"/>
      <c r="CY49" s="53"/>
      <c r="CZ49" s="53"/>
      <c r="DA49" s="53"/>
      <c r="DB49" s="53"/>
      <c r="DC49" s="53"/>
      <c r="DD49" s="53"/>
      <c r="DE49" s="53"/>
      <c r="DF49" s="53"/>
      <c r="DG49" s="53"/>
      <c r="DH49" s="53"/>
      <c r="DI49" s="53"/>
      <c r="DJ49" s="53"/>
      <c r="DK49" s="53"/>
      <c r="DL49" s="53"/>
      <c r="DM49" s="53"/>
      <c r="DN49" s="53"/>
      <c r="DO49" s="53"/>
      <c r="DP49" s="53"/>
      <c r="DQ49" s="53"/>
      <c r="DR49" s="43">
        <f t="shared" si="32"/>
        <v>0</v>
      </c>
      <c r="DS49" s="43">
        <f t="shared" si="31"/>
        <v>0</v>
      </c>
      <c r="DT49" s="43">
        <f t="shared" si="31"/>
        <v>0</v>
      </c>
      <c r="DU49" s="43">
        <f t="shared" si="31"/>
        <v>0</v>
      </c>
      <c r="DV49" s="43">
        <f t="shared" si="31"/>
        <v>0</v>
      </c>
      <c r="DW49" s="43">
        <f t="shared" si="31"/>
        <v>0</v>
      </c>
      <c r="DX49" s="43">
        <f t="shared" si="31"/>
        <v>0</v>
      </c>
      <c r="DY49" s="43">
        <f t="shared" si="31"/>
        <v>0</v>
      </c>
      <c r="DZ49" s="43">
        <f t="shared" si="31"/>
        <v>0</v>
      </c>
      <c r="EA49" s="43">
        <f t="shared" si="31"/>
        <v>0</v>
      </c>
      <c r="EB49" s="43">
        <f t="shared" si="31"/>
        <v>0</v>
      </c>
      <c r="EC49" s="43">
        <f t="shared" si="31"/>
        <v>0</v>
      </c>
      <c r="ED49" s="43">
        <f t="shared" si="31"/>
        <v>0</v>
      </c>
      <c r="EE49" s="43">
        <f t="shared" si="31"/>
        <v>0</v>
      </c>
      <c r="EF49" s="43">
        <f t="shared" si="31"/>
        <v>0</v>
      </c>
      <c r="EG49" s="43">
        <f t="shared" si="31"/>
        <v>0</v>
      </c>
      <c r="EH49" s="43">
        <f t="shared" si="31"/>
        <v>0</v>
      </c>
      <c r="EI49" s="43">
        <f t="shared" si="31"/>
        <v>0</v>
      </c>
      <c r="EJ49" s="43">
        <f t="shared" si="31"/>
        <v>0</v>
      </c>
      <c r="EK49" s="43">
        <f t="shared" si="31"/>
        <v>0</v>
      </c>
      <c r="EL49" s="47"/>
      <c r="EM49" s="47"/>
      <c r="EN49" s="47"/>
      <c r="EO49" s="47"/>
      <c r="EP49" s="47"/>
      <c r="EQ49" s="47"/>
      <c r="ER49" s="47"/>
      <c r="ES49" s="47"/>
      <c r="ET49" s="47"/>
      <c r="EU49" s="47"/>
      <c r="EV49" s="47"/>
      <c r="EW49" s="47"/>
      <c r="EX49" s="47"/>
      <c r="EY49" s="47"/>
      <c r="EZ49" s="47"/>
      <c r="FA49" s="47"/>
      <c r="FB49" s="47"/>
      <c r="FC49" s="47"/>
      <c r="FD49" s="47"/>
      <c r="FE49" s="47"/>
    </row>
    <row r="50" spans="1:161" ht="14.25" x14ac:dyDescent="0.15">
      <c r="A50" s="46"/>
      <c r="B50" s="43" t="e">
        <f t="shared" si="2"/>
        <v>#DIV/0!</v>
      </c>
      <c r="C50" s="43" t="e">
        <f t="shared" si="3"/>
        <v>#DIV/0!</v>
      </c>
      <c r="D50" s="43" t="e">
        <f t="shared" si="4"/>
        <v>#DIV/0!</v>
      </c>
      <c r="E50" s="43" t="e">
        <f t="shared" si="5"/>
        <v>#DIV/0!</v>
      </c>
      <c r="F50" s="43" t="e">
        <f t="shared" si="6"/>
        <v>#DIV/0!</v>
      </c>
      <c r="G50" s="43" t="e">
        <f t="shared" si="7"/>
        <v>#DIV/0!</v>
      </c>
      <c r="H50" s="43" t="e">
        <f t="shared" si="8"/>
        <v>#DIV/0!</v>
      </c>
      <c r="I50" s="43" t="e">
        <f t="shared" si="9"/>
        <v>#DIV/0!</v>
      </c>
      <c r="J50" s="43" t="e">
        <f t="shared" si="10"/>
        <v>#DIV/0!</v>
      </c>
      <c r="K50" s="43" t="e">
        <f t="shared" si="11"/>
        <v>#DIV/0!</v>
      </c>
      <c r="L50" s="43" t="e">
        <f t="shared" si="12"/>
        <v>#DIV/0!</v>
      </c>
      <c r="M50" s="43" t="e">
        <f t="shared" si="13"/>
        <v>#DIV/0!</v>
      </c>
      <c r="N50" s="43" t="e">
        <f t="shared" si="14"/>
        <v>#DIV/0!</v>
      </c>
      <c r="O50" s="43" t="e">
        <f t="shared" si="15"/>
        <v>#DIV/0!</v>
      </c>
      <c r="P50" s="43" t="e">
        <f t="shared" si="16"/>
        <v>#DIV/0!</v>
      </c>
      <c r="Q50" s="43" t="e">
        <f t="shared" si="17"/>
        <v>#DIV/0!</v>
      </c>
      <c r="R50" s="43" t="e">
        <f t="shared" si="18"/>
        <v>#DIV/0!</v>
      </c>
      <c r="S50" s="43" t="e">
        <f t="shared" si="19"/>
        <v>#DIV/0!</v>
      </c>
      <c r="T50" s="43" t="e">
        <f t="shared" si="20"/>
        <v>#DIV/0!</v>
      </c>
      <c r="U50" s="43" t="e">
        <f t="shared" si="21"/>
        <v>#DIV/0!</v>
      </c>
      <c r="V50" s="53" t="e">
        <f>V49+ATM_Conf!$C$5*(B49)/(B237*V237)</f>
        <v>#DIV/0!</v>
      </c>
      <c r="W50" s="53" t="e">
        <f>W49+ATM_Conf!$C$5*(C49-B49)/(C237*W237)</f>
        <v>#DIV/0!</v>
      </c>
      <c r="X50" s="53" t="e">
        <f>X49+ATM_Conf!$C$5*(D49-C49)/(D237*X237)</f>
        <v>#DIV/0!</v>
      </c>
      <c r="Y50" s="53" t="e">
        <f>Y49+ATM_Conf!$C$5*(E49-D49)/(E237*Y237)</f>
        <v>#DIV/0!</v>
      </c>
      <c r="Z50" s="53" t="e">
        <f>Z49+ATM_Conf!$C$5*(F49-E49)/(F237*Z237)</f>
        <v>#DIV/0!</v>
      </c>
      <c r="AA50" s="53" t="e">
        <f>AA49+ATM_Conf!$C$5*(G49-F49)/(G237*AA237)</f>
        <v>#DIV/0!</v>
      </c>
      <c r="AB50" s="53" t="e">
        <f>AB49+ATM_Conf!$C$5*(H49-G49)/(H237*AB237)</f>
        <v>#DIV/0!</v>
      </c>
      <c r="AC50" s="53" t="e">
        <f>AC49+ATM_Conf!$C$5*(I49-H49)/(I237*AC237)</f>
        <v>#DIV/0!</v>
      </c>
      <c r="AD50" s="53" t="e">
        <f>AD49+ATM_Conf!$C$5*(J49-I49)/(J237*AD237)</f>
        <v>#DIV/0!</v>
      </c>
      <c r="AE50" s="53" t="e">
        <f>AE49+ATM_Conf!$C$5*(K49-J49)/(K237*AE237)</f>
        <v>#DIV/0!</v>
      </c>
      <c r="AF50" s="53" t="e">
        <f>AF49+ATM_Conf!$C$5*(L49)/(L237*AF237)</f>
        <v>#DIV/0!</v>
      </c>
      <c r="AG50" s="53" t="e">
        <f>AG49+ATM_Conf!$C$5*(M49-L49)/(M237*AG237)</f>
        <v>#DIV/0!</v>
      </c>
      <c r="AH50" s="53" t="e">
        <f>AH49+ATM_Conf!$C$5*(N49-M49)/(N237*AH237)</f>
        <v>#DIV/0!</v>
      </c>
      <c r="AI50" s="53" t="e">
        <f>AI49+ATM_Conf!$C$5*(O49-N49)/(O237*AI237)</f>
        <v>#DIV/0!</v>
      </c>
      <c r="AJ50" s="53" t="e">
        <f>AJ49+ATM_Conf!$C$5*(P49-O49)/(P237*AJ237)</f>
        <v>#DIV/0!</v>
      </c>
      <c r="AK50" s="53" t="e">
        <f>AK49+ATM_Conf!$C$5*(Q49-P49)/(Q237*AK237)</f>
        <v>#DIV/0!</v>
      </c>
      <c r="AL50" s="53" t="e">
        <f>AL49+ATM_Conf!$C$5*(R49-Q49)/(R237*AL237)</f>
        <v>#DIV/0!</v>
      </c>
      <c r="AM50" s="53" t="e">
        <f>AM49+ATM_Conf!$C$5*(S49-R49)/(S237*AM237)</f>
        <v>#DIV/0!</v>
      </c>
      <c r="AN50" s="53" t="e">
        <f>AN49+ATM_Conf!$C$5*(T49-S49)/(T237*AN237)</f>
        <v>#DIV/0!</v>
      </c>
      <c r="AO50" s="53" t="e">
        <f>AO49+ATM_Conf!$C$5*(U49-T49)/(U237*AO237)</f>
        <v>#DIV/0!</v>
      </c>
      <c r="AP50" s="43" t="e">
        <f>AP49+(ATM_Conf!$C$5/ATM_Conf!$C$8)*(BJ50*EXP(-(1/CX50)*(V50/CD50)^CX50)-AP49)-(ATM_Conf!$C$5*ATM_Conf!$C$9)/(V237*ATM_Conf!$C$8)*(Nodes!BO49-V49)/(V49+ATM_Conf!$C$10)</f>
        <v>#DIV/0!</v>
      </c>
      <c r="AQ50" s="43" t="e">
        <f>AQ49+(ATM_Conf!$C$5/ATM_Conf!$C$8)*(BK50*EXP(-(1/CY50)*(W50/CE50)^CY50)-AQ49)+(ATM_Conf!$C$5/W237)*AQ49*(AP49-AQ49)-(ATM_Conf!$C$5*ATM_Conf!$C$9)/(W237*ATM_Conf!$C$8)*(X49-W49)/(W49+ATM_Conf!$C$10)</f>
        <v>#DIV/0!</v>
      </c>
      <c r="AR50" s="43" t="e">
        <f>AR49+(ATM_Conf!$C$5/ATM_Conf!$C$8)*(BL50*EXP(-(1/CZ50)*(X50/CF50)^CZ50)-AR49)+(ATM_Conf!$C$5/X237)*AR49*(Nodes!BC49-AR49)-(ATM_Conf!$C$5*ATM_Conf!$C$9)/(X237*ATM_Conf!$C$8)*(Nodes!BQ49-X49)/(X49+ATM_Conf!$C$10)</f>
        <v>#DIV/0!</v>
      </c>
      <c r="AS50" s="43" t="e">
        <f>AS49+(ATM_Conf!$C$5/ATM_Conf!$C$8)*(BM50*EXP(-(1/DA50)*(Y50/CG50)^DA50)-AS49)+(ATM_Conf!$C$5/Y237)*AS49*(AR49-AS49)-(ATM_Conf!$C$5*ATM_Conf!$C$9)/(Y237*ATM_Conf!$C$8)*(Z49-Y49)/(Y49+ATM_Conf!$C$10)</f>
        <v>#DIV/0!</v>
      </c>
      <c r="AT50" s="43" t="e">
        <f>AT49+(ATM_Conf!$C$5/ATM_Conf!$C$8)*(BN50*EXP(-(1/DB50)*(Z50/CH50)^DB50)-AT49)+(ATM_Conf!$C$5/Z237)*AT49*(Nodes!BE49-AT49)-(ATM_Conf!$C$5*ATM_Conf!$C$9)/(Z237*ATM_Conf!$C$8)*(Nodes!BS49-Z49)/(Z49+ATM_Conf!$C$10)</f>
        <v>#DIV/0!</v>
      </c>
      <c r="AU50" s="43" t="e">
        <f>AU49+(ATM_Conf!$C$5/ATM_Conf!$C$8)*(BO50*EXP(-(1/DC50)*(AA50/CI50)^DC50)-AU49)+(ATM_Conf!$C$5/AA237)*AU49*(Nodes!BF49-AU49)-(ATM_Conf!$C$5*ATM_Conf!$C$9)/(AA237*ATM_Conf!$C$8)*(Nodes!BV49-AA49)/(AA49+ATM_Conf!$C$10)</f>
        <v>#DIV/0!</v>
      </c>
      <c r="AV50" s="43" t="e">
        <f>AV49+(ATM_Conf!$C$5/ATM_Conf!$C$8)*(BP50*EXP(-(1/DD50)*(AB50/CJ50)^DD50)-AV49)+(ATM_Conf!$C$5/AB237)*AV49*(AU49-AV49)-(ATM_Conf!$C$5*ATM_Conf!$C$9)/(AB237*ATM_Conf!$C$8)*(AC49-AB49)/(AB49+ATM_Conf!$C$10)</f>
        <v>#DIV/0!</v>
      </c>
      <c r="AW50" s="43" t="e">
        <f>AW49+(ATM_Conf!$C$5/ATM_Conf!$C$8)*(BQ50*EXP(-(1/DE50)*(AC50/CK50)^DE50)-AW49)+(ATM_Conf!$C$5/AC237)*AW49*(AV49-AW49)-(ATM_Conf!$C$5*ATM_Conf!$C$9)/(AC237*ATM_Conf!$C$8)*(AD49-AC49)/(AC49+ATM_Conf!$C$10)</f>
        <v>#DIV/0!</v>
      </c>
      <c r="AX50" s="43" t="e">
        <f>AX49+(ATM_Conf!$C$5/ATM_Conf!$C$8)*(BR50*EXP(-(1/DF50)*(AD50/CL50)^DF50)-AX49)+(ATM_Conf!$C$5/AD237)*AX49*(Nodes!BG49-AX49)-(ATM_Conf!$C$5*ATM_Conf!$C$9)/(AD237*ATM_Conf!$C$8)*(Nodes!BU49-AD49)/(AD49+ATM_Conf!$C$10)</f>
        <v>#DIV/0!</v>
      </c>
      <c r="AY50" s="43" t="e">
        <f>AY49+(ATM_Conf!$C$5/ATM_Conf!$C$8)*(BS50*EXP(-(1/DG50)*(AE50/CM50)^DG50)-AY49)+(ATM_Conf!$C$5/AE237)*AY49*(Nodes!BF49-AY49)</f>
        <v>#DIV/0!</v>
      </c>
      <c r="AZ50" s="43" t="e">
        <f>AZ49+(ATM_Conf!$C$5/ATM_Conf!$C$8)*(BT50*EXP(-(1/DH50)*(AF50/CN50)^DH50)-AZ49)-(ATM_Conf!$C$5*ATM_Conf!$C$9)/(AF237*ATM_Conf!$C$8)*(Nodes!BV49-AF49)/(AF49+ATM_Conf!$C$10)</f>
        <v>#DIV/0!</v>
      </c>
      <c r="BA50" s="43" t="e">
        <f>BA49+(ATM_Conf!$C$5/ATM_Conf!$C$8)*(BU50*EXP(-(1/DI50)*(AG50/CO50)^DI50)-BA49)+(ATM_Conf!$C$5/AG237)*BA49*(Nodes!BI49-BA49)-(ATM_Conf!$C$5*ATM_Conf!$C$9)/(AG237*ATM_Conf!$C$8)*(Nodes!BW49-AG49)/(AG49+ATM_Conf!$C$10)</f>
        <v>#DIV/0!</v>
      </c>
      <c r="BB50" s="43" t="e">
        <f>BB49+(ATM_Conf!$C$5/ATM_Conf!$C$8)*(BV50*EXP(-(1/DJ50)*(AH50/CP50)^DJ50)-BB49)+(ATM_Conf!$C$5/AH237)*BB49*(Nodes!BJ49-BB49)-(ATM_Conf!$C$5*ATM_Conf!$C$9)/(AH237*ATM_Conf!$C$8)*(AI49-AH49)/(AH49+ATM_Conf!$C$10)</f>
        <v>#DIV/0!</v>
      </c>
      <c r="BC50" s="43" t="e">
        <f>BC49+(ATM_Conf!$C$5/ATM_Conf!$C$8)*(BW50*EXP(-(1/DK50)*(AI50/CQ50)^DK50)-BC49)+(ATM_Conf!$C$5/AI237)*BC49*(BB49-BC49)-(ATM_Conf!$C$5*ATM_Conf!$C$9)/(AI237*ATM_Conf!$C$8)*(AJ49-AI49)/(AI49+ATM_Conf!$C$10)</f>
        <v>#DIV/0!</v>
      </c>
      <c r="BD50" s="43" t="e">
        <f>BD49+(ATM_Conf!$C$5/ATM_Conf!$C$8)*(BX50*EXP(-(1/DL50)*(AJ50/CR50)^DL50)-BD49)+(ATM_Conf!$C$5/AJ237)*BD49*(BC49-BD49)-(ATM_Conf!$C$5*ATM_Conf!$C$9)/(AJ237*ATM_Conf!$C$8)*(Nodes!BX49-AJ49)/(AJ49+ATM_Conf!$C$10)</f>
        <v>#DIV/0!</v>
      </c>
      <c r="BE50" s="43" t="e">
        <f>BE49+(ATM_Conf!$C$5/ATM_Conf!$C$8)*(BY50*EXP(-(1/DM50)*(AK50/CS50)^DM50)-BE49)+(ATM_Conf!$C$5/AK237)*BE49*(Nodes!BK49-BE49)-(ATM_Conf!$C$5*ATM_Conf!$C$9)/(AK237*ATM_Conf!$C$8)*(Nodes!BY49-AK49)/(AK49+ATM_Conf!$C$10)</f>
        <v>#DIV/0!</v>
      </c>
      <c r="BF50" s="43" t="e">
        <f>BF49+(ATM_Conf!$C$5/ATM_Conf!$C$8)*(BZ50*EXP(-(1/DN50)*(AL50/CT50)^DN50)-BF49)+(ATM_Conf!$C$5/AL237)*BF49*(BE49-BF49)-(ATM_Conf!$C$5*ATM_Conf!$C$9)/(AL237*ATM_Conf!$C$8)*(AM49-AL49)/(AL49+ATM_Conf!$C$10)</f>
        <v>#DIV/0!</v>
      </c>
      <c r="BG50" s="43" t="e">
        <f>BG49+(ATM_Conf!$C$5/ATM_Conf!$C$8)*(CA50*EXP(-(1/DO50)*(AM50/CU50)^DO50)-BG49)+(ATM_Conf!$C$5/AM237)*BG49*(Nodes!BM49-BG49)-(ATM_Conf!$C$5*ATM_Conf!$C$9)/(AM237*ATM_Conf!$C$8)*(Nodes!CA49-AM49)/(AM49+ATM_Conf!$C$10)</f>
        <v>#DIV/0!</v>
      </c>
      <c r="BH50" s="43" t="e">
        <f>BH49+(ATM_Conf!$C$5/ATM_Conf!$C$8)*(CB50*EXP(-(1/DP50)*(AN50/CV50)^DP50)-BH49)+(ATM_Conf!$C$5/AN237)*BH49*(BG49-BH49)-(ATM_Conf!$C$5*ATM_Conf!$C$9)/(AN237*ATM_Conf!$C$8)*(AO49-AN49)/(AN49+ATM_Conf!$C$10)</f>
        <v>#DIV/0!</v>
      </c>
      <c r="BI50" s="43" t="e">
        <f>BI49+(ATM_Conf!$C$5/ATM_Conf!$C$8)*(CC50*EXP(-(1/DQ50)*(AO50/CW50)^DQ50)-BI49)+(ATM_Conf!$C$5/AO237)*BI49*(BH49-BI49)</f>
        <v>#DIV/0!</v>
      </c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53"/>
      <c r="CB50" s="53"/>
      <c r="CC50" s="5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53"/>
      <c r="CY50" s="53"/>
      <c r="CZ50" s="53"/>
      <c r="DA50" s="53"/>
      <c r="DB50" s="53"/>
      <c r="DC50" s="53"/>
      <c r="DD50" s="53"/>
      <c r="DE50" s="53"/>
      <c r="DF50" s="53"/>
      <c r="DG50" s="53"/>
      <c r="DH50" s="53"/>
      <c r="DI50" s="53"/>
      <c r="DJ50" s="53"/>
      <c r="DK50" s="53"/>
      <c r="DL50" s="53"/>
      <c r="DM50" s="53"/>
      <c r="DN50" s="53"/>
      <c r="DO50" s="53"/>
      <c r="DP50" s="53"/>
      <c r="DQ50" s="53"/>
      <c r="DR50" s="43">
        <f t="shared" si="32"/>
        <v>0</v>
      </c>
      <c r="DS50" s="43">
        <f t="shared" si="31"/>
        <v>0</v>
      </c>
      <c r="DT50" s="43">
        <f t="shared" si="31"/>
        <v>0</v>
      </c>
      <c r="DU50" s="43">
        <f t="shared" si="31"/>
        <v>0</v>
      </c>
      <c r="DV50" s="43">
        <f t="shared" si="31"/>
        <v>0</v>
      </c>
      <c r="DW50" s="43">
        <f t="shared" si="31"/>
        <v>0</v>
      </c>
      <c r="DX50" s="43">
        <f t="shared" si="31"/>
        <v>0</v>
      </c>
      <c r="DY50" s="43">
        <f t="shared" si="31"/>
        <v>0</v>
      </c>
      <c r="DZ50" s="43">
        <f t="shared" si="31"/>
        <v>0</v>
      </c>
      <c r="EA50" s="43">
        <f t="shared" si="31"/>
        <v>0</v>
      </c>
      <c r="EB50" s="43">
        <f t="shared" si="31"/>
        <v>0</v>
      </c>
      <c r="EC50" s="43">
        <f t="shared" si="31"/>
        <v>0</v>
      </c>
      <c r="ED50" s="43">
        <f t="shared" si="31"/>
        <v>0</v>
      </c>
      <c r="EE50" s="43">
        <f t="shared" si="31"/>
        <v>0</v>
      </c>
      <c r="EF50" s="43">
        <f t="shared" si="31"/>
        <v>0</v>
      </c>
      <c r="EG50" s="43">
        <f t="shared" si="31"/>
        <v>0</v>
      </c>
      <c r="EH50" s="43">
        <f t="shared" si="31"/>
        <v>0</v>
      </c>
      <c r="EI50" s="43">
        <f t="shared" si="31"/>
        <v>0</v>
      </c>
      <c r="EJ50" s="43">
        <f t="shared" si="31"/>
        <v>0</v>
      </c>
      <c r="EK50" s="43">
        <f t="shared" si="31"/>
        <v>0</v>
      </c>
      <c r="EL50" s="47"/>
      <c r="EM50" s="47"/>
      <c r="EN50" s="47"/>
      <c r="EO50" s="47"/>
      <c r="EP50" s="47"/>
      <c r="EQ50" s="47"/>
      <c r="ER50" s="47"/>
      <c r="ES50" s="47"/>
      <c r="ET50" s="47"/>
      <c r="EU50" s="47"/>
      <c r="EV50" s="47"/>
      <c r="EW50" s="47"/>
      <c r="EX50" s="47"/>
      <c r="EY50" s="47"/>
      <c r="EZ50" s="47"/>
      <c r="FA50" s="47"/>
      <c r="FB50" s="47"/>
      <c r="FC50" s="47"/>
      <c r="FD50" s="47"/>
      <c r="FE50" s="47"/>
    </row>
    <row r="51" spans="1:161" ht="14.25" x14ac:dyDescent="0.15">
      <c r="A51" s="46"/>
      <c r="B51" s="43" t="e">
        <f t="shared" si="2"/>
        <v>#DIV/0!</v>
      </c>
      <c r="C51" s="43" t="e">
        <f t="shared" si="3"/>
        <v>#DIV/0!</v>
      </c>
      <c r="D51" s="43" t="e">
        <f t="shared" si="4"/>
        <v>#DIV/0!</v>
      </c>
      <c r="E51" s="43" t="e">
        <f t="shared" si="5"/>
        <v>#DIV/0!</v>
      </c>
      <c r="F51" s="43" t="e">
        <f t="shared" si="6"/>
        <v>#DIV/0!</v>
      </c>
      <c r="G51" s="43" t="e">
        <f t="shared" si="7"/>
        <v>#DIV/0!</v>
      </c>
      <c r="H51" s="43" t="e">
        <f t="shared" si="8"/>
        <v>#DIV/0!</v>
      </c>
      <c r="I51" s="43" t="e">
        <f t="shared" si="9"/>
        <v>#DIV/0!</v>
      </c>
      <c r="J51" s="43" t="e">
        <f t="shared" si="10"/>
        <v>#DIV/0!</v>
      </c>
      <c r="K51" s="43" t="e">
        <f t="shared" si="11"/>
        <v>#DIV/0!</v>
      </c>
      <c r="L51" s="43" t="e">
        <f t="shared" si="12"/>
        <v>#DIV/0!</v>
      </c>
      <c r="M51" s="43" t="e">
        <f t="shared" si="13"/>
        <v>#DIV/0!</v>
      </c>
      <c r="N51" s="43" t="e">
        <f t="shared" si="14"/>
        <v>#DIV/0!</v>
      </c>
      <c r="O51" s="43" t="e">
        <f t="shared" si="15"/>
        <v>#DIV/0!</v>
      </c>
      <c r="P51" s="43" t="e">
        <f t="shared" si="16"/>
        <v>#DIV/0!</v>
      </c>
      <c r="Q51" s="43" t="e">
        <f t="shared" si="17"/>
        <v>#DIV/0!</v>
      </c>
      <c r="R51" s="43" t="e">
        <f t="shared" si="18"/>
        <v>#DIV/0!</v>
      </c>
      <c r="S51" s="43" t="e">
        <f t="shared" si="19"/>
        <v>#DIV/0!</v>
      </c>
      <c r="T51" s="43" t="e">
        <f t="shared" si="20"/>
        <v>#DIV/0!</v>
      </c>
      <c r="U51" s="43" t="e">
        <f t="shared" si="21"/>
        <v>#DIV/0!</v>
      </c>
      <c r="V51" s="53" t="e">
        <f>V50+ATM_Conf!$C$5*(B50)/(B238*V238)</f>
        <v>#DIV/0!</v>
      </c>
      <c r="W51" s="53" t="e">
        <f>W50+ATM_Conf!$C$5*(C50-B50)/(C238*W238)</f>
        <v>#DIV/0!</v>
      </c>
      <c r="X51" s="53" t="e">
        <f>X50+ATM_Conf!$C$5*(D50-C50)/(D238*X238)</f>
        <v>#DIV/0!</v>
      </c>
      <c r="Y51" s="53" t="e">
        <f>Y50+ATM_Conf!$C$5*(E50-D50)/(E238*Y238)</f>
        <v>#DIV/0!</v>
      </c>
      <c r="Z51" s="53" t="e">
        <f>Z50+ATM_Conf!$C$5*(F50-E50)/(F238*Z238)</f>
        <v>#DIV/0!</v>
      </c>
      <c r="AA51" s="53" t="e">
        <f>AA50+ATM_Conf!$C$5*(G50-F50)/(G238*AA238)</f>
        <v>#DIV/0!</v>
      </c>
      <c r="AB51" s="53" t="e">
        <f>AB50+ATM_Conf!$C$5*(H50-G50)/(H238*AB238)</f>
        <v>#DIV/0!</v>
      </c>
      <c r="AC51" s="53" t="e">
        <f>AC50+ATM_Conf!$C$5*(I50-H50)/(I238*AC238)</f>
        <v>#DIV/0!</v>
      </c>
      <c r="AD51" s="53" t="e">
        <f>AD50+ATM_Conf!$C$5*(J50-I50)/(J238*AD238)</f>
        <v>#DIV/0!</v>
      </c>
      <c r="AE51" s="53" t="e">
        <f>AE50+ATM_Conf!$C$5*(K50-J50)/(K238*AE238)</f>
        <v>#DIV/0!</v>
      </c>
      <c r="AF51" s="53" t="e">
        <f>AF50+ATM_Conf!$C$5*(L50)/(L238*AF238)</f>
        <v>#DIV/0!</v>
      </c>
      <c r="AG51" s="53" t="e">
        <f>AG50+ATM_Conf!$C$5*(M50-L50)/(M238*AG238)</f>
        <v>#DIV/0!</v>
      </c>
      <c r="AH51" s="53" t="e">
        <f>AH50+ATM_Conf!$C$5*(N50-M50)/(N238*AH238)</f>
        <v>#DIV/0!</v>
      </c>
      <c r="AI51" s="53" t="e">
        <f>AI50+ATM_Conf!$C$5*(O50-N50)/(O238*AI238)</f>
        <v>#DIV/0!</v>
      </c>
      <c r="AJ51" s="53" t="e">
        <f>AJ50+ATM_Conf!$C$5*(P50-O50)/(P238*AJ238)</f>
        <v>#DIV/0!</v>
      </c>
      <c r="AK51" s="53" t="e">
        <f>AK50+ATM_Conf!$C$5*(Q50-P50)/(Q238*AK238)</f>
        <v>#DIV/0!</v>
      </c>
      <c r="AL51" s="53" t="e">
        <f>AL50+ATM_Conf!$C$5*(R50-Q50)/(R238*AL238)</f>
        <v>#DIV/0!</v>
      </c>
      <c r="AM51" s="53" t="e">
        <f>AM50+ATM_Conf!$C$5*(S50-R50)/(S238*AM238)</f>
        <v>#DIV/0!</v>
      </c>
      <c r="AN51" s="53" t="e">
        <f>AN50+ATM_Conf!$C$5*(T50-S50)/(T238*AN238)</f>
        <v>#DIV/0!</v>
      </c>
      <c r="AO51" s="53" t="e">
        <f>AO50+ATM_Conf!$C$5*(U50-T50)/(U238*AO238)</f>
        <v>#DIV/0!</v>
      </c>
      <c r="AP51" s="43" t="e">
        <f>AP50+(ATM_Conf!$C$5/ATM_Conf!$C$8)*(BJ51*EXP(-(1/CX51)*(V51/CD51)^CX51)-AP50)-(ATM_Conf!$C$5*ATM_Conf!$C$9)/(V238*ATM_Conf!$C$8)*(Nodes!BO50-V50)/(V50+ATM_Conf!$C$10)</f>
        <v>#DIV/0!</v>
      </c>
      <c r="AQ51" s="43" t="e">
        <f>AQ50+(ATM_Conf!$C$5/ATM_Conf!$C$8)*(BK51*EXP(-(1/CY51)*(W51/CE51)^CY51)-AQ50)+(ATM_Conf!$C$5/W238)*AQ50*(AP50-AQ50)-(ATM_Conf!$C$5*ATM_Conf!$C$9)/(W238*ATM_Conf!$C$8)*(X50-W50)/(W50+ATM_Conf!$C$10)</f>
        <v>#DIV/0!</v>
      </c>
      <c r="AR51" s="43" t="e">
        <f>AR50+(ATM_Conf!$C$5/ATM_Conf!$C$8)*(BL51*EXP(-(1/CZ51)*(X51/CF51)^CZ51)-AR50)+(ATM_Conf!$C$5/X238)*AR50*(Nodes!BC50-AR50)-(ATM_Conf!$C$5*ATM_Conf!$C$9)/(X238*ATM_Conf!$C$8)*(Nodes!BQ50-X50)/(X50+ATM_Conf!$C$10)</f>
        <v>#DIV/0!</v>
      </c>
      <c r="AS51" s="43" t="e">
        <f>AS50+(ATM_Conf!$C$5/ATM_Conf!$C$8)*(BM51*EXP(-(1/DA51)*(Y51/CG51)^DA51)-AS50)+(ATM_Conf!$C$5/Y238)*AS50*(AR50-AS50)-(ATM_Conf!$C$5*ATM_Conf!$C$9)/(Y238*ATM_Conf!$C$8)*(Z50-Y50)/(Y50+ATM_Conf!$C$10)</f>
        <v>#DIV/0!</v>
      </c>
      <c r="AT51" s="43" t="e">
        <f>AT50+(ATM_Conf!$C$5/ATM_Conf!$C$8)*(BN51*EXP(-(1/DB51)*(Z51/CH51)^DB51)-AT50)+(ATM_Conf!$C$5/Z238)*AT50*(Nodes!BE50-AT50)-(ATM_Conf!$C$5*ATM_Conf!$C$9)/(Z238*ATM_Conf!$C$8)*(Nodes!BS50-Z50)/(Z50+ATM_Conf!$C$10)</f>
        <v>#DIV/0!</v>
      </c>
      <c r="AU51" s="43" t="e">
        <f>AU50+(ATM_Conf!$C$5/ATM_Conf!$C$8)*(BO51*EXP(-(1/DC51)*(AA51/CI51)^DC51)-AU50)+(ATM_Conf!$C$5/AA238)*AU50*(Nodes!BF50-AU50)-(ATM_Conf!$C$5*ATM_Conf!$C$9)/(AA238*ATM_Conf!$C$8)*(Nodes!BV50-AA50)/(AA50+ATM_Conf!$C$10)</f>
        <v>#DIV/0!</v>
      </c>
      <c r="AV51" s="43" t="e">
        <f>AV50+(ATM_Conf!$C$5/ATM_Conf!$C$8)*(BP51*EXP(-(1/DD51)*(AB51/CJ51)^DD51)-AV50)+(ATM_Conf!$C$5/AB238)*AV50*(AU50-AV50)-(ATM_Conf!$C$5*ATM_Conf!$C$9)/(AB238*ATM_Conf!$C$8)*(AC50-AB50)/(AB50+ATM_Conf!$C$10)</f>
        <v>#DIV/0!</v>
      </c>
      <c r="AW51" s="43" t="e">
        <f>AW50+(ATM_Conf!$C$5/ATM_Conf!$C$8)*(BQ51*EXP(-(1/DE51)*(AC51/CK51)^DE51)-AW50)+(ATM_Conf!$C$5/AC238)*AW50*(AV50-AW50)-(ATM_Conf!$C$5*ATM_Conf!$C$9)/(AC238*ATM_Conf!$C$8)*(AD50-AC50)/(AC50+ATM_Conf!$C$10)</f>
        <v>#DIV/0!</v>
      </c>
      <c r="AX51" s="43" t="e">
        <f>AX50+(ATM_Conf!$C$5/ATM_Conf!$C$8)*(BR51*EXP(-(1/DF51)*(AD51/CL51)^DF51)-AX50)+(ATM_Conf!$C$5/AD238)*AX50*(Nodes!BG50-AX50)-(ATM_Conf!$C$5*ATM_Conf!$C$9)/(AD238*ATM_Conf!$C$8)*(Nodes!BU50-AD50)/(AD50+ATM_Conf!$C$10)</f>
        <v>#DIV/0!</v>
      </c>
      <c r="AY51" s="43" t="e">
        <f>AY50+(ATM_Conf!$C$5/ATM_Conf!$C$8)*(BS51*EXP(-(1/DG51)*(AE51/CM51)^DG51)-AY50)+(ATM_Conf!$C$5/AE238)*AY50*(Nodes!BF50-AY50)</f>
        <v>#DIV/0!</v>
      </c>
      <c r="AZ51" s="43" t="e">
        <f>AZ50+(ATM_Conf!$C$5/ATM_Conf!$C$8)*(BT51*EXP(-(1/DH51)*(AF51/CN51)^DH51)-AZ50)-(ATM_Conf!$C$5*ATM_Conf!$C$9)/(AF238*ATM_Conf!$C$8)*(Nodes!BV50-AF50)/(AF50+ATM_Conf!$C$10)</f>
        <v>#DIV/0!</v>
      </c>
      <c r="BA51" s="43" t="e">
        <f>BA50+(ATM_Conf!$C$5/ATM_Conf!$C$8)*(BU51*EXP(-(1/DI51)*(AG51/CO51)^DI51)-BA50)+(ATM_Conf!$C$5/AG238)*BA50*(Nodes!BI50-BA50)-(ATM_Conf!$C$5*ATM_Conf!$C$9)/(AG238*ATM_Conf!$C$8)*(Nodes!BW50-AG50)/(AG50+ATM_Conf!$C$10)</f>
        <v>#DIV/0!</v>
      </c>
      <c r="BB51" s="43" t="e">
        <f>BB50+(ATM_Conf!$C$5/ATM_Conf!$C$8)*(BV51*EXP(-(1/DJ51)*(AH51/CP51)^DJ51)-BB50)+(ATM_Conf!$C$5/AH238)*BB50*(Nodes!BJ50-BB50)-(ATM_Conf!$C$5*ATM_Conf!$C$9)/(AH238*ATM_Conf!$C$8)*(AI50-AH50)/(AH50+ATM_Conf!$C$10)</f>
        <v>#DIV/0!</v>
      </c>
      <c r="BC51" s="43" t="e">
        <f>BC50+(ATM_Conf!$C$5/ATM_Conf!$C$8)*(BW51*EXP(-(1/DK51)*(AI51/CQ51)^DK51)-BC50)+(ATM_Conf!$C$5/AI238)*BC50*(BB50-BC50)-(ATM_Conf!$C$5*ATM_Conf!$C$9)/(AI238*ATM_Conf!$C$8)*(AJ50-AI50)/(AI50+ATM_Conf!$C$10)</f>
        <v>#DIV/0!</v>
      </c>
      <c r="BD51" s="43" t="e">
        <f>BD50+(ATM_Conf!$C$5/ATM_Conf!$C$8)*(BX51*EXP(-(1/DL51)*(AJ51/CR51)^DL51)-BD50)+(ATM_Conf!$C$5/AJ238)*BD50*(BC50-BD50)-(ATM_Conf!$C$5*ATM_Conf!$C$9)/(AJ238*ATM_Conf!$C$8)*(Nodes!BX50-AJ50)/(AJ50+ATM_Conf!$C$10)</f>
        <v>#DIV/0!</v>
      </c>
      <c r="BE51" s="43" t="e">
        <f>BE50+(ATM_Conf!$C$5/ATM_Conf!$C$8)*(BY51*EXP(-(1/DM51)*(AK51/CS51)^DM51)-BE50)+(ATM_Conf!$C$5/AK238)*BE50*(Nodes!BK50-BE50)-(ATM_Conf!$C$5*ATM_Conf!$C$9)/(AK238*ATM_Conf!$C$8)*(Nodes!BY50-AK50)/(AK50+ATM_Conf!$C$10)</f>
        <v>#DIV/0!</v>
      </c>
      <c r="BF51" s="43" t="e">
        <f>BF50+(ATM_Conf!$C$5/ATM_Conf!$C$8)*(BZ51*EXP(-(1/DN51)*(AL51/CT51)^DN51)-BF50)+(ATM_Conf!$C$5/AL238)*BF50*(BE50-BF50)-(ATM_Conf!$C$5*ATM_Conf!$C$9)/(AL238*ATM_Conf!$C$8)*(AM50-AL50)/(AL50+ATM_Conf!$C$10)</f>
        <v>#DIV/0!</v>
      </c>
      <c r="BG51" s="43" t="e">
        <f>BG50+(ATM_Conf!$C$5/ATM_Conf!$C$8)*(CA51*EXP(-(1/DO51)*(AM51/CU51)^DO51)-BG50)+(ATM_Conf!$C$5/AM238)*BG50*(Nodes!BM50-BG50)-(ATM_Conf!$C$5*ATM_Conf!$C$9)/(AM238*ATM_Conf!$C$8)*(Nodes!CA50-AM50)/(AM50+ATM_Conf!$C$10)</f>
        <v>#DIV/0!</v>
      </c>
      <c r="BH51" s="43" t="e">
        <f>BH50+(ATM_Conf!$C$5/ATM_Conf!$C$8)*(CB51*EXP(-(1/DP51)*(AN51/CV51)^DP51)-BH50)+(ATM_Conf!$C$5/AN238)*BH50*(BG50-BH50)-(ATM_Conf!$C$5*ATM_Conf!$C$9)/(AN238*ATM_Conf!$C$8)*(AO50-AN50)/(AN50+ATM_Conf!$C$10)</f>
        <v>#DIV/0!</v>
      </c>
      <c r="BI51" s="43" t="e">
        <f>BI50+(ATM_Conf!$C$5/ATM_Conf!$C$8)*(CC51*EXP(-(1/DQ51)*(AO51/CW51)^DQ51)-BI50)+(ATM_Conf!$C$5/AO238)*BI50*(BH50-BI50)</f>
        <v>#DIV/0!</v>
      </c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53"/>
      <c r="CY51" s="53"/>
      <c r="CZ51" s="53"/>
      <c r="DA51" s="53"/>
      <c r="DB51" s="53"/>
      <c r="DC51" s="53"/>
      <c r="DD51" s="53"/>
      <c r="DE51" s="53"/>
      <c r="DF51" s="53"/>
      <c r="DG51" s="53"/>
      <c r="DH51" s="53"/>
      <c r="DI51" s="53"/>
      <c r="DJ51" s="53"/>
      <c r="DK51" s="53"/>
      <c r="DL51" s="53"/>
      <c r="DM51" s="53"/>
      <c r="DN51" s="53"/>
      <c r="DO51" s="53"/>
      <c r="DP51" s="53"/>
      <c r="DQ51" s="53"/>
      <c r="DR51" s="62"/>
      <c r="DS51" s="62"/>
      <c r="DT51" s="62"/>
      <c r="DU51" s="62"/>
      <c r="DV51" s="62"/>
      <c r="DW51" s="62"/>
      <c r="DX51" s="62"/>
      <c r="DY51" s="62"/>
      <c r="DZ51" s="62"/>
      <c r="EA51" s="62"/>
      <c r="EB51" s="62"/>
      <c r="EC51" s="62"/>
      <c r="ED51" s="62"/>
      <c r="EE51" s="62"/>
      <c r="EF51" s="62"/>
      <c r="EG51" s="62"/>
      <c r="EH51" s="62"/>
      <c r="EI51" s="62"/>
      <c r="EJ51" s="62"/>
      <c r="EK51" s="62"/>
      <c r="EL51" s="47">
        <f>(DR51-DR39)^2</f>
        <v>0</v>
      </c>
      <c r="EM51" s="47">
        <f t="shared" ref="EM51:FE51" si="33">(DS51-DS39)^2</f>
        <v>0</v>
      </c>
      <c r="EN51" s="47">
        <f t="shared" si="33"/>
        <v>0</v>
      </c>
      <c r="EO51" s="47">
        <f t="shared" si="33"/>
        <v>0</v>
      </c>
      <c r="EP51" s="47">
        <f t="shared" si="33"/>
        <v>0</v>
      </c>
      <c r="EQ51" s="47">
        <f t="shared" si="33"/>
        <v>0</v>
      </c>
      <c r="ER51" s="47">
        <f t="shared" si="33"/>
        <v>0</v>
      </c>
      <c r="ES51" s="47">
        <f t="shared" si="33"/>
        <v>0</v>
      </c>
      <c r="ET51" s="47">
        <f t="shared" si="33"/>
        <v>0</v>
      </c>
      <c r="EU51" s="47">
        <f t="shared" si="33"/>
        <v>0</v>
      </c>
      <c r="EV51" s="47">
        <f t="shared" si="33"/>
        <v>0</v>
      </c>
      <c r="EW51" s="47">
        <f t="shared" si="33"/>
        <v>0</v>
      </c>
      <c r="EX51" s="47">
        <f t="shared" si="33"/>
        <v>0</v>
      </c>
      <c r="EY51" s="47">
        <f t="shared" si="33"/>
        <v>0</v>
      </c>
      <c r="EZ51" s="47">
        <f t="shared" si="33"/>
        <v>0</v>
      </c>
      <c r="FA51" s="47">
        <f t="shared" si="33"/>
        <v>0</v>
      </c>
      <c r="FB51" s="47">
        <f t="shared" si="33"/>
        <v>0</v>
      </c>
      <c r="FC51" s="47">
        <f t="shared" si="33"/>
        <v>0</v>
      </c>
      <c r="FD51" s="47">
        <f t="shared" si="33"/>
        <v>0</v>
      </c>
      <c r="FE51" s="47">
        <f t="shared" si="33"/>
        <v>0</v>
      </c>
    </row>
    <row r="52" spans="1:161" ht="14.25" x14ac:dyDescent="0.15">
      <c r="A52" s="46"/>
      <c r="B52" s="43" t="e">
        <f t="shared" si="2"/>
        <v>#DIV/0!</v>
      </c>
      <c r="C52" s="43" t="e">
        <f t="shared" si="3"/>
        <v>#DIV/0!</v>
      </c>
      <c r="D52" s="43" t="e">
        <f t="shared" si="4"/>
        <v>#DIV/0!</v>
      </c>
      <c r="E52" s="43" t="e">
        <f t="shared" si="5"/>
        <v>#DIV/0!</v>
      </c>
      <c r="F52" s="43" t="e">
        <f t="shared" si="6"/>
        <v>#DIV/0!</v>
      </c>
      <c r="G52" s="43" t="e">
        <f t="shared" si="7"/>
        <v>#DIV/0!</v>
      </c>
      <c r="H52" s="43" t="e">
        <f t="shared" si="8"/>
        <v>#DIV/0!</v>
      </c>
      <c r="I52" s="43" t="e">
        <f t="shared" si="9"/>
        <v>#DIV/0!</v>
      </c>
      <c r="J52" s="43" t="e">
        <f t="shared" si="10"/>
        <v>#DIV/0!</v>
      </c>
      <c r="K52" s="43" t="e">
        <f t="shared" si="11"/>
        <v>#DIV/0!</v>
      </c>
      <c r="L52" s="43" t="e">
        <f t="shared" si="12"/>
        <v>#DIV/0!</v>
      </c>
      <c r="M52" s="43" t="e">
        <f t="shared" si="13"/>
        <v>#DIV/0!</v>
      </c>
      <c r="N52" s="43" t="e">
        <f t="shared" si="14"/>
        <v>#DIV/0!</v>
      </c>
      <c r="O52" s="43" t="e">
        <f t="shared" si="15"/>
        <v>#DIV/0!</v>
      </c>
      <c r="P52" s="43" t="e">
        <f t="shared" si="16"/>
        <v>#DIV/0!</v>
      </c>
      <c r="Q52" s="43" t="e">
        <f t="shared" si="17"/>
        <v>#DIV/0!</v>
      </c>
      <c r="R52" s="43" t="e">
        <f t="shared" si="18"/>
        <v>#DIV/0!</v>
      </c>
      <c r="S52" s="43" t="e">
        <f t="shared" si="19"/>
        <v>#DIV/0!</v>
      </c>
      <c r="T52" s="43" t="e">
        <f t="shared" si="20"/>
        <v>#DIV/0!</v>
      </c>
      <c r="U52" s="43" t="e">
        <f t="shared" si="21"/>
        <v>#DIV/0!</v>
      </c>
      <c r="V52" s="53" t="e">
        <f>V51+ATM_Conf!$C$5*(B51)/(B239*V239)</f>
        <v>#DIV/0!</v>
      </c>
      <c r="W52" s="53" t="e">
        <f>W51+ATM_Conf!$C$5*(C51-B51)/(C239*W239)</f>
        <v>#DIV/0!</v>
      </c>
      <c r="X52" s="53" t="e">
        <f>X51+ATM_Conf!$C$5*(D51-C51)/(D239*X239)</f>
        <v>#DIV/0!</v>
      </c>
      <c r="Y52" s="53" t="e">
        <f>Y51+ATM_Conf!$C$5*(E51-D51)/(E239*Y239)</f>
        <v>#DIV/0!</v>
      </c>
      <c r="Z52" s="53" t="e">
        <f>Z51+ATM_Conf!$C$5*(F51-E51)/(F239*Z239)</f>
        <v>#DIV/0!</v>
      </c>
      <c r="AA52" s="53" t="e">
        <f>AA51+ATM_Conf!$C$5*(G51-F51)/(G239*AA239)</f>
        <v>#DIV/0!</v>
      </c>
      <c r="AB52" s="53" t="e">
        <f>AB51+ATM_Conf!$C$5*(H51-G51)/(H239*AB239)</f>
        <v>#DIV/0!</v>
      </c>
      <c r="AC52" s="53" t="e">
        <f>AC51+ATM_Conf!$C$5*(I51-H51)/(I239*AC239)</f>
        <v>#DIV/0!</v>
      </c>
      <c r="AD52" s="53" t="e">
        <f>AD51+ATM_Conf!$C$5*(J51-I51)/(J239*AD239)</f>
        <v>#DIV/0!</v>
      </c>
      <c r="AE52" s="53" t="e">
        <f>AE51+ATM_Conf!$C$5*(K51-J51)/(K239*AE239)</f>
        <v>#DIV/0!</v>
      </c>
      <c r="AF52" s="53" t="e">
        <f>AF51+ATM_Conf!$C$5*(L51)/(L239*AF239)</f>
        <v>#DIV/0!</v>
      </c>
      <c r="AG52" s="53" t="e">
        <f>AG51+ATM_Conf!$C$5*(M51-L51)/(M239*AG239)</f>
        <v>#DIV/0!</v>
      </c>
      <c r="AH52" s="53" t="e">
        <f>AH51+ATM_Conf!$C$5*(N51-M51)/(N239*AH239)</f>
        <v>#DIV/0!</v>
      </c>
      <c r="AI52" s="53" t="e">
        <f>AI51+ATM_Conf!$C$5*(O51-N51)/(O239*AI239)</f>
        <v>#DIV/0!</v>
      </c>
      <c r="AJ52" s="53" t="e">
        <f>AJ51+ATM_Conf!$C$5*(P51-O51)/(P239*AJ239)</f>
        <v>#DIV/0!</v>
      </c>
      <c r="AK52" s="53" t="e">
        <f>AK51+ATM_Conf!$C$5*(Q51-P51)/(Q239*AK239)</f>
        <v>#DIV/0!</v>
      </c>
      <c r="AL52" s="53" t="e">
        <f>AL51+ATM_Conf!$C$5*(R51-Q51)/(R239*AL239)</f>
        <v>#DIV/0!</v>
      </c>
      <c r="AM52" s="53" t="e">
        <f>AM51+ATM_Conf!$C$5*(S51-R51)/(S239*AM239)</f>
        <v>#DIV/0!</v>
      </c>
      <c r="AN52" s="53" t="e">
        <f>AN51+ATM_Conf!$C$5*(T51-S51)/(T239*AN239)</f>
        <v>#DIV/0!</v>
      </c>
      <c r="AO52" s="53" t="e">
        <f>AO51+ATM_Conf!$C$5*(U51-T51)/(U239*AO239)</f>
        <v>#DIV/0!</v>
      </c>
      <c r="AP52" s="43" t="e">
        <f>AP51+(ATM_Conf!$C$5/ATM_Conf!$C$8)*(BJ52*EXP(-(1/CX52)*(V52/CD52)^CX52)-AP51)-(ATM_Conf!$C$5*ATM_Conf!$C$9)/(V239*ATM_Conf!$C$8)*(Nodes!BO51-V51)/(V51+ATM_Conf!$C$10)</f>
        <v>#DIV/0!</v>
      </c>
      <c r="AQ52" s="43" t="e">
        <f>AQ51+(ATM_Conf!$C$5/ATM_Conf!$C$8)*(BK52*EXP(-(1/CY52)*(W52/CE52)^CY52)-AQ51)+(ATM_Conf!$C$5/W239)*AQ51*(AP51-AQ51)-(ATM_Conf!$C$5*ATM_Conf!$C$9)/(W239*ATM_Conf!$C$8)*(X51-W51)/(W51+ATM_Conf!$C$10)</f>
        <v>#DIV/0!</v>
      </c>
      <c r="AR52" s="43" t="e">
        <f>AR51+(ATM_Conf!$C$5/ATM_Conf!$C$8)*(BL52*EXP(-(1/CZ52)*(X52/CF52)^CZ52)-AR51)+(ATM_Conf!$C$5/X239)*AR51*(Nodes!BC51-AR51)-(ATM_Conf!$C$5*ATM_Conf!$C$9)/(X239*ATM_Conf!$C$8)*(Nodes!BQ51-X51)/(X51+ATM_Conf!$C$10)</f>
        <v>#DIV/0!</v>
      </c>
      <c r="AS52" s="43" t="e">
        <f>AS51+(ATM_Conf!$C$5/ATM_Conf!$C$8)*(BM52*EXP(-(1/DA52)*(Y52/CG52)^DA52)-AS51)+(ATM_Conf!$C$5/Y239)*AS51*(AR51-AS51)-(ATM_Conf!$C$5*ATM_Conf!$C$9)/(Y239*ATM_Conf!$C$8)*(Z51-Y51)/(Y51+ATM_Conf!$C$10)</f>
        <v>#DIV/0!</v>
      </c>
      <c r="AT52" s="43" t="e">
        <f>AT51+(ATM_Conf!$C$5/ATM_Conf!$C$8)*(BN52*EXP(-(1/DB52)*(Z52/CH52)^DB52)-AT51)+(ATM_Conf!$C$5/Z239)*AT51*(Nodes!BE51-AT51)-(ATM_Conf!$C$5*ATM_Conf!$C$9)/(Z239*ATM_Conf!$C$8)*(Nodes!BS51-Z51)/(Z51+ATM_Conf!$C$10)</f>
        <v>#DIV/0!</v>
      </c>
      <c r="AU52" s="43" t="e">
        <f>AU51+(ATM_Conf!$C$5/ATM_Conf!$C$8)*(BO52*EXP(-(1/DC52)*(AA52/CI52)^DC52)-AU51)+(ATM_Conf!$C$5/AA239)*AU51*(Nodes!BF51-AU51)-(ATM_Conf!$C$5*ATM_Conf!$C$9)/(AA239*ATM_Conf!$C$8)*(Nodes!BV51-AA51)/(AA51+ATM_Conf!$C$10)</f>
        <v>#DIV/0!</v>
      </c>
      <c r="AV52" s="43" t="e">
        <f>AV51+(ATM_Conf!$C$5/ATM_Conf!$C$8)*(BP52*EXP(-(1/DD52)*(AB52/CJ52)^DD52)-AV51)+(ATM_Conf!$C$5/AB239)*AV51*(AU51-AV51)-(ATM_Conf!$C$5*ATM_Conf!$C$9)/(AB239*ATM_Conf!$C$8)*(AC51-AB51)/(AB51+ATM_Conf!$C$10)</f>
        <v>#DIV/0!</v>
      </c>
      <c r="AW52" s="43" t="e">
        <f>AW51+(ATM_Conf!$C$5/ATM_Conf!$C$8)*(BQ52*EXP(-(1/DE52)*(AC52/CK52)^DE52)-AW51)+(ATM_Conf!$C$5/AC239)*AW51*(AV51-AW51)-(ATM_Conf!$C$5*ATM_Conf!$C$9)/(AC239*ATM_Conf!$C$8)*(AD51-AC51)/(AC51+ATM_Conf!$C$10)</f>
        <v>#DIV/0!</v>
      </c>
      <c r="AX52" s="43" t="e">
        <f>AX51+(ATM_Conf!$C$5/ATM_Conf!$C$8)*(BR52*EXP(-(1/DF52)*(AD52/CL52)^DF52)-AX51)+(ATM_Conf!$C$5/AD239)*AX51*(Nodes!BG51-AX51)-(ATM_Conf!$C$5*ATM_Conf!$C$9)/(AD239*ATM_Conf!$C$8)*(Nodes!BU51-AD51)/(AD51+ATM_Conf!$C$10)</f>
        <v>#DIV/0!</v>
      </c>
      <c r="AY52" s="43" t="e">
        <f>AY51+(ATM_Conf!$C$5/ATM_Conf!$C$8)*(BS52*EXP(-(1/DG52)*(AE52/CM52)^DG52)-AY51)+(ATM_Conf!$C$5/AE239)*AY51*(Nodes!BF51-AY51)</f>
        <v>#DIV/0!</v>
      </c>
      <c r="AZ52" s="43" t="e">
        <f>AZ51+(ATM_Conf!$C$5/ATM_Conf!$C$8)*(BT52*EXP(-(1/DH52)*(AF52/CN52)^DH52)-AZ51)-(ATM_Conf!$C$5*ATM_Conf!$C$9)/(AF239*ATM_Conf!$C$8)*(Nodes!BV51-AF51)/(AF51+ATM_Conf!$C$10)</f>
        <v>#DIV/0!</v>
      </c>
      <c r="BA52" s="43" t="e">
        <f>BA51+(ATM_Conf!$C$5/ATM_Conf!$C$8)*(BU52*EXP(-(1/DI52)*(AG52/CO52)^DI52)-BA51)+(ATM_Conf!$C$5/AG239)*BA51*(Nodes!BI51-BA51)-(ATM_Conf!$C$5*ATM_Conf!$C$9)/(AG239*ATM_Conf!$C$8)*(Nodes!BW51-AG51)/(AG51+ATM_Conf!$C$10)</f>
        <v>#DIV/0!</v>
      </c>
      <c r="BB52" s="43" t="e">
        <f>BB51+(ATM_Conf!$C$5/ATM_Conf!$C$8)*(BV52*EXP(-(1/DJ52)*(AH52/CP52)^DJ52)-BB51)+(ATM_Conf!$C$5/AH239)*BB51*(Nodes!BJ51-BB51)-(ATM_Conf!$C$5*ATM_Conf!$C$9)/(AH239*ATM_Conf!$C$8)*(AI51-AH51)/(AH51+ATM_Conf!$C$10)</f>
        <v>#DIV/0!</v>
      </c>
      <c r="BC52" s="43" t="e">
        <f>BC51+(ATM_Conf!$C$5/ATM_Conf!$C$8)*(BW52*EXP(-(1/DK52)*(AI52/CQ52)^DK52)-BC51)+(ATM_Conf!$C$5/AI239)*BC51*(BB51-BC51)-(ATM_Conf!$C$5*ATM_Conf!$C$9)/(AI239*ATM_Conf!$C$8)*(AJ51-AI51)/(AI51+ATM_Conf!$C$10)</f>
        <v>#DIV/0!</v>
      </c>
      <c r="BD52" s="43" t="e">
        <f>BD51+(ATM_Conf!$C$5/ATM_Conf!$C$8)*(BX52*EXP(-(1/DL52)*(AJ52/CR52)^DL52)-BD51)+(ATM_Conf!$C$5/AJ239)*BD51*(BC51-BD51)-(ATM_Conf!$C$5*ATM_Conf!$C$9)/(AJ239*ATM_Conf!$C$8)*(Nodes!BX51-AJ51)/(AJ51+ATM_Conf!$C$10)</f>
        <v>#DIV/0!</v>
      </c>
      <c r="BE52" s="43" t="e">
        <f>BE51+(ATM_Conf!$C$5/ATM_Conf!$C$8)*(BY52*EXP(-(1/DM52)*(AK52/CS52)^DM52)-BE51)+(ATM_Conf!$C$5/AK239)*BE51*(Nodes!BK51-BE51)-(ATM_Conf!$C$5*ATM_Conf!$C$9)/(AK239*ATM_Conf!$C$8)*(Nodes!BY51-AK51)/(AK51+ATM_Conf!$C$10)</f>
        <v>#DIV/0!</v>
      </c>
      <c r="BF52" s="43" t="e">
        <f>BF51+(ATM_Conf!$C$5/ATM_Conf!$C$8)*(BZ52*EXP(-(1/DN52)*(AL52/CT52)^DN52)-BF51)+(ATM_Conf!$C$5/AL239)*BF51*(BE51-BF51)-(ATM_Conf!$C$5*ATM_Conf!$C$9)/(AL239*ATM_Conf!$C$8)*(AM51-AL51)/(AL51+ATM_Conf!$C$10)</f>
        <v>#DIV/0!</v>
      </c>
      <c r="BG52" s="43" t="e">
        <f>BG51+(ATM_Conf!$C$5/ATM_Conf!$C$8)*(CA52*EXP(-(1/DO52)*(AM52/CU52)^DO52)-BG51)+(ATM_Conf!$C$5/AM239)*BG51*(Nodes!BM51-BG51)-(ATM_Conf!$C$5*ATM_Conf!$C$9)/(AM239*ATM_Conf!$C$8)*(Nodes!CA51-AM51)/(AM51+ATM_Conf!$C$10)</f>
        <v>#DIV/0!</v>
      </c>
      <c r="BH52" s="43" t="e">
        <f>BH51+(ATM_Conf!$C$5/ATM_Conf!$C$8)*(CB52*EXP(-(1/DP52)*(AN52/CV52)^DP52)-BH51)+(ATM_Conf!$C$5/AN239)*BH51*(BG51-BH51)-(ATM_Conf!$C$5*ATM_Conf!$C$9)/(AN239*ATM_Conf!$C$8)*(AO51-AN51)/(AN51+ATM_Conf!$C$10)</f>
        <v>#DIV/0!</v>
      </c>
      <c r="BI52" s="43" t="e">
        <f>BI51+(ATM_Conf!$C$5/ATM_Conf!$C$8)*(CC52*EXP(-(1/DQ52)*(AO52/CW52)^DQ52)-BI51)+(ATM_Conf!$C$5/AO239)*BI51*(BH51-BI51)</f>
        <v>#DIV/0!</v>
      </c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53"/>
      <c r="CY52" s="53"/>
      <c r="CZ52" s="53"/>
      <c r="DA52" s="53"/>
      <c r="DB52" s="53"/>
      <c r="DC52" s="53"/>
      <c r="DD52" s="53"/>
      <c r="DE52" s="53"/>
      <c r="DF52" s="53"/>
      <c r="DG52" s="53"/>
      <c r="DH52" s="53"/>
      <c r="DI52" s="53"/>
      <c r="DJ52" s="53"/>
      <c r="DK52" s="53"/>
      <c r="DL52" s="53"/>
      <c r="DM52" s="53"/>
      <c r="DN52" s="53"/>
      <c r="DO52" s="53"/>
      <c r="DP52" s="53"/>
      <c r="DQ52" s="53"/>
      <c r="DR52" s="43">
        <f>DR$51</f>
        <v>0</v>
      </c>
      <c r="DS52" s="43">
        <f t="shared" ref="DS52:EK62" si="34">DS$51</f>
        <v>0</v>
      </c>
      <c r="DT52" s="43">
        <f t="shared" si="34"/>
        <v>0</v>
      </c>
      <c r="DU52" s="43">
        <f t="shared" si="34"/>
        <v>0</v>
      </c>
      <c r="DV52" s="43">
        <f t="shared" si="34"/>
        <v>0</v>
      </c>
      <c r="DW52" s="43">
        <f t="shared" si="34"/>
        <v>0</v>
      </c>
      <c r="DX52" s="43">
        <f t="shared" si="34"/>
        <v>0</v>
      </c>
      <c r="DY52" s="43">
        <f t="shared" si="34"/>
        <v>0</v>
      </c>
      <c r="DZ52" s="43">
        <f t="shared" si="34"/>
        <v>0</v>
      </c>
      <c r="EA52" s="43">
        <f t="shared" si="34"/>
        <v>0</v>
      </c>
      <c r="EB52" s="43">
        <f t="shared" si="34"/>
        <v>0</v>
      </c>
      <c r="EC52" s="43">
        <f t="shared" si="34"/>
        <v>0</v>
      </c>
      <c r="ED52" s="43">
        <f t="shared" si="34"/>
        <v>0</v>
      </c>
      <c r="EE52" s="43">
        <f t="shared" si="34"/>
        <v>0</v>
      </c>
      <c r="EF52" s="43">
        <f t="shared" si="34"/>
        <v>0</v>
      </c>
      <c r="EG52" s="43">
        <f t="shared" si="34"/>
        <v>0</v>
      </c>
      <c r="EH52" s="43">
        <f t="shared" si="34"/>
        <v>0</v>
      </c>
      <c r="EI52" s="43">
        <f t="shared" si="34"/>
        <v>0</v>
      </c>
      <c r="EJ52" s="43">
        <f t="shared" si="34"/>
        <v>0</v>
      </c>
      <c r="EK52" s="43">
        <f t="shared" si="34"/>
        <v>0</v>
      </c>
      <c r="EL52" s="47"/>
      <c r="EM52" s="47"/>
      <c r="EN52" s="47"/>
      <c r="EO52" s="47"/>
      <c r="EP52" s="47"/>
      <c r="EQ52" s="47"/>
      <c r="ER52" s="47"/>
      <c r="ES52" s="47"/>
      <c r="ET52" s="47"/>
      <c r="EU52" s="47"/>
      <c r="EV52" s="47"/>
      <c r="EW52" s="47"/>
      <c r="EX52" s="47"/>
      <c r="EY52" s="47"/>
      <c r="EZ52" s="47"/>
      <c r="FA52" s="47"/>
      <c r="FB52" s="47"/>
      <c r="FC52" s="47"/>
      <c r="FD52" s="47"/>
      <c r="FE52" s="47"/>
    </row>
    <row r="53" spans="1:161" ht="14.25" x14ac:dyDescent="0.15">
      <c r="A53" s="46"/>
      <c r="B53" s="43" t="e">
        <f t="shared" si="2"/>
        <v>#DIV/0!</v>
      </c>
      <c r="C53" s="43" t="e">
        <f t="shared" si="3"/>
        <v>#DIV/0!</v>
      </c>
      <c r="D53" s="43" t="e">
        <f t="shared" si="4"/>
        <v>#DIV/0!</v>
      </c>
      <c r="E53" s="43" t="e">
        <f t="shared" si="5"/>
        <v>#DIV/0!</v>
      </c>
      <c r="F53" s="43" t="e">
        <f t="shared" si="6"/>
        <v>#DIV/0!</v>
      </c>
      <c r="G53" s="43" t="e">
        <f t="shared" si="7"/>
        <v>#DIV/0!</v>
      </c>
      <c r="H53" s="43" t="e">
        <f t="shared" si="8"/>
        <v>#DIV/0!</v>
      </c>
      <c r="I53" s="43" t="e">
        <f t="shared" si="9"/>
        <v>#DIV/0!</v>
      </c>
      <c r="J53" s="43" t="e">
        <f t="shared" si="10"/>
        <v>#DIV/0!</v>
      </c>
      <c r="K53" s="43" t="e">
        <f t="shared" si="11"/>
        <v>#DIV/0!</v>
      </c>
      <c r="L53" s="43" t="e">
        <f t="shared" si="12"/>
        <v>#DIV/0!</v>
      </c>
      <c r="M53" s="43" t="e">
        <f t="shared" si="13"/>
        <v>#DIV/0!</v>
      </c>
      <c r="N53" s="43" t="e">
        <f t="shared" si="14"/>
        <v>#DIV/0!</v>
      </c>
      <c r="O53" s="43" t="e">
        <f t="shared" si="15"/>
        <v>#DIV/0!</v>
      </c>
      <c r="P53" s="43" t="e">
        <f t="shared" si="16"/>
        <v>#DIV/0!</v>
      </c>
      <c r="Q53" s="43" t="e">
        <f t="shared" si="17"/>
        <v>#DIV/0!</v>
      </c>
      <c r="R53" s="43" t="e">
        <f t="shared" si="18"/>
        <v>#DIV/0!</v>
      </c>
      <c r="S53" s="43" t="e">
        <f t="shared" si="19"/>
        <v>#DIV/0!</v>
      </c>
      <c r="T53" s="43" t="e">
        <f t="shared" si="20"/>
        <v>#DIV/0!</v>
      </c>
      <c r="U53" s="43" t="e">
        <f t="shared" si="21"/>
        <v>#DIV/0!</v>
      </c>
      <c r="V53" s="53" t="e">
        <f>V52+ATM_Conf!$C$5*(B52)/(B240*V240)</f>
        <v>#DIV/0!</v>
      </c>
      <c r="W53" s="53" t="e">
        <f>W52+ATM_Conf!$C$5*(C52-B52)/(C240*W240)</f>
        <v>#DIV/0!</v>
      </c>
      <c r="X53" s="53" t="e">
        <f>X52+ATM_Conf!$C$5*(D52-C52)/(D240*X240)</f>
        <v>#DIV/0!</v>
      </c>
      <c r="Y53" s="53" t="e">
        <f>Y52+ATM_Conf!$C$5*(E52-D52)/(E240*Y240)</f>
        <v>#DIV/0!</v>
      </c>
      <c r="Z53" s="53" t="e">
        <f>Z52+ATM_Conf!$C$5*(F52-E52)/(F240*Z240)</f>
        <v>#DIV/0!</v>
      </c>
      <c r="AA53" s="53" t="e">
        <f>AA52+ATM_Conf!$C$5*(G52-F52)/(G240*AA240)</f>
        <v>#DIV/0!</v>
      </c>
      <c r="AB53" s="53" t="e">
        <f>AB52+ATM_Conf!$C$5*(H52-G52)/(H240*AB240)</f>
        <v>#DIV/0!</v>
      </c>
      <c r="AC53" s="53" t="e">
        <f>AC52+ATM_Conf!$C$5*(I52-H52)/(I240*AC240)</f>
        <v>#DIV/0!</v>
      </c>
      <c r="AD53" s="53" t="e">
        <f>AD52+ATM_Conf!$C$5*(J52-I52)/(J240*AD240)</f>
        <v>#DIV/0!</v>
      </c>
      <c r="AE53" s="53" t="e">
        <f>AE52+ATM_Conf!$C$5*(K52-J52)/(K240*AE240)</f>
        <v>#DIV/0!</v>
      </c>
      <c r="AF53" s="53" t="e">
        <f>AF52+ATM_Conf!$C$5*(L52)/(L240*AF240)</f>
        <v>#DIV/0!</v>
      </c>
      <c r="AG53" s="53" t="e">
        <f>AG52+ATM_Conf!$C$5*(M52-L52)/(M240*AG240)</f>
        <v>#DIV/0!</v>
      </c>
      <c r="AH53" s="53" t="e">
        <f>AH52+ATM_Conf!$C$5*(N52-M52)/(N240*AH240)</f>
        <v>#DIV/0!</v>
      </c>
      <c r="AI53" s="53" t="e">
        <f>AI52+ATM_Conf!$C$5*(O52-N52)/(O240*AI240)</f>
        <v>#DIV/0!</v>
      </c>
      <c r="AJ53" s="53" t="e">
        <f>AJ52+ATM_Conf!$C$5*(P52-O52)/(P240*AJ240)</f>
        <v>#DIV/0!</v>
      </c>
      <c r="AK53" s="53" t="e">
        <f>AK52+ATM_Conf!$C$5*(Q52-P52)/(Q240*AK240)</f>
        <v>#DIV/0!</v>
      </c>
      <c r="AL53" s="53" t="e">
        <f>AL52+ATM_Conf!$C$5*(R52-Q52)/(R240*AL240)</f>
        <v>#DIV/0!</v>
      </c>
      <c r="AM53" s="53" t="e">
        <f>AM52+ATM_Conf!$C$5*(S52-R52)/(S240*AM240)</f>
        <v>#DIV/0!</v>
      </c>
      <c r="AN53" s="53" t="e">
        <f>AN52+ATM_Conf!$C$5*(T52-S52)/(T240*AN240)</f>
        <v>#DIV/0!</v>
      </c>
      <c r="AO53" s="53" t="e">
        <f>AO52+ATM_Conf!$C$5*(U52-T52)/(U240*AO240)</f>
        <v>#DIV/0!</v>
      </c>
      <c r="AP53" s="43" t="e">
        <f>AP52+(ATM_Conf!$C$5/ATM_Conf!$C$8)*(BJ53*EXP(-(1/CX53)*(V53/CD53)^CX53)-AP52)-(ATM_Conf!$C$5*ATM_Conf!$C$9)/(V240*ATM_Conf!$C$8)*(Nodes!BO52-V52)/(V52+ATM_Conf!$C$10)</f>
        <v>#DIV/0!</v>
      </c>
      <c r="AQ53" s="43" t="e">
        <f>AQ52+(ATM_Conf!$C$5/ATM_Conf!$C$8)*(BK53*EXP(-(1/CY53)*(W53/CE53)^CY53)-AQ52)+(ATM_Conf!$C$5/W240)*AQ52*(AP52-AQ52)-(ATM_Conf!$C$5*ATM_Conf!$C$9)/(W240*ATM_Conf!$C$8)*(X52-W52)/(W52+ATM_Conf!$C$10)</f>
        <v>#DIV/0!</v>
      </c>
      <c r="AR53" s="43" t="e">
        <f>AR52+(ATM_Conf!$C$5/ATM_Conf!$C$8)*(BL53*EXP(-(1/CZ53)*(X53/CF53)^CZ53)-AR52)+(ATM_Conf!$C$5/X240)*AR52*(Nodes!BC52-AR52)-(ATM_Conf!$C$5*ATM_Conf!$C$9)/(X240*ATM_Conf!$C$8)*(Nodes!BQ52-X52)/(X52+ATM_Conf!$C$10)</f>
        <v>#DIV/0!</v>
      </c>
      <c r="AS53" s="43" t="e">
        <f>AS52+(ATM_Conf!$C$5/ATM_Conf!$C$8)*(BM53*EXP(-(1/DA53)*(Y53/CG53)^DA53)-AS52)+(ATM_Conf!$C$5/Y240)*AS52*(AR52-AS52)-(ATM_Conf!$C$5*ATM_Conf!$C$9)/(Y240*ATM_Conf!$C$8)*(Z52-Y52)/(Y52+ATM_Conf!$C$10)</f>
        <v>#DIV/0!</v>
      </c>
      <c r="AT53" s="43" t="e">
        <f>AT52+(ATM_Conf!$C$5/ATM_Conf!$C$8)*(BN53*EXP(-(1/DB53)*(Z53/CH53)^DB53)-AT52)+(ATM_Conf!$C$5/Z240)*AT52*(Nodes!BE52-AT52)-(ATM_Conf!$C$5*ATM_Conf!$C$9)/(Z240*ATM_Conf!$C$8)*(Nodes!BS52-Z52)/(Z52+ATM_Conf!$C$10)</f>
        <v>#DIV/0!</v>
      </c>
      <c r="AU53" s="43" t="e">
        <f>AU52+(ATM_Conf!$C$5/ATM_Conf!$C$8)*(BO53*EXP(-(1/DC53)*(AA53/CI53)^DC53)-AU52)+(ATM_Conf!$C$5/AA240)*AU52*(Nodes!BF52-AU52)-(ATM_Conf!$C$5*ATM_Conf!$C$9)/(AA240*ATM_Conf!$C$8)*(Nodes!BV52-AA52)/(AA52+ATM_Conf!$C$10)</f>
        <v>#DIV/0!</v>
      </c>
      <c r="AV53" s="43" t="e">
        <f>AV52+(ATM_Conf!$C$5/ATM_Conf!$C$8)*(BP53*EXP(-(1/DD53)*(AB53/CJ53)^DD53)-AV52)+(ATM_Conf!$C$5/AB240)*AV52*(AU52-AV52)-(ATM_Conf!$C$5*ATM_Conf!$C$9)/(AB240*ATM_Conf!$C$8)*(AC52-AB52)/(AB52+ATM_Conf!$C$10)</f>
        <v>#DIV/0!</v>
      </c>
      <c r="AW53" s="43" t="e">
        <f>AW52+(ATM_Conf!$C$5/ATM_Conf!$C$8)*(BQ53*EXP(-(1/DE53)*(AC53/CK53)^DE53)-AW52)+(ATM_Conf!$C$5/AC240)*AW52*(AV52-AW52)-(ATM_Conf!$C$5*ATM_Conf!$C$9)/(AC240*ATM_Conf!$C$8)*(AD52-AC52)/(AC52+ATM_Conf!$C$10)</f>
        <v>#DIV/0!</v>
      </c>
      <c r="AX53" s="43" t="e">
        <f>AX52+(ATM_Conf!$C$5/ATM_Conf!$C$8)*(BR53*EXP(-(1/DF53)*(AD53/CL53)^DF53)-AX52)+(ATM_Conf!$C$5/AD240)*AX52*(Nodes!BG52-AX52)-(ATM_Conf!$C$5*ATM_Conf!$C$9)/(AD240*ATM_Conf!$C$8)*(Nodes!BU52-AD52)/(AD52+ATM_Conf!$C$10)</f>
        <v>#DIV/0!</v>
      </c>
      <c r="AY53" s="43" t="e">
        <f>AY52+(ATM_Conf!$C$5/ATM_Conf!$C$8)*(BS53*EXP(-(1/DG53)*(AE53/CM53)^DG53)-AY52)+(ATM_Conf!$C$5/AE240)*AY52*(Nodes!BF52-AY52)</f>
        <v>#DIV/0!</v>
      </c>
      <c r="AZ53" s="43" t="e">
        <f>AZ52+(ATM_Conf!$C$5/ATM_Conf!$C$8)*(BT53*EXP(-(1/DH53)*(AF53/CN53)^DH53)-AZ52)-(ATM_Conf!$C$5*ATM_Conf!$C$9)/(AF240*ATM_Conf!$C$8)*(Nodes!BV52-AF52)/(AF52+ATM_Conf!$C$10)</f>
        <v>#DIV/0!</v>
      </c>
      <c r="BA53" s="43" t="e">
        <f>BA52+(ATM_Conf!$C$5/ATM_Conf!$C$8)*(BU53*EXP(-(1/DI53)*(AG53/CO53)^DI53)-BA52)+(ATM_Conf!$C$5/AG240)*BA52*(Nodes!BI52-BA52)-(ATM_Conf!$C$5*ATM_Conf!$C$9)/(AG240*ATM_Conf!$C$8)*(Nodes!BW52-AG52)/(AG52+ATM_Conf!$C$10)</f>
        <v>#DIV/0!</v>
      </c>
      <c r="BB53" s="43" t="e">
        <f>BB52+(ATM_Conf!$C$5/ATM_Conf!$C$8)*(BV53*EXP(-(1/DJ53)*(AH53/CP53)^DJ53)-BB52)+(ATM_Conf!$C$5/AH240)*BB52*(Nodes!BJ52-BB52)-(ATM_Conf!$C$5*ATM_Conf!$C$9)/(AH240*ATM_Conf!$C$8)*(AI52-AH52)/(AH52+ATM_Conf!$C$10)</f>
        <v>#DIV/0!</v>
      </c>
      <c r="BC53" s="43" t="e">
        <f>BC52+(ATM_Conf!$C$5/ATM_Conf!$C$8)*(BW53*EXP(-(1/DK53)*(AI53/CQ53)^DK53)-BC52)+(ATM_Conf!$C$5/AI240)*BC52*(BB52-BC52)-(ATM_Conf!$C$5*ATM_Conf!$C$9)/(AI240*ATM_Conf!$C$8)*(AJ52-AI52)/(AI52+ATM_Conf!$C$10)</f>
        <v>#DIV/0!</v>
      </c>
      <c r="BD53" s="43" t="e">
        <f>BD52+(ATM_Conf!$C$5/ATM_Conf!$C$8)*(BX53*EXP(-(1/DL53)*(AJ53/CR53)^DL53)-BD52)+(ATM_Conf!$C$5/AJ240)*BD52*(BC52-BD52)-(ATM_Conf!$C$5*ATM_Conf!$C$9)/(AJ240*ATM_Conf!$C$8)*(Nodes!BX52-AJ52)/(AJ52+ATM_Conf!$C$10)</f>
        <v>#DIV/0!</v>
      </c>
      <c r="BE53" s="43" t="e">
        <f>BE52+(ATM_Conf!$C$5/ATM_Conf!$C$8)*(BY53*EXP(-(1/DM53)*(AK53/CS53)^DM53)-BE52)+(ATM_Conf!$C$5/AK240)*BE52*(Nodes!BK52-BE52)-(ATM_Conf!$C$5*ATM_Conf!$C$9)/(AK240*ATM_Conf!$C$8)*(Nodes!BY52-AK52)/(AK52+ATM_Conf!$C$10)</f>
        <v>#DIV/0!</v>
      </c>
      <c r="BF53" s="43" t="e">
        <f>BF52+(ATM_Conf!$C$5/ATM_Conf!$C$8)*(BZ53*EXP(-(1/DN53)*(AL53/CT53)^DN53)-BF52)+(ATM_Conf!$C$5/AL240)*BF52*(BE52-BF52)-(ATM_Conf!$C$5*ATM_Conf!$C$9)/(AL240*ATM_Conf!$C$8)*(AM52-AL52)/(AL52+ATM_Conf!$C$10)</f>
        <v>#DIV/0!</v>
      </c>
      <c r="BG53" s="43" t="e">
        <f>BG52+(ATM_Conf!$C$5/ATM_Conf!$C$8)*(CA53*EXP(-(1/DO53)*(AM53/CU53)^DO53)-BG52)+(ATM_Conf!$C$5/AM240)*BG52*(Nodes!BM52-BG52)-(ATM_Conf!$C$5*ATM_Conf!$C$9)/(AM240*ATM_Conf!$C$8)*(Nodes!CA52-AM52)/(AM52+ATM_Conf!$C$10)</f>
        <v>#DIV/0!</v>
      </c>
      <c r="BH53" s="43" t="e">
        <f>BH52+(ATM_Conf!$C$5/ATM_Conf!$C$8)*(CB53*EXP(-(1/DP53)*(AN53/CV53)^DP53)-BH52)+(ATM_Conf!$C$5/AN240)*BH52*(BG52-BH52)-(ATM_Conf!$C$5*ATM_Conf!$C$9)/(AN240*ATM_Conf!$C$8)*(AO52-AN52)/(AN52+ATM_Conf!$C$10)</f>
        <v>#DIV/0!</v>
      </c>
      <c r="BI53" s="43" t="e">
        <f>BI52+(ATM_Conf!$C$5/ATM_Conf!$C$8)*(CC53*EXP(-(1/DQ53)*(AO53/CW53)^DQ53)-BI52)+(ATM_Conf!$C$5/AO240)*BI52*(BH52-BI52)</f>
        <v>#DIV/0!</v>
      </c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53"/>
      <c r="CY53" s="53"/>
      <c r="CZ53" s="53"/>
      <c r="DA53" s="53"/>
      <c r="DB53" s="53"/>
      <c r="DC53" s="53"/>
      <c r="DD53" s="53"/>
      <c r="DE53" s="53"/>
      <c r="DF53" s="53"/>
      <c r="DG53" s="53"/>
      <c r="DH53" s="53"/>
      <c r="DI53" s="53"/>
      <c r="DJ53" s="53"/>
      <c r="DK53" s="53"/>
      <c r="DL53" s="53"/>
      <c r="DM53" s="53"/>
      <c r="DN53" s="53"/>
      <c r="DO53" s="53"/>
      <c r="DP53" s="53"/>
      <c r="DQ53" s="53"/>
      <c r="DR53" s="43">
        <f t="shared" ref="DR53:DR62" si="35">DR$51</f>
        <v>0</v>
      </c>
      <c r="DS53" s="43">
        <f t="shared" si="34"/>
        <v>0</v>
      </c>
      <c r="DT53" s="43">
        <f t="shared" si="34"/>
        <v>0</v>
      </c>
      <c r="DU53" s="43">
        <f t="shared" si="34"/>
        <v>0</v>
      </c>
      <c r="DV53" s="43">
        <f t="shared" si="34"/>
        <v>0</v>
      </c>
      <c r="DW53" s="43">
        <f t="shared" si="34"/>
        <v>0</v>
      </c>
      <c r="DX53" s="43">
        <f t="shared" si="34"/>
        <v>0</v>
      </c>
      <c r="DY53" s="43">
        <f t="shared" si="34"/>
        <v>0</v>
      </c>
      <c r="DZ53" s="43">
        <f t="shared" si="34"/>
        <v>0</v>
      </c>
      <c r="EA53" s="43">
        <f t="shared" si="34"/>
        <v>0</v>
      </c>
      <c r="EB53" s="43">
        <f t="shared" si="34"/>
        <v>0</v>
      </c>
      <c r="EC53" s="43">
        <f t="shared" si="34"/>
        <v>0</v>
      </c>
      <c r="ED53" s="43">
        <f t="shared" si="34"/>
        <v>0</v>
      </c>
      <c r="EE53" s="43">
        <f t="shared" si="34"/>
        <v>0</v>
      </c>
      <c r="EF53" s="43">
        <f t="shared" si="34"/>
        <v>0</v>
      </c>
      <c r="EG53" s="43">
        <f t="shared" si="34"/>
        <v>0</v>
      </c>
      <c r="EH53" s="43">
        <f t="shared" si="34"/>
        <v>0</v>
      </c>
      <c r="EI53" s="43">
        <f t="shared" si="34"/>
        <v>0</v>
      </c>
      <c r="EJ53" s="43">
        <f t="shared" si="34"/>
        <v>0</v>
      </c>
      <c r="EK53" s="43">
        <f t="shared" si="34"/>
        <v>0</v>
      </c>
      <c r="EL53" s="47"/>
      <c r="EM53" s="47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7"/>
      <c r="EY53" s="47"/>
      <c r="EZ53" s="47"/>
      <c r="FA53" s="47"/>
      <c r="FB53" s="47"/>
      <c r="FC53" s="47"/>
      <c r="FD53" s="47"/>
      <c r="FE53" s="47"/>
    </row>
    <row r="54" spans="1:161" ht="14.25" x14ac:dyDescent="0.15">
      <c r="A54" s="46"/>
      <c r="B54" s="43" t="e">
        <f t="shared" si="2"/>
        <v>#DIV/0!</v>
      </c>
      <c r="C54" s="43" t="e">
        <f t="shared" si="3"/>
        <v>#DIV/0!</v>
      </c>
      <c r="D54" s="43" t="e">
        <f t="shared" si="4"/>
        <v>#DIV/0!</v>
      </c>
      <c r="E54" s="43" t="e">
        <f t="shared" si="5"/>
        <v>#DIV/0!</v>
      </c>
      <c r="F54" s="43" t="e">
        <f t="shared" si="6"/>
        <v>#DIV/0!</v>
      </c>
      <c r="G54" s="43" t="e">
        <f t="shared" si="7"/>
        <v>#DIV/0!</v>
      </c>
      <c r="H54" s="43" t="e">
        <f t="shared" si="8"/>
        <v>#DIV/0!</v>
      </c>
      <c r="I54" s="43" t="e">
        <f t="shared" si="9"/>
        <v>#DIV/0!</v>
      </c>
      <c r="J54" s="43" t="e">
        <f t="shared" si="10"/>
        <v>#DIV/0!</v>
      </c>
      <c r="K54" s="43" t="e">
        <f t="shared" si="11"/>
        <v>#DIV/0!</v>
      </c>
      <c r="L54" s="43" t="e">
        <f t="shared" si="12"/>
        <v>#DIV/0!</v>
      </c>
      <c r="M54" s="43" t="e">
        <f t="shared" si="13"/>
        <v>#DIV/0!</v>
      </c>
      <c r="N54" s="43" t="e">
        <f t="shared" si="14"/>
        <v>#DIV/0!</v>
      </c>
      <c r="O54" s="43" t="e">
        <f t="shared" si="15"/>
        <v>#DIV/0!</v>
      </c>
      <c r="P54" s="43" t="e">
        <f t="shared" si="16"/>
        <v>#DIV/0!</v>
      </c>
      <c r="Q54" s="43" t="e">
        <f t="shared" si="17"/>
        <v>#DIV/0!</v>
      </c>
      <c r="R54" s="43" t="e">
        <f t="shared" si="18"/>
        <v>#DIV/0!</v>
      </c>
      <c r="S54" s="43" t="e">
        <f t="shared" si="19"/>
        <v>#DIV/0!</v>
      </c>
      <c r="T54" s="43" t="e">
        <f t="shared" si="20"/>
        <v>#DIV/0!</v>
      </c>
      <c r="U54" s="43" t="e">
        <f t="shared" si="21"/>
        <v>#DIV/0!</v>
      </c>
      <c r="V54" s="53" t="e">
        <f>V53+ATM_Conf!$C$5*(B53)/(B241*V241)</f>
        <v>#DIV/0!</v>
      </c>
      <c r="W54" s="53" t="e">
        <f>W53+ATM_Conf!$C$5*(C53-B53)/(C241*W241)</f>
        <v>#DIV/0!</v>
      </c>
      <c r="X54" s="53" t="e">
        <f>X53+ATM_Conf!$C$5*(D53-C53)/(D241*X241)</f>
        <v>#DIV/0!</v>
      </c>
      <c r="Y54" s="53" t="e">
        <f>Y53+ATM_Conf!$C$5*(E53-D53)/(E241*Y241)</f>
        <v>#DIV/0!</v>
      </c>
      <c r="Z54" s="53" t="e">
        <f>Z53+ATM_Conf!$C$5*(F53-E53)/(F241*Z241)</f>
        <v>#DIV/0!</v>
      </c>
      <c r="AA54" s="53" t="e">
        <f>AA53+ATM_Conf!$C$5*(G53-F53)/(G241*AA241)</f>
        <v>#DIV/0!</v>
      </c>
      <c r="AB54" s="53" t="e">
        <f>AB53+ATM_Conf!$C$5*(H53-G53)/(H241*AB241)</f>
        <v>#DIV/0!</v>
      </c>
      <c r="AC54" s="53" t="e">
        <f>AC53+ATM_Conf!$C$5*(I53-H53)/(I241*AC241)</f>
        <v>#DIV/0!</v>
      </c>
      <c r="AD54" s="53" t="e">
        <f>AD53+ATM_Conf!$C$5*(J53-I53)/(J241*AD241)</f>
        <v>#DIV/0!</v>
      </c>
      <c r="AE54" s="53" t="e">
        <f>AE53+ATM_Conf!$C$5*(K53-J53)/(K241*AE241)</f>
        <v>#DIV/0!</v>
      </c>
      <c r="AF54" s="53" t="e">
        <f>AF53+ATM_Conf!$C$5*(L53)/(L241*AF241)</f>
        <v>#DIV/0!</v>
      </c>
      <c r="AG54" s="53" t="e">
        <f>AG53+ATM_Conf!$C$5*(M53-L53)/(M241*AG241)</f>
        <v>#DIV/0!</v>
      </c>
      <c r="AH54" s="53" t="e">
        <f>AH53+ATM_Conf!$C$5*(N53-M53)/(N241*AH241)</f>
        <v>#DIV/0!</v>
      </c>
      <c r="AI54" s="53" t="e">
        <f>AI53+ATM_Conf!$C$5*(O53-N53)/(O241*AI241)</f>
        <v>#DIV/0!</v>
      </c>
      <c r="AJ54" s="53" t="e">
        <f>AJ53+ATM_Conf!$C$5*(P53-O53)/(P241*AJ241)</f>
        <v>#DIV/0!</v>
      </c>
      <c r="AK54" s="53" t="e">
        <f>AK53+ATM_Conf!$C$5*(Q53-P53)/(Q241*AK241)</f>
        <v>#DIV/0!</v>
      </c>
      <c r="AL54" s="53" t="e">
        <f>AL53+ATM_Conf!$C$5*(R53-Q53)/(R241*AL241)</f>
        <v>#DIV/0!</v>
      </c>
      <c r="AM54" s="53" t="e">
        <f>AM53+ATM_Conf!$C$5*(S53-R53)/(S241*AM241)</f>
        <v>#DIV/0!</v>
      </c>
      <c r="AN54" s="53" t="e">
        <f>AN53+ATM_Conf!$C$5*(T53-S53)/(T241*AN241)</f>
        <v>#DIV/0!</v>
      </c>
      <c r="AO54" s="53" t="e">
        <f>AO53+ATM_Conf!$C$5*(U53-T53)/(U241*AO241)</f>
        <v>#DIV/0!</v>
      </c>
      <c r="AP54" s="43" t="e">
        <f>AP53+(ATM_Conf!$C$5/ATM_Conf!$C$8)*(BJ54*EXP(-(1/CX54)*(V54/CD54)^CX54)-AP53)-(ATM_Conf!$C$5*ATM_Conf!$C$9)/(V241*ATM_Conf!$C$8)*(Nodes!BO53-V53)/(V53+ATM_Conf!$C$10)</f>
        <v>#DIV/0!</v>
      </c>
      <c r="AQ54" s="43" t="e">
        <f>AQ53+(ATM_Conf!$C$5/ATM_Conf!$C$8)*(BK54*EXP(-(1/CY54)*(W54/CE54)^CY54)-AQ53)+(ATM_Conf!$C$5/W241)*AQ53*(AP53-AQ53)-(ATM_Conf!$C$5*ATM_Conf!$C$9)/(W241*ATM_Conf!$C$8)*(X53-W53)/(W53+ATM_Conf!$C$10)</f>
        <v>#DIV/0!</v>
      </c>
      <c r="AR54" s="43" t="e">
        <f>AR53+(ATM_Conf!$C$5/ATM_Conf!$C$8)*(BL54*EXP(-(1/CZ54)*(X54/CF54)^CZ54)-AR53)+(ATM_Conf!$C$5/X241)*AR53*(Nodes!BC53-AR53)-(ATM_Conf!$C$5*ATM_Conf!$C$9)/(X241*ATM_Conf!$C$8)*(Nodes!BQ53-X53)/(X53+ATM_Conf!$C$10)</f>
        <v>#DIV/0!</v>
      </c>
      <c r="AS54" s="43" t="e">
        <f>AS53+(ATM_Conf!$C$5/ATM_Conf!$C$8)*(BM54*EXP(-(1/DA54)*(Y54/CG54)^DA54)-AS53)+(ATM_Conf!$C$5/Y241)*AS53*(AR53-AS53)-(ATM_Conf!$C$5*ATM_Conf!$C$9)/(Y241*ATM_Conf!$C$8)*(Z53-Y53)/(Y53+ATM_Conf!$C$10)</f>
        <v>#DIV/0!</v>
      </c>
      <c r="AT54" s="43" t="e">
        <f>AT53+(ATM_Conf!$C$5/ATM_Conf!$C$8)*(BN54*EXP(-(1/DB54)*(Z54/CH54)^DB54)-AT53)+(ATM_Conf!$C$5/Z241)*AT53*(Nodes!BE53-AT53)-(ATM_Conf!$C$5*ATM_Conf!$C$9)/(Z241*ATM_Conf!$C$8)*(Nodes!BS53-Z53)/(Z53+ATM_Conf!$C$10)</f>
        <v>#DIV/0!</v>
      </c>
      <c r="AU54" s="43" t="e">
        <f>AU53+(ATM_Conf!$C$5/ATM_Conf!$C$8)*(BO54*EXP(-(1/DC54)*(AA54/CI54)^DC54)-AU53)+(ATM_Conf!$C$5/AA241)*AU53*(Nodes!BF53-AU53)-(ATM_Conf!$C$5*ATM_Conf!$C$9)/(AA241*ATM_Conf!$C$8)*(Nodes!BV53-AA53)/(AA53+ATM_Conf!$C$10)</f>
        <v>#DIV/0!</v>
      </c>
      <c r="AV54" s="43" t="e">
        <f>AV53+(ATM_Conf!$C$5/ATM_Conf!$C$8)*(BP54*EXP(-(1/DD54)*(AB54/CJ54)^DD54)-AV53)+(ATM_Conf!$C$5/AB241)*AV53*(AU53-AV53)-(ATM_Conf!$C$5*ATM_Conf!$C$9)/(AB241*ATM_Conf!$C$8)*(AC53-AB53)/(AB53+ATM_Conf!$C$10)</f>
        <v>#DIV/0!</v>
      </c>
      <c r="AW54" s="43" t="e">
        <f>AW53+(ATM_Conf!$C$5/ATM_Conf!$C$8)*(BQ54*EXP(-(1/DE54)*(AC54/CK54)^DE54)-AW53)+(ATM_Conf!$C$5/AC241)*AW53*(AV53-AW53)-(ATM_Conf!$C$5*ATM_Conf!$C$9)/(AC241*ATM_Conf!$C$8)*(AD53-AC53)/(AC53+ATM_Conf!$C$10)</f>
        <v>#DIV/0!</v>
      </c>
      <c r="AX54" s="43" t="e">
        <f>AX53+(ATM_Conf!$C$5/ATM_Conf!$C$8)*(BR54*EXP(-(1/DF54)*(AD54/CL54)^DF54)-AX53)+(ATM_Conf!$C$5/AD241)*AX53*(Nodes!BG53-AX53)-(ATM_Conf!$C$5*ATM_Conf!$C$9)/(AD241*ATM_Conf!$C$8)*(Nodes!BU53-AD53)/(AD53+ATM_Conf!$C$10)</f>
        <v>#DIV/0!</v>
      </c>
      <c r="AY54" s="43" t="e">
        <f>AY53+(ATM_Conf!$C$5/ATM_Conf!$C$8)*(BS54*EXP(-(1/DG54)*(AE54/CM54)^DG54)-AY53)+(ATM_Conf!$C$5/AE241)*AY53*(Nodes!BF53-AY53)</f>
        <v>#DIV/0!</v>
      </c>
      <c r="AZ54" s="43" t="e">
        <f>AZ53+(ATM_Conf!$C$5/ATM_Conf!$C$8)*(BT54*EXP(-(1/DH54)*(AF54/CN54)^DH54)-AZ53)-(ATM_Conf!$C$5*ATM_Conf!$C$9)/(AF241*ATM_Conf!$C$8)*(Nodes!BV53-AF53)/(AF53+ATM_Conf!$C$10)</f>
        <v>#DIV/0!</v>
      </c>
      <c r="BA54" s="43" t="e">
        <f>BA53+(ATM_Conf!$C$5/ATM_Conf!$C$8)*(BU54*EXP(-(1/DI54)*(AG54/CO54)^DI54)-BA53)+(ATM_Conf!$C$5/AG241)*BA53*(Nodes!BI53-BA53)-(ATM_Conf!$C$5*ATM_Conf!$C$9)/(AG241*ATM_Conf!$C$8)*(Nodes!BW53-AG53)/(AG53+ATM_Conf!$C$10)</f>
        <v>#DIV/0!</v>
      </c>
      <c r="BB54" s="43" t="e">
        <f>BB53+(ATM_Conf!$C$5/ATM_Conf!$C$8)*(BV54*EXP(-(1/DJ54)*(AH54/CP54)^DJ54)-BB53)+(ATM_Conf!$C$5/AH241)*BB53*(Nodes!BJ53-BB53)-(ATM_Conf!$C$5*ATM_Conf!$C$9)/(AH241*ATM_Conf!$C$8)*(AI53-AH53)/(AH53+ATM_Conf!$C$10)</f>
        <v>#DIV/0!</v>
      </c>
      <c r="BC54" s="43" t="e">
        <f>BC53+(ATM_Conf!$C$5/ATM_Conf!$C$8)*(BW54*EXP(-(1/DK54)*(AI54/CQ54)^DK54)-BC53)+(ATM_Conf!$C$5/AI241)*BC53*(BB53-BC53)-(ATM_Conf!$C$5*ATM_Conf!$C$9)/(AI241*ATM_Conf!$C$8)*(AJ53-AI53)/(AI53+ATM_Conf!$C$10)</f>
        <v>#DIV/0!</v>
      </c>
      <c r="BD54" s="43" t="e">
        <f>BD53+(ATM_Conf!$C$5/ATM_Conf!$C$8)*(BX54*EXP(-(1/DL54)*(AJ54/CR54)^DL54)-BD53)+(ATM_Conf!$C$5/AJ241)*BD53*(BC53-BD53)-(ATM_Conf!$C$5*ATM_Conf!$C$9)/(AJ241*ATM_Conf!$C$8)*(Nodes!BX53-AJ53)/(AJ53+ATM_Conf!$C$10)</f>
        <v>#DIV/0!</v>
      </c>
      <c r="BE54" s="43" t="e">
        <f>BE53+(ATM_Conf!$C$5/ATM_Conf!$C$8)*(BY54*EXP(-(1/DM54)*(AK54/CS54)^DM54)-BE53)+(ATM_Conf!$C$5/AK241)*BE53*(Nodes!BK53-BE53)-(ATM_Conf!$C$5*ATM_Conf!$C$9)/(AK241*ATM_Conf!$C$8)*(Nodes!BY53-AK53)/(AK53+ATM_Conf!$C$10)</f>
        <v>#DIV/0!</v>
      </c>
      <c r="BF54" s="43" t="e">
        <f>BF53+(ATM_Conf!$C$5/ATM_Conf!$C$8)*(BZ54*EXP(-(1/DN54)*(AL54/CT54)^DN54)-BF53)+(ATM_Conf!$C$5/AL241)*BF53*(BE53-BF53)-(ATM_Conf!$C$5*ATM_Conf!$C$9)/(AL241*ATM_Conf!$C$8)*(AM53-AL53)/(AL53+ATM_Conf!$C$10)</f>
        <v>#DIV/0!</v>
      </c>
      <c r="BG54" s="43" t="e">
        <f>BG53+(ATM_Conf!$C$5/ATM_Conf!$C$8)*(CA54*EXP(-(1/DO54)*(AM54/CU54)^DO54)-BG53)+(ATM_Conf!$C$5/AM241)*BG53*(Nodes!BM53-BG53)-(ATM_Conf!$C$5*ATM_Conf!$C$9)/(AM241*ATM_Conf!$C$8)*(Nodes!CA53-AM53)/(AM53+ATM_Conf!$C$10)</f>
        <v>#DIV/0!</v>
      </c>
      <c r="BH54" s="43" t="e">
        <f>BH53+(ATM_Conf!$C$5/ATM_Conf!$C$8)*(CB54*EXP(-(1/DP54)*(AN54/CV54)^DP54)-BH53)+(ATM_Conf!$C$5/AN241)*BH53*(BG53-BH53)-(ATM_Conf!$C$5*ATM_Conf!$C$9)/(AN241*ATM_Conf!$C$8)*(AO53-AN53)/(AN53+ATM_Conf!$C$10)</f>
        <v>#DIV/0!</v>
      </c>
      <c r="BI54" s="43" t="e">
        <f>BI53+(ATM_Conf!$C$5/ATM_Conf!$C$8)*(CC54*EXP(-(1/DQ54)*(AO54/CW54)^DQ54)-BI53)+(ATM_Conf!$C$5/AO241)*BI53*(BH53-BI53)</f>
        <v>#DIV/0!</v>
      </c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53"/>
      <c r="CY54" s="53"/>
      <c r="CZ54" s="53"/>
      <c r="DA54" s="53"/>
      <c r="DB54" s="53"/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  <c r="DR54" s="43">
        <f t="shared" si="35"/>
        <v>0</v>
      </c>
      <c r="DS54" s="43">
        <f t="shared" si="34"/>
        <v>0</v>
      </c>
      <c r="DT54" s="43">
        <f t="shared" si="34"/>
        <v>0</v>
      </c>
      <c r="DU54" s="43">
        <f t="shared" si="34"/>
        <v>0</v>
      </c>
      <c r="DV54" s="43">
        <f t="shared" si="34"/>
        <v>0</v>
      </c>
      <c r="DW54" s="43">
        <f t="shared" si="34"/>
        <v>0</v>
      </c>
      <c r="DX54" s="43">
        <f t="shared" si="34"/>
        <v>0</v>
      </c>
      <c r="DY54" s="43">
        <f t="shared" si="34"/>
        <v>0</v>
      </c>
      <c r="DZ54" s="43">
        <f t="shared" si="34"/>
        <v>0</v>
      </c>
      <c r="EA54" s="43">
        <f t="shared" si="34"/>
        <v>0</v>
      </c>
      <c r="EB54" s="43">
        <f t="shared" si="34"/>
        <v>0</v>
      </c>
      <c r="EC54" s="43">
        <f t="shared" si="34"/>
        <v>0</v>
      </c>
      <c r="ED54" s="43">
        <f t="shared" si="34"/>
        <v>0</v>
      </c>
      <c r="EE54" s="43">
        <f t="shared" si="34"/>
        <v>0</v>
      </c>
      <c r="EF54" s="43">
        <f t="shared" si="34"/>
        <v>0</v>
      </c>
      <c r="EG54" s="43">
        <f t="shared" si="34"/>
        <v>0</v>
      </c>
      <c r="EH54" s="43">
        <f t="shared" si="34"/>
        <v>0</v>
      </c>
      <c r="EI54" s="43">
        <f t="shared" si="34"/>
        <v>0</v>
      </c>
      <c r="EJ54" s="43">
        <f t="shared" si="34"/>
        <v>0</v>
      </c>
      <c r="EK54" s="43">
        <f t="shared" si="34"/>
        <v>0</v>
      </c>
      <c r="EL54" s="47"/>
      <c r="EM54" s="47"/>
      <c r="EN54" s="47"/>
      <c r="EO54" s="47"/>
      <c r="EP54" s="47"/>
      <c r="EQ54" s="47"/>
      <c r="ER54" s="47"/>
      <c r="ES54" s="47"/>
      <c r="ET54" s="47"/>
      <c r="EU54" s="47"/>
      <c r="EV54" s="47"/>
      <c r="EW54" s="47"/>
      <c r="EX54" s="47"/>
      <c r="EY54" s="47"/>
      <c r="EZ54" s="47"/>
      <c r="FA54" s="47"/>
      <c r="FB54" s="47"/>
      <c r="FC54" s="47"/>
      <c r="FD54" s="47"/>
      <c r="FE54" s="47"/>
    </row>
    <row r="55" spans="1:161" ht="14.25" x14ac:dyDescent="0.15">
      <c r="A55" s="46"/>
      <c r="B55" s="43" t="e">
        <f t="shared" si="2"/>
        <v>#DIV/0!</v>
      </c>
      <c r="C55" s="43" t="e">
        <f t="shared" si="3"/>
        <v>#DIV/0!</v>
      </c>
      <c r="D55" s="43" t="e">
        <f t="shared" si="4"/>
        <v>#DIV/0!</v>
      </c>
      <c r="E55" s="43" t="e">
        <f t="shared" si="5"/>
        <v>#DIV/0!</v>
      </c>
      <c r="F55" s="43" t="e">
        <f t="shared" si="6"/>
        <v>#DIV/0!</v>
      </c>
      <c r="G55" s="43" t="e">
        <f t="shared" si="7"/>
        <v>#DIV/0!</v>
      </c>
      <c r="H55" s="43" t="e">
        <f t="shared" si="8"/>
        <v>#DIV/0!</v>
      </c>
      <c r="I55" s="43" t="e">
        <f t="shared" si="9"/>
        <v>#DIV/0!</v>
      </c>
      <c r="J55" s="43" t="e">
        <f t="shared" si="10"/>
        <v>#DIV/0!</v>
      </c>
      <c r="K55" s="43" t="e">
        <f t="shared" si="11"/>
        <v>#DIV/0!</v>
      </c>
      <c r="L55" s="43" t="e">
        <f t="shared" si="12"/>
        <v>#DIV/0!</v>
      </c>
      <c r="M55" s="43" t="e">
        <f t="shared" si="13"/>
        <v>#DIV/0!</v>
      </c>
      <c r="N55" s="43" t="e">
        <f t="shared" si="14"/>
        <v>#DIV/0!</v>
      </c>
      <c r="O55" s="43" t="e">
        <f t="shared" si="15"/>
        <v>#DIV/0!</v>
      </c>
      <c r="P55" s="43" t="e">
        <f t="shared" si="16"/>
        <v>#DIV/0!</v>
      </c>
      <c r="Q55" s="43" t="e">
        <f t="shared" si="17"/>
        <v>#DIV/0!</v>
      </c>
      <c r="R55" s="43" t="e">
        <f t="shared" si="18"/>
        <v>#DIV/0!</v>
      </c>
      <c r="S55" s="43" t="e">
        <f t="shared" si="19"/>
        <v>#DIV/0!</v>
      </c>
      <c r="T55" s="43" t="e">
        <f t="shared" si="20"/>
        <v>#DIV/0!</v>
      </c>
      <c r="U55" s="43" t="e">
        <f t="shared" si="21"/>
        <v>#DIV/0!</v>
      </c>
      <c r="V55" s="53" t="e">
        <f>V54+ATM_Conf!$C$5*(B54)/(B242*V242)</f>
        <v>#DIV/0!</v>
      </c>
      <c r="W55" s="53" t="e">
        <f>W54+ATM_Conf!$C$5*(C54-B54)/(C242*W242)</f>
        <v>#DIV/0!</v>
      </c>
      <c r="X55" s="53" t="e">
        <f>X54+ATM_Conf!$C$5*(D54-C54)/(D242*X242)</f>
        <v>#DIV/0!</v>
      </c>
      <c r="Y55" s="53" t="e">
        <f>Y54+ATM_Conf!$C$5*(E54-D54)/(E242*Y242)</f>
        <v>#DIV/0!</v>
      </c>
      <c r="Z55" s="53" t="e">
        <f>Z54+ATM_Conf!$C$5*(F54-E54)/(F242*Z242)</f>
        <v>#DIV/0!</v>
      </c>
      <c r="AA55" s="53" t="e">
        <f>AA54+ATM_Conf!$C$5*(G54-F54)/(G242*AA242)</f>
        <v>#DIV/0!</v>
      </c>
      <c r="AB55" s="53" t="e">
        <f>AB54+ATM_Conf!$C$5*(H54-G54)/(H242*AB242)</f>
        <v>#DIV/0!</v>
      </c>
      <c r="AC55" s="53" t="e">
        <f>AC54+ATM_Conf!$C$5*(I54-H54)/(I242*AC242)</f>
        <v>#DIV/0!</v>
      </c>
      <c r="AD55" s="53" t="e">
        <f>AD54+ATM_Conf!$C$5*(J54-I54)/(J242*AD242)</f>
        <v>#DIV/0!</v>
      </c>
      <c r="AE55" s="53" t="e">
        <f>AE54+ATM_Conf!$C$5*(K54-J54)/(K242*AE242)</f>
        <v>#DIV/0!</v>
      </c>
      <c r="AF55" s="53" t="e">
        <f>AF54+ATM_Conf!$C$5*(L54)/(L242*AF242)</f>
        <v>#DIV/0!</v>
      </c>
      <c r="AG55" s="53" t="e">
        <f>AG54+ATM_Conf!$C$5*(M54-L54)/(M242*AG242)</f>
        <v>#DIV/0!</v>
      </c>
      <c r="AH55" s="53" t="e">
        <f>AH54+ATM_Conf!$C$5*(N54-M54)/(N242*AH242)</f>
        <v>#DIV/0!</v>
      </c>
      <c r="AI55" s="53" t="e">
        <f>AI54+ATM_Conf!$C$5*(O54-N54)/(O242*AI242)</f>
        <v>#DIV/0!</v>
      </c>
      <c r="AJ55" s="53" t="e">
        <f>AJ54+ATM_Conf!$C$5*(P54-O54)/(P242*AJ242)</f>
        <v>#DIV/0!</v>
      </c>
      <c r="AK55" s="53" t="e">
        <f>AK54+ATM_Conf!$C$5*(Q54-P54)/(Q242*AK242)</f>
        <v>#DIV/0!</v>
      </c>
      <c r="AL55" s="53" t="e">
        <f>AL54+ATM_Conf!$C$5*(R54-Q54)/(R242*AL242)</f>
        <v>#DIV/0!</v>
      </c>
      <c r="AM55" s="53" t="e">
        <f>AM54+ATM_Conf!$C$5*(S54-R54)/(S242*AM242)</f>
        <v>#DIV/0!</v>
      </c>
      <c r="AN55" s="53" t="e">
        <f>AN54+ATM_Conf!$C$5*(T54-S54)/(T242*AN242)</f>
        <v>#DIV/0!</v>
      </c>
      <c r="AO55" s="53" t="e">
        <f>AO54+ATM_Conf!$C$5*(U54-T54)/(U242*AO242)</f>
        <v>#DIV/0!</v>
      </c>
      <c r="AP55" s="43" t="e">
        <f>AP54+(ATM_Conf!$C$5/ATM_Conf!$C$8)*(BJ55*EXP(-(1/CX55)*(V55/CD55)^CX55)-AP54)-(ATM_Conf!$C$5*ATM_Conf!$C$9)/(V242*ATM_Conf!$C$8)*(Nodes!BO54-V54)/(V54+ATM_Conf!$C$10)</f>
        <v>#DIV/0!</v>
      </c>
      <c r="AQ55" s="43" t="e">
        <f>AQ54+(ATM_Conf!$C$5/ATM_Conf!$C$8)*(BK55*EXP(-(1/CY55)*(W55/CE55)^CY55)-AQ54)+(ATM_Conf!$C$5/W242)*AQ54*(AP54-AQ54)-(ATM_Conf!$C$5*ATM_Conf!$C$9)/(W242*ATM_Conf!$C$8)*(X54-W54)/(W54+ATM_Conf!$C$10)</f>
        <v>#DIV/0!</v>
      </c>
      <c r="AR55" s="43" t="e">
        <f>AR54+(ATM_Conf!$C$5/ATM_Conf!$C$8)*(BL55*EXP(-(1/CZ55)*(X55/CF55)^CZ55)-AR54)+(ATM_Conf!$C$5/X242)*AR54*(Nodes!BC54-AR54)-(ATM_Conf!$C$5*ATM_Conf!$C$9)/(X242*ATM_Conf!$C$8)*(Nodes!BQ54-X54)/(X54+ATM_Conf!$C$10)</f>
        <v>#DIV/0!</v>
      </c>
      <c r="AS55" s="43" t="e">
        <f>AS54+(ATM_Conf!$C$5/ATM_Conf!$C$8)*(BM55*EXP(-(1/DA55)*(Y55/CG55)^DA55)-AS54)+(ATM_Conf!$C$5/Y242)*AS54*(AR54-AS54)-(ATM_Conf!$C$5*ATM_Conf!$C$9)/(Y242*ATM_Conf!$C$8)*(Z54-Y54)/(Y54+ATM_Conf!$C$10)</f>
        <v>#DIV/0!</v>
      </c>
      <c r="AT55" s="43" t="e">
        <f>AT54+(ATM_Conf!$C$5/ATM_Conf!$C$8)*(BN55*EXP(-(1/DB55)*(Z55/CH55)^DB55)-AT54)+(ATM_Conf!$C$5/Z242)*AT54*(Nodes!BE54-AT54)-(ATM_Conf!$C$5*ATM_Conf!$C$9)/(Z242*ATM_Conf!$C$8)*(Nodes!BS54-Z54)/(Z54+ATM_Conf!$C$10)</f>
        <v>#DIV/0!</v>
      </c>
      <c r="AU55" s="43" t="e">
        <f>AU54+(ATM_Conf!$C$5/ATM_Conf!$C$8)*(BO55*EXP(-(1/DC55)*(AA55/CI55)^DC55)-AU54)+(ATM_Conf!$C$5/AA242)*AU54*(Nodes!BF54-AU54)-(ATM_Conf!$C$5*ATM_Conf!$C$9)/(AA242*ATM_Conf!$C$8)*(Nodes!BV54-AA54)/(AA54+ATM_Conf!$C$10)</f>
        <v>#DIV/0!</v>
      </c>
      <c r="AV55" s="43" t="e">
        <f>AV54+(ATM_Conf!$C$5/ATM_Conf!$C$8)*(BP55*EXP(-(1/DD55)*(AB55/CJ55)^DD55)-AV54)+(ATM_Conf!$C$5/AB242)*AV54*(AU54-AV54)-(ATM_Conf!$C$5*ATM_Conf!$C$9)/(AB242*ATM_Conf!$C$8)*(AC54-AB54)/(AB54+ATM_Conf!$C$10)</f>
        <v>#DIV/0!</v>
      </c>
      <c r="AW55" s="43" t="e">
        <f>AW54+(ATM_Conf!$C$5/ATM_Conf!$C$8)*(BQ55*EXP(-(1/DE55)*(AC55/CK55)^DE55)-AW54)+(ATM_Conf!$C$5/AC242)*AW54*(AV54-AW54)-(ATM_Conf!$C$5*ATM_Conf!$C$9)/(AC242*ATM_Conf!$C$8)*(AD54-AC54)/(AC54+ATM_Conf!$C$10)</f>
        <v>#DIV/0!</v>
      </c>
      <c r="AX55" s="43" t="e">
        <f>AX54+(ATM_Conf!$C$5/ATM_Conf!$C$8)*(BR55*EXP(-(1/DF55)*(AD55/CL55)^DF55)-AX54)+(ATM_Conf!$C$5/AD242)*AX54*(Nodes!BG54-AX54)-(ATM_Conf!$C$5*ATM_Conf!$C$9)/(AD242*ATM_Conf!$C$8)*(Nodes!BU54-AD54)/(AD54+ATM_Conf!$C$10)</f>
        <v>#DIV/0!</v>
      </c>
      <c r="AY55" s="43" t="e">
        <f>AY54+(ATM_Conf!$C$5/ATM_Conf!$C$8)*(BS55*EXP(-(1/DG55)*(AE55/CM55)^DG55)-AY54)+(ATM_Conf!$C$5/AE242)*AY54*(Nodes!BF54-AY54)</f>
        <v>#DIV/0!</v>
      </c>
      <c r="AZ55" s="43" t="e">
        <f>AZ54+(ATM_Conf!$C$5/ATM_Conf!$C$8)*(BT55*EXP(-(1/DH55)*(AF55/CN55)^DH55)-AZ54)-(ATM_Conf!$C$5*ATM_Conf!$C$9)/(AF242*ATM_Conf!$C$8)*(Nodes!BV54-AF54)/(AF54+ATM_Conf!$C$10)</f>
        <v>#DIV/0!</v>
      </c>
      <c r="BA55" s="43" t="e">
        <f>BA54+(ATM_Conf!$C$5/ATM_Conf!$C$8)*(BU55*EXP(-(1/DI55)*(AG55/CO55)^DI55)-BA54)+(ATM_Conf!$C$5/AG242)*BA54*(Nodes!BI54-BA54)-(ATM_Conf!$C$5*ATM_Conf!$C$9)/(AG242*ATM_Conf!$C$8)*(Nodes!BW54-AG54)/(AG54+ATM_Conf!$C$10)</f>
        <v>#DIV/0!</v>
      </c>
      <c r="BB55" s="43" t="e">
        <f>BB54+(ATM_Conf!$C$5/ATM_Conf!$C$8)*(BV55*EXP(-(1/DJ55)*(AH55/CP55)^DJ55)-BB54)+(ATM_Conf!$C$5/AH242)*BB54*(Nodes!BJ54-BB54)-(ATM_Conf!$C$5*ATM_Conf!$C$9)/(AH242*ATM_Conf!$C$8)*(AI54-AH54)/(AH54+ATM_Conf!$C$10)</f>
        <v>#DIV/0!</v>
      </c>
      <c r="BC55" s="43" t="e">
        <f>BC54+(ATM_Conf!$C$5/ATM_Conf!$C$8)*(BW55*EXP(-(1/DK55)*(AI55/CQ55)^DK55)-BC54)+(ATM_Conf!$C$5/AI242)*BC54*(BB54-BC54)-(ATM_Conf!$C$5*ATM_Conf!$C$9)/(AI242*ATM_Conf!$C$8)*(AJ54-AI54)/(AI54+ATM_Conf!$C$10)</f>
        <v>#DIV/0!</v>
      </c>
      <c r="BD55" s="43" t="e">
        <f>BD54+(ATM_Conf!$C$5/ATM_Conf!$C$8)*(BX55*EXP(-(1/DL55)*(AJ55/CR55)^DL55)-BD54)+(ATM_Conf!$C$5/AJ242)*BD54*(BC54-BD54)-(ATM_Conf!$C$5*ATM_Conf!$C$9)/(AJ242*ATM_Conf!$C$8)*(Nodes!BX54-AJ54)/(AJ54+ATM_Conf!$C$10)</f>
        <v>#DIV/0!</v>
      </c>
      <c r="BE55" s="43" t="e">
        <f>BE54+(ATM_Conf!$C$5/ATM_Conf!$C$8)*(BY55*EXP(-(1/DM55)*(AK55/CS55)^DM55)-BE54)+(ATM_Conf!$C$5/AK242)*BE54*(Nodes!BK54-BE54)-(ATM_Conf!$C$5*ATM_Conf!$C$9)/(AK242*ATM_Conf!$C$8)*(Nodes!BY54-AK54)/(AK54+ATM_Conf!$C$10)</f>
        <v>#DIV/0!</v>
      </c>
      <c r="BF55" s="43" t="e">
        <f>BF54+(ATM_Conf!$C$5/ATM_Conf!$C$8)*(BZ55*EXP(-(1/DN55)*(AL55/CT55)^DN55)-BF54)+(ATM_Conf!$C$5/AL242)*BF54*(BE54-BF54)-(ATM_Conf!$C$5*ATM_Conf!$C$9)/(AL242*ATM_Conf!$C$8)*(AM54-AL54)/(AL54+ATM_Conf!$C$10)</f>
        <v>#DIV/0!</v>
      </c>
      <c r="BG55" s="43" t="e">
        <f>BG54+(ATM_Conf!$C$5/ATM_Conf!$C$8)*(CA55*EXP(-(1/DO55)*(AM55/CU55)^DO55)-BG54)+(ATM_Conf!$C$5/AM242)*BG54*(Nodes!BM54-BG54)-(ATM_Conf!$C$5*ATM_Conf!$C$9)/(AM242*ATM_Conf!$C$8)*(Nodes!CA54-AM54)/(AM54+ATM_Conf!$C$10)</f>
        <v>#DIV/0!</v>
      </c>
      <c r="BH55" s="43" t="e">
        <f>BH54+(ATM_Conf!$C$5/ATM_Conf!$C$8)*(CB55*EXP(-(1/DP55)*(AN55/CV55)^DP55)-BH54)+(ATM_Conf!$C$5/AN242)*BH54*(BG54-BH54)-(ATM_Conf!$C$5*ATM_Conf!$C$9)/(AN242*ATM_Conf!$C$8)*(AO54-AN54)/(AN54+ATM_Conf!$C$10)</f>
        <v>#DIV/0!</v>
      </c>
      <c r="BI55" s="43" t="e">
        <f>BI54+(ATM_Conf!$C$5/ATM_Conf!$C$8)*(CC55*EXP(-(1/DQ55)*(AO55/CW55)^DQ55)-BI54)+(ATM_Conf!$C$5/AO242)*BI54*(BH54-BI54)</f>
        <v>#DIV/0!</v>
      </c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53"/>
      <c r="CY55" s="53"/>
      <c r="CZ55" s="53"/>
      <c r="DA55" s="53"/>
      <c r="DB55" s="53"/>
      <c r="DC55" s="53"/>
      <c r="DD55" s="53"/>
      <c r="DE55" s="53"/>
      <c r="DF55" s="53"/>
      <c r="DG55" s="53"/>
      <c r="DH55" s="53"/>
      <c r="DI55" s="53"/>
      <c r="DJ55" s="53"/>
      <c r="DK55" s="53"/>
      <c r="DL55" s="53"/>
      <c r="DM55" s="53"/>
      <c r="DN55" s="53"/>
      <c r="DO55" s="53"/>
      <c r="DP55" s="53"/>
      <c r="DQ55" s="53"/>
      <c r="DR55" s="43">
        <f t="shared" si="35"/>
        <v>0</v>
      </c>
      <c r="DS55" s="43">
        <f t="shared" si="34"/>
        <v>0</v>
      </c>
      <c r="DT55" s="43">
        <f t="shared" si="34"/>
        <v>0</v>
      </c>
      <c r="DU55" s="43">
        <f t="shared" si="34"/>
        <v>0</v>
      </c>
      <c r="DV55" s="43">
        <f t="shared" si="34"/>
        <v>0</v>
      </c>
      <c r="DW55" s="43">
        <f t="shared" si="34"/>
        <v>0</v>
      </c>
      <c r="DX55" s="43">
        <f t="shared" si="34"/>
        <v>0</v>
      </c>
      <c r="DY55" s="43">
        <f t="shared" si="34"/>
        <v>0</v>
      </c>
      <c r="DZ55" s="43">
        <f t="shared" si="34"/>
        <v>0</v>
      </c>
      <c r="EA55" s="43">
        <f t="shared" si="34"/>
        <v>0</v>
      </c>
      <c r="EB55" s="43">
        <f t="shared" si="34"/>
        <v>0</v>
      </c>
      <c r="EC55" s="43">
        <f t="shared" si="34"/>
        <v>0</v>
      </c>
      <c r="ED55" s="43">
        <f t="shared" si="34"/>
        <v>0</v>
      </c>
      <c r="EE55" s="43">
        <f t="shared" si="34"/>
        <v>0</v>
      </c>
      <c r="EF55" s="43">
        <f t="shared" si="34"/>
        <v>0</v>
      </c>
      <c r="EG55" s="43">
        <f t="shared" si="34"/>
        <v>0</v>
      </c>
      <c r="EH55" s="43">
        <f t="shared" si="34"/>
        <v>0</v>
      </c>
      <c r="EI55" s="43">
        <f t="shared" si="34"/>
        <v>0</v>
      </c>
      <c r="EJ55" s="43">
        <f t="shared" si="34"/>
        <v>0</v>
      </c>
      <c r="EK55" s="43">
        <f t="shared" si="34"/>
        <v>0</v>
      </c>
      <c r="EL55" s="47"/>
      <c r="EM55" s="47"/>
      <c r="EN55" s="47"/>
      <c r="EO55" s="47"/>
      <c r="EP55" s="47"/>
      <c r="EQ55" s="47"/>
      <c r="ER55" s="47"/>
      <c r="ES55" s="47"/>
      <c r="ET55" s="47"/>
      <c r="EU55" s="47"/>
      <c r="EV55" s="47"/>
      <c r="EW55" s="47"/>
      <c r="EX55" s="47"/>
      <c r="EY55" s="47"/>
      <c r="EZ55" s="47"/>
      <c r="FA55" s="47"/>
      <c r="FB55" s="47"/>
      <c r="FC55" s="47"/>
      <c r="FD55" s="47"/>
      <c r="FE55" s="47"/>
    </row>
    <row r="56" spans="1:161" ht="14.25" x14ac:dyDescent="0.15">
      <c r="A56" s="46"/>
      <c r="B56" s="43" t="e">
        <f t="shared" si="2"/>
        <v>#DIV/0!</v>
      </c>
      <c r="C56" s="43" t="e">
        <f t="shared" si="3"/>
        <v>#DIV/0!</v>
      </c>
      <c r="D56" s="43" t="e">
        <f t="shared" si="4"/>
        <v>#DIV/0!</v>
      </c>
      <c r="E56" s="43" t="e">
        <f t="shared" si="5"/>
        <v>#DIV/0!</v>
      </c>
      <c r="F56" s="43" t="e">
        <f t="shared" si="6"/>
        <v>#DIV/0!</v>
      </c>
      <c r="G56" s="43" t="e">
        <f t="shared" si="7"/>
        <v>#DIV/0!</v>
      </c>
      <c r="H56" s="43" t="e">
        <f t="shared" si="8"/>
        <v>#DIV/0!</v>
      </c>
      <c r="I56" s="43" t="e">
        <f t="shared" si="9"/>
        <v>#DIV/0!</v>
      </c>
      <c r="J56" s="43" t="e">
        <f t="shared" si="10"/>
        <v>#DIV/0!</v>
      </c>
      <c r="K56" s="43" t="e">
        <f t="shared" si="11"/>
        <v>#DIV/0!</v>
      </c>
      <c r="L56" s="43" t="e">
        <f t="shared" si="12"/>
        <v>#DIV/0!</v>
      </c>
      <c r="M56" s="43" t="e">
        <f t="shared" si="13"/>
        <v>#DIV/0!</v>
      </c>
      <c r="N56" s="43" t="e">
        <f t="shared" si="14"/>
        <v>#DIV/0!</v>
      </c>
      <c r="O56" s="43" t="e">
        <f t="shared" si="15"/>
        <v>#DIV/0!</v>
      </c>
      <c r="P56" s="43" t="e">
        <f t="shared" si="16"/>
        <v>#DIV/0!</v>
      </c>
      <c r="Q56" s="43" t="e">
        <f t="shared" si="17"/>
        <v>#DIV/0!</v>
      </c>
      <c r="R56" s="43" t="e">
        <f t="shared" si="18"/>
        <v>#DIV/0!</v>
      </c>
      <c r="S56" s="43" t="e">
        <f t="shared" si="19"/>
        <v>#DIV/0!</v>
      </c>
      <c r="T56" s="43" t="e">
        <f t="shared" si="20"/>
        <v>#DIV/0!</v>
      </c>
      <c r="U56" s="43" t="e">
        <f t="shared" si="21"/>
        <v>#DIV/0!</v>
      </c>
      <c r="V56" s="53" t="e">
        <f>V55+ATM_Conf!$C$5*(B55)/(B243*V243)</f>
        <v>#DIV/0!</v>
      </c>
      <c r="W56" s="53" t="e">
        <f>W55+ATM_Conf!$C$5*(C55-B55)/(C243*W243)</f>
        <v>#DIV/0!</v>
      </c>
      <c r="X56" s="53" t="e">
        <f>X55+ATM_Conf!$C$5*(D55-C55)/(D243*X243)</f>
        <v>#DIV/0!</v>
      </c>
      <c r="Y56" s="53" t="e">
        <f>Y55+ATM_Conf!$C$5*(E55-D55)/(E243*Y243)</f>
        <v>#DIV/0!</v>
      </c>
      <c r="Z56" s="53" t="e">
        <f>Z55+ATM_Conf!$C$5*(F55-E55)/(F243*Z243)</f>
        <v>#DIV/0!</v>
      </c>
      <c r="AA56" s="53" t="e">
        <f>AA55+ATM_Conf!$C$5*(G55-F55)/(G243*AA243)</f>
        <v>#DIV/0!</v>
      </c>
      <c r="AB56" s="53" t="e">
        <f>AB55+ATM_Conf!$C$5*(H55-G55)/(H243*AB243)</f>
        <v>#DIV/0!</v>
      </c>
      <c r="AC56" s="53" t="e">
        <f>AC55+ATM_Conf!$C$5*(I55-H55)/(I243*AC243)</f>
        <v>#DIV/0!</v>
      </c>
      <c r="AD56" s="53" t="e">
        <f>AD55+ATM_Conf!$C$5*(J55-I55)/(J243*AD243)</f>
        <v>#DIV/0!</v>
      </c>
      <c r="AE56" s="53" t="e">
        <f>AE55+ATM_Conf!$C$5*(K55-J55)/(K243*AE243)</f>
        <v>#DIV/0!</v>
      </c>
      <c r="AF56" s="53" t="e">
        <f>AF55+ATM_Conf!$C$5*(L55)/(L243*AF243)</f>
        <v>#DIV/0!</v>
      </c>
      <c r="AG56" s="53" t="e">
        <f>AG55+ATM_Conf!$C$5*(M55-L55)/(M243*AG243)</f>
        <v>#DIV/0!</v>
      </c>
      <c r="AH56" s="53" t="e">
        <f>AH55+ATM_Conf!$C$5*(N55-M55)/(N243*AH243)</f>
        <v>#DIV/0!</v>
      </c>
      <c r="AI56" s="53" t="e">
        <f>AI55+ATM_Conf!$C$5*(O55-N55)/(O243*AI243)</f>
        <v>#DIV/0!</v>
      </c>
      <c r="AJ56" s="53" t="e">
        <f>AJ55+ATM_Conf!$C$5*(P55-O55)/(P243*AJ243)</f>
        <v>#DIV/0!</v>
      </c>
      <c r="AK56" s="53" t="e">
        <f>AK55+ATM_Conf!$C$5*(Q55-P55)/(Q243*AK243)</f>
        <v>#DIV/0!</v>
      </c>
      <c r="AL56" s="53" t="e">
        <f>AL55+ATM_Conf!$C$5*(R55-Q55)/(R243*AL243)</f>
        <v>#DIV/0!</v>
      </c>
      <c r="AM56" s="53" t="e">
        <f>AM55+ATM_Conf!$C$5*(S55-R55)/(S243*AM243)</f>
        <v>#DIV/0!</v>
      </c>
      <c r="AN56" s="53" t="e">
        <f>AN55+ATM_Conf!$C$5*(T55-S55)/(T243*AN243)</f>
        <v>#DIV/0!</v>
      </c>
      <c r="AO56" s="53" t="e">
        <f>AO55+ATM_Conf!$C$5*(U55-T55)/(U243*AO243)</f>
        <v>#DIV/0!</v>
      </c>
      <c r="AP56" s="43" t="e">
        <f>AP55+(ATM_Conf!$C$5/ATM_Conf!$C$8)*(BJ56*EXP(-(1/CX56)*(V56/CD56)^CX56)-AP55)-(ATM_Conf!$C$5*ATM_Conf!$C$9)/(V243*ATM_Conf!$C$8)*(Nodes!BO55-V55)/(V55+ATM_Conf!$C$10)</f>
        <v>#DIV/0!</v>
      </c>
      <c r="AQ56" s="43" t="e">
        <f>AQ55+(ATM_Conf!$C$5/ATM_Conf!$C$8)*(BK56*EXP(-(1/CY56)*(W56/CE56)^CY56)-AQ55)+(ATM_Conf!$C$5/W243)*AQ55*(AP55-AQ55)-(ATM_Conf!$C$5*ATM_Conf!$C$9)/(W243*ATM_Conf!$C$8)*(X55-W55)/(W55+ATM_Conf!$C$10)</f>
        <v>#DIV/0!</v>
      </c>
      <c r="AR56" s="43" t="e">
        <f>AR55+(ATM_Conf!$C$5/ATM_Conf!$C$8)*(BL56*EXP(-(1/CZ56)*(X56/CF56)^CZ56)-AR55)+(ATM_Conf!$C$5/X243)*AR55*(Nodes!BC55-AR55)-(ATM_Conf!$C$5*ATM_Conf!$C$9)/(X243*ATM_Conf!$C$8)*(Nodes!BQ55-X55)/(X55+ATM_Conf!$C$10)</f>
        <v>#DIV/0!</v>
      </c>
      <c r="AS56" s="43" t="e">
        <f>AS55+(ATM_Conf!$C$5/ATM_Conf!$C$8)*(BM56*EXP(-(1/DA56)*(Y56/CG56)^DA56)-AS55)+(ATM_Conf!$C$5/Y243)*AS55*(AR55-AS55)-(ATM_Conf!$C$5*ATM_Conf!$C$9)/(Y243*ATM_Conf!$C$8)*(Z55-Y55)/(Y55+ATM_Conf!$C$10)</f>
        <v>#DIV/0!</v>
      </c>
      <c r="AT56" s="43" t="e">
        <f>AT55+(ATM_Conf!$C$5/ATM_Conf!$C$8)*(BN56*EXP(-(1/DB56)*(Z56/CH56)^DB56)-AT55)+(ATM_Conf!$C$5/Z243)*AT55*(Nodes!BE55-AT55)-(ATM_Conf!$C$5*ATM_Conf!$C$9)/(Z243*ATM_Conf!$C$8)*(Nodes!BS55-Z55)/(Z55+ATM_Conf!$C$10)</f>
        <v>#DIV/0!</v>
      </c>
      <c r="AU56" s="43" t="e">
        <f>AU55+(ATM_Conf!$C$5/ATM_Conf!$C$8)*(BO56*EXP(-(1/DC56)*(AA56/CI56)^DC56)-AU55)+(ATM_Conf!$C$5/AA243)*AU55*(Nodes!BF55-AU55)-(ATM_Conf!$C$5*ATM_Conf!$C$9)/(AA243*ATM_Conf!$C$8)*(Nodes!BV55-AA55)/(AA55+ATM_Conf!$C$10)</f>
        <v>#DIV/0!</v>
      </c>
      <c r="AV56" s="43" t="e">
        <f>AV55+(ATM_Conf!$C$5/ATM_Conf!$C$8)*(BP56*EXP(-(1/DD56)*(AB56/CJ56)^DD56)-AV55)+(ATM_Conf!$C$5/AB243)*AV55*(AU55-AV55)-(ATM_Conf!$C$5*ATM_Conf!$C$9)/(AB243*ATM_Conf!$C$8)*(AC55-AB55)/(AB55+ATM_Conf!$C$10)</f>
        <v>#DIV/0!</v>
      </c>
      <c r="AW56" s="43" t="e">
        <f>AW55+(ATM_Conf!$C$5/ATM_Conf!$C$8)*(BQ56*EXP(-(1/DE56)*(AC56/CK56)^DE56)-AW55)+(ATM_Conf!$C$5/AC243)*AW55*(AV55-AW55)-(ATM_Conf!$C$5*ATM_Conf!$C$9)/(AC243*ATM_Conf!$C$8)*(AD55-AC55)/(AC55+ATM_Conf!$C$10)</f>
        <v>#DIV/0!</v>
      </c>
      <c r="AX56" s="43" t="e">
        <f>AX55+(ATM_Conf!$C$5/ATM_Conf!$C$8)*(BR56*EXP(-(1/DF56)*(AD56/CL56)^DF56)-AX55)+(ATM_Conf!$C$5/AD243)*AX55*(Nodes!BG55-AX55)-(ATM_Conf!$C$5*ATM_Conf!$C$9)/(AD243*ATM_Conf!$C$8)*(Nodes!BU55-AD55)/(AD55+ATM_Conf!$C$10)</f>
        <v>#DIV/0!</v>
      </c>
      <c r="AY56" s="43" t="e">
        <f>AY55+(ATM_Conf!$C$5/ATM_Conf!$C$8)*(BS56*EXP(-(1/DG56)*(AE56/CM56)^DG56)-AY55)+(ATM_Conf!$C$5/AE243)*AY55*(Nodes!BF55-AY55)</f>
        <v>#DIV/0!</v>
      </c>
      <c r="AZ56" s="43" t="e">
        <f>AZ55+(ATM_Conf!$C$5/ATM_Conf!$C$8)*(BT56*EXP(-(1/DH56)*(AF56/CN56)^DH56)-AZ55)-(ATM_Conf!$C$5*ATM_Conf!$C$9)/(AF243*ATM_Conf!$C$8)*(Nodes!BV55-AF55)/(AF55+ATM_Conf!$C$10)</f>
        <v>#DIV/0!</v>
      </c>
      <c r="BA56" s="43" t="e">
        <f>BA55+(ATM_Conf!$C$5/ATM_Conf!$C$8)*(BU56*EXP(-(1/DI56)*(AG56/CO56)^DI56)-BA55)+(ATM_Conf!$C$5/AG243)*BA55*(Nodes!BI55-BA55)-(ATM_Conf!$C$5*ATM_Conf!$C$9)/(AG243*ATM_Conf!$C$8)*(Nodes!BW55-AG55)/(AG55+ATM_Conf!$C$10)</f>
        <v>#DIV/0!</v>
      </c>
      <c r="BB56" s="43" t="e">
        <f>BB55+(ATM_Conf!$C$5/ATM_Conf!$C$8)*(BV56*EXP(-(1/DJ56)*(AH56/CP56)^DJ56)-BB55)+(ATM_Conf!$C$5/AH243)*BB55*(Nodes!BJ55-BB55)-(ATM_Conf!$C$5*ATM_Conf!$C$9)/(AH243*ATM_Conf!$C$8)*(AI55-AH55)/(AH55+ATM_Conf!$C$10)</f>
        <v>#DIV/0!</v>
      </c>
      <c r="BC56" s="43" t="e">
        <f>BC55+(ATM_Conf!$C$5/ATM_Conf!$C$8)*(BW56*EXP(-(1/DK56)*(AI56/CQ56)^DK56)-BC55)+(ATM_Conf!$C$5/AI243)*BC55*(BB55-BC55)-(ATM_Conf!$C$5*ATM_Conf!$C$9)/(AI243*ATM_Conf!$C$8)*(AJ55-AI55)/(AI55+ATM_Conf!$C$10)</f>
        <v>#DIV/0!</v>
      </c>
      <c r="BD56" s="43" t="e">
        <f>BD55+(ATM_Conf!$C$5/ATM_Conf!$C$8)*(BX56*EXP(-(1/DL56)*(AJ56/CR56)^DL56)-BD55)+(ATM_Conf!$C$5/AJ243)*BD55*(BC55-BD55)-(ATM_Conf!$C$5*ATM_Conf!$C$9)/(AJ243*ATM_Conf!$C$8)*(Nodes!BX55-AJ55)/(AJ55+ATM_Conf!$C$10)</f>
        <v>#DIV/0!</v>
      </c>
      <c r="BE56" s="43" t="e">
        <f>BE55+(ATM_Conf!$C$5/ATM_Conf!$C$8)*(BY56*EXP(-(1/DM56)*(AK56/CS56)^DM56)-BE55)+(ATM_Conf!$C$5/AK243)*BE55*(Nodes!BK55-BE55)-(ATM_Conf!$C$5*ATM_Conf!$C$9)/(AK243*ATM_Conf!$C$8)*(Nodes!BY55-AK55)/(AK55+ATM_Conf!$C$10)</f>
        <v>#DIV/0!</v>
      </c>
      <c r="BF56" s="43" t="e">
        <f>BF55+(ATM_Conf!$C$5/ATM_Conf!$C$8)*(BZ56*EXP(-(1/DN56)*(AL56/CT56)^DN56)-BF55)+(ATM_Conf!$C$5/AL243)*BF55*(BE55-BF55)-(ATM_Conf!$C$5*ATM_Conf!$C$9)/(AL243*ATM_Conf!$C$8)*(AM55-AL55)/(AL55+ATM_Conf!$C$10)</f>
        <v>#DIV/0!</v>
      </c>
      <c r="BG56" s="43" t="e">
        <f>BG55+(ATM_Conf!$C$5/ATM_Conf!$C$8)*(CA56*EXP(-(1/DO56)*(AM56/CU56)^DO56)-BG55)+(ATM_Conf!$C$5/AM243)*BG55*(Nodes!BM55-BG55)-(ATM_Conf!$C$5*ATM_Conf!$C$9)/(AM243*ATM_Conf!$C$8)*(Nodes!CA55-AM55)/(AM55+ATM_Conf!$C$10)</f>
        <v>#DIV/0!</v>
      </c>
      <c r="BH56" s="43" t="e">
        <f>BH55+(ATM_Conf!$C$5/ATM_Conf!$C$8)*(CB56*EXP(-(1/DP56)*(AN56/CV56)^DP56)-BH55)+(ATM_Conf!$C$5/AN243)*BH55*(BG55-BH55)-(ATM_Conf!$C$5*ATM_Conf!$C$9)/(AN243*ATM_Conf!$C$8)*(AO55-AN55)/(AN55+ATM_Conf!$C$10)</f>
        <v>#DIV/0!</v>
      </c>
      <c r="BI56" s="43" t="e">
        <f>BI55+(ATM_Conf!$C$5/ATM_Conf!$C$8)*(CC56*EXP(-(1/DQ56)*(AO56/CW56)^DQ56)-BI55)+(ATM_Conf!$C$5/AO243)*BI55*(BH55-BI55)</f>
        <v>#DIV/0!</v>
      </c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53"/>
      <c r="CY56" s="53"/>
      <c r="CZ56" s="53"/>
      <c r="DA56" s="53"/>
      <c r="DB56" s="53"/>
      <c r="DC56" s="53"/>
      <c r="DD56" s="53"/>
      <c r="DE56" s="53"/>
      <c r="DF56" s="53"/>
      <c r="DG56" s="53"/>
      <c r="DH56" s="53"/>
      <c r="DI56" s="53"/>
      <c r="DJ56" s="53"/>
      <c r="DK56" s="53"/>
      <c r="DL56" s="53"/>
      <c r="DM56" s="53"/>
      <c r="DN56" s="53"/>
      <c r="DO56" s="53"/>
      <c r="DP56" s="53"/>
      <c r="DQ56" s="53"/>
      <c r="DR56" s="43">
        <f t="shared" si="35"/>
        <v>0</v>
      </c>
      <c r="DS56" s="43">
        <f t="shared" si="34"/>
        <v>0</v>
      </c>
      <c r="DT56" s="43">
        <f t="shared" si="34"/>
        <v>0</v>
      </c>
      <c r="DU56" s="43">
        <f t="shared" si="34"/>
        <v>0</v>
      </c>
      <c r="DV56" s="43">
        <f t="shared" si="34"/>
        <v>0</v>
      </c>
      <c r="DW56" s="43">
        <f t="shared" si="34"/>
        <v>0</v>
      </c>
      <c r="DX56" s="43">
        <f t="shared" si="34"/>
        <v>0</v>
      </c>
      <c r="DY56" s="43">
        <f t="shared" si="34"/>
        <v>0</v>
      </c>
      <c r="DZ56" s="43">
        <f t="shared" si="34"/>
        <v>0</v>
      </c>
      <c r="EA56" s="43">
        <f t="shared" si="34"/>
        <v>0</v>
      </c>
      <c r="EB56" s="43">
        <f t="shared" si="34"/>
        <v>0</v>
      </c>
      <c r="EC56" s="43">
        <f t="shared" si="34"/>
        <v>0</v>
      </c>
      <c r="ED56" s="43">
        <f t="shared" si="34"/>
        <v>0</v>
      </c>
      <c r="EE56" s="43">
        <f t="shared" si="34"/>
        <v>0</v>
      </c>
      <c r="EF56" s="43">
        <f t="shared" si="34"/>
        <v>0</v>
      </c>
      <c r="EG56" s="43">
        <f t="shared" si="34"/>
        <v>0</v>
      </c>
      <c r="EH56" s="43">
        <f t="shared" si="34"/>
        <v>0</v>
      </c>
      <c r="EI56" s="43">
        <f t="shared" si="34"/>
        <v>0</v>
      </c>
      <c r="EJ56" s="43">
        <f t="shared" si="34"/>
        <v>0</v>
      </c>
      <c r="EK56" s="43">
        <f t="shared" si="34"/>
        <v>0</v>
      </c>
      <c r="EL56" s="47"/>
      <c r="EM56" s="47"/>
      <c r="EN56" s="47"/>
      <c r="EO56" s="47"/>
      <c r="EP56" s="47"/>
      <c r="EQ56" s="47"/>
      <c r="ER56" s="47"/>
      <c r="ES56" s="47"/>
      <c r="ET56" s="47"/>
      <c r="EU56" s="47"/>
      <c r="EV56" s="47"/>
      <c r="EW56" s="47"/>
      <c r="EX56" s="47"/>
      <c r="EY56" s="47"/>
      <c r="EZ56" s="47"/>
      <c r="FA56" s="47"/>
      <c r="FB56" s="47"/>
      <c r="FC56" s="47"/>
      <c r="FD56" s="47"/>
      <c r="FE56" s="47"/>
    </row>
    <row r="57" spans="1:161" ht="14.25" x14ac:dyDescent="0.15">
      <c r="A57" s="46"/>
      <c r="B57" s="43" t="e">
        <f t="shared" si="2"/>
        <v>#DIV/0!</v>
      </c>
      <c r="C57" s="43" t="e">
        <f t="shared" si="3"/>
        <v>#DIV/0!</v>
      </c>
      <c r="D57" s="43" t="e">
        <f t="shared" si="4"/>
        <v>#DIV/0!</v>
      </c>
      <c r="E57" s="43" t="e">
        <f t="shared" si="5"/>
        <v>#DIV/0!</v>
      </c>
      <c r="F57" s="43" t="e">
        <f t="shared" si="6"/>
        <v>#DIV/0!</v>
      </c>
      <c r="G57" s="43" t="e">
        <f t="shared" si="7"/>
        <v>#DIV/0!</v>
      </c>
      <c r="H57" s="43" t="e">
        <f t="shared" si="8"/>
        <v>#DIV/0!</v>
      </c>
      <c r="I57" s="43" t="e">
        <f t="shared" si="9"/>
        <v>#DIV/0!</v>
      </c>
      <c r="J57" s="43" t="e">
        <f t="shared" si="10"/>
        <v>#DIV/0!</v>
      </c>
      <c r="K57" s="43" t="e">
        <f t="shared" si="11"/>
        <v>#DIV/0!</v>
      </c>
      <c r="L57" s="43" t="e">
        <f t="shared" si="12"/>
        <v>#DIV/0!</v>
      </c>
      <c r="M57" s="43" t="e">
        <f t="shared" si="13"/>
        <v>#DIV/0!</v>
      </c>
      <c r="N57" s="43" t="e">
        <f t="shared" si="14"/>
        <v>#DIV/0!</v>
      </c>
      <c r="O57" s="43" t="e">
        <f t="shared" si="15"/>
        <v>#DIV/0!</v>
      </c>
      <c r="P57" s="43" t="e">
        <f t="shared" si="16"/>
        <v>#DIV/0!</v>
      </c>
      <c r="Q57" s="43" t="e">
        <f t="shared" si="17"/>
        <v>#DIV/0!</v>
      </c>
      <c r="R57" s="43" t="e">
        <f t="shared" si="18"/>
        <v>#DIV/0!</v>
      </c>
      <c r="S57" s="43" t="e">
        <f t="shared" si="19"/>
        <v>#DIV/0!</v>
      </c>
      <c r="T57" s="43" t="e">
        <f t="shared" si="20"/>
        <v>#DIV/0!</v>
      </c>
      <c r="U57" s="43" t="e">
        <f t="shared" si="21"/>
        <v>#DIV/0!</v>
      </c>
      <c r="V57" s="53" t="e">
        <f>V56+ATM_Conf!$C$5*(B56)/(B244*V244)</f>
        <v>#DIV/0!</v>
      </c>
      <c r="W57" s="53" t="e">
        <f>W56+ATM_Conf!$C$5*(C56-B56)/(C244*W244)</f>
        <v>#DIV/0!</v>
      </c>
      <c r="X57" s="53" t="e">
        <f>X56+ATM_Conf!$C$5*(D56-C56)/(D244*X244)</f>
        <v>#DIV/0!</v>
      </c>
      <c r="Y57" s="53" t="e">
        <f>Y56+ATM_Conf!$C$5*(E56-D56)/(E244*Y244)</f>
        <v>#DIV/0!</v>
      </c>
      <c r="Z57" s="53" t="e">
        <f>Z56+ATM_Conf!$C$5*(F56-E56)/(F244*Z244)</f>
        <v>#DIV/0!</v>
      </c>
      <c r="AA57" s="53" t="e">
        <f>AA56+ATM_Conf!$C$5*(G56-F56)/(G244*AA244)</f>
        <v>#DIV/0!</v>
      </c>
      <c r="AB57" s="53" t="e">
        <f>AB56+ATM_Conf!$C$5*(H56-G56)/(H244*AB244)</f>
        <v>#DIV/0!</v>
      </c>
      <c r="AC57" s="53" t="e">
        <f>AC56+ATM_Conf!$C$5*(I56-H56)/(I244*AC244)</f>
        <v>#DIV/0!</v>
      </c>
      <c r="AD57" s="53" t="e">
        <f>AD56+ATM_Conf!$C$5*(J56-I56)/(J244*AD244)</f>
        <v>#DIV/0!</v>
      </c>
      <c r="AE57" s="53" t="e">
        <f>AE56+ATM_Conf!$C$5*(K56-J56)/(K244*AE244)</f>
        <v>#DIV/0!</v>
      </c>
      <c r="AF57" s="53" t="e">
        <f>AF56+ATM_Conf!$C$5*(L56)/(L244*AF244)</f>
        <v>#DIV/0!</v>
      </c>
      <c r="AG57" s="53" t="e">
        <f>AG56+ATM_Conf!$C$5*(M56-L56)/(M244*AG244)</f>
        <v>#DIV/0!</v>
      </c>
      <c r="AH57" s="53" t="e">
        <f>AH56+ATM_Conf!$C$5*(N56-M56)/(N244*AH244)</f>
        <v>#DIV/0!</v>
      </c>
      <c r="AI57" s="53" t="e">
        <f>AI56+ATM_Conf!$C$5*(O56-N56)/(O244*AI244)</f>
        <v>#DIV/0!</v>
      </c>
      <c r="AJ57" s="53" t="e">
        <f>AJ56+ATM_Conf!$C$5*(P56-O56)/(P244*AJ244)</f>
        <v>#DIV/0!</v>
      </c>
      <c r="AK57" s="53" t="e">
        <f>AK56+ATM_Conf!$C$5*(Q56-P56)/(Q244*AK244)</f>
        <v>#DIV/0!</v>
      </c>
      <c r="AL57" s="53" t="e">
        <f>AL56+ATM_Conf!$C$5*(R56-Q56)/(R244*AL244)</f>
        <v>#DIV/0!</v>
      </c>
      <c r="AM57" s="53" t="e">
        <f>AM56+ATM_Conf!$C$5*(S56-R56)/(S244*AM244)</f>
        <v>#DIV/0!</v>
      </c>
      <c r="AN57" s="53" t="e">
        <f>AN56+ATM_Conf!$C$5*(T56-S56)/(T244*AN244)</f>
        <v>#DIV/0!</v>
      </c>
      <c r="AO57" s="53" t="e">
        <f>AO56+ATM_Conf!$C$5*(U56-T56)/(U244*AO244)</f>
        <v>#DIV/0!</v>
      </c>
      <c r="AP57" s="43" t="e">
        <f>AP56+(ATM_Conf!$C$5/ATM_Conf!$C$8)*(BJ57*EXP(-(1/CX57)*(V57/CD57)^CX57)-AP56)-(ATM_Conf!$C$5*ATM_Conf!$C$9)/(V244*ATM_Conf!$C$8)*(Nodes!BO56-V56)/(V56+ATM_Conf!$C$10)</f>
        <v>#DIV/0!</v>
      </c>
      <c r="AQ57" s="43" t="e">
        <f>AQ56+(ATM_Conf!$C$5/ATM_Conf!$C$8)*(BK57*EXP(-(1/CY57)*(W57/CE57)^CY57)-AQ56)+(ATM_Conf!$C$5/W244)*AQ56*(AP56-AQ56)-(ATM_Conf!$C$5*ATM_Conf!$C$9)/(W244*ATM_Conf!$C$8)*(X56-W56)/(W56+ATM_Conf!$C$10)</f>
        <v>#DIV/0!</v>
      </c>
      <c r="AR57" s="43" t="e">
        <f>AR56+(ATM_Conf!$C$5/ATM_Conf!$C$8)*(BL57*EXP(-(1/CZ57)*(X57/CF57)^CZ57)-AR56)+(ATM_Conf!$C$5/X244)*AR56*(Nodes!BC56-AR56)-(ATM_Conf!$C$5*ATM_Conf!$C$9)/(X244*ATM_Conf!$C$8)*(Nodes!BQ56-X56)/(X56+ATM_Conf!$C$10)</f>
        <v>#DIV/0!</v>
      </c>
      <c r="AS57" s="43" t="e">
        <f>AS56+(ATM_Conf!$C$5/ATM_Conf!$C$8)*(BM57*EXP(-(1/DA57)*(Y57/CG57)^DA57)-AS56)+(ATM_Conf!$C$5/Y244)*AS56*(AR56-AS56)-(ATM_Conf!$C$5*ATM_Conf!$C$9)/(Y244*ATM_Conf!$C$8)*(Z56-Y56)/(Y56+ATM_Conf!$C$10)</f>
        <v>#DIV/0!</v>
      </c>
      <c r="AT57" s="43" t="e">
        <f>AT56+(ATM_Conf!$C$5/ATM_Conf!$C$8)*(BN57*EXP(-(1/DB57)*(Z57/CH57)^DB57)-AT56)+(ATM_Conf!$C$5/Z244)*AT56*(Nodes!BE56-AT56)-(ATM_Conf!$C$5*ATM_Conf!$C$9)/(Z244*ATM_Conf!$C$8)*(Nodes!BS56-Z56)/(Z56+ATM_Conf!$C$10)</f>
        <v>#DIV/0!</v>
      </c>
      <c r="AU57" s="43" t="e">
        <f>AU56+(ATM_Conf!$C$5/ATM_Conf!$C$8)*(BO57*EXP(-(1/DC57)*(AA57/CI57)^DC57)-AU56)+(ATM_Conf!$C$5/AA244)*AU56*(Nodes!BF56-AU56)-(ATM_Conf!$C$5*ATM_Conf!$C$9)/(AA244*ATM_Conf!$C$8)*(Nodes!BV56-AA56)/(AA56+ATM_Conf!$C$10)</f>
        <v>#DIV/0!</v>
      </c>
      <c r="AV57" s="43" t="e">
        <f>AV56+(ATM_Conf!$C$5/ATM_Conf!$C$8)*(BP57*EXP(-(1/DD57)*(AB57/CJ57)^DD57)-AV56)+(ATM_Conf!$C$5/AB244)*AV56*(AU56-AV56)-(ATM_Conf!$C$5*ATM_Conf!$C$9)/(AB244*ATM_Conf!$C$8)*(AC56-AB56)/(AB56+ATM_Conf!$C$10)</f>
        <v>#DIV/0!</v>
      </c>
      <c r="AW57" s="43" t="e">
        <f>AW56+(ATM_Conf!$C$5/ATM_Conf!$C$8)*(BQ57*EXP(-(1/DE57)*(AC57/CK57)^DE57)-AW56)+(ATM_Conf!$C$5/AC244)*AW56*(AV56-AW56)-(ATM_Conf!$C$5*ATM_Conf!$C$9)/(AC244*ATM_Conf!$C$8)*(AD56-AC56)/(AC56+ATM_Conf!$C$10)</f>
        <v>#DIV/0!</v>
      </c>
      <c r="AX57" s="43" t="e">
        <f>AX56+(ATM_Conf!$C$5/ATM_Conf!$C$8)*(BR57*EXP(-(1/DF57)*(AD57/CL57)^DF57)-AX56)+(ATM_Conf!$C$5/AD244)*AX56*(Nodes!BG56-AX56)-(ATM_Conf!$C$5*ATM_Conf!$C$9)/(AD244*ATM_Conf!$C$8)*(Nodes!BU56-AD56)/(AD56+ATM_Conf!$C$10)</f>
        <v>#DIV/0!</v>
      </c>
      <c r="AY57" s="43" t="e">
        <f>AY56+(ATM_Conf!$C$5/ATM_Conf!$C$8)*(BS57*EXP(-(1/DG57)*(AE57/CM57)^DG57)-AY56)+(ATM_Conf!$C$5/AE244)*AY56*(Nodes!BF56-AY56)</f>
        <v>#DIV/0!</v>
      </c>
      <c r="AZ57" s="43" t="e">
        <f>AZ56+(ATM_Conf!$C$5/ATM_Conf!$C$8)*(BT57*EXP(-(1/DH57)*(AF57/CN57)^DH57)-AZ56)-(ATM_Conf!$C$5*ATM_Conf!$C$9)/(AF244*ATM_Conf!$C$8)*(Nodes!BV56-AF56)/(AF56+ATM_Conf!$C$10)</f>
        <v>#DIV/0!</v>
      </c>
      <c r="BA57" s="43" t="e">
        <f>BA56+(ATM_Conf!$C$5/ATM_Conf!$C$8)*(BU57*EXP(-(1/DI57)*(AG57/CO57)^DI57)-BA56)+(ATM_Conf!$C$5/AG244)*BA56*(Nodes!BI56-BA56)-(ATM_Conf!$C$5*ATM_Conf!$C$9)/(AG244*ATM_Conf!$C$8)*(Nodes!BW56-AG56)/(AG56+ATM_Conf!$C$10)</f>
        <v>#DIV/0!</v>
      </c>
      <c r="BB57" s="43" t="e">
        <f>BB56+(ATM_Conf!$C$5/ATM_Conf!$C$8)*(BV57*EXP(-(1/DJ57)*(AH57/CP57)^DJ57)-BB56)+(ATM_Conf!$C$5/AH244)*BB56*(Nodes!BJ56-BB56)-(ATM_Conf!$C$5*ATM_Conf!$C$9)/(AH244*ATM_Conf!$C$8)*(AI56-AH56)/(AH56+ATM_Conf!$C$10)</f>
        <v>#DIV/0!</v>
      </c>
      <c r="BC57" s="43" t="e">
        <f>BC56+(ATM_Conf!$C$5/ATM_Conf!$C$8)*(BW57*EXP(-(1/DK57)*(AI57/CQ57)^DK57)-BC56)+(ATM_Conf!$C$5/AI244)*BC56*(BB56-BC56)-(ATM_Conf!$C$5*ATM_Conf!$C$9)/(AI244*ATM_Conf!$C$8)*(AJ56-AI56)/(AI56+ATM_Conf!$C$10)</f>
        <v>#DIV/0!</v>
      </c>
      <c r="BD57" s="43" t="e">
        <f>BD56+(ATM_Conf!$C$5/ATM_Conf!$C$8)*(BX57*EXP(-(1/DL57)*(AJ57/CR57)^DL57)-BD56)+(ATM_Conf!$C$5/AJ244)*BD56*(BC56-BD56)-(ATM_Conf!$C$5*ATM_Conf!$C$9)/(AJ244*ATM_Conf!$C$8)*(Nodes!BX56-AJ56)/(AJ56+ATM_Conf!$C$10)</f>
        <v>#DIV/0!</v>
      </c>
      <c r="BE57" s="43" t="e">
        <f>BE56+(ATM_Conf!$C$5/ATM_Conf!$C$8)*(BY57*EXP(-(1/DM57)*(AK57/CS57)^DM57)-BE56)+(ATM_Conf!$C$5/AK244)*BE56*(Nodes!BK56-BE56)-(ATM_Conf!$C$5*ATM_Conf!$C$9)/(AK244*ATM_Conf!$C$8)*(Nodes!BY56-AK56)/(AK56+ATM_Conf!$C$10)</f>
        <v>#DIV/0!</v>
      </c>
      <c r="BF57" s="43" t="e">
        <f>BF56+(ATM_Conf!$C$5/ATM_Conf!$C$8)*(BZ57*EXP(-(1/DN57)*(AL57/CT57)^DN57)-BF56)+(ATM_Conf!$C$5/AL244)*BF56*(BE56-BF56)-(ATM_Conf!$C$5*ATM_Conf!$C$9)/(AL244*ATM_Conf!$C$8)*(AM56-AL56)/(AL56+ATM_Conf!$C$10)</f>
        <v>#DIV/0!</v>
      </c>
      <c r="BG57" s="43" t="e">
        <f>BG56+(ATM_Conf!$C$5/ATM_Conf!$C$8)*(CA57*EXP(-(1/DO57)*(AM57/CU57)^DO57)-BG56)+(ATM_Conf!$C$5/AM244)*BG56*(Nodes!BM56-BG56)-(ATM_Conf!$C$5*ATM_Conf!$C$9)/(AM244*ATM_Conf!$C$8)*(Nodes!CA56-AM56)/(AM56+ATM_Conf!$C$10)</f>
        <v>#DIV/0!</v>
      </c>
      <c r="BH57" s="43" t="e">
        <f>BH56+(ATM_Conf!$C$5/ATM_Conf!$C$8)*(CB57*EXP(-(1/DP57)*(AN57/CV57)^DP57)-BH56)+(ATM_Conf!$C$5/AN244)*BH56*(BG56-BH56)-(ATM_Conf!$C$5*ATM_Conf!$C$9)/(AN244*ATM_Conf!$C$8)*(AO56-AN56)/(AN56+ATM_Conf!$C$10)</f>
        <v>#DIV/0!</v>
      </c>
      <c r="BI57" s="43" t="e">
        <f>BI56+(ATM_Conf!$C$5/ATM_Conf!$C$8)*(CC57*EXP(-(1/DQ57)*(AO57/CW57)^DQ57)-BI56)+(ATM_Conf!$C$5/AO244)*BI56*(BH56-BI56)</f>
        <v>#DIV/0!</v>
      </c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53"/>
      <c r="CY57" s="53"/>
      <c r="CZ57" s="53"/>
      <c r="DA57" s="53"/>
      <c r="DB57" s="53"/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  <c r="DR57" s="43">
        <f t="shared" si="35"/>
        <v>0</v>
      </c>
      <c r="DS57" s="43">
        <f t="shared" si="34"/>
        <v>0</v>
      </c>
      <c r="DT57" s="43">
        <f t="shared" si="34"/>
        <v>0</v>
      </c>
      <c r="DU57" s="43">
        <f t="shared" si="34"/>
        <v>0</v>
      </c>
      <c r="DV57" s="43">
        <f t="shared" si="34"/>
        <v>0</v>
      </c>
      <c r="DW57" s="43">
        <f t="shared" si="34"/>
        <v>0</v>
      </c>
      <c r="DX57" s="43">
        <f t="shared" si="34"/>
        <v>0</v>
      </c>
      <c r="DY57" s="43">
        <f t="shared" si="34"/>
        <v>0</v>
      </c>
      <c r="DZ57" s="43">
        <f t="shared" si="34"/>
        <v>0</v>
      </c>
      <c r="EA57" s="43">
        <f t="shared" si="34"/>
        <v>0</v>
      </c>
      <c r="EB57" s="43">
        <f t="shared" si="34"/>
        <v>0</v>
      </c>
      <c r="EC57" s="43">
        <f t="shared" si="34"/>
        <v>0</v>
      </c>
      <c r="ED57" s="43">
        <f t="shared" si="34"/>
        <v>0</v>
      </c>
      <c r="EE57" s="43">
        <f t="shared" si="34"/>
        <v>0</v>
      </c>
      <c r="EF57" s="43">
        <f t="shared" si="34"/>
        <v>0</v>
      </c>
      <c r="EG57" s="43">
        <f t="shared" si="34"/>
        <v>0</v>
      </c>
      <c r="EH57" s="43">
        <f t="shared" si="34"/>
        <v>0</v>
      </c>
      <c r="EI57" s="43">
        <f t="shared" si="34"/>
        <v>0</v>
      </c>
      <c r="EJ57" s="43">
        <f t="shared" si="34"/>
        <v>0</v>
      </c>
      <c r="EK57" s="43">
        <f t="shared" si="34"/>
        <v>0</v>
      </c>
      <c r="EL57" s="47"/>
      <c r="EM57" s="47"/>
      <c r="EN57" s="47"/>
      <c r="EO57" s="47"/>
      <c r="EP57" s="47"/>
      <c r="EQ57" s="47"/>
      <c r="ER57" s="47"/>
      <c r="ES57" s="47"/>
      <c r="ET57" s="47"/>
      <c r="EU57" s="47"/>
      <c r="EV57" s="47"/>
      <c r="EW57" s="47"/>
      <c r="EX57" s="47"/>
      <c r="EY57" s="47"/>
      <c r="EZ57" s="47"/>
      <c r="FA57" s="47"/>
      <c r="FB57" s="47"/>
      <c r="FC57" s="47"/>
      <c r="FD57" s="47"/>
      <c r="FE57" s="47"/>
    </row>
    <row r="58" spans="1:161" ht="14.25" x14ac:dyDescent="0.15">
      <c r="A58" s="46"/>
      <c r="B58" s="43" t="e">
        <f t="shared" si="2"/>
        <v>#DIV/0!</v>
      </c>
      <c r="C58" s="43" t="e">
        <f t="shared" si="3"/>
        <v>#DIV/0!</v>
      </c>
      <c r="D58" s="43" t="e">
        <f t="shared" si="4"/>
        <v>#DIV/0!</v>
      </c>
      <c r="E58" s="43" t="e">
        <f t="shared" si="5"/>
        <v>#DIV/0!</v>
      </c>
      <c r="F58" s="43" t="e">
        <f t="shared" si="6"/>
        <v>#DIV/0!</v>
      </c>
      <c r="G58" s="43" t="e">
        <f t="shared" si="7"/>
        <v>#DIV/0!</v>
      </c>
      <c r="H58" s="43" t="e">
        <f t="shared" si="8"/>
        <v>#DIV/0!</v>
      </c>
      <c r="I58" s="43" t="e">
        <f t="shared" si="9"/>
        <v>#DIV/0!</v>
      </c>
      <c r="J58" s="43" t="e">
        <f t="shared" si="10"/>
        <v>#DIV/0!</v>
      </c>
      <c r="K58" s="43" t="e">
        <f t="shared" si="11"/>
        <v>#DIV/0!</v>
      </c>
      <c r="L58" s="43" t="e">
        <f t="shared" si="12"/>
        <v>#DIV/0!</v>
      </c>
      <c r="M58" s="43" t="e">
        <f t="shared" si="13"/>
        <v>#DIV/0!</v>
      </c>
      <c r="N58" s="43" t="e">
        <f t="shared" si="14"/>
        <v>#DIV/0!</v>
      </c>
      <c r="O58" s="43" t="e">
        <f t="shared" si="15"/>
        <v>#DIV/0!</v>
      </c>
      <c r="P58" s="43" t="e">
        <f t="shared" si="16"/>
        <v>#DIV/0!</v>
      </c>
      <c r="Q58" s="43" t="e">
        <f t="shared" si="17"/>
        <v>#DIV/0!</v>
      </c>
      <c r="R58" s="43" t="e">
        <f t="shared" si="18"/>
        <v>#DIV/0!</v>
      </c>
      <c r="S58" s="43" t="e">
        <f t="shared" si="19"/>
        <v>#DIV/0!</v>
      </c>
      <c r="T58" s="43" t="e">
        <f t="shared" si="20"/>
        <v>#DIV/0!</v>
      </c>
      <c r="U58" s="43" t="e">
        <f t="shared" si="21"/>
        <v>#DIV/0!</v>
      </c>
      <c r="V58" s="53" t="e">
        <f>V57+ATM_Conf!$C$5*(B57)/(B245*V245)</f>
        <v>#DIV/0!</v>
      </c>
      <c r="W58" s="53" t="e">
        <f>W57+ATM_Conf!$C$5*(C57-B57)/(C245*W245)</f>
        <v>#DIV/0!</v>
      </c>
      <c r="X58" s="53" t="e">
        <f>X57+ATM_Conf!$C$5*(D57-C57)/(D245*X245)</f>
        <v>#DIV/0!</v>
      </c>
      <c r="Y58" s="53" t="e">
        <f>Y57+ATM_Conf!$C$5*(E57-D57)/(E245*Y245)</f>
        <v>#DIV/0!</v>
      </c>
      <c r="Z58" s="53" t="e">
        <f>Z57+ATM_Conf!$C$5*(F57-E57)/(F245*Z245)</f>
        <v>#DIV/0!</v>
      </c>
      <c r="AA58" s="53" t="e">
        <f>AA57+ATM_Conf!$C$5*(G57-F57)/(G245*AA245)</f>
        <v>#DIV/0!</v>
      </c>
      <c r="AB58" s="53" t="e">
        <f>AB57+ATM_Conf!$C$5*(H57-G57)/(H245*AB245)</f>
        <v>#DIV/0!</v>
      </c>
      <c r="AC58" s="53" t="e">
        <f>AC57+ATM_Conf!$C$5*(I57-H57)/(I245*AC245)</f>
        <v>#DIV/0!</v>
      </c>
      <c r="AD58" s="53" t="e">
        <f>AD57+ATM_Conf!$C$5*(J57-I57)/(J245*AD245)</f>
        <v>#DIV/0!</v>
      </c>
      <c r="AE58" s="53" t="e">
        <f>AE57+ATM_Conf!$C$5*(K57-J57)/(K245*AE245)</f>
        <v>#DIV/0!</v>
      </c>
      <c r="AF58" s="53" t="e">
        <f>AF57+ATM_Conf!$C$5*(L57)/(L245*AF245)</f>
        <v>#DIV/0!</v>
      </c>
      <c r="AG58" s="53" t="e">
        <f>AG57+ATM_Conf!$C$5*(M57-L57)/(M245*AG245)</f>
        <v>#DIV/0!</v>
      </c>
      <c r="AH58" s="53" t="e">
        <f>AH57+ATM_Conf!$C$5*(N57-M57)/(N245*AH245)</f>
        <v>#DIV/0!</v>
      </c>
      <c r="AI58" s="53" t="e">
        <f>AI57+ATM_Conf!$C$5*(O57-N57)/(O245*AI245)</f>
        <v>#DIV/0!</v>
      </c>
      <c r="AJ58" s="53" t="e">
        <f>AJ57+ATM_Conf!$C$5*(P57-O57)/(P245*AJ245)</f>
        <v>#DIV/0!</v>
      </c>
      <c r="AK58" s="53" t="e">
        <f>AK57+ATM_Conf!$C$5*(Q57-P57)/(Q245*AK245)</f>
        <v>#DIV/0!</v>
      </c>
      <c r="AL58" s="53" t="e">
        <f>AL57+ATM_Conf!$C$5*(R57-Q57)/(R245*AL245)</f>
        <v>#DIV/0!</v>
      </c>
      <c r="AM58" s="53" t="e">
        <f>AM57+ATM_Conf!$C$5*(S57-R57)/(S245*AM245)</f>
        <v>#DIV/0!</v>
      </c>
      <c r="AN58" s="53" t="e">
        <f>AN57+ATM_Conf!$C$5*(T57-S57)/(T245*AN245)</f>
        <v>#DIV/0!</v>
      </c>
      <c r="AO58" s="53" t="e">
        <f>AO57+ATM_Conf!$C$5*(U57-T57)/(U245*AO245)</f>
        <v>#DIV/0!</v>
      </c>
      <c r="AP58" s="43" t="e">
        <f>AP57+(ATM_Conf!$C$5/ATM_Conf!$C$8)*(BJ58*EXP(-(1/CX58)*(V58/CD58)^CX58)-AP57)-(ATM_Conf!$C$5*ATM_Conf!$C$9)/(V245*ATM_Conf!$C$8)*(Nodes!BO57-V57)/(V57+ATM_Conf!$C$10)</f>
        <v>#DIV/0!</v>
      </c>
      <c r="AQ58" s="43" t="e">
        <f>AQ57+(ATM_Conf!$C$5/ATM_Conf!$C$8)*(BK58*EXP(-(1/CY58)*(W58/CE58)^CY58)-AQ57)+(ATM_Conf!$C$5/W245)*AQ57*(AP57-AQ57)-(ATM_Conf!$C$5*ATM_Conf!$C$9)/(W245*ATM_Conf!$C$8)*(X57-W57)/(W57+ATM_Conf!$C$10)</f>
        <v>#DIV/0!</v>
      </c>
      <c r="AR58" s="43" t="e">
        <f>AR57+(ATM_Conf!$C$5/ATM_Conf!$C$8)*(BL58*EXP(-(1/CZ58)*(X58/CF58)^CZ58)-AR57)+(ATM_Conf!$C$5/X245)*AR57*(Nodes!BC57-AR57)-(ATM_Conf!$C$5*ATM_Conf!$C$9)/(X245*ATM_Conf!$C$8)*(Nodes!BQ57-X57)/(X57+ATM_Conf!$C$10)</f>
        <v>#DIV/0!</v>
      </c>
      <c r="AS58" s="43" t="e">
        <f>AS57+(ATM_Conf!$C$5/ATM_Conf!$C$8)*(BM58*EXP(-(1/DA58)*(Y58/CG58)^DA58)-AS57)+(ATM_Conf!$C$5/Y245)*AS57*(AR57-AS57)-(ATM_Conf!$C$5*ATM_Conf!$C$9)/(Y245*ATM_Conf!$C$8)*(Z57-Y57)/(Y57+ATM_Conf!$C$10)</f>
        <v>#DIV/0!</v>
      </c>
      <c r="AT58" s="43" t="e">
        <f>AT57+(ATM_Conf!$C$5/ATM_Conf!$C$8)*(BN58*EXP(-(1/DB58)*(Z58/CH58)^DB58)-AT57)+(ATM_Conf!$C$5/Z245)*AT57*(Nodes!BE57-AT57)-(ATM_Conf!$C$5*ATM_Conf!$C$9)/(Z245*ATM_Conf!$C$8)*(Nodes!BS57-Z57)/(Z57+ATM_Conf!$C$10)</f>
        <v>#DIV/0!</v>
      </c>
      <c r="AU58" s="43" t="e">
        <f>AU57+(ATM_Conf!$C$5/ATM_Conf!$C$8)*(BO58*EXP(-(1/DC58)*(AA58/CI58)^DC58)-AU57)+(ATM_Conf!$C$5/AA245)*AU57*(Nodes!BF57-AU57)-(ATM_Conf!$C$5*ATM_Conf!$C$9)/(AA245*ATM_Conf!$C$8)*(Nodes!BV57-AA57)/(AA57+ATM_Conf!$C$10)</f>
        <v>#DIV/0!</v>
      </c>
      <c r="AV58" s="43" t="e">
        <f>AV57+(ATM_Conf!$C$5/ATM_Conf!$C$8)*(BP58*EXP(-(1/DD58)*(AB58/CJ58)^DD58)-AV57)+(ATM_Conf!$C$5/AB245)*AV57*(AU57-AV57)-(ATM_Conf!$C$5*ATM_Conf!$C$9)/(AB245*ATM_Conf!$C$8)*(AC57-AB57)/(AB57+ATM_Conf!$C$10)</f>
        <v>#DIV/0!</v>
      </c>
      <c r="AW58" s="43" t="e">
        <f>AW57+(ATM_Conf!$C$5/ATM_Conf!$C$8)*(BQ58*EXP(-(1/DE58)*(AC58/CK58)^DE58)-AW57)+(ATM_Conf!$C$5/AC245)*AW57*(AV57-AW57)-(ATM_Conf!$C$5*ATM_Conf!$C$9)/(AC245*ATM_Conf!$C$8)*(AD57-AC57)/(AC57+ATM_Conf!$C$10)</f>
        <v>#DIV/0!</v>
      </c>
      <c r="AX58" s="43" t="e">
        <f>AX57+(ATM_Conf!$C$5/ATM_Conf!$C$8)*(BR58*EXP(-(1/DF58)*(AD58/CL58)^DF58)-AX57)+(ATM_Conf!$C$5/AD245)*AX57*(Nodes!BG57-AX57)-(ATM_Conf!$C$5*ATM_Conf!$C$9)/(AD245*ATM_Conf!$C$8)*(Nodes!BU57-AD57)/(AD57+ATM_Conf!$C$10)</f>
        <v>#DIV/0!</v>
      </c>
      <c r="AY58" s="43" t="e">
        <f>AY57+(ATM_Conf!$C$5/ATM_Conf!$C$8)*(BS58*EXP(-(1/DG58)*(AE58/CM58)^DG58)-AY57)+(ATM_Conf!$C$5/AE245)*AY57*(Nodes!BF57-AY57)</f>
        <v>#DIV/0!</v>
      </c>
      <c r="AZ58" s="43" t="e">
        <f>AZ57+(ATM_Conf!$C$5/ATM_Conf!$C$8)*(BT58*EXP(-(1/DH58)*(AF58/CN58)^DH58)-AZ57)-(ATM_Conf!$C$5*ATM_Conf!$C$9)/(AF245*ATM_Conf!$C$8)*(Nodes!BV57-AF57)/(AF57+ATM_Conf!$C$10)</f>
        <v>#DIV/0!</v>
      </c>
      <c r="BA58" s="43" t="e">
        <f>BA57+(ATM_Conf!$C$5/ATM_Conf!$C$8)*(BU58*EXP(-(1/DI58)*(AG58/CO58)^DI58)-BA57)+(ATM_Conf!$C$5/AG245)*BA57*(Nodes!BI57-BA57)-(ATM_Conf!$C$5*ATM_Conf!$C$9)/(AG245*ATM_Conf!$C$8)*(Nodes!BW57-AG57)/(AG57+ATM_Conf!$C$10)</f>
        <v>#DIV/0!</v>
      </c>
      <c r="BB58" s="43" t="e">
        <f>BB57+(ATM_Conf!$C$5/ATM_Conf!$C$8)*(BV58*EXP(-(1/DJ58)*(AH58/CP58)^DJ58)-BB57)+(ATM_Conf!$C$5/AH245)*BB57*(Nodes!BJ57-BB57)-(ATM_Conf!$C$5*ATM_Conf!$C$9)/(AH245*ATM_Conf!$C$8)*(AI57-AH57)/(AH57+ATM_Conf!$C$10)</f>
        <v>#DIV/0!</v>
      </c>
      <c r="BC58" s="43" t="e">
        <f>BC57+(ATM_Conf!$C$5/ATM_Conf!$C$8)*(BW58*EXP(-(1/DK58)*(AI58/CQ58)^DK58)-BC57)+(ATM_Conf!$C$5/AI245)*BC57*(BB57-BC57)-(ATM_Conf!$C$5*ATM_Conf!$C$9)/(AI245*ATM_Conf!$C$8)*(AJ57-AI57)/(AI57+ATM_Conf!$C$10)</f>
        <v>#DIV/0!</v>
      </c>
      <c r="BD58" s="43" t="e">
        <f>BD57+(ATM_Conf!$C$5/ATM_Conf!$C$8)*(BX58*EXP(-(1/DL58)*(AJ58/CR58)^DL58)-BD57)+(ATM_Conf!$C$5/AJ245)*BD57*(BC57-BD57)-(ATM_Conf!$C$5*ATM_Conf!$C$9)/(AJ245*ATM_Conf!$C$8)*(Nodes!BX57-AJ57)/(AJ57+ATM_Conf!$C$10)</f>
        <v>#DIV/0!</v>
      </c>
      <c r="BE58" s="43" t="e">
        <f>BE57+(ATM_Conf!$C$5/ATM_Conf!$C$8)*(BY58*EXP(-(1/DM58)*(AK58/CS58)^DM58)-BE57)+(ATM_Conf!$C$5/AK245)*BE57*(Nodes!BK57-BE57)-(ATM_Conf!$C$5*ATM_Conf!$C$9)/(AK245*ATM_Conf!$C$8)*(Nodes!BY57-AK57)/(AK57+ATM_Conf!$C$10)</f>
        <v>#DIV/0!</v>
      </c>
      <c r="BF58" s="43" t="e">
        <f>BF57+(ATM_Conf!$C$5/ATM_Conf!$C$8)*(BZ58*EXP(-(1/DN58)*(AL58/CT58)^DN58)-BF57)+(ATM_Conf!$C$5/AL245)*BF57*(BE57-BF57)-(ATM_Conf!$C$5*ATM_Conf!$C$9)/(AL245*ATM_Conf!$C$8)*(AM57-AL57)/(AL57+ATM_Conf!$C$10)</f>
        <v>#DIV/0!</v>
      </c>
      <c r="BG58" s="43" t="e">
        <f>BG57+(ATM_Conf!$C$5/ATM_Conf!$C$8)*(CA58*EXP(-(1/DO58)*(AM58/CU58)^DO58)-BG57)+(ATM_Conf!$C$5/AM245)*BG57*(Nodes!BM57-BG57)-(ATM_Conf!$C$5*ATM_Conf!$C$9)/(AM245*ATM_Conf!$C$8)*(Nodes!CA57-AM57)/(AM57+ATM_Conf!$C$10)</f>
        <v>#DIV/0!</v>
      </c>
      <c r="BH58" s="43" t="e">
        <f>BH57+(ATM_Conf!$C$5/ATM_Conf!$C$8)*(CB58*EXP(-(1/DP58)*(AN58/CV58)^DP58)-BH57)+(ATM_Conf!$C$5/AN245)*BH57*(BG57-BH57)-(ATM_Conf!$C$5*ATM_Conf!$C$9)/(AN245*ATM_Conf!$C$8)*(AO57-AN57)/(AN57+ATM_Conf!$C$10)</f>
        <v>#DIV/0!</v>
      </c>
      <c r="BI58" s="43" t="e">
        <f>BI57+(ATM_Conf!$C$5/ATM_Conf!$C$8)*(CC58*EXP(-(1/DQ58)*(AO58/CW58)^DQ58)-BI57)+(ATM_Conf!$C$5/AO245)*BI57*(BH57-BI57)</f>
        <v>#DIV/0!</v>
      </c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53"/>
      <c r="CY58" s="53"/>
      <c r="CZ58" s="53"/>
      <c r="DA58" s="53"/>
      <c r="DB58" s="53"/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  <c r="DR58" s="43">
        <f t="shared" si="35"/>
        <v>0</v>
      </c>
      <c r="DS58" s="43">
        <f t="shared" si="34"/>
        <v>0</v>
      </c>
      <c r="DT58" s="43">
        <f t="shared" si="34"/>
        <v>0</v>
      </c>
      <c r="DU58" s="43">
        <f t="shared" si="34"/>
        <v>0</v>
      </c>
      <c r="DV58" s="43">
        <f t="shared" si="34"/>
        <v>0</v>
      </c>
      <c r="DW58" s="43">
        <f t="shared" si="34"/>
        <v>0</v>
      </c>
      <c r="DX58" s="43">
        <f t="shared" si="34"/>
        <v>0</v>
      </c>
      <c r="DY58" s="43">
        <f t="shared" si="34"/>
        <v>0</v>
      </c>
      <c r="DZ58" s="43">
        <f t="shared" si="34"/>
        <v>0</v>
      </c>
      <c r="EA58" s="43">
        <f t="shared" si="34"/>
        <v>0</v>
      </c>
      <c r="EB58" s="43">
        <f t="shared" si="34"/>
        <v>0</v>
      </c>
      <c r="EC58" s="43">
        <f t="shared" si="34"/>
        <v>0</v>
      </c>
      <c r="ED58" s="43">
        <f t="shared" si="34"/>
        <v>0</v>
      </c>
      <c r="EE58" s="43">
        <f t="shared" si="34"/>
        <v>0</v>
      </c>
      <c r="EF58" s="43">
        <f t="shared" si="34"/>
        <v>0</v>
      </c>
      <c r="EG58" s="43">
        <f t="shared" si="34"/>
        <v>0</v>
      </c>
      <c r="EH58" s="43">
        <f t="shared" si="34"/>
        <v>0</v>
      </c>
      <c r="EI58" s="43">
        <f t="shared" si="34"/>
        <v>0</v>
      </c>
      <c r="EJ58" s="43">
        <f t="shared" si="34"/>
        <v>0</v>
      </c>
      <c r="EK58" s="43">
        <f t="shared" si="34"/>
        <v>0</v>
      </c>
      <c r="EL58" s="47"/>
      <c r="EM58" s="47"/>
      <c r="EN58" s="47"/>
      <c r="EO58" s="47"/>
      <c r="EP58" s="47"/>
      <c r="EQ58" s="47"/>
      <c r="ER58" s="47"/>
      <c r="ES58" s="47"/>
      <c r="ET58" s="47"/>
      <c r="EU58" s="47"/>
      <c r="EV58" s="47"/>
      <c r="EW58" s="47"/>
      <c r="EX58" s="47"/>
      <c r="EY58" s="47"/>
      <c r="EZ58" s="47"/>
      <c r="FA58" s="47"/>
      <c r="FB58" s="47"/>
      <c r="FC58" s="47"/>
      <c r="FD58" s="47"/>
      <c r="FE58" s="47"/>
    </row>
    <row r="59" spans="1:161" ht="14.25" x14ac:dyDescent="0.15">
      <c r="A59" s="46"/>
      <c r="B59" s="43" t="e">
        <f t="shared" si="2"/>
        <v>#DIV/0!</v>
      </c>
      <c r="C59" s="43" t="e">
        <f t="shared" si="3"/>
        <v>#DIV/0!</v>
      </c>
      <c r="D59" s="43" t="e">
        <f t="shared" si="4"/>
        <v>#DIV/0!</v>
      </c>
      <c r="E59" s="43" t="e">
        <f t="shared" si="5"/>
        <v>#DIV/0!</v>
      </c>
      <c r="F59" s="43" t="e">
        <f t="shared" si="6"/>
        <v>#DIV/0!</v>
      </c>
      <c r="G59" s="43" t="e">
        <f t="shared" si="7"/>
        <v>#DIV/0!</v>
      </c>
      <c r="H59" s="43" t="e">
        <f t="shared" si="8"/>
        <v>#DIV/0!</v>
      </c>
      <c r="I59" s="43" t="e">
        <f t="shared" si="9"/>
        <v>#DIV/0!</v>
      </c>
      <c r="J59" s="43" t="e">
        <f t="shared" si="10"/>
        <v>#DIV/0!</v>
      </c>
      <c r="K59" s="43" t="e">
        <f t="shared" si="11"/>
        <v>#DIV/0!</v>
      </c>
      <c r="L59" s="43" t="e">
        <f t="shared" si="12"/>
        <v>#DIV/0!</v>
      </c>
      <c r="M59" s="43" t="e">
        <f t="shared" si="13"/>
        <v>#DIV/0!</v>
      </c>
      <c r="N59" s="43" t="e">
        <f t="shared" si="14"/>
        <v>#DIV/0!</v>
      </c>
      <c r="O59" s="43" t="e">
        <f t="shared" si="15"/>
        <v>#DIV/0!</v>
      </c>
      <c r="P59" s="43" t="e">
        <f t="shared" si="16"/>
        <v>#DIV/0!</v>
      </c>
      <c r="Q59" s="43" t="e">
        <f t="shared" si="17"/>
        <v>#DIV/0!</v>
      </c>
      <c r="R59" s="43" t="e">
        <f t="shared" si="18"/>
        <v>#DIV/0!</v>
      </c>
      <c r="S59" s="43" t="e">
        <f t="shared" si="19"/>
        <v>#DIV/0!</v>
      </c>
      <c r="T59" s="43" t="e">
        <f t="shared" si="20"/>
        <v>#DIV/0!</v>
      </c>
      <c r="U59" s="43" t="e">
        <f t="shared" si="21"/>
        <v>#DIV/0!</v>
      </c>
      <c r="V59" s="53" t="e">
        <f>V58+ATM_Conf!$C$5*(B58)/(B246*V246)</f>
        <v>#DIV/0!</v>
      </c>
      <c r="W59" s="53" t="e">
        <f>W58+ATM_Conf!$C$5*(C58-B58)/(C246*W246)</f>
        <v>#DIV/0!</v>
      </c>
      <c r="X59" s="53" t="e">
        <f>X58+ATM_Conf!$C$5*(D58-C58)/(D246*X246)</f>
        <v>#DIV/0!</v>
      </c>
      <c r="Y59" s="53" t="e">
        <f>Y58+ATM_Conf!$C$5*(E58-D58)/(E246*Y246)</f>
        <v>#DIV/0!</v>
      </c>
      <c r="Z59" s="53" t="e">
        <f>Z58+ATM_Conf!$C$5*(F58-E58)/(F246*Z246)</f>
        <v>#DIV/0!</v>
      </c>
      <c r="AA59" s="53" t="e">
        <f>AA58+ATM_Conf!$C$5*(G58-F58)/(G246*AA246)</f>
        <v>#DIV/0!</v>
      </c>
      <c r="AB59" s="53" t="e">
        <f>AB58+ATM_Conf!$C$5*(H58-G58)/(H246*AB246)</f>
        <v>#DIV/0!</v>
      </c>
      <c r="AC59" s="53" t="e">
        <f>AC58+ATM_Conf!$C$5*(I58-H58)/(I246*AC246)</f>
        <v>#DIV/0!</v>
      </c>
      <c r="AD59" s="53" t="e">
        <f>AD58+ATM_Conf!$C$5*(J58-I58)/(J246*AD246)</f>
        <v>#DIV/0!</v>
      </c>
      <c r="AE59" s="53" t="e">
        <f>AE58+ATM_Conf!$C$5*(K58-J58)/(K246*AE246)</f>
        <v>#DIV/0!</v>
      </c>
      <c r="AF59" s="53" t="e">
        <f>AF58+ATM_Conf!$C$5*(L58)/(L246*AF246)</f>
        <v>#DIV/0!</v>
      </c>
      <c r="AG59" s="53" t="e">
        <f>AG58+ATM_Conf!$C$5*(M58-L58)/(M246*AG246)</f>
        <v>#DIV/0!</v>
      </c>
      <c r="AH59" s="53" t="e">
        <f>AH58+ATM_Conf!$C$5*(N58-M58)/(N246*AH246)</f>
        <v>#DIV/0!</v>
      </c>
      <c r="AI59" s="53" t="e">
        <f>AI58+ATM_Conf!$C$5*(O58-N58)/(O246*AI246)</f>
        <v>#DIV/0!</v>
      </c>
      <c r="AJ59" s="53" t="e">
        <f>AJ58+ATM_Conf!$C$5*(P58-O58)/(P246*AJ246)</f>
        <v>#DIV/0!</v>
      </c>
      <c r="AK59" s="53" t="e">
        <f>AK58+ATM_Conf!$C$5*(Q58-P58)/(Q246*AK246)</f>
        <v>#DIV/0!</v>
      </c>
      <c r="AL59" s="53" t="e">
        <f>AL58+ATM_Conf!$C$5*(R58-Q58)/(R246*AL246)</f>
        <v>#DIV/0!</v>
      </c>
      <c r="AM59" s="53" t="e">
        <f>AM58+ATM_Conf!$C$5*(S58-R58)/(S246*AM246)</f>
        <v>#DIV/0!</v>
      </c>
      <c r="AN59" s="53" t="e">
        <f>AN58+ATM_Conf!$C$5*(T58-S58)/(T246*AN246)</f>
        <v>#DIV/0!</v>
      </c>
      <c r="AO59" s="53" t="e">
        <f>AO58+ATM_Conf!$C$5*(U58-T58)/(U246*AO246)</f>
        <v>#DIV/0!</v>
      </c>
      <c r="AP59" s="43" t="e">
        <f>AP58+(ATM_Conf!$C$5/ATM_Conf!$C$8)*(BJ59*EXP(-(1/CX59)*(V59/CD59)^CX59)-AP58)-(ATM_Conf!$C$5*ATM_Conf!$C$9)/(V246*ATM_Conf!$C$8)*(Nodes!BO58-V58)/(V58+ATM_Conf!$C$10)</f>
        <v>#DIV/0!</v>
      </c>
      <c r="AQ59" s="43" t="e">
        <f>AQ58+(ATM_Conf!$C$5/ATM_Conf!$C$8)*(BK59*EXP(-(1/CY59)*(W59/CE59)^CY59)-AQ58)+(ATM_Conf!$C$5/W246)*AQ58*(AP58-AQ58)-(ATM_Conf!$C$5*ATM_Conf!$C$9)/(W246*ATM_Conf!$C$8)*(X58-W58)/(W58+ATM_Conf!$C$10)</f>
        <v>#DIV/0!</v>
      </c>
      <c r="AR59" s="43" t="e">
        <f>AR58+(ATM_Conf!$C$5/ATM_Conf!$C$8)*(BL59*EXP(-(1/CZ59)*(X59/CF59)^CZ59)-AR58)+(ATM_Conf!$C$5/X246)*AR58*(Nodes!BC58-AR58)-(ATM_Conf!$C$5*ATM_Conf!$C$9)/(X246*ATM_Conf!$C$8)*(Nodes!BQ58-X58)/(X58+ATM_Conf!$C$10)</f>
        <v>#DIV/0!</v>
      </c>
      <c r="AS59" s="43" t="e">
        <f>AS58+(ATM_Conf!$C$5/ATM_Conf!$C$8)*(BM59*EXP(-(1/DA59)*(Y59/CG59)^DA59)-AS58)+(ATM_Conf!$C$5/Y246)*AS58*(AR58-AS58)-(ATM_Conf!$C$5*ATM_Conf!$C$9)/(Y246*ATM_Conf!$C$8)*(Z58-Y58)/(Y58+ATM_Conf!$C$10)</f>
        <v>#DIV/0!</v>
      </c>
      <c r="AT59" s="43" t="e">
        <f>AT58+(ATM_Conf!$C$5/ATM_Conf!$C$8)*(BN59*EXP(-(1/DB59)*(Z59/CH59)^DB59)-AT58)+(ATM_Conf!$C$5/Z246)*AT58*(Nodes!BE58-AT58)-(ATM_Conf!$C$5*ATM_Conf!$C$9)/(Z246*ATM_Conf!$C$8)*(Nodes!BS58-Z58)/(Z58+ATM_Conf!$C$10)</f>
        <v>#DIV/0!</v>
      </c>
      <c r="AU59" s="43" t="e">
        <f>AU58+(ATM_Conf!$C$5/ATM_Conf!$C$8)*(BO59*EXP(-(1/DC59)*(AA59/CI59)^DC59)-AU58)+(ATM_Conf!$C$5/AA246)*AU58*(Nodes!BF58-AU58)-(ATM_Conf!$C$5*ATM_Conf!$C$9)/(AA246*ATM_Conf!$C$8)*(Nodes!BV58-AA58)/(AA58+ATM_Conf!$C$10)</f>
        <v>#DIV/0!</v>
      </c>
      <c r="AV59" s="43" t="e">
        <f>AV58+(ATM_Conf!$C$5/ATM_Conf!$C$8)*(BP59*EXP(-(1/DD59)*(AB59/CJ59)^DD59)-AV58)+(ATM_Conf!$C$5/AB246)*AV58*(AU58-AV58)-(ATM_Conf!$C$5*ATM_Conf!$C$9)/(AB246*ATM_Conf!$C$8)*(AC58-AB58)/(AB58+ATM_Conf!$C$10)</f>
        <v>#DIV/0!</v>
      </c>
      <c r="AW59" s="43" t="e">
        <f>AW58+(ATM_Conf!$C$5/ATM_Conf!$C$8)*(BQ59*EXP(-(1/DE59)*(AC59/CK59)^DE59)-AW58)+(ATM_Conf!$C$5/AC246)*AW58*(AV58-AW58)-(ATM_Conf!$C$5*ATM_Conf!$C$9)/(AC246*ATM_Conf!$C$8)*(AD58-AC58)/(AC58+ATM_Conf!$C$10)</f>
        <v>#DIV/0!</v>
      </c>
      <c r="AX59" s="43" t="e">
        <f>AX58+(ATM_Conf!$C$5/ATM_Conf!$C$8)*(BR59*EXP(-(1/DF59)*(AD59/CL59)^DF59)-AX58)+(ATM_Conf!$C$5/AD246)*AX58*(Nodes!BG58-AX58)-(ATM_Conf!$C$5*ATM_Conf!$C$9)/(AD246*ATM_Conf!$C$8)*(Nodes!BU58-AD58)/(AD58+ATM_Conf!$C$10)</f>
        <v>#DIV/0!</v>
      </c>
      <c r="AY59" s="43" t="e">
        <f>AY58+(ATM_Conf!$C$5/ATM_Conf!$C$8)*(BS59*EXP(-(1/DG59)*(AE59/CM59)^DG59)-AY58)+(ATM_Conf!$C$5/AE246)*AY58*(Nodes!BF58-AY58)</f>
        <v>#DIV/0!</v>
      </c>
      <c r="AZ59" s="43" t="e">
        <f>AZ58+(ATM_Conf!$C$5/ATM_Conf!$C$8)*(BT59*EXP(-(1/DH59)*(AF59/CN59)^DH59)-AZ58)-(ATM_Conf!$C$5*ATM_Conf!$C$9)/(AF246*ATM_Conf!$C$8)*(Nodes!BV58-AF58)/(AF58+ATM_Conf!$C$10)</f>
        <v>#DIV/0!</v>
      </c>
      <c r="BA59" s="43" t="e">
        <f>BA58+(ATM_Conf!$C$5/ATM_Conf!$C$8)*(BU59*EXP(-(1/DI59)*(AG59/CO59)^DI59)-BA58)+(ATM_Conf!$C$5/AG246)*BA58*(Nodes!BI58-BA58)-(ATM_Conf!$C$5*ATM_Conf!$C$9)/(AG246*ATM_Conf!$C$8)*(Nodes!BW58-AG58)/(AG58+ATM_Conf!$C$10)</f>
        <v>#DIV/0!</v>
      </c>
      <c r="BB59" s="43" t="e">
        <f>BB58+(ATM_Conf!$C$5/ATM_Conf!$C$8)*(BV59*EXP(-(1/DJ59)*(AH59/CP59)^DJ59)-BB58)+(ATM_Conf!$C$5/AH246)*BB58*(Nodes!BJ58-BB58)-(ATM_Conf!$C$5*ATM_Conf!$C$9)/(AH246*ATM_Conf!$C$8)*(AI58-AH58)/(AH58+ATM_Conf!$C$10)</f>
        <v>#DIV/0!</v>
      </c>
      <c r="BC59" s="43" t="e">
        <f>BC58+(ATM_Conf!$C$5/ATM_Conf!$C$8)*(BW59*EXP(-(1/DK59)*(AI59/CQ59)^DK59)-BC58)+(ATM_Conf!$C$5/AI246)*BC58*(BB58-BC58)-(ATM_Conf!$C$5*ATM_Conf!$C$9)/(AI246*ATM_Conf!$C$8)*(AJ58-AI58)/(AI58+ATM_Conf!$C$10)</f>
        <v>#DIV/0!</v>
      </c>
      <c r="BD59" s="43" t="e">
        <f>BD58+(ATM_Conf!$C$5/ATM_Conf!$C$8)*(BX59*EXP(-(1/DL59)*(AJ59/CR59)^DL59)-BD58)+(ATM_Conf!$C$5/AJ246)*BD58*(BC58-BD58)-(ATM_Conf!$C$5*ATM_Conf!$C$9)/(AJ246*ATM_Conf!$C$8)*(Nodes!BX58-AJ58)/(AJ58+ATM_Conf!$C$10)</f>
        <v>#DIV/0!</v>
      </c>
      <c r="BE59" s="43" t="e">
        <f>BE58+(ATM_Conf!$C$5/ATM_Conf!$C$8)*(BY59*EXP(-(1/DM59)*(AK59/CS59)^DM59)-BE58)+(ATM_Conf!$C$5/AK246)*BE58*(Nodes!BK58-BE58)-(ATM_Conf!$C$5*ATM_Conf!$C$9)/(AK246*ATM_Conf!$C$8)*(Nodes!BY58-AK58)/(AK58+ATM_Conf!$C$10)</f>
        <v>#DIV/0!</v>
      </c>
      <c r="BF59" s="43" t="e">
        <f>BF58+(ATM_Conf!$C$5/ATM_Conf!$C$8)*(BZ59*EXP(-(1/DN59)*(AL59/CT59)^DN59)-BF58)+(ATM_Conf!$C$5/AL246)*BF58*(BE58-BF58)-(ATM_Conf!$C$5*ATM_Conf!$C$9)/(AL246*ATM_Conf!$C$8)*(AM58-AL58)/(AL58+ATM_Conf!$C$10)</f>
        <v>#DIV/0!</v>
      </c>
      <c r="BG59" s="43" t="e">
        <f>BG58+(ATM_Conf!$C$5/ATM_Conf!$C$8)*(CA59*EXP(-(1/DO59)*(AM59/CU59)^DO59)-BG58)+(ATM_Conf!$C$5/AM246)*BG58*(Nodes!BM58-BG58)-(ATM_Conf!$C$5*ATM_Conf!$C$9)/(AM246*ATM_Conf!$C$8)*(Nodes!CA58-AM58)/(AM58+ATM_Conf!$C$10)</f>
        <v>#DIV/0!</v>
      </c>
      <c r="BH59" s="43" t="e">
        <f>BH58+(ATM_Conf!$C$5/ATM_Conf!$C$8)*(CB59*EXP(-(1/DP59)*(AN59/CV59)^DP59)-BH58)+(ATM_Conf!$C$5/AN246)*BH58*(BG58-BH58)-(ATM_Conf!$C$5*ATM_Conf!$C$9)/(AN246*ATM_Conf!$C$8)*(AO58-AN58)/(AN58+ATM_Conf!$C$10)</f>
        <v>#DIV/0!</v>
      </c>
      <c r="BI59" s="43" t="e">
        <f>BI58+(ATM_Conf!$C$5/ATM_Conf!$C$8)*(CC59*EXP(-(1/DQ59)*(AO59/CW59)^DQ59)-BI58)+(ATM_Conf!$C$5/AO246)*BI58*(BH58-BI58)</f>
        <v>#DIV/0!</v>
      </c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53"/>
      <c r="CY59" s="53"/>
      <c r="CZ59" s="53"/>
      <c r="DA59" s="53"/>
      <c r="DB59" s="53"/>
      <c r="DC59" s="53"/>
      <c r="DD59" s="53"/>
      <c r="DE59" s="53"/>
      <c r="DF59" s="53"/>
      <c r="DG59" s="53"/>
      <c r="DH59" s="53"/>
      <c r="DI59" s="53"/>
      <c r="DJ59" s="53"/>
      <c r="DK59" s="53"/>
      <c r="DL59" s="53"/>
      <c r="DM59" s="53"/>
      <c r="DN59" s="53"/>
      <c r="DO59" s="53"/>
      <c r="DP59" s="53"/>
      <c r="DQ59" s="53"/>
      <c r="DR59" s="43">
        <f t="shared" si="35"/>
        <v>0</v>
      </c>
      <c r="DS59" s="43">
        <f t="shared" si="34"/>
        <v>0</v>
      </c>
      <c r="DT59" s="43">
        <f t="shared" si="34"/>
        <v>0</v>
      </c>
      <c r="DU59" s="43">
        <f t="shared" si="34"/>
        <v>0</v>
      </c>
      <c r="DV59" s="43">
        <f t="shared" si="34"/>
        <v>0</v>
      </c>
      <c r="DW59" s="43">
        <f t="shared" si="34"/>
        <v>0</v>
      </c>
      <c r="DX59" s="43">
        <f t="shared" si="34"/>
        <v>0</v>
      </c>
      <c r="DY59" s="43">
        <f t="shared" si="34"/>
        <v>0</v>
      </c>
      <c r="DZ59" s="43">
        <f t="shared" si="34"/>
        <v>0</v>
      </c>
      <c r="EA59" s="43">
        <f t="shared" si="34"/>
        <v>0</v>
      </c>
      <c r="EB59" s="43">
        <f t="shared" si="34"/>
        <v>0</v>
      </c>
      <c r="EC59" s="43">
        <f t="shared" si="34"/>
        <v>0</v>
      </c>
      <c r="ED59" s="43">
        <f t="shared" si="34"/>
        <v>0</v>
      </c>
      <c r="EE59" s="43">
        <f t="shared" si="34"/>
        <v>0</v>
      </c>
      <c r="EF59" s="43">
        <f t="shared" si="34"/>
        <v>0</v>
      </c>
      <c r="EG59" s="43">
        <f t="shared" si="34"/>
        <v>0</v>
      </c>
      <c r="EH59" s="43">
        <f t="shared" si="34"/>
        <v>0</v>
      </c>
      <c r="EI59" s="43">
        <f t="shared" si="34"/>
        <v>0</v>
      </c>
      <c r="EJ59" s="43">
        <f t="shared" si="34"/>
        <v>0</v>
      </c>
      <c r="EK59" s="43">
        <f t="shared" si="34"/>
        <v>0</v>
      </c>
      <c r="EL59" s="47"/>
      <c r="EM59" s="47"/>
      <c r="EN59" s="47"/>
      <c r="EO59" s="47"/>
      <c r="EP59" s="47"/>
      <c r="EQ59" s="47"/>
      <c r="ER59" s="47"/>
      <c r="ES59" s="47"/>
      <c r="ET59" s="47"/>
      <c r="EU59" s="47"/>
      <c r="EV59" s="47"/>
      <c r="EW59" s="47"/>
      <c r="EX59" s="47"/>
      <c r="EY59" s="47"/>
      <c r="EZ59" s="47"/>
      <c r="FA59" s="47"/>
      <c r="FB59" s="47"/>
      <c r="FC59" s="47"/>
      <c r="FD59" s="47"/>
      <c r="FE59" s="47"/>
    </row>
    <row r="60" spans="1:161" ht="14.25" x14ac:dyDescent="0.15">
      <c r="A60" s="46"/>
      <c r="B60" s="43" t="e">
        <f t="shared" si="2"/>
        <v>#DIV/0!</v>
      </c>
      <c r="C60" s="43" t="e">
        <f t="shared" si="3"/>
        <v>#DIV/0!</v>
      </c>
      <c r="D60" s="43" t="e">
        <f t="shared" si="4"/>
        <v>#DIV/0!</v>
      </c>
      <c r="E60" s="43" t="e">
        <f t="shared" si="5"/>
        <v>#DIV/0!</v>
      </c>
      <c r="F60" s="43" t="e">
        <f t="shared" si="6"/>
        <v>#DIV/0!</v>
      </c>
      <c r="G60" s="43" t="e">
        <f t="shared" si="7"/>
        <v>#DIV/0!</v>
      </c>
      <c r="H60" s="43" t="e">
        <f t="shared" si="8"/>
        <v>#DIV/0!</v>
      </c>
      <c r="I60" s="43" t="e">
        <f t="shared" si="9"/>
        <v>#DIV/0!</v>
      </c>
      <c r="J60" s="43" t="e">
        <f t="shared" si="10"/>
        <v>#DIV/0!</v>
      </c>
      <c r="K60" s="43" t="e">
        <f t="shared" si="11"/>
        <v>#DIV/0!</v>
      </c>
      <c r="L60" s="43" t="e">
        <f t="shared" si="12"/>
        <v>#DIV/0!</v>
      </c>
      <c r="M60" s="43" t="e">
        <f t="shared" si="13"/>
        <v>#DIV/0!</v>
      </c>
      <c r="N60" s="43" t="e">
        <f t="shared" si="14"/>
        <v>#DIV/0!</v>
      </c>
      <c r="O60" s="43" t="e">
        <f t="shared" si="15"/>
        <v>#DIV/0!</v>
      </c>
      <c r="P60" s="43" t="e">
        <f t="shared" si="16"/>
        <v>#DIV/0!</v>
      </c>
      <c r="Q60" s="43" t="e">
        <f t="shared" si="17"/>
        <v>#DIV/0!</v>
      </c>
      <c r="R60" s="43" t="e">
        <f t="shared" si="18"/>
        <v>#DIV/0!</v>
      </c>
      <c r="S60" s="43" t="e">
        <f t="shared" si="19"/>
        <v>#DIV/0!</v>
      </c>
      <c r="T60" s="43" t="e">
        <f t="shared" si="20"/>
        <v>#DIV/0!</v>
      </c>
      <c r="U60" s="43" t="e">
        <f t="shared" si="21"/>
        <v>#DIV/0!</v>
      </c>
      <c r="V60" s="53" t="e">
        <f>V59+ATM_Conf!$C$5*(B59)/(B247*V247)</f>
        <v>#DIV/0!</v>
      </c>
      <c r="W60" s="53" t="e">
        <f>W59+ATM_Conf!$C$5*(C59-B59)/(C247*W247)</f>
        <v>#DIV/0!</v>
      </c>
      <c r="X60" s="53" t="e">
        <f>X59+ATM_Conf!$C$5*(D59-C59)/(D247*X247)</f>
        <v>#DIV/0!</v>
      </c>
      <c r="Y60" s="53" t="e">
        <f>Y59+ATM_Conf!$C$5*(E59-D59)/(E247*Y247)</f>
        <v>#DIV/0!</v>
      </c>
      <c r="Z60" s="53" t="e">
        <f>Z59+ATM_Conf!$C$5*(F59-E59)/(F247*Z247)</f>
        <v>#DIV/0!</v>
      </c>
      <c r="AA60" s="53" t="e">
        <f>AA59+ATM_Conf!$C$5*(G59-F59)/(G247*AA247)</f>
        <v>#DIV/0!</v>
      </c>
      <c r="AB60" s="53" t="e">
        <f>AB59+ATM_Conf!$C$5*(H59-G59)/(H247*AB247)</f>
        <v>#DIV/0!</v>
      </c>
      <c r="AC60" s="53" t="e">
        <f>AC59+ATM_Conf!$C$5*(I59-H59)/(I247*AC247)</f>
        <v>#DIV/0!</v>
      </c>
      <c r="AD60" s="53" t="e">
        <f>AD59+ATM_Conf!$C$5*(J59-I59)/(J247*AD247)</f>
        <v>#DIV/0!</v>
      </c>
      <c r="AE60" s="53" t="e">
        <f>AE59+ATM_Conf!$C$5*(K59-J59)/(K247*AE247)</f>
        <v>#DIV/0!</v>
      </c>
      <c r="AF60" s="53" t="e">
        <f>AF59+ATM_Conf!$C$5*(L59)/(L247*AF247)</f>
        <v>#DIV/0!</v>
      </c>
      <c r="AG60" s="53" t="e">
        <f>AG59+ATM_Conf!$C$5*(M59-L59)/(M247*AG247)</f>
        <v>#DIV/0!</v>
      </c>
      <c r="AH60" s="53" t="e">
        <f>AH59+ATM_Conf!$C$5*(N59-M59)/(N247*AH247)</f>
        <v>#DIV/0!</v>
      </c>
      <c r="AI60" s="53" t="e">
        <f>AI59+ATM_Conf!$C$5*(O59-N59)/(O247*AI247)</f>
        <v>#DIV/0!</v>
      </c>
      <c r="AJ60" s="53" t="e">
        <f>AJ59+ATM_Conf!$C$5*(P59-O59)/(P247*AJ247)</f>
        <v>#DIV/0!</v>
      </c>
      <c r="AK60" s="53" t="e">
        <f>AK59+ATM_Conf!$C$5*(Q59-P59)/(Q247*AK247)</f>
        <v>#DIV/0!</v>
      </c>
      <c r="AL60" s="53" t="e">
        <f>AL59+ATM_Conf!$C$5*(R59-Q59)/(R247*AL247)</f>
        <v>#DIV/0!</v>
      </c>
      <c r="AM60" s="53" t="e">
        <f>AM59+ATM_Conf!$C$5*(S59-R59)/(S247*AM247)</f>
        <v>#DIV/0!</v>
      </c>
      <c r="AN60" s="53" t="e">
        <f>AN59+ATM_Conf!$C$5*(T59-S59)/(T247*AN247)</f>
        <v>#DIV/0!</v>
      </c>
      <c r="AO60" s="53" t="e">
        <f>AO59+ATM_Conf!$C$5*(U59-T59)/(U247*AO247)</f>
        <v>#DIV/0!</v>
      </c>
      <c r="AP60" s="43" t="e">
        <f>AP59+(ATM_Conf!$C$5/ATM_Conf!$C$8)*(BJ60*EXP(-(1/CX60)*(V60/CD60)^CX60)-AP59)-(ATM_Conf!$C$5*ATM_Conf!$C$9)/(V247*ATM_Conf!$C$8)*(Nodes!BO59-V59)/(V59+ATM_Conf!$C$10)</f>
        <v>#DIV/0!</v>
      </c>
      <c r="AQ60" s="43" t="e">
        <f>AQ59+(ATM_Conf!$C$5/ATM_Conf!$C$8)*(BK60*EXP(-(1/CY60)*(W60/CE60)^CY60)-AQ59)+(ATM_Conf!$C$5/W247)*AQ59*(AP59-AQ59)-(ATM_Conf!$C$5*ATM_Conf!$C$9)/(W247*ATM_Conf!$C$8)*(X59-W59)/(W59+ATM_Conf!$C$10)</f>
        <v>#DIV/0!</v>
      </c>
      <c r="AR60" s="43" t="e">
        <f>AR59+(ATM_Conf!$C$5/ATM_Conf!$C$8)*(BL60*EXP(-(1/CZ60)*(X60/CF60)^CZ60)-AR59)+(ATM_Conf!$C$5/X247)*AR59*(Nodes!BC59-AR59)-(ATM_Conf!$C$5*ATM_Conf!$C$9)/(X247*ATM_Conf!$C$8)*(Nodes!BQ59-X59)/(X59+ATM_Conf!$C$10)</f>
        <v>#DIV/0!</v>
      </c>
      <c r="AS60" s="43" t="e">
        <f>AS59+(ATM_Conf!$C$5/ATM_Conf!$C$8)*(BM60*EXP(-(1/DA60)*(Y60/CG60)^DA60)-AS59)+(ATM_Conf!$C$5/Y247)*AS59*(AR59-AS59)-(ATM_Conf!$C$5*ATM_Conf!$C$9)/(Y247*ATM_Conf!$C$8)*(Z59-Y59)/(Y59+ATM_Conf!$C$10)</f>
        <v>#DIV/0!</v>
      </c>
      <c r="AT60" s="43" t="e">
        <f>AT59+(ATM_Conf!$C$5/ATM_Conf!$C$8)*(BN60*EXP(-(1/DB60)*(Z60/CH60)^DB60)-AT59)+(ATM_Conf!$C$5/Z247)*AT59*(Nodes!BE59-AT59)-(ATM_Conf!$C$5*ATM_Conf!$C$9)/(Z247*ATM_Conf!$C$8)*(Nodes!BS59-Z59)/(Z59+ATM_Conf!$C$10)</f>
        <v>#DIV/0!</v>
      </c>
      <c r="AU60" s="43" t="e">
        <f>AU59+(ATM_Conf!$C$5/ATM_Conf!$C$8)*(BO60*EXP(-(1/DC60)*(AA60/CI60)^DC60)-AU59)+(ATM_Conf!$C$5/AA247)*AU59*(Nodes!BF59-AU59)-(ATM_Conf!$C$5*ATM_Conf!$C$9)/(AA247*ATM_Conf!$C$8)*(Nodes!BV59-AA59)/(AA59+ATM_Conf!$C$10)</f>
        <v>#DIV/0!</v>
      </c>
      <c r="AV60" s="43" t="e">
        <f>AV59+(ATM_Conf!$C$5/ATM_Conf!$C$8)*(BP60*EXP(-(1/DD60)*(AB60/CJ60)^DD60)-AV59)+(ATM_Conf!$C$5/AB247)*AV59*(AU59-AV59)-(ATM_Conf!$C$5*ATM_Conf!$C$9)/(AB247*ATM_Conf!$C$8)*(AC59-AB59)/(AB59+ATM_Conf!$C$10)</f>
        <v>#DIV/0!</v>
      </c>
      <c r="AW60" s="43" t="e">
        <f>AW59+(ATM_Conf!$C$5/ATM_Conf!$C$8)*(BQ60*EXP(-(1/DE60)*(AC60/CK60)^DE60)-AW59)+(ATM_Conf!$C$5/AC247)*AW59*(AV59-AW59)-(ATM_Conf!$C$5*ATM_Conf!$C$9)/(AC247*ATM_Conf!$C$8)*(AD59-AC59)/(AC59+ATM_Conf!$C$10)</f>
        <v>#DIV/0!</v>
      </c>
      <c r="AX60" s="43" t="e">
        <f>AX59+(ATM_Conf!$C$5/ATM_Conf!$C$8)*(BR60*EXP(-(1/DF60)*(AD60/CL60)^DF60)-AX59)+(ATM_Conf!$C$5/AD247)*AX59*(Nodes!BG59-AX59)-(ATM_Conf!$C$5*ATM_Conf!$C$9)/(AD247*ATM_Conf!$C$8)*(Nodes!BU59-AD59)/(AD59+ATM_Conf!$C$10)</f>
        <v>#DIV/0!</v>
      </c>
      <c r="AY60" s="43" t="e">
        <f>AY59+(ATM_Conf!$C$5/ATM_Conf!$C$8)*(BS60*EXP(-(1/DG60)*(AE60/CM60)^DG60)-AY59)+(ATM_Conf!$C$5/AE247)*AY59*(Nodes!BF59-AY59)</f>
        <v>#DIV/0!</v>
      </c>
      <c r="AZ60" s="43" t="e">
        <f>AZ59+(ATM_Conf!$C$5/ATM_Conf!$C$8)*(BT60*EXP(-(1/DH60)*(AF60/CN60)^DH60)-AZ59)-(ATM_Conf!$C$5*ATM_Conf!$C$9)/(AF247*ATM_Conf!$C$8)*(Nodes!BV59-AF59)/(AF59+ATM_Conf!$C$10)</f>
        <v>#DIV/0!</v>
      </c>
      <c r="BA60" s="43" t="e">
        <f>BA59+(ATM_Conf!$C$5/ATM_Conf!$C$8)*(BU60*EXP(-(1/DI60)*(AG60/CO60)^DI60)-BA59)+(ATM_Conf!$C$5/AG247)*BA59*(Nodes!BI59-BA59)-(ATM_Conf!$C$5*ATM_Conf!$C$9)/(AG247*ATM_Conf!$C$8)*(Nodes!BW59-AG59)/(AG59+ATM_Conf!$C$10)</f>
        <v>#DIV/0!</v>
      </c>
      <c r="BB60" s="43" t="e">
        <f>BB59+(ATM_Conf!$C$5/ATM_Conf!$C$8)*(BV60*EXP(-(1/DJ60)*(AH60/CP60)^DJ60)-BB59)+(ATM_Conf!$C$5/AH247)*BB59*(Nodes!BJ59-BB59)-(ATM_Conf!$C$5*ATM_Conf!$C$9)/(AH247*ATM_Conf!$C$8)*(AI59-AH59)/(AH59+ATM_Conf!$C$10)</f>
        <v>#DIV/0!</v>
      </c>
      <c r="BC60" s="43" t="e">
        <f>BC59+(ATM_Conf!$C$5/ATM_Conf!$C$8)*(BW60*EXP(-(1/DK60)*(AI60/CQ60)^DK60)-BC59)+(ATM_Conf!$C$5/AI247)*BC59*(BB59-BC59)-(ATM_Conf!$C$5*ATM_Conf!$C$9)/(AI247*ATM_Conf!$C$8)*(AJ59-AI59)/(AI59+ATM_Conf!$C$10)</f>
        <v>#DIV/0!</v>
      </c>
      <c r="BD60" s="43" t="e">
        <f>BD59+(ATM_Conf!$C$5/ATM_Conf!$C$8)*(BX60*EXP(-(1/DL60)*(AJ60/CR60)^DL60)-BD59)+(ATM_Conf!$C$5/AJ247)*BD59*(BC59-BD59)-(ATM_Conf!$C$5*ATM_Conf!$C$9)/(AJ247*ATM_Conf!$C$8)*(Nodes!BX59-AJ59)/(AJ59+ATM_Conf!$C$10)</f>
        <v>#DIV/0!</v>
      </c>
      <c r="BE60" s="43" t="e">
        <f>BE59+(ATM_Conf!$C$5/ATM_Conf!$C$8)*(BY60*EXP(-(1/DM60)*(AK60/CS60)^DM60)-BE59)+(ATM_Conf!$C$5/AK247)*BE59*(Nodes!BK59-BE59)-(ATM_Conf!$C$5*ATM_Conf!$C$9)/(AK247*ATM_Conf!$C$8)*(Nodes!BY59-AK59)/(AK59+ATM_Conf!$C$10)</f>
        <v>#DIV/0!</v>
      </c>
      <c r="BF60" s="43" t="e">
        <f>BF59+(ATM_Conf!$C$5/ATM_Conf!$C$8)*(BZ60*EXP(-(1/DN60)*(AL60/CT60)^DN60)-BF59)+(ATM_Conf!$C$5/AL247)*BF59*(BE59-BF59)-(ATM_Conf!$C$5*ATM_Conf!$C$9)/(AL247*ATM_Conf!$C$8)*(AM59-AL59)/(AL59+ATM_Conf!$C$10)</f>
        <v>#DIV/0!</v>
      </c>
      <c r="BG60" s="43" t="e">
        <f>BG59+(ATM_Conf!$C$5/ATM_Conf!$C$8)*(CA60*EXP(-(1/DO60)*(AM60/CU60)^DO60)-BG59)+(ATM_Conf!$C$5/AM247)*BG59*(Nodes!BM59-BG59)-(ATM_Conf!$C$5*ATM_Conf!$C$9)/(AM247*ATM_Conf!$C$8)*(Nodes!CA59-AM59)/(AM59+ATM_Conf!$C$10)</f>
        <v>#DIV/0!</v>
      </c>
      <c r="BH60" s="43" t="e">
        <f>BH59+(ATM_Conf!$C$5/ATM_Conf!$C$8)*(CB60*EXP(-(1/DP60)*(AN60/CV60)^DP60)-BH59)+(ATM_Conf!$C$5/AN247)*BH59*(BG59-BH59)-(ATM_Conf!$C$5*ATM_Conf!$C$9)/(AN247*ATM_Conf!$C$8)*(AO59-AN59)/(AN59+ATM_Conf!$C$10)</f>
        <v>#DIV/0!</v>
      </c>
      <c r="BI60" s="43" t="e">
        <f>BI59+(ATM_Conf!$C$5/ATM_Conf!$C$8)*(CC60*EXP(-(1/DQ60)*(AO60/CW60)^DQ60)-BI59)+(ATM_Conf!$C$5/AO247)*BI59*(BH59-BI59)</f>
        <v>#DIV/0!</v>
      </c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53"/>
      <c r="CY60" s="53"/>
      <c r="CZ60" s="53"/>
      <c r="DA60" s="53"/>
      <c r="DB60" s="53"/>
      <c r="DC60" s="53"/>
      <c r="DD60" s="53"/>
      <c r="DE60" s="53"/>
      <c r="DF60" s="53"/>
      <c r="DG60" s="53"/>
      <c r="DH60" s="53"/>
      <c r="DI60" s="53"/>
      <c r="DJ60" s="53"/>
      <c r="DK60" s="53"/>
      <c r="DL60" s="53"/>
      <c r="DM60" s="53"/>
      <c r="DN60" s="53"/>
      <c r="DO60" s="53"/>
      <c r="DP60" s="53"/>
      <c r="DQ60" s="53"/>
      <c r="DR60" s="43">
        <f t="shared" si="35"/>
        <v>0</v>
      </c>
      <c r="DS60" s="43">
        <f t="shared" si="34"/>
        <v>0</v>
      </c>
      <c r="DT60" s="43">
        <f t="shared" si="34"/>
        <v>0</v>
      </c>
      <c r="DU60" s="43">
        <f t="shared" si="34"/>
        <v>0</v>
      </c>
      <c r="DV60" s="43">
        <f t="shared" si="34"/>
        <v>0</v>
      </c>
      <c r="DW60" s="43">
        <f t="shared" si="34"/>
        <v>0</v>
      </c>
      <c r="DX60" s="43">
        <f t="shared" si="34"/>
        <v>0</v>
      </c>
      <c r="DY60" s="43">
        <f t="shared" si="34"/>
        <v>0</v>
      </c>
      <c r="DZ60" s="43">
        <f t="shared" si="34"/>
        <v>0</v>
      </c>
      <c r="EA60" s="43">
        <f t="shared" si="34"/>
        <v>0</v>
      </c>
      <c r="EB60" s="43">
        <f t="shared" si="34"/>
        <v>0</v>
      </c>
      <c r="EC60" s="43">
        <f t="shared" si="34"/>
        <v>0</v>
      </c>
      <c r="ED60" s="43">
        <f t="shared" si="34"/>
        <v>0</v>
      </c>
      <c r="EE60" s="43">
        <f t="shared" si="34"/>
        <v>0</v>
      </c>
      <c r="EF60" s="43">
        <f t="shared" si="34"/>
        <v>0</v>
      </c>
      <c r="EG60" s="43">
        <f t="shared" si="34"/>
        <v>0</v>
      </c>
      <c r="EH60" s="43">
        <f t="shared" si="34"/>
        <v>0</v>
      </c>
      <c r="EI60" s="43">
        <f t="shared" si="34"/>
        <v>0</v>
      </c>
      <c r="EJ60" s="43">
        <f t="shared" si="34"/>
        <v>0</v>
      </c>
      <c r="EK60" s="43">
        <f t="shared" si="34"/>
        <v>0</v>
      </c>
      <c r="EL60" s="47"/>
      <c r="EM60" s="47"/>
      <c r="EN60" s="47"/>
      <c r="EO60" s="47"/>
      <c r="EP60" s="47"/>
      <c r="EQ60" s="47"/>
      <c r="ER60" s="47"/>
      <c r="ES60" s="47"/>
      <c r="ET60" s="47"/>
      <c r="EU60" s="47"/>
      <c r="EV60" s="47"/>
      <c r="EW60" s="47"/>
      <c r="EX60" s="47"/>
      <c r="EY60" s="47"/>
      <c r="EZ60" s="47"/>
      <c r="FA60" s="47"/>
      <c r="FB60" s="47"/>
      <c r="FC60" s="47"/>
      <c r="FD60" s="47"/>
      <c r="FE60" s="47"/>
    </row>
    <row r="61" spans="1:161" ht="14.25" x14ac:dyDescent="0.15">
      <c r="A61" s="46"/>
      <c r="B61" s="43" t="e">
        <f t="shared" si="2"/>
        <v>#DIV/0!</v>
      </c>
      <c r="C61" s="43" t="e">
        <f t="shared" si="3"/>
        <v>#DIV/0!</v>
      </c>
      <c r="D61" s="43" t="e">
        <f t="shared" si="4"/>
        <v>#DIV/0!</v>
      </c>
      <c r="E61" s="43" t="e">
        <f t="shared" si="5"/>
        <v>#DIV/0!</v>
      </c>
      <c r="F61" s="43" t="e">
        <f t="shared" si="6"/>
        <v>#DIV/0!</v>
      </c>
      <c r="G61" s="43" t="e">
        <f t="shared" si="7"/>
        <v>#DIV/0!</v>
      </c>
      <c r="H61" s="43" t="e">
        <f t="shared" si="8"/>
        <v>#DIV/0!</v>
      </c>
      <c r="I61" s="43" t="e">
        <f t="shared" si="9"/>
        <v>#DIV/0!</v>
      </c>
      <c r="J61" s="43" t="e">
        <f t="shared" si="10"/>
        <v>#DIV/0!</v>
      </c>
      <c r="K61" s="43" t="e">
        <f t="shared" si="11"/>
        <v>#DIV/0!</v>
      </c>
      <c r="L61" s="43" t="e">
        <f t="shared" si="12"/>
        <v>#DIV/0!</v>
      </c>
      <c r="M61" s="43" t="e">
        <f t="shared" si="13"/>
        <v>#DIV/0!</v>
      </c>
      <c r="N61" s="43" t="e">
        <f t="shared" si="14"/>
        <v>#DIV/0!</v>
      </c>
      <c r="O61" s="43" t="e">
        <f t="shared" si="15"/>
        <v>#DIV/0!</v>
      </c>
      <c r="P61" s="43" t="e">
        <f t="shared" si="16"/>
        <v>#DIV/0!</v>
      </c>
      <c r="Q61" s="43" t="e">
        <f t="shared" si="17"/>
        <v>#DIV/0!</v>
      </c>
      <c r="R61" s="43" t="e">
        <f t="shared" si="18"/>
        <v>#DIV/0!</v>
      </c>
      <c r="S61" s="43" t="e">
        <f t="shared" si="19"/>
        <v>#DIV/0!</v>
      </c>
      <c r="T61" s="43" t="e">
        <f t="shared" si="20"/>
        <v>#DIV/0!</v>
      </c>
      <c r="U61" s="43" t="e">
        <f t="shared" si="21"/>
        <v>#DIV/0!</v>
      </c>
      <c r="V61" s="53" t="e">
        <f>V60+ATM_Conf!$C$5*(B60)/(B248*V248)</f>
        <v>#DIV/0!</v>
      </c>
      <c r="W61" s="53" t="e">
        <f>W60+ATM_Conf!$C$5*(C60-B60)/(C248*W248)</f>
        <v>#DIV/0!</v>
      </c>
      <c r="X61" s="53" t="e">
        <f>X60+ATM_Conf!$C$5*(D60-C60)/(D248*X248)</f>
        <v>#DIV/0!</v>
      </c>
      <c r="Y61" s="53" t="e">
        <f>Y60+ATM_Conf!$C$5*(E60-D60)/(E248*Y248)</f>
        <v>#DIV/0!</v>
      </c>
      <c r="Z61" s="53" t="e">
        <f>Z60+ATM_Conf!$C$5*(F60-E60)/(F248*Z248)</f>
        <v>#DIV/0!</v>
      </c>
      <c r="AA61" s="53" t="e">
        <f>AA60+ATM_Conf!$C$5*(G60-F60)/(G248*AA248)</f>
        <v>#DIV/0!</v>
      </c>
      <c r="AB61" s="53" t="e">
        <f>AB60+ATM_Conf!$C$5*(H60-G60)/(H248*AB248)</f>
        <v>#DIV/0!</v>
      </c>
      <c r="AC61" s="53" t="e">
        <f>AC60+ATM_Conf!$C$5*(I60-H60)/(I248*AC248)</f>
        <v>#DIV/0!</v>
      </c>
      <c r="AD61" s="53" t="e">
        <f>AD60+ATM_Conf!$C$5*(J60-I60)/(J248*AD248)</f>
        <v>#DIV/0!</v>
      </c>
      <c r="AE61" s="53" t="e">
        <f>AE60+ATM_Conf!$C$5*(K60-J60)/(K248*AE248)</f>
        <v>#DIV/0!</v>
      </c>
      <c r="AF61" s="53" t="e">
        <f>AF60+ATM_Conf!$C$5*(L60)/(L248*AF248)</f>
        <v>#DIV/0!</v>
      </c>
      <c r="AG61" s="53" t="e">
        <f>AG60+ATM_Conf!$C$5*(M60-L60)/(M248*AG248)</f>
        <v>#DIV/0!</v>
      </c>
      <c r="AH61" s="53" t="e">
        <f>AH60+ATM_Conf!$C$5*(N60-M60)/(N248*AH248)</f>
        <v>#DIV/0!</v>
      </c>
      <c r="AI61" s="53" t="e">
        <f>AI60+ATM_Conf!$C$5*(O60-N60)/(O248*AI248)</f>
        <v>#DIV/0!</v>
      </c>
      <c r="AJ61" s="53" t="e">
        <f>AJ60+ATM_Conf!$C$5*(P60-O60)/(P248*AJ248)</f>
        <v>#DIV/0!</v>
      </c>
      <c r="AK61" s="53" t="e">
        <f>AK60+ATM_Conf!$C$5*(Q60-P60)/(Q248*AK248)</f>
        <v>#DIV/0!</v>
      </c>
      <c r="AL61" s="53" t="e">
        <f>AL60+ATM_Conf!$C$5*(R60-Q60)/(R248*AL248)</f>
        <v>#DIV/0!</v>
      </c>
      <c r="AM61" s="53" t="e">
        <f>AM60+ATM_Conf!$C$5*(S60-R60)/(S248*AM248)</f>
        <v>#DIV/0!</v>
      </c>
      <c r="AN61" s="53" t="e">
        <f>AN60+ATM_Conf!$C$5*(T60-S60)/(T248*AN248)</f>
        <v>#DIV/0!</v>
      </c>
      <c r="AO61" s="53" t="e">
        <f>AO60+ATM_Conf!$C$5*(U60-T60)/(U248*AO248)</f>
        <v>#DIV/0!</v>
      </c>
      <c r="AP61" s="43" t="e">
        <f>AP60+(ATM_Conf!$C$5/ATM_Conf!$C$8)*(BJ61*EXP(-(1/CX61)*(V61/CD61)^CX61)-AP60)-(ATM_Conf!$C$5*ATM_Conf!$C$9)/(V248*ATM_Conf!$C$8)*(Nodes!BO60-V60)/(V60+ATM_Conf!$C$10)</f>
        <v>#DIV/0!</v>
      </c>
      <c r="AQ61" s="43" t="e">
        <f>AQ60+(ATM_Conf!$C$5/ATM_Conf!$C$8)*(BK61*EXP(-(1/CY61)*(W61/CE61)^CY61)-AQ60)+(ATM_Conf!$C$5/W248)*AQ60*(AP60-AQ60)-(ATM_Conf!$C$5*ATM_Conf!$C$9)/(W248*ATM_Conf!$C$8)*(X60-W60)/(W60+ATM_Conf!$C$10)</f>
        <v>#DIV/0!</v>
      </c>
      <c r="AR61" s="43" t="e">
        <f>AR60+(ATM_Conf!$C$5/ATM_Conf!$C$8)*(BL61*EXP(-(1/CZ61)*(X61/CF61)^CZ61)-AR60)+(ATM_Conf!$C$5/X248)*AR60*(Nodes!BC60-AR60)-(ATM_Conf!$C$5*ATM_Conf!$C$9)/(X248*ATM_Conf!$C$8)*(Nodes!BQ60-X60)/(X60+ATM_Conf!$C$10)</f>
        <v>#DIV/0!</v>
      </c>
      <c r="AS61" s="43" t="e">
        <f>AS60+(ATM_Conf!$C$5/ATM_Conf!$C$8)*(BM61*EXP(-(1/DA61)*(Y61/CG61)^DA61)-AS60)+(ATM_Conf!$C$5/Y248)*AS60*(AR60-AS60)-(ATM_Conf!$C$5*ATM_Conf!$C$9)/(Y248*ATM_Conf!$C$8)*(Z60-Y60)/(Y60+ATM_Conf!$C$10)</f>
        <v>#DIV/0!</v>
      </c>
      <c r="AT61" s="43" t="e">
        <f>AT60+(ATM_Conf!$C$5/ATM_Conf!$C$8)*(BN61*EXP(-(1/DB61)*(Z61/CH61)^DB61)-AT60)+(ATM_Conf!$C$5/Z248)*AT60*(Nodes!BE60-AT60)-(ATM_Conf!$C$5*ATM_Conf!$C$9)/(Z248*ATM_Conf!$C$8)*(Nodes!BS60-Z60)/(Z60+ATM_Conf!$C$10)</f>
        <v>#DIV/0!</v>
      </c>
      <c r="AU61" s="43" t="e">
        <f>AU60+(ATM_Conf!$C$5/ATM_Conf!$C$8)*(BO61*EXP(-(1/DC61)*(AA61/CI61)^DC61)-AU60)+(ATM_Conf!$C$5/AA248)*AU60*(Nodes!BF60-AU60)-(ATM_Conf!$C$5*ATM_Conf!$C$9)/(AA248*ATM_Conf!$C$8)*(Nodes!BV60-AA60)/(AA60+ATM_Conf!$C$10)</f>
        <v>#DIV/0!</v>
      </c>
      <c r="AV61" s="43" t="e">
        <f>AV60+(ATM_Conf!$C$5/ATM_Conf!$C$8)*(BP61*EXP(-(1/DD61)*(AB61/CJ61)^DD61)-AV60)+(ATM_Conf!$C$5/AB248)*AV60*(AU60-AV60)-(ATM_Conf!$C$5*ATM_Conf!$C$9)/(AB248*ATM_Conf!$C$8)*(AC60-AB60)/(AB60+ATM_Conf!$C$10)</f>
        <v>#DIV/0!</v>
      </c>
      <c r="AW61" s="43" t="e">
        <f>AW60+(ATM_Conf!$C$5/ATM_Conf!$C$8)*(BQ61*EXP(-(1/DE61)*(AC61/CK61)^DE61)-AW60)+(ATM_Conf!$C$5/AC248)*AW60*(AV60-AW60)-(ATM_Conf!$C$5*ATM_Conf!$C$9)/(AC248*ATM_Conf!$C$8)*(AD60-AC60)/(AC60+ATM_Conf!$C$10)</f>
        <v>#DIV/0!</v>
      </c>
      <c r="AX61" s="43" t="e">
        <f>AX60+(ATM_Conf!$C$5/ATM_Conf!$C$8)*(BR61*EXP(-(1/DF61)*(AD61/CL61)^DF61)-AX60)+(ATM_Conf!$C$5/AD248)*AX60*(Nodes!BG60-AX60)-(ATM_Conf!$C$5*ATM_Conf!$C$9)/(AD248*ATM_Conf!$C$8)*(Nodes!BU60-AD60)/(AD60+ATM_Conf!$C$10)</f>
        <v>#DIV/0!</v>
      </c>
      <c r="AY61" s="43" t="e">
        <f>AY60+(ATM_Conf!$C$5/ATM_Conf!$C$8)*(BS61*EXP(-(1/DG61)*(AE61/CM61)^DG61)-AY60)+(ATM_Conf!$C$5/AE248)*AY60*(Nodes!BF60-AY60)</f>
        <v>#DIV/0!</v>
      </c>
      <c r="AZ61" s="43" t="e">
        <f>AZ60+(ATM_Conf!$C$5/ATM_Conf!$C$8)*(BT61*EXP(-(1/DH61)*(AF61/CN61)^DH61)-AZ60)-(ATM_Conf!$C$5*ATM_Conf!$C$9)/(AF248*ATM_Conf!$C$8)*(Nodes!BV60-AF60)/(AF60+ATM_Conf!$C$10)</f>
        <v>#DIV/0!</v>
      </c>
      <c r="BA61" s="43" t="e">
        <f>BA60+(ATM_Conf!$C$5/ATM_Conf!$C$8)*(BU61*EXP(-(1/DI61)*(AG61/CO61)^DI61)-BA60)+(ATM_Conf!$C$5/AG248)*BA60*(Nodes!BI60-BA60)-(ATM_Conf!$C$5*ATM_Conf!$C$9)/(AG248*ATM_Conf!$C$8)*(Nodes!BW60-AG60)/(AG60+ATM_Conf!$C$10)</f>
        <v>#DIV/0!</v>
      </c>
      <c r="BB61" s="43" t="e">
        <f>BB60+(ATM_Conf!$C$5/ATM_Conf!$C$8)*(BV61*EXP(-(1/DJ61)*(AH61/CP61)^DJ61)-BB60)+(ATM_Conf!$C$5/AH248)*BB60*(Nodes!BJ60-BB60)-(ATM_Conf!$C$5*ATM_Conf!$C$9)/(AH248*ATM_Conf!$C$8)*(AI60-AH60)/(AH60+ATM_Conf!$C$10)</f>
        <v>#DIV/0!</v>
      </c>
      <c r="BC61" s="43" t="e">
        <f>BC60+(ATM_Conf!$C$5/ATM_Conf!$C$8)*(BW61*EXP(-(1/DK61)*(AI61/CQ61)^DK61)-BC60)+(ATM_Conf!$C$5/AI248)*BC60*(BB60-BC60)-(ATM_Conf!$C$5*ATM_Conf!$C$9)/(AI248*ATM_Conf!$C$8)*(AJ60-AI60)/(AI60+ATM_Conf!$C$10)</f>
        <v>#DIV/0!</v>
      </c>
      <c r="BD61" s="43" t="e">
        <f>BD60+(ATM_Conf!$C$5/ATM_Conf!$C$8)*(BX61*EXP(-(1/DL61)*(AJ61/CR61)^DL61)-BD60)+(ATM_Conf!$C$5/AJ248)*BD60*(BC60-BD60)-(ATM_Conf!$C$5*ATM_Conf!$C$9)/(AJ248*ATM_Conf!$C$8)*(Nodes!BX60-AJ60)/(AJ60+ATM_Conf!$C$10)</f>
        <v>#DIV/0!</v>
      </c>
      <c r="BE61" s="43" t="e">
        <f>BE60+(ATM_Conf!$C$5/ATM_Conf!$C$8)*(BY61*EXP(-(1/DM61)*(AK61/CS61)^DM61)-BE60)+(ATM_Conf!$C$5/AK248)*BE60*(Nodes!BK60-BE60)-(ATM_Conf!$C$5*ATM_Conf!$C$9)/(AK248*ATM_Conf!$C$8)*(Nodes!BY60-AK60)/(AK60+ATM_Conf!$C$10)</f>
        <v>#DIV/0!</v>
      </c>
      <c r="BF61" s="43" t="e">
        <f>BF60+(ATM_Conf!$C$5/ATM_Conf!$C$8)*(BZ61*EXP(-(1/DN61)*(AL61/CT61)^DN61)-BF60)+(ATM_Conf!$C$5/AL248)*BF60*(BE60-BF60)-(ATM_Conf!$C$5*ATM_Conf!$C$9)/(AL248*ATM_Conf!$C$8)*(AM60-AL60)/(AL60+ATM_Conf!$C$10)</f>
        <v>#DIV/0!</v>
      </c>
      <c r="BG61" s="43" t="e">
        <f>BG60+(ATM_Conf!$C$5/ATM_Conf!$C$8)*(CA61*EXP(-(1/DO61)*(AM61/CU61)^DO61)-BG60)+(ATM_Conf!$C$5/AM248)*BG60*(Nodes!BM60-BG60)-(ATM_Conf!$C$5*ATM_Conf!$C$9)/(AM248*ATM_Conf!$C$8)*(Nodes!CA60-AM60)/(AM60+ATM_Conf!$C$10)</f>
        <v>#DIV/0!</v>
      </c>
      <c r="BH61" s="43" t="e">
        <f>BH60+(ATM_Conf!$C$5/ATM_Conf!$C$8)*(CB61*EXP(-(1/DP61)*(AN61/CV61)^DP61)-BH60)+(ATM_Conf!$C$5/AN248)*BH60*(BG60-BH60)-(ATM_Conf!$C$5*ATM_Conf!$C$9)/(AN248*ATM_Conf!$C$8)*(AO60-AN60)/(AN60+ATM_Conf!$C$10)</f>
        <v>#DIV/0!</v>
      </c>
      <c r="BI61" s="43" t="e">
        <f>BI60+(ATM_Conf!$C$5/ATM_Conf!$C$8)*(CC61*EXP(-(1/DQ61)*(AO61/CW61)^DQ61)-BI60)+(ATM_Conf!$C$5/AO248)*BI60*(BH60-BI60)</f>
        <v>#DIV/0!</v>
      </c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53"/>
      <c r="CY61" s="53"/>
      <c r="CZ61" s="53"/>
      <c r="DA61" s="53"/>
      <c r="DB61" s="53"/>
      <c r="DC61" s="53"/>
      <c r="DD61" s="53"/>
      <c r="DE61" s="53"/>
      <c r="DF61" s="53"/>
      <c r="DG61" s="53"/>
      <c r="DH61" s="53"/>
      <c r="DI61" s="53"/>
      <c r="DJ61" s="53"/>
      <c r="DK61" s="53"/>
      <c r="DL61" s="53"/>
      <c r="DM61" s="53"/>
      <c r="DN61" s="53"/>
      <c r="DO61" s="53"/>
      <c r="DP61" s="53"/>
      <c r="DQ61" s="53"/>
      <c r="DR61" s="43">
        <f t="shared" si="35"/>
        <v>0</v>
      </c>
      <c r="DS61" s="43">
        <f t="shared" si="34"/>
        <v>0</v>
      </c>
      <c r="DT61" s="43">
        <f t="shared" si="34"/>
        <v>0</v>
      </c>
      <c r="DU61" s="43">
        <f t="shared" si="34"/>
        <v>0</v>
      </c>
      <c r="DV61" s="43">
        <f t="shared" si="34"/>
        <v>0</v>
      </c>
      <c r="DW61" s="43">
        <f t="shared" si="34"/>
        <v>0</v>
      </c>
      <c r="DX61" s="43">
        <f t="shared" si="34"/>
        <v>0</v>
      </c>
      <c r="DY61" s="43">
        <f t="shared" si="34"/>
        <v>0</v>
      </c>
      <c r="DZ61" s="43">
        <f t="shared" si="34"/>
        <v>0</v>
      </c>
      <c r="EA61" s="43">
        <f t="shared" si="34"/>
        <v>0</v>
      </c>
      <c r="EB61" s="43">
        <f t="shared" si="34"/>
        <v>0</v>
      </c>
      <c r="EC61" s="43">
        <f t="shared" si="34"/>
        <v>0</v>
      </c>
      <c r="ED61" s="43">
        <f t="shared" si="34"/>
        <v>0</v>
      </c>
      <c r="EE61" s="43">
        <f t="shared" si="34"/>
        <v>0</v>
      </c>
      <c r="EF61" s="43">
        <f t="shared" si="34"/>
        <v>0</v>
      </c>
      <c r="EG61" s="43">
        <f t="shared" si="34"/>
        <v>0</v>
      </c>
      <c r="EH61" s="43">
        <f t="shared" si="34"/>
        <v>0</v>
      </c>
      <c r="EI61" s="43">
        <f t="shared" si="34"/>
        <v>0</v>
      </c>
      <c r="EJ61" s="43">
        <f t="shared" si="34"/>
        <v>0</v>
      </c>
      <c r="EK61" s="43">
        <f t="shared" si="34"/>
        <v>0</v>
      </c>
      <c r="EL61" s="47"/>
      <c r="EM61" s="47"/>
      <c r="EN61" s="47"/>
      <c r="EO61" s="47"/>
      <c r="EP61" s="47"/>
      <c r="EQ61" s="47"/>
      <c r="ER61" s="47"/>
      <c r="ES61" s="47"/>
      <c r="ET61" s="47"/>
      <c r="EU61" s="47"/>
      <c r="EV61" s="47"/>
      <c r="EW61" s="47"/>
      <c r="EX61" s="47"/>
      <c r="EY61" s="47"/>
      <c r="EZ61" s="47"/>
      <c r="FA61" s="47"/>
      <c r="FB61" s="47"/>
      <c r="FC61" s="47"/>
      <c r="FD61" s="47"/>
      <c r="FE61" s="47"/>
    </row>
    <row r="62" spans="1:161" ht="14.25" x14ac:dyDescent="0.15">
      <c r="A62" s="46"/>
      <c r="B62" s="43" t="e">
        <f t="shared" si="2"/>
        <v>#DIV/0!</v>
      </c>
      <c r="C62" s="43" t="e">
        <f t="shared" si="3"/>
        <v>#DIV/0!</v>
      </c>
      <c r="D62" s="43" t="e">
        <f t="shared" si="4"/>
        <v>#DIV/0!</v>
      </c>
      <c r="E62" s="43" t="e">
        <f t="shared" si="5"/>
        <v>#DIV/0!</v>
      </c>
      <c r="F62" s="43" t="e">
        <f t="shared" si="6"/>
        <v>#DIV/0!</v>
      </c>
      <c r="G62" s="43" t="e">
        <f t="shared" si="7"/>
        <v>#DIV/0!</v>
      </c>
      <c r="H62" s="43" t="e">
        <f t="shared" si="8"/>
        <v>#DIV/0!</v>
      </c>
      <c r="I62" s="43" t="e">
        <f t="shared" si="9"/>
        <v>#DIV/0!</v>
      </c>
      <c r="J62" s="43" t="e">
        <f t="shared" si="10"/>
        <v>#DIV/0!</v>
      </c>
      <c r="K62" s="43" t="e">
        <f t="shared" si="11"/>
        <v>#DIV/0!</v>
      </c>
      <c r="L62" s="43" t="e">
        <f t="shared" si="12"/>
        <v>#DIV/0!</v>
      </c>
      <c r="M62" s="43" t="e">
        <f t="shared" si="13"/>
        <v>#DIV/0!</v>
      </c>
      <c r="N62" s="43" t="e">
        <f t="shared" si="14"/>
        <v>#DIV/0!</v>
      </c>
      <c r="O62" s="43" t="e">
        <f t="shared" si="15"/>
        <v>#DIV/0!</v>
      </c>
      <c r="P62" s="43" t="e">
        <f t="shared" si="16"/>
        <v>#DIV/0!</v>
      </c>
      <c r="Q62" s="43" t="e">
        <f t="shared" si="17"/>
        <v>#DIV/0!</v>
      </c>
      <c r="R62" s="43" t="e">
        <f t="shared" si="18"/>
        <v>#DIV/0!</v>
      </c>
      <c r="S62" s="43" t="e">
        <f t="shared" si="19"/>
        <v>#DIV/0!</v>
      </c>
      <c r="T62" s="43" t="e">
        <f t="shared" si="20"/>
        <v>#DIV/0!</v>
      </c>
      <c r="U62" s="43" t="e">
        <f t="shared" si="21"/>
        <v>#DIV/0!</v>
      </c>
      <c r="V62" s="53" t="e">
        <f>V61+ATM_Conf!$C$5*(B61)/(B249*V249)</f>
        <v>#DIV/0!</v>
      </c>
      <c r="W62" s="53" t="e">
        <f>W61+ATM_Conf!$C$5*(C61-B61)/(C249*W249)</f>
        <v>#DIV/0!</v>
      </c>
      <c r="X62" s="53" t="e">
        <f>X61+ATM_Conf!$C$5*(D61-C61)/(D249*X249)</f>
        <v>#DIV/0!</v>
      </c>
      <c r="Y62" s="53" t="e">
        <f>Y61+ATM_Conf!$C$5*(E61-D61)/(E249*Y249)</f>
        <v>#DIV/0!</v>
      </c>
      <c r="Z62" s="53" t="e">
        <f>Z61+ATM_Conf!$C$5*(F61-E61)/(F249*Z249)</f>
        <v>#DIV/0!</v>
      </c>
      <c r="AA62" s="53" t="e">
        <f>AA61+ATM_Conf!$C$5*(G61-F61)/(G249*AA249)</f>
        <v>#DIV/0!</v>
      </c>
      <c r="AB62" s="53" t="e">
        <f>AB61+ATM_Conf!$C$5*(H61-G61)/(H249*AB249)</f>
        <v>#DIV/0!</v>
      </c>
      <c r="AC62" s="53" t="e">
        <f>AC61+ATM_Conf!$C$5*(I61-H61)/(I249*AC249)</f>
        <v>#DIV/0!</v>
      </c>
      <c r="AD62" s="53" t="e">
        <f>AD61+ATM_Conf!$C$5*(J61-I61)/(J249*AD249)</f>
        <v>#DIV/0!</v>
      </c>
      <c r="AE62" s="53" t="e">
        <f>AE61+ATM_Conf!$C$5*(K61-J61)/(K249*AE249)</f>
        <v>#DIV/0!</v>
      </c>
      <c r="AF62" s="53" t="e">
        <f>AF61+ATM_Conf!$C$5*(L61)/(L249*AF249)</f>
        <v>#DIV/0!</v>
      </c>
      <c r="AG62" s="53" t="e">
        <f>AG61+ATM_Conf!$C$5*(M61-L61)/(M249*AG249)</f>
        <v>#DIV/0!</v>
      </c>
      <c r="AH62" s="53" t="e">
        <f>AH61+ATM_Conf!$C$5*(N61-M61)/(N249*AH249)</f>
        <v>#DIV/0!</v>
      </c>
      <c r="AI62" s="53" t="e">
        <f>AI61+ATM_Conf!$C$5*(O61-N61)/(O249*AI249)</f>
        <v>#DIV/0!</v>
      </c>
      <c r="AJ62" s="53" t="e">
        <f>AJ61+ATM_Conf!$C$5*(P61-O61)/(P249*AJ249)</f>
        <v>#DIV/0!</v>
      </c>
      <c r="AK62" s="53" t="e">
        <f>AK61+ATM_Conf!$C$5*(Q61-P61)/(Q249*AK249)</f>
        <v>#DIV/0!</v>
      </c>
      <c r="AL62" s="53" t="e">
        <f>AL61+ATM_Conf!$C$5*(R61-Q61)/(R249*AL249)</f>
        <v>#DIV/0!</v>
      </c>
      <c r="AM62" s="53" t="e">
        <f>AM61+ATM_Conf!$C$5*(S61-R61)/(S249*AM249)</f>
        <v>#DIV/0!</v>
      </c>
      <c r="AN62" s="53" t="e">
        <f>AN61+ATM_Conf!$C$5*(T61-S61)/(T249*AN249)</f>
        <v>#DIV/0!</v>
      </c>
      <c r="AO62" s="53" t="e">
        <f>AO61+ATM_Conf!$C$5*(U61-T61)/(U249*AO249)</f>
        <v>#DIV/0!</v>
      </c>
      <c r="AP62" s="43" t="e">
        <f>AP61+(ATM_Conf!$C$5/ATM_Conf!$C$8)*(BJ62*EXP(-(1/CX62)*(V62/CD62)^CX62)-AP61)-(ATM_Conf!$C$5*ATM_Conf!$C$9)/(V249*ATM_Conf!$C$8)*(Nodes!BO61-V61)/(V61+ATM_Conf!$C$10)</f>
        <v>#DIV/0!</v>
      </c>
      <c r="AQ62" s="43" t="e">
        <f>AQ61+(ATM_Conf!$C$5/ATM_Conf!$C$8)*(BK62*EXP(-(1/CY62)*(W62/CE62)^CY62)-AQ61)+(ATM_Conf!$C$5/W249)*AQ61*(AP61-AQ61)-(ATM_Conf!$C$5*ATM_Conf!$C$9)/(W249*ATM_Conf!$C$8)*(X61-W61)/(W61+ATM_Conf!$C$10)</f>
        <v>#DIV/0!</v>
      </c>
      <c r="AR62" s="43" t="e">
        <f>AR61+(ATM_Conf!$C$5/ATM_Conf!$C$8)*(BL62*EXP(-(1/CZ62)*(X62/CF62)^CZ62)-AR61)+(ATM_Conf!$C$5/X249)*AR61*(Nodes!BC61-AR61)-(ATM_Conf!$C$5*ATM_Conf!$C$9)/(X249*ATM_Conf!$C$8)*(Nodes!BQ61-X61)/(X61+ATM_Conf!$C$10)</f>
        <v>#DIV/0!</v>
      </c>
      <c r="AS62" s="43" t="e">
        <f>AS61+(ATM_Conf!$C$5/ATM_Conf!$C$8)*(BM62*EXP(-(1/DA62)*(Y62/CG62)^DA62)-AS61)+(ATM_Conf!$C$5/Y249)*AS61*(AR61-AS61)-(ATM_Conf!$C$5*ATM_Conf!$C$9)/(Y249*ATM_Conf!$C$8)*(Z61-Y61)/(Y61+ATM_Conf!$C$10)</f>
        <v>#DIV/0!</v>
      </c>
      <c r="AT62" s="43" t="e">
        <f>AT61+(ATM_Conf!$C$5/ATM_Conf!$C$8)*(BN62*EXP(-(1/DB62)*(Z62/CH62)^DB62)-AT61)+(ATM_Conf!$C$5/Z249)*AT61*(Nodes!BE61-AT61)-(ATM_Conf!$C$5*ATM_Conf!$C$9)/(Z249*ATM_Conf!$C$8)*(Nodes!BS61-Z61)/(Z61+ATM_Conf!$C$10)</f>
        <v>#DIV/0!</v>
      </c>
      <c r="AU62" s="43" t="e">
        <f>AU61+(ATM_Conf!$C$5/ATM_Conf!$C$8)*(BO62*EXP(-(1/DC62)*(AA62/CI62)^DC62)-AU61)+(ATM_Conf!$C$5/AA249)*AU61*(Nodes!BF61-AU61)-(ATM_Conf!$C$5*ATM_Conf!$C$9)/(AA249*ATM_Conf!$C$8)*(Nodes!BV61-AA61)/(AA61+ATM_Conf!$C$10)</f>
        <v>#DIV/0!</v>
      </c>
      <c r="AV62" s="43" t="e">
        <f>AV61+(ATM_Conf!$C$5/ATM_Conf!$C$8)*(BP62*EXP(-(1/DD62)*(AB62/CJ62)^DD62)-AV61)+(ATM_Conf!$C$5/AB249)*AV61*(AU61-AV61)-(ATM_Conf!$C$5*ATM_Conf!$C$9)/(AB249*ATM_Conf!$C$8)*(AC61-AB61)/(AB61+ATM_Conf!$C$10)</f>
        <v>#DIV/0!</v>
      </c>
      <c r="AW62" s="43" t="e">
        <f>AW61+(ATM_Conf!$C$5/ATM_Conf!$C$8)*(BQ62*EXP(-(1/DE62)*(AC62/CK62)^DE62)-AW61)+(ATM_Conf!$C$5/AC249)*AW61*(AV61-AW61)-(ATM_Conf!$C$5*ATM_Conf!$C$9)/(AC249*ATM_Conf!$C$8)*(AD61-AC61)/(AC61+ATM_Conf!$C$10)</f>
        <v>#DIV/0!</v>
      </c>
      <c r="AX62" s="43" t="e">
        <f>AX61+(ATM_Conf!$C$5/ATM_Conf!$C$8)*(BR62*EXP(-(1/DF62)*(AD62/CL62)^DF62)-AX61)+(ATM_Conf!$C$5/AD249)*AX61*(Nodes!BG61-AX61)-(ATM_Conf!$C$5*ATM_Conf!$C$9)/(AD249*ATM_Conf!$C$8)*(Nodes!BU61-AD61)/(AD61+ATM_Conf!$C$10)</f>
        <v>#DIV/0!</v>
      </c>
      <c r="AY62" s="43" t="e">
        <f>AY61+(ATM_Conf!$C$5/ATM_Conf!$C$8)*(BS62*EXP(-(1/DG62)*(AE62/CM62)^DG62)-AY61)+(ATM_Conf!$C$5/AE249)*AY61*(Nodes!BF61-AY61)</f>
        <v>#DIV/0!</v>
      </c>
      <c r="AZ62" s="43" t="e">
        <f>AZ61+(ATM_Conf!$C$5/ATM_Conf!$C$8)*(BT62*EXP(-(1/DH62)*(AF62/CN62)^DH62)-AZ61)-(ATM_Conf!$C$5*ATM_Conf!$C$9)/(AF249*ATM_Conf!$C$8)*(Nodes!BV61-AF61)/(AF61+ATM_Conf!$C$10)</f>
        <v>#DIV/0!</v>
      </c>
      <c r="BA62" s="43" t="e">
        <f>BA61+(ATM_Conf!$C$5/ATM_Conf!$C$8)*(BU62*EXP(-(1/DI62)*(AG62/CO62)^DI62)-BA61)+(ATM_Conf!$C$5/AG249)*BA61*(Nodes!BI61-BA61)-(ATM_Conf!$C$5*ATM_Conf!$C$9)/(AG249*ATM_Conf!$C$8)*(Nodes!BW61-AG61)/(AG61+ATM_Conf!$C$10)</f>
        <v>#DIV/0!</v>
      </c>
      <c r="BB62" s="43" t="e">
        <f>BB61+(ATM_Conf!$C$5/ATM_Conf!$C$8)*(BV62*EXP(-(1/DJ62)*(AH62/CP62)^DJ62)-BB61)+(ATM_Conf!$C$5/AH249)*BB61*(Nodes!BJ61-BB61)-(ATM_Conf!$C$5*ATM_Conf!$C$9)/(AH249*ATM_Conf!$C$8)*(AI61-AH61)/(AH61+ATM_Conf!$C$10)</f>
        <v>#DIV/0!</v>
      </c>
      <c r="BC62" s="43" t="e">
        <f>BC61+(ATM_Conf!$C$5/ATM_Conf!$C$8)*(BW62*EXP(-(1/DK62)*(AI62/CQ62)^DK62)-BC61)+(ATM_Conf!$C$5/AI249)*BC61*(BB61-BC61)-(ATM_Conf!$C$5*ATM_Conf!$C$9)/(AI249*ATM_Conf!$C$8)*(AJ61-AI61)/(AI61+ATM_Conf!$C$10)</f>
        <v>#DIV/0!</v>
      </c>
      <c r="BD62" s="43" t="e">
        <f>BD61+(ATM_Conf!$C$5/ATM_Conf!$C$8)*(BX62*EXP(-(1/DL62)*(AJ62/CR62)^DL62)-BD61)+(ATM_Conf!$C$5/AJ249)*BD61*(BC61-BD61)-(ATM_Conf!$C$5*ATM_Conf!$C$9)/(AJ249*ATM_Conf!$C$8)*(Nodes!BX61-AJ61)/(AJ61+ATM_Conf!$C$10)</f>
        <v>#DIV/0!</v>
      </c>
      <c r="BE62" s="43" t="e">
        <f>BE61+(ATM_Conf!$C$5/ATM_Conf!$C$8)*(BY62*EXP(-(1/DM62)*(AK62/CS62)^DM62)-BE61)+(ATM_Conf!$C$5/AK249)*BE61*(Nodes!BK61-BE61)-(ATM_Conf!$C$5*ATM_Conf!$C$9)/(AK249*ATM_Conf!$C$8)*(Nodes!BY61-AK61)/(AK61+ATM_Conf!$C$10)</f>
        <v>#DIV/0!</v>
      </c>
      <c r="BF62" s="43" t="e">
        <f>BF61+(ATM_Conf!$C$5/ATM_Conf!$C$8)*(BZ62*EXP(-(1/DN62)*(AL62/CT62)^DN62)-BF61)+(ATM_Conf!$C$5/AL249)*BF61*(BE61-BF61)-(ATM_Conf!$C$5*ATM_Conf!$C$9)/(AL249*ATM_Conf!$C$8)*(AM61-AL61)/(AL61+ATM_Conf!$C$10)</f>
        <v>#DIV/0!</v>
      </c>
      <c r="BG62" s="43" t="e">
        <f>BG61+(ATM_Conf!$C$5/ATM_Conf!$C$8)*(CA62*EXP(-(1/DO62)*(AM62/CU62)^DO62)-BG61)+(ATM_Conf!$C$5/AM249)*BG61*(Nodes!BM61-BG61)-(ATM_Conf!$C$5*ATM_Conf!$C$9)/(AM249*ATM_Conf!$C$8)*(Nodes!CA61-AM61)/(AM61+ATM_Conf!$C$10)</f>
        <v>#DIV/0!</v>
      </c>
      <c r="BH62" s="43" t="e">
        <f>BH61+(ATM_Conf!$C$5/ATM_Conf!$C$8)*(CB62*EXP(-(1/DP62)*(AN62/CV62)^DP62)-BH61)+(ATM_Conf!$C$5/AN249)*BH61*(BG61-BH61)-(ATM_Conf!$C$5*ATM_Conf!$C$9)/(AN249*ATM_Conf!$C$8)*(AO61-AN61)/(AN61+ATM_Conf!$C$10)</f>
        <v>#DIV/0!</v>
      </c>
      <c r="BI62" s="43" t="e">
        <f>BI61+(ATM_Conf!$C$5/ATM_Conf!$C$8)*(CC62*EXP(-(1/DQ62)*(AO62/CW62)^DQ62)-BI61)+(ATM_Conf!$C$5/AO249)*BI61*(BH61-BI61)</f>
        <v>#DIV/0!</v>
      </c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53"/>
      <c r="CY62" s="53"/>
      <c r="CZ62" s="53"/>
      <c r="DA62" s="53"/>
      <c r="DB62" s="53"/>
      <c r="DC62" s="53"/>
      <c r="DD62" s="53"/>
      <c r="DE62" s="53"/>
      <c r="DF62" s="53"/>
      <c r="DG62" s="53"/>
      <c r="DH62" s="53"/>
      <c r="DI62" s="53"/>
      <c r="DJ62" s="53"/>
      <c r="DK62" s="53"/>
      <c r="DL62" s="53"/>
      <c r="DM62" s="53"/>
      <c r="DN62" s="53"/>
      <c r="DO62" s="53"/>
      <c r="DP62" s="53"/>
      <c r="DQ62" s="53"/>
      <c r="DR62" s="43">
        <f t="shared" si="35"/>
        <v>0</v>
      </c>
      <c r="DS62" s="43">
        <f t="shared" si="34"/>
        <v>0</v>
      </c>
      <c r="DT62" s="43">
        <f t="shared" si="34"/>
        <v>0</v>
      </c>
      <c r="DU62" s="43">
        <f t="shared" si="34"/>
        <v>0</v>
      </c>
      <c r="DV62" s="43">
        <f t="shared" si="34"/>
        <v>0</v>
      </c>
      <c r="DW62" s="43">
        <f t="shared" si="34"/>
        <v>0</v>
      </c>
      <c r="DX62" s="43">
        <f t="shared" si="34"/>
        <v>0</v>
      </c>
      <c r="DY62" s="43">
        <f t="shared" si="34"/>
        <v>0</v>
      </c>
      <c r="DZ62" s="43">
        <f t="shared" si="34"/>
        <v>0</v>
      </c>
      <c r="EA62" s="43">
        <f t="shared" si="34"/>
        <v>0</v>
      </c>
      <c r="EB62" s="43">
        <f t="shared" si="34"/>
        <v>0</v>
      </c>
      <c r="EC62" s="43">
        <f t="shared" si="34"/>
        <v>0</v>
      </c>
      <c r="ED62" s="43">
        <f t="shared" si="34"/>
        <v>0</v>
      </c>
      <c r="EE62" s="43">
        <f t="shared" si="34"/>
        <v>0</v>
      </c>
      <c r="EF62" s="43">
        <f t="shared" si="34"/>
        <v>0</v>
      </c>
      <c r="EG62" s="43">
        <f t="shared" si="34"/>
        <v>0</v>
      </c>
      <c r="EH62" s="43">
        <f t="shared" si="34"/>
        <v>0</v>
      </c>
      <c r="EI62" s="43">
        <f t="shared" si="34"/>
        <v>0</v>
      </c>
      <c r="EJ62" s="43">
        <f t="shared" si="34"/>
        <v>0</v>
      </c>
      <c r="EK62" s="43">
        <f t="shared" si="34"/>
        <v>0</v>
      </c>
      <c r="EL62" s="47"/>
      <c r="EM62" s="47"/>
      <c r="EN62" s="47"/>
      <c r="EO62" s="47"/>
      <c r="EP62" s="47"/>
      <c r="EQ62" s="47"/>
      <c r="ER62" s="47"/>
      <c r="ES62" s="47"/>
      <c r="ET62" s="47"/>
      <c r="EU62" s="47"/>
      <c r="EV62" s="47"/>
      <c r="EW62" s="47"/>
      <c r="EX62" s="47"/>
      <c r="EY62" s="47"/>
      <c r="EZ62" s="47"/>
      <c r="FA62" s="47"/>
      <c r="FB62" s="47"/>
      <c r="FC62" s="47"/>
      <c r="FD62" s="47"/>
      <c r="FE62" s="47"/>
    </row>
    <row r="63" spans="1:161" ht="14.25" x14ac:dyDescent="0.15">
      <c r="A63" s="46"/>
      <c r="B63" s="43" t="e">
        <f t="shared" si="2"/>
        <v>#DIV/0!</v>
      </c>
      <c r="C63" s="43" t="e">
        <f t="shared" si="3"/>
        <v>#DIV/0!</v>
      </c>
      <c r="D63" s="43" t="e">
        <f t="shared" si="4"/>
        <v>#DIV/0!</v>
      </c>
      <c r="E63" s="43" t="e">
        <f t="shared" si="5"/>
        <v>#DIV/0!</v>
      </c>
      <c r="F63" s="43" t="e">
        <f t="shared" si="6"/>
        <v>#DIV/0!</v>
      </c>
      <c r="G63" s="43" t="e">
        <f t="shared" si="7"/>
        <v>#DIV/0!</v>
      </c>
      <c r="H63" s="43" t="e">
        <f t="shared" si="8"/>
        <v>#DIV/0!</v>
      </c>
      <c r="I63" s="43" t="e">
        <f t="shared" si="9"/>
        <v>#DIV/0!</v>
      </c>
      <c r="J63" s="43" t="e">
        <f t="shared" si="10"/>
        <v>#DIV/0!</v>
      </c>
      <c r="K63" s="43" t="e">
        <f t="shared" si="11"/>
        <v>#DIV/0!</v>
      </c>
      <c r="L63" s="43" t="e">
        <f t="shared" si="12"/>
        <v>#DIV/0!</v>
      </c>
      <c r="M63" s="43" t="e">
        <f t="shared" si="13"/>
        <v>#DIV/0!</v>
      </c>
      <c r="N63" s="43" t="e">
        <f t="shared" si="14"/>
        <v>#DIV/0!</v>
      </c>
      <c r="O63" s="43" t="e">
        <f t="shared" si="15"/>
        <v>#DIV/0!</v>
      </c>
      <c r="P63" s="43" t="e">
        <f t="shared" si="16"/>
        <v>#DIV/0!</v>
      </c>
      <c r="Q63" s="43" t="e">
        <f t="shared" si="17"/>
        <v>#DIV/0!</v>
      </c>
      <c r="R63" s="43" t="e">
        <f t="shared" si="18"/>
        <v>#DIV/0!</v>
      </c>
      <c r="S63" s="43" t="e">
        <f t="shared" si="19"/>
        <v>#DIV/0!</v>
      </c>
      <c r="T63" s="43" t="e">
        <f t="shared" si="20"/>
        <v>#DIV/0!</v>
      </c>
      <c r="U63" s="43" t="e">
        <f t="shared" si="21"/>
        <v>#DIV/0!</v>
      </c>
      <c r="V63" s="53" t="e">
        <f>V62+ATM_Conf!$C$5*(B62)/(B250*V250)</f>
        <v>#DIV/0!</v>
      </c>
      <c r="W63" s="53" t="e">
        <f>W62+ATM_Conf!$C$5*(C62-B62)/(C250*W250)</f>
        <v>#DIV/0!</v>
      </c>
      <c r="X63" s="53" t="e">
        <f>X62+ATM_Conf!$C$5*(D62-C62)/(D250*X250)</f>
        <v>#DIV/0!</v>
      </c>
      <c r="Y63" s="53" t="e">
        <f>Y62+ATM_Conf!$C$5*(E62-D62)/(E250*Y250)</f>
        <v>#DIV/0!</v>
      </c>
      <c r="Z63" s="53" t="e">
        <f>Z62+ATM_Conf!$C$5*(F62-E62)/(F250*Z250)</f>
        <v>#DIV/0!</v>
      </c>
      <c r="AA63" s="53" t="e">
        <f>AA62+ATM_Conf!$C$5*(G62-F62)/(G250*AA250)</f>
        <v>#DIV/0!</v>
      </c>
      <c r="AB63" s="53" t="e">
        <f>AB62+ATM_Conf!$C$5*(H62-G62)/(H250*AB250)</f>
        <v>#DIV/0!</v>
      </c>
      <c r="AC63" s="53" t="e">
        <f>AC62+ATM_Conf!$C$5*(I62-H62)/(I250*AC250)</f>
        <v>#DIV/0!</v>
      </c>
      <c r="AD63" s="53" t="e">
        <f>AD62+ATM_Conf!$C$5*(J62-I62)/(J250*AD250)</f>
        <v>#DIV/0!</v>
      </c>
      <c r="AE63" s="53" t="e">
        <f>AE62+ATM_Conf!$C$5*(K62-J62)/(K250*AE250)</f>
        <v>#DIV/0!</v>
      </c>
      <c r="AF63" s="53" t="e">
        <f>AF62+ATM_Conf!$C$5*(L62)/(L250*AF250)</f>
        <v>#DIV/0!</v>
      </c>
      <c r="AG63" s="53" t="e">
        <f>AG62+ATM_Conf!$C$5*(M62-L62)/(M250*AG250)</f>
        <v>#DIV/0!</v>
      </c>
      <c r="AH63" s="53" t="e">
        <f>AH62+ATM_Conf!$C$5*(N62-M62)/(N250*AH250)</f>
        <v>#DIV/0!</v>
      </c>
      <c r="AI63" s="53" t="e">
        <f>AI62+ATM_Conf!$C$5*(O62-N62)/(O250*AI250)</f>
        <v>#DIV/0!</v>
      </c>
      <c r="AJ63" s="53" t="e">
        <f>AJ62+ATM_Conf!$C$5*(P62-O62)/(P250*AJ250)</f>
        <v>#DIV/0!</v>
      </c>
      <c r="AK63" s="53" t="e">
        <f>AK62+ATM_Conf!$C$5*(Q62-P62)/(Q250*AK250)</f>
        <v>#DIV/0!</v>
      </c>
      <c r="AL63" s="53" t="e">
        <f>AL62+ATM_Conf!$C$5*(R62-Q62)/(R250*AL250)</f>
        <v>#DIV/0!</v>
      </c>
      <c r="AM63" s="53" t="e">
        <f>AM62+ATM_Conf!$C$5*(S62-R62)/(S250*AM250)</f>
        <v>#DIV/0!</v>
      </c>
      <c r="AN63" s="53" t="e">
        <f>AN62+ATM_Conf!$C$5*(T62-S62)/(T250*AN250)</f>
        <v>#DIV/0!</v>
      </c>
      <c r="AO63" s="53" t="e">
        <f>AO62+ATM_Conf!$C$5*(U62-T62)/(U250*AO250)</f>
        <v>#DIV/0!</v>
      </c>
      <c r="AP63" s="43" t="e">
        <f>AP62+(ATM_Conf!$C$5/ATM_Conf!$C$8)*(BJ63*EXP(-(1/CX63)*(V63/CD63)^CX63)-AP62)-(ATM_Conf!$C$5*ATM_Conf!$C$9)/(V250*ATM_Conf!$C$8)*(Nodes!BO62-V62)/(V62+ATM_Conf!$C$10)</f>
        <v>#DIV/0!</v>
      </c>
      <c r="AQ63" s="43" t="e">
        <f>AQ62+(ATM_Conf!$C$5/ATM_Conf!$C$8)*(BK63*EXP(-(1/CY63)*(W63/CE63)^CY63)-AQ62)+(ATM_Conf!$C$5/W250)*AQ62*(AP62-AQ62)-(ATM_Conf!$C$5*ATM_Conf!$C$9)/(W250*ATM_Conf!$C$8)*(X62-W62)/(W62+ATM_Conf!$C$10)</f>
        <v>#DIV/0!</v>
      </c>
      <c r="AR63" s="43" t="e">
        <f>AR62+(ATM_Conf!$C$5/ATM_Conf!$C$8)*(BL63*EXP(-(1/CZ63)*(X63/CF63)^CZ63)-AR62)+(ATM_Conf!$C$5/X250)*AR62*(Nodes!BC62-AR62)-(ATM_Conf!$C$5*ATM_Conf!$C$9)/(X250*ATM_Conf!$C$8)*(Nodes!BQ62-X62)/(X62+ATM_Conf!$C$10)</f>
        <v>#DIV/0!</v>
      </c>
      <c r="AS63" s="43" t="e">
        <f>AS62+(ATM_Conf!$C$5/ATM_Conf!$C$8)*(BM63*EXP(-(1/DA63)*(Y63/CG63)^DA63)-AS62)+(ATM_Conf!$C$5/Y250)*AS62*(AR62-AS62)-(ATM_Conf!$C$5*ATM_Conf!$C$9)/(Y250*ATM_Conf!$C$8)*(Z62-Y62)/(Y62+ATM_Conf!$C$10)</f>
        <v>#DIV/0!</v>
      </c>
      <c r="AT63" s="43" t="e">
        <f>AT62+(ATM_Conf!$C$5/ATM_Conf!$C$8)*(BN63*EXP(-(1/DB63)*(Z63/CH63)^DB63)-AT62)+(ATM_Conf!$C$5/Z250)*AT62*(Nodes!BE62-AT62)-(ATM_Conf!$C$5*ATM_Conf!$C$9)/(Z250*ATM_Conf!$C$8)*(Nodes!BS62-Z62)/(Z62+ATM_Conf!$C$10)</f>
        <v>#DIV/0!</v>
      </c>
      <c r="AU63" s="43" t="e">
        <f>AU62+(ATM_Conf!$C$5/ATM_Conf!$C$8)*(BO63*EXP(-(1/DC63)*(AA63/CI63)^DC63)-AU62)+(ATM_Conf!$C$5/AA250)*AU62*(Nodes!BF62-AU62)-(ATM_Conf!$C$5*ATM_Conf!$C$9)/(AA250*ATM_Conf!$C$8)*(Nodes!BV62-AA62)/(AA62+ATM_Conf!$C$10)</f>
        <v>#DIV/0!</v>
      </c>
      <c r="AV63" s="43" t="e">
        <f>AV62+(ATM_Conf!$C$5/ATM_Conf!$C$8)*(BP63*EXP(-(1/DD63)*(AB63/CJ63)^DD63)-AV62)+(ATM_Conf!$C$5/AB250)*AV62*(AU62-AV62)-(ATM_Conf!$C$5*ATM_Conf!$C$9)/(AB250*ATM_Conf!$C$8)*(AC62-AB62)/(AB62+ATM_Conf!$C$10)</f>
        <v>#DIV/0!</v>
      </c>
      <c r="AW63" s="43" t="e">
        <f>AW62+(ATM_Conf!$C$5/ATM_Conf!$C$8)*(BQ63*EXP(-(1/DE63)*(AC63/CK63)^DE63)-AW62)+(ATM_Conf!$C$5/AC250)*AW62*(AV62-AW62)-(ATM_Conf!$C$5*ATM_Conf!$C$9)/(AC250*ATM_Conf!$C$8)*(AD62-AC62)/(AC62+ATM_Conf!$C$10)</f>
        <v>#DIV/0!</v>
      </c>
      <c r="AX63" s="43" t="e">
        <f>AX62+(ATM_Conf!$C$5/ATM_Conf!$C$8)*(BR63*EXP(-(1/DF63)*(AD63/CL63)^DF63)-AX62)+(ATM_Conf!$C$5/AD250)*AX62*(Nodes!BG62-AX62)-(ATM_Conf!$C$5*ATM_Conf!$C$9)/(AD250*ATM_Conf!$C$8)*(Nodes!BU62-AD62)/(AD62+ATM_Conf!$C$10)</f>
        <v>#DIV/0!</v>
      </c>
      <c r="AY63" s="43" t="e">
        <f>AY62+(ATM_Conf!$C$5/ATM_Conf!$C$8)*(BS63*EXP(-(1/DG63)*(AE63/CM63)^DG63)-AY62)+(ATM_Conf!$C$5/AE250)*AY62*(Nodes!BF62-AY62)</f>
        <v>#DIV/0!</v>
      </c>
      <c r="AZ63" s="43" t="e">
        <f>AZ62+(ATM_Conf!$C$5/ATM_Conf!$C$8)*(BT63*EXP(-(1/DH63)*(AF63/CN63)^DH63)-AZ62)-(ATM_Conf!$C$5*ATM_Conf!$C$9)/(AF250*ATM_Conf!$C$8)*(Nodes!BV62-AF62)/(AF62+ATM_Conf!$C$10)</f>
        <v>#DIV/0!</v>
      </c>
      <c r="BA63" s="43" t="e">
        <f>BA62+(ATM_Conf!$C$5/ATM_Conf!$C$8)*(BU63*EXP(-(1/DI63)*(AG63/CO63)^DI63)-BA62)+(ATM_Conf!$C$5/AG250)*BA62*(Nodes!BI62-BA62)-(ATM_Conf!$C$5*ATM_Conf!$C$9)/(AG250*ATM_Conf!$C$8)*(Nodes!BW62-AG62)/(AG62+ATM_Conf!$C$10)</f>
        <v>#DIV/0!</v>
      </c>
      <c r="BB63" s="43" t="e">
        <f>BB62+(ATM_Conf!$C$5/ATM_Conf!$C$8)*(BV63*EXP(-(1/DJ63)*(AH63/CP63)^DJ63)-BB62)+(ATM_Conf!$C$5/AH250)*BB62*(Nodes!BJ62-BB62)-(ATM_Conf!$C$5*ATM_Conf!$C$9)/(AH250*ATM_Conf!$C$8)*(AI62-AH62)/(AH62+ATM_Conf!$C$10)</f>
        <v>#DIV/0!</v>
      </c>
      <c r="BC63" s="43" t="e">
        <f>BC62+(ATM_Conf!$C$5/ATM_Conf!$C$8)*(BW63*EXP(-(1/DK63)*(AI63/CQ63)^DK63)-BC62)+(ATM_Conf!$C$5/AI250)*BC62*(BB62-BC62)-(ATM_Conf!$C$5*ATM_Conf!$C$9)/(AI250*ATM_Conf!$C$8)*(AJ62-AI62)/(AI62+ATM_Conf!$C$10)</f>
        <v>#DIV/0!</v>
      </c>
      <c r="BD63" s="43" t="e">
        <f>BD62+(ATM_Conf!$C$5/ATM_Conf!$C$8)*(BX63*EXP(-(1/DL63)*(AJ63/CR63)^DL63)-BD62)+(ATM_Conf!$C$5/AJ250)*BD62*(BC62-BD62)-(ATM_Conf!$C$5*ATM_Conf!$C$9)/(AJ250*ATM_Conf!$C$8)*(Nodes!BX62-AJ62)/(AJ62+ATM_Conf!$C$10)</f>
        <v>#DIV/0!</v>
      </c>
      <c r="BE63" s="43" t="e">
        <f>BE62+(ATM_Conf!$C$5/ATM_Conf!$C$8)*(BY63*EXP(-(1/DM63)*(AK63/CS63)^DM63)-BE62)+(ATM_Conf!$C$5/AK250)*BE62*(Nodes!BK62-BE62)-(ATM_Conf!$C$5*ATM_Conf!$C$9)/(AK250*ATM_Conf!$C$8)*(Nodes!BY62-AK62)/(AK62+ATM_Conf!$C$10)</f>
        <v>#DIV/0!</v>
      </c>
      <c r="BF63" s="43" t="e">
        <f>BF62+(ATM_Conf!$C$5/ATM_Conf!$C$8)*(BZ63*EXP(-(1/DN63)*(AL63/CT63)^DN63)-BF62)+(ATM_Conf!$C$5/AL250)*BF62*(BE62-BF62)-(ATM_Conf!$C$5*ATM_Conf!$C$9)/(AL250*ATM_Conf!$C$8)*(AM62-AL62)/(AL62+ATM_Conf!$C$10)</f>
        <v>#DIV/0!</v>
      </c>
      <c r="BG63" s="43" t="e">
        <f>BG62+(ATM_Conf!$C$5/ATM_Conf!$C$8)*(CA63*EXP(-(1/DO63)*(AM63/CU63)^DO63)-BG62)+(ATM_Conf!$C$5/AM250)*BG62*(Nodes!BM62-BG62)-(ATM_Conf!$C$5*ATM_Conf!$C$9)/(AM250*ATM_Conf!$C$8)*(Nodes!CA62-AM62)/(AM62+ATM_Conf!$C$10)</f>
        <v>#DIV/0!</v>
      </c>
      <c r="BH63" s="43" t="e">
        <f>BH62+(ATM_Conf!$C$5/ATM_Conf!$C$8)*(CB63*EXP(-(1/DP63)*(AN63/CV63)^DP63)-BH62)+(ATM_Conf!$C$5/AN250)*BH62*(BG62-BH62)-(ATM_Conf!$C$5*ATM_Conf!$C$9)/(AN250*ATM_Conf!$C$8)*(AO62-AN62)/(AN62+ATM_Conf!$C$10)</f>
        <v>#DIV/0!</v>
      </c>
      <c r="BI63" s="43" t="e">
        <f>BI62+(ATM_Conf!$C$5/ATM_Conf!$C$8)*(CC63*EXP(-(1/DQ63)*(AO63/CW63)^DQ63)-BI62)+(ATM_Conf!$C$5/AO250)*BI62*(BH62-BI62)</f>
        <v>#DIV/0!</v>
      </c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C63" s="5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53"/>
      <c r="CY63" s="53"/>
      <c r="CZ63" s="53"/>
      <c r="DA63" s="53"/>
      <c r="DB63" s="53"/>
      <c r="DC63" s="53"/>
      <c r="DD63" s="53"/>
      <c r="DE63" s="53"/>
      <c r="DF63" s="53"/>
      <c r="DG63" s="53"/>
      <c r="DH63" s="53"/>
      <c r="DI63" s="53"/>
      <c r="DJ63" s="53"/>
      <c r="DK63" s="53"/>
      <c r="DL63" s="53"/>
      <c r="DM63" s="53"/>
      <c r="DN63" s="53"/>
      <c r="DO63" s="53"/>
      <c r="DP63" s="53"/>
      <c r="DQ63" s="53"/>
      <c r="DR63" s="62"/>
      <c r="DS63" s="62"/>
      <c r="DT63" s="62"/>
      <c r="DU63" s="62"/>
      <c r="DV63" s="62"/>
      <c r="DW63" s="62"/>
      <c r="DX63" s="62"/>
      <c r="DY63" s="62"/>
      <c r="DZ63" s="62"/>
      <c r="EA63" s="62"/>
      <c r="EB63" s="62"/>
      <c r="EC63" s="62"/>
      <c r="ED63" s="62"/>
      <c r="EE63" s="62"/>
      <c r="EF63" s="62"/>
      <c r="EG63" s="62"/>
      <c r="EH63" s="62"/>
      <c r="EI63" s="62"/>
      <c r="EJ63" s="62"/>
      <c r="EK63" s="62"/>
      <c r="EL63" s="47">
        <f>(DR63-DR51)^2</f>
        <v>0</v>
      </c>
      <c r="EM63" s="47">
        <f t="shared" ref="EM63:FE63" si="36">(DS63-DS51)^2</f>
        <v>0</v>
      </c>
      <c r="EN63" s="47">
        <f t="shared" si="36"/>
        <v>0</v>
      </c>
      <c r="EO63" s="47">
        <f t="shared" si="36"/>
        <v>0</v>
      </c>
      <c r="EP63" s="47">
        <f t="shared" si="36"/>
        <v>0</v>
      </c>
      <c r="EQ63" s="47">
        <f t="shared" si="36"/>
        <v>0</v>
      </c>
      <c r="ER63" s="47">
        <f t="shared" si="36"/>
        <v>0</v>
      </c>
      <c r="ES63" s="47">
        <f t="shared" si="36"/>
        <v>0</v>
      </c>
      <c r="ET63" s="47">
        <f t="shared" si="36"/>
        <v>0</v>
      </c>
      <c r="EU63" s="47">
        <f t="shared" si="36"/>
        <v>0</v>
      </c>
      <c r="EV63" s="47">
        <f t="shared" si="36"/>
        <v>0</v>
      </c>
      <c r="EW63" s="47">
        <f t="shared" si="36"/>
        <v>0</v>
      </c>
      <c r="EX63" s="47">
        <f t="shared" si="36"/>
        <v>0</v>
      </c>
      <c r="EY63" s="47">
        <f t="shared" si="36"/>
        <v>0</v>
      </c>
      <c r="EZ63" s="47">
        <f t="shared" si="36"/>
        <v>0</v>
      </c>
      <c r="FA63" s="47">
        <f t="shared" si="36"/>
        <v>0</v>
      </c>
      <c r="FB63" s="47">
        <f t="shared" si="36"/>
        <v>0</v>
      </c>
      <c r="FC63" s="47">
        <f t="shared" si="36"/>
        <v>0</v>
      </c>
      <c r="FD63" s="47">
        <f t="shared" si="36"/>
        <v>0</v>
      </c>
      <c r="FE63" s="47">
        <f t="shared" si="36"/>
        <v>0</v>
      </c>
    </row>
    <row r="64" spans="1:161" ht="14.25" x14ac:dyDescent="0.15">
      <c r="A64" s="46"/>
      <c r="B64" s="43" t="e">
        <f t="shared" si="2"/>
        <v>#DIV/0!</v>
      </c>
      <c r="C64" s="43" t="e">
        <f t="shared" si="3"/>
        <v>#DIV/0!</v>
      </c>
      <c r="D64" s="43" t="e">
        <f t="shared" si="4"/>
        <v>#DIV/0!</v>
      </c>
      <c r="E64" s="43" t="e">
        <f t="shared" si="5"/>
        <v>#DIV/0!</v>
      </c>
      <c r="F64" s="43" t="e">
        <f t="shared" si="6"/>
        <v>#DIV/0!</v>
      </c>
      <c r="G64" s="43" t="e">
        <f t="shared" si="7"/>
        <v>#DIV/0!</v>
      </c>
      <c r="H64" s="43" t="e">
        <f t="shared" si="8"/>
        <v>#DIV/0!</v>
      </c>
      <c r="I64" s="43" t="e">
        <f t="shared" si="9"/>
        <v>#DIV/0!</v>
      </c>
      <c r="J64" s="43" t="e">
        <f t="shared" si="10"/>
        <v>#DIV/0!</v>
      </c>
      <c r="K64" s="43" t="e">
        <f t="shared" si="11"/>
        <v>#DIV/0!</v>
      </c>
      <c r="L64" s="43" t="e">
        <f t="shared" si="12"/>
        <v>#DIV/0!</v>
      </c>
      <c r="M64" s="43" t="e">
        <f t="shared" si="13"/>
        <v>#DIV/0!</v>
      </c>
      <c r="N64" s="43" t="e">
        <f t="shared" si="14"/>
        <v>#DIV/0!</v>
      </c>
      <c r="O64" s="43" t="e">
        <f t="shared" si="15"/>
        <v>#DIV/0!</v>
      </c>
      <c r="P64" s="43" t="e">
        <f t="shared" si="16"/>
        <v>#DIV/0!</v>
      </c>
      <c r="Q64" s="43" t="e">
        <f t="shared" si="17"/>
        <v>#DIV/0!</v>
      </c>
      <c r="R64" s="43" t="e">
        <f t="shared" si="18"/>
        <v>#DIV/0!</v>
      </c>
      <c r="S64" s="43" t="e">
        <f t="shared" si="19"/>
        <v>#DIV/0!</v>
      </c>
      <c r="T64" s="43" t="e">
        <f t="shared" si="20"/>
        <v>#DIV/0!</v>
      </c>
      <c r="U64" s="43" t="e">
        <f t="shared" si="21"/>
        <v>#DIV/0!</v>
      </c>
      <c r="V64" s="53" t="e">
        <f>V63+ATM_Conf!$C$5*(B63)/(B251*V251)</f>
        <v>#DIV/0!</v>
      </c>
      <c r="W64" s="53" t="e">
        <f>W63+ATM_Conf!$C$5*(C63-B63)/(C251*W251)</f>
        <v>#DIV/0!</v>
      </c>
      <c r="X64" s="53" t="e">
        <f>X63+ATM_Conf!$C$5*(D63-C63)/(D251*X251)</f>
        <v>#DIV/0!</v>
      </c>
      <c r="Y64" s="53" t="e">
        <f>Y63+ATM_Conf!$C$5*(E63-D63)/(E251*Y251)</f>
        <v>#DIV/0!</v>
      </c>
      <c r="Z64" s="53" t="e">
        <f>Z63+ATM_Conf!$C$5*(F63-E63)/(F251*Z251)</f>
        <v>#DIV/0!</v>
      </c>
      <c r="AA64" s="53" t="e">
        <f>AA63+ATM_Conf!$C$5*(G63-F63)/(G251*AA251)</f>
        <v>#DIV/0!</v>
      </c>
      <c r="AB64" s="53" t="e">
        <f>AB63+ATM_Conf!$C$5*(H63-G63)/(H251*AB251)</f>
        <v>#DIV/0!</v>
      </c>
      <c r="AC64" s="53" t="e">
        <f>AC63+ATM_Conf!$C$5*(I63-H63)/(I251*AC251)</f>
        <v>#DIV/0!</v>
      </c>
      <c r="AD64" s="53" t="e">
        <f>AD63+ATM_Conf!$C$5*(J63-I63)/(J251*AD251)</f>
        <v>#DIV/0!</v>
      </c>
      <c r="AE64" s="53" t="e">
        <f>AE63+ATM_Conf!$C$5*(K63-J63)/(K251*AE251)</f>
        <v>#DIV/0!</v>
      </c>
      <c r="AF64" s="53" t="e">
        <f>AF63+ATM_Conf!$C$5*(L63)/(L251*AF251)</f>
        <v>#DIV/0!</v>
      </c>
      <c r="AG64" s="53" t="e">
        <f>AG63+ATM_Conf!$C$5*(M63-L63)/(M251*AG251)</f>
        <v>#DIV/0!</v>
      </c>
      <c r="AH64" s="53" t="e">
        <f>AH63+ATM_Conf!$C$5*(N63-M63)/(N251*AH251)</f>
        <v>#DIV/0!</v>
      </c>
      <c r="AI64" s="53" t="e">
        <f>AI63+ATM_Conf!$C$5*(O63-N63)/(O251*AI251)</f>
        <v>#DIV/0!</v>
      </c>
      <c r="AJ64" s="53" t="e">
        <f>AJ63+ATM_Conf!$C$5*(P63-O63)/(P251*AJ251)</f>
        <v>#DIV/0!</v>
      </c>
      <c r="AK64" s="53" t="e">
        <f>AK63+ATM_Conf!$C$5*(Q63-P63)/(Q251*AK251)</f>
        <v>#DIV/0!</v>
      </c>
      <c r="AL64" s="53" t="e">
        <f>AL63+ATM_Conf!$C$5*(R63-Q63)/(R251*AL251)</f>
        <v>#DIV/0!</v>
      </c>
      <c r="AM64" s="53" t="e">
        <f>AM63+ATM_Conf!$C$5*(S63-R63)/(S251*AM251)</f>
        <v>#DIV/0!</v>
      </c>
      <c r="AN64" s="53" t="e">
        <f>AN63+ATM_Conf!$C$5*(T63-S63)/(T251*AN251)</f>
        <v>#DIV/0!</v>
      </c>
      <c r="AO64" s="53" t="e">
        <f>AO63+ATM_Conf!$C$5*(U63-T63)/(U251*AO251)</f>
        <v>#DIV/0!</v>
      </c>
      <c r="AP64" s="43" t="e">
        <f>AP63+(ATM_Conf!$C$5/ATM_Conf!$C$8)*(BJ64*EXP(-(1/CX64)*(V64/CD64)^CX64)-AP63)-(ATM_Conf!$C$5*ATM_Conf!$C$9)/(V251*ATM_Conf!$C$8)*(Nodes!BO63-V63)/(V63+ATM_Conf!$C$10)</f>
        <v>#DIV/0!</v>
      </c>
      <c r="AQ64" s="43" t="e">
        <f>AQ63+(ATM_Conf!$C$5/ATM_Conf!$C$8)*(BK64*EXP(-(1/CY64)*(W64/CE64)^CY64)-AQ63)+(ATM_Conf!$C$5/W251)*AQ63*(AP63-AQ63)-(ATM_Conf!$C$5*ATM_Conf!$C$9)/(W251*ATM_Conf!$C$8)*(X63-W63)/(W63+ATM_Conf!$C$10)</f>
        <v>#DIV/0!</v>
      </c>
      <c r="AR64" s="43" t="e">
        <f>AR63+(ATM_Conf!$C$5/ATM_Conf!$C$8)*(BL64*EXP(-(1/CZ64)*(X64/CF64)^CZ64)-AR63)+(ATM_Conf!$C$5/X251)*AR63*(Nodes!BC63-AR63)-(ATM_Conf!$C$5*ATM_Conf!$C$9)/(X251*ATM_Conf!$C$8)*(Nodes!BQ63-X63)/(X63+ATM_Conf!$C$10)</f>
        <v>#DIV/0!</v>
      </c>
      <c r="AS64" s="43" t="e">
        <f>AS63+(ATM_Conf!$C$5/ATM_Conf!$C$8)*(BM64*EXP(-(1/DA64)*(Y64/CG64)^DA64)-AS63)+(ATM_Conf!$C$5/Y251)*AS63*(AR63-AS63)-(ATM_Conf!$C$5*ATM_Conf!$C$9)/(Y251*ATM_Conf!$C$8)*(Z63-Y63)/(Y63+ATM_Conf!$C$10)</f>
        <v>#DIV/0!</v>
      </c>
      <c r="AT64" s="43" t="e">
        <f>AT63+(ATM_Conf!$C$5/ATM_Conf!$C$8)*(BN64*EXP(-(1/DB64)*(Z64/CH64)^DB64)-AT63)+(ATM_Conf!$C$5/Z251)*AT63*(Nodes!BE63-AT63)-(ATM_Conf!$C$5*ATM_Conf!$C$9)/(Z251*ATM_Conf!$C$8)*(Nodes!BS63-Z63)/(Z63+ATM_Conf!$C$10)</f>
        <v>#DIV/0!</v>
      </c>
      <c r="AU64" s="43" t="e">
        <f>AU63+(ATM_Conf!$C$5/ATM_Conf!$C$8)*(BO64*EXP(-(1/DC64)*(AA64/CI64)^DC64)-AU63)+(ATM_Conf!$C$5/AA251)*AU63*(Nodes!BF63-AU63)-(ATM_Conf!$C$5*ATM_Conf!$C$9)/(AA251*ATM_Conf!$C$8)*(Nodes!BV63-AA63)/(AA63+ATM_Conf!$C$10)</f>
        <v>#DIV/0!</v>
      </c>
      <c r="AV64" s="43" t="e">
        <f>AV63+(ATM_Conf!$C$5/ATM_Conf!$C$8)*(BP64*EXP(-(1/DD64)*(AB64/CJ64)^DD64)-AV63)+(ATM_Conf!$C$5/AB251)*AV63*(AU63-AV63)-(ATM_Conf!$C$5*ATM_Conf!$C$9)/(AB251*ATM_Conf!$C$8)*(AC63-AB63)/(AB63+ATM_Conf!$C$10)</f>
        <v>#DIV/0!</v>
      </c>
      <c r="AW64" s="43" t="e">
        <f>AW63+(ATM_Conf!$C$5/ATM_Conf!$C$8)*(BQ64*EXP(-(1/DE64)*(AC64/CK64)^DE64)-AW63)+(ATM_Conf!$C$5/AC251)*AW63*(AV63-AW63)-(ATM_Conf!$C$5*ATM_Conf!$C$9)/(AC251*ATM_Conf!$C$8)*(AD63-AC63)/(AC63+ATM_Conf!$C$10)</f>
        <v>#DIV/0!</v>
      </c>
      <c r="AX64" s="43" t="e">
        <f>AX63+(ATM_Conf!$C$5/ATM_Conf!$C$8)*(BR64*EXP(-(1/DF64)*(AD64/CL64)^DF64)-AX63)+(ATM_Conf!$C$5/AD251)*AX63*(Nodes!BG63-AX63)-(ATM_Conf!$C$5*ATM_Conf!$C$9)/(AD251*ATM_Conf!$C$8)*(Nodes!BU63-AD63)/(AD63+ATM_Conf!$C$10)</f>
        <v>#DIV/0!</v>
      </c>
      <c r="AY64" s="43" t="e">
        <f>AY63+(ATM_Conf!$C$5/ATM_Conf!$C$8)*(BS64*EXP(-(1/DG64)*(AE64/CM64)^DG64)-AY63)+(ATM_Conf!$C$5/AE251)*AY63*(Nodes!BF63-AY63)</f>
        <v>#DIV/0!</v>
      </c>
      <c r="AZ64" s="43" t="e">
        <f>AZ63+(ATM_Conf!$C$5/ATM_Conf!$C$8)*(BT64*EXP(-(1/DH64)*(AF64/CN64)^DH64)-AZ63)-(ATM_Conf!$C$5*ATM_Conf!$C$9)/(AF251*ATM_Conf!$C$8)*(Nodes!BV63-AF63)/(AF63+ATM_Conf!$C$10)</f>
        <v>#DIV/0!</v>
      </c>
      <c r="BA64" s="43" t="e">
        <f>BA63+(ATM_Conf!$C$5/ATM_Conf!$C$8)*(BU64*EXP(-(1/DI64)*(AG64/CO64)^DI64)-BA63)+(ATM_Conf!$C$5/AG251)*BA63*(Nodes!BI63-BA63)-(ATM_Conf!$C$5*ATM_Conf!$C$9)/(AG251*ATM_Conf!$C$8)*(Nodes!BW63-AG63)/(AG63+ATM_Conf!$C$10)</f>
        <v>#DIV/0!</v>
      </c>
      <c r="BB64" s="43" t="e">
        <f>BB63+(ATM_Conf!$C$5/ATM_Conf!$C$8)*(BV64*EXP(-(1/DJ64)*(AH64/CP64)^DJ64)-BB63)+(ATM_Conf!$C$5/AH251)*BB63*(Nodes!BJ63-BB63)-(ATM_Conf!$C$5*ATM_Conf!$C$9)/(AH251*ATM_Conf!$C$8)*(AI63-AH63)/(AH63+ATM_Conf!$C$10)</f>
        <v>#DIV/0!</v>
      </c>
      <c r="BC64" s="43" t="e">
        <f>BC63+(ATM_Conf!$C$5/ATM_Conf!$C$8)*(BW64*EXP(-(1/DK64)*(AI64/CQ64)^DK64)-BC63)+(ATM_Conf!$C$5/AI251)*BC63*(BB63-BC63)-(ATM_Conf!$C$5*ATM_Conf!$C$9)/(AI251*ATM_Conf!$C$8)*(AJ63-AI63)/(AI63+ATM_Conf!$C$10)</f>
        <v>#DIV/0!</v>
      </c>
      <c r="BD64" s="43" t="e">
        <f>BD63+(ATM_Conf!$C$5/ATM_Conf!$C$8)*(BX64*EXP(-(1/DL64)*(AJ64/CR64)^DL64)-BD63)+(ATM_Conf!$C$5/AJ251)*BD63*(BC63-BD63)-(ATM_Conf!$C$5*ATM_Conf!$C$9)/(AJ251*ATM_Conf!$C$8)*(Nodes!BX63-AJ63)/(AJ63+ATM_Conf!$C$10)</f>
        <v>#DIV/0!</v>
      </c>
      <c r="BE64" s="43" t="e">
        <f>BE63+(ATM_Conf!$C$5/ATM_Conf!$C$8)*(BY64*EXP(-(1/DM64)*(AK64/CS64)^DM64)-BE63)+(ATM_Conf!$C$5/AK251)*BE63*(Nodes!BK63-BE63)-(ATM_Conf!$C$5*ATM_Conf!$C$9)/(AK251*ATM_Conf!$C$8)*(Nodes!BY63-AK63)/(AK63+ATM_Conf!$C$10)</f>
        <v>#DIV/0!</v>
      </c>
      <c r="BF64" s="43" t="e">
        <f>BF63+(ATM_Conf!$C$5/ATM_Conf!$C$8)*(BZ64*EXP(-(1/DN64)*(AL64/CT64)^DN64)-BF63)+(ATM_Conf!$C$5/AL251)*BF63*(BE63-BF63)-(ATM_Conf!$C$5*ATM_Conf!$C$9)/(AL251*ATM_Conf!$C$8)*(AM63-AL63)/(AL63+ATM_Conf!$C$10)</f>
        <v>#DIV/0!</v>
      </c>
      <c r="BG64" s="43" t="e">
        <f>BG63+(ATM_Conf!$C$5/ATM_Conf!$C$8)*(CA64*EXP(-(1/DO64)*(AM64/CU64)^DO64)-BG63)+(ATM_Conf!$C$5/AM251)*BG63*(Nodes!BM63-BG63)-(ATM_Conf!$C$5*ATM_Conf!$C$9)/(AM251*ATM_Conf!$C$8)*(Nodes!CA63-AM63)/(AM63+ATM_Conf!$C$10)</f>
        <v>#DIV/0!</v>
      </c>
      <c r="BH64" s="43" t="e">
        <f>BH63+(ATM_Conf!$C$5/ATM_Conf!$C$8)*(CB64*EXP(-(1/DP64)*(AN64/CV64)^DP64)-BH63)+(ATM_Conf!$C$5/AN251)*BH63*(BG63-BH63)-(ATM_Conf!$C$5*ATM_Conf!$C$9)/(AN251*ATM_Conf!$C$8)*(AO63-AN63)/(AN63+ATM_Conf!$C$10)</f>
        <v>#DIV/0!</v>
      </c>
      <c r="BI64" s="43" t="e">
        <f>BI63+(ATM_Conf!$C$5/ATM_Conf!$C$8)*(CC64*EXP(-(1/DQ64)*(AO64/CW64)^DQ64)-BI63)+(ATM_Conf!$C$5/AO251)*BI63*(BH63-BI63)</f>
        <v>#DIV/0!</v>
      </c>
      <c r="BJ64" s="53"/>
      <c r="BK64" s="53"/>
      <c r="BL64" s="53"/>
      <c r="BM64" s="53"/>
      <c r="BN64" s="53"/>
      <c r="BO64" s="53"/>
      <c r="BP64" s="53"/>
      <c r="BQ64" s="53"/>
      <c r="BR64" s="53"/>
      <c r="BS64" s="53"/>
      <c r="BT64" s="53"/>
      <c r="BU64" s="53"/>
      <c r="BV64" s="53"/>
      <c r="BW64" s="53"/>
      <c r="BX64" s="53"/>
      <c r="BY64" s="53"/>
      <c r="BZ64" s="53"/>
      <c r="CA64" s="53"/>
      <c r="CB64" s="53"/>
      <c r="CC64" s="5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53"/>
      <c r="CY64" s="53"/>
      <c r="CZ64" s="53"/>
      <c r="DA64" s="53"/>
      <c r="DB64" s="53"/>
      <c r="DC64" s="53"/>
      <c r="DD64" s="53"/>
      <c r="DE64" s="53"/>
      <c r="DF64" s="53"/>
      <c r="DG64" s="53"/>
      <c r="DH64" s="53"/>
      <c r="DI64" s="53"/>
      <c r="DJ64" s="53"/>
      <c r="DK64" s="53"/>
      <c r="DL64" s="53"/>
      <c r="DM64" s="53"/>
      <c r="DN64" s="53"/>
      <c r="DO64" s="53"/>
      <c r="DP64" s="53"/>
      <c r="DQ64" s="53"/>
      <c r="DR64" s="43">
        <f>DR$63</f>
        <v>0</v>
      </c>
      <c r="DS64" s="43">
        <f t="shared" ref="DS64:EK74" si="37">DS$63</f>
        <v>0</v>
      </c>
      <c r="DT64" s="43">
        <f t="shared" si="37"/>
        <v>0</v>
      </c>
      <c r="DU64" s="43">
        <f t="shared" si="37"/>
        <v>0</v>
      </c>
      <c r="DV64" s="43">
        <f t="shared" si="37"/>
        <v>0</v>
      </c>
      <c r="DW64" s="43">
        <f t="shared" si="37"/>
        <v>0</v>
      </c>
      <c r="DX64" s="43">
        <f t="shared" si="37"/>
        <v>0</v>
      </c>
      <c r="DY64" s="43">
        <f t="shared" si="37"/>
        <v>0</v>
      </c>
      <c r="DZ64" s="43">
        <f t="shared" si="37"/>
        <v>0</v>
      </c>
      <c r="EA64" s="43">
        <f t="shared" si="37"/>
        <v>0</v>
      </c>
      <c r="EB64" s="43">
        <f t="shared" si="37"/>
        <v>0</v>
      </c>
      <c r="EC64" s="43">
        <f t="shared" si="37"/>
        <v>0</v>
      </c>
      <c r="ED64" s="43">
        <f t="shared" si="37"/>
        <v>0</v>
      </c>
      <c r="EE64" s="43">
        <f t="shared" si="37"/>
        <v>0</v>
      </c>
      <c r="EF64" s="43">
        <f t="shared" si="37"/>
        <v>0</v>
      </c>
      <c r="EG64" s="43">
        <f t="shared" si="37"/>
        <v>0</v>
      </c>
      <c r="EH64" s="43">
        <f t="shared" si="37"/>
        <v>0</v>
      </c>
      <c r="EI64" s="43">
        <f t="shared" si="37"/>
        <v>0</v>
      </c>
      <c r="EJ64" s="43">
        <f t="shared" si="37"/>
        <v>0</v>
      </c>
      <c r="EK64" s="43">
        <f t="shared" si="37"/>
        <v>0</v>
      </c>
      <c r="EL64" s="47"/>
      <c r="EM64" s="47"/>
      <c r="EN64" s="47"/>
      <c r="EO64" s="47"/>
      <c r="EP64" s="47"/>
      <c r="EQ64" s="47"/>
      <c r="ER64" s="47"/>
      <c r="ES64" s="47"/>
      <c r="ET64" s="47"/>
      <c r="EU64" s="47"/>
      <c r="EV64" s="47"/>
      <c r="EW64" s="47"/>
      <c r="EX64" s="47"/>
      <c r="EY64" s="47"/>
      <c r="EZ64" s="47"/>
      <c r="FA64" s="47"/>
      <c r="FB64" s="47"/>
      <c r="FC64" s="47"/>
      <c r="FD64" s="47"/>
      <c r="FE64" s="47"/>
    </row>
    <row r="65" spans="1:161" ht="14.25" x14ac:dyDescent="0.15">
      <c r="A65" s="46"/>
      <c r="B65" s="43" t="e">
        <f t="shared" si="2"/>
        <v>#DIV/0!</v>
      </c>
      <c r="C65" s="43" t="e">
        <f t="shared" si="3"/>
        <v>#DIV/0!</v>
      </c>
      <c r="D65" s="43" t="e">
        <f t="shared" si="4"/>
        <v>#DIV/0!</v>
      </c>
      <c r="E65" s="43" t="e">
        <f t="shared" si="5"/>
        <v>#DIV/0!</v>
      </c>
      <c r="F65" s="43" t="e">
        <f t="shared" si="6"/>
        <v>#DIV/0!</v>
      </c>
      <c r="G65" s="43" t="e">
        <f t="shared" si="7"/>
        <v>#DIV/0!</v>
      </c>
      <c r="H65" s="43" t="e">
        <f t="shared" si="8"/>
        <v>#DIV/0!</v>
      </c>
      <c r="I65" s="43" t="e">
        <f t="shared" si="9"/>
        <v>#DIV/0!</v>
      </c>
      <c r="J65" s="43" t="e">
        <f t="shared" si="10"/>
        <v>#DIV/0!</v>
      </c>
      <c r="K65" s="43" t="e">
        <f t="shared" si="11"/>
        <v>#DIV/0!</v>
      </c>
      <c r="L65" s="43" t="e">
        <f t="shared" si="12"/>
        <v>#DIV/0!</v>
      </c>
      <c r="M65" s="43" t="e">
        <f t="shared" si="13"/>
        <v>#DIV/0!</v>
      </c>
      <c r="N65" s="43" t="e">
        <f t="shared" si="14"/>
        <v>#DIV/0!</v>
      </c>
      <c r="O65" s="43" t="e">
        <f t="shared" si="15"/>
        <v>#DIV/0!</v>
      </c>
      <c r="P65" s="43" t="e">
        <f t="shared" si="16"/>
        <v>#DIV/0!</v>
      </c>
      <c r="Q65" s="43" t="e">
        <f t="shared" si="17"/>
        <v>#DIV/0!</v>
      </c>
      <c r="R65" s="43" t="e">
        <f t="shared" si="18"/>
        <v>#DIV/0!</v>
      </c>
      <c r="S65" s="43" t="e">
        <f t="shared" si="19"/>
        <v>#DIV/0!</v>
      </c>
      <c r="T65" s="43" t="e">
        <f t="shared" si="20"/>
        <v>#DIV/0!</v>
      </c>
      <c r="U65" s="43" t="e">
        <f t="shared" si="21"/>
        <v>#DIV/0!</v>
      </c>
      <c r="V65" s="53" t="e">
        <f>V64+ATM_Conf!$C$5*(B64)/(B252*V252)</f>
        <v>#DIV/0!</v>
      </c>
      <c r="W65" s="53" t="e">
        <f>W64+ATM_Conf!$C$5*(C64-B64)/(C252*W252)</f>
        <v>#DIV/0!</v>
      </c>
      <c r="X65" s="53" t="e">
        <f>X64+ATM_Conf!$C$5*(D64-C64)/(D252*X252)</f>
        <v>#DIV/0!</v>
      </c>
      <c r="Y65" s="53" t="e">
        <f>Y64+ATM_Conf!$C$5*(E64-D64)/(E252*Y252)</f>
        <v>#DIV/0!</v>
      </c>
      <c r="Z65" s="53" t="e">
        <f>Z64+ATM_Conf!$C$5*(F64-E64)/(F252*Z252)</f>
        <v>#DIV/0!</v>
      </c>
      <c r="AA65" s="53" t="e">
        <f>AA64+ATM_Conf!$C$5*(G64-F64)/(G252*AA252)</f>
        <v>#DIV/0!</v>
      </c>
      <c r="AB65" s="53" t="e">
        <f>AB64+ATM_Conf!$C$5*(H64-G64)/(H252*AB252)</f>
        <v>#DIV/0!</v>
      </c>
      <c r="AC65" s="53" t="e">
        <f>AC64+ATM_Conf!$C$5*(I64-H64)/(I252*AC252)</f>
        <v>#DIV/0!</v>
      </c>
      <c r="AD65" s="53" t="e">
        <f>AD64+ATM_Conf!$C$5*(J64-I64)/(J252*AD252)</f>
        <v>#DIV/0!</v>
      </c>
      <c r="AE65" s="53" t="e">
        <f>AE64+ATM_Conf!$C$5*(K64-J64)/(K252*AE252)</f>
        <v>#DIV/0!</v>
      </c>
      <c r="AF65" s="53" t="e">
        <f>AF64+ATM_Conf!$C$5*(L64)/(L252*AF252)</f>
        <v>#DIV/0!</v>
      </c>
      <c r="AG65" s="53" t="e">
        <f>AG64+ATM_Conf!$C$5*(M64-L64)/(M252*AG252)</f>
        <v>#DIV/0!</v>
      </c>
      <c r="AH65" s="53" t="e">
        <f>AH64+ATM_Conf!$C$5*(N64-M64)/(N252*AH252)</f>
        <v>#DIV/0!</v>
      </c>
      <c r="AI65" s="53" t="e">
        <f>AI64+ATM_Conf!$C$5*(O64-N64)/(O252*AI252)</f>
        <v>#DIV/0!</v>
      </c>
      <c r="AJ65" s="53" t="e">
        <f>AJ64+ATM_Conf!$C$5*(P64-O64)/(P252*AJ252)</f>
        <v>#DIV/0!</v>
      </c>
      <c r="AK65" s="53" t="e">
        <f>AK64+ATM_Conf!$C$5*(Q64-P64)/(Q252*AK252)</f>
        <v>#DIV/0!</v>
      </c>
      <c r="AL65" s="53" t="e">
        <f>AL64+ATM_Conf!$C$5*(R64-Q64)/(R252*AL252)</f>
        <v>#DIV/0!</v>
      </c>
      <c r="AM65" s="53" t="e">
        <f>AM64+ATM_Conf!$C$5*(S64-R64)/(S252*AM252)</f>
        <v>#DIV/0!</v>
      </c>
      <c r="AN65" s="53" t="e">
        <f>AN64+ATM_Conf!$C$5*(T64-S64)/(T252*AN252)</f>
        <v>#DIV/0!</v>
      </c>
      <c r="AO65" s="53" t="e">
        <f>AO64+ATM_Conf!$C$5*(U64-T64)/(U252*AO252)</f>
        <v>#DIV/0!</v>
      </c>
      <c r="AP65" s="43" t="e">
        <f>AP64+(ATM_Conf!$C$5/ATM_Conf!$C$8)*(BJ65*EXP(-(1/CX65)*(V65/CD65)^CX65)-AP64)-(ATM_Conf!$C$5*ATM_Conf!$C$9)/(V252*ATM_Conf!$C$8)*(Nodes!BO64-V64)/(V64+ATM_Conf!$C$10)</f>
        <v>#DIV/0!</v>
      </c>
      <c r="AQ65" s="43" t="e">
        <f>AQ64+(ATM_Conf!$C$5/ATM_Conf!$C$8)*(BK65*EXP(-(1/CY65)*(W65/CE65)^CY65)-AQ64)+(ATM_Conf!$C$5/W252)*AQ64*(AP64-AQ64)-(ATM_Conf!$C$5*ATM_Conf!$C$9)/(W252*ATM_Conf!$C$8)*(X64-W64)/(W64+ATM_Conf!$C$10)</f>
        <v>#DIV/0!</v>
      </c>
      <c r="AR65" s="43" t="e">
        <f>AR64+(ATM_Conf!$C$5/ATM_Conf!$C$8)*(BL65*EXP(-(1/CZ65)*(X65/CF65)^CZ65)-AR64)+(ATM_Conf!$C$5/X252)*AR64*(Nodes!BC64-AR64)-(ATM_Conf!$C$5*ATM_Conf!$C$9)/(X252*ATM_Conf!$C$8)*(Nodes!BQ64-X64)/(X64+ATM_Conf!$C$10)</f>
        <v>#DIV/0!</v>
      </c>
      <c r="AS65" s="43" t="e">
        <f>AS64+(ATM_Conf!$C$5/ATM_Conf!$C$8)*(BM65*EXP(-(1/DA65)*(Y65/CG65)^DA65)-AS64)+(ATM_Conf!$C$5/Y252)*AS64*(AR64-AS64)-(ATM_Conf!$C$5*ATM_Conf!$C$9)/(Y252*ATM_Conf!$C$8)*(Z64-Y64)/(Y64+ATM_Conf!$C$10)</f>
        <v>#DIV/0!</v>
      </c>
      <c r="AT65" s="43" t="e">
        <f>AT64+(ATM_Conf!$C$5/ATM_Conf!$C$8)*(BN65*EXP(-(1/DB65)*(Z65/CH65)^DB65)-AT64)+(ATM_Conf!$C$5/Z252)*AT64*(Nodes!BE64-AT64)-(ATM_Conf!$C$5*ATM_Conf!$C$9)/(Z252*ATM_Conf!$C$8)*(Nodes!BS64-Z64)/(Z64+ATM_Conf!$C$10)</f>
        <v>#DIV/0!</v>
      </c>
      <c r="AU65" s="43" t="e">
        <f>AU64+(ATM_Conf!$C$5/ATM_Conf!$C$8)*(BO65*EXP(-(1/DC65)*(AA65/CI65)^DC65)-AU64)+(ATM_Conf!$C$5/AA252)*AU64*(Nodes!BF64-AU64)-(ATM_Conf!$C$5*ATM_Conf!$C$9)/(AA252*ATM_Conf!$C$8)*(Nodes!BV64-AA64)/(AA64+ATM_Conf!$C$10)</f>
        <v>#DIV/0!</v>
      </c>
      <c r="AV65" s="43" t="e">
        <f>AV64+(ATM_Conf!$C$5/ATM_Conf!$C$8)*(BP65*EXP(-(1/DD65)*(AB65/CJ65)^DD65)-AV64)+(ATM_Conf!$C$5/AB252)*AV64*(AU64-AV64)-(ATM_Conf!$C$5*ATM_Conf!$C$9)/(AB252*ATM_Conf!$C$8)*(AC64-AB64)/(AB64+ATM_Conf!$C$10)</f>
        <v>#DIV/0!</v>
      </c>
      <c r="AW65" s="43" t="e">
        <f>AW64+(ATM_Conf!$C$5/ATM_Conf!$C$8)*(BQ65*EXP(-(1/DE65)*(AC65/CK65)^DE65)-AW64)+(ATM_Conf!$C$5/AC252)*AW64*(AV64-AW64)-(ATM_Conf!$C$5*ATM_Conf!$C$9)/(AC252*ATM_Conf!$C$8)*(AD64-AC64)/(AC64+ATM_Conf!$C$10)</f>
        <v>#DIV/0!</v>
      </c>
      <c r="AX65" s="43" t="e">
        <f>AX64+(ATM_Conf!$C$5/ATM_Conf!$C$8)*(BR65*EXP(-(1/DF65)*(AD65/CL65)^DF65)-AX64)+(ATM_Conf!$C$5/AD252)*AX64*(Nodes!BG64-AX64)-(ATM_Conf!$C$5*ATM_Conf!$C$9)/(AD252*ATM_Conf!$C$8)*(Nodes!BU64-AD64)/(AD64+ATM_Conf!$C$10)</f>
        <v>#DIV/0!</v>
      </c>
      <c r="AY65" s="43" t="e">
        <f>AY64+(ATM_Conf!$C$5/ATM_Conf!$C$8)*(BS65*EXP(-(1/DG65)*(AE65/CM65)^DG65)-AY64)+(ATM_Conf!$C$5/AE252)*AY64*(Nodes!BF64-AY64)</f>
        <v>#DIV/0!</v>
      </c>
      <c r="AZ65" s="43" t="e">
        <f>AZ64+(ATM_Conf!$C$5/ATM_Conf!$C$8)*(BT65*EXP(-(1/DH65)*(AF65/CN65)^DH65)-AZ64)-(ATM_Conf!$C$5*ATM_Conf!$C$9)/(AF252*ATM_Conf!$C$8)*(Nodes!BV64-AF64)/(AF64+ATM_Conf!$C$10)</f>
        <v>#DIV/0!</v>
      </c>
      <c r="BA65" s="43" t="e">
        <f>BA64+(ATM_Conf!$C$5/ATM_Conf!$C$8)*(BU65*EXP(-(1/DI65)*(AG65/CO65)^DI65)-BA64)+(ATM_Conf!$C$5/AG252)*BA64*(Nodes!BI64-BA64)-(ATM_Conf!$C$5*ATM_Conf!$C$9)/(AG252*ATM_Conf!$C$8)*(Nodes!BW64-AG64)/(AG64+ATM_Conf!$C$10)</f>
        <v>#DIV/0!</v>
      </c>
      <c r="BB65" s="43" t="e">
        <f>BB64+(ATM_Conf!$C$5/ATM_Conf!$C$8)*(BV65*EXP(-(1/DJ65)*(AH65/CP65)^DJ65)-BB64)+(ATM_Conf!$C$5/AH252)*BB64*(Nodes!BJ64-BB64)-(ATM_Conf!$C$5*ATM_Conf!$C$9)/(AH252*ATM_Conf!$C$8)*(AI64-AH64)/(AH64+ATM_Conf!$C$10)</f>
        <v>#DIV/0!</v>
      </c>
      <c r="BC65" s="43" t="e">
        <f>BC64+(ATM_Conf!$C$5/ATM_Conf!$C$8)*(BW65*EXP(-(1/DK65)*(AI65/CQ65)^DK65)-BC64)+(ATM_Conf!$C$5/AI252)*BC64*(BB64-BC64)-(ATM_Conf!$C$5*ATM_Conf!$C$9)/(AI252*ATM_Conf!$C$8)*(AJ64-AI64)/(AI64+ATM_Conf!$C$10)</f>
        <v>#DIV/0!</v>
      </c>
      <c r="BD65" s="43" t="e">
        <f>BD64+(ATM_Conf!$C$5/ATM_Conf!$C$8)*(BX65*EXP(-(1/DL65)*(AJ65/CR65)^DL65)-BD64)+(ATM_Conf!$C$5/AJ252)*BD64*(BC64-BD64)-(ATM_Conf!$C$5*ATM_Conf!$C$9)/(AJ252*ATM_Conf!$C$8)*(Nodes!BX64-AJ64)/(AJ64+ATM_Conf!$C$10)</f>
        <v>#DIV/0!</v>
      </c>
      <c r="BE65" s="43" t="e">
        <f>BE64+(ATM_Conf!$C$5/ATM_Conf!$C$8)*(BY65*EXP(-(1/DM65)*(AK65/CS65)^DM65)-BE64)+(ATM_Conf!$C$5/AK252)*BE64*(Nodes!BK64-BE64)-(ATM_Conf!$C$5*ATM_Conf!$C$9)/(AK252*ATM_Conf!$C$8)*(Nodes!BY64-AK64)/(AK64+ATM_Conf!$C$10)</f>
        <v>#DIV/0!</v>
      </c>
      <c r="BF65" s="43" t="e">
        <f>BF64+(ATM_Conf!$C$5/ATM_Conf!$C$8)*(BZ65*EXP(-(1/DN65)*(AL65/CT65)^DN65)-BF64)+(ATM_Conf!$C$5/AL252)*BF64*(BE64-BF64)-(ATM_Conf!$C$5*ATM_Conf!$C$9)/(AL252*ATM_Conf!$C$8)*(AM64-AL64)/(AL64+ATM_Conf!$C$10)</f>
        <v>#DIV/0!</v>
      </c>
      <c r="BG65" s="43" t="e">
        <f>BG64+(ATM_Conf!$C$5/ATM_Conf!$C$8)*(CA65*EXP(-(1/DO65)*(AM65/CU65)^DO65)-BG64)+(ATM_Conf!$C$5/AM252)*BG64*(Nodes!BM64-BG64)-(ATM_Conf!$C$5*ATM_Conf!$C$9)/(AM252*ATM_Conf!$C$8)*(Nodes!CA64-AM64)/(AM64+ATM_Conf!$C$10)</f>
        <v>#DIV/0!</v>
      </c>
      <c r="BH65" s="43" t="e">
        <f>BH64+(ATM_Conf!$C$5/ATM_Conf!$C$8)*(CB65*EXP(-(1/DP65)*(AN65/CV65)^DP65)-BH64)+(ATM_Conf!$C$5/AN252)*BH64*(BG64-BH64)-(ATM_Conf!$C$5*ATM_Conf!$C$9)/(AN252*ATM_Conf!$C$8)*(AO64-AN64)/(AN64+ATM_Conf!$C$10)</f>
        <v>#DIV/0!</v>
      </c>
      <c r="BI65" s="43" t="e">
        <f>BI64+(ATM_Conf!$C$5/ATM_Conf!$C$8)*(CC65*EXP(-(1/DQ65)*(AO65/CW65)^DQ65)-BI64)+(ATM_Conf!$C$5/AO252)*BI64*(BH64-BI64)</f>
        <v>#DIV/0!</v>
      </c>
      <c r="BJ65" s="53"/>
      <c r="BK65" s="53"/>
      <c r="BL65" s="53"/>
      <c r="BM65" s="53"/>
      <c r="BN65" s="53"/>
      <c r="BO65" s="53"/>
      <c r="BP65" s="53"/>
      <c r="BQ65" s="53"/>
      <c r="BR65" s="53"/>
      <c r="BS65" s="53"/>
      <c r="BT65" s="53"/>
      <c r="BU65" s="53"/>
      <c r="BV65" s="53"/>
      <c r="BW65" s="53"/>
      <c r="BX65" s="53"/>
      <c r="BY65" s="53"/>
      <c r="BZ65" s="53"/>
      <c r="CA65" s="53"/>
      <c r="CB65" s="53"/>
      <c r="CC65" s="5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53"/>
      <c r="CY65" s="53"/>
      <c r="CZ65" s="53"/>
      <c r="DA65" s="53"/>
      <c r="DB65" s="53"/>
      <c r="DC65" s="53"/>
      <c r="DD65" s="53"/>
      <c r="DE65" s="53"/>
      <c r="DF65" s="53"/>
      <c r="DG65" s="53"/>
      <c r="DH65" s="53"/>
      <c r="DI65" s="53"/>
      <c r="DJ65" s="53"/>
      <c r="DK65" s="53"/>
      <c r="DL65" s="53"/>
      <c r="DM65" s="53"/>
      <c r="DN65" s="53"/>
      <c r="DO65" s="53"/>
      <c r="DP65" s="53"/>
      <c r="DQ65" s="53"/>
      <c r="DR65" s="43">
        <f t="shared" ref="DR65:DR74" si="38">DR$63</f>
        <v>0</v>
      </c>
      <c r="DS65" s="43">
        <f t="shared" si="37"/>
        <v>0</v>
      </c>
      <c r="DT65" s="43">
        <f t="shared" si="37"/>
        <v>0</v>
      </c>
      <c r="DU65" s="43">
        <f t="shared" si="37"/>
        <v>0</v>
      </c>
      <c r="DV65" s="43">
        <f t="shared" si="37"/>
        <v>0</v>
      </c>
      <c r="DW65" s="43">
        <f t="shared" si="37"/>
        <v>0</v>
      </c>
      <c r="DX65" s="43">
        <f t="shared" si="37"/>
        <v>0</v>
      </c>
      <c r="DY65" s="43">
        <f t="shared" si="37"/>
        <v>0</v>
      </c>
      <c r="DZ65" s="43">
        <f t="shared" si="37"/>
        <v>0</v>
      </c>
      <c r="EA65" s="43">
        <f t="shared" si="37"/>
        <v>0</v>
      </c>
      <c r="EB65" s="43">
        <f t="shared" si="37"/>
        <v>0</v>
      </c>
      <c r="EC65" s="43">
        <f t="shared" si="37"/>
        <v>0</v>
      </c>
      <c r="ED65" s="43">
        <f t="shared" si="37"/>
        <v>0</v>
      </c>
      <c r="EE65" s="43">
        <f t="shared" si="37"/>
        <v>0</v>
      </c>
      <c r="EF65" s="43">
        <f t="shared" si="37"/>
        <v>0</v>
      </c>
      <c r="EG65" s="43">
        <f t="shared" si="37"/>
        <v>0</v>
      </c>
      <c r="EH65" s="43">
        <f t="shared" si="37"/>
        <v>0</v>
      </c>
      <c r="EI65" s="43">
        <f t="shared" si="37"/>
        <v>0</v>
      </c>
      <c r="EJ65" s="43">
        <f t="shared" si="37"/>
        <v>0</v>
      </c>
      <c r="EK65" s="43">
        <f t="shared" si="37"/>
        <v>0</v>
      </c>
      <c r="EL65" s="47"/>
      <c r="EM65" s="47"/>
      <c r="EN65" s="47"/>
      <c r="EO65" s="47"/>
      <c r="EP65" s="47"/>
      <c r="EQ65" s="47"/>
      <c r="ER65" s="47"/>
      <c r="ES65" s="47"/>
      <c r="ET65" s="47"/>
      <c r="EU65" s="47"/>
      <c r="EV65" s="47"/>
      <c r="EW65" s="47"/>
      <c r="EX65" s="47"/>
      <c r="EY65" s="47"/>
      <c r="EZ65" s="47"/>
      <c r="FA65" s="47"/>
      <c r="FB65" s="47"/>
      <c r="FC65" s="47"/>
      <c r="FD65" s="47"/>
      <c r="FE65" s="47"/>
    </row>
    <row r="66" spans="1:161" ht="14.25" x14ac:dyDescent="0.15">
      <c r="A66" s="46"/>
      <c r="B66" s="43" t="e">
        <f t="shared" si="2"/>
        <v>#DIV/0!</v>
      </c>
      <c r="C66" s="43" t="e">
        <f t="shared" si="3"/>
        <v>#DIV/0!</v>
      </c>
      <c r="D66" s="43" t="e">
        <f t="shared" si="4"/>
        <v>#DIV/0!</v>
      </c>
      <c r="E66" s="43" t="e">
        <f t="shared" si="5"/>
        <v>#DIV/0!</v>
      </c>
      <c r="F66" s="43" t="e">
        <f t="shared" si="6"/>
        <v>#DIV/0!</v>
      </c>
      <c r="G66" s="43" t="e">
        <f t="shared" si="7"/>
        <v>#DIV/0!</v>
      </c>
      <c r="H66" s="43" t="e">
        <f t="shared" si="8"/>
        <v>#DIV/0!</v>
      </c>
      <c r="I66" s="43" t="e">
        <f t="shared" si="9"/>
        <v>#DIV/0!</v>
      </c>
      <c r="J66" s="43" t="e">
        <f t="shared" si="10"/>
        <v>#DIV/0!</v>
      </c>
      <c r="K66" s="43" t="e">
        <f t="shared" si="11"/>
        <v>#DIV/0!</v>
      </c>
      <c r="L66" s="43" t="e">
        <f t="shared" si="12"/>
        <v>#DIV/0!</v>
      </c>
      <c r="M66" s="43" t="e">
        <f t="shared" si="13"/>
        <v>#DIV/0!</v>
      </c>
      <c r="N66" s="43" t="e">
        <f t="shared" si="14"/>
        <v>#DIV/0!</v>
      </c>
      <c r="O66" s="43" t="e">
        <f t="shared" si="15"/>
        <v>#DIV/0!</v>
      </c>
      <c r="P66" s="43" t="e">
        <f t="shared" si="16"/>
        <v>#DIV/0!</v>
      </c>
      <c r="Q66" s="43" t="e">
        <f t="shared" si="17"/>
        <v>#DIV/0!</v>
      </c>
      <c r="R66" s="43" t="e">
        <f t="shared" si="18"/>
        <v>#DIV/0!</v>
      </c>
      <c r="S66" s="43" t="e">
        <f t="shared" si="19"/>
        <v>#DIV/0!</v>
      </c>
      <c r="T66" s="43" t="e">
        <f t="shared" si="20"/>
        <v>#DIV/0!</v>
      </c>
      <c r="U66" s="43" t="e">
        <f t="shared" si="21"/>
        <v>#DIV/0!</v>
      </c>
      <c r="V66" s="53" t="e">
        <f>V65+ATM_Conf!$C$5*(B65)/(B253*V253)</f>
        <v>#DIV/0!</v>
      </c>
      <c r="W66" s="53" t="e">
        <f>W65+ATM_Conf!$C$5*(C65-B65)/(C253*W253)</f>
        <v>#DIV/0!</v>
      </c>
      <c r="X66" s="53" t="e">
        <f>X65+ATM_Conf!$C$5*(D65-C65)/(D253*X253)</f>
        <v>#DIV/0!</v>
      </c>
      <c r="Y66" s="53" t="e">
        <f>Y65+ATM_Conf!$C$5*(E65-D65)/(E253*Y253)</f>
        <v>#DIV/0!</v>
      </c>
      <c r="Z66" s="53" t="e">
        <f>Z65+ATM_Conf!$C$5*(F65-E65)/(F253*Z253)</f>
        <v>#DIV/0!</v>
      </c>
      <c r="AA66" s="53" t="e">
        <f>AA65+ATM_Conf!$C$5*(G65-F65)/(G253*AA253)</f>
        <v>#DIV/0!</v>
      </c>
      <c r="AB66" s="53" t="e">
        <f>AB65+ATM_Conf!$C$5*(H65-G65)/(H253*AB253)</f>
        <v>#DIV/0!</v>
      </c>
      <c r="AC66" s="53" t="e">
        <f>AC65+ATM_Conf!$C$5*(I65-H65)/(I253*AC253)</f>
        <v>#DIV/0!</v>
      </c>
      <c r="AD66" s="53" t="e">
        <f>AD65+ATM_Conf!$C$5*(J65-I65)/(J253*AD253)</f>
        <v>#DIV/0!</v>
      </c>
      <c r="AE66" s="53" t="e">
        <f>AE65+ATM_Conf!$C$5*(K65-J65)/(K253*AE253)</f>
        <v>#DIV/0!</v>
      </c>
      <c r="AF66" s="53" t="e">
        <f>AF65+ATM_Conf!$C$5*(L65)/(L253*AF253)</f>
        <v>#DIV/0!</v>
      </c>
      <c r="AG66" s="53" t="e">
        <f>AG65+ATM_Conf!$C$5*(M65-L65)/(M253*AG253)</f>
        <v>#DIV/0!</v>
      </c>
      <c r="AH66" s="53" t="e">
        <f>AH65+ATM_Conf!$C$5*(N65-M65)/(N253*AH253)</f>
        <v>#DIV/0!</v>
      </c>
      <c r="AI66" s="53" t="e">
        <f>AI65+ATM_Conf!$C$5*(O65-N65)/(O253*AI253)</f>
        <v>#DIV/0!</v>
      </c>
      <c r="AJ66" s="53" t="e">
        <f>AJ65+ATM_Conf!$C$5*(P65-O65)/(P253*AJ253)</f>
        <v>#DIV/0!</v>
      </c>
      <c r="AK66" s="53" t="e">
        <f>AK65+ATM_Conf!$C$5*(Q65-P65)/(Q253*AK253)</f>
        <v>#DIV/0!</v>
      </c>
      <c r="AL66" s="53" t="e">
        <f>AL65+ATM_Conf!$C$5*(R65-Q65)/(R253*AL253)</f>
        <v>#DIV/0!</v>
      </c>
      <c r="AM66" s="53" t="e">
        <f>AM65+ATM_Conf!$C$5*(S65-R65)/(S253*AM253)</f>
        <v>#DIV/0!</v>
      </c>
      <c r="AN66" s="53" t="e">
        <f>AN65+ATM_Conf!$C$5*(T65-S65)/(T253*AN253)</f>
        <v>#DIV/0!</v>
      </c>
      <c r="AO66" s="53" t="e">
        <f>AO65+ATM_Conf!$C$5*(U65-T65)/(U253*AO253)</f>
        <v>#DIV/0!</v>
      </c>
      <c r="AP66" s="43" t="e">
        <f>AP65+(ATM_Conf!$C$5/ATM_Conf!$C$8)*(BJ66*EXP(-(1/CX66)*(V66/CD66)^CX66)-AP65)-(ATM_Conf!$C$5*ATM_Conf!$C$9)/(V253*ATM_Conf!$C$8)*(Nodes!BO65-V65)/(V65+ATM_Conf!$C$10)</f>
        <v>#DIV/0!</v>
      </c>
      <c r="AQ66" s="43" t="e">
        <f>AQ65+(ATM_Conf!$C$5/ATM_Conf!$C$8)*(BK66*EXP(-(1/CY66)*(W66/CE66)^CY66)-AQ65)+(ATM_Conf!$C$5/W253)*AQ65*(AP65-AQ65)-(ATM_Conf!$C$5*ATM_Conf!$C$9)/(W253*ATM_Conf!$C$8)*(X65-W65)/(W65+ATM_Conf!$C$10)</f>
        <v>#DIV/0!</v>
      </c>
      <c r="AR66" s="43" t="e">
        <f>AR65+(ATM_Conf!$C$5/ATM_Conf!$C$8)*(BL66*EXP(-(1/CZ66)*(X66/CF66)^CZ66)-AR65)+(ATM_Conf!$C$5/X253)*AR65*(Nodes!BC65-AR65)-(ATM_Conf!$C$5*ATM_Conf!$C$9)/(X253*ATM_Conf!$C$8)*(Nodes!BQ65-X65)/(X65+ATM_Conf!$C$10)</f>
        <v>#DIV/0!</v>
      </c>
      <c r="AS66" s="43" t="e">
        <f>AS65+(ATM_Conf!$C$5/ATM_Conf!$C$8)*(BM66*EXP(-(1/DA66)*(Y66/CG66)^DA66)-AS65)+(ATM_Conf!$C$5/Y253)*AS65*(AR65-AS65)-(ATM_Conf!$C$5*ATM_Conf!$C$9)/(Y253*ATM_Conf!$C$8)*(Z65-Y65)/(Y65+ATM_Conf!$C$10)</f>
        <v>#DIV/0!</v>
      </c>
      <c r="AT66" s="43" t="e">
        <f>AT65+(ATM_Conf!$C$5/ATM_Conf!$C$8)*(BN66*EXP(-(1/DB66)*(Z66/CH66)^DB66)-AT65)+(ATM_Conf!$C$5/Z253)*AT65*(Nodes!BE65-AT65)-(ATM_Conf!$C$5*ATM_Conf!$C$9)/(Z253*ATM_Conf!$C$8)*(Nodes!BS65-Z65)/(Z65+ATM_Conf!$C$10)</f>
        <v>#DIV/0!</v>
      </c>
      <c r="AU66" s="43" t="e">
        <f>AU65+(ATM_Conf!$C$5/ATM_Conf!$C$8)*(BO66*EXP(-(1/DC66)*(AA66/CI66)^DC66)-AU65)+(ATM_Conf!$C$5/AA253)*AU65*(Nodes!BF65-AU65)-(ATM_Conf!$C$5*ATM_Conf!$C$9)/(AA253*ATM_Conf!$C$8)*(Nodes!BV65-AA65)/(AA65+ATM_Conf!$C$10)</f>
        <v>#DIV/0!</v>
      </c>
      <c r="AV66" s="43" t="e">
        <f>AV65+(ATM_Conf!$C$5/ATM_Conf!$C$8)*(BP66*EXP(-(1/DD66)*(AB66/CJ66)^DD66)-AV65)+(ATM_Conf!$C$5/AB253)*AV65*(AU65-AV65)-(ATM_Conf!$C$5*ATM_Conf!$C$9)/(AB253*ATM_Conf!$C$8)*(AC65-AB65)/(AB65+ATM_Conf!$C$10)</f>
        <v>#DIV/0!</v>
      </c>
      <c r="AW66" s="43" t="e">
        <f>AW65+(ATM_Conf!$C$5/ATM_Conf!$C$8)*(BQ66*EXP(-(1/DE66)*(AC66/CK66)^DE66)-AW65)+(ATM_Conf!$C$5/AC253)*AW65*(AV65-AW65)-(ATM_Conf!$C$5*ATM_Conf!$C$9)/(AC253*ATM_Conf!$C$8)*(AD65-AC65)/(AC65+ATM_Conf!$C$10)</f>
        <v>#DIV/0!</v>
      </c>
      <c r="AX66" s="43" t="e">
        <f>AX65+(ATM_Conf!$C$5/ATM_Conf!$C$8)*(BR66*EXP(-(1/DF66)*(AD66/CL66)^DF66)-AX65)+(ATM_Conf!$C$5/AD253)*AX65*(Nodes!BG65-AX65)-(ATM_Conf!$C$5*ATM_Conf!$C$9)/(AD253*ATM_Conf!$C$8)*(Nodes!BU65-AD65)/(AD65+ATM_Conf!$C$10)</f>
        <v>#DIV/0!</v>
      </c>
      <c r="AY66" s="43" t="e">
        <f>AY65+(ATM_Conf!$C$5/ATM_Conf!$C$8)*(BS66*EXP(-(1/DG66)*(AE66/CM66)^DG66)-AY65)+(ATM_Conf!$C$5/AE253)*AY65*(Nodes!BF65-AY65)</f>
        <v>#DIV/0!</v>
      </c>
      <c r="AZ66" s="43" t="e">
        <f>AZ65+(ATM_Conf!$C$5/ATM_Conf!$C$8)*(BT66*EXP(-(1/DH66)*(AF66/CN66)^DH66)-AZ65)-(ATM_Conf!$C$5*ATM_Conf!$C$9)/(AF253*ATM_Conf!$C$8)*(Nodes!BV65-AF65)/(AF65+ATM_Conf!$C$10)</f>
        <v>#DIV/0!</v>
      </c>
      <c r="BA66" s="43" t="e">
        <f>BA65+(ATM_Conf!$C$5/ATM_Conf!$C$8)*(BU66*EXP(-(1/DI66)*(AG66/CO66)^DI66)-BA65)+(ATM_Conf!$C$5/AG253)*BA65*(Nodes!BI65-BA65)-(ATM_Conf!$C$5*ATM_Conf!$C$9)/(AG253*ATM_Conf!$C$8)*(Nodes!BW65-AG65)/(AG65+ATM_Conf!$C$10)</f>
        <v>#DIV/0!</v>
      </c>
      <c r="BB66" s="43" t="e">
        <f>BB65+(ATM_Conf!$C$5/ATM_Conf!$C$8)*(BV66*EXP(-(1/DJ66)*(AH66/CP66)^DJ66)-BB65)+(ATM_Conf!$C$5/AH253)*BB65*(Nodes!BJ65-BB65)-(ATM_Conf!$C$5*ATM_Conf!$C$9)/(AH253*ATM_Conf!$C$8)*(AI65-AH65)/(AH65+ATM_Conf!$C$10)</f>
        <v>#DIV/0!</v>
      </c>
      <c r="BC66" s="43" t="e">
        <f>BC65+(ATM_Conf!$C$5/ATM_Conf!$C$8)*(BW66*EXP(-(1/DK66)*(AI66/CQ66)^DK66)-BC65)+(ATM_Conf!$C$5/AI253)*BC65*(BB65-BC65)-(ATM_Conf!$C$5*ATM_Conf!$C$9)/(AI253*ATM_Conf!$C$8)*(AJ65-AI65)/(AI65+ATM_Conf!$C$10)</f>
        <v>#DIV/0!</v>
      </c>
      <c r="BD66" s="43" t="e">
        <f>BD65+(ATM_Conf!$C$5/ATM_Conf!$C$8)*(BX66*EXP(-(1/DL66)*(AJ66/CR66)^DL66)-BD65)+(ATM_Conf!$C$5/AJ253)*BD65*(BC65-BD65)-(ATM_Conf!$C$5*ATM_Conf!$C$9)/(AJ253*ATM_Conf!$C$8)*(Nodes!BX65-AJ65)/(AJ65+ATM_Conf!$C$10)</f>
        <v>#DIV/0!</v>
      </c>
      <c r="BE66" s="43" t="e">
        <f>BE65+(ATM_Conf!$C$5/ATM_Conf!$C$8)*(BY66*EXP(-(1/DM66)*(AK66/CS66)^DM66)-BE65)+(ATM_Conf!$C$5/AK253)*BE65*(Nodes!BK65-BE65)-(ATM_Conf!$C$5*ATM_Conf!$C$9)/(AK253*ATM_Conf!$C$8)*(Nodes!BY65-AK65)/(AK65+ATM_Conf!$C$10)</f>
        <v>#DIV/0!</v>
      </c>
      <c r="BF66" s="43" t="e">
        <f>BF65+(ATM_Conf!$C$5/ATM_Conf!$C$8)*(BZ66*EXP(-(1/DN66)*(AL66/CT66)^DN66)-BF65)+(ATM_Conf!$C$5/AL253)*BF65*(BE65-BF65)-(ATM_Conf!$C$5*ATM_Conf!$C$9)/(AL253*ATM_Conf!$C$8)*(AM65-AL65)/(AL65+ATM_Conf!$C$10)</f>
        <v>#DIV/0!</v>
      </c>
      <c r="BG66" s="43" t="e">
        <f>BG65+(ATM_Conf!$C$5/ATM_Conf!$C$8)*(CA66*EXP(-(1/DO66)*(AM66/CU66)^DO66)-BG65)+(ATM_Conf!$C$5/AM253)*BG65*(Nodes!BM65-BG65)-(ATM_Conf!$C$5*ATM_Conf!$C$9)/(AM253*ATM_Conf!$C$8)*(Nodes!CA65-AM65)/(AM65+ATM_Conf!$C$10)</f>
        <v>#DIV/0!</v>
      </c>
      <c r="BH66" s="43" t="e">
        <f>BH65+(ATM_Conf!$C$5/ATM_Conf!$C$8)*(CB66*EXP(-(1/DP66)*(AN66/CV66)^DP66)-BH65)+(ATM_Conf!$C$5/AN253)*BH65*(BG65-BH65)-(ATM_Conf!$C$5*ATM_Conf!$C$9)/(AN253*ATM_Conf!$C$8)*(AO65-AN65)/(AN65+ATM_Conf!$C$10)</f>
        <v>#DIV/0!</v>
      </c>
      <c r="BI66" s="43" t="e">
        <f>BI65+(ATM_Conf!$C$5/ATM_Conf!$C$8)*(CC66*EXP(-(1/DQ66)*(AO66/CW66)^DQ66)-BI65)+(ATM_Conf!$C$5/AO253)*BI65*(BH65-BI65)</f>
        <v>#DIV/0!</v>
      </c>
      <c r="BJ66" s="53"/>
      <c r="BK66" s="53"/>
      <c r="BL66" s="53"/>
      <c r="BM66" s="53"/>
      <c r="BN66" s="53"/>
      <c r="BO66" s="53"/>
      <c r="BP66" s="53"/>
      <c r="BQ66" s="53"/>
      <c r="BR66" s="53"/>
      <c r="BS66" s="53"/>
      <c r="BT66" s="53"/>
      <c r="BU66" s="53"/>
      <c r="BV66" s="53"/>
      <c r="BW66" s="53"/>
      <c r="BX66" s="53"/>
      <c r="BY66" s="53"/>
      <c r="BZ66" s="53"/>
      <c r="CA66" s="53"/>
      <c r="CB66" s="53"/>
      <c r="CC66" s="5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53"/>
      <c r="CY66" s="53"/>
      <c r="CZ66" s="53"/>
      <c r="DA66" s="53"/>
      <c r="DB66" s="53"/>
      <c r="DC66" s="53"/>
      <c r="DD66" s="53"/>
      <c r="DE66" s="53"/>
      <c r="DF66" s="53"/>
      <c r="DG66" s="53"/>
      <c r="DH66" s="53"/>
      <c r="DI66" s="53"/>
      <c r="DJ66" s="53"/>
      <c r="DK66" s="53"/>
      <c r="DL66" s="53"/>
      <c r="DM66" s="53"/>
      <c r="DN66" s="53"/>
      <c r="DO66" s="53"/>
      <c r="DP66" s="53"/>
      <c r="DQ66" s="53"/>
      <c r="DR66" s="43">
        <f t="shared" si="38"/>
        <v>0</v>
      </c>
      <c r="DS66" s="43">
        <f t="shared" si="37"/>
        <v>0</v>
      </c>
      <c r="DT66" s="43">
        <f t="shared" si="37"/>
        <v>0</v>
      </c>
      <c r="DU66" s="43">
        <f t="shared" si="37"/>
        <v>0</v>
      </c>
      <c r="DV66" s="43">
        <f t="shared" si="37"/>
        <v>0</v>
      </c>
      <c r="DW66" s="43">
        <f t="shared" si="37"/>
        <v>0</v>
      </c>
      <c r="DX66" s="43">
        <f t="shared" si="37"/>
        <v>0</v>
      </c>
      <c r="DY66" s="43">
        <f t="shared" si="37"/>
        <v>0</v>
      </c>
      <c r="DZ66" s="43">
        <f t="shared" si="37"/>
        <v>0</v>
      </c>
      <c r="EA66" s="43">
        <f t="shared" si="37"/>
        <v>0</v>
      </c>
      <c r="EB66" s="43">
        <f t="shared" si="37"/>
        <v>0</v>
      </c>
      <c r="EC66" s="43">
        <f t="shared" si="37"/>
        <v>0</v>
      </c>
      <c r="ED66" s="43">
        <f t="shared" si="37"/>
        <v>0</v>
      </c>
      <c r="EE66" s="43">
        <f t="shared" si="37"/>
        <v>0</v>
      </c>
      <c r="EF66" s="43">
        <f t="shared" si="37"/>
        <v>0</v>
      </c>
      <c r="EG66" s="43">
        <f t="shared" si="37"/>
        <v>0</v>
      </c>
      <c r="EH66" s="43">
        <f t="shared" si="37"/>
        <v>0</v>
      </c>
      <c r="EI66" s="43">
        <f t="shared" si="37"/>
        <v>0</v>
      </c>
      <c r="EJ66" s="43">
        <f t="shared" si="37"/>
        <v>0</v>
      </c>
      <c r="EK66" s="43">
        <f t="shared" si="37"/>
        <v>0</v>
      </c>
      <c r="EL66" s="47"/>
      <c r="EM66" s="47"/>
      <c r="EN66" s="47"/>
      <c r="EO66" s="47"/>
      <c r="EP66" s="47"/>
      <c r="EQ66" s="47"/>
      <c r="ER66" s="47"/>
      <c r="ES66" s="47"/>
      <c r="ET66" s="47"/>
      <c r="EU66" s="47"/>
      <c r="EV66" s="47"/>
      <c r="EW66" s="47"/>
      <c r="EX66" s="47"/>
      <c r="EY66" s="47"/>
      <c r="EZ66" s="47"/>
      <c r="FA66" s="47"/>
      <c r="FB66" s="47"/>
      <c r="FC66" s="47"/>
      <c r="FD66" s="47"/>
      <c r="FE66" s="47"/>
    </row>
    <row r="67" spans="1:161" ht="14.25" x14ac:dyDescent="0.15">
      <c r="A67" s="46"/>
      <c r="B67" s="43" t="e">
        <f t="shared" si="2"/>
        <v>#DIV/0!</v>
      </c>
      <c r="C67" s="43" t="e">
        <f t="shared" si="3"/>
        <v>#DIV/0!</v>
      </c>
      <c r="D67" s="43" t="e">
        <f t="shared" si="4"/>
        <v>#DIV/0!</v>
      </c>
      <c r="E67" s="43" t="e">
        <f t="shared" si="5"/>
        <v>#DIV/0!</v>
      </c>
      <c r="F67" s="43" t="e">
        <f t="shared" si="6"/>
        <v>#DIV/0!</v>
      </c>
      <c r="G67" s="43" t="e">
        <f t="shared" si="7"/>
        <v>#DIV/0!</v>
      </c>
      <c r="H67" s="43" t="e">
        <f t="shared" si="8"/>
        <v>#DIV/0!</v>
      </c>
      <c r="I67" s="43" t="e">
        <f t="shared" si="9"/>
        <v>#DIV/0!</v>
      </c>
      <c r="J67" s="43" t="e">
        <f t="shared" si="10"/>
        <v>#DIV/0!</v>
      </c>
      <c r="K67" s="43" t="e">
        <f t="shared" si="11"/>
        <v>#DIV/0!</v>
      </c>
      <c r="L67" s="43" t="e">
        <f t="shared" si="12"/>
        <v>#DIV/0!</v>
      </c>
      <c r="M67" s="43" t="e">
        <f t="shared" si="13"/>
        <v>#DIV/0!</v>
      </c>
      <c r="N67" s="43" t="e">
        <f t="shared" si="14"/>
        <v>#DIV/0!</v>
      </c>
      <c r="O67" s="43" t="e">
        <f t="shared" si="15"/>
        <v>#DIV/0!</v>
      </c>
      <c r="P67" s="43" t="e">
        <f t="shared" si="16"/>
        <v>#DIV/0!</v>
      </c>
      <c r="Q67" s="43" t="e">
        <f t="shared" si="17"/>
        <v>#DIV/0!</v>
      </c>
      <c r="R67" s="43" t="e">
        <f t="shared" si="18"/>
        <v>#DIV/0!</v>
      </c>
      <c r="S67" s="43" t="e">
        <f t="shared" si="19"/>
        <v>#DIV/0!</v>
      </c>
      <c r="T67" s="43" t="e">
        <f t="shared" si="20"/>
        <v>#DIV/0!</v>
      </c>
      <c r="U67" s="43" t="e">
        <f t="shared" si="21"/>
        <v>#DIV/0!</v>
      </c>
      <c r="V67" s="53" t="e">
        <f>V66+ATM_Conf!$C$5*(B66)/(B254*V254)</f>
        <v>#DIV/0!</v>
      </c>
      <c r="W67" s="53" t="e">
        <f>W66+ATM_Conf!$C$5*(C66-B66)/(C254*W254)</f>
        <v>#DIV/0!</v>
      </c>
      <c r="X67" s="53" t="e">
        <f>X66+ATM_Conf!$C$5*(D66-C66)/(D254*X254)</f>
        <v>#DIV/0!</v>
      </c>
      <c r="Y67" s="53" t="e">
        <f>Y66+ATM_Conf!$C$5*(E66-D66)/(E254*Y254)</f>
        <v>#DIV/0!</v>
      </c>
      <c r="Z67" s="53" t="e">
        <f>Z66+ATM_Conf!$C$5*(F66-E66)/(F254*Z254)</f>
        <v>#DIV/0!</v>
      </c>
      <c r="AA67" s="53" t="e">
        <f>AA66+ATM_Conf!$C$5*(G66-F66)/(G254*AA254)</f>
        <v>#DIV/0!</v>
      </c>
      <c r="AB67" s="53" t="e">
        <f>AB66+ATM_Conf!$C$5*(H66-G66)/(H254*AB254)</f>
        <v>#DIV/0!</v>
      </c>
      <c r="AC67" s="53" t="e">
        <f>AC66+ATM_Conf!$C$5*(I66-H66)/(I254*AC254)</f>
        <v>#DIV/0!</v>
      </c>
      <c r="AD67" s="53" t="e">
        <f>AD66+ATM_Conf!$C$5*(J66-I66)/(J254*AD254)</f>
        <v>#DIV/0!</v>
      </c>
      <c r="AE67" s="53" t="e">
        <f>AE66+ATM_Conf!$C$5*(K66-J66)/(K254*AE254)</f>
        <v>#DIV/0!</v>
      </c>
      <c r="AF67" s="53" t="e">
        <f>AF66+ATM_Conf!$C$5*(L66)/(L254*AF254)</f>
        <v>#DIV/0!</v>
      </c>
      <c r="AG67" s="53" t="e">
        <f>AG66+ATM_Conf!$C$5*(M66-L66)/(M254*AG254)</f>
        <v>#DIV/0!</v>
      </c>
      <c r="AH67" s="53" t="e">
        <f>AH66+ATM_Conf!$C$5*(N66-M66)/(N254*AH254)</f>
        <v>#DIV/0!</v>
      </c>
      <c r="AI67" s="53" t="e">
        <f>AI66+ATM_Conf!$C$5*(O66-N66)/(O254*AI254)</f>
        <v>#DIV/0!</v>
      </c>
      <c r="AJ67" s="53" t="e">
        <f>AJ66+ATM_Conf!$C$5*(P66-O66)/(P254*AJ254)</f>
        <v>#DIV/0!</v>
      </c>
      <c r="AK67" s="53" t="e">
        <f>AK66+ATM_Conf!$C$5*(Q66-P66)/(Q254*AK254)</f>
        <v>#DIV/0!</v>
      </c>
      <c r="AL67" s="53" t="e">
        <f>AL66+ATM_Conf!$C$5*(R66-Q66)/(R254*AL254)</f>
        <v>#DIV/0!</v>
      </c>
      <c r="AM67" s="53" t="e">
        <f>AM66+ATM_Conf!$C$5*(S66-R66)/(S254*AM254)</f>
        <v>#DIV/0!</v>
      </c>
      <c r="AN67" s="53" t="e">
        <f>AN66+ATM_Conf!$C$5*(T66-S66)/(T254*AN254)</f>
        <v>#DIV/0!</v>
      </c>
      <c r="AO67" s="53" t="e">
        <f>AO66+ATM_Conf!$C$5*(U66-T66)/(U254*AO254)</f>
        <v>#DIV/0!</v>
      </c>
      <c r="AP67" s="43" t="e">
        <f>AP66+(ATM_Conf!$C$5/ATM_Conf!$C$8)*(BJ67*EXP(-(1/CX67)*(V67/CD67)^CX67)-AP66)-(ATM_Conf!$C$5*ATM_Conf!$C$9)/(V254*ATM_Conf!$C$8)*(Nodes!BO66-V66)/(V66+ATM_Conf!$C$10)</f>
        <v>#DIV/0!</v>
      </c>
      <c r="AQ67" s="43" t="e">
        <f>AQ66+(ATM_Conf!$C$5/ATM_Conf!$C$8)*(BK67*EXP(-(1/CY67)*(W67/CE67)^CY67)-AQ66)+(ATM_Conf!$C$5/W254)*AQ66*(AP66-AQ66)-(ATM_Conf!$C$5*ATM_Conf!$C$9)/(W254*ATM_Conf!$C$8)*(X66-W66)/(W66+ATM_Conf!$C$10)</f>
        <v>#DIV/0!</v>
      </c>
      <c r="AR67" s="43" t="e">
        <f>AR66+(ATM_Conf!$C$5/ATM_Conf!$C$8)*(BL67*EXP(-(1/CZ67)*(X67/CF67)^CZ67)-AR66)+(ATM_Conf!$C$5/X254)*AR66*(Nodes!BC66-AR66)-(ATM_Conf!$C$5*ATM_Conf!$C$9)/(X254*ATM_Conf!$C$8)*(Nodes!BQ66-X66)/(X66+ATM_Conf!$C$10)</f>
        <v>#DIV/0!</v>
      </c>
      <c r="AS67" s="43" t="e">
        <f>AS66+(ATM_Conf!$C$5/ATM_Conf!$C$8)*(BM67*EXP(-(1/DA67)*(Y67/CG67)^DA67)-AS66)+(ATM_Conf!$C$5/Y254)*AS66*(AR66-AS66)-(ATM_Conf!$C$5*ATM_Conf!$C$9)/(Y254*ATM_Conf!$C$8)*(Z66-Y66)/(Y66+ATM_Conf!$C$10)</f>
        <v>#DIV/0!</v>
      </c>
      <c r="AT67" s="43" t="e">
        <f>AT66+(ATM_Conf!$C$5/ATM_Conf!$C$8)*(BN67*EXP(-(1/DB67)*(Z67/CH67)^DB67)-AT66)+(ATM_Conf!$C$5/Z254)*AT66*(Nodes!BE66-AT66)-(ATM_Conf!$C$5*ATM_Conf!$C$9)/(Z254*ATM_Conf!$C$8)*(Nodes!BS66-Z66)/(Z66+ATM_Conf!$C$10)</f>
        <v>#DIV/0!</v>
      </c>
      <c r="AU67" s="43" t="e">
        <f>AU66+(ATM_Conf!$C$5/ATM_Conf!$C$8)*(BO67*EXP(-(1/DC67)*(AA67/CI67)^DC67)-AU66)+(ATM_Conf!$C$5/AA254)*AU66*(Nodes!BF66-AU66)-(ATM_Conf!$C$5*ATM_Conf!$C$9)/(AA254*ATM_Conf!$C$8)*(Nodes!BV66-AA66)/(AA66+ATM_Conf!$C$10)</f>
        <v>#DIV/0!</v>
      </c>
      <c r="AV67" s="43" t="e">
        <f>AV66+(ATM_Conf!$C$5/ATM_Conf!$C$8)*(BP67*EXP(-(1/DD67)*(AB67/CJ67)^DD67)-AV66)+(ATM_Conf!$C$5/AB254)*AV66*(AU66-AV66)-(ATM_Conf!$C$5*ATM_Conf!$C$9)/(AB254*ATM_Conf!$C$8)*(AC66-AB66)/(AB66+ATM_Conf!$C$10)</f>
        <v>#DIV/0!</v>
      </c>
      <c r="AW67" s="43" t="e">
        <f>AW66+(ATM_Conf!$C$5/ATM_Conf!$C$8)*(BQ67*EXP(-(1/DE67)*(AC67/CK67)^DE67)-AW66)+(ATM_Conf!$C$5/AC254)*AW66*(AV66-AW66)-(ATM_Conf!$C$5*ATM_Conf!$C$9)/(AC254*ATM_Conf!$C$8)*(AD66-AC66)/(AC66+ATM_Conf!$C$10)</f>
        <v>#DIV/0!</v>
      </c>
      <c r="AX67" s="43" t="e">
        <f>AX66+(ATM_Conf!$C$5/ATM_Conf!$C$8)*(BR67*EXP(-(1/DF67)*(AD67/CL67)^DF67)-AX66)+(ATM_Conf!$C$5/AD254)*AX66*(Nodes!BG66-AX66)-(ATM_Conf!$C$5*ATM_Conf!$C$9)/(AD254*ATM_Conf!$C$8)*(Nodes!BU66-AD66)/(AD66+ATM_Conf!$C$10)</f>
        <v>#DIV/0!</v>
      </c>
      <c r="AY67" s="43" t="e">
        <f>AY66+(ATM_Conf!$C$5/ATM_Conf!$C$8)*(BS67*EXP(-(1/DG67)*(AE67/CM67)^DG67)-AY66)+(ATM_Conf!$C$5/AE254)*AY66*(Nodes!BF66-AY66)</f>
        <v>#DIV/0!</v>
      </c>
      <c r="AZ67" s="43" t="e">
        <f>AZ66+(ATM_Conf!$C$5/ATM_Conf!$C$8)*(BT67*EXP(-(1/DH67)*(AF67/CN67)^DH67)-AZ66)-(ATM_Conf!$C$5*ATM_Conf!$C$9)/(AF254*ATM_Conf!$C$8)*(Nodes!BV66-AF66)/(AF66+ATM_Conf!$C$10)</f>
        <v>#DIV/0!</v>
      </c>
      <c r="BA67" s="43" t="e">
        <f>BA66+(ATM_Conf!$C$5/ATM_Conf!$C$8)*(BU67*EXP(-(1/DI67)*(AG67/CO67)^DI67)-BA66)+(ATM_Conf!$C$5/AG254)*BA66*(Nodes!BI66-BA66)-(ATM_Conf!$C$5*ATM_Conf!$C$9)/(AG254*ATM_Conf!$C$8)*(Nodes!BW66-AG66)/(AG66+ATM_Conf!$C$10)</f>
        <v>#DIV/0!</v>
      </c>
      <c r="BB67" s="43" t="e">
        <f>BB66+(ATM_Conf!$C$5/ATM_Conf!$C$8)*(BV67*EXP(-(1/DJ67)*(AH67/CP67)^DJ67)-BB66)+(ATM_Conf!$C$5/AH254)*BB66*(Nodes!BJ66-BB66)-(ATM_Conf!$C$5*ATM_Conf!$C$9)/(AH254*ATM_Conf!$C$8)*(AI66-AH66)/(AH66+ATM_Conf!$C$10)</f>
        <v>#DIV/0!</v>
      </c>
      <c r="BC67" s="43" t="e">
        <f>BC66+(ATM_Conf!$C$5/ATM_Conf!$C$8)*(BW67*EXP(-(1/DK67)*(AI67/CQ67)^DK67)-BC66)+(ATM_Conf!$C$5/AI254)*BC66*(BB66-BC66)-(ATM_Conf!$C$5*ATM_Conf!$C$9)/(AI254*ATM_Conf!$C$8)*(AJ66-AI66)/(AI66+ATM_Conf!$C$10)</f>
        <v>#DIV/0!</v>
      </c>
      <c r="BD67" s="43" t="e">
        <f>BD66+(ATM_Conf!$C$5/ATM_Conf!$C$8)*(BX67*EXP(-(1/DL67)*(AJ67/CR67)^DL67)-BD66)+(ATM_Conf!$C$5/AJ254)*BD66*(BC66-BD66)-(ATM_Conf!$C$5*ATM_Conf!$C$9)/(AJ254*ATM_Conf!$C$8)*(Nodes!BX66-AJ66)/(AJ66+ATM_Conf!$C$10)</f>
        <v>#DIV/0!</v>
      </c>
      <c r="BE67" s="43" t="e">
        <f>BE66+(ATM_Conf!$C$5/ATM_Conf!$C$8)*(BY67*EXP(-(1/DM67)*(AK67/CS67)^DM67)-BE66)+(ATM_Conf!$C$5/AK254)*BE66*(Nodes!BK66-BE66)-(ATM_Conf!$C$5*ATM_Conf!$C$9)/(AK254*ATM_Conf!$C$8)*(Nodes!BY66-AK66)/(AK66+ATM_Conf!$C$10)</f>
        <v>#DIV/0!</v>
      </c>
      <c r="BF67" s="43" t="e">
        <f>BF66+(ATM_Conf!$C$5/ATM_Conf!$C$8)*(BZ67*EXP(-(1/DN67)*(AL67/CT67)^DN67)-BF66)+(ATM_Conf!$C$5/AL254)*BF66*(BE66-BF66)-(ATM_Conf!$C$5*ATM_Conf!$C$9)/(AL254*ATM_Conf!$C$8)*(AM66-AL66)/(AL66+ATM_Conf!$C$10)</f>
        <v>#DIV/0!</v>
      </c>
      <c r="BG67" s="43" t="e">
        <f>BG66+(ATM_Conf!$C$5/ATM_Conf!$C$8)*(CA67*EXP(-(1/DO67)*(AM67/CU67)^DO67)-BG66)+(ATM_Conf!$C$5/AM254)*BG66*(Nodes!BM66-BG66)-(ATM_Conf!$C$5*ATM_Conf!$C$9)/(AM254*ATM_Conf!$C$8)*(Nodes!CA66-AM66)/(AM66+ATM_Conf!$C$10)</f>
        <v>#DIV/0!</v>
      </c>
      <c r="BH67" s="43" t="e">
        <f>BH66+(ATM_Conf!$C$5/ATM_Conf!$C$8)*(CB67*EXP(-(1/DP67)*(AN67/CV67)^DP67)-BH66)+(ATM_Conf!$C$5/AN254)*BH66*(BG66-BH66)-(ATM_Conf!$C$5*ATM_Conf!$C$9)/(AN254*ATM_Conf!$C$8)*(AO66-AN66)/(AN66+ATM_Conf!$C$10)</f>
        <v>#DIV/0!</v>
      </c>
      <c r="BI67" s="43" t="e">
        <f>BI66+(ATM_Conf!$C$5/ATM_Conf!$C$8)*(CC67*EXP(-(1/DQ67)*(AO67/CW67)^DQ67)-BI66)+(ATM_Conf!$C$5/AO254)*BI66*(BH66-BI66)</f>
        <v>#DIV/0!</v>
      </c>
      <c r="BJ67" s="53"/>
      <c r="BK67" s="53"/>
      <c r="BL67" s="53"/>
      <c r="BM67" s="53"/>
      <c r="BN67" s="53"/>
      <c r="BO67" s="53"/>
      <c r="BP67" s="53"/>
      <c r="BQ67" s="53"/>
      <c r="BR67" s="53"/>
      <c r="BS67" s="53"/>
      <c r="BT67" s="53"/>
      <c r="BU67" s="53"/>
      <c r="BV67" s="53"/>
      <c r="BW67" s="53"/>
      <c r="BX67" s="53"/>
      <c r="BY67" s="53"/>
      <c r="BZ67" s="53"/>
      <c r="CA67" s="53"/>
      <c r="CB67" s="53"/>
      <c r="CC67" s="5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53"/>
      <c r="CY67" s="53"/>
      <c r="CZ67" s="53"/>
      <c r="DA67" s="53"/>
      <c r="DB67" s="53"/>
      <c r="DC67" s="53"/>
      <c r="DD67" s="53"/>
      <c r="DE67" s="53"/>
      <c r="DF67" s="53"/>
      <c r="DG67" s="53"/>
      <c r="DH67" s="53"/>
      <c r="DI67" s="53"/>
      <c r="DJ67" s="53"/>
      <c r="DK67" s="53"/>
      <c r="DL67" s="53"/>
      <c r="DM67" s="53"/>
      <c r="DN67" s="53"/>
      <c r="DO67" s="53"/>
      <c r="DP67" s="53"/>
      <c r="DQ67" s="53"/>
      <c r="DR67" s="43">
        <f t="shared" si="38"/>
        <v>0</v>
      </c>
      <c r="DS67" s="43">
        <f t="shared" si="37"/>
        <v>0</v>
      </c>
      <c r="DT67" s="43">
        <f t="shared" si="37"/>
        <v>0</v>
      </c>
      <c r="DU67" s="43">
        <f t="shared" si="37"/>
        <v>0</v>
      </c>
      <c r="DV67" s="43">
        <f t="shared" si="37"/>
        <v>0</v>
      </c>
      <c r="DW67" s="43">
        <f t="shared" si="37"/>
        <v>0</v>
      </c>
      <c r="DX67" s="43">
        <f t="shared" si="37"/>
        <v>0</v>
      </c>
      <c r="DY67" s="43">
        <f t="shared" si="37"/>
        <v>0</v>
      </c>
      <c r="DZ67" s="43">
        <f t="shared" si="37"/>
        <v>0</v>
      </c>
      <c r="EA67" s="43">
        <f t="shared" si="37"/>
        <v>0</v>
      </c>
      <c r="EB67" s="43">
        <f t="shared" si="37"/>
        <v>0</v>
      </c>
      <c r="EC67" s="43">
        <f t="shared" si="37"/>
        <v>0</v>
      </c>
      <c r="ED67" s="43">
        <f t="shared" si="37"/>
        <v>0</v>
      </c>
      <c r="EE67" s="43">
        <f t="shared" si="37"/>
        <v>0</v>
      </c>
      <c r="EF67" s="43">
        <f t="shared" si="37"/>
        <v>0</v>
      </c>
      <c r="EG67" s="43">
        <f t="shared" si="37"/>
        <v>0</v>
      </c>
      <c r="EH67" s="43">
        <f t="shared" si="37"/>
        <v>0</v>
      </c>
      <c r="EI67" s="43">
        <f t="shared" si="37"/>
        <v>0</v>
      </c>
      <c r="EJ67" s="43">
        <f t="shared" si="37"/>
        <v>0</v>
      </c>
      <c r="EK67" s="43">
        <f t="shared" si="37"/>
        <v>0</v>
      </c>
      <c r="EL67" s="47"/>
      <c r="EM67" s="47"/>
      <c r="EN67" s="47"/>
      <c r="EO67" s="47"/>
      <c r="EP67" s="47"/>
      <c r="EQ67" s="47"/>
      <c r="ER67" s="47"/>
      <c r="ES67" s="47"/>
      <c r="ET67" s="47"/>
      <c r="EU67" s="47"/>
      <c r="EV67" s="47"/>
      <c r="EW67" s="47"/>
      <c r="EX67" s="47"/>
      <c r="EY67" s="47"/>
      <c r="EZ67" s="47"/>
      <c r="FA67" s="47"/>
      <c r="FB67" s="47"/>
      <c r="FC67" s="47"/>
      <c r="FD67" s="47"/>
      <c r="FE67" s="47"/>
    </row>
    <row r="68" spans="1:161" ht="14.25" x14ac:dyDescent="0.15">
      <c r="A68" s="46"/>
      <c r="B68" s="43" t="e">
        <f t="shared" ref="B68:B131" si="39">V68*AP68</f>
        <v>#DIV/0!</v>
      </c>
      <c r="C68" s="43" t="e">
        <f t="shared" ref="C68:C131" si="40">W68*AQ68</f>
        <v>#DIV/0!</v>
      </c>
      <c r="D68" s="43" t="e">
        <f t="shared" ref="D68:D131" si="41">X68*AR68</f>
        <v>#DIV/0!</v>
      </c>
      <c r="E68" s="43" t="e">
        <f t="shared" ref="E68:E131" si="42">Y68*AS68</f>
        <v>#DIV/0!</v>
      </c>
      <c r="F68" s="43" t="e">
        <f t="shared" ref="F68:F131" si="43">Z68*AT68</f>
        <v>#DIV/0!</v>
      </c>
      <c r="G68" s="43" t="e">
        <f t="shared" ref="G68:G131" si="44">AA68*AU68</f>
        <v>#DIV/0!</v>
      </c>
      <c r="H68" s="43" t="e">
        <f t="shared" ref="H68:H131" si="45">AB68*AV68</f>
        <v>#DIV/0!</v>
      </c>
      <c r="I68" s="43" t="e">
        <f t="shared" ref="I68:I131" si="46">AC68*AW68</f>
        <v>#DIV/0!</v>
      </c>
      <c r="J68" s="43" t="e">
        <f t="shared" ref="J68:J131" si="47">AD68*AX68</f>
        <v>#DIV/0!</v>
      </c>
      <c r="K68" s="43" t="e">
        <f t="shared" ref="K68:K131" si="48">AE68*AY68</f>
        <v>#DIV/0!</v>
      </c>
      <c r="L68" s="43" t="e">
        <f t="shared" ref="L68:L131" si="49">AF68*AZ68</f>
        <v>#DIV/0!</v>
      </c>
      <c r="M68" s="43" t="e">
        <f t="shared" ref="M68:M131" si="50">AG68*BA68</f>
        <v>#DIV/0!</v>
      </c>
      <c r="N68" s="43" t="e">
        <f t="shared" ref="N68:N131" si="51">AH68*BB68</f>
        <v>#DIV/0!</v>
      </c>
      <c r="O68" s="43" t="e">
        <f t="shared" ref="O68:O131" si="52">AI68*BC68</f>
        <v>#DIV/0!</v>
      </c>
      <c r="P68" s="43" t="e">
        <f t="shared" ref="P68:P131" si="53">AJ68*BD68</f>
        <v>#DIV/0!</v>
      </c>
      <c r="Q68" s="43" t="e">
        <f t="shared" ref="Q68:Q131" si="54">AK68*BE68</f>
        <v>#DIV/0!</v>
      </c>
      <c r="R68" s="43" t="e">
        <f t="shared" ref="R68:R131" si="55">AL68*BF68</f>
        <v>#DIV/0!</v>
      </c>
      <c r="S68" s="43" t="e">
        <f t="shared" ref="S68:S131" si="56">AM68*BG68</f>
        <v>#DIV/0!</v>
      </c>
      <c r="T68" s="43" t="e">
        <f t="shared" ref="T68:T131" si="57">AN68*BH68</f>
        <v>#DIV/0!</v>
      </c>
      <c r="U68" s="43" t="e">
        <f t="shared" ref="U68:U131" si="58">AO68*BI68</f>
        <v>#DIV/0!</v>
      </c>
      <c r="V68" s="53" t="e">
        <f>V67+ATM_Conf!$C$5*(B67)/(B255*V255)</f>
        <v>#DIV/0!</v>
      </c>
      <c r="W68" s="53" t="e">
        <f>W67+ATM_Conf!$C$5*(C67-B67)/(C255*W255)</f>
        <v>#DIV/0!</v>
      </c>
      <c r="X68" s="53" t="e">
        <f>X67+ATM_Conf!$C$5*(D67-C67)/(D255*X255)</f>
        <v>#DIV/0!</v>
      </c>
      <c r="Y68" s="53" t="e">
        <f>Y67+ATM_Conf!$C$5*(E67-D67)/(E255*Y255)</f>
        <v>#DIV/0!</v>
      </c>
      <c r="Z68" s="53" t="e">
        <f>Z67+ATM_Conf!$C$5*(F67-E67)/(F255*Z255)</f>
        <v>#DIV/0!</v>
      </c>
      <c r="AA68" s="53" t="e">
        <f>AA67+ATM_Conf!$C$5*(G67-F67)/(G255*AA255)</f>
        <v>#DIV/0!</v>
      </c>
      <c r="AB68" s="53" t="e">
        <f>AB67+ATM_Conf!$C$5*(H67-G67)/(H255*AB255)</f>
        <v>#DIV/0!</v>
      </c>
      <c r="AC68" s="53" t="e">
        <f>AC67+ATM_Conf!$C$5*(I67-H67)/(I255*AC255)</f>
        <v>#DIV/0!</v>
      </c>
      <c r="AD68" s="53" t="e">
        <f>AD67+ATM_Conf!$C$5*(J67-I67)/(J255*AD255)</f>
        <v>#DIV/0!</v>
      </c>
      <c r="AE68" s="53" t="e">
        <f>AE67+ATM_Conf!$C$5*(K67-J67)/(K255*AE255)</f>
        <v>#DIV/0!</v>
      </c>
      <c r="AF68" s="53" t="e">
        <f>AF67+ATM_Conf!$C$5*(L67)/(L255*AF255)</f>
        <v>#DIV/0!</v>
      </c>
      <c r="AG68" s="53" t="e">
        <f>AG67+ATM_Conf!$C$5*(M67-L67)/(M255*AG255)</f>
        <v>#DIV/0!</v>
      </c>
      <c r="AH68" s="53" t="e">
        <f>AH67+ATM_Conf!$C$5*(N67-M67)/(N255*AH255)</f>
        <v>#DIV/0!</v>
      </c>
      <c r="AI68" s="53" t="e">
        <f>AI67+ATM_Conf!$C$5*(O67-N67)/(O255*AI255)</f>
        <v>#DIV/0!</v>
      </c>
      <c r="AJ68" s="53" t="e">
        <f>AJ67+ATM_Conf!$C$5*(P67-O67)/(P255*AJ255)</f>
        <v>#DIV/0!</v>
      </c>
      <c r="AK68" s="53" t="e">
        <f>AK67+ATM_Conf!$C$5*(Q67-P67)/(Q255*AK255)</f>
        <v>#DIV/0!</v>
      </c>
      <c r="AL68" s="53" t="e">
        <f>AL67+ATM_Conf!$C$5*(R67-Q67)/(R255*AL255)</f>
        <v>#DIV/0!</v>
      </c>
      <c r="AM68" s="53" t="e">
        <f>AM67+ATM_Conf!$C$5*(S67-R67)/(S255*AM255)</f>
        <v>#DIV/0!</v>
      </c>
      <c r="AN68" s="53" t="e">
        <f>AN67+ATM_Conf!$C$5*(T67-S67)/(T255*AN255)</f>
        <v>#DIV/0!</v>
      </c>
      <c r="AO68" s="53" t="e">
        <f>AO67+ATM_Conf!$C$5*(U67-T67)/(U255*AO255)</f>
        <v>#DIV/0!</v>
      </c>
      <c r="AP68" s="43" t="e">
        <f>AP67+(ATM_Conf!$C$5/ATM_Conf!$C$8)*(BJ68*EXP(-(1/CX68)*(V68/CD68)^CX68)-AP67)-(ATM_Conf!$C$5*ATM_Conf!$C$9)/(V255*ATM_Conf!$C$8)*(Nodes!BO67-V67)/(V67+ATM_Conf!$C$10)</f>
        <v>#DIV/0!</v>
      </c>
      <c r="AQ68" s="43" t="e">
        <f>AQ67+(ATM_Conf!$C$5/ATM_Conf!$C$8)*(BK68*EXP(-(1/CY68)*(W68/CE68)^CY68)-AQ67)+(ATM_Conf!$C$5/W255)*AQ67*(AP67-AQ67)-(ATM_Conf!$C$5*ATM_Conf!$C$9)/(W255*ATM_Conf!$C$8)*(X67-W67)/(W67+ATM_Conf!$C$10)</f>
        <v>#DIV/0!</v>
      </c>
      <c r="AR68" s="43" t="e">
        <f>AR67+(ATM_Conf!$C$5/ATM_Conf!$C$8)*(BL68*EXP(-(1/CZ68)*(X68/CF68)^CZ68)-AR67)+(ATM_Conf!$C$5/X255)*AR67*(Nodes!BC67-AR67)-(ATM_Conf!$C$5*ATM_Conf!$C$9)/(X255*ATM_Conf!$C$8)*(Nodes!BQ67-X67)/(X67+ATM_Conf!$C$10)</f>
        <v>#DIV/0!</v>
      </c>
      <c r="AS68" s="43" t="e">
        <f>AS67+(ATM_Conf!$C$5/ATM_Conf!$C$8)*(BM68*EXP(-(1/DA68)*(Y68/CG68)^DA68)-AS67)+(ATM_Conf!$C$5/Y255)*AS67*(AR67-AS67)-(ATM_Conf!$C$5*ATM_Conf!$C$9)/(Y255*ATM_Conf!$C$8)*(Z67-Y67)/(Y67+ATM_Conf!$C$10)</f>
        <v>#DIV/0!</v>
      </c>
      <c r="AT68" s="43" t="e">
        <f>AT67+(ATM_Conf!$C$5/ATM_Conf!$C$8)*(BN68*EXP(-(1/DB68)*(Z68/CH68)^DB68)-AT67)+(ATM_Conf!$C$5/Z255)*AT67*(Nodes!BE67-AT67)-(ATM_Conf!$C$5*ATM_Conf!$C$9)/(Z255*ATM_Conf!$C$8)*(Nodes!BS67-Z67)/(Z67+ATM_Conf!$C$10)</f>
        <v>#DIV/0!</v>
      </c>
      <c r="AU68" s="43" t="e">
        <f>AU67+(ATM_Conf!$C$5/ATM_Conf!$C$8)*(BO68*EXP(-(1/DC68)*(AA68/CI68)^DC68)-AU67)+(ATM_Conf!$C$5/AA255)*AU67*(Nodes!BF67-AU67)-(ATM_Conf!$C$5*ATM_Conf!$C$9)/(AA255*ATM_Conf!$C$8)*(Nodes!BV67-AA67)/(AA67+ATM_Conf!$C$10)</f>
        <v>#DIV/0!</v>
      </c>
      <c r="AV68" s="43" t="e">
        <f>AV67+(ATM_Conf!$C$5/ATM_Conf!$C$8)*(BP68*EXP(-(1/DD68)*(AB68/CJ68)^DD68)-AV67)+(ATM_Conf!$C$5/AB255)*AV67*(AU67-AV67)-(ATM_Conf!$C$5*ATM_Conf!$C$9)/(AB255*ATM_Conf!$C$8)*(AC67-AB67)/(AB67+ATM_Conf!$C$10)</f>
        <v>#DIV/0!</v>
      </c>
      <c r="AW68" s="43" t="e">
        <f>AW67+(ATM_Conf!$C$5/ATM_Conf!$C$8)*(BQ68*EXP(-(1/DE68)*(AC68/CK68)^DE68)-AW67)+(ATM_Conf!$C$5/AC255)*AW67*(AV67-AW67)-(ATM_Conf!$C$5*ATM_Conf!$C$9)/(AC255*ATM_Conf!$C$8)*(AD67-AC67)/(AC67+ATM_Conf!$C$10)</f>
        <v>#DIV/0!</v>
      </c>
      <c r="AX68" s="43" t="e">
        <f>AX67+(ATM_Conf!$C$5/ATM_Conf!$C$8)*(BR68*EXP(-(1/DF68)*(AD68/CL68)^DF68)-AX67)+(ATM_Conf!$C$5/AD255)*AX67*(Nodes!BG67-AX67)-(ATM_Conf!$C$5*ATM_Conf!$C$9)/(AD255*ATM_Conf!$C$8)*(Nodes!BU67-AD67)/(AD67+ATM_Conf!$C$10)</f>
        <v>#DIV/0!</v>
      </c>
      <c r="AY68" s="43" t="e">
        <f>AY67+(ATM_Conf!$C$5/ATM_Conf!$C$8)*(BS68*EXP(-(1/DG68)*(AE68/CM68)^DG68)-AY67)+(ATM_Conf!$C$5/AE255)*AY67*(Nodes!BF67-AY67)</f>
        <v>#DIV/0!</v>
      </c>
      <c r="AZ68" s="43" t="e">
        <f>AZ67+(ATM_Conf!$C$5/ATM_Conf!$C$8)*(BT68*EXP(-(1/DH68)*(AF68/CN68)^DH68)-AZ67)-(ATM_Conf!$C$5*ATM_Conf!$C$9)/(AF255*ATM_Conf!$C$8)*(Nodes!BV67-AF67)/(AF67+ATM_Conf!$C$10)</f>
        <v>#DIV/0!</v>
      </c>
      <c r="BA68" s="43" t="e">
        <f>BA67+(ATM_Conf!$C$5/ATM_Conf!$C$8)*(BU68*EXP(-(1/DI68)*(AG68/CO68)^DI68)-BA67)+(ATM_Conf!$C$5/AG255)*BA67*(Nodes!BI67-BA67)-(ATM_Conf!$C$5*ATM_Conf!$C$9)/(AG255*ATM_Conf!$C$8)*(Nodes!BW67-AG67)/(AG67+ATM_Conf!$C$10)</f>
        <v>#DIV/0!</v>
      </c>
      <c r="BB68" s="43" t="e">
        <f>BB67+(ATM_Conf!$C$5/ATM_Conf!$C$8)*(BV68*EXP(-(1/DJ68)*(AH68/CP68)^DJ68)-BB67)+(ATM_Conf!$C$5/AH255)*BB67*(Nodes!BJ67-BB67)-(ATM_Conf!$C$5*ATM_Conf!$C$9)/(AH255*ATM_Conf!$C$8)*(AI67-AH67)/(AH67+ATM_Conf!$C$10)</f>
        <v>#DIV/0!</v>
      </c>
      <c r="BC68" s="43" t="e">
        <f>BC67+(ATM_Conf!$C$5/ATM_Conf!$C$8)*(BW68*EXP(-(1/DK68)*(AI68/CQ68)^DK68)-BC67)+(ATM_Conf!$C$5/AI255)*BC67*(BB67-BC67)-(ATM_Conf!$C$5*ATM_Conf!$C$9)/(AI255*ATM_Conf!$C$8)*(AJ67-AI67)/(AI67+ATM_Conf!$C$10)</f>
        <v>#DIV/0!</v>
      </c>
      <c r="BD68" s="43" t="e">
        <f>BD67+(ATM_Conf!$C$5/ATM_Conf!$C$8)*(BX68*EXP(-(1/DL68)*(AJ68/CR68)^DL68)-BD67)+(ATM_Conf!$C$5/AJ255)*BD67*(BC67-BD67)-(ATM_Conf!$C$5*ATM_Conf!$C$9)/(AJ255*ATM_Conf!$C$8)*(Nodes!BX67-AJ67)/(AJ67+ATM_Conf!$C$10)</f>
        <v>#DIV/0!</v>
      </c>
      <c r="BE68" s="43" t="e">
        <f>BE67+(ATM_Conf!$C$5/ATM_Conf!$C$8)*(BY68*EXP(-(1/DM68)*(AK68/CS68)^DM68)-BE67)+(ATM_Conf!$C$5/AK255)*BE67*(Nodes!BK67-BE67)-(ATM_Conf!$C$5*ATM_Conf!$C$9)/(AK255*ATM_Conf!$C$8)*(Nodes!BY67-AK67)/(AK67+ATM_Conf!$C$10)</f>
        <v>#DIV/0!</v>
      </c>
      <c r="BF68" s="43" t="e">
        <f>BF67+(ATM_Conf!$C$5/ATM_Conf!$C$8)*(BZ68*EXP(-(1/DN68)*(AL68/CT68)^DN68)-BF67)+(ATM_Conf!$C$5/AL255)*BF67*(BE67-BF67)-(ATM_Conf!$C$5*ATM_Conf!$C$9)/(AL255*ATM_Conf!$C$8)*(AM67-AL67)/(AL67+ATM_Conf!$C$10)</f>
        <v>#DIV/0!</v>
      </c>
      <c r="BG68" s="43" t="e">
        <f>BG67+(ATM_Conf!$C$5/ATM_Conf!$C$8)*(CA68*EXP(-(1/DO68)*(AM68/CU68)^DO68)-BG67)+(ATM_Conf!$C$5/AM255)*BG67*(Nodes!BM67-BG67)-(ATM_Conf!$C$5*ATM_Conf!$C$9)/(AM255*ATM_Conf!$C$8)*(Nodes!CA67-AM67)/(AM67+ATM_Conf!$C$10)</f>
        <v>#DIV/0!</v>
      </c>
      <c r="BH68" s="43" t="e">
        <f>BH67+(ATM_Conf!$C$5/ATM_Conf!$C$8)*(CB68*EXP(-(1/DP68)*(AN68/CV68)^DP68)-BH67)+(ATM_Conf!$C$5/AN255)*BH67*(BG67-BH67)-(ATM_Conf!$C$5*ATM_Conf!$C$9)/(AN255*ATM_Conf!$C$8)*(AO67-AN67)/(AN67+ATM_Conf!$C$10)</f>
        <v>#DIV/0!</v>
      </c>
      <c r="BI68" s="43" t="e">
        <f>BI67+(ATM_Conf!$C$5/ATM_Conf!$C$8)*(CC68*EXP(-(1/DQ68)*(AO68/CW68)^DQ68)-BI67)+(ATM_Conf!$C$5/AO255)*BI67*(BH67-BI67)</f>
        <v>#DIV/0!</v>
      </c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53"/>
      <c r="CB68" s="53"/>
      <c r="CC68" s="5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53"/>
      <c r="CY68" s="53"/>
      <c r="CZ68" s="53"/>
      <c r="DA68" s="53"/>
      <c r="DB68" s="53"/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  <c r="DR68" s="43">
        <f t="shared" si="38"/>
        <v>0</v>
      </c>
      <c r="DS68" s="43">
        <f t="shared" si="37"/>
        <v>0</v>
      </c>
      <c r="DT68" s="43">
        <f t="shared" si="37"/>
        <v>0</v>
      </c>
      <c r="DU68" s="43">
        <f t="shared" si="37"/>
        <v>0</v>
      </c>
      <c r="DV68" s="43">
        <f t="shared" si="37"/>
        <v>0</v>
      </c>
      <c r="DW68" s="43">
        <f t="shared" si="37"/>
        <v>0</v>
      </c>
      <c r="DX68" s="43">
        <f t="shared" si="37"/>
        <v>0</v>
      </c>
      <c r="DY68" s="43">
        <f t="shared" si="37"/>
        <v>0</v>
      </c>
      <c r="DZ68" s="43">
        <f t="shared" si="37"/>
        <v>0</v>
      </c>
      <c r="EA68" s="43">
        <f t="shared" si="37"/>
        <v>0</v>
      </c>
      <c r="EB68" s="43">
        <f t="shared" si="37"/>
        <v>0</v>
      </c>
      <c r="EC68" s="43">
        <f t="shared" si="37"/>
        <v>0</v>
      </c>
      <c r="ED68" s="43">
        <f t="shared" si="37"/>
        <v>0</v>
      </c>
      <c r="EE68" s="43">
        <f t="shared" si="37"/>
        <v>0</v>
      </c>
      <c r="EF68" s="43">
        <f t="shared" si="37"/>
        <v>0</v>
      </c>
      <c r="EG68" s="43">
        <f t="shared" si="37"/>
        <v>0</v>
      </c>
      <c r="EH68" s="43">
        <f t="shared" si="37"/>
        <v>0</v>
      </c>
      <c r="EI68" s="43">
        <f t="shared" si="37"/>
        <v>0</v>
      </c>
      <c r="EJ68" s="43">
        <f t="shared" si="37"/>
        <v>0</v>
      </c>
      <c r="EK68" s="43">
        <f t="shared" si="37"/>
        <v>0</v>
      </c>
      <c r="EL68" s="47"/>
      <c r="EM68" s="47"/>
      <c r="EN68" s="47"/>
      <c r="EO68" s="47"/>
      <c r="EP68" s="47"/>
      <c r="EQ68" s="47"/>
      <c r="ER68" s="47"/>
      <c r="ES68" s="47"/>
      <c r="ET68" s="47"/>
      <c r="EU68" s="47"/>
      <c r="EV68" s="47"/>
      <c r="EW68" s="47"/>
      <c r="EX68" s="47"/>
      <c r="EY68" s="47"/>
      <c r="EZ68" s="47"/>
      <c r="FA68" s="47"/>
      <c r="FB68" s="47"/>
      <c r="FC68" s="47"/>
      <c r="FD68" s="47"/>
      <c r="FE68" s="47"/>
    </row>
    <row r="69" spans="1:161" ht="14.25" x14ac:dyDescent="0.15">
      <c r="A69" s="46"/>
      <c r="B69" s="43" t="e">
        <f t="shared" si="39"/>
        <v>#DIV/0!</v>
      </c>
      <c r="C69" s="43" t="e">
        <f t="shared" si="40"/>
        <v>#DIV/0!</v>
      </c>
      <c r="D69" s="43" t="e">
        <f t="shared" si="41"/>
        <v>#DIV/0!</v>
      </c>
      <c r="E69" s="43" t="e">
        <f t="shared" si="42"/>
        <v>#DIV/0!</v>
      </c>
      <c r="F69" s="43" t="e">
        <f t="shared" si="43"/>
        <v>#DIV/0!</v>
      </c>
      <c r="G69" s="43" t="e">
        <f t="shared" si="44"/>
        <v>#DIV/0!</v>
      </c>
      <c r="H69" s="43" t="e">
        <f t="shared" si="45"/>
        <v>#DIV/0!</v>
      </c>
      <c r="I69" s="43" t="e">
        <f t="shared" si="46"/>
        <v>#DIV/0!</v>
      </c>
      <c r="J69" s="43" t="e">
        <f t="shared" si="47"/>
        <v>#DIV/0!</v>
      </c>
      <c r="K69" s="43" t="e">
        <f t="shared" si="48"/>
        <v>#DIV/0!</v>
      </c>
      <c r="L69" s="43" t="e">
        <f t="shared" si="49"/>
        <v>#DIV/0!</v>
      </c>
      <c r="M69" s="43" t="e">
        <f t="shared" si="50"/>
        <v>#DIV/0!</v>
      </c>
      <c r="N69" s="43" t="e">
        <f t="shared" si="51"/>
        <v>#DIV/0!</v>
      </c>
      <c r="O69" s="43" t="e">
        <f t="shared" si="52"/>
        <v>#DIV/0!</v>
      </c>
      <c r="P69" s="43" t="e">
        <f t="shared" si="53"/>
        <v>#DIV/0!</v>
      </c>
      <c r="Q69" s="43" t="e">
        <f t="shared" si="54"/>
        <v>#DIV/0!</v>
      </c>
      <c r="R69" s="43" t="e">
        <f t="shared" si="55"/>
        <v>#DIV/0!</v>
      </c>
      <c r="S69" s="43" t="e">
        <f t="shared" si="56"/>
        <v>#DIV/0!</v>
      </c>
      <c r="T69" s="43" t="e">
        <f t="shared" si="57"/>
        <v>#DIV/0!</v>
      </c>
      <c r="U69" s="43" t="e">
        <f t="shared" si="58"/>
        <v>#DIV/0!</v>
      </c>
      <c r="V69" s="53" t="e">
        <f>V68+ATM_Conf!$C$5*(B68)/(B256*V256)</f>
        <v>#DIV/0!</v>
      </c>
      <c r="W69" s="53" t="e">
        <f>W68+ATM_Conf!$C$5*(C68-B68)/(C256*W256)</f>
        <v>#DIV/0!</v>
      </c>
      <c r="X69" s="53" t="e">
        <f>X68+ATM_Conf!$C$5*(D68-C68)/(D256*X256)</f>
        <v>#DIV/0!</v>
      </c>
      <c r="Y69" s="53" t="e">
        <f>Y68+ATM_Conf!$C$5*(E68-D68)/(E256*Y256)</f>
        <v>#DIV/0!</v>
      </c>
      <c r="Z69" s="53" t="e">
        <f>Z68+ATM_Conf!$C$5*(F68-E68)/(F256*Z256)</f>
        <v>#DIV/0!</v>
      </c>
      <c r="AA69" s="53" t="e">
        <f>AA68+ATM_Conf!$C$5*(G68-F68)/(G256*AA256)</f>
        <v>#DIV/0!</v>
      </c>
      <c r="AB69" s="53" t="e">
        <f>AB68+ATM_Conf!$C$5*(H68-G68)/(H256*AB256)</f>
        <v>#DIV/0!</v>
      </c>
      <c r="AC69" s="53" t="e">
        <f>AC68+ATM_Conf!$C$5*(I68-H68)/(I256*AC256)</f>
        <v>#DIV/0!</v>
      </c>
      <c r="AD69" s="53" t="e">
        <f>AD68+ATM_Conf!$C$5*(J68-I68)/(J256*AD256)</f>
        <v>#DIV/0!</v>
      </c>
      <c r="AE69" s="53" t="e">
        <f>AE68+ATM_Conf!$C$5*(K68-J68)/(K256*AE256)</f>
        <v>#DIV/0!</v>
      </c>
      <c r="AF69" s="53" t="e">
        <f>AF68+ATM_Conf!$C$5*(L68)/(L256*AF256)</f>
        <v>#DIV/0!</v>
      </c>
      <c r="AG69" s="53" t="e">
        <f>AG68+ATM_Conf!$C$5*(M68-L68)/(M256*AG256)</f>
        <v>#DIV/0!</v>
      </c>
      <c r="AH69" s="53" t="e">
        <f>AH68+ATM_Conf!$C$5*(N68-M68)/(N256*AH256)</f>
        <v>#DIV/0!</v>
      </c>
      <c r="AI69" s="53" t="e">
        <f>AI68+ATM_Conf!$C$5*(O68-N68)/(O256*AI256)</f>
        <v>#DIV/0!</v>
      </c>
      <c r="AJ69" s="53" t="e">
        <f>AJ68+ATM_Conf!$C$5*(P68-O68)/(P256*AJ256)</f>
        <v>#DIV/0!</v>
      </c>
      <c r="AK69" s="53" t="e">
        <f>AK68+ATM_Conf!$C$5*(Q68-P68)/(Q256*AK256)</f>
        <v>#DIV/0!</v>
      </c>
      <c r="AL69" s="53" t="e">
        <f>AL68+ATM_Conf!$C$5*(R68-Q68)/(R256*AL256)</f>
        <v>#DIV/0!</v>
      </c>
      <c r="AM69" s="53" t="e">
        <f>AM68+ATM_Conf!$C$5*(S68-R68)/(S256*AM256)</f>
        <v>#DIV/0!</v>
      </c>
      <c r="AN69" s="53" t="e">
        <f>AN68+ATM_Conf!$C$5*(T68-S68)/(T256*AN256)</f>
        <v>#DIV/0!</v>
      </c>
      <c r="AO69" s="53" t="e">
        <f>AO68+ATM_Conf!$C$5*(U68-T68)/(U256*AO256)</f>
        <v>#DIV/0!</v>
      </c>
      <c r="AP69" s="43" t="e">
        <f>AP68+(ATM_Conf!$C$5/ATM_Conf!$C$8)*(BJ69*EXP(-(1/CX69)*(V69/CD69)^CX69)-AP68)-(ATM_Conf!$C$5*ATM_Conf!$C$9)/(V256*ATM_Conf!$C$8)*(Nodes!BO68-V68)/(V68+ATM_Conf!$C$10)</f>
        <v>#DIV/0!</v>
      </c>
      <c r="AQ69" s="43" t="e">
        <f>AQ68+(ATM_Conf!$C$5/ATM_Conf!$C$8)*(BK69*EXP(-(1/CY69)*(W69/CE69)^CY69)-AQ68)+(ATM_Conf!$C$5/W256)*AQ68*(AP68-AQ68)-(ATM_Conf!$C$5*ATM_Conf!$C$9)/(W256*ATM_Conf!$C$8)*(X68-W68)/(W68+ATM_Conf!$C$10)</f>
        <v>#DIV/0!</v>
      </c>
      <c r="AR69" s="43" t="e">
        <f>AR68+(ATM_Conf!$C$5/ATM_Conf!$C$8)*(BL69*EXP(-(1/CZ69)*(X69/CF69)^CZ69)-AR68)+(ATM_Conf!$C$5/X256)*AR68*(Nodes!BC68-AR68)-(ATM_Conf!$C$5*ATM_Conf!$C$9)/(X256*ATM_Conf!$C$8)*(Nodes!BQ68-X68)/(X68+ATM_Conf!$C$10)</f>
        <v>#DIV/0!</v>
      </c>
      <c r="AS69" s="43" t="e">
        <f>AS68+(ATM_Conf!$C$5/ATM_Conf!$C$8)*(BM69*EXP(-(1/DA69)*(Y69/CG69)^DA69)-AS68)+(ATM_Conf!$C$5/Y256)*AS68*(AR68-AS68)-(ATM_Conf!$C$5*ATM_Conf!$C$9)/(Y256*ATM_Conf!$C$8)*(Z68-Y68)/(Y68+ATM_Conf!$C$10)</f>
        <v>#DIV/0!</v>
      </c>
      <c r="AT69" s="43" t="e">
        <f>AT68+(ATM_Conf!$C$5/ATM_Conf!$C$8)*(BN69*EXP(-(1/DB69)*(Z69/CH69)^DB69)-AT68)+(ATM_Conf!$C$5/Z256)*AT68*(Nodes!BE68-AT68)-(ATM_Conf!$C$5*ATM_Conf!$C$9)/(Z256*ATM_Conf!$C$8)*(Nodes!BS68-Z68)/(Z68+ATM_Conf!$C$10)</f>
        <v>#DIV/0!</v>
      </c>
      <c r="AU69" s="43" t="e">
        <f>AU68+(ATM_Conf!$C$5/ATM_Conf!$C$8)*(BO69*EXP(-(1/DC69)*(AA69/CI69)^DC69)-AU68)+(ATM_Conf!$C$5/AA256)*AU68*(Nodes!BF68-AU68)-(ATM_Conf!$C$5*ATM_Conf!$C$9)/(AA256*ATM_Conf!$C$8)*(Nodes!BV68-AA68)/(AA68+ATM_Conf!$C$10)</f>
        <v>#DIV/0!</v>
      </c>
      <c r="AV69" s="43" t="e">
        <f>AV68+(ATM_Conf!$C$5/ATM_Conf!$C$8)*(BP69*EXP(-(1/DD69)*(AB69/CJ69)^DD69)-AV68)+(ATM_Conf!$C$5/AB256)*AV68*(AU68-AV68)-(ATM_Conf!$C$5*ATM_Conf!$C$9)/(AB256*ATM_Conf!$C$8)*(AC68-AB68)/(AB68+ATM_Conf!$C$10)</f>
        <v>#DIV/0!</v>
      </c>
      <c r="AW69" s="43" t="e">
        <f>AW68+(ATM_Conf!$C$5/ATM_Conf!$C$8)*(BQ69*EXP(-(1/DE69)*(AC69/CK69)^DE69)-AW68)+(ATM_Conf!$C$5/AC256)*AW68*(AV68-AW68)-(ATM_Conf!$C$5*ATM_Conf!$C$9)/(AC256*ATM_Conf!$C$8)*(AD68-AC68)/(AC68+ATM_Conf!$C$10)</f>
        <v>#DIV/0!</v>
      </c>
      <c r="AX69" s="43" t="e">
        <f>AX68+(ATM_Conf!$C$5/ATM_Conf!$C$8)*(BR69*EXP(-(1/DF69)*(AD69/CL69)^DF69)-AX68)+(ATM_Conf!$C$5/AD256)*AX68*(Nodes!BG68-AX68)-(ATM_Conf!$C$5*ATM_Conf!$C$9)/(AD256*ATM_Conf!$C$8)*(Nodes!BU68-AD68)/(AD68+ATM_Conf!$C$10)</f>
        <v>#DIV/0!</v>
      </c>
      <c r="AY69" s="43" t="e">
        <f>AY68+(ATM_Conf!$C$5/ATM_Conf!$C$8)*(BS69*EXP(-(1/DG69)*(AE69/CM69)^DG69)-AY68)+(ATM_Conf!$C$5/AE256)*AY68*(Nodes!BF68-AY68)</f>
        <v>#DIV/0!</v>
      </c>
      <c r="AZ69" s="43" t="e">
        <f>AZ68+(ATM_Conf!$C$5/ATM_Conf!$C$8)*(BT69*EXP(-(1/DH69)*(AF69/CN69)^DH69)-AZ68)-(ATM_Conf!$C$5*ATM_Conf!$C$9)/(AF256*ATM_Conf!$C$8)*(Nodes!BV68-AF68)/(AF68+ATM_Conf!$C$10)</f>
        <v>#DIV/0!</v>
      </c>
      <c r="BA69" s="43" t="e">
        <f>BA68+(ATM_Conf!$C$5/ATM_Conf!$C$8)*(BU69*EXP(-(1/DI69)*(AG69/CO69)^DI69)-BA68)+(ATM_Conf!$C$5/AG256)*BA68*(Nodes!BI68-BA68)-(ATM_Conf!$C$5*ATM_Conf!$C$9)/(AG256*ATM_Conf!$C$8)*(Nodes!BW68-AG68)/(AG68+ATM_Conf!$C$10)</f>
        <v>#DIV/0!</v>
      </c>
      <c r="BB69" s="43" t="e">
        <f>BB68+(ATM_Conf!$C$5/ATM_Conf!$C$8)*(BV69*EXP(-(1/DJ69)*(AH69/CP69)^DJ69)-BB68)+(ATM_Conf!$C$5/AH256)*BB68*(Nodes!BJ68-BB68)-(ATM_Conf!$C$5*ATM_Conf!$C$9)/(AH256*ATM_Conf!$C$8)*(AI68-AH68)/(AH68+ATM_Conf!$C$10)</f>
        <v>#DIV/0!</v>
      </c>
      <c r="BC69" s="43" t="e">
        <f>BC68+(ATM_Conf!$C$5/ATM_Conf!$C$8)*(BW69*EXP(-(1/DK69)*(AI69/CQ69)^DK69)-BC68)+(ATM_Conf!$C$5/AI256)*BC68*(BB68-BC68)-(ATM_Conf!$C$5*ATM_Conf!$C$9)/(AI256*ATM_Conf!$C$8)*(AJ68-AI68)/(AI68+ATM_Conf!$C$10)</f>
        <v>#DIV/0!</v>
      </c>
      <c r="BD69" s="43" t="e">
        <f>BD68+(ATM_Conf!$C$5/ATM_Conf!$C$8)*(BX69*EXP(-(1/DL69)*(AJ69/CR69)^DL69)-BD68)+(ATM_Conf!$C$5/AJ256)*BD68*(BC68-BD68)-(ATM_Conf!$C$5*ATM_Conf!$C$9)/(AJ256*ATM_Conf!$C$8)*(Nodes!BX68-AJ68)/(AJ68+ATM_Conf!$C$10)</f>
        <v>#DIV/0!</v>
      </c>
      <c r="BE69" s="43" t="e">
        <f>BE68+(ATM_Conf!$C$5/ATM_Conf!$C$8)*(BY69*EXP(-(1/DM69)*(AK69/CS69)^DM69)-BE68)+(ATM_Conf!$C$5/AK256)*BE68*(Nodes!BK68-BE68)-(ATM_Conf!$C$5*ATM_Conf!$C$9)/(AK256*ATM_Conf!$C$8)*(Nodes!BY68-AK68)/(AK68+ATM_Conf!$C$10)</f>
        <v>#DIV/0!</v>
      </c>
      <c r="BF69" s="43" t="e">
        <f>BF68+(ATM_Conf!$C$5/ATM_Conf!$C$8)*(BZ69*EXP(-(1/DN69)*(AL69/CT69)^DN69)-BF68)+(ATM_Conf!$C$5/AL256)*BF68*(BE68-BF68)-(ATM_Conf!$C$5*ATM_Conf!$C$9)/(AL256*ATM_Conf!$C$8)*(AM68-AL68)/(AL68+ATM_Conf!$C$10)</f>
        <v>#DIV/0!</v>
      </c>
      <c r="BG69" s="43" t="e">
        <f>BG68+(ATM_Conf!$C$5/ATM_Conf!$C$8)*(CA69*EXP(-(1/DO69)*(AM69/CU69)^DO69)-BG68)+(ATM_Conf!$C$5/AM256)*BG68*(Nodes!BM68-BG68)-(ATM_Conf!$C$5*ATM_Conf!$C$9)/(AM256*ATM_Conf!$C$8)*(Nodes!CA68-AM68)/(AM68+ATM_Conf!$C$10)</f>
        <v>#DIV/0!</v>
      </c>
      <c r="BH69" s="43" t="e">
        <f>BH68+(ATM_Conf!$C$5/ATM_Conf!$C$8)*(CB69*EXP(-(1/DP69)*(AN69/CV69)^DP69)-BH68)+(ATM_Conf!$C$5/AN256)*BH68*(BG68-BH68)-(ATM_Conf!$C$5*ATM_Conf!$C$9)/(AN256*ATM_Conf!$C$8)*(AO68-AN68)/(AN68+ATM_Conf!$C$10)</f>
        <v>#DIV/0!</v>
      </c>
      <c r="BI69" s="43" t="e">
        <f>BI68+(ATM_Conf!$C$5/ATM_Conf!$C$8)*(CC69*EXP(-(1/DQ69)*(AO69/CW69)^DQ69)-BI68)+(ATM_Conf!$C$5/AO256)*BI68*(BH68-BI68)</f>
        <v>#DIV/0!</v>
      </c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53"/>
      <c r="CB69" s="53"/>
      <c r="CC69" s="5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53"/>
      <c r="CY69" s="53"/>
      <c r="CZ69" s="53"/>
      <c r="DA69" s="53"/>
      <c r="DB69" s="53"/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  <c r="DR69" s="43">
        <f t="shared" si="38"/>
        <v>0</v>
      </c>
      <c r="DS69" s="43">
        <f t="shared" si="37"/>
        <v>0</v>
      </c>
      <c r="DT69" s="43">
        <f t="shared" si="37"/>
        <v>0</v>
      </c>
      <c r="DU69" s="43">
        <f t="shared" si="37"/>
        <v>0</v>
      </c>
      <c r="DV69" s="43">
        <f t="shared" si="37"/>
        <v>0</v>
      </c>
      <c r="DW69" s="43">
        <f t="shared" si="37"/>
        <v>0</v>
      </c>
      <c r="DX69" s="43">
        <f t="shared" si="37"/>
        <v>0</v>
      </c>
      <c r="DY69" s="43">
        <f t="shared" si="37"/>
        <v>0</v>
      </c>
      <c r="DZ69" s="43">
        <f t="shared" si="37"/>
        <v>0</v>
      </c>
      <c r="EA69" s="43">
        <f t="shared" si="37"/>
        <v>0</v>
      </c>
      <c r="EB69" s="43">
        <f t="shared" si="37"/>
        <v>0</v>
      </c>
      <c r="EC69" s="43">
        <f t="shared" si="37"/>
        <v>0</v>
      </c>
      <c r="ED69" s="43">
        <f t="shared" si="37"/>
        <v>0</v>
      </c>
      <c r="EE69" s="43">
        <f t="shared" si="37"/>
        <v>0</v>
      </c>
      <c r="EF69" s="43">
        <f t="shared" si="37"/>
        <v>0</v>
      </c>
      <c r="EG69" s="43">
        <f t="shared" si="37"/>
        <v>0</v>
      </c>
      <c r="EH69" s="43">
        <f t="shared" si="37"/>
        <v>0</v>
      </c>
      <c r="EI69" s="43">
        <f t="shared" si="37"/>
        <v>0</v>
      </c>
      <c r="EJ69" s="43">
        <f t="shared" si="37"/>
        <v>0</v>
      </c>
      <c r="EK69" s="43">
        <f t="shared" si="37"/>
        <v>0</v>
      </c>
      <c r="EL69" s="47"/>
      <c r="EM69" s="47"/>
      <c r="EN69" s="47"/>
      <c r="EO69" s="47"/>
      <c r="EP69" s="47"/>
      <c r="EQ69" s="47"/>
      <c r="ER69" s="47"/>
      <c r="ES69" s="47"/>
      <c r="ET69" s="47"/>
      <c r="EU69" s="47"/>
      <c r="EV69" s="47"/>
      <c r="EW69" s="47"/>
      <c r="EX69" s="47"/>
      <c r="EY69" s="47"/>
      <c r="EZ69" s="47"/>
      <c r="FA69" s="47"/>
      <c r="FB69" s="47"/>
      <c r="FC69" s="47"/>
      <c r="FD69" s="47"/>
      <c r="FE69" s="47"/>
    </row>
    <row r="70" spans="1:161" ht="14.25" x14ac:dyDescent="0.15">
      <c r="A70" s="46"/>
      <c r="B70" s="43" t="e">
        <f t="shared" si="39"/>
        <v>#DIV/0!</v>
      </c>
      <c r="C70" s="43" t="e">
        <f t="shared" si="40"/>
        <v>#DIV/0!</v>
      </c>
      <c r="D70" s="43" t="e">
        <f t="shared" si="41"/>
        <v>#DIV/0!</v>
      </c>
      <c r="E70" s="43" t="e">
        <f t="shared" si="42"/>
        <v>#DIV/0!</v>
      </c>
      <c r="F70" s="43" t="e">
        <f t="shared" si="43"/>
        <v>#DIV/0!</v>
      </c>
      <c r="G70" s="43" t="e">
        <f t="shared" si="44"/>
        <v>#DIV/0!</v>
      </c>
      <c r="H70" s="43" t="e">
        <f t="shared" si="45"/>
        <v>#DIV/0!</v>
      </c>
      <c r="I70" s="43" t="e">
        <f t="shared" si="46"/>
        <v>#DIV/0!</v>
      </c>
      <c r="J70" s="43" t="e">
        <f t="shared" si="47"/>
        <v>#DIV/0!</v>
      </c>
      <c r="K70" s="43" t="e">
        <f t="shared" si="48"/>
        <v>#DIV/0!</v>
      </c>
      <c r="L70" s="43" t="e">
        <f t="shared" si="49"/>
        <v>#DIV/0!</v>
      </c>
      <c r="M70" s="43" t="e">
        <f t="shared" si="50"/>
        <v>#DIV/0!</v>
      </c>
      <c r="N70" s="43" t="e">
        <f t="shared" si="51"/>
        <v>#DIV/0!</v>
      </c>
      <c r="O70" s="43" t="e">
        <f t="shared" si="52"/>
        <v>#DIV/0!</v>
      </c>
      <c r="P70" s="43" t="e">
        <f t="shared" si="53"/>
        <v>#DIV/0!</v>
      </c>
      <c r="Q70" s="43" t="e">
        <f t="shared" si="54"/>
        <v>#DIV/0!</v>
      </c>
      <c r="R70" s="43" t="e">
        <f t="shared" si="55"/>
        <v>#DIV/0!</v>
      </c>
      <c r="S70" s="43" t="e">
        <f t="shared" si="56"/>
        <v>#DIV/0!</v>
      </c>
      <c r="T70" s="43" t="e">
        <f t="shared" si="57"/>
        <v>#DIV/0!</v>
      </c>
      <c r="U70" s="43" t="e">
        <f t="shared" si="58"/>
        <v>#DIV/0!</v>
      </c>
      <c r="V70" s="53" t="e">
        <f>V69+ATM_Conf!$C$5*(B69)/(B257*V257)</f>
        <v>#DIV/0!</v>
      </c>
      <c r="W70" s="53" t="e">
        <f>W69+ATM_Conf!$C$5*(C69-B69)/(C257*W257)</f>
        <v>#DIV/0!</v>
      </c>
      <c r="X70" s="53" t="e">
        <f>X69+ATM_Conf!$C$5*(D69-C69)/(D257*X257)</f>
        <v>#DIV/0!</v>
      </c>
      <c r="Y70" s="53" t="e">
        <f>Y69+ATM_Conf!$C$5*(E69-D69)/(E257*Y257)</f>
        <v>#DIV/0!</v>
      </c>
      <c r="Z70" s="53" t="e">
        <f>Z69+ATM_Conf!$C$5*(F69-E69)/(F257*Z257)</f>
        <v>#DIV/0!</v>
      </c>
      <c r="AA70" s="53" t="e">
        <f>AA69+ATM_Conf!$C$5*(G69-F69)/(G257*AA257)</f>
        <v>#DIV/0!</v>
      </c>
      <c r="AB70" s="53" t="e">
        <f>AB69+ATM_Conf!$C$5*(H69-G69)/(H257*AB257)</f>
        <v>#DIV/0!</v>
      </c>
      <c r="AC70" s="53" t="e">
        <f>AC69+ATM_Conf!$C$5*(I69-H69)/(I257*AC257)</f>
        <v>#DIV/0!</v>
      </c>
      <c r="AD70" s="53" t="e">
        <f>AD69+ATM_Conf!$C$5*(J69-I69)/(J257*AD257)</f>
        <v>#DIV/0!</v>
      </c>
      <c r="AE70" s="53" t="e">
        <f>AE69+ATM_Conf!$C$5*(K69-J69)/(K257*AE257)</f>
        <v>#DIV/0!</v>
      </c>
      <c r="AF70" s="53" t="e">
        <f>AF69+ATM_Conf!$C$5*(L69)/(L257*AF257)</f>
        <v>#DIV/0!</v>
      </c>
      <c r="AG70" s="53" t="e">
        <f>AG69+ATM_Conf!$C$5*(M69-L69)/(M257*AG257)</f>
        <v>#DIV/0!</v>
      </c>
      <c r="AH70" s="53" t="e">
        <f>AH69+ATM_Conf!$C$5*(N69-M69)/(N257*AH257)</f>
        <v>#DIV/0!</v>
      </c>
      <c r="AI70" s="53" t="e">
        <f>AI69+ATM_Conf!$C$5*(O69-N69)/(O257*AI257)</f>
        <v>#DIV/0!</v>
      </c>
      <c r="AJ70" s="53" t="e">
        <f>AJ69+ATM_Conf!$C$5*(P69-O69)/(P257*AJ257)</f>
        <v>#DIV/0!</v>
      </c>
      <c r="AK70" s="53" t="e">
        <f>AK69+ATM_Conf!$C$5*(Q69-P69)/(Q257*AK257)</f>
        <v>#DIV/0!</v>
      </c>
      <c r="AL70" s="53" t="e">
        <f>AL69+ATM_Conf!$C$5*(R69-Q69)/(R257*AL257)</f>
        <v>#DIV/0!</v>
      </c>
      <c r="AM70" s="53" t="e">
        <f>AM69+ATM_Conf!$C$5*(S69-R69)/(S257*AM257)</f>
        <v>#DIV/0!</v>
      </c>
      <c r="AN70" s="53" t="e">
        <f>AN69+ATM_Conf!$C$5*(T69-S69)/(T257*AN257)</f>
        <v>#DIV/0!</v>
      </c>
      <c r="AO70" s="53" t="e">
        <f>AO69+ATM_Conf!$C$5*(U69-T69)/(U257*AO257)</f>
        <v>#DIV/0!</v>
      </c>
      <c r="AP70" s="43" t="e">
        <f>AP69+(ATM_Conf!$C$5/ATM_Conf!$C$8)*(BJ70*EXP(-(1/CX70)*(V70/CD70)^CX70)-AP69)-(ATM_Conf!$C$5*ATM_Conf!$C$9)/(V257*ATM_Conf!$C$8)*(Nodes!BO69-V69)/(V69+ATM_Conf!$C$10)</f>
        <v>#DIV/0!</v>
      </c>
      <c r="AQ70" s="43" t="e">
        <f>AQ69+(ATM_Conf!$C$5/ATM_Conf!$C$8)*(BK70*EXP(-(1/CY70)*(W70/CE70)^CY70)-AQ69)+(ATM_Conf!$C$5/W257)*AQ69*(AP69-AQ69)-(ATM_Conf!$C$5*ATM_Conf!$C$9)/(W257*ATM_Conf!$C$8)*(X69-W69)/(W69+ATM_Conf!$C$10)</f>
        <v>#DIV/0!</v>
      </c>
      <c r="AR70" s="43" t="e">
        <f>AR69+(ATM_Conf!$C$5/ATM_Conf!$C$8)*(BL70*EXP(-(1/CZ70)*(X70/CF70)^CZ70)-AR69)+(ATM_Conf!$C$5/X257)*AR69*(Nodes!BC69-AR69)-(ATM_Conf!$C$5*ATM_Conf!$C$9)/(X257*ATM_Conf!$C$8)*(Nodes!BQ69-X69)/(X69+ATM_Conf!$C$10)</f>
        <v>#DIV/0!</v>
      </c>
      <c r="AS70" s="43" t="e">
        <f>AS69+(ATM_Conf!$C$5/ATM_Conf!$C$8)*(BM70*EXP(-(1/DA70)*(Y70/CG70)^DA70)-AS69)+(ATM_Conf!$C$5/Y257)*AS69*(AR69-AS69)-(ATM_Conf!$C$5*ATM_Conf!$C$9)/(Y257*ATM_Conf!$C$8)*(Z69-Y69)/(Y69+ATM_Conf!$C$10)</f>
        <v>#DIV/0!</v>
      </c>
      <c r="AT70" s="43" t="e">
        <f>AT69+(ATM_Conf!$C$5/ATM_Conf!$C$8)*(BN70*EXP(-(1/DB70)*(Z70/CH70)^DB70)-AT69)+(ATM_Conf!$C$5/Z257)*AT69*(Nodes!BE69-AT69)-(ATM_Conf!$C$5*ATM_Conf!$C$9)/(Z257*ATM_Conf!$C$8)*(Nodes!BS69-Z69)/(Z69+ATM_Conf!$C$10)</f>
        <v>#DIV/0!</v>
      </c>
      <c r="AU70" s="43" t="e">
        <f>AU69+(ATM_Conf!$C$5/ATM_Conf!$C$8)*(BO70*EXP(-(1/DC70)*(AA70/CI70)^DC70)-AU69)+(ATM_Conf!$C$5/AA257)*AU69*(Nodes!BF69-AU69)-(ATM_Conf!$C$5*ATM_Conf!$C$9)/(AA257*ATM_Conf!$C$8)*(Nodes!BV69-AA69)/(AA69+ATM_Conf!$C$10)</f>
        <v>#DIV/0!</v>
      </c>
      <c r="AV70" s="43" t="e">
        <f>AV69+(ATM_Conf!$C$5/ATM_Conf!$C$8)*(BP70*EXP(-(1/DD70)*(AB70/CJ70)^DD70)-AV69)+(ATM_Conf!$C$5/AB257)*AV69*(AU69-AV69)-(ATM_Conf!$C$5*ATM_Conf!$C$9)/(AB257*ATM_Conf!$C$8)*(AC69-AB69)/(AB69+ATM_Conf!$C$10)</f>
        <v>#DIV/0!</v>
      </c>
      <c r="AW70" s="43" t="e">
        <f>AW69+(ATM_Conf!$C$5/ATM_Conf!$C$8)*(BQ70*EXP(-(1/DE70)*(AC70/CK70)^DE70)-AW69)+(ATM_Conf!$C$5/AC257)*AW69*(AV69-AW69)-(ATM_Conf!$C$5*ATM_Conf!$C$9)/(AC257*ATM_Conf!$C$8)*(AD69-AC69)/(AC69+ATM_Conf!$C$10)</f>
        <v>#DIV/0!</v>
      </c>
      <c r="AX70" s="43" t="e">
        <f>AX69+(ATM_Conf!$C$5/ATM_Conf!$C$8)*(BR70*EXP(-(1/DF70)*(AD70/CL70)^DF70)-AX69)+(ATM_Conf!$C$5/AD257)*AX69*(Nodes!BG69-AX69)-(ATM_Conf!$C$5*ATM_Conf!$C$9)/(AD257*ATM_Conf!$C$8)*(Nodes!BU69-AD69)/(AD69+ATM_Conf!$C$10)</f>
        <v>#DIV/0!</v>
      </c>
      <c r="AY70" s="43" t="e">
        <f>AY69+(ATM_Conf!$C$5/ATM_Conf!$C$8)*(BS70*EXP(-(1/DG70)*(AE70/CM70)^DG70)-AY69)+(ATM_Conf!$C$5/AE257)*AY69*(Nodes!BF69-AY69)</f>
        <v>#DIV/0!</v>
      </c>
      <c r="AZ70" s="43" t="e">
        <f>AZ69+(ATM_Conf!$C$5/ATM_Conf!$C$8)*(BT70*EXP(-(1/DH70)*(AF70/CN70)^DH70)-AZ69)-(ATM_Conf!$C$5*ATM_Conf!$C$9)/(AF257*ATM_Conf!$C$8)*(Nodes!BV69-AF69)/(AF69+ATM_Conf!$C$10)</f>
        <v>#DIV/0!</v>
      </c>
      <c r="BA70" s="43" t="e">
        <f>BA69+(ATM_Conf!$C$5/ATM_Conf!$C$8)*(BU70*EXP(-(1/DI70)*(AG70/CO70)^DI70)-BA69)+(ATM_Conf!$C$5/AG257)*BA69*(Nodes!BI69-BA69)-(ATM_Conf!$C$5*ATM_Conf!$C$9)/(AG257*ATM_Conf!$C$8)*(Nodes!BW69-AG69)/(AG69+ATM_Conf!$C$10)</f>
        <v>#DIV/0!</v>
      </c>
      <c r="BB70" s="43" t="e">
        <f>BB69+(ATM_Conf!$C$5/ATM_Conf!$C$8)*(BV70*EXP(-(1/DJ70)*(AH70/CP70)^DJ70)-BB69)+(ATM_Conf!$C$5/AH257)*BB69*(Nodes!BJ69-BB69)-(ATM_Conf!$C$5*ATM_Conf!$C$9)/(AH257*ATM_Conf!$C$8)*(AI69-AH69)/(AH69+ATM_Conf!$C$10)</f>
        <v>#DIV/0!</v>
      </c>
      <c r="BC70" s="43" t="e">
        <f>BC69+(ATM_Conf!$C$5/ATM_Conf!$C$8)*(BW70*EXP(-(1/DK70)*(AI70/CQ70)^DK70)-BC69)+(ATM_Conf!$C$5/AI257)*BC69*(BB69-BC69)-(ATM_Conf!$C$5*ATM_Conf!$C$9)/(AI257*ATM_Conf!$C$8)*(AJ69-AI69)/(AI69+ATM_Conf!$C$10)</f>
        <v>#DIV/0!</v>
      </c>
      <c r="BD70" s="43" t="e">
        <f>BD69+(ATM_Conf!$C$5/ATM_Conf!$C$8)*(BX70*EXP(-(1/DL70)*(AJ70/CR70)^DL70)-BD69)+(ATM_Conf!$C$5/AJ257)*BD69*(BC69-BD69)-(ATM_Conf!$C$5*ATM_Conf!$C$9)/(AJ257*ATM_Conf!$C$8)*(Nodes!BX69-AJ69)/(AJ69+ATM_Conf!$C$10)</f>
        <v>#DIV/0!</v>
      </c>
      <c r="BE70" s="43" t="e">
        <f>BE69+(ATM_Conf!$C$5/ATM_Conf!$C$8)*(BY70*EXP(-(1/DM70)*(AK70/CS70)^DM70)-BE69)+(ATM_Conf!$C$5/AK257)*BE69*(Nodes!BK69-BE69)-(ATM_Conf!$C$5*ATM_Conf!$C$9)/(AK257*ATM_Conf!$C$8)*(Nodes!BY69-AK69)/(AK69+ATM_Conf!$C$10)</f>
        <v>#DIV/0!</v>
      </c>
      <c r="BF70" s="43" t="e">
        <f>BF69+(ATM_Conf!$C$5/ATM_Conf!$C$8)*(BZ70*EXP(-(1/DN70)*(AL70/CT70)^DN70)-BF69)+(ATM_Conf!$C$5/AL257)*BF69*(BE69-BF69)-(ATM_Conf!$C$5*ATM_Conf!$C$9)/(AL257*ATM_Conf!$C$8)*(AM69-AL69)/(AL69+ATM_Conf!$C$10)</f>
        <v>#DIV/0!</v>
      </c>
      <c r="BG70" s="43" t="e">
        <f>BG69+(ATM_Conf!$C$5/ATM_Conf!$C$8)*(CA70*EXP(-(1/DO70)*(AM70/CU70)^DO70)-BG69)+(ATM_Conf!$C$5/AM257)*BG69*(Nodes!BM69-BG69)-(ATM_Conf!$C$5*ATM_Conf!$C$9)/(AM257*ATM_Conf!$C$8)*(Nodes!CA69-AM69)/(AM69+ATM_Conf!$C$10)</f>
        <v>#DIV/0!</v>
      </c>
      <c r="BH70" s="43" t="e">
        <f>BH69+(ATM_Conf!$C$5/ATM_Conf!$C$8)*(CB70*EXP(-(1/DP70)*(AN70/CV70)^DP70)-BH69)+(ATM_Conf!$C$5/AN257)*BH69*(BG69-BH69)-(ATM_Conf!$C$5*ATM_Conf!$C$9)/(AN257*ATM_Conf!$C$8)*(AO69-AN69)/(AN69+ATM_Conf!$C$10)</f>
        <v>#DIV/0!</v>
      </c>
      <c r="BI70" s="43" t="e">
        <f>BI69+(ATM_Conf!$C$5/ATM_Conf!$C$8)*(CC70*EXP(-(1/DQ70)*(AO70/CW70)^DQ70)-BI69)+(ATM_Conf!$C$5/AO257)*BI69*(BH69-BI69)</f>
        <v>#DIV/0!</v>
      </c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53"/>
      <c r="CB70" s="53"/>
      <c r="CC70" s="5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53"/>
      <c r="CY70" s="53"/>
      <c r="CZ70" s="53"/>
      <c r="DA70" s="53"/>
      <c r="DB70" s="53"/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  <c r="DR70" s="43">
        <f t="shared" si="38"/>
        <v>0</v>
      </c>
      <c r="DS70" s="43">
        <f t="shared" si="37"/>
        <v>0</v>
      </c>
      <c r="DT70" s="43">
        <f t="shared" si="37"/>
        <v>0</v>
      </c>
      <c r="DU70" s="43">
        <f t="shared" si="37"/>
        <v>0</v>
      </c>
      <c r="DV70" s="43">
        <f t="shared" si="37"/>
        <v>0</v>
      </c>
      <c r="DW70" s="43">
        <f t="shared" si="37"/>
        <v>0</v>
      </c>
      <c r="DX70" s="43">
        <f t="shared" si="37"/>
        <v>0</v>
      </c>
      <c r="DY70" s="43">
        <f t="shared" si="37"/>
        <v>0</v>
      </c>
      <c r="DZ70" s="43">
        <f t="shared" si="37"/>
        <v>0</v>
      </c>
      <c r="EA70" s="43">
        <f t="shared" si="37"/>
        <v>0</v>
      </c>
      <c r="EB70" s="43">
        <f t="shared" si="37"/>
        <v>0</v>
      </c>
      <c r="EC70" s="43">
        <f t="shared" si="37"/>
        <v>0</v>
      </c>
      <c r="ED70" s="43">
        <f t="shared" si="37"/>
        <v>0</v>
      </c>
      <c r="EE70" s="43">
        <f t="shared" si="37"/>
        <v>0</v>
      </c>
      <c r="EF70" s="43">
        <f t="shared" si="37"/>
        <v>0</v>
      </c>
      <c r="EG70" s="43">
        <f t="shared" si="37"/>
        <v>0</v>
      </c>
      <c r="EH70" s="43">
        <f t="shared" si="37"/>
        <v>0</v>
      </c>
      <c r="EI70" s="43">
        <f t="shared" si="37"/>
        <v>0</v>
      </c>
      <c r="EJ70" s="43">
        <f t="shared" si="37"/>
        <v>0</v>
      </c>
      <c r="EK70" s="43">
        <f t="shared" si="37"/>
        <v>0</v>
      </c>
      <c r="EL70" s="47"/>
      <c r="EM70" s="47"/>
      <c r="EN70" s="47"/>
      <c r="EO70" s="47"/>
      <c r="EP70" s="47"/>
      <c r="EQ70" s="47"/>
      <c r="ER70" s="47"/>
      <c r="ES70" s="47"/>
      <c r="ET70" s="47"/>
      <c r="EU70" s="47"/>
      <c r="EV70" s="47"/>
      <c r="EW70" s="47"/>
      <c r="EX70" s="47"/>
      <c r="EY70" s="47"/>
      <c r="EZ70" s="47"/>
      <c r="FA70" s="47"/>
      <c r="FB70" s="47"/>
      <c r="FC70" s="47"/>
      <c r="FD70" s="47"/>
      <c r="FE70" s="47"/>
    </row>
    <row r="71" spans="1:161" ht="14.25" x14ac:dyDescent="0.15">
      <c r="A71" s="46"/>
      <c r="B71" s="43" t="e">
        <f t="shared" si="39"/>
        <v>#DIV/0!</v>
      </c>
      <c r="C71" s="43" t="e">
        <f t="shared" si="40"/>
        <v>#DIV/0!</v>
      </c>
      <c r="D71" s="43" t="e">
        <f t="shared" si="41"/>
        <v>#DIV/0!</v>
      </c>
      <c r="E71" s="43" t="e">
        <f t="shared" si="42"/>
        <v>#DIV/0!</v>
      </c>
      <c r="F71" s="43" t="e">
        <f t="shared" si="43"/>
        <v>#DIV/0!</v>
      </c>
      <c r="G71" s="43" t="e">
        <f t="shared" si="44"/>
        <v>#DIV/0!</v>
      </c>
      <c r="H71" s="43" t="e">
        <f t="shared" si="45"/>
        <v>#DIV/0!</v>
      </c>
      <c r="I71" s="43" t="e">
        <f t="shared" si="46"/>
        <v>#DIV/0!</v>
      </c>
      <c r="J71" s="43" t="e">
        <f t="shared" si="47"/>
        <v>#DIV/0!</v>
      </c>
      <c r="K71" s="43" t="e">
        <f t="shared" si="48"/>
        <v>#DIV/0!</v>
      </c>
      <c r="L71" s="43" t="e">
        <f t="shared" si="49"/>
        <v>#DIV/0!</v>
      </c>
      <c r="M71" s="43" t="e">
        <f t="shared" si="50"/>
        <v>#DIV/0!</v>
      </c>
      <c r="N71" s="43" t="e">
        <f t="shared" si="51"/>
        <v>#DIV/0!</v>
      </c>
      <c r="O71" s="43" t="e">
        <f t="shared" si="52"/>
        <v>#DIV/0!</v>
      </c>
      <c r="P71" s="43" t="e">
        <f t="shared" si="53"/>
        <v>#DIV/0!</v>
      </c>
      <c r="Q71" s="43" t="e">
        <f t="shared" si="54"/>
        <v>#DIV/0!</v>
      </c>
      <c r="R71" s="43" t="e">
        <f t="shared" si="55"/>
        <v>#DIV/0!</v>
      </c>
      <c r="S71" s="43" t="e">
        <f t="shared" si="56"/>
        <v>#DIV/0!</v>
      </c>
      <c r="T71" s="43" t="e">
        <f t="shared" si="57"/>
        <v>#DIV/0!</v>
      </c>
      <c r="U71" s="43" t="e">
        <f t="shared" si="58"/>
        <v>#DIV/0!</v>
      </c>
      <c r="V71" s="53" t="e">
        <f>V70+ATM_Conf!$C$5*(B70)/(B258*V258)</f>
        <v>#DIV/0!</v>
      </c>
      <c r="W71" s="53" t="e">
        <f>W70+ATM_Conf!$C$5*(C70-B70)/(C258*W258)</f>
        <v>#DIV/0!</v>
      </c>
      <c r="X71" s="53" t="e">
        <f>X70+ATM_Conf!$C$5*(D70-C70)/(D258*X258)</f>
        <v>#DIV/0!</v>
      </c>
      <c r="Y71" s="53" t="e">
        <f>Y70+ATM_Conf!$C$5*(E70-D70)/(E258*Y258)</f>
        <v>#DIV/0!</v>
      </c>
      <c r="Z71" s="53" t="e">
        <f>Z70+ATM_Conf!$C$5*(F70-E70)/(F258*Z258)</f>
        <v>#DIV/0!</v>
      </c>
      <c r="AA71" s="53" t="e">
        <f>AA70+ATM_Conf!$C$5*(G70-F70)/(G258*AA258)</f>
        <v>#DIV/0!</v>
      </c>
      <c r="AB71" s="53" t="e">
        <f>AB70+ATM_Conf!$C$5*(H70-G70)/(H258*AB258)</f>
        <v>#DIV/0!</v>
      </c>
      <c r="AC71" s="53" t="e">
        <f>AC70+ATM_Conf!$C$5*(I70-H70)/(I258*AC258)</f>
        <v>#DIV/0!</v>
      </c>
      <c r="AD71" s="53" t="e">
        <f>AD70+ATM_Conf!$C$5*(J70-I70)/(J258*AD258)</f>
        <v>#DIV/0!</v>
      </c>
      <c r="AE71" s="53" t="e">
        <f>AE70+ATM_Conf!$C$5*(K70-J70)/(K258*AE258)</f>
        <v>#DIV/0!</v>
      </c>
      <c r="AF71" s="53" t="e">
        <f>AF70+ATM_Conf!$C$5*(L70)/(L258*AF258)</f>
        <v>#DIV/0!</v>
      </c>
      <c r="AG71" s="53" t="e">
        <f>AG70+ATM_Conf!$C$5*(M70-L70)/(M258*AG258)</f>
        <v>#DIV/0!</v>
      </c>
      <c r="AH71" s="53" t="e">
        <f>AH70+ATM_Conf!$C$5*(N70-M70)/(N258*AH258)</f>
        <v>#DIV/0!</v>
      </c>
      <c r="AI71" s="53" t="e">
        <f>AI70+ATM_Conf!$C$5*(O70-N70)/(O258*AI258)</f>
        <v>#DIV/0!</v>
      </c>
      <c r="AJ71" s="53" t="e">
        <f>AJ70+ATM_Conf!$C$5*(P70-O70)/(P258*AJ258)</f>
        <v>#DIV/0!</v>
      </c>
      <c r="AK71" s="53" t="e">
        <f>AK70+ATM_Conf!$C$5*(Q70-P70)/(Q258*AK258)</f>
        <v>#DIV/0!</v>
      </c>
      <c r="AL71" s="53" t="e">
        <f>AL70+ATM_Conf!$C$5*(R70-Q70)/(R258*AL258)</f>
        <v>#DIV/0!</v>
      </c>
      <c r="AM71" s="53" t="e">
        <f>AM70+ATM_Conf!$C$5*(S70-R70)/(S258*AM258)</f>
        <v>#DIV/0!</v>
      </c>
      <c r="AN71" s="53" t="e">
        <f>AN70+ATM_Conf!$C$5*(T70-S70)/(T258*AN258)</f>
        <v>#DIV/0!</v>
      </c>
      <c r="AO71" s="53" t="e">
        <f>AO70+ATM_Conf!$C$5*(U70-T70)/(U258*AO258)</f>
        <v>#DIV/0!</v>
      </c>
      <c r="AP71" s="43" t="e">
        <f>AP70+(ATM_Conf!$C$5/ATM_Conf!$C$8)*(BJ71*EXP(-(1/CX71)*(V71/CD71)^CX71)-AP70)-(ATM_Conf!$C$5*ATM_Conf!$C$9)/(V258*ATM_Conf!$C$8)*(Nodes!BO70-V70)/(V70+ATM_Conf!$C$10)</f>
        <v>#DIV/0!</v>
      </c>
      <c r="AQ71" s="43" t="e">
        <f>AQ70+(ATM_Conf!$C$5/ATM_Conf!$C$8)*(BK71*EXP(-(1/CY71)*(W71/CE71)^CY71)-AQ70)+(ATM_Conf!$C$5/W258)*AQ70*(AP70-AQ70)-(ATM_Conf!$C$5*ATM_Conf!$C$9)/(W258*ATM_Conf!$C$8)*(X70-W70)/(W70+ATM_Conf!$C$10)</f>
        <v>#DIV/0!</v>
      </c>
      <c r="AR71" s="43" t="e">
        <f>AR70+(ATM_Conf!$C$5/ATM_Conf!$C$8)*(BL71*EXP(-(1/CZ71)*(X71/CF71)^CZ71)-AR70)+(ATM_Conf!$C$5/X258)*AR70*(Nodes!BC70-AR70)-(ATM_Conf!$C$5*ATM_Conf!$C$9)/(X258*ATM_Conf!$C$8)*(Nodes!BQ70-X70)/(X70+ATM_Conf!$C$10)</f>
        <v>#DIV/0!</v>
      </c>
      <c r="AS71" s="43" t="e">
        <f>AS70+(ATM_Conf!$C$5/ATM_Conf!$C$8)*(BM71*EXP(-(1/DA71)*(Y71/CG71)^DA71)-AS70)+(ATM_Conf!$C$5/Y258)*AS70*(AR70-AS70)-(ATM_Conf!$C$5*ATM_Conf!$C$9)/(Y258*ATM_Conf!$C$8)*(Z70-Y70)/(Y70+ATM_Conf!$C$10)</f>
        <v>#DIV/0!</v>
      </c>
      <c r="AT71" s="43" t="e">
        <f>AT70+(ATM_Conf!$C$5/ATM_Conf!$C$8)*(BN71*EXP(-(1/DB71)*(Z71/CH71)^DB71)-AT70)+(ATM_Conf!$C$5/Z258)*AT70*(Nodes!BE70-AT70)-(ATM_Conf!$C$5*ATM_Conf!$C$9)/(Z258*ATM_Conf!$C$8)*(Nodes!BS70-Z70)/(Z70+ATM_Conf!$C$10)</f>
        <v>#DIV/0!</v>
      </c>
      <c r="AU71" s="43" t="e">
        <f>AU70+(ATM_Conf!$C$5/ATM_Conf!$C$8)*(BO71*EXP(-(1/DC71)*(AA71/CI71)^DC71)-AU70)+(ATM_Conf!$C$5/AA258)*AU70*(Nodes!BF70-AU70)-(ATM_Conf!$C$5*ATM_Conf!$C$9)/(AA258*ATM_Conf!$C$8)*(Nodes!BV70-AA70)/(AA70+ATM_Conf!$C$10)</f>
        <v>#DIV/0!</v>
      </c>
      <c r="AV71" s="43" t="e">
        <f>AV70+(ATM_Conf!$C$5/ATM_Conf!$C$8)*(BP71*EXP(-(1/DD71)*(AB71/CJ71)^DD71)-AV70)+(ATM_Conf!$C$5/AB258)*AV70*(AU70-AV70)-(ATM_Conf!$C$5*ATM_Conf!$C$9)/(AB258*ATM_Conf!$C$8)*(AC70-AB70)/(AB70+ATM_Conf!$C$10)</f>
        <v>#DIV/0!</v>
      </c>
      <c r="AW71" s="43" t="e">
        <f>AW70+(ATM_Conf!$C$5/ATM_Conf!$C$8)*(BQ71*EXP(-(1/DE71)*(AC71/CK71)^DE71)-AW70)+(ATM_Conf!$C$5/AC258)*AW70*(AV70-AW70)-(ATM_Conf!$C$5*ATM_Conf!$C$9)/(AC258*ATM_Conf!$C$8)*(AD70-AC70)/(AC70+ATM_Conf!$C$10)</f>
        <v>#DIV/0!</v>
      </c>
      <c r="AX71" s="43" t="e">
        <f>AX70+(ATM_Conf!$C$5/ATM_Conf!$C$8)*(BR71*EXP(-(1/DF71)*(AD71/CL71)^DF71)-AX70)+(ATM_Conf!$C$5/AD258)*AX70*(Nodes!BG70-AX70)-(ATM_Conf!$C$5*ATM_Conf!$C$9)/(AD258*ATM_Conf!$C$8)*(Nodes!BU70-AD70)/(AD70+ATM_Conf!$C$10)</f>
        <v>#DIV/0!</v>
      </c>
      <c r="AY71" s="43" t="e">
        <f>AY70+(ATM_Conf!$C$5/ATM_Conf!$C$8)*(BS71*EXP(-(1/DG71)*(AE71/CM71)^DG71)-AY70)+(ATM_Conf!$C$5/AE258)*AY70*(Nodes!BF70-AY70)</f>
        <v>#DIV/0!</v>
      </c>
      <c r="AZ71" s="43" t="e">
        <f>AZ70+(ATM_Conf!$C$5/ATM_Conf!$C$8)*(BT71*EXP(-(1/DH71)*(AF71/CN71)^DH71)-AZ70)-(ATM_Conf!$C$5*ATM_Conf!$C$9)/(AF258*ATM_Conf!$C$8)*(Nodes!BV70-AF70)/(AF70+ATM_Conf!$C$10)</f>
        <v>#DIV/0!</v>
      </c>
      <c r="BA71" s="43" t="e">
        <f>BA70+(ATM_Conf!$C$5/ATM_Conf!$C$8)*(BU71*EXP(-(1/DI71)*(AG71/CO71)^DI71)-BA70)+(ATM_Conf!$C$5/AG258)*BA70*(Nodes!BI70-BA70)-(ATM_Conf!$C$5*ATM_Conf!$C$9)/(AG258*ATM_Conf!$C$8)*(Nodes!BW70-AG70)/(AG70+ATM_Conf!$C$10)</f>
        <v>#DIV/0!</v>
      </c>
      <c r="BB71" s="43" t="e">
        <f>BB70+(ATM_Conf!$C$5/ATM_Conf!$C$8)*(BV71*EXP(-(1/DJ71)*(AH71/CP71)^DJ71)-BB70)+(ATM_Conf!$C$5/AH258)*BB70*(Nodes!BJ70-BB70)-(ATM_Conf!$C$5*ATM_Conf!$C$9)/(AH258*ATM_Conf!$C$8)*(AI70-AH70)/(AH70+ATM_Conf!$C$10)</f>
        <v>#DIV/0!</v>
      </c>
      <c r="BC71" s="43" t="e">
        <f>BC70+(ATM_Conf!$C$5/ATM_Conf!$C$8)*(BW71*EXP(-(1/DK71)*(AI71/CQ71)^DK71)-BC70)+(ATM_Conf!$C$5/AI258)*BC70*(BB70-BC70)-(ATM_Conf!$C$5*ATM_Conf!$C$9)/(AI258*ATM_Conf!$C$8)*(AJ70-AI70)/(AI70+ATM_Conf!$C$10)</f>
        <v>#DIV/0!</v>
      </c>
      <c r="BD71" s="43" t="e">
        <f>BD70+(ATM_Conf!$C$5/ATM_Conf!$C$8)*(BX71*EXP(-(1/DL71)*(AJ71/CR71)^DL71)-BD70)+(ATM_Conf!$C$5/AJ258)*BD70*(BC70-BD70)-(ATM_Conf!$C$5*ATM_Conf!$C$9)/(AJ258*ATM_Conf!$C$8)*(Nodes!BX70-AJ70)/(AJ70+ATM_Conf!$C$10)</f>
        <v>#DIV/0!</v>
      </c>
      <c r="BE71" s="43" t="e">
        <f>BE70+(ATM_Conf!$C$5/ATM_Conf!$C$8)*(BY71*EXP(-(1/DM71)*(AK71/CS71)^DM71)-BE70)+(ATM_Conf!$C$5/AK258)*BE70*(Nodes!BK70-BE70)-(ATM_Conf!$C$5*ATM_Conf!$C$9)/(AK258*ATM_Conf!$C$8)*(Nodes!BY70-AK70)/(AK70+ATM_Conf!$C$10)</f>
        <v>#DIV/0!</v>
      </c>
      <c r="BF71" s="43" t="e">
        <f>BF70+(ATM_Conf!$C$5/ATM_Conf!$C$8)*(BZ71*EXP(-(1/DN71)*(AL71/CT71)^DN71)-BF70)+(ATM_Conf!$C$5/AL258)*BF70*(BE70-BF70)-(ATM_Conf!$C$5*ATM_Conf!$C$9)/(AL258*ATM_Conf!$C$8)*(AM70-AL70)/(AL70+ATM_Conf!$C$10)</f>
        <v>#DIV/0!</v>
      </c>
      <c r="BG71" s="43" t="e">
        <f>BG70+(ATM_Conf!$C$5/ATM_Conf!$C$8)*(CA71*EXP(-(1/DO71)*(AM71/CU71)^DO71)-BG70)+(ATM_Conf!$C$5/AM258)*BG70*(Nodes!BM70-BG70)-(ATM_Conf!$C$5*ATM_Conf!$C$9)/(AM258*ATM_Conf!$C$8)*(Nodes!CA70-AM70)/(AM70+ATM_Conf!$C$10)</f>
        <v>#DIV/0!</v>
      </c>
      <c r="BH71" s="43" t="e">
        <f>BH70+(ATM_Conf!$C$5/ATM_Conf!$C$8)*(CB71*EXP(-(1/DP71)*(AN71/CV71)^DP71)-BH70)+(ATM_Conf!$C$5/AN258)*BH70*(BG70-BH70)-(ATM_Conf!$C$5*ATM_Conf!$C$9)/(AN258*ATM_Conf!$C$8)*(AO70-AN70)/(AN70+ATM_Conf!$C$10)</f>
        <v>#DIV/0!</v>
      </c>
      <c r="BI71" s="43" t="e">
        <f>BI70+(ATM_Conf!$C$5/ATM_Conf!$C$8)*(CC71*EXP(-(1/DQ71)*(AO71/CW71)^DQ71)-BI70)+(ATM_Conf!$C$5/AO258)*BI70*(BH70-BI70)</f>
        <v>#DIV/0!</v>
      </c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53"/>
      <c r="CB71" s="53"/>
      <c r="CC71" s="5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53"/>
      <c r="CY71" s="53"/>
      <c r="CZ71" s="53"/>
      <c r="DA71" s="53"/>
      <c r="DB71" s="53"/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  <c r="DR71" s="43">
        <f t="shared" si="38"/>
        <v>0</v>
      </c>
      <c r="DS71" s="43">
        <f t="shared" si="37"/>
        <v>0</v>
      </c>
      <c r="DT71" s="43">
        <f t="shared" si="37"/>
        <v>0</v>
      </c>
      <c r="DU71" s="43">
        <f t="shared" si="37"/>
        <v>0</v>
      </c>
      <c r="DV71" s="43">
        <f t="shared" si="37"/>
        <v>0</v>
      </c>
      <c r="DW71" s="43">
        <f t="shared" si="37"/>
        <v>0</v>
      </c>
      <c r="DX71" s="43">
        <f t="shared" si="37"/>
        <v>0</v>
      </c>
      <c r="DY71" s="43">
        <f t="shared" si="37"/>
        <v>0</v>
      </c>
      <c r="DZ71" s="43">
        <f t="shared" si="37"/>
        <v>0</v>
      </c>
      <c r="EA71" s="43">
        <f t="shared" si="37"/>
        <v>0</v>
      </c>
      <c r="EB71" s="43">
        <f t="shared" si="37"/>
        <v>0</v>
      </c>
      <c r="EC71" s="43">
        <f t="shared" si="37"/>
        <v>0</v>
      </c>
      <c r="ED71" s="43">
        <f t="shared" si="37"/>
        <v>0</v>
      </c>
      <c r="EE71" s="43">
        <f t="shared" si="37"/>
        <v>0</v>
      </c>
      <c r="EF71" s="43">
        <f t="shared" si="37"/>
        <v>0</v>
      </c>
      <c r="EG71" s="43">
        <f t="shared" si="37"/>
        <v>0</v>
      </c>
      <c r="EH71" s="43">
        <f t="shared" si="37"/>
        <v>0</v>
      </c>
      <c r="EI71" s="43">
        <f t="shared" si="37"/>
        <v>0</v>
      </c>
      <c r="EJ71" s="43">
        <f t="shared" si="37"/>
        <v>0</v>
      </c>
      <c r="EK71" s="43">
        <f t="shared" si="37"/>
        <v>0</v>
      </c>
      <c r="EL71" s="47"/>
      <c r="EM71" s="47"/>
      <c r="EN71" s="47"/>
      <c r="EO71" s="47"/>
      <c r="EP71" s="47"/>
      <c r="EQ71" s="47"/>
      <c r="ER71" s="47"/>
      <c r="ES71" s="47"/>
      <c r="ET71" s="47"/>
      <c r="EU71" s="47"/>
      <c r="EV71" s="47"/>
      <c r="EW71" s="47"/>
      <c r="EX71" s="47"/>
      <c r="EY71" s="47"/>
      <c r="EZ71" s="47"/>
      <c r="FA71" s="47"/>
      <c r="FB71" s="47"/>
      <c r="FC71" s="47"/>
      <c r="FD71" s="47"/>
      <c r="FE71" s="47"/>
    </row>
    <row r="72" spans="1:161" ht="14.25" x14ac:dyDescent="0.15">
      <c r="A72" s="46"/>
      <c r="B72" s="43" t="e">
        <f t="shared" si="39"/>
        <v>#DIV/0!</v>
      </c>
      <c r="C72" s="43" t="e">
        <f t="shared" si="40"/>
        <v>#DIV/0!</v>
      </c>
      <c r="D72" s="43" t="e">
        <f t="shared" si="41"/>
        <v>#DIV/0!</v>
      </c>
      <c r="E72" s="43" t="e">
        <f t="shared" si="42"/>
        <v>#DIV/0!</v>
      </c>
      <c r="F72" s="43" t="e">
        <f t="shared" si="43"/>
        <v>#DIV/0!</v>
      </c>
      <c r="G72" s="43" t="e">
        <f t="shared" si="44"/>
        <v>#DIV/0!</v>
      </c>
      <c r="H72" s="43" t="e">
        <f t="shared" si="45"/>
        <v>#DIV/0!</v>
      </c>
      <c r="I72" s="43" t="e">
        <f t="shared" si="46"/>
        <v>#DIV/0!</v>
      </c>
      <c r="J72" s="43" t="e">
        <f t="shared" si="47"/>
        <v>#DIV/0!</v>
      </c>
      <c r="K72" s="43" t="e">
        <f t="shared" si="48"/>
        <v>#DIV/0!</v>
      </c>
      <c r="L72" s="43" t="e">
        <f t="shared" si="49"/>
        <v>#DIV/0!</v>
      </c>
      <c r="M72" s="43" t="e">
        <f t="shared" si="50"/>
        <v>#DIV/0!</v>
      </c>
      <c r="N72" s="43" t="e">
        <f t="shared" si="51"/>
        <v>#DIV/0!</v>
      </c>
      <c r="O72" s="43" t="e">
        <f t="shared" si="52"/>
        <v>#DIV/0!</v>
      </c>
      <c r="P72" s="43" t="e">
        <f t="shared" si="53"/>
        <v>#DIV/0!</v>
      </c>
      <c r="Q72" s="43" t="e">
        <f t="shared" si="54"/>
        <v>#DIV/0!</v>
      </c>
      <c r="R72" s="43" t="e">
        <f t="shared" si="55"/>
        <v>#DIV/0!</v>
      </c>
      <c r="S72" s="43" t="e">
        <f t="shared" si="56"/>
        <v>#DIV/0!</v>
      </c>
      <c r="T72" s="43" t="e">
        <f t="shared" si="57"/>
        <v>#DIV/0!</v>
      </c>
      <c r="U72" s="43" t="e">
        <f t="shared" si="58"/>
        <v>#DIV/0!</v>
      </c>
      <c r="V72" s="53" t="e">
        <f>V71+ATM_Conf!$C$5*(B71)/(B259*V259)</f>
        <v>#DIV/0!</v>
      </c>
      <c r="W72" s="53" t="e">
        <f>W71+ATM_Conf!$C$5*(C71-B71)/(C259*W259)</f>
        <v>#DIV/0!</v>
      </c>
      <c r="X72" s="53" t="e">
        <f>X71+ATM_Conf!$C$5*(D71-C71)/(D259*X259)</f>
        <v>#DIV/0!</v>
      </c>
      <c r="Y72" s="53" t="e">
        <f>Y71+ATM_Conf!$C$5*(E71-D71)/(E259*Y259)</f>
        <v>#DIV/0!</v>
      </c>
      <c r="Z72" s="53" t="e">
        <f>Z71+ATM_Conf!$C$5*(F71-E71)/(F259*Z259)</f>
        <v>#DIV/0!</v>
      </c>
      <c r="AA72" s="53" t="e">
        <f>AA71+ATM_Conf!$C$5*(G71-F71)/(G259*AA259)</f>
        <v>#DIV/0!</v>
      </c>
      <c r="AB72" s="53" t="e">
        <f>AB71+ATM_Conf!$C$5*(H71-G71)/(H259*AB259)</f>
        <v>#DIV/0!</v>
      </c>
      <c r="AC72" s="53" t="e">
        <f>AC71+ATM_Conf!$C$5*(I71-H71)/(I259*AC259)</f>
        <v>#DIV/0!</v>
      </c>
      <c r="AD72" s="53" t="e">
        <f>AD71+ATM_Conf!$C$5*(J71-I71)/(J259*AD259)</f>
        <v>#DIV/0!</v>
      </c>
      <c r="AE72" s="53" t="e">
        <f>AE71+ATM_Conf!$C$5*(K71-J71)/(K259*AE259)</f>
        <v>#DIV/0!</v>
      </c>
      <c r="AF72" s="53" t="e">
        <f>AF71+ATM_Conf!$C$5*(L71)/(L259*AF259)</f>
        <v>#DIV/0!</v>
      </c>
      <c r="AG72" s="53" t="e">
        <f>AG71+ATM_Conf!$C$5*(M71-L71)/(M259*AG259)</f>
        <v>#DIV/0!</v>
      </c>
      <c r="AH72" s="53" t="e">
        <f>AH71+ATM_Conf!$C$5*(N71-M71)/(N259*AH259)</f>
        <v>#DIV/0!</v>
      </c>
      <c r="AI72" s="53" t="e">
        <f>AI71+ATM_Conf!$C$5*(O71-N71)/(O259*AI259)</f>
        <v>#DIV/0!</v>
      </c>
      <c r="AJ72" s="53" t="e">
        <f>AJ71+ATM_Conf!$C$5*(P71-O71)/(P259*AJ259)</f>
        <v>#DIV/0!</v>
      </c>
      <c r="AK72" s="53" t="e">
        <f>AK71+ATM_Conf!$C$5*(Q71-P71)/(Q259*AK259)</f>
        <v>#DIV/0!</v>
      </c>
      <c r="AL72" s="53" t="e">
        <f>AL71+ATM_Conf!$C$5*(R71-Q71)/(R259*AL259)</f>
        <v>#DIV/0!</v>
      </c>
      <c r="AM72" s="53" t="e">
        <f>AM71+ATM_Conf!$C$5*(S71-R71)/(S259*AM259)</f>
        <v>#DIV/0!</v>
      </c>
      <c r="AN72" s="53" t="e">
        <f>AN71+ATM_Conf!$C$5*(T71-S71)/(T259*AN259)</f>
        <v>#DIV/0!</v>
      </c>
      <c r="AO72" s="53" t="e">
        <f>AO71+ATM_Conf!$C$5*(U71-T71)/(U259*AO259)</f>
        <v>#DIV/0!</v>
      </c>
      <c r="AP72" s="43" t="e">
        <f>AP71+(ATM_Conf!$C$5/ATM_Conf!$C$8)*(BJ72*EXP(-(1/CX72)*(V72/CD72)^CX72)-AP71)-(ATM_Conf!$C$5*ATM_Conf!$C$9)/(V259*ATM_Conf!$C$8)*(Nodes!BO71-V71)/(V71+ATM_Conf!$C$10)</f>
        <v>#DIV/0!</v>
      </c>
      <c r="AQ72" s="43" t="e">
        <f>AQ71+(ATM_Conf!$C$5/ATM_Conf!$C$8)*(BK72*EXP(-(1/CY72)*(W72/CE72)^CY72)-AQ71)+(ATM_Conf!$C$5/W259)*AQ71*(AP71-AQ71)-(ATM_Conf!$C$5*ATM_Conf!$C$9)/(W259*ATM_Conf!$C$8)*(X71-W71)/(W71+ATM_Conf!$C$10)</f>
        <v>#DIV/0!</v>
      </c>
      <c r="AR72" s="43" t="e">
        <f>AR71+(ATM_Conf!$C$5/ATM_Conf!$C$8)*(BL72*EXP(-(1/CZ72)*(X72/CF72)^CZ72)-AR71)+(ATM_Conf!$C$5/X259)*AR71*(Nodes!BC71-AR71)-(ATM_Conf!$C$5*ATM_Conf!$C$9)/(X259*ATM_Conf!$C$8)*(Nodes!BQ71-X71)/(X71+ATM_Conf!$C$10)</f>
        <v>#DIV/0!</v>
      </c>
      <c r="AS72" s="43" t="e">
        <f>AS71+(ATM_Conf!$C$5/ATM_Conf!$C$8)*(BM72*EXP(-(1/DA72)*(Y72/CG72)^DA72)-AS71)+(ATM_Conf!$C$5/Y259)*AS71*(AR71-AS71)-(ATM_Conf!$C$5*ATM_Conf!$C$9)/(Y259*ATM_Conf!$C$8)*(Z71-Y71)/(Y71+ATM_Conf!$C$10)</f>
        <v>#DIV/0!</v>
      </c>
      <c r="AT72" s="43" t="e">
        <f>AT71+(ATM_Conf!$C$5/ATM_Conf!$C$8)*(BN72*EXP(-(1/DB72)*(Z72/CH72)^DB72)-AT71)+(ATM_Conf!$C$5/Z259)*AT71*(Nodes!BE71-AT71)-(ATM_Conf!$C$5*ATM_Conf!$C$9)/(Z259*ATM_Conf!$C$8)*(Nodes!BS71-Z71)/(Z71+ATM_Conf!$C$10)</f>
        <v>#DIV/0!</v>
      </c>
      <c r="AU72" s="43" t="e">
        <f>AU71+(ATM_Conf!$C$5/ATM_Conf!$C$8)*(BO72*EXP(-(1/DC72)*(AA72/CI72)^DC72)-AU71)+(ATM_Conf!$C$5/AA259)*AU71*(Nodes!BF71-AU71)-(ATM_Conf!$C$5*ATM_Conf!$C$9)/(AA259*ATM_Conf!$C$8)*(Nodes!BV71-AA71)/(AA71+ATM_Conf!$C$10)</f>
        <v>#DIV/0!</v>
      </c>
      <c r="AV72" s="43" t="e">
        <f>AV71+(ATM_Conf!$C$5/ATM_Conf!$C$8)*(BP72*EXP(-(1/DD72)*(AB72/CJ72)^DD72)-AV71)+(ATM_Conf!$C$5/AB259)*AV71*(AU71-AV71)-(ATM_Conf!$C$5*ATM_Conf!$C$9)/(AB259*ATM_Conf!$C$8)*(AC71-AB71)/(AB71+ATM_Conf!$C$10)</f>
        <v>#DIV/0!</v>
      </c>
      <c r="AW72" s="43" t="e">
        <f>AW71+(ATM_Conf!$C$5/ATM_Conf!$C$8)*(BQ72*EXP(-(1/DE72)*(AC72/CK72)^DE72)-AW71)+(ATM_Conf!$C$5/AC259)*AW71*(AV71-AW71)-(ATM_Conf!$C$5*ATM_Conf!$C$9)/(AC259*ATM_Conf!$C$8)*(AD71-AC71)/(AC71+ATM_Conf!$C$10)</f>
        <v>#DIV/0!</v>
      </c>
      <c r="AX72" s="43" t="e">
        <f>AX71+(ATM_Conf!$C$5/ATM_Conf!$C$8)*(BR72*EXP(-(1/DF72)*(AD72/CL72)^DF72)-AX71)+(ATM_Conf!$C$5/AD259)*AX71*(Nodes!BG71-AX71)-(ATM_Conf!$C$5*ATM_Conf!$C$9)/(AD259*ATM_Conf!$C$8)*(Nodes!BU71-AD71)/(AD71+ATM_Conf!$C$10)</f>
        <v>#DIV/0!</v>
      </c>
      <c r="AY72" s="43" t="e">
        <f>AY71+(ATM_Conf!$C$5/ATM_Conf!$C$8)*(BS72*EXP(-(1/DG72)*(AE72/CM72)^DG72)-AY71)+(ATM_Conf!$C$5/AE259)*AY71*(Nodes!BF71-AY71)</f>
        <v>#DIV/0!</v>
      </c>
      <c r="AZ72" s="43" t="e">
        <f>AZ71+(ATM_Conf!$C$5/ATM_Conf!$C$8)*(BT72*EXP(-(1/DH72)*(AF72/CN72)^DH72)-AZ71)-(ATM_Conf!$C$5*ATM_Conf!$C$9)/(AF259*ATM_Conf!$C$8)*(Nodes!BV71-AF71)/(AF71+ATM_Conf!$C$10)</f>
        <v>#DIV/0!</v>
      </c>
      <c r="BA72" s="43" t="e">
        <f>BA71+(ATM_Conf!$C$5/ATM_Conf!$C$8)*(BU72*EXP(-(1/DI72)*(AG72/CO72)^DI72)-BA71)+(ATM_Conf!$C$5/AG259)*BA71*(Nodes!BI71-BA71)-(ATM_Conf!$C$5*ATM_Conf!$C$9)/(AG259*ATM_Conf!$C$8)*(Nodes!BW71-AG71)/(AG71+ATM_Conf!$C$10)</f>
        <v>#DIV/0!</v>
      </c>
      <c r="BB72" s="43" t="e">
        <f>BB71+(ATM_Conf!$C$5/ATM_Conf!$C$8)*(BV72*EXP(-(1/DJ72)*(AH72/CP72)^DJ72)-BB71)+(ATM_Conf!$C$5/AH259)*BB71*(Nodes!BJ71-BB71)-(ATM_Conf!$C$5*ATM_Conf!$C$9)/(AH259*ATM_Conf!$C$8)*(AI71-AH71)/(AH71+ATM_Conf!$C$10)</f>
        <v>#DIV/0!</v>
      </c>
      <c r="BC72" s="43" t="e">
        <f>BC71+(ATM_Conf!$C$5/ATM_Conf!$C$8)*(BW72*EXP(-(1/DK72)*(AI72/CQ72)^DK72)-BC71)+(ATM_Conf!$C$5/AI259)*BC71*(BB71-BC71)-(ATM_Conf!$C$5*ATM_Conf!$C$9)/(AI259*ATM_Conf!$C$8)*(AJ71-AI71)/(AI71+ATM_Conf!$C$10)</f>
        <v>#DIV/0!</v>
      </c>
      <c r="BD72" s="43" t="e">
        <f>BD71+(ATM_Conf!$C$5/ATM_Conf!$C$8)*(BX72*EXP(-(1/DL72)*(AJ72/CR72)^DL72)-BD71)+(ATM_Conf!$C$5/AJ259)*BD71*(BC71-BD71)-(ATM_Conf!$C$5*ATM_Conf!$C$9)/(AJ259*ATM_Conf!$C$8)*(Nodes!BX71-AJ71)/(AJ71+ATM_Conf!$C$10)</f>
        <v>#DIV/0!</v>
      </c>
      <c r="BE72" s="43" t="e">
        <f>BE71+(ATM_Conf!$C$5/ATM_Conf!$C$8)*(BY72*EXP(-(1/DM72)*(AK72/CS72)^DM72)-BE71)+(ATM_Conf!$C$5/AK259)*BE71*(Nodes!BK71-BE71)-(ATM_Conf!$C$5*ATM_Conf!$C$9)/(AK259*ATM_Conf!$C$8)*(Nodes!BY71-AK71)/(AK71+ATM_Conf!$C$10)</f>
        <v>#DIV/0!</v>
      </c>
      <c r="BF72" s="43" t="e">
        <f>BF71+(ATM_Conf!$C$5/ATM_Conf!$C$8)*(BZ72*EXP(-(1/DN72)*(AL72/CT72)^DN72)-BF71)+(ATM_Conf!$C$5/AL259)*BF71*(BE71-BF71)-(ATM_Conf!$C$5*ATM_Conf!$C$9)/(AL259*ATM_Conf!$C$8)*(AM71-AL71)/(AL71+ATM_Conf!$C$10)</f>
        <v>#DIV/0!</v>
      </c>
      <c r="BG72" s="43" t="e">
        <f>BG71+(ATM_Conf!$C$5/ATM_Conf!$C$8)*(CA72*EXP(-(1/DO72)*(AM72/CU72)^DO72)-BG71)+(ATM_Conf!$C$5/AM259)*BG71*(Nodes!BM71-BG71)-(ATM_Conf!$C$5*ATM_Conf!$C$9)/(AM259*ATM_Conf!$C$8)*(Nodes!CA71-AM71)/(AM71+ATM_Conf!$C$10)</f>
        <v>#DIV/0!</v>
      </c>
      <c r="BH72" s="43" t="e">
        <f>BH71+(ATM_Conf!$C$5/ATM_Conf!$C$8)*(CB72*EXP(-(1/DP72)*(AN72/CV72)^DP72)-BH71)+(ATM_Conf!$C$5/AN259)*BH71*(BG71-BH71)-(ATM_Conf!$C$5*ATM_Conf!$C$9)/(AN259*ATM_Conf!$C$8)*(AO71-AN71)/(AN71+ATM_Conf!$C$10)</f>
        <v>#DIV/0!</v>
      </c>
      <c r="BI72" s="43" t="e">
        <f>BI71+(ATM_Conf!$C$5/ATM_Conf!$C$8)*(CC72*EXP(-(1/DQ72)*(AO72/CW72)^DQ72)-BI71)+(ATM_Conf!$C$5/AO259)*BI71*(BH71-BI71)</f>
        <v>#DIV/0!</v>
      </c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53"/>
      <c r="CB72" s="53"/>
      <c r="CC72" s="5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53"/>
      <c r="CY72" s="53"/>
      <c r="CZ72" s="53"/>
      <c r="DA72" s="53"/>
      <c r="DB72" s="53"/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  <c r="DR72" s="43">
        <f t="shared" si="38"/>
        <v>0</v>
      </c>
      <c r="DS72" s="43">
        <f t="shared" si="37"/>
        <v>0</v>
      </c>
      <c r="DT72" s="43">
        <f t="shared" si="37"/>
        <v>0</v>
      </c>
      <c r="DU72" s="43">
        <f t="shared" si="37"/>
        <v>0</v>
      </c>
      <c r="DV72" s="43">
        <f t="shared" si="37"/>
        <v>0</v>
      </c>
      <c r="DW72" s="43">
        <f t="shared" si="37"/>
        <v>0</v>
      </c>
      <c r="DX72" s="43">
        <f t="shared" si="37"/>
        <v>0</v>
      </c>
      <c r="DY72" s="43">
        <f t="shared" si="37"/>
        <v>0</v>
      </c>
      <c r="DZ72" s="43">
        <f t="shared" si="37"/>
        <v>0</v>
      </c>
      <c r="EA72" s="43">
        <f t="shared" si="37"/>
        <v>0</v>
      </c>
      <c r="EB72" s="43">
        <f t="shared" si="37"/>
        <v>0</v>
      </c>
      <c r="EC72" s="43">
        <f t="shared" si="37"/>
        <v>0</v>
      </c>
      <c r="ED72" s="43">
        <f t="shared" si="37"/>
        <v>0</v>
      </c>
      <c r="EE72" s="43">
        <f t="shared" si="37"/>
        <v>0</v>
      </c>
      <c r="EF72" s="43">
        <f t="shared" si="37"/>
        <v>0</v>
      </c>
      <c r="EG72" s="43">
        <f t="shared" si="37"/>
        <v>0</v>
      </c>
      <c r="EH72" s="43">
        <f t="shared" si="37"/>
        <v>0</v>
      </c>
      <c r="EI72" s="43">
        <f t="shared" si="37"/>
        <v>0</v>
      </c>
      <c r="EJ72" s="43">
        <f t="shared" si="37"/>
        <v>0</v>
      </c>
      <c r="EK72" s="43">
        <f t="shared" si="37"/>
        <v>0</v>
      </c>
      <c r="EL72" s="47"/>
      <c r="EM72" s="47"/>
      <c r="EN72" s="47"/>
      <c r="EO72" s="47"/>
      <c r="EP72" s="47"/>
      <c r="EQ72" s="47"/>
      <c r="ER72" s="47"/>
      <c r="ES72" s="47"/>
      <c r="ET72" s="47"/>
      <c r="EU72" s="47"/>
      <c r="EV72" s="47"/>
      <c r="EW72" s="47"/>
      <c r="EX72" s="47"/>
      <c r="EY72" s="47"/>
      <c r="EZ72" s="47"/>
      <c r="FA72" s="47"/>
      <c r="FB72" s="47"/>
      <c r="FC72" s="47"/>
      <c r="FD72" s="47"/>
      <c r="FE72" s="47"/>
    </row>
    <row r="73" spans="1:161" ht="14.25" x14ac:dyDescent="0.15">
      <c r="A73" s="46"/>
      <c r="B73" s="43" t="e">
        <f t="shared" si="39"/>
        <v>#DIV/0!</v>
      </c>
      <c r="C73" s="43" t="e">
        <f t="shared" si="40"/>
        <v>#DIV/0!</v>
      </c>
      <c r="D73" s="43" t="e">
        <f t="shared" si="41"/>
        <v>#DIV/0!</v>
      </c>
      <c r="E73" s="43" t="e">
        <f t="shared" si="42"/>
        <v>#DIV/0!</v>
      </c>
      <c r="F73" s="43" t="e">
        <f t="shared" si="43"/>
        <v>#DIV/0!</v>
      </c>
      <c r="G73" s="43" t="e">
        <f t="shared" si="44"/>
        <v>#DIV/0!</v>
      </c>
      <c r="H73" s="43" t="e">
        <f t="shared" si="45"/>
        <v>#DIV/0!</v>
      </c>
      <c r="I73" s="43" t="e">
        <f t="shared" si="46"/>
        <v>#DIV/0!</v>
      </c>
      <c r="J73" s="43" t="e">
        <f t="shared" si="47"/>
        <v>#DIV/0!</v>
      </c>
      <c r="K73" s="43" t="e">
        <f t="shared" si="48"/>
        <v>#DIV/0!</v>
      </c>
      <c r="L73" s="43" t="e">
        <f t="shared" si="49"/>
        <v>#DIV/0!</v>
      </c>
      <c r="M73" s="43" t="e">
        <f t="shared" si="50"/>
        <v>#DIV/0!</v>
      </c>
      <c r="N73" s="43" t="e">
        <f t="shared" si="51"/>
        <v>#DIV/0!</v>
      </c>
      <c r="O73" s="43" t="e">
        <f t="shared" si="52"/>
        <v>#DIV/0!</v>
      </c>
      <c r="P73" s="43" t="e">
        <f t="shared" si="53"/>
        <v>#DIV/0!</v>
      </c>
      <c r="Q73" s="43" t="e">
        <f t="shared" si="54"/>
        <v>#DIV/0!</v>
      </c>
      <c r="R73" s="43" t="e">
        <f t="shared" si="55"/>
        <v>#DIV/0!</v>
      </c>
      <c r="S73" s="43" t="e">
        <f t="shared" si="56"/>
        <v>#DIV/0!</v>
      </c>
      <c r="T73" s="43" t="e">
        <f t="shared" si="57"/>
        <v>#DIV/0!</v>
      </c>
      <c r="U73" s="43" t="e">
        <f t="shared" si="58"/>
        <v>#DIV/0!</v>
      </c>
      <c r="V73" s="53" t="e">
        <f>V72+ATM_Conf!$C$5*(B72)/(B260*V260)</f>
        <v>#DIV/0!</v>
      </c>
      <c r="W73" s="53" t="e">
        <f>W72+ATM_Conf!$C$5*(C72-B72)/(C260*W260)</f>
        <v>#DIV/0!</v>
      </c>
      <c r="X73" s="53" t="e">
        <f>X72+ATM_Conf!$C$5*(D72-C72)/(D260*X260)</f>
        <v>#DIV/0!</v>
      </c>
      <c r="Y73" s="53" t="e">
        <f>Y72+ATM_Conf!$C$5*(E72-D72)/(E260*Y260)</f>
        <v>#DIV/0!</v>
      </c>
      <c r="Z73" s="53" t="e">
        <f>Z72+ATM_Conf!$C$5*(F72-E72)/(F260*Z260)</f>
        <v>#DIV/0!</v>
      </c>
      <c r="AA73" s="53" t="e">
        <f>AA72+ATM_Conf!$C$5*(G72-F72)/(G260*AA260)</f>
        <v>#DIV/0!</v>
      </c>
      <c r="AB73" s="53" t="e">
        <f>AB72+ATM_Conf!$C$5*(H72-G72)/(H260*AB260)</f>
        <v>#DIV/0!</v>
      </c>
      <c r="AC73" s="53" t="e">
        <f>AC72+ATM_Conf!$C$5*(I72-H72)/(I260*AC260)</f>
        <v>#DIV/0!</v>
      </c>
      <c r="AD73" s="53" t="e">
        <f>AD72+ATM_Conf!$C$5*(J72-I72)/(J260*AD260)</f>
        <v>#DIV/0!</v>
      </c>
      <c r="AE73" s="53" t="e">
        <f>AE72+ATM_Conf!$C$5*(K72-J72)/(K260*AE260)</f>
        <v>#DIV/0!</v>
      </c>
      <c r="AF73" s="53" t="e">
        <f>AF72+ATM_Conf!$C$5*(L72)/(L260*AF260)</f>
        <v>#DIV/0!</v>
      </c>
      <c r="AG73" s="53" t="e">
        <f>AG72+ATM_Conf!$C$5*(M72-L72)/(M260*AG260)</f>
        <v>#DIV/0!</v>
      </c>
      <c r="AH73" s="53" t="e">
        <f>AH72+ATM_Conf!$C$5*(N72-M72)/(N260*AH260)</f>
        <v>#DIV/0!</v>
      </c>
      <c r="AI73" s="53" t="e">
        <f>AI72+ATM_Conf!$C$5*(O72-N72)/(O260*AI260)</f>
        <v>#DIV/0!</v>
      </c>
      <c r="AJ73" s="53" t="e">
        <f>AJ72+ATM_Conf!$C$5*(P72-O72)/(P260*AJ260)</f>
        <v>#DIV/0!</v>
      </c>
      <c r="AK73" s="53" t="e">
        <f>AK72+ATM_Conf!$C$5*(Q72-P72)/(Q260*AK260)</f>
        <v>#DIV/0!</v>
      </c>
      <c r="AL73" s="53" t="e">
        <f>AL72+ATM_Conf!$C$5*(R72-Q72)/(R260*AL260)</f>
        <v>#DIV/0!</v>
      </c>
      <c r="AM73" s="53" t="e">
        <f>AM72+ATM_Conf!$C$5*(S72-R72)/(S260*AM260)</f>
        <v>#DIV/0!</v>
      </c>
      <c r="AN73" s="53" t="e">
        <f>AN72+ATM_Conf!$C$5*(T72-S72)/(T260*AN260)</f>
        <v>#DIV/0!</v>
      </c>
      <c r="AO73" s="53" t="e">
        <f>AO72+ATM_Conf!$C$5*(U72-T72)/(U260*AO260)</f>
        <v>#DIV/0!</v>
      </c>
      <c r="AP73" s="43" t="e">
        <f>AP72+(ATM_Conf!$C$5/ATM_Conf!$C$8)*(BJ73*EXP(-(1/CX73)*(V73/CD73)^CX73)-AP72)-(ATM_Conf!$C$5*ATM_Conf!$C$9)/(V260*ATM_Conf!$C$8)*(Nodes!BO72-V72)/(V72+ATM_Conf!$C$10)</f>
        <v>#DIV/0!</v>
      </c>
      <c r="AQ73" s="43" t="e">
        <f>AQ72+(ATM_Conf!$C$5/ATM_Conf!$C$8)*(BK73*EXP(-(1/CY73)*(W73/CE73)^CY73)-AQ72)+(ATM_Conf!$C$5/W260)*AQ72*(AP72-AQ72)-(ATM_Conf!$C$5*ATM_Conf!$C$9)/(W260*ATM_Conf!$C$8)*(X72-W72)/(W72+ATM_Conf!$C$10)</f>
        <v>#DIV/0!</v>
      </c>
      <c r="AR73" s="43" t="e">
        <f>AR72+(ATM_Conf!$C$5/ATM_Conf!$C$8)*(BL73*EXP(-(1/CZ73)*(X73/CF73)^CZ73)-AR72)+(ATM_Conf!$C$5/X260)*AR72*(Nodes!BC72-AR72)-(ATM_Conf!$C$5*ATM_Conf!$C$9)/(X260*ATM_Conf!$C$8)*(Nodes!BQ72-X72)/(X72+ATM_Conf!$C$10)</f>
        <v>#DIV/0!</v>
      </c>
      <c r="AS73" s="43" t="e">
        <f>AS72+(ATM_Conf!$C$5/ATM_Conf!$C$8)*(BM73*EXP(-(1/DA73)*(Y73/CG73)^DA73)-AS72)+(ATM_Conf!$C$5/Y260)*AS72*(AR72-AS72)-(ATM_Conf!$C$5*ATM_Conf!$C$9)/(Y260*ATM_Conf!$C$8)*(Z72-Y72)/(Y72+ATM_Conf!$C$10)</f>
        <v>#DIV/0!</v>
      </c>
      <c r="AT73" s="43" t="e">
        <f>AT72+(ATM_Conf!$C$5/ATM_Conf!$C$8)*(BN73*EXP(-(1/DB73)*(Z73/CH73)^DB73)-AT72)+(ATM_Conf!$C$5/Z260)*AT72*(Nodes!BE72-AT72)-(ATM_Conf!$C$5*ATM_Conf!$C$9)/(Z260*ATM_Conf!$C$8)*(Nodes!BS72-Z72)/(Z72+ATM_Conf!$C$10)</f>
        <v>#DIV/0!</v>
      </c>
      <c r="AU73" s="43" t="e">
        <f>AU72+(ATM_Conf!$C$5/ATM_Conf!$C$8)*(BO73*EXP(-(1/DC73)*(AA73/CI73)^DC73)-AU72)+(ATM_Conf!$C$5/AA260)*AU72*(Nodes!BF72-AU72)-(ATM_Conf!$C$5*ATM_Conf!$C$9)/(AA260*ATM_Conf!$C$8)*(Nodes!BV72-AA72)/(AA72+ATM_Conf!$C$10)</f>
        <v>#DIV/0!</v>
      </c>
      <c r="AV73" s="43" t="e">
        <f>AV72+(ATM_Conf!$C$5/ATM_Conf!$C$8)*(BP73*EXP(-(1/DD73)*(AB73/CJ73)^DD73)-AV72)+(ATM_Conf!$C$5/AB260)*AV72*(AU72-AV72)-(ATM_Conf!$C$5*ATM_Conf!$C$9)/(AB260*ATM_Conf!$C$8)*(AC72-AB72)/(AB72+ATM_Conf!$C$10)</f>
        <v>#DIV/0!</v>
      </c>
      <c r="AW73" s="43" t="e">
        <f>AW72+(ATM_Conf!$C$5/ATM_Conf!$C$8)*(BQ73*EXP(-(1/DE73)*(AC73/CK73)^DE73)-AW72)+(ATM_Conf!$C$5/AC260)*AW72*(AV72-AW72)-(ATM_Conf!$C$5*ATM_Conf!$C$9)/(AC260*ATM_Conf!$C$8)*(AD72-AC72)/(AC72+ATM_Conf!$C$10)</f>
        <v>#DIV/0!</v>
      </c>
      <c r="AX73" s="43" t="e">
        <f>AX72+(ATM_Conf!$C$5/ATM_Conf!$C$8)*(BR73*EXP(-(1/DF73)*(AD73/CL73)^DF73)-AX72)+(ATM_Conf!$C$5/AD260)*AX72*(Nodes!BG72-AX72)-(ATM_Conf!$C$5*ATM_Conf!$C$9)/(AD260*ATM_Conf!$C$8)*(Nodes!BU72-AD72)/(AD72+ATM_Conf!$C$10)</f>
        <v>#DIV/0!</v>
      </c>
      <c r="AY73" s="43" t="e">
        <f>AY72+(ATM_Conf!$C$5/ATM_Conf!$C$8)*(BS73*EXP(-(1/DG73)*(AE73/CM73)^DG73)-AY72)+(ATM_Conf!$C$5/AE260)*AY72*(Nodes!BF72-AY72)</f>
        <v>#DIV/0!</v>
      </c>
      <c r="AZ73" s="43" t="e">
        <f>AZ72+(ATM_Conf!$C$5/ATM_Conf!$C$8)*(BT73*EXP(-(1/DH73)*(AF73/CN73)^DH73)-AZ72)-(ATM_Conf!$C$5*ATM_Conf!$C$9)/(AF260*ATM_Conf!$C$8)*(Nodes!BV72-AF72)/(AF72+ATM_Conf!$C$10)</f>
        <v>#DIV/0!</v>
      </c>
      <c r="BA73" s="43" t="e">
        <f>BA72+(ATM_Conf!$C$5/ATM_Conf!$C$8)*(BU73*EXP(-(1/DI73)*(AG73/CO73)^DI73)-BA72)+(ATM_Conf!$C$5/AG260)*BA72*(Nodes!BI72-BA72)-(ATM_Conf!$C$5*ATM_Conf!$C$9)/(AG260*ATM_Conf!$C$8)*(Nodes!BW72-AG72)/(AG72+ATM_Conf!$C$10)</f>
        <v>#DIV/0!</v>
      </c>
      <c r="BB73" s="43" t="e">
        <f>BB72+(ATM_Conf!$C$5/ATM_Conf!$C$8)*(BV73*EXP(-(1/DJ73)*(AH73/CP73)^DJ73)-BB72)+(ATM_Conf!$C$5/AH260)*BB72*(Nodes!BJ72-BB72)-(ATM_Conf!$C$5*ATM_Conf!$C$9)/(AH260*ATM_Conf!$C$8)*(AI72-AH72)/(AH72+ATM_Conf!$C$10)</f>
        <v>#DIV/0!</v>
      </c>
      <c r="BC73" s="43" t="e">
        <f>BC72+(ATM_Conf!$C$5/ATM_Conf!$C$8)*(BW73*EXP(-(1/DK73)*(AI73/CQ73)^DK73)-BC72)+(ATM_Conf!$C$5/AI260)*BC72*(BB72-BC72)-(ATM_Conf!$C$5*ATM_Conf!$C$9)/(AI260*ATM_Conf!$C$8)*(AJ72-AI72)/(AI72+ATM_Conf!$C$10)</f>
        <v>#DIV/0!</v>
      </c>
      <c r="BD73" s="43" t="e">
        <f>BD72+(ATM_Conf!$C$5/ATM_Conf!$C$8)*(BX73*EXP(-(1/DL73)*(AJ73/CR73)^DL73)-BD72)+(ATM_Conf!$C$5/AJ260)*BD72*(BC72-BD72)-(ATM_Conf!$C$5*ATM_Conf!$C$9)/(AJ260*ATM_Conf!$C$8)*(Nodes!BX72-AJ72)/(AJ72+ATM_Conf!$C$10)</f>
        <v>#DIV/0!</v>
      </c>
      <c r="BE73" s="43" t="e">
        <f>BE72+(ATM_Conf!$C$5/ATM_Conf!$C$8)*(BY73*EXP(-(1/DM73)*(AK73/CS73)^DM73)-BE72)+(ATM_Conf!$C$5/AK260)*BE72*(Nodes!BK72-BE72)-(ATM_Conf!$C$5*ATM_Conf!$C$9)/(AK260*ATM_Conf!$C$8)*(Nodes!BY72-AK72)/(AK72+ATM_Conf!$C$10)</f>
        <v>#DIV/0!</v>
      </c>
      <c r="BF73" s="43" t="e">
        <f>BF72+(ATM_Conf!$C$5/ATM_Conf!$C$8)*(BZ73*EXP(-(1/DN73)*(AL73/CT73)^DN73)-BF72)+(ATM_Conf!$C$5/AL260)*BF72*(BE72-BF72)-(ATM_Conf!$C$5*ATM_Conf!$C$9)/(AL260*ATM_Conf!$C$8)*(AM72-AL72)/(AL72+ATM_Conf!$C$10)</f>
        <v>#DIV/0!</v>
      </c>
      <c r="BG73" s="43" t="e">
        <f>BG72+(ATM_Conf!$C$5/ATM_Conf!$C$8)*(CA73*EXP(-(1/DO73)*(AM73/CU73)^DO73)-BG72)+(ATM_Conf!$C$5/AM260)*BG72*(Nodes!BM72-BG72)-(ATM_Conf!$C$5*ATM_Conf!$C$9)/(AM260*ATM_Conf!$C$8)*(Nodes!CA72-AM72)/(AM72+ATM_Conf!$C$10)</f>
        <v>#DIV/0!</v>
      </c>
      <c r="BH73" s="43" t="e">
        <f>BH72+(ATM_Conf!$C$5/ATM_Conf!$C$8)*(CB73*EXP(-(1/DP73)*(AN73/CV73)^DP73)-BH72)+(ATM_Conf!$C$5/AN260)*BH72*(BG72-BH72)-(ATM_Conf!$C$5*ATM_Conf!$C$9)/(AN260*ATM_Conf!$C$8)*(AO72-AN72)/(AN72+ATM_Conf!$C$10)</f>
        <v>#DIV/0!</v>
      </c>
      <c r="BI73" s="43" t="e">
        <f>BI72+(ATM_Conf!$C$5/ATM_Conf!$C$8)*(CC73*EXP(-(1/DQ73)*(AO73/CW73)^DQ73)-BI72)+(ATM_Conf!$C$5/AO260)*BI72*(BH72-BI72)</f>
        <v>#DIV/0!</v>
      </c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53"/>
      <c r="CY73" s="53"/>
      <c r="CZ73" s="53"/>
      <c r="DA73" s="53"/>
      <c r="DB73" s="53"/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  <c r="DR73" s="43">
        <f t="shared" si="38"/>
        <v>0</v>
      </c>
      <c r="DS73" s="43">
        <f t="shared" si="37"/>
        <v>0</v>
      </c>
      <c r="DT73" s="43">
        <f t="shared" si="37"/>
        <v>0</v>
      </c>
      <c r="DU73" s="43">
        <f t="shared" si="37"/>
        <v>0</v>
      </c>
      <c r="DV73" s="43">
        <f t="shared" si="37"/>
        <v>0</v>
      </c>
      <c r="DW73" s="43">
        <f t="shared" si="37"/>
        <v>0</v>
      </c>
      <c r="DX73" s="43">
        <f t="shared" si="37"/>
        <v>0</v>
      </c>
      <c r="DY73" s="43">
        <f t="shared" si="37"/>
        <v>0</v>
      </c>
      <c r="DZ73" s="43">
        <f t="shared" si="37"/>
        <v>0</v>
      </c>
      <c r="EA73" s="43">
        <f t="shared" si="37"/>
        <v>0</v>
      </c>
      <c r="EB73" s="43">
        <f t="shared" si="37"/>
        <v>0</v>
      </c>
      <c r="EC73" s="43">
        <f t="shared" si="37"/>
        <v>0</v>
      </c>
      <c r="ED73" s="43">
        <f t="shared" si="37"/>
        <v>0</v>
      </c>
      <c r="EE73" s="43">
        <f t="shared" si="37"/>
        <v>0</v>
      </c>
      <c r="EF73" s="43">
        <f t="shared" si="37"/>
        <v>0</v>
      </c>
      <c r="EG73" s="43">
        <f t="shared" si="37"/>
        <v>0</v>
      </c>
      <c r="EH73" s="43">
        <f t="shared" si="37"/>
        <v>0</v>
      </c>
      <c r="EI73" s="43">
        <f t="shared" si="37"/>
        <v>0</v>
      </c>
      <c r="EJ73" s="43">
        <f t="shared" si="37"/>
        <v>0</v>
      </c>
      <c r="EK73" s="43">
        <f t="shared" si="37"/>
        <v>0</v>
      </c>
      <c r="EL73" s="47"/>
      <c r="EM73" s="47"/>
      <c r="EN73" s="47"/>
      <c r="EO73" s="47"/>
      <c r="EP73" s="47"/>
      <c r="EQ73" s="47"/>
      <c r="ER73" s="47"/>
      <c r="ES73" s="47"/>
      <c r="ET73" s="47"/>
      <c r="EU73" s="47"/>
      <c r="EV73" s="47"/>
      <c r="EW73" s="47"/>
      <c r="EX73" s="47"/>
      <c r="EY73" s="47"/>
      <c r="EZ73" s="47"/>
      <c r="FA73" s="47"/>
      <c r="FB73" s="47"/>
      <c r="FC73" s="47"/>
      <c r="FD73" s="47"/>
      <c r="FE73" s="47"/>
    </row>
    <row r="74" spans="1:161" ht="14.25" x14ac:dyDescent="0.15">
      <c r="A74" s="46"/>
      <c r="B74" s="43" t="e">
        <f t="shared" si="39"/>
        <v>#DIV/0!</v>
      </c>
      <c r="C74" s="43" t="e">
        <f t="shared" si="40"/>
        <v>#DIV/0!</v>
      </c>
      <c r="D74" s="43" t="e">
        <f t="shared" si="41"/>
        <v>#DIV/0!</v>
      </c>
      <c r="E74" s="43" t="e">
        <f t="shared" si="42"/>
        <v>#DIV/0!</v>
      </c>
      <c r="F74" s="43" t="e">
        <f t="shared" si="43"/>
        <v>#DIV/0!</v>
      </c>
      <c r="G74" s="43" t="e">
        <f t="shared" si="44"/>
        <v>#DIV/0!</v>
      </c>
      <c r="H74" s="43" t="e">
        <f t="shared" si="45"/>
        <v>#DIV/0!</v>
      </c>
      <c r="I74" s="43" t="e">
        <f t="shared" si="46"/>
        <v>#DIV/0!</v>
      </c>
      <c r="J74" s="43" t="e">
        <f t="shared" si="47"/>
        <v>#DIV/0!</v>
      </c>
      <c r="K74" s="43" t="e">
        <f t="shared" si="48"/>
        <v>#DIV/0!</v>
      </c>
      <c r="L74" s="43" t="e">
        <f t="shared" si="49"/>
        <v>#DIV/0!</v>
      </c>
      <c r="M74" s="43" t="e">
        <f t="shared" si="50"/>
        <v>#DIV/0!</v>
      </c>
      <c r="N74" s="43" t="e">
        <f t="shared" si="51"/>
        <v>#DIV/0!</v>
      </c>
      <c r="O74" s="43" t="e">
        <f t="shared" si="52"/>
        <v>#DIV/0!</v>
      </c>
      <c r="P74" s="43" t="e">
        <f t="shared" si="53"/>
        <v>#DIV/0!</v>
      </c>
      <c r="Q74" s="43" t="e">
        <f t="shared" si="54"/>
        <v>#DIV/0!</v>
      </c>
      <c r="R74" s="43" t="e">
        <f t="shared" si="55"/>
        <v>#DIV/0!</v>
      </c>
      <c r="S74" s="43" t="e">
        <f t="shared" si="56"/>
        <v>#DIV/0!</v>
      </c>
      <c r="T74" s="43" t="e">
        <f t="shared" si="57"/>
        <v>#DIV/0!</v>
      </c>
      <c r="U74" s="43" t="e">
        <f t="shared" si="58"/>
        <v>#DIV/0!</v>
      </c>
      <c r="V74" s="53" t="e">
        <f>V73+ATM_Conf!$C$5*(B73)/(B261*V261)</f>
        <v>#DIV/0!</v>
      </c>
      <c r="W74" s="53" t="e">
        <f>W73+ATM_Conf!$C$5*(C73-B73)/(C261*W261)</f>
        <v>#DIV/0!</v>
      </c>
      <c r="X74" s="53" t="e">
        <f>X73+ATM_Conf!$C$5*(D73-C73)/(D261*X261)</f>
        <v>#DIV/0!</v>
      </c>
      <c r="Y74" s="53" t="e">
        <f>Y73+ATM_Conf!$C$5*(E73-D73)/(E261*Y261)</f>
        <v>#DIV/0!</v>
      </c>
      <c r="Z74" s="53" t="e">
        <f>Z73+ATM_Conf!$C$5*(F73-E73)/(F261*Z261)</f>
        <v>#DIV/0!</v>
      </c>
      <c r="AA74" s="53" t="e">
        <f>AA73+ATM_Conf!$C$5*(G73-F73)/(G261*AA261)</f>
        <v>#DIV/0!</v>
      </c>
      <c r="AB74" s="53" t="e">
        <f>AB73+ATM_Conf!$C$5*(H73-G73)/(H261*AB261)</f>
        <v>#DIV/0!</v>
      </c>
      <c r="AC74" s="53" t="e">
        <f>AC73+ATM_Conf!$C$5*(I73-H73)/(I261*AC261)</f>
        <v>#DIV/0!</v>
      </c>
      <c r="AD74" s="53" t="e">
        <f>AD73+ATM_Conf!$C$5*(J73-I73)/(J261*AD261)</f>
        <v>#DIV/0!</v>
      </c>
      <c r="AE74" s="53" t="e">
        <f>AE73+ATM_Conf!$C$5*(K73-J73)/(K261*AE261)</f>
        <v>#DIV/0!</v>
      </c>
      <c r="AF74" s="53" t="e">
        <f>AF73+ATM_Conf!$C$5*(L73)/(L261*AF261)</f>
        <v>#DIV/0!</v>
      </c>
      <c r="AG74" s="53" t="e">
        <f>AG73+ATM_Conf!$C$5*(M73-L73)/(M261*AG261)</f>
        <v>#DIV/0!</v>
      </c>
      <c r="AH74" s="53" t="e">
        <f>AH73+ATM_Conf!$C$5*(N73-M73)/(N261*AH261)</f>
        <v>#DIV/0!</v>
      </c>
      <c r="AI74" s="53" t="e">
        <f>AI73+ATM_Conf!$C$5*(O73-N73)/(O261*AI261)</f>
        <v>#DIV/0!</v>
      </c>
      <c r="AJ74" s="53" t="e">
        <f>AJ73+ATM_Conf!$C$5*(P73-O73)/(P261*AJ261)</f>
        <v>#DIV/0!</v>
      </c>
      <c r="AK74" s="53" t="e">
        <f>AK73+ATM_Conf!$C$5*(Q73-P73)/(Q261*AK261)</f>
        <v>#DIV/0!</v>
      </c>
      <c r="AL74" s="53" t="e">
        <f>AL73+ATM_Conf!$C$5*(R73-Q73)/(R261*AL261)</f>
        <v>#DIV/0!</v>
      </c>
      <c r="AM74" s="53" t="e">
        <f>AM73+ATM_Conf!$C$5*(S73-R73)/(S261*AM261)</f>
        <v>#DIV/0!</v>
      </c>
      <c r="AN74" s="53" t="e">
        <f>AN73+ATM_Conf!$C$5*(T73-S73)/(T261*AN261)</f>
        <v>#DIV/0!</v>
      </c>
      <c r="AO74" s="53" t="e">
        <f>AO73+ATM_Conf!$C$5*(U73-T73)/(U261*AO261)</f>
        <v>#DIV/0!</v>
      </c>
      <c r="AP74" s="43" t="e">
        <f>AP73+(ATM_Conf!$C$5/ATM_Conf!$C$8)*(BJ74*EXP(-(1/CX74)*(V74/CD74)^CX74)-AP73)-(ATM_Conf!$C$5*ATM_Conf!$C$9)/(V261*ATM_Conf!$C$8)*(Nodes!BO73-V73)/(V73+ATM_Conf!$C$10)</f>
        <v>#DIV/0!</v>
      </c>
      <c r="AQ74" s="43" t="e">
        <f>AQ73+(ATM_Conf!$C$5/ATM_Conf!$C$8)*(BK74*EXP(-(1/CY74)*(W74/CE74)^CY74)-AQ73)+(ATM_Conf!$C$5/W261)*AQ73*(AP73-AQ73)-(ATM_Conf!$C$5*ATM_Conf!$C$9)/(W261*ATM_Conf!$C$8)*(X73-W73)/(W73+ATM_Conf!$C$10)</f>
        <v>#DIV/0!</v>
      </c>
      <c r="AR74" s="43" t="e">
        <f>AR73+(ATM_Conf!$C$5/ATM_Conf!$C$8)*(BL74*EXP(-(1/CZ74)*(X74/CF74)^CZ74)-AR73)+(ATM_Conf!$C$5/X261)*AR73*(Nodes!BC73-AR73)-(ATM_Conf!$C$5*ATM_Conf!$C$9)/(X261*ATM_Conf!$C$8)*(Nodes!BQ73-X73)/(X73+ATM_Conf!$C$10)</f>
        <v>#DIV/0!</v>
      </c>
      <c r="AS74" s="43" t="e">
        <f>AS73+(ATM_Conf!$C$5/ATM_Conf!$C$8)*(BM74*EXP(-(1/DA74)*(Y74/CG74)^DA74)-AS73)+(ATM_Conf!$C$5/Y261)*AS73*(AR73-AS73)-(ATM_Conf!$C$5*ATM_Conf!$C$9)/(Y261*ATM_Conf!$C$8)*(Z73-Y73)/(Y73+ATM_Conf!$C$10)</f>
        <v>#DIV/0!</v>
      </c>
      <c r="AT74" s="43" t="e">
        <f>AT73+(ATM_Conf!$C$5/ATM_Conf!$C$8)*(BN74*EXP(-(1/DB74)*(Z74/CH74)^DB74)-AT73)+(ATM_Conf!$C$5/Z261)*AT73*(Nodes!BE73-AT73)-(ATM_Conf!$C$5*ATM_Conf!$C$9)/(Z261*ATM_Conf!$C$8)*(Nodes!BS73-Z73)/(Z73+ATM_Conf!$C$10)</f>
        <v>#DIV/0!</v>
      </c>
      <c r="AU74" s="43" t="e">
        <f>AU73+(ATM_Conf!$C$5/ATM_Conf!$C$8)*(BO74*EXP(-(1/DC74)*(AA74/CI74)^DC74)-AU73)+(ATM_Conf!$C$5/AA261)*AU73*(Nodes!BF73-AU73)-(ATM_Conf!$C$5*ATM_Conf!$C$9)/(AA261*ATM_Conf!$C$8)*(Nodes!BV73-AA73)/(AA73+ATM_Conf!$C$10)</f>
        <v>#DIV/0!</v>
      </c>
      <c r="AV74" s="43" t="e">
        <f>AV73+(ATM_Conf!$C$5/ATM_Conf!$C$8)*(BP74*EXP(-(1/DD74)*(AB74/CJ74)^DD74)-AV73)+(ATM_Conf!$C$5/AB261)*AV73*(AU73-AV73)-(ATM_Conf!$C$5*ATM_Conf!$C$9)/(AB261*ATM_Conf!$C$8)*(AC73-AB73)/(AB73+ATM_Conf!$C$10)</f>
        <v>#DIV/0!</v>
      </c>
      <c r="AW74" s="43" t="e">
        <f>AW73+(ATM_Conf!$C$5/ATM_Conf!$C$8)*(BQ74*EXP(-(1/DE74)*(AC74/CK74)^DE74)-AW73)+(ATM_Conf!$C$5/AC261)*AW73*(AV73-AW73)-(ATM_Conf!$C$5*ATM_Conf!$C$9)/(AC261*ATM_Conf!$C$8)*(AD73-AC73)/(AC73+ATM_Conf!$C$10)</f>
        <v>#DIV/0!</v>
      </c>
      <c r="AX74" s="43" t="e">
        <f>AX73+(ATM_Conf!$C$5/ATM_Conf!$C$8)*(BR74*EXP(-(1/DF74)*(AD74/CL74)^DF74)-AX73)+(ATM_Conf!$C$5/AD261)*AX73*(Nodes!BG73-AX73)-(ATM_Conf!$C$5*ATM_Conf!$C$9)/(AD261*ATM_Conf!$C$8)*(Nodes!BU73-AD73)/(AD73+ATM_Conf!$C$10)</f>
        <v>#DIV/0!</v>
      </c>
      <c r="AY74" s="43" t="e">
        <f>AY73+(ATM_Conf!$C$5/ATM_Conf!$C$8)*(BS74*EXP(-(1/DG74)*(AE74/CM74)^DG74)-AY73)+(ATM_Conf!$C$5/AE261)*AY73*(Nodes!BF73-AY73)</f>
        <v>#DIV/0!</v>
      </c>
      <c r="AZ74" s="43" t="e">
        <f>AZ73+(ATM_Conf!$C$5/ATM_Conf!$C$8)*(BT74*EXP(-(1/DH74)*(AF74/CN74)^DH74)-AZ73)-(ATM_Conf!$C$5*ATM_Conf!$C$9)/(AF261*ATM_Conf!$C$8)*(Nodes!BV73-AF73)/(AF73+ATM_Conf!$C$10)</f>
        <v>#DIV/0!</v>
      </c>
      <c r="BA74" s="43" t="e">
        <f>BA73+(ATM_Conf!$C$5/ATM_Conf!$C$8)*(BU74*EXP(-(1/DI74)*(AG74/CO74)^DI74)-BA73)+(ATM_Conf!$C$5/AG261)*BA73*(Nodes!BI73-BA73)-(ATM_Conf!$C$5*ATM_Conf!$C$9)/(AG261*ATM_Conf!$C$8)*(Nodes!BW73-AG73)/(AG73+ATM_Conf!$C$10)</f>
        <v>#DIV/0!</v>
      </c>
      <c r="BB74" s="43" t="e">
        <f>BB73+(ATM_Conf!$C$5/ATM_Conf!$C$8)*(BV74*EXP(-(1/DJ74)*(AH74/CP74)^DJ74)-BB73)+(ATM_Conf!$C$5/AH261)*BB73*(Nodes!BJ73-BB73)-(ATM_Conf!$C$5*ATM_Conf!$C$9)/(AH261*ATM_Conf!$C$8)*(AI73-AH73)/(AH73+ATM_Conf!$C$10)</f>
        <v>#DIV/0!</v>
      </c>
      <c r="BC74" s="43" t="e">
        <f>BC73+(ATM_Conf!$C$5/ATM_Conf!$C$8)*(BW74*EXP(-(1/DK74)*(AI74/CQ74)^DK74)-BC73)+(ATM_Conf!$C$5/AI261)*BC73*(BB73-BC73)-(ATM_Conf!$C$5*ATM_Conf!$C$9)/(AI261*ATM_Conf!$C$8)*(AJ73-AI73)/(AI73+ATM_Conf!$C$10)</f>
        <v>#DIV/0!</v>
      </c>
      <c r="BD74" s="43" t="e">
        <f>BD73+(ATM_Conf!$C$5/ATM_Conf!$C$8)*(BX74*EXP(-(1/DL74)*(AJ74/CR74)^DL74)-BD73)+(ATM_Conf!$C$5/AJ261)*BD73*(BC73-BD73)-(ATM_Conf!$C$5*ATM_Conf!$C$9)/(AJ261*ATM_Conf!$C$8)*(Nodes!BX73-AJ73)/(AJ73+ATM_Conf!$C$10)</f>
        <v>#DIV/0!</v>
      </c>
      <c r="BE74" s="43" t="e">
        <f>BE73+(ATM_Conf!$C$5/ATM_Conf!$C$8)*(BY74*EXP(-(1/DM74)*(AK74/CS74)^DM74)-BE73)+(ATM_Conf!$C$5/AK261)*BE73*(Nodes!BK73-BE73)-(ATM_Conf!$C$5*ATM_Conf!$C$9)/(AK261*ATM_Conf!$C$8)*(Nodes!BY73-AK73)/(AK73+ATM_Conf!$C$10)</f>
        <v>#DIV/0!</v>
      </c>
      <c r="BF74" s="43" t="e">
        <f>BF73+(ATM_Conf!$C$5/ATM_Conf!$C$8)*(BZ74*EXP(-(1/DN74)*(AL74/CT74)^DN74)-BF73)+(ATM_Conf!$C$5/AL261)*BF73*(BE73-BF73)-(ATM_Conf!$C$5*ATM_Conf!$C$9)/(AL261*ATM_Conf!$C$8)*(AM73-AL73)/(AL73+ATM_Conf!$C$10)</f>
        <v>#DIV/0!</v>
      </c>
      <c r="BG74" s="43" t="e">
        <f>BG73+(ATM_Conf!$C$5/ATM_Conf!$C$8)*(CA74*EXP(-(1/DO74)*(AM74/CU74)^DO74)-BG73)+(ATM_Conf!$C$5/AM261)*BG73*(Nodes!BM73-BG73)-(ATM_Conf!$C$5*ATM_Conf!$C$9)/(AM261*ATM_Conf!$C$8)*(Nodes!CA73-AM73)/(AM73+ATM_Conf!$C$10)</f>
        <v>#DIV/0!</v>
      </c>
      <c r="BH74" s="43" t="e">
        <f>BH73+(ATM_Conf!$C$5/ATM_Conf!$C$8)*(CB74*EXP(-(1/DP74)*(AN74/CV74)^DP74)-BH73)+(ATM_Conf!$C$5/AN261)*BH73*(BG73-BH73)-(ATM_Conf!$C$5*ATM_Conf!$C$9)/(AN261*ATM_Conf!$C$8)*(AO73-AN73)/(AN73+ATM_Conf!$C$10)</f>
        <v>#DIV/0!</v>
      </c>
      <c r="BI74" s="43" t="e">
        <f>BI73+(ATM_Conf!$C$5/ATM_Conf!$C$8)*(CC74*EXP(-(1/DQ74)*(AO74/CW74)^DQ74)-BI73)+(ATM_Conf!$C$5/AO261)*BI73*(BH73-BI73)</f>
        <v>#DIV/0!</v>
      </c>
      <c r="BJ74" s="53"/>
      <c r="BK74" s="53"/>
      <c r="BL74" s="53"/>
      <c r="BM74" s="53"/>
      <c r="BN74" s="53"/>
      <c r="BO74" s="53"/>
      <c r="BP74" s="53"/>
      <c r="BQ74" s="53"/>
      <c r="BR74" s="53"/>
      <c r="BS74" s="53"/>
      <c r="BT74" s="53"/>
      <c r="BU74" s="53"/>
      <c r="BV74" s="53"/>
      <c r="BW74" s="53"/>
      <c r="BX74" s="53"/>
      <c r="BY74" s="53"/>
      <c r="BZ74" s="53"/>
      <c r="CA74" s="53"/>
      <c r="CB74" s="53"/>
      <c r="CC74" s="5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53"/>
      <c r="CY74" s="53"/>
      <c r="CZ74" s="53"/>
      <c r="DA74" s="53"/>
      <c r="DB74" s="53"/>
      <c r="DC74" s="53"/>
      <c r="DD74" s="53"/>
      <c r="DE74" s="53"/>
      <c r="DF74" s="53"/>
      <c r="DG74" s="53"/>
      <c r="DH74" s="53"/>
      <c r="DI74" s="53"/>
      <c r="DJ74" s="53"/>
      <c r="DK74" s="53"/>
      <c r="DL74" s="53"/>
      <c r="DM74" s="53"/>
      <c r="DN74" s="53"/>
      <c r="DO74" s="53"/>
      <c r="DP74" s="53"/>
      <c r="DQ74" s="53"/>
      <c r="DR74" s="43">
        <f t="shared" si="38"/>
        <v>0</v>
      </c>
      <c r="DS74" s="43">
        <f t="shared" si="37"/>
        <v>0</v>
      </c>
      <c r="DT74" s="43">
        <f t="shared" si="37"/>
        <v>0</v>
      </c>
      <c r="DU74" s="43">
        <f t="shared" si="37"/>
        <v>0</v>
      </c>
      <c r="DV74" s="43">
        <f t="shared" si="37"/>
        <v>0</v>
      </c>
      <c r="DW74" s="43">
        <f t="shared" si="37"/>
        <v>0</v>
      </c>
      <c r="DX74" s="43">
        <f t="shared" si="37"/>
        <v>0</v>
      </c>
      <c r="DY74" s="43">
        <f t="shared" si="37"/>
        <v>0</v>
      </c>
      <c r="DZ74" s="43">
        <f t="shared" si="37"/>
        <v>0</v>
      </c>
      <c r="EA74" s="43">
        <f t="shared" si="37"/>
        <v>0</v>
      </c>
      <c r="EB74" s="43">
        <f t="shared" si="37"/>
        <v>0</v>
      </c>
      <c r="EC74" s="43">
        <f t="shared" si="37"/>
        <v>0</v>
      </c>
      <c r="ED74" s="43">
        <f t="shared" si="37"/>
        <v>0</v>
      </c>
      <c r="EE74" s="43">
        <f t="shared" si="37"/>
        <v>0</v>
      </c>
      <c r="EF74" s="43">
        <f t="shared" si="37"/>
        <v>0</v>
      </c>
      <c r="EG74" s="43">
        <f t="shared" si="37"/>
        <v>0</v>
      </c>
      <c r="EH74" s="43">
        <f t="shared" si="37"/>
        <v>0</v>
      </c>
      <c r="EI74" s="43">
        <f t="shared" si="37"/>
        <v>0</v>
      </c>
      <c r="EJ74" s="43">
        <f t="shared" si="37"/>
        <v>0</v>
      </c>
      <c r="EK74" s="43">
        <f t="shared" si="37"/>
        <v>0</v>
      </c>
      <c r="EL74" s="47"/>
      <c r="EM74" s="47"/>
      <c r="EN74" s="47"/>
      <c r="EO74" s="47"/>
      <c r="EP74" s="47"/>
      <c r="EQ74" s="47"/>
      <c r="ER74" s="47"/>
      <c r="ES74" s="47"/>
      <c r="ET74" s="47"/>
      <c r="EU74" s="47"/>
      <c r="EV74" s="47"/>
      <c r="EW74" s="47"/>
      <c r="EX74" s="47"/>
      <c r="EY74" s="47"/>
      <c r="EZ74" s="47"/>
      <c r="FA74" s="47"/>
      <c r="FB74" s="47"/>
      <c r="FC74" s="47"/>
      <c r="FD74" s="47"/>
      <c r="FE74" s="47"/>
    </row>
    <row r="75" spans="1:161" ht="14.25" x14ac:dyDescent="0.15">
      <c r="A75" s="46"/>
      <c r="B75" s="43" t="e">
        <f t="shared" si="39"/>
        <v>#DIV/0!</v>
      </c>
      <c r="C75" s="43" t="e">
        <f t="shared" si="40"/>
        <v>#DIV/0!</v>
      </c>
      <c r="D75" s="43" t="e">
        <f t="shared" si="41"/>
        <v>#DIV/0!</v>
      </c>
      <c r="E75" s="43" t="e">
        <f t="shared" si="42"/>
        <v>#DIV/0!</v>
      </c>
      <c r="F75" s="43" t="e">
        <f t="shared" si="43"/>
        <v>#DIV/0!</v>
      </c>
      <c r="G75" s="43" t="e">
        <f t="shared" si="44"/>
        <v>#DIV/0!</v>
      </c>
      <c r="H75" s="43" t="e">
        <f t="shared" si="45"/>
        <v>#DIV/0!</v>
      </c>
      <c r="I75" s="43" t="e">
        <f t="shared" si="46"/>
        <v>#DIV/0!</v>
      </c>
      <c r="J75" s="43" t="e">
        <f t="shared" si="47"/>
        <v>#DIV/0!</v>
      </c>
      <c r="K75" s="43" t="e">
        <f t="shared" si="48"/>
        <v>#DIV/0!</v>
      </c>
      <c r="L75" s="43" t="e">
        <f t="shared" si="49"/>
        <v>#DIV/0!</v>
      </c>
      <c r="M75" s="43" t="e">
        <f t="shared" si="50"/>
        <v>#DIV/0!</v>
      </c>
      <c r="N75" s="43" t="e">
        <f t="shared" si="51"/>
        <v>#DIV/0!</v>
      </c>
      <c r="O75" s="43" t="e">
        <f t="shared" si="52"/>
        <v>#DIV/0!</v>
      </c>
      <c r="P75" s="43" t="e">
        <f t="shared" si="53"/>
        <v>#DIV/0!</v>
      </c>
      <c r="Q75" s="43" t="e">
        <f t="shared" si="54"/>
        <v>#DIV/0!</v>
      </c>
      <c r="R75" s="43" t="e">
        <f t="shared" si="55"/>
        <v>#DIV/0!</v>
      </c>
      <c r="S75" s="43" t="e">
        <f t="shared" si="56"/>
        <v>#DIV/0!</v>
      </c>
      <c r="T75" s="43" t="e">
        <f t="shared" si="57"/>
        <v>#DIV/0!</v>
      </c>
      <c r="U75" s="43" t="e">
        <f t="shared" si="58"/>
        <v>#DIV/0!</v>
      </c>
      <c r="V75" s="53" t="e">
        <f>V74+ATM_Conf!$C$5*(B74)/(B262*V262)</f>
        <v>#DIV/0!</v>
      </c>
      <c r="W75" s="53" t="e">
        <f>W74+ATM_Conf!$C$5*(C74-B74)/(C262*W262)</f>
        <v>#DIV/0!</v>
      </c>
      <c r="X75" s="53" t="e">
        <f>X74+ATM_Conf!$C$5*(D74-C74)/(D262*X262)</f>
        <v>#DIV/0!</v>
      </c>
      <c r="Y75" s="53" t="e">
        <f>Y74+ATM_Conf!$C$5*(E74-D74)/(E262*Y262)</f>
        <v>#DIV/0!</v>
      </c>
      <c r="Z75" s="53" t="e">
        <f>Z74+ATM_Conf!$C$5*(F74-E74)/(F262*Z262)</f>
        <v>#DIV/0!</v>
      </c>
      <c r="AA75" s="53" t="e">
        <f>AA74+ATM_Conf!$C$5*(G74-F74)/(G262*AA262)</f>
        <v>#DIV/0!</v>
      </c>
      <c r="AB75" s="53" t="e">
        <f>AB74+ATM_Conf!$C$5*(H74-G74)/(H262*AB262)</f>
        <v>#DIV/0!</v>
      </c>
      <c r="AC75" s="53" t="e">
        <f>AC74+ATM_Conf!$C$5*(I74-H74)/(I262*AC262)</f>
        <v>#DIV/0!</v>
      </c>
      <c r="AD75" s="53" t="e">
        <f>AD74+ATM_Conf!$C$5*(J74-I74)/(J262*AD262)</f>
        <v>#DIV/0!</v>
      </c>
      <c r="AE75" s="53" t="e">
        <f>AE74+ATM_Conf!$C$5*(K74-J74)/(K262*AE262)</f>
        <v>#DIV/0!</v>
      </c>
      <c r="AF75" s="53" t="e">
        <f>AF74+ATM_Conf!$C$5*(L74)/(L262*AF262)</f>
        <v>#DIV/0!</v>
      </c>
      <c r="AG75" s="53" t="e">
        <f>AG74+ATM_Conf!$C$5*(M74-L74)/(M262*AG262)</f>
        <v>#DIV/0!</v>
      </c>
      <c r="AH75" s="53" t="e">
        <f>AH74+ATM_Conf!$C$5*(N74-M74)/(N262*AH262)</f>
        <v>#DIV/0!</v>
      </c>
      <c r="AI75" s="53" t="e">
        <f>AI74+ATM_Conf!$C$5*(O74-N74)/(O262*AI262)</f>
        <v>#DIV/0!</v>
      </c>
      <c r="AJ75" s="53" t="e">
        <f>AJ74+ATM_Conf!$C$5*(P74-O74)/(P262*AJ262)</f>
        <v>#DIV/0!</v>
      </c>
      <c r="AK75" s="53" t="e">
        <f>AK74+ATM_Conf!$C$5*(Q74-P74)/(Q262*AK262)</f>
        <v>#DIV/0!</v>
      </c>
      <c r="AL75" s="53" t="e">
        <f>AL74+ATM_Conf!$C$5*(R74-Q74)/(R262*AL262)</f>
        <v>#DIV/0!</v>
      </c>
      <c r="AM75" s="53" t="e">
        <f>AM74+ATM_Conf!$C$5*(S74-R74)/(S262*AM262)</f>
        <v>#DIV/0!</v>
      </c>
      <c r="AN75" s="53" t="e">
        <f>AN74+ATM_Conf!$C$5*(T74-S74)/(T262*AN262)</f>
        <v>#DIV/0!</v>
      </c>
      <c r="AO75" s="53" t="e">
        <f>AO74+ATM_Conf!$C$5*(U74-T74)/(U262*AO262)</f>
        <v>#DIV/0!</v>
      </c>
      <c r="AP75" s="43" t="e">
        <f>AP74+(ATM_Conf!$C$5/ATM_Conf!$C$8)*(BJ75*EXP(-(1/CX75)*(V75/CD75)^CX75)-AP74)-(ATM_Conf!$C$5*ATM_Conf!$C$9)/(V262*ATM_Conf!$C$8)*(Nodes!BO74-V74)/(V74+ATM_Conf!$C$10)</f>
        <v>#DIV/0!</v>
      </c>
      <c r="AQ75" s="43" t="e">
        <f>AQ74+(ATM_Conf!$C$5/ATM_Conf!$C$8)*(BK75*EXP(-(1/CY75)*(W75/CE75)^CY75)-AQ74)+(ATM_Conf!$C$5/W262)*AQ74*(AP74-AQ74)-(ATM_Conf!$C$5*ATM_Conf!$C$9)/(W262*ATM_Conf!$C$8)*(X74-W74)/(W74+ATM_Conf!$C$10)</f>
        <v>#DIV/0!</v>
      </c>
      <c r="AR75" s="43" t="e">
        <f>AR74+(ATM_Conf!$C$5/ATM_Conf!$C$8)*(BL75*EXP(-(1/CZ75)*(X75/CF75)^CZ75)-AR74)+(ATM_Conf!$C$5/X262)*AR74*(Nodes!BC74-AR74)-(ATM_Conf!$C$5*ATM_Conf!$C$9)/(X262*ATM_Conf!$C$8)*(Nodes!BQ74-X74)/(X74+ATM_Conf!$C$10)</f>
        <v>#DIV/0!</v>
      </c>
      <c r="AS75" s="43" t="e">
        <f>AS74+(ATM_Conf!$C$5/ATM_Conf!$C$8)*(BM75*EXP(-(1/DA75)*(Y75/CG75)^DA75)-AS74)+(ATM_Conf!$C$5/Y262)*AS74*(AR74-AS74)-(ATM_Conf!$C$5*ATM_Conf!$C$9)/(Y262*ATM_Conf!$C$8)*(Z74-Y74)/(Y74+ATM_Conf!$C$10)</f>
        <v>#DIV/0!</v>
      </c>
      <c r="AT75" s="43" t="e">
        <f>AT74+(ATM_Conf!$C$5/ATM_Conf!$C$8)*(BN75*EXP(-(1/DB75)*(Z75/CH75)^DB75)-AT74)+(ATM_Conf!$C$5/Z262)*AT74*(Nodes!BE74-AT74)-(ATM_Conf!$C$5*ATM_Conf!$C$9)/(Z262*ATM_Conf!$C$8)*(Nodes!BS74-Z74)/(Z74+ATM_Conf!$C$10)</f>
        <v>#DIV/0!</v>
      </c>
      <c r="AU75" s="43" t="e">
        <f>AU74+(ATM_Conf!$C$5/ATM_Conf!$C$8)*(BO75*EXP(-(1/DC75)*(AA75/CI75)^DC75)-AU74)+(ATM_Conf!$C$5/AA262)*AU74*(Nodes!BF74-AU74)-(ATM_Conf!$C$5*ATM_Conf!$C$9)/(AA262*ATM_Conf!$C$8)*(Nodes!BV74-AA74)/(AA74+ATM_Conf!$C$10)</f>
        <v>#DIV/0!</v>
      </c>
      <c r="AV75" s="43" t="e">
        <f>AV74+(ATM_Conf!$C$5/ATM_Conf!$C$8)*(BP75*EXP(-(1/DD75)*(AB75/CJ75)^DD75)-AV74)+(ATM_Conf!$C$5/AB262)*AV74*(AU74-AV74)-(ATM_Conf!$C$5*ATM_Conf!$C$9)/(AB262*ATM_Conf!$C$8)*(AC74-AB74)/(AB74+ATM_Conf!$C$10)</f>
        <v>#DIV/0!</v>
      </c>
      <c r="AW75" s="43" t="e">
        <f>AW74+(ATM_Conf!$C$5/ATM_Conf!$C$8)*(BQ75*EXP(-(1/DE75)*(AC75/CK75)^DE75)-AW74)+(ATM_Conf!$C$5/AC262)*AW74*(AV74-AW74)-(ATM_Conf!$C$5*ATM_Conf!$C$9)/(AC262*ATM_Conf!$C$8)*(AD74-AC74)/(AC74+ATM_Conf!$C$10)</f>
        <v>#DIV/0!</v>
      </c>
      <c r="AX75" s="43" t="e">
        <f>AX74+(ATM_Conf!$C$5/ATM_Conf!$C$8)*(BR75*EXP(-(1/DF75)*(AD75/CL75)^DF75)-AX74)+(ATM_Conf!$C$5/AD262)*AX74*(Nodes!BG74-AX74)-(ATM_Conf!$C$5*ATM_Conf!$C$9)/(AD262*ATM_Conf!$C$8)*(Nodes!BU74-AD74)/(AD74+ATM_Conf!$C$10)</f>
        <v>#DIV/0!</v>
      </c>
      <c r="AY75" s="43" t="e">
        <f>AY74+(ATM_Conf!$C$5/ATM_Conf!$C$8)*(BS75*EXP(-(1/DG75)*(AE75/CM75)^DG75)-AY74)+(ATM_Conf!$C$5/AE262)*AY74*(Nodes!BF74-AY74)</f>
        <v>#DIV/0!</v>
      </c>
      <c r="AZ75" s="43" t="e">
        <f>AZ74+(ATM_Conf!$C$5/ATM_Conf!$C$8)*(BT75*EXP(-(1/DH75)*(AF75/CN75)^DH75)-AZ74)-(ATM_Conf!$C$5*ATM_Conf!$C$9)/(AF262*ATM_Conf!$C$8)*(Nodes!BV74-AF74)/(AF74+ATM_Conf!$C$10)</f>
        <v>#DIV/0!</v>
      </c>
      <c r="BA75" s="43" t="e">
        <f>BA74+(ATM_Conf!$C$5/ATM_Conf!$C$8)*(BU75*EXP(-(1/DI75)*(AG75/CO75)^DI75)-BA74)+(ATM_Conf!$C$5/AG262)*BA74*(Nodes!BI74-BA74)-(ATM_Conf!$C$5*ATM_Conf!$C$9)/(AG262*ATM_Conf!$C$8)*(Nodes!BW74-AG74)/(AG74+ATM_Conf!$C$10)</f>
        <v>#DIV/0!</v>
      </c>
      <c r="BB75" s="43" t="e">
        <f>BB74+(ATM_Conf!$C$5/ATM_Conf!$C$8)*(BV75*EXP(-(1/DJ75)*(AH75/CP75)^DJ75)-BB74)+(ATM_Conf!$C$5/AH262)*BB74*(Nodes!BJ74-BB74)-(ATM_Conf!$C$5*ATM_Conf!$C$9)/(AH262*ATM_Conf!$C$8)*(AI74-AH74)/(AH74+ATM_Conf!$C$10)</f>
        <v>#DIV/0!</v>
      </c>
      <c r="BC75" s="43" t="e">
        <f>BC74+(ATM_Conf!$C$5/ATM_Conf!$C$8)*(BW75*EXP(-(1/DK75)*(AI75/CQ75)^DK75)-BC74)+(ATM_Conf!$C$5/AI262)*BC74*(BB74-BC74)-(ATM_Conf!$C$5*ATM_Conf!$C$9)/(AI262*ATM_Conf!$C$8)*(AJ74-AI74)/(AI74+ATM_Conf!$C$10)</f>
        <v>#DIV/0!</v>
      </c>
      <c r="BD75" s="43" t="e">
        <f>BD74+(ATM_Conf!$C$5/ATM_Conf!$C$8)*(BX75*EXP(-(1/DL75)*(AJ75/CR75)^DL75)-BD74)+(ATM_Conf!$C$5/AJ262)*BD74*(BC74-BD74)-(ATM_Conf!$C$5*ATM_Conf!$C$9)/(AJ262*ATM_Conf!$C$8)*(Nodes!BX74-AJ74)/(AJ74+ATM_Conf!$C$10)</f>
        <v>#DIV/0!</v>
      </c>
      <c r="BE75" s="43" t="e">
        <f>BE74+(ATM_Conf!$C$5/ATM_Conf!$C$8)*(BY75*EXP(-(1/DM75)*(AK75/CS75)^DM75)-BE74)+(ATM_Conf!$C$5/AK262)*BE74*(Nodes!BK74-BE74)-(ATM_Conf!$C$5*ATM_Conf!$C$9)/(AK262*ATM_Conf!$C$8)*(Nodes!BY74-AK74)/(AK74+ATM_Conf!$C$10)</f>
        <v>#DIV/0!</v>
      </c>
      <c r="BF75" s="43" t="e">
        <f>BF74+(ATM_Conf!$C$5/ATM_Conf!$C$8)*(BZ75*EXP(-(1/DN75)*(AL75/CT75)^DN75)-BF74)+(ATM_Conf!$C$5/AL262)*BF74*(BE74-BF74)-(ATM_Conf!$C$5*ATM_Conf!$C$9)/(AL262*ATM_Conf!$C$8)*(AM74-AL74)/(AL74+ATM_Conf!$C$10)</f>
        <v>#DIV/0!</v>
      </c>
      <c r="BG75" s="43" t="e">
        <f>BG74+(ATM_Conf!$C$5/ATM_Conf!$C$8)*(CA75*EXP(-(1/DO75)*(AM75/CU75)^DO75)-BG74)+(ATM_Conf!$C$5/AM262)*BG74*(Nodes!BM74-BG74)-(ATM_Conf!$C$5*ATM_Conf!$C$9)/(AM262*ATM_Conf!$C$8)*(Nodes!CA74-AM74)/(AM74+ATM_Conf!$C$10)</f>
        <v>#DIV/0!</v>
      </c>
      <c r="BH75" s="43" t="e">
        <f>BH74+(ATM_Conf!$C$5/ATM_Conf!$C$8)*(CB75*EXP(-(1/DP75)*(AN75/CV75)^DP75)-BH74)+(ATM_Conf!$C$5/AN262)*BH74*(BG74-BH74)-(ATM_Conf!$C$5*ATM_Conf!$C$9)/(AN262*ATM_Conf!$C$8)*(AO74-AN74)/(AN74+ATM_Conf!$C$10)</f>
        <v>#DIV/0!</v>
      </c>
      <c r="BI75" s="43" t="e">
        <f>BI74+(ATM_Conf!$C$5/ATM_Conf!$C$8)*(CC75*EXP(-(1/DQ75)*(AO75/CW75)^DQ75)-BI74)+(ATM_Conf!$C$5/AO262)*BI74*(BH74-BI74)</f>
        <v>#DIV/0!</v>
      </c>
      <c r="BJ75" s="53"/>
      <c r="BK75" s="53"/>
      <c r="BL75" s="53"/>
      <c r="BM75" s="53"/>
      <c r="BN75" s="53"/>
      <c r="BO75" s="53"/>
      <c r="BP75" s="53"/>
      <c r="BQ75" s="53"/>
      <c r="BR75" s="53"/>
      <c r="BS75" s="53"/>
      <c r="BT75" s="53"/>
      <c r="BU75" s="53"/>
      <c r="BV75" s="53"/>
      <c r="BW75" s="53"/>
      <c r="BX75" s="53"/>
      <c r="BY75" s="53"/>
      <c r="BZ75" s="53"/>
      <c r="CA75" s="53"/>
      <c r="CB75" s="53"/>
      <c r="CC75" s="5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53"/>
      <c r="CY75" s="53"/>
      <c r="CZ75" s="53"/>
      <c r="DA75" s="53"/>
      <c r="DB75" s="53"/>
      <c r="DC75" s="53"/>
      <c r="DD75" s="53"/>
      <c r="DE75" s="53"/>
      <c r="DF75" s="53"/>
      <c r="DG75" s="53"/>
      <c r="DH75" s="53"/>
      <c r="DI75" s="53"/>
      <c r="DJ75" s="53"/>
      <c r="DK75" s="53"/>
      <c r="DL75" s="53"/>
      <c r="DM75" s="53"/>
      <c r="DN75" s="53"/>
      <c r="DO75" s="53"/>
      <c r="DP75" s="53"/>
      <c r="DQ75" s="53"/>
      <c r="DR75" s="62"/>
      <c r="DS75" s="62"/>
      <c r="DT75" s="62"/>
      <c r="DU75" s="62"/>
      <c r="DV75" s="62"/>
      <c r="DW75" s="62"/>
      <c r="DX75" s="62"/>
      <c r="DY75" s="62"/>
      <c r="DZ75" s="62"/>
      <c r="EA75" s="62"/>
      <c r="EB75" s="62"/>
      <c r="EC75" s="62"/>
      <c r="ED75" s="62"/>
      <c r="EE75" s="62"/>
      <c r="EF75" s="62"/>
      <c r="EG75" s="62"/>
      <c r="EH75" s="62"/>
      <c r="EI75" s="62"/>
      <c r="EJ75" s="62"/>
      <c r="EK75" s="62"/>
      <c r="EL75" s="47">
        <f>(DR75-DR63)^2</f>
        <v>0</v>
      </c>
      <c r="EM75" s="47">
        <f t="shared" ref="EM75:FE75" si="59">(DS75-DS63)^2</f>
        <v>0</v>
      </c>
      <c r="EN75" s="47">
        <f t="shared" si="59"/>
        <v>0</v>
      </c>
      <c r="EO75" s="47">
        <f t="shared" si="59"/>
        <v>0</v>
      </c>
      <c r="EP75" s="47">
        <f t="shared" si="59"/>
        <v>0</v>
      </c>
      <c r="EQ75" s="47">
        <f t="shared" si="59"/>
        <v>0</v>
      </c>
      <c r="ER75" s="47">
        <f t="shared" si="59"/>
        <v>0</v>
      </c>
      <c r="ES75" s="47">
        <f t="shared" si="59"/>
        <v>0</v>
      </c>
      <c r="ET75" s="47">
        <f t="shared" si="59"/>
        <v>0</v>
      </c>
      <c r="EU75" s="47">
        <f t="shared" si="59"/>
        <v>0</v>
      </c>
      <c r="EV75" s="47">
        <f t="shared" si="59"/>
        <v>0</v>
      </c>
      <c r="EW75" s="47">
        <f t="shared" si="59"/>
        <v>0</v>
      </c>
      <c r="EX75" s="47">
        <f t="shared" si="59"/>
        <v>0</v>
      </c>
      <c r="EY75" s="47">
        <f t="shared" si="59"/>
        <v>0</v>
      </c>
      <c r="EZ75" s="47">
        <f t="shared" si="59"/>
        <v>0</v>
      </c>
      <c r="FA75" s="47">
        <f t="shared" si="59"/>
        <v>0</v>
      </c>
      <c r="FB75" s="47">
        <f t="shared" si="59"/>
        <v>0</v>
      </c>
      <c r="FC75" s="47">
        <f t="shared" si="59"/>
        <v>0</v>
      </c>
      <c r="FD75" s="47">
        <f t="shared" si="59"/>
        <v>0</v>
      </c>
      <c r="FE75" s="47">
        <f t="shared" si="59"/>
        <v>0</v>
      </c>
    </row>
    <row r="76" spans="1:161" ht="14.25" x14ac:dyDescent="0.15">
      <c r="A76" s="46"/>
      <c r="B76" s="43" t="e">
        <f t="shared" si="39"/>
        <v>#DIV/0!</v>
      </c>
      <c r="C76" s="43" t="e">
        <f t="shared" si="40"/>
        <v>#DIV/0!</v>
      </c>
      <c r="D76" s="43" t="e">
        <f t="shared" si="41"/>
        <v>#DIV/0!</v>
      </c>
      <c r="E76" s="43" t="e">
        <f t="shared" si="42"/>
        <v>#DIV/0!</v>
      </c>
      <c r="F76" s="43" t="e">
        <f t="shared" si="43"/>
        <v>#DIV/0!</v>
      </c>
      <c r="G76" s="43" t="e">
        <f t="shared" si="44"/>
        <v>#DIV/0!</v>
      </c>
      <c r="H76" s="43" t="e">
        <f t="shared" si="45"/>
        <v>#DIV/0!</v>
      </c>
      <c r="I76" s="43" t="e">
        <f t="shared" si="46"/>
        <v>#DIV/0!</v>
      </c>
      <c r="J76" s="43" t="e">
        <f t="shared" si="47"/>
        <v>#DIV/0!</v>
      </c>
      <c r="K76" s="43" t="e">
        <f t="shared" si="48"/>
        <v>#DIV/0!</v>
      </c>
      <c r="L76" s="43" t="e">
        <f t="shared" si="49"/>
        <v>#DIV/0!</v>
      </c>
      <c r="M76" s="43" t="e">
        <f t="shared" si="50"/>
        <v>#DIV/0!</v>
      </c>
      <c r="N76" s="43" t="e">
        <f t="shared" si="51"/>
        <v>#DIV/0!</v>
      </c>
      <c r="O76" s="43" t="e">
        <f t="shared" si="52"/>
        <v>#DIV/0!</v>
      </c>
      <c r="P76" s="43" t="e">
        <f t="shared" si="53"/>
        <v>#DIV/0!</v>
      </c>
      <c r="Q76" s="43" t="e">
        <f t="shared" si="54"/>
        <v>#DIV/0!</v>
      </c>
      <c r="R76" s="43" t="e">
        <f t="shared" si="55"/>
        <v>#DIV/0!</v>
      </c>
      <c r="S76" s="43" t="e">
        <f t="shared" si="56"/>
        <v>#DIV/0!</v>
      </c>
      <c r="T76" s="43" t="e">
        <f t="shared" si="57"/>
        <v>#DIV/0!</v>
      </c>
      <c r="U76" s="43" t="e">
        <f t="shared" si="58"/>
        <v>#DIV/0!</v>
      </c>
      <c r="V76" s="53" t="e">
        <f>V75+ATM_Conf!$C$5*(B75)/(B263*V263)</f>
        <v>#DIV/0!</v>
      </c>
      <c r="W76" s="53" t="e">
        <f>W75+ATM_Conf!$C$5*(C75-B75)/(C263*W263)</f>
        <v>#DIV/0!</v>
      </c>
      <c r="X76" s="53" t="e">
        <f>X75+ATM_Conf!$C$5*(D75-C75)/(D263*X263)</f>
        <v>#DIV/0!</v>
      </c>
      <c r="Y76" s="53" t="e">
        <f>Y75+ATM_Conf!$C$5*(E75-D75)/(E263*Y263)</f>
        <v>#DIV/0!</v>
      </c>
      <c r="Z76" s="53" t="e">
        <f>Z75+ATM_Conf!$C$5*(F75-E75)/(F263*Z263)</f>
        <v>#DIV/0!</v>
      </c>
      <c r="AA76" s="53" t="e">
        <f>AA75+ATM_Conf!$C$5*(G75-F75)/(G263*AA263)</f>
        <v>#DIV/0!</v>
      </c>
      <c r="AB76" s="53" t="e">
        <f>AB75+ATM_Conf!$C$5*(H75-G75)/(H263*AB263)</f>
        <v>#DIV/0!</v>
      </c>
      <c r="AC76" s="53" t="e">
        <f>AC75+ATM_Conf!$C$5*(I75-H75)/(I263*AC263)</f>
        <v>#DIV/0!</v>
      </c>
      <c r="AD76" s="53" t="e">
        <f>AD75+ATM_Conf!$C$5*(J75-I75)/(J263*AD263)</f>
        <v>#DIV/0!</v>
      </c>
      <c r="AE76" s="53" t="e">
        <f>AE75+ATM_Conf!$C$5*(K75-J75)/(K263*AE263)</f>
        <v>#DIV/0!</v>
      </c>
      <c r="AF76" s="53" t="e">
        <f>AF75+ATM_Conf!$C$5*(L75)/(L263*AF263)</f>
        <v>#DIV/0!</v>
      </c>
      <c r="AG76" s="53" t="e">
        <f>AG75+ATM_Conf!$C$5*(M75-L75)/(M263*AG263)</f>
        <v>#DIV/0!</v>
      </c>
      <c r="AH76" s="53" t="e">
        <f>AH75+ATM_Conf!$C$5*(N75-M75)/(N263*AH263)</f>
        <v>#DIV/0!</v>
      </c>
      <c r="AI76" s="53" t="e">
        <f>AI75+ATM_Conf!$C$5*(O75-N75)/(O263*AI263)</f>
        <v>#DIV/0!</v>
      </c>
      <c r="AJ76" s="53" t="e">
        <f>AJ75+ATM_Conf!$C$5*(P75-O75)/(P263*AJ263)</f>
        <v>#DIV/0!</v>
      </c>
      <c r="AK76" s="53" t="e">
        <f>AK75+ATM_Conf!$C$5*(Q75-P75)/(Q263*AK263)</f>
        <v>#DIV/0!</v>
      </c>
      <c r="AL76" s="53" t="e">
        <f>AL75+ATM_Conf!$C$5*(R75-Q75)/(R263*AL263)</f>
        <v>#DIV/0!</v>
      </c>
      <c r="AM76" s="53" t="e">
        <f>AM75+ATM_Conf!$C$5*(S75-R75)/(S263*AM263)</f>
        <v>#DIV/0!</v>
      </c>
      <c r="AN76" s="53" t="e">
        <f>AN75+ATM_Conf!$C$5*(T75-S75)/(T263*AN263)</f>
        <v>#DIV/0!</v>
      </c>
      <c r="AO76" s="53" t="e">
        <f>AO75+ATM_Conf!$C$5*(U75-T75)/(U263*AO263)</f>
        <v>#DIV/0!</v>
      </c>
      <c r="AP76" s="43" t="e">
        <f>AP75+(ATM_Conf!$C$5/ATM_Conf!$C$8)*(BJ76*EXP(-(1/CX76)*(V76/CD76)^CX76)-AP75)-(ATM_Conf!$C$5*ATM_Conf!$C$9)/(V263*ATM_Conf!$C$8)*(Nodes!BO75-V75)/(V75+ATM_Conf!$C$10)</f>
        <v>#DIV/0!</v>
      </c>
      <c r="AQ76" s="43" t="e">
        <f>AQ75+(ATM_Conf!$C$5/ATM_Conf!$C$8)*(BK76*EXP(-(1/CY76)*(W76/CE76)^CY76)-AQ75)+(ATM_Conf!$C$5/W263)*AQ75*(AP75-AQ75)-(ATM_Conf!$C$5*ATM_Conf!$C$9)/(W263*ATM_Conf!$C$8)*(X75-W75)/(W75+ATM_Conf!$C$10)</f>
        <v>#DIV/0!</v>
      </c>
      <c r="AR76" s="43" t="e">
        <f>AR75+(ATM_Conf!$C$5/ATM_Conf!$C$8)*(BL76*EXP(-(1/CZ76)*(X76/CF76)^CZ76)-AR75)+(ATM_Conf!$C$5/X263)*AR75*(Nodes!BC75-AR75)-(ATM_Conf!$C$5*ATM_Conf!$C$9)/(X263*ATM_Conf!$C$8)*(Nodes!BQ75-X75)/(X75+ATM_Conf!$C$10)</f>
        <v>#DIV/0!</v>
      </c>
      <c r="AS76" s="43" t="e">
        <f>AS75+(ATM_Conf!$C$5/ATM_Conf!$C$8)*(BM76*EXP(-(1/DA76)*(Y76/CG76)^DA76)-AS75)+(ATM_Conf!$C$5/Y263)*AS75*(AR75-AS75)-(ATM_Conf!$C$5*ATM_Conf!$C$9)/(Y263*ATM_Conf!$C$8)*(Z75-Y75)/(Y75+ATM_Conf!$C$10)</f>
        <v>#DIV/0!</v>
      </c>
      <c r="AT76" s="43" t="e">
        <f>AT75+(ATM_Conf!$C$5/ATM_Conf!$C$8)*(BN76*EXP(-(1/DB76)*(Z76/CH76)^DB76)-AT75)+(ATM_Conf!$C$5/Z263)*AT75*(Nodes!BE75-AT75)-(ATM_Conf!$C$5*ATM_Conf!$C$9)/(Z263*ATM_Conf!$C$8)*(Nodes!BS75-Z75)/(Z75+ATM_Conf!$C$10)</f>
        <v>#DIV/0!</v>
      </c>
      <c r="AU76" s="43" t="e">
        <f>AU75+(ATM_Conf!$C$5/ATM_Conf!$C$8)*(BO76*EXP(-(1/DC76)*(AA76/CI76)^DC76)-AU75)+(ATM_Conf!$C$5/AA263)*AU75*(Nodes!BF75-AU75)-(ATM_Conf!$C$5*ATM_Conf!$C$9)/(AA263*ATM_Conf!$C$8)*(Nodes!BV75-AA75)/(AA75+ATM_Conf!$C$10)</f>
        <v>#DIV/0!</v>
      </c>
      <c r="AV76" s="43" t="e">
        <f>AV75+(ATM_Conf!$C$5/ATM_Conf!$C$8)*(BP76*EXP(-(1/DD76)*(AB76/CJ76)^DD76)-AV75)+(ATM_Conf!$C$5/AB263)*AV75*(AU75-AV75)-(ATM_Conf!$C$5*ATM_Conf!$C$9)/(AB263*ATM_Conf!$C$8)*(AC75-AB75)/(AB75+ATM_Conf!$C$10)</f>
        <v>#DIV/0!</v>
      </c>
      <c r="AW76" s="43" t="e">
        <f>AW75+(ATM_Conf!$C$5/ATM_Conf!$C$8)*(BQ76*EXP(-(1/DE76)*(AC76/CK76)^DE76)-AW75)+(ATM_Conf!$C$5/AC263)*AW75*(AV75-AW75)-(ATM_Conf!$C$5*ATM_Conf!$C$9)/(AC263*ATM_Conf!$C$8)*(AD75-AC75)/(AC75+ATM_Conf!$C$10)</f>
        <v>#DIV/0!</v>
      </c>
      <c r="AX76" s="43" t="e">
        <f>AX75+(ATM_Conf!$C$5/ATM_Conf!$C$8)*(BR76*EXP(-(1/DF76)*(AD76/CL76)^DF76)-AX75)+(ATM_Conf!$C$5/AD263)*AX75*(Nodes!BG75-AX75)-(ATM_Conf!$C$5*ATM_Conf!$C$9)/(AD263*ATM_Conf!$C$8)*(Nodes!BU75-AD75)/(AD75+ATM_Conf!$C$10)</f>
        <v>#DIV/0!</v>
      </c>
      <c r="AY76" s="43" t="e">
        <f>AY75+(ATM_Conf!$C$5/ATM_Conf!$C$8)*(BS76*EXP(-(1/DG76)*(AE76/CM76)^DG76)-AY75)+(ATM_Conf!$C$5/AE263)*AY75*(Nodes!BF75-AY75)</f>
        <v>#DIV/0!</v>
      </c>
      <c r="AZ76" s="43" t="e">
        <f>AZ75+(ATM_Conf!$C$5/ATM_Conf!$C$8)*(BT76*EXP(-(1/DH76)*(AF76/CN76)^DH76)-AZ75)-(ATM_Conf!$C$5*ATM_Conf!$C$9)/(AF263*ATM_Conf!$C$8)*(Nodes!BV75-AF75)/(AF75+ATM_Conf!$C$10)</f>
        <v>#DIV/0!</v>
      </c>
      <c r="BA76" s="43" t="e">
        <f>BA75+(ATM_Conf!$C$5/ATM_Conf!$C$8)*(BU76*EXP(-(1/DI76)*(AG76/CO76)^DI76)-BA75)+(ATM_Conf!$C$5/AG263)*BA75*(Nodes!BI75-BA75)-(ATM_Conf!$C$5*ATM_Conf!$C$9)/(AG263*ATM_Conf!$C$8)*(Nodes!BW75-AG75)/(AG75+ATM_Conf!$C$10)</f>
        <v>#DIV/0!</v>
      </c>
      <c r="BB76" s="43" t="e">
        <f>BB75+(ATM_Conf!$C$5/ATM_Conf!$C$8)*(BV76*EXP(-(1/DJ76)*(AH76/CP76)^DJ76)-BB75)+(ATM_Conf!$C$5/AH263)*BB75*(Nodes!BJ75-BB75)-(ATM_Conf!$C$5*ATM_Conf!$C$9)/(AH263*ATM_Conf!$C$8)*(AI75-AH75)/(AH75+ATM_Conf!$C$10)</f>
        <v>#DIV/0!</v>
      </c>
      <c r="BC76" s="43" t="e">
        <f>BC75+(ATM_Conf!$C$5/ATM_Conf!$C$8)*(BW76*EXP(-(1/DK76)*(AI76/CQ76)^DK76)-BC75)+(ATM_Conf!$C$5/AI263)*BC75*(BB75-BC75)-(ATM_Conf!$C$5*ATM_Conf!$C$9)/(AI263*ATM_Conf!$C$8)*(AJ75-AI75)/(AI75+ATM_Conf!$C$10)</f>
        <v>#DIV/0!</v>
      </c>
      <c r="BD76" s="43" t="e">
        <f>BD75+(ATM_Conf!$C$5/ATM_Conf!$C$8)*(BX76*EXP(-(1/DL76)*(AJ76/CR76)^DL76)-BD75)+(ATM_Conf!$C$5/AJ263)*BD75*(BC75-BD75)-(ATM_Conf!$C$5*ATM_Conf!$C$9)/(AJ263*ATM_Conf!$C$8)*(Nodes!BX75-AJ75)/(AJ75+ATM_Conf!$C$10)</f>
        <v>#DIV/0!</v>
      </c>
      <c r="BE76" s="43" t="e">
        <f>BE75+(ATM_Conf!$C$5/ATM_Conf!$C$8)*(BY76*EXP(-(1/DM76)*(AK76/CS76)^DM76)-BE75)+(ATM_Conf!$C$5/AK263)*BE75*(Nodes!BK75-BE75)-(ATM_Conf!$C$5*ATM_Conf!$C$9)/(AK263*ATM_Conf!$C$8)*(Nodes!BY75-AK75)/(AK75+ATM_Conf!$C$10)</f>
        <v>#DIV/0!</v>
      </c>
      <c r="BF76" s="43" t="e">
        <f>BF75+(ATM_Conf!$C$5/ATM_Conf!$C$8)*(BZ76*EXP(-(1/DN76)*(AL76/CT76)^DN76)-BF75)+(ATM_Conf!$C$5/AL263)*BF75*(BE75-BF75)-(ATM_Conf!$C$5*ATM_Conf!$C$9)/(AL263*ATM_Conf!$C$8)*(AM75-AL75)/(AL75+ATM_Conf!$C$10)</f>
        <v>#DIV/0!</v>
      </c>
      <c r="BG76" s="43" t="e">
        <f>BG75+(ATM_Conf!$C$5/ATM_Conf!$C$8)*(CA76*EXP(-(1/DO76)*(AM76/CU76)^DO76)-BG75)+(ATM_Conf!$C$5/AM263)*BG75*(Nodes!BM75-BG75)-(ATM_Conf!$C$5*ATM_Conf!$C$9)/(AM263*ATM_Conf!$C$8)*(Nodes!CA75-AM75)/(AM75+ATM_Conf!$C$10)</f>
        <v>#DIV/0!</v>
      </c>
      <c r="BH76" s="43" t="e">
        <f>BH75+(ATM_Conf!$C$5/ATM_Conf!$C$8)*(CB76*EXP(-(1/DP76)*(AN76/CV76)^DP76)-BH75)+(ATM_Conf!$C$5/AN263)*BH75*(BG75-BH75)-(ATM_Conf!$C$5*ATM_Conf!$C$9)/(AN263*ATM_Conf!$C$8)*(AO75-AN75)/(AN75+ATM_Conf!$C$10)</f>
        <v>#DIV/0!</v>
      </c>
      <c r="BI76" s="43" t="e">
        <f>BI75+(ATM_Conf!$C$5/ATM_Conf!$C$8)*(CC76*EXP(-(1/DQ76)*(AO76/CW76)^DQ76)-BI75)+(ATM_Conf!$C$5/AO263)*BI75*(BH75-BI75)</f>
        <v>#DIV/0!</v>
      </c>
      <c r="BJ76" s="53"/>
      <c r="BK76" s="53"/>
      <c r="BL76" s="53"/>
      <c r="BM76" s="53"/>
      <c r="BN76" s="53"/>
      <c r="BO76" s="53"/>
      <c r="BP76" s="53"/>
      <c r="BQ76" s="53"/>
      <c r="BR76" s="53"/>
      <c r="BS76" s="53"/>
      <c r="BT76" s="53"/>
      <c r="BU76" s="53"/>
      <c r="BV76" s="53"/>
      <c r="BW76" s="53"/>
      <c r="BX76" s="53"/>
      <c r="BY76" s="53"/>
      <c r="BZ76" s="53"/>
      <c r="CA76" s="53"/>
      <c r="CB76" s="53"/>
      <c r="CC76" s="5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53"/>
      <c r="CY76" s="53"/>
      <c r="CZ76" s="53"/>
      <c r="DA76" s="53"/>
      <c r="DB76" s="53"/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  <c r="DR76" s="43">
        <f>DR$75</f>
        <v>0</v>
      </c>
      <c r="DS76" s="43">
        <f t="shared" ref="DS76:EK86" si="60">DS$75</f>
        <v>0</v>
      </c>
      <c r="DT76" s="43">
        <f t="shared" si="60"/>
        <v>0</v>
      </c>
      <c r="DU76" s="43">
        <f t="shared" si="60"/>
        <v>0</v>
      </c>
      <c r="DV76" s="43">
        <f t="shared" si="60"/>
        <v>0</v>
      </c>
      <c r="DW76" s="43">
        <f t="shared" si="60"/>
        <v>0</v>
      </c>
      <c r="DX76" s="43">
        <f t="shared" si="60"/>
        <v>0</v>
      </c>
      <c r="DY76" s="43">
        <f t="shared" si="60"/>
        <v>0</v>
      </c>
      <c r="DZ76" s="43">
        <f t="shared" si="60"/>
        <v>0</v>
      </c>
      <c r="EA76" s="43">
        <f t="shared" si="60"/>
        <v>0</v>
      </c>
      <c r="EB76" s="43">
        <f t="shared" si="60"/>
        <v>0</v>
      </c>
      <c r="EC76" s="43">
        <f t="shared" si="60"/>
        <v>0</v>
      </c>
      <c r="ED76" s="43">
        <f t="shared" si="60"/>
        <v>0</v>
      </c>
      <c r="EE76" s="43">
        <f t="shared" si="60"/>
        <v>0</v>
      </c>
      <c r="EF76" s="43">
        <f t="shared" si="60"/>
        <v>0</v>
      </c>
      <c r="EG76" s="43">
        <f t="shared" si="60"/>
        <v>0</v>
      </c>
      <c r="EH76" s="43">
        <f t="shared" si="60"/>
        <v>0</v>
      </c>
      <c r="EI76" s="43">
        <f t="shared" si="60"/>
        <v>0</v>
      </c>
      <c r="EJ76" s="43">
        <f t="shared" si="60"/>
        <v>0</v>
      </c>
      <c r="EK76" s="43">
        <f t="shared" si="60"/>
        <v>0</v>
      </c>
      <c r="EL76" s="47"/>
      <c r="EM76" s="47"/>
      <c r="EN76" s="47"/>
      <c r="EO76" s="47"/>
      <c r="EP76" s="47"/>
      <c r="EQ76" s="47"/>
      <c r="ER76" s="47"/>
      <c r="ES76" s="47"/>
      <c r="ET76" s="47"/>
      <c r="EU76" s="47"/>
      <c r="EV76" s="47"/>
      <c r="EW76" s="47"/>
      <c r="EX76" s="47"/>
      <c r="EY76" s="47"/>
      <c r="EZ76" s="47"/>
      <c r="FA76" s="47"/>
      <c r="FB76" s="47"/>
      <c r="FC76" s="47"/>
      <c r="FD76" s="47"/>
      <c r="FE76" s="47"/>
    </row>
    <row r="77" spans="1:161" ht="14.25" x14ac:dyDescent="0.15">
      <c r="A77" s="46"/>
      <c r="B77" s="43" t="e">
        <f t="shared" si="39"/>
        <v>#DIV/0!</v>
      </c>
      <c r="C77" s="43" t="e">
        <f t="shared" si="40"/>
        <v>#DIV/0!</v>
      </c>
      <c r="D77" s="43" t="e">
        <f t="shared" si="41"/>
        <v>#DIV/0!</v>
      </c>
      <c r="E77" s="43" t="e">
        <f t="shared" si="42"/>
        <v>#DIV/0!</v>
      </c>
      <c r="F77" s="43" t="e">
        <f t="shared" si="43"/>
        <v>#DIV/0!</v>
      </c>
      <c r="G77" s="43" t="e">
        <f t="shared" si="44"/>
        <v>#DIV/0!</v>
      </c>
      <c r="H77" s="43" t="e">
        <f t="shared" si="45"/>
        <v>#DIV/0!</v>
      </c>
      <c r="I77" s="43" t="e">
        <f t="shared" si="46"/>
        <v>#DIV/0!</v>
      </c>
      <c r="J77" s="43" t="e">
        <f t="shared" si="47"/>
        <v>#DIV/0!</v>
      </c>
      <c r="K77" s="43" t="e">
        <f t="shared" si="48"/>
        <v>#DIV/0!</v>
      </c>
      <c r="L77" s="43" t="e">
        <f t="shared" si="49"/>
        <v>#DIV/0!</v>
      </c>
      <c r="M77" s="43" t="e">
        <f t="shared" si="50"/>
        <v>#DIV/0!</v>
      </c>
      <c r="N77" s="43" t="e">
        <f t="shared" si="51"/>
        <v>#DIV/0!</v>
      </c>
      <c r="O77" s="43" t="e">
        <f t="shared" si="52"/>
        <v>#DIV/0!</v>
      </c>
      <c r="P77" s="43" t="e">
        <f t="shared" si="53"/>
        <v>#DIV/0!</v>
      </c>
      <c r="Q77" s="43" t="e">
        <f t="shared" si="54"/>
        <v>#DIV/0!</v>
      </c>
      <c r="R77" s="43" t="e">
        <f t="shared" si="55"/>
        <v>#DIV/0!</v>
      </c>
      <c r="S77" s="43" t="e">
        <f t="shared" si="56"/>
        <v>#DIV/0!</v>
      </c>
      <c r="T77" s="43" t="e">
        <f t="shared" si="57"/>
        <v>#DIV/0!</v>
      </c>
      <c r="U77" s="43" t="e">
        <f t="shared" si="58"/>
        <v>#DIV/0!</v>
      </c>
      <c r="V77" s="53" t="e">
        <f>V76+ATM_Conf!$C$5*(B76)/(B264*V264)</f>
        <v>#DIV/0!</v>
      </c>
      <c r="W77" s="53" t="e">
        <f>W76+ATM_Conf!$C$5*(C76-B76)/(C264*W264)</f>
        <v>#DIV/0!</v>
      </c>
      <c r="X77" s="53" t="e">
        <f>X76+ATM_Conf!$C$5*(D76-C76)/(D264*X264)</f>
        <v>#DIV/0!</v>
      </c>
      <c r="Y77" s="53" t="e">
        <f>Y76+ATM_Conf!$C$5*(E76-D76)/(E264*Y264)</f>
        <v>#DIV/0!</v>
      </c>
      <c r="Z77" s="53" t="e">
        <f>Z76+ATM_Conf!$C$5*(F76-E76)/(F264*Z264)</f>
        <v>#DIV/0!</v>
      </c>
      <c r="AA77" s="53" t="e">
        <f>AA76+ATM_Conf!$C$5*(G76-F76)/(G264*AA264)</f>
        <v>#DIV/0!</v>
      </c>
      <c r="AB77" s="53" t="e">
        <f>AB76+ATM_Conf!$C$5*(H76-G76)/(H264*AB264)</f>
        <v>#DIV/0!</v>
      </c>
      <c r="AC77" s="53" t="e">
        <f>AC76+ATM_Conf!$C$5*(I76-H76)/(I264*AC264)</f>
        <v>#DIV/0!</v>
      </c>
      <c r="AD77" s="53" t="e">
        <f>AD76+ATM_Conf!$C$5*(J76-I76)/(J264*AD264)</f>
        <v>#DIV/0!</v>
      </c>
      <c r="AE77" s="53" t="e">
        <f>AE76+ATM_Conf!$C$5*(K76-J76)/(K264*AE264)</f>
        <v>#DIV/0!</v>
      </c>
      <c r="AF77" s="53" t="e">
        <f>AF76+ATM_Conf!$C$5*(L76)/(L264*AF264)</f>
        <v>#DIV/0!</v>
      </c>
      <c r="AG77" s="53" t="e">
        <f>AG76+ATM_Conf!$C$5*(M76-L76)/(M264*AG264)</f>
        <v>#DIV/0!</v>
      </c>
      <c r="AH77" s="53" t="e">
        <f>AH76+ATM_Conf!$C$5*(N76-M76)/(N264*AH264)</f>
        <v>#DIV/0!</v>
      </c>
      <c r="AI77" s="53" t="e">
        <f>AI76+ATM_Conf!$C$5*(O76-N76)/(O264*AI264)</f>
        <v>#DIV/0!</v>
      </c>
      <c r="AJ77" s="53" t="e">
        <f>AJ76+ATM_Conf!$C$5*(P76-O76)/(P264*AJ264)</f>
        <v>#DIV/0!</v>
      </c>
      <c r="AK77" s="53" t="e">
        <f>AK76+ATM_Conf!$C$5*(Q76-P76)/(Q264*AK264)</f>
        <v>#DIV/0!</v>
      </c>
      <c r="AL77" s="53" t="e">
        <f>AL76+ATM_Conf!$C$5*(R76-Q76)/(R264*AL264)</f>
        <v>#DIV/0!</v>
      </c>
      <c r="AM77" s="53" t="e">
        <f>AM76+ATM_Conf!$C$5*(S76-R76)/(S264*AM264)</f>
        <v>#DIV/0!</v>
      </c>
      <c r="AN77" s="53" t="e">
        <f>AN76+ATM_Conf!$C$5*(T76-S76)/(T264*AN264)</f>
        <v>#DIV/0!</v>
      </c>
      <c r="AO77" s="53" t="e">
        <f>AO76+ATM_Conf!$C$5*(U76-T76)/(U264*AO264)</f>
        <v>#DIV/0!</v>
      </c>
      <c r="AP77" s="43" t="e">
        <f>AP76+(ATM_Conf!$C$5/ATM_Conf!$C$8)*(BJ77*EXP(-(1/CX77)*(V77/CD77)^CX77)-AP76)-(ATM_Conf!$C$5*ATM_Conf!$C$9)/(V264*ATM_Conf!$C$8)*(Nodes!BO76-V76)/(V76+ATM_Conf!$C$10)</f>
        <v>#DIV/0!</v>
      </c>
      <c r="AQ77" s="43" t="e">
        <f>AQ76+(ATM_Conf!$C$5/ATM_Conf!$C$8)*(BK77*EXP(-(1/CY77)*(W77/CE77)^CY77)-AQ76)+(ATM_Conf!$C$5/W264)*AQ76*(AP76-AQ76)-(ATM_Conf!$C$5*ATM_Conf!$C$9)/(W264*ATM_Conf!$C$8)*(X76-W76)/(W76+ATM_Conf!$C$10)</f>
        <v>#DIV/0!</v>
      </c>
      <c r="AR77" s="43" t="e">
        <f>AR76+(ATM_Conf!$C$5/ATM_Conf!$C$8)*(BL77*EXP(-(1/CZ77)*(X77/CF77)^CZ77)-AR76)+(ATM_Conf!$C$5/X264)*AR76*(Nodes!BC76-AR76)-(ATM_Conf!$C$5*ATM_Conf!$C$9)/(X264*ATM_Conf!$C$8)*(Nodes!BQ76-X76)/(X76+ATM_Conf!$C$10)</f>
        <v>#DIV/0!</v>
      </c>
      <c r="AS77" s="43" t="e">
        <f>AS76+(ATM_Conf!$C$5/ATM_Conf!$C$8)*(BM77*EXP(-(1/DA77)*(Y77/CG77)^DA77)-AS76)+(ATM_Conf!$C$5/Y264)*AS76*(AR76-AS76)-(ATM_Conf!$C$5*ATM_Conf!$C$9)/(Y264*ATM_Conf!$C$8)*(Z76-Y76)/(Y76+ATM_Conf!$C$10)</f>
        <v>#DIV/0!</v>
      </c>
      <c r="AT77" s="43" t="e">
        <f>AT76+(ATM_Conf!$C$5/ATM_Conf!$C$8)*(BN77*EXP(-(1/DB77)*(Z77/CH77)^DB77)-AT76)+(ATM_Conf!$C$5/Z264)*AT76*(Nodes!BE76-AT76)-(ATM_Conf!$C$5*ATM_Conf!$C$9)/(Z264*ATM_Conf!$C$8)*(Nodes!BS76-Z76)/(Z76+ATM_Conf!$C$10)</f>
        <v>#DIV/0!</v>
      </c>
      <c r="AU77" s="43" t="e">
        <f>AU76+(ATM_Conf!$C$5/ATM_Conf!$C$8)*(BO77*EXP(-(1/DC77)*(AA77/CI77)^DC77)-AU76)+(ATM_Conf!$C$5/AA264)*AU76*(Nodes!BF76-AU76)-(ATM_Conf!$C$5*ATM_Conf!$C$9)/(AA264*ATM_Conf!$C$8)*(Nodes!BV76-AA76)/(AA76+ATM_Conf!$C$10)</f>
        <v>#DIV/0!</v>
      </c>
      <c r="AV77" s="43" t="e">
        <f>AV76+(ATM_Conf!$C$5/ATM_Conf!$C$8)*(BP77*EXP(-(1/DD77)*(AB77/CJ77)^DD77)-AV76)+(ATM_Conf!$C$5/AB264)*AV76*(AU76-AV76)-(ATM_Conf!$C$5*ATM_Conf!$C$9)/(AB264*ATM_Conf!$C$8)*(AC76-AB76)/(AB76+ATM_Conf!$C$10)</f>
        <v>#DIV/0!</v>
      </c>
      <c r="AW77" s="43" t="e">
        <f>AW76+(ATM_Conf!$C$5/ATM_Conf!$C$8)*(BQ77*EXP(-(1/DE77)*(AC77/CK77)^DE77)-AW76)+(ATM_Conf!$C$5/AC264)*AW76*(AV76-AW76)-(ATM_Conf!$C$5*ATM_Conf!$C$9)/(AC264*ATM_Conf!$C$8)*(AD76-AC76)/(AC76+ATM_Conf!$C$10)</f>
        <v>#DIV/0!</v>
      </c>
      <c r="AX77" s="43" t="e">
        <f>AX76+(ATM_Conf!$C$5/ATM_Conf!$C$8)*(BR77*EXP(-(1/DF77)*(AD77/CL77)^DF77)-AX76)+(ATM_Conf!$C$5/AD264)*AX76*(Nodes!BG76-AX76)-(ATM_Conf!$C$5*ATM_Conf!$C$9)/(AD264*ATM_Conf!$C$8)*(Nodes!BU76-AD76)/(AD76+ATM_Conf!$C$10)</f>
        <v>#DIV/0!</v>
      </c>
      <c r="AY77" s="43" t="e">
        <f>AY76+(ATM_Conf!$C$5/ATM_Conf!$C$8)*(BS77*EXP(-(1/DG77)*(AE77/CM77)^DG77)-AY76)+(ATM_Conf!$C$5/AE264)*AY76*(Nodes!BF76-AY76)</f>
        <v>#DIV/0!</v>
      </c>
      <c r="AZ77" s="43" t="e">
        <f>AZ76+(ATM_Conf!$C$5/ATM_Conf!$C$8)*(BT77*EXP(-(1/DH77)*(AF77/CN77)^DH77)-AZ76)-(ATM_Conf!$C$5*ATM_Conf!$C$9)/(AF264*ATM_Conf!$C$8)*(Nodes!BV76-AF76)/(AF76+ATM_Conf!$C$10)</f>
        <v>#DIV/0!</v>
      </c>
      <c r="BA77" s="43" t="e">
        <f>BA76+(ATM_Conf!$C$5/ATM_Conf!$C$8)*(BU77*EXP(-(1/DI77)*(AG77/CO77)^DI77)-BA76)+(ATM_Conf!$C$5/AG264)*BA76*(Nodes!BI76-BA76)-(ATM_Conf!$C$5*ATM_Conf!$C$9)/(AG264*ATM_Conf!$C$8)*(Nodes!BW76-AG76)/(AG76+ATM_Conf!$C$10)</f>
        <v>#DIV/0!</v>
      </c>
      <c r="BB77" s="43" t="e">
        <f>BB76+(ATM_Conf!$C$5/ATM_Conf!$C$8)*(BV77*EXP(-(1/DJ77)*(AH77/CP77)^DJ77)-BB76)+(ATM_Conf!$C$5/AH264)*BB76*(Nodes!BJ76-BB76)-(ATM_Conf!$C$5*ATM_Conf!$C$9)/(AH264*ATM_Conf!$C$8)*(AI76-AH76)/(AH76+ATM_Conf!$C$10)</f>
        <v>#DIV/0!</v>
      </c>
      <c r="BC77" s="43" t="e">
        <f>BC76+(ATM_Conf!$C$5/ATM_Conf!$C$8)*(BW77*EXP(-(1/DK77)*(AI77/CQ77)^DK77)-BC76)+(ATM_Conf!$C$5/AI264)*BC76*(BB76-BC76)-(ATM_Conf!$C$5*ATM_Conf!$C$9)/(AI264*ATM_Conf!$C$8)*(AJ76-AI76)/(AI76+ATM_Conf!$C$10)</f>
        <v>#DIV/0!</v>
      </c>
      <c r="BD77" s="43" t="e">
        <f>BD76+(ATM_Conf!$C$5/ATM_Conf!$C$8)*(BX77*EXP(-(1/DL77)*(AJ77/CR77)^DL77)-BD76)+(ATM_Conf!$C$5/AJ264)*BD76*(BC76-BD76)-(ATM_Conf!$C$5*ATM_Conf!$C$9)/(AJ264*ATM_Conf!$C$8)*(Nodes!BX76-AJ76)/(AJ76+ATM_Conf!$C$10)</f>
        <v>#DIV/0!</v>
      </c>
      <c r="BE77" s="43" t="e">
        <f>BE76+(ATM_Conf!$C$5/ATM_Conf!$C$8)*(BY77*EXP(-(1/DM77)*(AK77/CS77)^DM77)-BE76)+(ATM_Conf!$C$5/AK264)*BE76*(Nodes!BK76-BE76)-(ATM_Conf!$C$5*ATM_Conf!$C$9)/(AK264*ATM_Conf!$C$8)*(Nodes!BY76-AK76)/(AK76+ATM_Conf!$C$10)</f>
        <v>#DIV/0!</v>
      </c>
      <c r="BF77" s="43" t="e">
        <f>BF76+(ATM_Conf!$C$5/ATM_Conf!$C$8)*(BZ77*EXP(-(1/DN77)*(AL77/CT77)^DN77)-BF76)+(ATM_Conf!$C$5/AL264)*BF76*(BE76-BF76)-(ATM_Conf!$C$5*ATM_Conf!$C$9)/(AL264*ATM_Conf!$C$8)*(AM76-AL76)/(AL76+ATM_Conf!$C$10)</f>
        <v>#DIV/0!</v>
      </c>
      <c r="BG77" s="43" t="e">
        <f>BG76+(ATM_Conf!$C$5/ATM_Conf!$C$8)*(CA77*EXP(-(1/DO77)*(AM77/CU77)^DO77)-BG76)+(ATM_Conf!$C$5/AM264)*BG76*(Nodes!BM76-BG76)-(ATM_Conf!$C$5*ATM_Conf!$C$9)/(AM264*ATM_Conf!$C$8)*(Nodes!CA76-AM76)/(AM76+ATM_Conf!$C$10)</f>
        <v>#DIV/0!</v>
      </c>
      <c r="BH77" s="43" t="e">
        <f>BH76+(ATM_Conf!$C$5/ATM_Conf!$C$8)*(CB77*EXP(-(1/DP77)*(AN77/CV77)^DP77)-BH76)+(ATM_Conf!$C$5/AN264)*BH76*(BG76-BH76)-(ATM_Conf!$C$5*ATM_Conf!$C$9)/(AN264*ATM_Conf!$C$8)*(AO76-AN76)/(AN76+ATM_Conf!$C$10)</f>
        <v>#DIV/0!</v>
      </c>
      <c r="BI77" s="43" t="e">
        <f>BI76+(ATM_Conf!$C$5/ATM_Conf!$C$8)*(CC77*EXP(-(1/DQ77)*(AO77/CW77)^DQ77)-BI76)+(ATM_Conf!$C$5/AO264)*BI76*(BH76-BI76)</f>
        <v>#DIV/0!</v>
      </c>
      <c r="BJ77" s="53"/>
      <c r="BK77" s="53"/>
      <c r="BL77" s="53"/>
      <c r="BM77" s="53"/>
      <c r="BN77" s="53"/>
      <c r="BO77" s="53"/>
      <c r="BP77" s="53"/>
      <c r="BQ77" s="53"/>
      <c r="BR77" s="53"/>
      <c r="BS77" s="53"/>
      <c r="BT77" s="53"/>
      <c r="BU77" s="53"/>
      <c r="BV77" s="53"/>
      <c r="BW77" s="53"/>
      <c r="BX77" s="53"/>
      <c r="BY77" s="53"/>
      <c r="BZ77" s="53"/>
      <c r="CA77" s="53"/>
      <c r="CB77" s="53"/>
      <c r="CC77" s="5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53"/>
      <c r="CY77" s="53"/>
      <c r="CZ77" s="53"/>
      <c r="DA77" s="53"/>
      <c r="DB77" s="53"/>
      <c r="DC77" s="53"/>
      <c r="DD77" s="53"/>
      <c r="DE77" s="53"/>
      <c r="DF77" s="53"/>
      <c r="DG77" s="53"/>
      <c r="DH77" s="53"/>
      <c r="DI77" s="53"/>
      <c r="DJ77" s="53"/>
      <c r="DK77" s="53"/>
      <c r="DL77" s="53"/>
      <c r="DM77" s="53"/>
      <c r="DN77" s="53"/>
      <c r="DO77" s="53"/>
      <c r="DP77" s="53"/>
      <c r="DQ77" s="53"/>
      <c r="DR77" s="43">
        <f t="shared" ref="DR77:DR86" si="61">DR$75</f>
        <v>0</v>
      </c>
      <c r="DS77" s="43">
        <f t="shared" si="60"/>
        <v>0</v>
      </c>
      <c r="DT77" s="43">
        <f t="shared" si="60"/>
        <v>0</v>
      </c>
      <c r="DU77" s="43">
        <f t="shared" si="60"/>
        <v>0</v>
      </c>
      <c r="DV77" s="43">
        <f t="shared" si="60"/>
        <v>0</v>
      </c>
      <c r="DW77" s="43">
        <f t="shared" si="60"/>
        <v>0</v>
      </c>
      <c r="DX77" s="43">
        <f t="shared" si="60"/>
        <v>0</v>
      </c>
      <c r="DY77" s="43">
        <f t="shared" si="60"/>
        <v>0</v>
      </c>
      <c r="DZ77" s="43">
        <f t="shared" si="60"/>
        <v>0</v>
      </c>
      <c r="EA77" s="43">
        <f t="shared" si="60"/>
        <v>0</v>
      </c>
      <c r="EB77" s="43">
        <f t="shared" si="60"/>
        <v>0</v>
      </c>
      <c r="EC77" s="43">
        <f t="shared" si="60"/>
        <v>0</v>
      </c>
      <c r="ED77" s="43">
        <f t="shared" si="60"/>
        <v>0</v>
      </c>
      <c r="EE77" s="43">
        <f t="shared" si="60"/>
        <v>0</v>
      </c>
      <c r="EF77" s="43">
        <f t="shared" si="60"/>
        <v>0</v>
      </c>
      <c r="EG77" s="43">
        <f t="shared" si="60"/>
        <v>0</v>
      </c>
      <c r="EH77" s="43">
        <f t="shared" si="60"/>
        <v>0</v>
      </c>
      <c r="EI77" s="43">
        <f t="shared" si="60"/>
        <v>0</v>
      </c>
      <c r="EJ77" s="43">
        <f t="shared" si="60"/>
        <v>0</v>
      </c>
      <c r="EK77" s="43">
        <f t="shared" si="60"/>
        <v>0</v>
      </c>
      <c r="EL77" s="47"/>
      <c r="EM77" s="47"/>
      <c r="EN77" s="47"/>
      <c r="EO77" s="47"/>
      <c r="EP77" s="47"/>
      <c r="EQ77" s="47"/>
      <c r="ER77" s="47"/>
      <c r="ES77" s="47"/>
      <c r="ET77" s="47"/>
      <c r="EU77" s="47"/>
      <c r="EV77" s="47"/>
      <c r="EW77" s="47"/>
      <c r="EX77" s="47"/>
      <c r="EY77" s="47"/>
      <c r="EZ77" s="47"/>
      <c r="FA77" s="47"/>
      <c r="FB77" s="47"/>
      <c r="FC77" s="47"/>
      <c r="FD77" s="47"/>
      <c r="FE77" s="47"/>
    </row>
    <row r="78" spans="1:161" ht="14.25" x14ac:dyDescent="0.15">
      <c r="A78" s="46"/>
      <c r="B78" s="43" t="e">
        <f t="shared" si="39"/>
        <v>#DIV/0!</v>
      </c>
      <c r="C78" s="43" t="e">
        <f t="shared" si="40"/>
        <v>#DIV/0!</v>
      </c>
      <c r="D78" s="43" t="e">
        <f t="shared" si="41"/>
        <v>#DIV/0!</v>
      </c>
      <c r="E78" s="43" t="e">
        <f t="shared" si="42"/>
        <v>#DIV/0!</v>
      </c>
      <c r="F78" s="43" t="e">
        <f t="shared" si="43"/>
        <v>#DIV/0!</v>
      </c>
      <c r="G78" s="43" t="e">
        <f t="shared" si="44"/>
        <v>#DIV/0!</v>
      </c>
      <c r="H78" s="43" t="e">
        <f t="shared" si="45"/>
        <v>#DIV/0!</v>
      </c>
      <c r="I78" s="43" t="e">
        <f t="shared" si="46"/>
        <v>#DIV/0!</v>
      </c>
      <c r="J78" s="43" t="e">
        <f t="shared" si="47"/>
        <v>#DIV/0!</v>
      </c>
      <c r="K78" s="43" t="e">
        <f t="shared" si="48"/>
        <v>#DIV/0!</v>
      </c>
      <c r="L78" s="43" t="e">
        <f t="shared" si="49"/>
        <v>#DIV/0!</v>
      </c>
      <c r="M78" s="43" t="e">
        <f t="shared" si="50"/>
        <v>#DIV/0!</v>
      </c>
      <c r="N78" s="43" t="e">
        <f t="shared" si="51"/>
        <v>#DIV/0!</v>
      </c>
      <c r="O78" s="43" t="e">
        <f t="shared" si="52"/>
        <v>#DIV/0!</v>
      </c>
      <c r="P78" s="43" t="e">
        <f t="shared" si="53"/>
        <v>#DIV/0!</v>
      </c>
      <c r="Q78" s="43" t="e">
        <f t="shared" si="54"/>
        <v>#DIV/0!</v>
      </c>
      <c r="R78" s="43" t="e">
        <f t="shared" si="55"/>
        <v>#DIV/0!</v>
      </c>
      <c r="S78" s="43" t="e">
        <f t="shared" si="56"/>
        <v>#DIV/0!</v>
      </c>
      <c r="T78" s="43" t="e">
        <f t="shared" si="57"/>
        <v>#DIV/0!</v>
      </c>
      <c r="U78" s="43" t="e">
        <f t="shared" si="58"/>
        <v>#DIV/0!</v>
      </c>
      <c r="V78" s="53" t="e">
        <f>V77+ATM_Conf!$C$5*(B77)/(B265*V265)</f>
        <v>#DIV/0!</v>
      </c>
      <c r="W78" s="53" t="e">
        <f>W77+ATM_Conf!$C$5*(C77-B77)/(C265*W265)</f>
        <v>#DIV/0!</v>
      </c>
      <c r="X78" s="53" t="e">
        <f>X77+ATM_Conf!$C$5*(D77-C77)/(D265*X265)</f>
        <v>#DIV/0!</v>
      </c>
      <c r="Y78" s="53" t="e">
        <f>Y77+ATM_Conf!$C$5*(E77-D77)/(E265*Y265)</f>
        <v>#DIV/0!</v>
      </c>
      <c r="Z78" s="53" t="e">
        <f>Z77+ATM_Conf!$C$5*(F77-E77)/(F265*Z265)</f>
        <v>#DIV/0!</v>
      </c>
      <c r="AA78" s="53" t="e">
        <f>AA77+ATM_Conf!$C$5*(G77-F77)/(G265*AA265)</f>
        <v>#DIV/0!</v>
      </c>
      <c r="AB78" s="53" t="e">
        <f>AB77+ATM_Conf!$C$5*(H77-G77)/(H265*AB265)</f>
        <v>#DIV/0!</v>
      </c>
      <c r="AC78" s="53" t="e">
        <f>AC77+ATM_Conf!$C$5*(I77-H77)/(I265*AC265)</f>
        <v>#DIV/0!</v>
      </c>
      <c r="AD78" s="53" t="e">
        <f>AD77+ATM_Conf!$C$5*(J77-I77)/(J265*AD265)</f>
        <v>#DIV/0!</v>
      </c>
      <c r="AE78" s="53" t="e">
        <f>AE77+ATM_Conf!$C$5*(K77-J77)/(K265*AE265)</f>
        <v>#DIV/0!</v>
      </c>
      <c r="AF78" s="53" t="e">
        <f>AF77+ATM_Conf!$C$5*(L77)/(L265*AF265)</f>
        <v>#DIV/0!</v>
      </c>
      <c r="AG78" s="53" t="e">
        <f>AG77+ATM_Conf!$C$5*(M77-L77)/(M265*AG265)</f>
        <v>#DIV/0!</v>
      </c>
      <c r="AH78" s="53" t="e">
        <f>AH77+ATM_Conf!$C$5*(N77-M77)/(N265*AH265)</f>
        <v>#DIV/0!</v>
      </c>
      <c r="AI78" s="53" t="e">
        <f>AI77+ATM_Conf!$C$5*(O77-N77)/(O265*AI265)</f>
        <v>#DIV/0!</v>
      </c>
      <c r="AJ78" s="53" t="e">
        <f>AJ77+ATM_Conf!$C$5*(P77-O77)/(P265*AJ265)</f>
        <v>#DIV/0!</v>
      </c>
      <c r="AK78" s="53" t="e">
        <f>AK77+ATM_Conf!$C$5*(Q77-P77)/(Q265*AK265)</f>
        <v>#DIV/0!</v>
      </c>
      <c r="AL78" s="53" t="e">
        <f>AL77+ATM_Conf!$C$5*(R77-Q77)/(R265*AL265)</f>
        <v>#DIV/0!</v>
      </c>
      <c r="AM78" s="53" t="e">
        <f>AM77+ATM_Conf!$C$5*(S77-R77)/(S265*AM265)</f>
        <v>#DIV/0!</v>
      </c>
      <c r="AN78" s="53" t="e">
        <f>AN77+ATM_Conf!$C$5*(T77-S77)/(T265*AN265)</f>
        <v>#DIV/0!</v>
      </c>
      <c r="AO78" s="53" t="e">
        <f>AO77+ATM_Conf!$C$5*(U77-T77)/(U265*AO265)</f>
        <v>#DIV/0!</v>
      </c>
      <c r="AP78" s="43" t="e">
        <f>AP77+(ATM_Conf!$C$5/ATM_Conf!$C$8)*(BJ78*EXP(-(1/CX78)*(V78/CD78)^CX78)-AP77)-(ATM_Conf!$C$5*ATM_Conf!$C$9)/(V265*ATM_Conf!$C$8)*(Nodes!BO77-V77)/(V77+ATM_Conf!$C$10)</f>
        <v>#DIV/0!</v>
      </c>
      <c r="AQ78" s="43" t="e">
        <f>AQ77+(ATM_Conf!$C$5/ATM_Conf!$C$8)*(BK78*EXP(-(1/CY78)*(W78/CE78)^CY78)-AQ77)+(ATM_Conf!$C$5/W265)*AQ77*(AP77-AQ77)-(ATM_Conf!$C$5*ATM_Conf!$C$9)/(W265*ATM_Conf!$C$8)*(X77-W77)/(W77+ATM_Conf!$C$10)</f>
        <v>#DIV/0!</v>
      </c>
      <c r="AR78" s="43" t="e">
        <f>AR77+(ATM_Conf!$C$5/ATM_Conf!$C$8)*(BL78*EXP(-(1/CZ78)*(X78/CF78)^CZ78)-AR77)+(ATM_Conf!$C$5/X265)*AR77*(Nodes!BC77-AR77)-(ATM_Conf!$C$5*ATM_Conf!$C$9)/(X265*ATM_Conf!$C$8)*(Nodes!BQ77-X77)/(X77+ATM_Conf!$C$10)</f>
        <v>#DIV/0!</v>
      </c>
      <c r="AS78" s="43" t="e">
        <f>AS77+(ATM_Conf!$C$5/ATM_Conf!$C$8)*(BM78*EXP(-(1/DA78)*(Y78/CG78)^DA78)-AS77)+(ATM_Conf!$C$5/Y265)*AS77*(AR77-AS77)-(ATM_Conf!$C$5*ATM_Conf!$C$9)/(Y265*ATM_Conf!$C$8)*(Z77-Y77)/(Y77+ATM_Conf!$C$10)</f>
        <v>#DIV/0!</v>
      </c>
      <c r="AT78" s="43" t="e">
        <f>AT77+(ATM_Conf!$C$5/ATM_Conf!$C$8)*(BN78*EXP(-(1/DB78)*(Z78/CH78)^DB78)-AT77)+(ATM_Conf!$C$5/Z265)*AT77*(Nodes!BE77-AT77)-(ATM_Conf!$C$5*ATM_Conf!$C$9)/(Z265*ATM_Conf!$C$8)*(Nodes!BS77-Z77)/(Z77+ATM_Conf!$C$10)</f>
        <v>#DIV/0!</v>
      </c>
      <c r="AU78" s="43" t="e">
        <f>AU77+(ATM_Conf!$C$5/ATM_Conf!$C$8)*(BO78*EXP(-(1/DC78)*(AA78/CI78)^DC78)-AU77)+(ATM_Conf!$C$5/AA265)*AU77*(Nodes!BF77-AU77)-(ATM_Conf!$C$5*ATM_Conf!$C$9)/(AA265*ATM_Conf!$C$8)*(Nodes!BV77-AA77)/(AA77+ATM_Conf!$C$10)</f>
        <v>#DIV/0!</v>
      </c>
      <c r="AV78" s="43" t="e">
        <f>AV77+(ATM_Conf!$C$5/ATM_Conf!$C$8)*(BP78*EXP(-(1/DD78)*(AB78/CJ78)^DD78)-AV77)+(ATM_Conf!$C$5/AB265)*AV77*(AU77-AV77)-(ATM_Conf!$C$5*ATM_Conf!$C$9)/(AB265*ATM_Conf!$C$8)*(AC77-AB77)/(AB77+ATM_Conf!$C$10)</f>
        <v>#DIV/0!</v>
      </c>
      <c r="AW78" s="43" t="e">
        <f>AW77+(ATM_Conf!$C$5/ATM_Conf!$C$8)*(BQ78*EXP(-(1/DE78)*(AC78/CK78)^DE78)-AW77)+(ATM_Conf!$C$5/AC265)*AW77*(AV77-AW77)-(ATM_Conf!$C$5*ATM_Conf!$C$9)/(AC265*ATM_Conf!$C$8)*(AD77-AC77)/(AC77+ATM_Conf!$C$10)</f>
        <v>#DIV/0!</v>
      </c>
      <c r="AX78" s="43" t="e">
        <f>AX77+(ATM_Conf!$C$5/ATM_Conf!$C$8)*(BR78*EXP(-(1/DF78)*(AD78/CL78)^DF78)-AX77)+(ATM_Conf!$C$5/AD265)*AX77*(Nodes!BG77-AX77)-(ATM_Conf!$C$5*ATM_Conf!$C$9)/(AD265*ATM_Conf!$C$8)*(Nodes!BU77-AD77)/(AD77+ATM_Conf!$C$10)</f>
        <v>#DIV/0!</v>
      </c>
      <c r="AY78" s="43" t="e">
        <f>AY77+(ATM_Conf!$C$5/ATM_Conf!$C$8)*(BS78*EXP(-(1/DG78)*(AE78/CM78)^DG78)-AY77)+(ATM_Conf!$C$5/AE265)*AY77*(Nodes!BF77-AY77)</f>
        <v>#DIV/0!</v>
      </c>
      <c r="AZ78" s="43" t="e">
        <f>AZ77+(ATM_Conf!$C$5/ATM_Conf!$C$8)*(BT78*EXP(-(1/DH78)*(AF78/CN78)^DH78)-AZ77)-(ATM_Conf!$C$5*ATM_Conf!$C$9)/(AF265*ATM_Conf!$C$8)*(Nodes!BV77-AF77)/(AF77+ATM_Conf!$C$10)</f>
        <v>#DIV/0!</v>
      </c>
      <c r="BA78" s="43" t="e">
        <f>BA77+(ATM_Conf!$C$5/ATM_Conf!$C$8)*(BU78*EXP(-(1/DI78)*(AG78/CO78)^DI78)-BA77)+(ATM_Conf!$C$5/AG265)*BA77*(Nodes!BI77-BA77)-(ATM_Conf!$C$5*ATM_Conf!$C$9)/(AG265*ATM_Conf!$C$8)*(Nodes!BW77-AG77)/(AG77+ATM_Conf!$C$10)</f>
        <v>#DIV/0!</v>
      </c>
      <c r="BB78" s="43" t="e">
        <f>BB77+(ATM_Conf!$C$5/ATM_Conf!$C$8)*(BV78*EXP(-(1/DJ78)*(AH78/CP78)^DJ78)-BB77)+(ATM_Conf!$C$5/AH265)*BB77*(Nodes!BJ77-BB77)-(ATM_Conf!$C$5*ATM_Conf!$C$9)/(AH265*ATM_Conf!$C$8)*(AI77-AH77)/(AH77+ATM_Conf!$C$10)</f>
        <v>#DIV/0!</v>
      </c>
      <c r="BC78" s="43" t="e">
        <f>BC77+(ATM_Conf!$C$5/ATM_Conf!$C$8)*(BW78*EXP(-(1/DK78)*(AI78/CQ78)^DK78)-BC77)+(ATM_Conf!$C$5/AI265)*BC77*(BB77-BC77)-(ATM_Conf!$C$5*ATM_Conf!$C$9)/(AI265*ATM_Conf!$C$8)*(AJ77-AI77)/(AI77+ATM_Conf!$C$10)</f>
        <v>#DIV/0!</v>
      </c>
      <c r="BD78" s="43" t="e">
        <f>BD77+(ATM_Conf!$C$5/ATM_Conf!$C$8)*(BX78*EXP(-(1/DL78)*(AJ78/CR78)^DL78)-BD77)+(ATM_Conf!$C$5/AJ265)*BD77*(BC77-BD77)-(ATM_Conf!$C$5*ATM_Conf!$C$9)/(AJ265*ATM_Conf!$C$8)*(Nodes!BX77-AJ77)/(AJ77+ATM_Conf!$C$10)</f>
        <v>#DIV/0!</v>
      </c>
      <c r="BE78" s="43" t="e">
        <f>BE77+(ATM_Conf!$C$5/ATM_Conf!$C$8)*(BY78*EXP(-(1/DM78)*(AK78/CS78)^DM78)-BE77)+(ATM_Conf!$C$5/AK265)*BE77*(Nodes!BK77-BE77)-(ATM_Conf!$C$5*ATM_Conf!$C$9)/(AK265*ATM_Conf!$C$8)*(Nodes!BY77-AK77)/(AK77+ATM_Conf!$C$10)</f>
        <v>#DIV/0!</v>
      </c>
      <c r="BF78" s="43" t="e">
        <f>BF77+(ATM_Conf!$C$5/ATM_Conf!$C$8)*(BZ78*EXP(-(1/DN78)*(AL78/CT78)^DN78)-BF77)+(ATM_Conf!$C$5/AL265)*BF77*(BE77-BF77)-(ATM_Conf!$C$5*ATM_Conf!$C$9)/(AL265*ATM_Conf!$C$8)*(AM77-AL77)/(AL77+ATM_Conf!$C$10)</f>
        <v>#DIV/0!</v>
      </c>
      <c r="BG78" s="43" t="e">
        <f>BG77+(ATM_Conf!$C$5/ATM_Conf!$C$8)*(CA78*EXP(-(1/DO78)*(AM78/CU78)^DO78)-BG77)+(ATM_Conf!$C$5/AM265)*BG77*(Nodes!BM77-BG77)-(ATM_Conf!$C$5*ATM_Conf!$C$9)/(AM265*ATM_Conf!$C$8)*(Nodes!CA77-AM77)/(AM77+ATM_Conf!$C$10)</f>
        <v>#DIV/0!</v>
      </c>
      <c r="BH78" s="43" t="e">
        <f>BH77+(ATM_Conf!$C$5/ATM_Conf!$C$8)*(CB78*EXP(-(1/DP78)*(AN78/CV78)^DP78)-BH77)+(ATM_Conf!$C$5/AN265)*BH77*(BG77-BH77)-(ATM_Conf!$C$5*ATM_Conf!$C$9)/(AN265*ATM_Conf!$C$8)*(AO77-AN77)/(AN77+ATM_Conf!$C$10)</f>
        <v>#DIV/0!</v>
      </c>
      <c r="BI78" s="43" t="e">
        <f>BI77+(ATM_Conf!$C$5/ATM_Conf!$C$8)*(CC78*EXP(-(1/DQ78)*(AO78/CW78)^DQ78)-BI77)+(ATM_Conf!$C$5/AO265)*BI77*(BH77-BI77)</f>
        <v>#DIV/0!</v>
      </c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53"/>
      <c r="CA78" s="53"/>
      <c r="CB78" s="53"/>
      <c r="CC78" s="5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53"/>
      <c r="CY78" s="53"/>
      <c r="CZ78" s="53"/>
      <c r="DA78" s="53"/>
      <c r="DB78" s="53"/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  <c r="DR78" s="43">
        <f t="shared" si="61"/>
        <v>0</v>
      </c>
      <c r="DS78" s="43">
        <f t="shared" si="60"/>
        <v>0</v>
      </c>
      <c r="DT78" s="43">
        <f t="shared" si="60"/>
        <v>0</v>
      </c>
      <c r="DU78" s="43">
        <f t="shared" si="60"/>
        <v>0</v>
      </c>
      <c r="DV78" s="43">
        <f t="shared" si="60"/>
        <v>0</v>
      </c>
      <c r="DW78" s="43">
        <f t="shared" si="60"/>
        <v>0</v>
      </c>
      <c r="DX78" s="43">
        <f t="shared" si="60"/>
        <v>0</v>
      </c>
      <c r="DY78" s="43">
        <f t="shared" si="60"/>
        <v>0</v>
      </c>
      <c r="DZ78" s="43">
        <f t="shared" si="60"/>
        <v>0</v>
      </c>
      <c r="EA78" s="43">
        <f t="shared" si="60"/>
        <v>0</v>
      </c>
      <c r="EB78" s="43">
        <f t="shared" si="60"/>
        <v>0</v>
      </c>
      <c r="EC78" s="43">
        <f t="shared" si="60"/>
        <v>0</v>
      </c>
      <c r="ED78" s="43">
        <f t="shared" si="60"/>
        <v>0</v>
      </c>
      <c r="EE78" s="43">
        <f t="shared" si="60"/>
        <v>0</v>
      </c>
      <c r="EF78" s="43">
        <f t="shared" si="60"/>
        <v>0</v>
      </c>
      <c r="EG78" s="43">
        <f t="shared" si="60"/>
        <v>0</v>
      </c>
      <c r="EH78" s="43">
        <f t="shared" si="60"/>
        <v>0</v>
      </c>
      <c r="EI78" s="43">
        <f t="shared" si="60"/>
        <v>0</v>
      </c>
      <c r="EJ78" s="43">
        <f t="shared" si="60"/>
        <v>0</v>
      </c>
      <c r="EK78" s="43">
        <f t="shared" si="60"/>
        <v>0</v>
      </c>
      <c r="EL78" s="47"/>
      <c r="EM78" s="47"/>
      <c r="EN78" s="47"/>
      <c r="EO78" s="47"/>
      <c r="EP78" s="47"/>
      <c r="EQ78" s="47"/>
      <c r="ER78" s="47"/>
      <c r="ES78" s="47"/>
      <c r="ET78" s="47"/>
      <c r="EU78" s="47"/>
      <c r="EV78" s="47"/>
      <c r="EW78" s="47"/>
      <c r="EX78" s="47"/>
      <c r="EY78" s="47"/>
      <c r="EZ78" s="47"/>
      <c r="FA78" s="47"/>
      <c r="FB78" s="47"/>
      <c r="FC78" s="47"/>
      <c r="FD78" s="47"/>
      <c r="FE78" s="47"/>
    </row>
    <row r="79" spans="1:161" ht="14.25" x14ac:dyDescent="0.15">
      <c r="A79" s="46"/>
      <c r="B79" s="43" t="e">
        <f t="shared" si="39"/>
        <v>#DIV/0!</v>
      </c>
      <c r="C79" s="43" t="e">
        <f t="shared" si="40"/>
        <v>#DIV/0!</v>
      </c>
      <c r="D79" s="43" t="e">
        <f t="shared" si="41"/>
        <v>#DIV/0!</v>
      </c>
      <c r="E79" s="43" t="e">
        <f t="shared" si="42"/>
        <v>#DIV/0!</v>
      </c>
      <c r="F79" s="43" t="e">
        <f t="shared" si="43"/>
        <v>#DIV/0!</v>
      </c>
      <c r="G79" s="43" t="e">
        <f t="shared" si="44"/>
        <v>#DIV/0!</v>
      </c>
      <c r="H79" s="43" t="e">
        <f t="shared" si="45"/>
        <v>#DIV/0!</v>
      </c>
      <c r="I79" s="43" t="e">
        <f t="shared" si="46"/>
        <v>#DIV/0!</v>
      </c>
      <c r="J79" s="43" t="e">
        <f t="shared" si="47"/>
        <v>#DIV/0!</v>
      </c>
      <c r="K79" s="43" t="e">
        <f t="shared" si="48"/>
        <v>#DIV/0!</v>
      </c>
      <c r="L79" s="43" t="e">
        <f t="shared" si="49"/>
        <v>#DIV/0!</v>
      </c>
      <c r="M79" s="43" t="e">
        <f t="shared" si="50"/>
        <v>#DIV/0!</v>
      </c>
      <c r="N79" s="43" t="e">
        <f t="shared" si="51"/>
        <v>#DIV/0!</v>
      </c>
      <c r="O79" s="43" t="e">
        <f t="shared" si="52"/>
        <v>#DIV/0!</v>
      </c>
      <c r="P79" s="43" t="e">
        <f t="shared" si="53"/>
        <v>#DIV/0!</v>
      </c>
      <c r="Q79" s="43" t="e">
        <f t="shared" si="54"/>
        <v>#DIV/0!</v>
      </c>
      <c r="R79" s="43" t="e">
        <f t="shared" si="55"/>
        <v>#DIV/0!</v>
      </c>
      <c r="S79" s="43" t="e">
        <f t="shared" si="56"/>
        <v>#DIV/0!</v>
      </c>
      <c r="T79" s="43" t="e">
        <f t="shared" si="57"/>
        <v>#DIV/0!</v>
      </c>
      <c r="U79" s="43" t="e">
        <f t="shared" si="58"/>
        <v>#DIV/0!</v>
      </c>
      <c r="V79" s="53" t="e">
        <f>V78+ATM_Conf!$C$5*(B78)/(B266*V266)</f>
        <v>#DIV/0!</v>
      </c>
      <c r="W79" s="53" t="e">
        <f>W78+ATM_Conf!$C$5*(C78-B78)/(C266*W266)</f>
        <v>#DIV/0!</v>
      </c>
      <c r="X79" s="53" t="e">
        <f>X78+ATM_Conf!$C$5*(D78-C78)/(D266*X266)</f>
        <v>#DIV/0!</v>
      </c>
      <c r="Y79" s="53" t="e">
        <f>Y78+ATM_Conf!$C$5*(E78-D78)/(E266*Y266)</f>
        <v>#DIV/0!</v>
      </c>
      <c r="Z79" s="53" t="e">
        <f>Z78+ATM_Conf!$C$5*(F78-E78)/(F266*Z266)</f>
        <v>#DIV/0!</v>
      </c>
      <c r="AA79" s="53" t="e">
        <f>AA78+ATM_Conf!$C$5*(G78-F78)/(G266*AA266)</f>
        <v>#DIV/0!</v>
      </c>
      <c r="AB79" s="53" t="e">
        <f>AB78+ATM_Conf!$C$5*(H78-G78)/(H266*AB266)</f>
        <v>#DIV/0!</v>
      </c>
      <c r="AC79" s="53" t="e">
        <f>AC78+ATM_Conf!$C$5*(I78-H78)/(I266*AC266)</f>
        <v>#DIV/0!</v>
      </c>
      <c r="AD79" s="53" t="e">
        <f>AD78+ATM_Conf!$C$5*(J78-I78)/(J266*AD266)</f>
        <v>#DIV/0!</v>
      </c>
      <c r="AE79" s="53" t="e">
        <f>AE78+ATM_Conf!$C$5*(K78-J78)/(K266*AE266)</f>
        <v>#DIV/0!</v>
      </c>
      <c r="AF79" s="53" t="e">
        <f>AF78+ATM_Conf!$C$5*(L78)/(L266*AF266)</f>
        <v>#DIV/0!</v>
      </c>
      <c r="AG79" s="53" t="e">
        <f>AG78+ATM_Conf!$C$5*(M78-L78)/(M266*AG266)</f>
        <v>#DIV/0!</v>
      </c>
      <c r="AH79" s="53" t="e">
        <f>AH78+ATM_Conf!$C$5*(N78-M78)/(N266*AH266)</f>
        <v>#DIV/0!</v>
      </c>
      <c r="AI79" s="53" t="e">
        <f>AI78+ATM_Conf!$C$5*(O78-N78)/(O266*AI266)</f>
        <v>#DIV/0!</v>
      </c>
      <c r="AJ79" s="53" t="e">
        <f>AJ78+ATM_Conf!$C$5*(P78-O78)/(P266*AJ266)</f>
        <v>#DIV/0!</v>
      </c>
      <c r="AK79" s="53" t="e">
        <f>AK78+ATM_Conf!$C$5*(Q78-P78)/(Q266*AK266)</f>
        <v>#DIV/0!</v>
      </c>
      <c r="AL79" s="53" t="e">
        <f>AL78+ATM_Conf!$C$5*(R78-Q78)/(R266*AL266)</f>
        <v>#DIV/0!</v>
      </c>
      <c r="AM79" s="53" t="e">
        <f>AM78+ATM_Conf!$C$5*(S78-R78)/(S266*AM266)</f>
        <v>#DIV/0!</v>
      </c>
      <c r="AN79" s="53" t="e">
        <f>AN78+ATM_Conf!$C$5*(T78-S78)/(T266*AN266)</f>
        <v>#DIV/0!</v>
      </c>
      <c r="AO79" s="53" t="e">
        <f>AO78+ATM_Conf!$C$5*(U78-T78)/(U266*AO266)</f>
        <v>#DIV/0!</v>
      </c>
      <c r="AP79" s="43" t="e">
        <f>AP78+(ATM_Conf!$C$5/ATM_Conf!$C$8)*(BJ79*EXP(-(1/CX79)*(V79/CD79)^CX79)-AP78)-(ATM_Conf!$C$5*ATM_Conf!$C$9)/(V266*ATM_Conf!$C$8)*(Nodes!BO78-V78)/(V78+ATM_Conf!$C$10)</f>
        <v>#DIV/0!</v>
      </c>
      <c r="AQ79" s="43" t="e">
        <f>AQ78+(ATM_Conf!$C$5/ATM_Conf!$C$8)*(BK79*EXP(-(1/CY79)*(W79/CE79)^CY79)-AQ78)+(ATM_Conf!$C$5/W266)*AQ78*(AP78-AQ78)-(ATM_Conf!$C$5*ATM_Conf!$C$9)/(W266*ATM_Conf!$C$8)*(X78-W78)/(W78+ATM_Conf!$C$10)</f>
        <v>#DIV/0!</v>
      </c>
      <c r="AR79" s="43" t="e">
        <f>AR78+(ATM_Conf!$C$5/ATM_Conf!$C$8)*(BL79*EXP(-(1/CZ79)*(X79/CF79)^CZ79)-AR78)+(ATM_Conf!$C$5/X266)*AR78*(Nodes!BC78-AR78)-(ATM_Conf!$C$5*ATM_Conf!$C$9)/(X266*ATM_Conf!$C$8)*(Nodes!BQ78-X78)/(X78+ATM_Conf!$C$10)</f>
        <v>#DIV/0!</v>
      </c>
      <c r="AS79" s="43" t="e">
        <f>AS78+(ATM_Conf!$C$5/ATM_Conf!$C$8)*(BM79*EXP(-(1/DA79)*(Y79/CG79)^DA79)-AS78)+(ATM_Conf!$C$5/Y266)*AS78*(AR78-AS78)-(ATM_Conf!$C$5*ATM_Conf!$C$9)/(Y266*ATM_Conf!$C$8)*(Z78-Y78)/(Y78+ATM_Conf!$C$10)</f>
        <v>#DIV/0!</v>
      </c>
      <c r="AT79" s="43" t="e">
        <f>AT78+(ATM_Conf!$C$5/ATM_Conf!$C$8)*(BN79*EXP(-(1/DB79)*(Z79/CH79)^DB79)-AT78)+(ATM_Conf!$C$5/Z266)*AT78*(Nodes!BE78-AT78)-(ATM_Conf!$C$5*ATM_Conf!$C$9)/(Z266*ATM_Conf!$C$8)*(Nodes!BS78-Z78)/(Z78+ATM_Conf!$C$10)</f>
        <v>#DIV/0!</v>
      </c>
      <c r="AU79" s="43" t="e">
        <f>AU78+(ATM_Conf!$C$5/ATM_Conf!$C$8)*(BO79*EXP(-(1/DC79)*(AA79/CI79)^DC79)-AU78)+(ATM_Conf!$C$5/AA266)*AU78*(Nodes!BF78-AU78)-(ATM_Conf!$C$5*ATM_Conf!$C$9)/(AA266*ATM_Conf!$C$8)*(Nodes!BV78-AA78)/(AA78+ATM_Conf!$C$10)</f>
        <v>#DIV/0!</v>
      </c>
      <c r="AV79" s="43" t="e">
        <f>AV78+(ATM_Conf!$C$5/ATM_Conf!$C$8)*(BP79*EXP(-(1/DD79)*(AB79/CJ79)^DD79)-AV78)+(ATM_Conf!$C$5/AB266)*AV78*(AU78-AV78)-(ATM_Conf!$C$5*ATM_Conf!$C$9)/(AB266*ATM_Conf!$C$8)*(AC78-AB78)/(AB78+ATM_Conf!$C$10)</f>
        <v>#DIV/0!</v>
      </c>
      <c r="AW79" s="43" t="e">
        <f>AW78+(ATM_Conf!$C$5/ATM_Conf!$C$8)*(BQ79*EXP(-(1/DE79)*(AC79/CK79)^DE79)-AW78)+(ATM_Conf!$C$5/AC266)*AW78*(AV78-AW78)-(ATM_Conf!$C$5*ATM_Conf!$C$9)/(AC266*ATM_Conf!$C$8)*(AD78-AC78)/(AC78+ATM_Conf!$C$10)</f>
        <v>#DIV/0!</v>
      </c>
      <c r="AX79" s="43" t="e">
        <f>AX78+(ATM_Conf!$C$5/ATM_Conf!$C$8)*(BR79*EXP(-(1/DF79)*(AD79/CL79)^DF79)-AX78)+(ATM_Conf!$C$5/AD266)*AX78*(Nodes!BG78-AX78)-(ATM_Conf!$C$5*ATM_Conf!$C$9)/(AD266*ATM_Conf!$C$8)*(Nodes!BU78-AD78)/(AD78+ATM_Conf!$C$10)</f>
        <v>#DIV/0!</v>
      </c>
      <c r="AY79" s="43" t="e">
        <f>AY78+(ATM_Conf!$C$5/ATM_Conf!$C$8)*(BS79*EXP(-(1/DG79)*(AE79/CM79)^DG79)-AY78)+(ATM_Conf!$C$5/AE266)*AY78*(Nodes!BF78-AY78)</f>
        <v>#DIV/0!</v>
      </c>
      <c r="AZ79" s="43" t="e">
        <f>AZ78+(ATM_Conf!$C$5/ATM_Conf!$C$8)*(BT79*EXP(-(1/DH79)*(AF79/CN79)^DH79)-AZ78)-(ATM_Conf!$C$5*ATM_Conf!$C$9)/(AF266*ATM_Conf!$C$8)*(Nodes!BV78-AF78)/(AF78+ATM_Conf!$C$10)</f>
        <v>#DIV/0!</v>
      </c>
      <c r="BA79" s="43" t="e">
        <f>BA78+(ATM_Conf!$C$5/ATM_Conf!$C$8)*(BU79*EXP(-(1/DI79)*(AG79/CO79)^DI79)-BA78)+(ATM_Conf!$C$5/AG266)*BA78*(Nodes!BI78-BA78)-(ATM_Conf!$C$5*ATM_Conf!$C$9)/(AG266*ATM_Conf!$C$8)*(Nodes!BW78-AG78)/(AG78+ATM_Conf!$C$10)</f>
        <v>#DIV/0!</v>
      </c>
      <c r="BB79" s="43" t="e">
        <f>BB78+(ATM_Conf!$C$5/ATM_Conf!$C$8)*(BV79*EXP(-(1/DJ79)*(AH79/CP79)^DJ79)-BB78)+(ATM_Conf!$C$5/AH266)*BB78*(Nodes!BJ78-BB78)-(ATM_Conf!$C$5*ATM_Conf!$C$9)/(AH266*ATM_Conf!$C$8)*(AI78-AH78)/(AH78+ATM_Conf!$C$10)</f>
        <v>#DIV/0!</v>
      </c>
      <c r="BC79" s="43" t="e">
        <f>BC78+(ATM_Conf!$C$5/ATM_Conf!$C$8)*(BW79*EXP(-(1/DK79)*(AI79/CQ79)^DK79)-BC78)+(ATM_Conf!$C$5/AI266)*BC78*(BB78-BC78)-(ATM_Conf!$C$5*ATM_Conf!$C$9)/(AI266*ATM_Conf!$C$8)*(AJ78-AI78)/(AI78+ATM_Conf!$C$10)</f>
        <v>#DIV/0!</v>
      </c>
      <c r="BD79" s="43" t="e">
        <f>BD78+(ATM_Conf!$C$5/ATM_Conf!$C$8)*(BX79*EXP(-(1/DL79)*(AJ79/CR79)^DL79)-BD78)+(ATM_Conf!$C$5/AJ266)*BD78*(BC78-BD78)-(ATM_Conf!$C$5*ATM_Conf!$C$9)/(AJ266*ATM_Conf!$C$8)*(Nodes!BX78-AJ78)/(AJ78+ATM_Conf!$C$10)</f>
        <v>#DIV/0!</v>
      </c>
      <c r="BE79" s="43" t="e">
        <f>BE78+(ATM_Conf!$C$5/ATM_Conf!$C$8)*(BY79*EXP(-(1/DM79)*(AK79/CS79)^DM79)-BE78)+(ATM_Conf!$C$5/AK266)*BE78*(Nodes!BK78-BE78)-(ATM_Conf!$C$5*ATM_Conf!$C$9)/(AK266*ATM_Conf!$C$8)*(Nodes!BY78-AK78)/(AK78+ATM_Conf!$C$10)</f>
        <v>#DIV/0!</v>
      </c>
      <c r="BF79" s="43" t="e">
        <f>BF78+(ATM_Conf!$C$5/ATM_Conf!$C$8)*(BZ79*EXP(-(1/DN79)*(AL79/CT79)^DN79)-BF78)+(ATM_Conf!$C$5/AL266)*BF78*(BE78-BF78)-(ATM_Conf!$C$5*ATM_Conf!$C$9)/(AL266*ATM_Conf!$C$8)*(AM78-AL78)/(AL78+ATM_Conf!$C$10)</f>
        <v>#DIV/0!</v>
      </c>
      <c r="BG79" s="43" t="e">
        <f>BG78+(ATM_Conf!$C$5/ATM_Conf!$C$8)*(CA79*EXP(-(1/DO79)*(AM79/CU79)^DO79)-BG78)+(ATM_Conf!$C$5/AM266)*BG78*(Nodes!BM78-BG78)-(ATM_Conf!$C$5*ATM_Conf!$C$9)/(AM266*ATM_Conf!$C$8)*(Nodes!CA78-AM78)/(AM78+ATM_Conf!$C$10)</f>
        <v>#DIV/0!</v>
      </c>
      <c r="BH79" s="43" t="e">
        <f>BH78+(ATM_Conf!$C$5/ATM_Conf!$C$8)*(CB79*EXP(-(1/DP79)*(AN79/CV79)^DP79)-BH78)+(ATM_Conf!$C$5/AN266)*BH78*(BG78-BH78)-(ATM_Conf!$C$5*ATM_Conf!$C$9)/(AN266*ATM_Conf!$C$8)*(AO78-AN78)/(AN78+ATM_Conf!$C$10)</f>
        <v>#DIV/0!</v>
      </c>
      <c r="BI79" s="43" t="e">
        <f>BI78+(ATM_Conf!$C$5/ATM_Conf!$C$8)*(CC79*EXP(-(1/DQ79)*(AO79/CW79)^DQ79)-BI78)+(ATM_Conf!$C$5/AO266)*BI78*(BH78-BI78)</f>
        <v>#DIV/0!</v>
      </c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53"/>
      <c r="CA79" s="53"/>
      <c r="CB79" s="53"/>
      <c r="CC79" s="5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53"/>
      <c r="CY79" s="53"/>
      <c r="CZ79" s="53"/>
      <c r="DA79" s="53"/>
      <c r="DB79" s="53"/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  <c r="DR79" s="43">
        <f t="shared" si="61"/>
        <v>0</v>
      </c>
      <c r="DS79" s="43">
        <f t="shared" si="60"/>
        <v>0</v>
      </c>
      <c r="DT79" s="43">
        <f t="shared" si="60"/>
        <v>0</v>
      </c>
      <c r="DU79" s="43">
        <f t="shared" si="60"/>
        <v>0</v>
      </c>
      <c r="DV79" s="43">
        <f t="shared" si="60"/>
        <v>0</v>
      </c>
      <c r="DW79" s="43">
        <f t="shared" si="60"/>
        <v>0</v>
      </c>
      <c r="DX79" s="43">
        <f t="shared" si="60"/>
        <v>0</v>
      </c>
      <c r="DY79" s="43">
        <f t="shared" si="60"/>
        <v>0</v>
      </c>
      <c r="DZ79" s="43">
        <f t="shared" si="60"/>
        <v>0</v>
      </c>
      <c r="EA79" s="43">
        <f t="shared" si="60"/>
        <v>0</v>
      </c>
      <c r="EB79" s="43">
        <f t="shared" si="60"/>
        <v>0</v>
      </c>
      <c r="EC79" s="43">
        <f t="shared" si="60"/>
        <v>0</v>
      </c>
      <c r="ED79" s="43">
        <f t="shared" si="60"/>
        <v>0</v>
      </c>
      <c r="EE79" s="43">
        <f t="shared" si="60"/>
        <v>0</v>
      </c>
      <c r="EF79" s="43">
        <f t="shared" si="60"/>
        <v>0</v>
      </c>
      <c r="EG79" s="43">
        <f t="shared" si="60"/>
        <v>0</v>
      </c>
      <c r="EH79" s="43">
        <f t="shared" si="60"/>
        <v>0</v>
      </c>
      <c r="EI79" s="43">
        <f t="shared" si="60"/>
        <v>0</v>
      </c>
      <c r="EJ79" s="43">
        <f t="shared" si="60"/>
        <v>0</v>
      </c>
      <c r="EK79" s="43">
        <f t="shared" si="60"/>
        <v>0</v>
      </c>
      <c r="EL79" s="47"/>
      <c r="EM79" s="47"/>
      <c r="EN79" s="47"/>
      <c r="EO79" s="47"/>
      <c r="EP79" s="47"/>
      <c r="EQ79" s="47"/>
      <c r="ER79" s="47"/>
      <c r="ES79" s="47"/>
      <c r="ET79" s="47"/>
      <c r="EU79" s="47"/>
      <c r="EV79" s="47"/>
      <c r="EW79" s="47"/>
      <c r="EX79" s="47"/>
      <c r="EY79" s="47"/>
      <c r="EZ79" s="47"/>
      <c r="FA79" s="47"/>
      <c r="FB79" s="47"/>
      <c r="FC79" s="47"/>
      <c r="FD79" s="47"/>
      <c r="FE79" s="47"/>
    </row>
    <row r="80" spans="1:161" ht="14.25" x14ac:dyDescent="0.15">
      <c r="A80" s="46"/>
      <c r="B80" s="43" t="e">
        <f t="shared" si="39"/>
        <v>#DIV/0!</v>
      </c>
      <c r="C80" s="43" t="e">
        <f t="shared" si="40"/>
        <v>#DIV/0!</v>
      </c>
      <c r="D80" s="43" t="e">
        <f t="shared" si="41"/>
        <v>#DIV/0!</v>
      </c>
      <c r="E80" s="43" t="e">
        <f t="shared" si="42"/>
        <v>#DIV/0!</v>
      </c>
      <c r="F80" s="43" t="e">
        <f t="shared" si="43"/>
        <v>#DIV/0!</v>
      </c>
      <c r="G80" s="43" t="e">
        <f t="shared" si="44"/>
        <v>#DIV/0!</v>
      </c>
      <c r="H80" s="43" t="e">
        <f t="shared" si="45"/>
        <v>#DIV/0!</v>
      </c>
      <c r="I80" s="43" t="e">
        <f t="shared" si="46"/>
        <v>#DIV/0!</v>
      </c>
      <c r="J80" s="43" t="e">
        <f t="shared" si="47"/>
        <v>#DIV/0!</v>
      </c>
      <c r="K80" s="43" t="e">
        <f t="shared" si="48"/>
        <v>#DIV/0!</v>
      </c>
      <c r="L80" s="43" t="e">
        <f t="shared" si="49"/>
        <v>#DIV/0!</v>
      </c>
      <c r="M80" s="43" t="e">
        <f t="shared" si="50"/>
        <v>#DIV/0!</v>
      </c>
      <c r="N80" s="43" t="e">
        <f t="shared" si="51"/>
        <v>#DIV/0!</v>
      </c>
      <c r="O80" s="43" t="e">
        <f t="shared" si="52"/>
        <v>#DIV/0!</v>
      </c>
      <c r="P80" s="43" t="e">
        <f t="shared" si="53"/>
        <v>#DIV/0!</v>
      </c>
      <c r="Q80" s="43" t="e">
        <f t="shared" si="54"/>
        <v>#DIV/0!</v>
      </c>
      <c r="R80" s="43" t="e">
        <f t="shared" si="55"/>
        <v>#DIV/0!</v>
      </c>
      <c r="S80" s="43" t="e">
        <f t="shared" si="56"/>
        <v>#DIV/0!</v>
      </c>
      <c r="T80" s="43" t="e">
        <f t="shared" si="57"/>
        <v>#DIV/0!</v>
      </c>
      <c r="U80" s="43" t="e">
        <f t="shared" si="58"/>
        <v>#DIV/0!</v>
      </c>
      <c r="V80" s="53" t="e">
        <f>V79+ATM_Conf!$C$5*(B79)/(B267*V267)</f>
        <v>#DIV/0!</v>
      </c>
      <c r="W80" s="53" t="e">
        <f>W79+ATM_Conf!$C$5*(C79-B79)/(C267*W267)</f>
        <v>#DIV/0!</v>
      </c>
      <c r="X80" s="53" t="e">
        <f>X79+ATM_Conf!$C$5*(D79-C79)/(D267*X267)</f>
        <v>#DIV/0!</v>
      </c>
      <c r="Y80" s="53" t="e">
        <f>Y79+ATM_Conf!$C$5*(E79-D79)/(E267*Y267)</f>
        <v>#DIV/0!</v>
      </c>
      <c r="Z80" s="53" t="e">
        <f>Z79+ATM_Conf!$C$5*(F79-E79)/(F267*Z267)</f>
        <v>#DIV/0!</v>
      </c>
      <c r="AA80" s="53" t="e">
        <f>AA79+ATM_Conf!$C$5*(G79-F79)/(G267*AA267)</f>
        <v>#DIV/0!</v>
      </c>
      <c r="AB80" s="53" t="e">
        <f>AB79+ATM_Conf!$C$5*(H79-G79)/(H267*AB267)</f>
        <v>#DIV/0!</v>
      </c>
      <c r="AC80" s="53" t="e">
        <f>AC79+ATM_Conf!$C$5*(I79-H79)/(I267*AC267)</f>
        <v>#DIV/0!</v>
      </c>
      <c r="AD80" s="53" t="e">
        <f>AD79+ATM_Conf!$C$5*(J79-I79)/(J267*AD267)</f>
        <v>#DIV/0!</v>
      </c>
      <c r="AE80" s="53" t="e">
        <f>AE79+ATM_Conf!$C$5*(K79-J79)/(K267*AE267)</f>
        <v>#DIV/0!</v>
      </c>
      <c r="AF80" s="53" t="e">
        <f>AF79+ATM_Conf!$C$5*(L79)/(L267*AF267)</f>
        <v>#DIV/0!</v>
      </c>
      <c r="AG80" s="53" t="e">
        <f>AG79+ATM_Conf!$C$5*(M79-L79)/(M267*AG267)</f>
        <v>#DIV/0!</v>
      </c>
      <c r="AH80" s="53" t="e">
        <f>AH79+ATM_Conf!$C$5*(N79-M79)/(N267*AH267)</f>
        <v>#DIV/0!</v>
      </c>
      <c r="AI80" s="53" t="e">
        <f>AI79+ATM_Conf!$C$5*(O79-N79)/(O267*AI267)</f>
        <v>#DIV/0!</v>
      </c>
      <c r="AJ80" s="53" t="e">
        <f>AJ79+ATM_Conf!$C$5*(P79-O79)/(P267*AJ267)</f>
        <v>#DIV/0!</v>
      </c>
      <c r="AK80" s="53" t="e">
        <f>AK79+ATM_Conf!$C$5*(Q79-P79)/(Q267*AK267)</f>
        <v>#DIV/0!</v>
      </c>
      <c r="AL80" s="53" t="e">
        <f>AL79+ATM_Conf!$C$5*(R79-Q79)/(R267*AL267)</f>
        <v>#DIV/0!</v>
      </c>
      <c r="AM80" s="53" t="e">
        <f>AM79+ATM_Conf!$C$5*(S79-R79)/(S267*AM267)</f>
        <v>#DIV/0!</v>
      </c>
      <c r="AN80" s="53" t="e">
        <f>AN79+ATM_Conf!$C$5*(T79-S79)/(T267*AN267)</f>
        <v>#DIV/0!</v>
      </c>
      <c r="AO80" s="53" t="e">
        <f>AO79+ATM_Conf!$C$5*(U79-T79)/(U267*AO267)</f>
        <v>#DIV/0!</v>
      </c>
      <c r="AP80" s="43" t="e">
        <f>AP79+(ATM_Conf!$C$5/ATM_Conf!$C$8)*(BJ80*EXP(-(1/CX80)*(V80/CD80)^CX80)-AP79)-(ATM_Conf!$C$5*ATM_Conf!$C$9)/(V267*ATM_Conf!$C$8)*(Nodes!BO79-V79)/(V79+ATM_Conf!$C$10)</f>
        <v>#DIV/0!</v>
      </c>
      <c r="AQ80" s="43" t="e">
        <f>AQ79+(ATM_Conf!$C$5/ATM_Conf!$C$8)*(BK80*EXP(-(1/CY80)*(W80/CE80)^CY80)-AQ79)+(ATM_Conf!$C$5/W267)*AQ79*(AP79-AQ79)-(ATM_Conf!$C$5*ATM_Conf!$C$9)/(W267*ATM_Conf!$C$8)*(X79-W79)/(W79+ATM_Conf!$C$10)</f>
        <v>#DIV/0!</v>
      </c>
      <c r="AR80" s="43" t="e">
        <f>AR79+(ATM_Conf!$C$5/ATM_Conf!$C$8)*(BL80*EXP(-(1/CZ80)*(X80/CF80)^CZ80)-AR79)+(ATM_Conf!$C$5/X267)*AR79*(Nodes!BC79-AR79)-(ATM_Conf!$C$5*ATM_Conf!$C$9)/(X267*ATM_Conf!$C$8)*(Nodes!BQ79-X79)/(X79+ATM_Conf!$C$10)</f>
        <v>#DIV/0!</v>
      </c>
      <c r="AS80" s="43" t="e">
        <f>AS79+(ATM_Conf!$C$5/ATM_Conf!$C$8)*(BM80*EXP(-(1/DA80)*(Y80/CG80)^DA80)-AS79)+(ATM_Conf!$C$5/Y267)*AS79*(AR79-AS79)-(ATM_Conf!$C$5*ATM_Conf!$C$9)/(Y267*ATM_Conf!$C$8)*(Z79-Y79)/(Y79+ATM_Conf!$C$10)</f>
        <v>#DIV/0!</v>
      </c>
      <c r="AT80" s="43" t="e">
        <f>AT79+(ATM_Conf!$C$5/ATM_Conf!$C$8)*(BN80*EXP(-(1/DB80)*(Z80/CH80)^DB80)-AT79)+(ATM_Conf!$C$5/Z267)*AT79*(Nodes!BE79-AT79)-(ATM_Conf!$C$5*ATM_Conf!$C$9)/(Z267*ATM_Conf!$C$8)*(Nodes!BS79-Z79)/(Z79+ATM_Conf!$C$10)</f>
        <v>#DIV/0!</v>
      </c>
      <c r="AU80" s="43" t="e">
        <f>AU79+(ATM_Conf!$C$5/ATM_Conf!$C$8)*(BO80*EXP(-(1/DC80)*(AA80/CI80)^DC80)-AU79)+(ATM_Conf!$C$5/AA267)*AU79*(Nodes!BF79-AU79)-(ATM_Conf!$C$5*ATM_Conf!$C$9)/(AA267*ATM_Conf!$C$8)*(Nodes!BV79-AA79)/(AA79+ATM_Conf!$C$10)</f>
        <v>#DIV/0!</v>
      </c>
      <c r="AV80" s="43" t="e">
        <f>AV79+(ATM_Conf!$C$5/ATM_Conf!$C$8)*(BP80*EXP(-(1/DD80)*(AB80/CJ80)^DD80)-AV79)+(ATM_Conf!$C$5/AB267)*AV79*(AU79-AV79)-(ATM_Conf!$C$5*ATM_Conf!$C$9)/(AB267*ATM_Conf!$C$8)*(AC79-AB79)/(AB79+ATM_Conf!$C$10)</f>
        <v>#DIV/0!</v>
      </c>
      <c r="AW80" s="43" t="e">
        <f>AW79+(ATM_Conf!$C$5/ATM_Conf!$C$8)*(BQ80*EXP(-(1/DE80)*(AC80/CK80)^DE80)-AW79)+(ATM_Conf!$C$5/AC267)*AW79*(AV79-AW79)-(ATM_Conf!$C$5*ATM_Conf!$C$9)/(AC267*ATM_Conf!$C$8)*(AD79-AC79)/(AC79+ATM_Conf!$C$10)</f>
        <v>#DIV/0!</v>
      </c>
      <c r="AX80" s="43" t="e">
        <f>AX79+(ATM_Conf!$C$5/ATM_Conf!$C$8)*(BR80*EXP(-(1/DF80)*(AD80/CL80)^DF80)-AX79)+(ATM_Conf!$C$5/AD267)*AX79*(Nodes!BG79-AX79)-(ATM_Conf!$C$5*ATM_Conf!$C$9)/(AD267*ATM_Conf!$C$8)*(Nodes!BU79-AD79)/(AD79+ATM_Conf!$C$10)</f>
        <v>#DIV/0!</v>
      </c>
      <c r="AY80" s="43" t="e">
        <f>AY79+(ATM_Conf!$C$5/ATM_Conf!$C$8)*(BS80*EXP(-(1/DG80)*(AE80/CM80)^DG80)-AY79)+(ATM_Conf!$C$5/AE267)*AY79*(Nodes!BF79-AY79)</f>
        <v>#DIV/0!</v>
      </c>
      <c r="AZ80" s="43" t="e">
        <f>AZ79+(ATM_Conf!$C$5/ATM_Conf!$C$8)*(BT80*EXP(-(1/DH80)*(AF80/CN80)^DH80)-AZ79)-(ATM_Conf!$C$5*ATM_Conf!$C$9)/(AF267*ATM_Conf!$C$8)*(Nodes!BV79-AF79)/(AF79+ATM_Conf!$C$10)</f>
        <v>#DIV/0!</v>
      </c>
      <c r="BA80" s="43" t="e">
        <f>BA79+(ATM_Conf!$C$5/ATM_Conf!$C$8)*(BU80*EXP(-(1/DI80)*(AG80/CO80)^DI80)-BA79)+(ATM_Conf!$C$5/AG267)*BA79*(Nodes!BI79-BA79)-(ATM_Conf!$C$5*ATM_Conf!$C$9)/(AG267*ATM_Conf!$C$8)*(Nodes!BW79-AG79)/(AG79+ATM_Conf!$C$10)</f>
        <v>#DIV/0!</v>
      </c>
      <c r="BB80" s="43" t="e">
        <f>BB79+(ATM_Conf!$C$5/ATM_Conf!$C$8)*(BV80*EXP(-(1/DJ80)*(AH80/CP80)^DJ80)-BB79)+(ATM_Conf!$C$5/AH267)*BB79*(Nodes!BJ79-BB79)-(ATM_Conf!$C$5*ATM_Conf!$C$9)/(AH267*ATM_Conf!$C$8)*(AI79-AH79)/(AH79+ATM_Conf!$C$10)</f>
        <v>#DIV/0!</v>
      </c>
      <c r="BC80" s="43" t="e">
        <f>BC79+(ATM_Conf!$C$5/ATM_Conf!$C$8)*(BW80*EXP(-(1/DK80)*(AI80/CQ80)^DK80)-BC79)+(ATM_Conf!$C$5/AI267)*BC79*(BB79-BC79)-(ATM_Conf!$C$5*ATM_Conf!$C$9)/(AI267*ATM_Conf!$C$8)*(AJ79-AI79)/(AI79+ATM_Conf!$C$10)</f>
        <v>#DIV/0!</v>
      </c>
      <c r="BD80" s="43" t="e">
        <f>BD79+(ATM_Conf!$C$5/ATM_Conf!$C$8)*(BX80*EXP(-(1/DL80)*(AJ80/CR80)^DL80)-BD79)+(ATM_Conf!$C$5/AJ267)*BD79*(BC79-BD79)-(ATM_Conf!$C$5*ATM_Conf!$C$9)/(AJ267*ATM_Conf!$C$8)*(Nodes!BX79-AJ79)/(AJ79+ATM_Conf!$C$10)</f>
        <v>#DIV/0!</v>
      </c>
      <c r="BE80" s="43" t="e">
        <f>BE79+(ATM_Conf!$C$5/ATM_Conf!$C$8)*(BY80*EXP(-(1/DM80)*(AK80/CS80)^DM80)-BE79)+(ATM_Conf!$C$5/AK267)*BE79*(Nodes!BK79-BE79)-(ATM_Conf!$C$5*ATM_Conf!$C$9)/(AK267*ATM_Conf!$C$8)*(Nodes!BY79-AK79)/(AK79+ATM_Conf!$C$10)</f>
        <v>#DIV/0!</v>
      </c>
      <c r="BF80" s="43" t="e">
        <f>BF79+(ATM_Conf!$C$5/ATM_Conf!$C$8)*(BZ80*EXP(-(1/DN80)*(AL80/CT80)^DN80)-BF79)+(ATM_Conf!$C$5/AL267)*BF79*(BE79-BF79)-(ATM_Conf!$C$5*ATM_Conf!$C$9)/(AL267*ATM_Conf!$C$8)*(AM79-AL79)/(AL79+ATM_Conf!$C$10)</f>
        <v>#DIV/0!</v>
      </c>
      <c r="BG80" s="43" t="e">
        <f>BG79+(ATM_Conf!$C$5/ATM_Conf!$C$8)*(CA80*EXP(-(1/DO80)*(AM80/CU80)^DO80)-BG79)+(ATM_Conf!$C$5/AM267)*BG79*(Nodes!BM79-BG79)-(ATM_Conf!$C$5*ATM_Conf!$C$9)/(AM267*ATM_Conf!$C$8)*(Nodes!CA79-AM79)/(AM79+ATM_Conf!$C$10)</f>
        <v>#DIV/0!</v>
      </c>
      <c r="BH80" s="43" t="e">
        <f>BH79+(ATM_Conf!$C$5/ATM_Conf!$C$8)*(CB80*EXP(-(1/DP80)*(AN80/CV80)^DP80)-BH79)+(ATM_Conf!$C$5/AN267)*BH79*(BG79-BH79)-(ATM_Conf!$C$5*ATM_Conf!$C$9)/(AN267*ATM_Conf!$C$8)*(AO79-AN79)/(AN79+ATM_Conf!$C$10)</f>
        <v>#DIV/0!</v>
      </c>
      <c r="BI80" s="43" t="e">
        <f>BI79+(ATM_Conf!$C$5/ATM_Conf!$C$8)*(CC80*EXP(-(1/DQ80)*(AO80/CW80)^DQ80)-BI79)+(ATM_Conf!$C$5/AO267)*BI79*(BH79-BI79)</f>
        <v>#DIV/0!</v>
      </c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53"/>
      <c r="CY80" s="53"/>
      <c r="CZ80" s="53"/>
      <c r="DA80" s="53"/>
      <c r="DB80" s="53"/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  <c r="DR80" s="43">
        <f t="shared" si="61"/>
        <v>0</v>
      </c>
      <c r="DS80" s="43">
        <f t="shared" si="60"/>
        <v>0</v>
      </c>
      <c r="DT80" s="43">
        <f t="shared" si="60"/>
        <v>0</v>
      </c>
      <c r="DU80" s="43">
        <f t="shared" si="60"/>
        <v>0</v>
      </c>
      <c r="DV80" s="43">
        <f t="shared" si="60"/>
        <v>0</v>
      </c>
      <c r="DW80" s="43">
        <f t="shared" si="60"/>
        <v>0</v>
      </c>
      <c r="DX80" s="43">
        <f t="shared" si="60"/>
        <v>0</v>
      </c>
      <c r="DY80" s="43">
        <f t="shared" si="60"/>
        <v>0</v>
      </c>
      <c r="DZ80" s="43">
        <f t="shared" si="60"/>
        <v>0</v>
      </c>
      <c r="EA80" s="43">
        <f t="shared" si="60"/>
        <v>0</v>
      </c>
      <c r="EB80" s="43">
        <f t="shared" si="60"/>
        <v>0</v>
      </c>
      <c r="EC80" s="43">
        <f t="shared" si="60"/>
        <v>0</v>
      </c>
      <c r="ED80" s="43">
        <f t="shared" si="60"/>
        <v>0</v>
      </c>
      <c r="EE80" s="43">
        <f t="shared" si="60"/>
        <v>0</v>
      </c>
      <c r="EF80" s="43">
        <f t="shared" si="60"/>
        <v>0</v>
      </c>
      <c r="EG80" s="43">
        <f t="shared" si="60"/>
        <v>0</v>
      </c>
      <c r="EH80" s="43">
        <f t="shared" si="60"/>
        <v>0</v>
      </c>
      <c r="EI80" s="43">
        <f t="shared" si="60"/>
        <v>0</v>
      </c>
      <c r="EJ80" s="43">
        <f t="shared" si="60"/>
        <v>0</v>
      </c>
      <c r="EK80" s="43">
        <f t="shared" si="60"/>
        <v>0</v>
      </c>
      <c r="EL80" s="47"/>
      <c r="EM80" s="47"/>
      <c r="EN80" s="47"/>
      <c r="EO80" s="47"/>
      <c r="EP80" s="47"/>
      <c r="EQ80" s="47"/>
      <c r="ER80" s="47"/>
      <c r="ES80" s="47"/>
      <c r="ET80" s="47"/>
      <c r="EU80" s="47"/>
      <c r="EV80" s="47"/>
      <c r="EW80" s="47"/>
      <c r="EX80" s="47"/>
      <c r="EY80" s="47"/>
      <c r="EZ80" s="47"/>
      <c r="FA80" s="47"/>
      <c r="FB80" s="47"/>
      <c r="FC80" s="47"/>
      <c r="FD80" s="47"/>
      <c r="FE80" s="47"/>
    </row>
    <row r="81" spans="1:161" ht="14.25" x14ac:dyDescent="0.15">
      <c r="A81" s="46"/>
      <c r="B81" s="43" t="e">
        <f t="shared" si="39"/>
        <v>#DIV/0!</v>
      </c>
      <c r="C81" s="43" t="e">
        <f t="shared" si="40"/>
        <v>#DIV/0!</v>
      </c>
      <c r="D81" s="43" t="e">
        <f t="shared" si="41"/>
        <v>#DIV/0!</v>
      </c>
      <c r="E81" s="43" t="e">
        <f t="shared" si="42"/>
        <v>#DIV/0!</v>
      </c>
      <c r="F81" s="43" t="e">
        <f t="shared" si="43"/>
        <v>#DIV/0!</v>
      </c>
      <c r="G81" s="43" t="e">
        <f t="shared" si="44"/>
        <v>#DIV/0!</v>
      </c>
      <c r="H81" s="43" t="e">
        <f t="shared" si="45"/>
        <v>#DIV/0!</v>
      </c>
      <c r="I81" s="43" t="e">
        <f t="shared" si="46"/>
        <v>#DIV/0!</v>
      </c>
      <c r="J81" s="43" t="e">
        <f t="shared" si="47"/>
        <v>#DIV/0!</v>
      </c>
      <c r="K81" s="43" t="e">
        <f t="shared" si="48"/>
        <v>#DIV/0!</v>
      </c>
      <c r="L81" s="43" t="e">
        <f t="shared" si="49"/>
        <v>#DIV/0!</v>
      </c>
      <c r="M81" s="43" t="e">
        <f t="shared" si="50"/>
        <v>#DIV/0!</v>
      </c>
      <c r="N81" s="43" t="e">
        <f t="shared" si="51"/>
        <v>#DIV/0!</v>
      </c>
      <c r="O81" s="43" t="e">
        <f t="shared" si="52"/>
        <v>#DIV/0!</v>
      </c>
      <c r="P81" s="43" t="e">
        <f t="shared" si="53"/>
        <v>#DIV/0!</v>
      </c>
      <c r="Q81" s="43" t="e">
        <f t="shared" si="54"/>
        <v>#DIV/0!</v>
      </c>
      <c r="R81" s="43" t="e">
        <f t="shared" si="55"/>
        <v>#DIV/0!</v>
      </c>
      <c r="S81" s="43" t="e">
        <f t="shared" si="56"/>
        <v>#DIV/0!</v>
      </c>
      <c r="T81" s="43" t="e">
        <f t="shared" si="57"/>
        <v>#DIV/0!</v>
      </c>
      <c r="U81" s="43" t="e">
        <f t="shared" si="58"/>
        <v>#DIV/0!</v>
      </c>
      <c r="V81" s="53" t="e">
        <f>V80+ATM_Conf!$C$5*(B80)/(B268*V268)</f>
        <v>#DIV/0!</v>
      </c>
      <c r="W81" s="53" t="e">
        <f>W80+ATM_Conf!$C$5*(C80-B80)/(C268*W268)</f>
        <v>#DIV/0!</v>
      </c>
      <c r="X81" s="53" t="e">
        <f>X80+ATM_Conf!$C$5*(D80-C80)/(D268*X268)</f>
        <v>#DIV/0!</v>
      </c>
      <c r="Y81" s="53" t="e">
        <f>Y80+ATM_Conf!$C$5*(E80-D80)/(E268*Y268)</f>
        <v>#DIV/0!</v>
      </c>
      <c r="Z81" s="53" t="e">
        <f>Z80+ATM_Conf!$C$5*(F80-E80)/(F268*Z268)</f>
        <v>#DIV/0!</v>
      </c>
      <c r="AA81" s="53" t="e">
        <f>AA80+ATM_Conf!$C$5*(G80-F80)/(G268*AA268)</f>
        <v>#DIV/0!</v>
      </c>
      <c r="AB81" s="53" t="e">
        <f>AB80+ATM_Conf!$C$5*(H80-G80)/(H268*AB268)</f>
        <v>#DIV/0!</v>
      </c>
      <c r="AC81" s="53" t="e">
        <f>AC80+ATM_Conf!$C$5*(I80-H80)/(I268*AC268)</f>
        <v>#DIV/0!</v>
      </c>
      <c r="AD81" s="53" t="e">
        <f>AD80+ATM_Conf!$C$5*(J80-I80)/(J268*AD268)</f>
        <v>#DIV/0!</v>
      </c>
      <c r="AE81" s="53" t="e">
        <f>AE80+ATM_Conf!$C$5*(K80-J80)/(K268*AE268)</f>
        <v>#DIV/0!</v>
      </c>
      <c r="AF81" s="53" t="e">
        <f>AF80+ATM_Conf!$C$5*(L80)/(L268*AF268)</f>
        <v>#DIV/0!</v>
      </c>
      <c r="AG81" s="53" t="e">
        <f>AG80+ATM_Conf!$C$5*(M80-L80)/(M268*AG268)</f>
        <v>#DIV/0!</v>
      </c>
      <c r="AH81" s="53" t="e">
        <f>AH80+ATM_Conf!$C$5*(N80-M80)/(N268*AH268)</f>
        <v>#DIV/0!</v>
      </c>
      <c r="AI81" s="53" t="e">
        <f>AI80+ATM_Conf!$C$5*(O80-N80)/(O268*AI268)</f>
        <v>#DIV/0!</v>
      </c>
      <c r="AJ81" s="53" t="e">
        <f>AJ80+ATM_Conf!$C$5*(P80-O80)/(P268*AJ268)</f>
        <v>#DIV/0!</v>
      </c>
      <c r="AK81" s="53" t="e">
        <f>AK80+ATM_Conf!$C$5*(Q80-P80)/(Q268*AK268)</f>
        <v>#DIV/0!</v>
      </c>
      <c r="AL81" s="53" t="e">
        <f>AL80+ATM_Conf!$C$5*(R80-Q80)/(R268*AL268)</f>
        <v>#DIV/0!</v>
      </c>
      <c r="AM81" s="53" t="e">
        <f>AM80+ATM_Conf!$C$5*(S80-R80)/(S268*AM268)</f>
        <v>#DIV/0!</v>
      </c>
      <c r="AN81" s="53" t="e">
        <f>AN80+ATM_Conf!$C$5*(T80-S80)/(T268*AN268)</f>
        <v>#DIV/0!</v>
      </c>
      <c r="AO81" s="53" t="e">
        <f>AO80+ATM_Conf!$C$5*(U80-T80)/(U268*AO268)</f>
        <v>#DIV/0!</v>
      </c>
      <c r="AP81" s="43" t="e">
        <f>AP80+(ATM_Conf!$C$5/ATM_Conf!$C$8)*(BJ81*EXP(-(1/CX81)*(V81/CD81)^CX81)-AP80)-(ATM_Conf!$C$5*ATM_Conf!$C$9)/(V268*ATM_Conf!$C$8)*(Nodes!BO80-V80)/(V80+ATM_Conf!$C$10)</f>
        <v>#DIV/0!</v>
      </c>
      <c r="AQ81" s="43" t="e">
        <f>AQ80+(ATM_Conf!$C$5/ATM_Conf!$C$8)*(BK81*EXP(-(1/CY81)*(W81/CE81)^CY81)-AQ80)+(ATM_Conf!$C$5/W268)*AQ80*(AP80-AQ80)-(ATM_Conf!$C$5*ATM_Conf!$C$9)/(W268*ATM_Conf!$C$8)*(X80-W80)/(W80+ATM_Conf!$C$10)</f>
        <v>#DIV/0!</v>
      </c>
      <c r="AR81" s="43" t="e">
        <f>AR80+(ATM_Conf!$C$5/ATM_Conf!$C$8)*(BL81*EXP(-(1/CZ81)*(X81/CF81)^CZ81)-AR80)+(ATM_Conf!$C$5/X268)*AR80*(Nodes!BC80-AR80)-(ATM_Conf!$C$5*ATM_Conf!$C$9)/(X268*ATM_Conf!$C$8)*(Nodes!BQ80-X80)/(X80+ATM_Conf!$C$10)</f>
        <v>#DIV/0!</v>
      </c>
      <c r="AS81" s="43" t="e">
        <f>AS80+(ATM_Conf!$C$5/ATM_Conf!$C$8)*(BM81*EXP(-(1/DA81)*(Y81/CG81)^DA81)-AS80)+(ATM_Conf!$C$5/Y268)*AS80*(AR80-AS80)-(ATM_Conf!$C$5*ATM_Conf!$C$9)/(Y268*ATM_Conf!$C$8)*(Z80-Y80)/(Y80+ATM_Conf!$C$10)</f>
        <v>#DIV/0!</v>
      </c>
      <c r="AT81" s="43" t="e">
        <f>AT80+(ATM_Conf!$C$5/ATM_Conf!$C$8)*(BN81*EXP(-(1/DB81)*(Z81/CH81)^DB81)-AT80)+(ATM_Conf!$C$5/Z268)*AT80*(Nodes!BE80-AT80)-(ATM_Conf!$C$5*ATM_Conf!$C$9)/(Z268*ATM_Conf!$C$8)*(Nodes!BS80-Z80)/(Z80+ATM_Conf!$C$10)</f>
        <v>#DIV/0!</v>
      </c>
      <c r="AU81" s="43" t="e">
        <f>AU80+(ATM_Conf!$C$5/ATM_Conf!$C$8)*(BO81*EXP(-(1/DC81)*(AA81/CI81)^DC81)-AU80)+(ATM_Conf!$C$5/AA268)*AU80*(Nodes!BF80-AU80)-(ATM_Conf!$C$5*ATM_Conf!$C$9)/(AA268*ATM_Conf!$C$8)*(Nodes!BV80-AA80)/(AA80+ATM_Conf!$C$10)</f>
        <v>#DIV/0!</v>
      </c>
      <c r="AV81" s="43" t="e">
        <f>AV80+(ATM_Conf!$C$5/ATM_Conf!$C$8)*(BP81*EXP(-(1/DD81)*(AB81/CJ81)^DD81)-AV80)+(ATM_Conf!$C$5/AB268)*AV80*(AU80-AV80)-(ATM_Conf!$C$5*ATM_Conf!$C$9)/(AB268*ATM_Conf!$C$8)*(AC80-AB80)/(AB80+ATM_Conf!$C$10)</f>
        <v>#DIV/0!</v>
      </c>
      <c r="AW81" s="43" t="e">
        <f>AW80+(ATM_Conf!$C$5/ATM_Conf!$C$8)*(BQ81*EXP(-(1/DE81)*(AC81/CK81)^DE81)-AW80)+(ATM_Conf!$C$5/AC268)*AW80*(AV80-AW80)-(ATM_Conf!$C$5*ATM_Conf!$C$9)/(AC268*ATM_Conf!$C$8)*(AD80-AC80)/(AC80+ATM_Conf!$C$10)</f>
        <v>#DIV/0!</v>
      </c>
      <c r="AX81" s="43" t="e">
        <f>AX80+(ATM_Conf!$C$5/ATM_Conf!$C$8)*(BR81*EXP(-(1/DF81)*(AD81/CL81)^DF81)-AX80)+(ATM_Conf!$C$5/AD268)*AX80*(Nodes!BG80-AX80)-(ATM_Conf!$C$5*ATM_Conf!$C$9)/(AD268*ATM_Conf!$C$8)*(Nodes!BU80-AD80)/(AD80+ATM_Conf!$C$10)</f>
        <v>#DIV/0!</v>
      </c>
      <c r="AY81" s="43" t="e">
        <f>AY80+(ATM_Conf!$C$5/ATM_Conf!$C$8)*(BS81*EXP(-(1/DG81)*(AE81/CM81)^DG81)-AY80)+(ATM_Conf!$C$5/AE268)*AY80*(Nodes!BF80-AY80)</f>
        <v>#DIV/0!</v>
      </c>
      <c r="AZ81" s="43" t="e">
        <f>AZ80+(ATM_Conf!$C$5/ATM_Conf!$C$8)*(BT81*EXP(-(1/DH81)*(AF81/CN81)^DH81)-AZ80)-(ATM_Conf!$C$5*ATM_Conf!$C$9)/(AF268*ATM_Conf!$C$8)*(Nodes!BV80-AF80)/(AF80+ATM_Conf!$C$10)</f>
        <v>#DIV/0!</v>
      </c>
      <c r="BA81" s="43" t="e">
        <f>BA80+(ATM_Conf!$C$5/ATM_Conf!$C$8)*(BU81*EXP(-(1/DI81)*(AG81/CO81)^DI81)-BA80)+(ATM_Conf!$C$5/AG268)*BA80*(Nodes!BI80-BA80)-(ATM_Conf!$C$5*ATM_Conf!$C$9)/(AG268*ATM_Conf!$C$8)*(Nodes!BW80-AG80)/(AG80+ATM_Conf!$C$10)</f>
        <v>#DIV/0!</v>
      </c>
      <c r="BB81" s="43" t="e">
        <f>BB80+(ATM_Conf!$C$5/ATM_Conf!$C$8)*(BV81*EXP(-(1/DJ81)*(AH81/CP81)^DJ81)-BB80)+(ATM_Conf!$C$5/AH268)*BB80*(Nodes!BJ80-BB80)-(ATM_Conf!$C$5*ATM_Conf!$C$9)/(AH268*ATM_Conf!$C$8)*(AI80-AH80)/(AH80+ATM_Conf!$C$10)</f>
        <v>#DIV/0!</v>
      </c>
      <c r="BC81" s="43" t="e">
        <f>BC80+(ATM_Conf!$C$5/ATM_Conf!$C$8)*(BW81*EXP(-(1/DK81)*(AI81/CQ81)^DK81)-BC80)+(ATM_Conf!$C$5/AI268)*BC80*(BB80-BC80)-(ATM_Conf!$C$5*ATM_Conf!$C$9)/(AI268*ATM_Conf!$C$8)*(AJ80-AI80)/(AI80+ATM_Conf!$C$10)</f>
        <v>#DIV/0!</v>
      </c>
      <c r="BD81" s="43" t="e">
        <f>BD80+(ATM_Conf!$C$5/ATM_Conf!$C$8)*(BX81*EXP(-(1/DL81)*(AJ81/CR81)^DL81)-BD80)+(ATM_Conf!$C$5/AJ268)*BD80*(BC80-BD80)-(ATM_Conf!$C$5*ATM_Conf!$C$9)/(AJ268*ATM_Conf!$C$8)*(Nodes!BX80-AJ80)/(AJ80+ATM_Conf!$C$10)</f>
        <v>#DIV/0!</v>
      </c>
      <c r="BE81" s="43" t="e">
        <f>BE80+(ATM_Conf!$C$5/ATM_Conf!$C$8)*(BY81*EXP(-(1/DM81)*(AK81/CS81)^DM81)-BE80)+(ATM_Conf!$C$5/AK268)*BE80*(Nodes!BK80-BE80)-(ATM_Conf!$C$5*ATM_Conf!$C$9)/(AK268*ATM_Conf!$C$8)*(Nodes!BY80-AK80)/(AK80+ATM_Conf!$C$10)</f>
        <v>#DIV/0!</v>
      </c>
      <c r="BF81" s="43" t="e">
        <f>BF80+(ATM_Conf!$C$5/ATM_Conf!$C$8)*(BZ81*EXP(-(1/DN81)*(AL81/CT81)^DN81)-BF80)+(ATM_Conf!$C$5/AL268)*BF80*(BE80-BF80)-(ATM_Conf!$C$5*ATM_Conf!$C$9)/(AL268*ATM_Conf!$C$8)*(AM80-AL80)/(AL80+ATM_Conf!$C$10)</f>
        <v>#DIV/0!</v>
      </c>
      <c r="BG81" s="43" t="e">
        <f>BG80+(ATM_Conf!$C$5/ATM_Conf!$C$8)*(CA81*EXP(-(1/DO81)*(AM81/CU81)^DO81)-BG80)+(ATM_Conf!$C$5/AM268)*BG80*(Nodes!BM80-BG80)-(ATM_Conf!$C$5*ATM_Conf!$C$9)/(AM268*ATM_Conf!$C$8)*(Nodes!CA80-AM80)/(AM80+ATM_Conf!$C$10)</f>
        <v>#DIV/0!</v>
      </c>
      <c r="BH81" s="43" t="e">
        <f>BH80+(ATM_Conf!$C$5/ATM_Conf!$C$8)*(CB81*EXP(-(1/DP81)*(AN81/CV81)^DP81)-BH80)+(ATM_Conf!$C$5/AN268)*BH80*(BG80-BH80)-(ATM_Conf!$C$5*ATM_Conf!$C$9)/(AN268*ATM_Conf!$C$8)*(AO80-AN80)/(AN80+ATM_Conf!$C$10)</f>
        <v>#DIV/0!</v>
      </c>
      <c r="BI81" s="43" t="e">
        <f>BI80+(ATM_Conf!$C$5/ATM_Conf!$C$8)*(CC81*EXP(-(1/DQ81)*(AO81/CW81)^DQ81)-BI80)+(ATM_Conf!$C$5/AO268)*BI80*(BH80-BI80)</f>
        <v>#DIV/0!</v>
      </c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53"/>
      <c r="CA81" s="53"/>
      <c r="CB81" s="53"/>
      <c r="CC81" s="5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53"/>
      <c r="CY81" s="53"/>
      <c r="CZ81" s="53"/>
      <c r="DA81" s="53"/>
      <c r="DB81" s="53"/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  <c r="DR81" s="43">
        <f t="shared" si="61"/>
        <v>0</v>
      </c>
      <c r="DS81" s="43">
        <f t="shared" si="60"/>
        <v>0</v>
      </c>
      <c r="DT81" s="43">
        <f t="shared" si="60"/>
        <v>0</v>
      </c>
      <c r="DU81" s="43">
        <f t="shared" si="60"/>
        <v>0</v>
      </c>
      <c r="DV81" s="43">
        <f t="shared" si="60"/>
        <v>0</v>
      </c>
      <c r="DW81" s="43">
        <f t="shared" si="60"/>
        <v>0</v>
      </c>
      <c r="DX81" s="43">
        <f t="shared" si="60"/>
        <v>0</v>
      </c>
      <c r="DY81" s="43">
        <f t="shared" si="60"/>
        <v>0</v>
      </c>
      <c r="DZ81" s="43">
        <f t="shared" si="60"/>
        <v>0</v>
      </c>
      <c r="EA81" s="43">
        <f t="shared" si="60"/>
        <v>0</v>
      </c>
      <c r="EB81" s="43">
        <f t="shared" si="60"/>
        <v>0</v>
      </c>
      <c r="EC81" s="43">
        <f t="shared" si="60"/>
        <v>0</v>
      </c>
      <c r="ED81" s="43">
        <f t="shared" si="60"/>
        <v>0</v>
      </c>
      <c r="EE81" s="43">
        <f t="shared" si="60"/>
        <v>0</v>
      </c>
      <c r="EF81" s="43">
        <f t="shared" si="60"/>
        <v>0</v>
      </c>
      <c r="EG81" s="43">
        <f t="shared" si="60"/>
        <v>0</v>
      </c>
      <c r="EH81" s="43">
        <f t="shared" si="60"/>
        <v>0</v>
      </c>
      <c r="EI81" s="43">
        <f t="shared" si="60"/>
        <v>0</v>
      </c>
      <c r="EJ81" s="43">
        <f t="shared" si="60"/>
        <v>0</v>
      </c>
      <c r="EK81" s="43">
        <f t="shared" si="60"/>
        <v>0</v>
      </c>
      <c r="EL81" s="47"/>
      <c r="EM81" s="47"/>
      <c r="EN81" s="47"/>
      <c r="EO81" s="47"/>
      <c r="EP81" s="47"/>
      <c r="EQ81" s="47"/>
      <c r="ER81" s="47"/>
      <c r="ES81" s="47"/>
      <c r="ET81" s="47"/>
      <c r="EU81" s="47"/>
      <c r="EV81" s="47"/>
      <c r="EW81" s="47"/>
      <c r="EX81" s="47"/>
      <c r="EY81" s="47"/>
      <c r="EZ81" s="47"/>
      <c r="FA81" s="47"/>
      <c r="FB81" s="47"/>
      <c r="FC81" s="47"/>
      <c r="FD81" s="47"/>
      <c r="FE81" s="47"/>
    </row>
    <row r="82" spans="1:161" ht="14.25" x14ac:dyDescent="0.15">
      <c r="A82" s="46"/>
      <c r="B82" s="43" t="e">
        <f t="shared" si="39"/>
        <v>#DIV/0!</v>
      </c>
      <c r="C82" s="43" t="e">
        <f t="shared" si="40"/>
        <v>#DIV/0!</v>
      </c>
      <c r="D82" s="43" t="e">
        <f t="shared" si="41"/>
        <v>#DIV/0!</v>
      </c>
      <c r="E82" s="43" t="e">
        <f t="shared" si="42"/>
        <v>#DIV/0!</v>
      </c>
      <c r="F82" s="43" t="e">
        <f t="shared" si="43"/>
        <v>#DIV/0!</v>
      </c>
      <c r="G82" s="43" t="e">
        <f t="shared" si="44"/>
        <v>#DIV/0!</v>
      </c>
      <c r="H82" s="43" t="e">
        <f t="shared" si="45"/>
        <v>#DIV/0!</v>
      </c>
      <c r="I82" s="43" t="e">
        <f t="shared" si="46"/>
        <v>#DIV/0!</v>
      </c>
      <c r="J82" s="43" t="e">
        <f t="shared" si="47"/>
        <v>#DIV/0!</v>
      </c>
      <c r="K82" s="43" t="e">
        <f t="shared" si="48"/>
        <v>#DIV/0!</v>
      </c>
      <c r="L82" s="43" t="e">
        <f t="shared" si="49"/>
        <v>#DIV/0!</v>
      </c>
      <c r="M82" s="43" t="e">
        <f t="shared" si="50"/>
        <v>#DIV/0!</v>
      </c>
      <c r="N82" s="43" t="e">
        <f t="shared" si="51"/>
        <v>#DIV/0!</v>
      </c>
      <c r="O82" s="43" t="e">
        <f t="shared" si="52"/>
        <v>#DIV/0!</v>
      </c>
      <c r="P82" s="43" t="e">
        <f t="shared" si="53"/>
        <v>#DIV/0!</v>
      </c>
      <c r="Q82" s="43" t="e">
        <f t="shared" si="54"/>
        <v>#DIV/0!</v>
      </c>
      <c r="R82" s="43" t="e">
        <f t="shared" si="55"/>
        <v>#DIV/0!</v>
      </c>
      <c r="S82" s="43" t="e">
        <f t="shared" si="56"/>
        <v>#DIV/0!</v>
      </c>
      <c r="T82" s="43" t="e">
        <f t="shared" si="57"/>
        <v>#DIV/0!</v>
      </c>
      <c r="U82" s="43" t="e">
        <f t="shared" si="58"/>
        <v>#DIV/0!</v>
      </c>
      <c r="V82" s="53" t="e">
        <f>V81+ATM_Conf!$C$5*(B81)/(B269*V269)</f>
        <v>#DIV/0!</v>
      </c>
      <c r="W82" s="53" t="e">
        <f>W81+ATM_Conf!$C$5*(C81-B81)/(C269*W269)</f>
        <v>#DIV/0!</v>
      </c>
      <c r="X82" s="53" t="e">
        <f>X81+ATM_Conf!$C$5*(D81-C81)/(D269*X269)</f>
        <v>#DIV/0!</v>
      </c>
      <c r="Y82" s="53" t="e">
        <f>Y81+ATM_Conf!$C$5*(E81-D81)/(E269*Y269)</f>
        <v>#DIV/0!</v>
      </c>
      <c r="Z82" s="53" t="e">
        <f>Z81+ATM_Conf!$C$5*(F81-E81)/(F269*Z269)</f>
        <v>#DIV/0!</v>
      </c>
      <c r="AA82" s="53" t="e">
        <f>AA81+ATM_Conf!$C$5*(G81-F81)/(G269*AA269)</f>
        <v>#DIV/0!</v>
      </c>
      <c r="AB82" s="53" t="e">
        <f>AB81+ATM_Conf!$C$5*(H81-G81)/(H269*AB269)</f>
        <v>#DIV/0!</v>
      </c>
      <c r="AC82" s="53" t="e">
        <f>AC81+ATM_Conf!$C$5*(I81-H81)/(I269*AC269)</f>
        <v>#DIV/0!</v>
      </c>
      <c r="AD82" s="53" t="e">
        <f>AD81+ATM_Conf!$C$5*(J81-I81)/(J269*AD269)</f>
        <v>#DIV/0!</v>
      </c>
      <c r="AE82" s="53" t="e">
        <f>AE81+ATM_Conf!$C$5*(K81-J81)/(K269*AE269)</f>
        <v>#DIV/0!</v>
      </c>
      <c r="AF82" s="53" t="e">
        <f>AF81+ATM_Conf!$C$5*(L81)/(L269*AF269)</f>
        <v>#DIV/0!</v>
      </c>
      <c r="AG82" s="53" t="e">
        <f>AG81+ATM_Conf!$C$5*(M81-L81)/(M269*AG269)</f>
        <v>#DIV/0!</v>
      </c>
      <c r="AH82" s="53" t="e">
        <f>AH81+ATM_Conf!$C$5*(N81-M81)/(N269*AH269)</f>
        <v>#DIV/0!</v>
      </c>
      <c r="AI82" s="53" t="e">
        <f>AI81+ATM_Conf!$C$5*(O81-N81)/(O269*AI269)</f>
        <v>#DIV/0!</v>
      </c>
      <c r="AJ82" s="53" t="e">
        <f>AJ81+ATM_Conf!$C$5*(P81-O81)/(P269*AJ269)</f>
        <v>#DIV/0!</v>
      </c>
      <c r="AK82" s="53" t="e">
        <f>AK81+ATM_Conf!$C$5*(Q81-P81)/(Q269*AK269)</f>
        <v>#DIV/0!</v>
      </c>
      <c r="AL82" s="53" t="e">
        <f>AL81+ATM_Conf!$C$5*(R81-Q81)/(R269*AL269)</f>
        <v>#DIV/0!</v>
      </c>
      <c r="AM82" s="53" t="e">
        <f>AM81+ATM_Conf!$C$5*(S81-R81)/(S269*AM269)</f>
        <v>#DIV/0!</v>
      </c>
      <c r="AN82" s="53" t="e">
        <f>AN81+ATM_Conf!$C$5*(T81-S81)/(T269*AN269)</f>
        <v>#DIV/0!</v>
      </c>
      <c r="AO82" s="53" t="e">
        <f>AO81+ATM_Conf!$C$5*(U81-T81)/(U269*AO269)</f>
        <v>#DIV/0!</v>
      </c>
      <c r="AP82" s="43" t="e">
        <f>AP81+(ATM_Conf!$C$5/ATM_Conf!$C$8)*(BJ82*EXP(-(1/CX82)*(V82/CD82)^CX82)-AP81)-(ATM_Conf!$C$5*ATM_Conf!$C$9)/(V269*ATM_Conf!$C$8)*(Nodes!BO81-V81)/(V81+ATM_Conf!$C$10)</f>
        <v>#DIV/0!</v>
      </c>
      <c r="AQ82" s="43" t="e">
        <f>AQ81+(ATM_Conf!$C$5/ATM_Conf!$C$8)*(BK82*EXP(-(1/CY82)*(W82/CE82)^CY82)-AQ81)+(ATM_Conf!$C$5/W269)*AQ81*(AP81-AQ81)-(ATM_Conf!$C$5*ATM_Conf!$C$9)/(W269*ATM_Conf!$C$8)*(X81-W81)/(W81+ATM_Conf!$C$10)</f>
        <v>#DIV/0!</v>
      </c>
      <c r="AR82" s="43" t="e">
        <f>AR81+(ATM_Conf!$C$5/ATM_Conf!$C$8)*(BL82*EXP(-(1/CZ82)*(X82/CF82)^CZ82)-AR81)+(ATM_Conf!$C$5/X269)*AR81*(Nodes!BC81-AR81)-(ATM_Conf!$C$5*ATM_Conf!$C$9)/(X269*ATM_Conf!$C$8)*(Nodes!BQ81-X81)/(X81+ATM_Conf!$C$10)</f>
        <v>#DIV/0!</v>
      </c>
      <c r="AS82" s="43" t="e">
        <f>AS81+(ATM_Conf!$C$5/ATM_Conf!$C$8)*(BM82*EXP(-(1/DA82)*(Y82/CG82)^DA82)-AS81)+(ATM_Conf!$C$5/Y269)*AS81*(AR81-AS81)-(ATM_Conf!$C$5*ATM_Conf!$C$9)/(Y269*ATM_Conf!$C$8)*(Z81-Y81)/(Y81+ATM_Conf!$C$10)</f>
        <v>#DIV/0!</v>
      </c>
      <c r="AT82" s="43" t="e">
        <f>AT81+(ATM_Conf!$C$5/ATM_Conf!$C$8)*(BN82*EXP(-(1/DB82)*(Z82/CH82)^DB82)-AT81)+(ATM_Conf!$C$5/Z269)*AT81*(Nodes!BE81-AT81)-(ATM_Conf!$C$5*ATM_Conf!$C$9)/(Z269*ATM_Conf!$C$8)*(Nodes!BS81-Z81)/(Z81+ATM_Conf!$C$10)</f>
        <v>#DIV/0!</v>
      </c>
      <c r="AU82" s="43" t="e">
        <f>AU81+(ATM_Conf!$C$5/ATM_Conf!$C$8)*(BO82*EXP(-(1/DC82)*(AA82/CI82)^DC82)-AU81)+(ATM_Conf!$C$5/AA269)*AU81*(Nodes!BF81-AU81)-(ATM_Conf!$C$5*ATM_Conf!$C$9)/(AA269*ATM_Conf!$C$8)*(Nodes!BV81-AA81)/(AA81+ATM_Conf!$C$10)</f>
        <v>#DIV/0!</v>
      </c>
      <c r="AV82" s="43" t="e">
        <f>AV81+(ATM_Conf!$C$5/ATM_Conf!$C$8)*(BP82*EXP(-(1/DD82)*(AB82/CJ82)^DD82)-AV81)+(ATM_Conf!$C$5/AB269)*AV81*(AU81-AV81)-(ATM_Conf!$C$5*ATM_Conf!$C$9)/(AB269*ATM_Conf!$C$8)*(AC81-AB81)/(AB81+ATM_Conf!$C$10)</f>
        <v>#DIV/0!</v>
      </c>
      <c r="AW82" s="43" t="e">
        <f>AW81+(ATM_Conf!$C$5/ATM_Conf!$C$8)*(BQ82*EXP(-(1/DE82)*(AC82/CK82)^DE82)-AW81)+(ATM_Conf!$C$5/AC269)*AW81*(AV81-AW81)-(ATM_Conf!$C$5*ATM_Conf!$C$9)/(AC269*ATM_Conf!$C$8)*(AD81-AC81)/(AC81+ATM_Conf!$C$10)</f>
        <v>#DIV/0!</v>
      </c>
      <c r="AX82" s="43" t="e">
        <f>AX81+(ATM_Conf!$C$5/ATM_Conf!$C$8)*(BR82*EXP(-(1/DF82)*(AD82/CL82)^DF82)-AX81)+(ATM_Conf!$C$5/AD269)*AX81*(Nodes!BG81-AX81)-(ATM_Conf!$C$5*ATM_Conf!$C$9)/(AD269*ATM_Conf!$C$8)*(Nodes!BU81-AD81)/(AD81+ATM_Conf!$C$10)</f>
        <v>#DIV/0!</v>
      </c>
      <c r="AY82" s="43" t="e">
        <f>AY81+(ATM_Conf!$C$5/ATM_Conf!$C$8)*(BS82*EXP(-(1/DG82)*(AE82/CM82)^DG82)-AY81)+(ATM_Conf!$C$5/AE269)*AY81*(Nodes!BF81-AY81)</f>
        <v>#DIV/0!</v>
      </c>
      <c r="AZ82" s="43" t="e">
        <f>AZ81+(ATM_Conf!$C$5/ATM_Conf!$C$8)*(BT82*EXP(-(1/DH82)*(AF82/CN82)^DH82)-AZ81)-(ATM_Conf!$C$5*ATM_Conf!$C$9)/(AF269*ATM_Conf!$C$8)*(Nodes!BV81-AF81)/(AF81+ATM_Conf!$C$10)</f>
        <v>#DIV/0!</v>
      </c>
      <c r="BA82" s="43" t="e">
        <f>BA81+(ATM_Conf!$C$5/ATM_Conf!$C$8)*(BU82*EXP(-(1/DI82)*(AG82/CO82)^DI82)-BA81)+(ATM_Conf!$C$5/AG269)*BA81*(Nodes!BI81-BA81)-(ATM_Conf!$C$5*ATM_Conf!$C$9)/(AG269*ATM_Conf!$C$8)*(Nodes!BW81-AG81)/(AG81+ATM_Conf!$C$10)</f>
        <v>#DIV/0!</v>
      </c>
      <c r="BB82" s="43" t="e">
        <f>BB81+(ATM_Conf!$C$5/ATM_Conf!$C$8)*(BV82*EXP(-(1/DJ82)*(AH82/CP82)^DJ82)-BB81)+(ATM_Conf!$C$5/AH269)*BB81*(Nodes!BJ81-BB81)-(ATM_Conf!$C$5*ATM_Conf!$C$9)/(AH269*ATM_Conf!$C$8)*(AI81-AH81)/(AH81+ATM_Conf!$C$10)</f>
        <v>#DIV/0!</v>
      </c>
      <c r="BC82" s="43" t="e">
        <f>BC81+(ATM_Conf!$C$5/ATM_Conf!$C$8)*(BW82*EXP(-(1/DK82)*(AI82/CQ82)^DK82)-BC81)+(ATM_Conf!$C$5/AI269)*BC81*(BB81-BC81)-(ATM_Conf!$C$5*ATM_Conf!$C$9)/(AI269*ATM_Conf!$C$8)*(AJ81-AI81)/(AI81+ATM_Conf!$C$10)</f>
        <v>#DIV/0!</v>
      </c>
      <c r="BD82" s="43" t="e">
        <f>BD81+(ATM_Conf!$C$5/ATM_Conf!$C$8)*(BX82*EXP(-(1/DL82)*(AJ82/CR82)^DL82)-BD81)+(ATM_Conf!$C$5/AJ269)*BD81*(BC81-BD81)-(ATM_Conf!$C$5*ATM_Conf!$C$9)/(AJ269*ATM_Conf!$C$8)*(Nodes!BX81-AJ81)/(AJ81+ATM_Conf!$C$10)</f>
        <v>#DIV/0!</v>
      </c>
      <c r="BE82" s="43" t="e">
        <f>BE81+(ATM_Conf!$C$5/ATM_Conf!$C$8)*(BY82*EXP(-(1/DM82)*(AK82/CS82)^DM82)-BE81)+(ATM_Conf!$C$5/AK269)*BE81*(Nodes!BK81-BE81)-(ATM_Conf!$C$5*ATM_Conf!$C$9)/(AK269*ATM_Conf!$C$8)*(Nodes!BY81-AK81)/(AK81+ATM_Conf!$C$10)</f>
        <v>#DIV/0!</v>
      </c>
      <c r="BF82" s="43" t="e">
        <f>BF81+(ATM_Conf!$C$5/ATM_Conf!$C$8)*(BZ82*EXP(-(1/DN82)*(AL82/CT82)^DN82)-BF81)+(ATM_Conf!$C$5/AL269)*BF81*(BE81-BF81)-(ATM_Conf!$C$5*ATM_Conf!$C$9)/(AL269*ATM_Conf!$C$8)*(AM81-AL81)/(AL81+ATM_Conf!$C$10)</f>
        <v>#DIV/0!</v>
      </c>
      <c r="BG82" s="43" t="e">
        <f>BG81+(ATM_Conf!$C$5/ATM_Conf!$C$8)*(CA82*EXP(-(1/DO82)*(AM82/CU82)^DO82)-BG81)+(ATM_Conf!$C$5/AM269)*BG81*(Nodes!BM81-BG81)-(ATM_Conf!$C$5*ATM_Conf!$C$9)/(AM269*ATM_Conf!$C$8)*(Nodes!CA81-AM81)/(AM81+ATM_Conf!$C$10)</f>
        <v>#DIV/0!</v>
      </c>
      <c r="BH82" s="43" t="e">
        <f>BH81+(ATM_Conf!$C$5/ATM_Conf!$C$8)*(CB82*EXP(-(1/DP82)*(AN82/CV82)^DP82)-BH81)+(ATM_Conf!$C$5/AN269)*BH81*(BG81-BH81)-(ATM_Conf!$C$5*ATM_Conf!$C$9)/(AN269*ATM_Conf!$C$8)*(AO81-AN81)/(AN81+ATM_Conf!$C$10)</f>
        <v>#DIV/0!</v>
      </c>
      <c r="BI82" s="43" t="e">
        <f>BI81+(ATM_Conf!$C$5/ATM_Conf!$C$8)*(CC82*EXP(-(1/DQ82)*(AO82/CW82)^DQ82)-BI81)+(ATM_Conf!$C$5/AO269)*BI81*(BH81-BI81)</f>
        <v>#DIV/0!</v>
      </c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53"/>
      <c r="CA82" s="53"/>
      <c r="CB82" s="53"/>
      <c r="CC82" s="5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53"/>
      <c r="CY82" s="53"/>
      <c r="CZ82" s="53"/>
      <c r="DA82" s="53"/>
      <c r="DB82" s="53"/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  <c r="DR82" s="43">
        <f t="shared" si="61"/>
        <v>0</v>
      </c>
      <c r="DS82" s="43">
        <f t="shared" si="60"/>
        <v>0</v>
      </c>
      <c r="DT82" s="43">
        <f t="shared" si="60"/>
        <v>0</v>
      </c>
      <c r="DU82" s="43">
        <f t="shared" si="60"/>
        <v>0</v>
      </c>
      <c r="DV82" s="43">
        <f t="shared" si="60"/>
        <v>0</v>
      </c>
      <c r="DW82" s="43">
        <f t="shared" si="60"/>
        <v>0</v>
      </c>
      <c r="DX82" s="43">
        <f t="shared" si="60"/>
        <v>0</v>
      </c>
      <c r="DY82" s="43">
        <f t="shared" si="60"/>
        <v>0</v>
      </c>
      <c r="DZ82" s="43">
        <f t="shared" si="60"/>
        <v>0</v>
      </c>
      <c r="EA82" s="43">
        <f t="shared" si="60"/>
        <v>0</v>
      </c>
      <c r="EB82" s="43">
        <f t="shared" si="60"/>
        <v>0</v>
      </c>
      <c r="EC82" s="43">
        <f t="shared" si="60"/>
        <v>0</v>
      </c>
      <c r="ED82" s="43">
        <f t="shared" si="60"/>
        <v>0</v>
      </c>
      <c r="EE82" s="43">
        <f t="shared" si="60"/>
        <v>0</v>
      </c>
      <c r="EF82" s="43">
        <f t="shared" si="60"/>
        <v>0</v>
      </c>
      <c r="EG82" s="43">
        <f t="shared" si="60"/>
        <v>0</v>
      </c>
      <c r="EH82" s="43">
        <f t="shared" si="60"/>
        <v>0</v>
      </c>
      <c r="EI82" s="43">
        <f t="shared" si="60"/>
        <v>0</v>
      </c>
      <c r="EJ82" s="43">
        <f t="shared" si="60"/>
        <v>0</v>
      </c>
      <c r="EK82" s="43">
        <f t="shared" si="60"/>
        <v>0</v>
      </c>
      <c r="EL82" s="47"/>
      <c r="EM82" s="47"/>
      <c r="EN82" s="47"/>
      <c r="EO82" s="47"/>
      <c r="EP82" s="47"/>
      <c r="EQ82" s="47"/>
      <c r="ER82" s="47"/>
      <c r="ES82" s="47"/>
      <c r="ET82" s="47"/>
      <c r="EU82" s="47"/>
      <c r="EV82" s="47"/>
      <c r="EW82" s="47"/>
      <c r="EX82" s="47"/>
      <c r="EY82" s="47"/>
      <c r="EZ82" s="47"/>
      <c r="FA82" s="47"/>
      <c r="FB82" s="47"/>
      <c r="FC82" s="47"/>
      <c r="FD82" s="47"/>
      <c r="FE82" s="47"/>
    </row>
    <row r="83" spans="1:161" ht="14.25" x14ac:dyDescent="0.15">
      <c r="A83" s="46"/>
      <c r="B83" s="43" t="e">
        <f t="shared" si="39"/>
        <v>#DIV/0!</v>
      </c>
      <c r="C83" s="43" t="e">
        <f t="shared" si="40"/>
        <v>#DIV/0!</v>
      </c>
      <c r="D83" s="43" t="e">
        <f t="shared" si="41"/>
        <v>#DIV/0!</v>
      </c>
      <c r="E83" s="43" t="e">
        <f t="shared" si="42"/>
        <v>#DIV/0!</v>
      </c>
      <c r="F83" s="43" t="e">
        <f t="shared" si="43"/>
        <v>#DIV/0!</v>
      </c>
      <c r="G83" s="43" t="e">
        <f t="shared" si="44"/>
        <v>#DIV/0!</v>
      </c>
      <c r="H83" s="43" t="e">
        <f t="shared" si="45"/>
        <v>#DIV/0!</v>
      </c>
      <c r="I83" s="43" t="e">
        <f t="shared" si="46"/>
        <v>#DIV/0!</v>
      </c>
      <c r="J83" s="43" t="e">
        <f t="shared" si="47"/>
        <v>#DIV/0!</v>
      </c>
      <c r="K83" s="43" t="e">
        <f t="shared" si="48"/>
        <v>#DIV/0!</v>
      </c>
      <c r="L83" s="43" t="e">
        <f t="shared" si="49"/>
        <v>#DIV/0!</v>
      </c>
      <c r="M83" s="43" t="e">
        <f t="shared" si="50"/>
        <v>#DIV/0!</v>
      </c>
      <c r="N83" s="43" t="e">
        <f t="shared" si="51"/>
        <v>#DIV/0!</v>
      </c>
      <c r="O83" s="43" t="e">
        <f t="shared" si="52"/>
        <v>#DIV/0!</v>
      </c>
      <c r="P83" s="43" t="e">
        <f t="shared" si="53"/>
        <v>#DIV/0!</v>
      </c>
      <c r="Q83" s="43" t="e">
        <f t="shared" si="54"/>
        <v>#DIV/0!</v>
      </c>
      <c r="R83" s="43" t="e">
        <f t="shared" si="55"/>
        <v>#DIV/0!</v>
      </c>
      <c r="S83" s="43" t="e">
        <f t="shared" si="56"/>
        <v>#DIV/0!</v>
      </c>
      <c r="T83" s="43" t="e">
        <f t="shared" si="57"/>
        <v>#DIV/0!</v>
      </c>
      <c r="U83" s="43" t="e">
        <f t="shared" si="58"/>
        <v>#DIV/0!</v>
      </c>
      <c r="V83" s="53" t="e">
        <f>V82+ATM_Conf!$C$5*(B82)/(B270*V270)</f>
        <v>#DIV/0!</v>
      </c>
      <c r="W83" s="53" t="e">
        <f>W82+ATM_Conf!$C$5*(C82-B82)/(C270*W270)</f>
        <v>#DIV/0!</v>
      </c>
      <c r="X83" s="53" t="e">
        <f>X82+ATM_Conf!$C$5*(D82-C82)/(D270*X270)</f>
        <v>#DIV/0!</v>
      </c>
      <c r="Y83" s="53" t="e">
        <f>Y82+ATM_Conf!$C$5*(E82-D82)/(E270*Y270)</f>
        <v>#DIV/0!</v>
      </c>
      <c r="Z83" s="53" t="e">
        <f>Z82+ATM_Conf!$C$5*(F82-E82)/(F270*Z270)</f>
        <v>#DIV/0!</v>
      </c>
      <c r="AA83" s="53" t="e">
        <f>AA82+ATM_Conf!$C$5*(G82-F82)/(G270*AA270)</f>
        <v>#DIV/0!</v>
      </c>
      <c r="AB83" s="53" t="e">
        <f>AB82+ATM_Conf!$C$5*(H82-G82)/(H270*AB270)</f>
        <v>#DIV/0!</v>
      </c>
      <c r="AC83" s="53" t="e">
        <f>AC82+ATM_Conf!$C$5*(I82-H82)/(I270*AC270)</f>
        <v>#DIV/0!</v>
      </c>
      <c r="AD83" s="53" t="e">
        <f>AD82+ATM_Conf!$C$5*(J82-I82)/(J270*AD270)</f>
        <v>#DIV/0!</v>
      </c>
      <c r="AE83" s="53" t="e">
        <f>AE82+ATM_Conf!$C$5*(K82-J82)/(K270*AE270)</f>
        <v>#DIV/0!</v>
      </c>
      <c r="AF83" s="53" t="e">
        <f>AF82+ATM_Conf!$C$5*(L82)/(L270*AF270)</f>
        <v>#DIV/0!</v>
      </c>
      <c r="AG83" s="53" t="e">
        <f>AG82+ATM_Conf!$C$5*(M82-L82)/(M270*AG270)</f>
        <v>#DIV/0!</v>
      </c>
      <c r="AH83" s="53" t="e">
        <f>AH82+ATM_Conf!$C$5*(N82-M82)/(N270*AH270)</f>
        <v>#DIV/0!</v>
      </c>
      <c r="AI83" s="53" t="e">
        <f>AI82+ATM_Conf!$C$5*(O82-N82)/(O270*AI270)</f>
        <v>#DIV/0!</v>
      </c>
      <c r="AJ83" s="53" t="e">
        <f>AJ82+ATM_Conf!$C$5*(P82-O82)/(P270*AJ270)</f>
        <v>#DIV/0!</v>
      </c>
      <c r="AK83" s="53" t="e">
        <f>AK82+ATM_Conf!$C$5*(Q82-P82)/(Q270*AK270)</f>
        <v>#DIV/0!</v>
      </c>
      <c r="AL83" s="53" t="e">
        <f>AL82+ATM_Conf!$C$5*(R82-Q82)/(R270*AL270)</f>
        <v>#DIV/0!</v>
      </c>
      <c r="AM83" s="53" t="e">
        <f>AM82+ATM_Conf!$C$5*(S82-R82)/(S270*AM270)</f>
        <v>#DIV/0!</v>
      </c>
      <c r="AN83" s="53" t="e">
        <f>AN82+ATM_Conf!$C$5*(T82-S82)/(T270*AN270)</f>
        <v>#DIV/0!</v>
      </c>
      <c r="AO83" s="53" t="e">
        <f>AO82+ATM_Conf!$C$5*(U82-T82)/(U270*AO270)</f>
        <v>#DIV/0!</v>
      </c>
      <c r="AP83" s="43" t="e">
        <f>AP82+(ATM_Conf!$C$5/ATM_Conf!$C$8)*(BJ83*EXP(-(1/CX83)*(V83/CD83)^CX83)-AP82)-(ATM_Conf!$C$5*ATM_Conf!$C$9)/(V270*ATM_Conf!$C$8)*(Nodes!BO82-V82)/(V82+ATM_Conf!$C$10)</f>
        <v>#DIV/0!</v>
      </c>
      <c r="AQ83" s="43" t="e">
        <f>AQ82+(ATM_Conf!$C$5/ATM_Conf!$C$8)*(BK83*EXP(-(1/CY83)*(W83/CE83)^CY83)-AQ82)+(ATM_Conf!$C$5/W270)*AQ82*(AP82-AQ82)-(ATM_Conf!$C$5*ATM_Conf!$C$9)/(W270*ATM_Conf!$C$8)*(X82-W82)/(W82+ATM_Conf!$C$10)</f>
        <v>#DIV/0!</v>
      </c>
      <c r="AR83" s="43" t="e">
        <f>AR82+(ATM_Conf!$C$5/ATM_Conf!$C$8)*(BL83*EXP(-(1/CZ83)*(X83/CF83)^CZ83)-AR82)+(ATM_Conf!$C$5/X270)*AR82*(Nodes!BC82-AR82)-(ATM_Conf!$C$5*ATM_Conf!$C$9)/(X270*ATM_Conf!$C$8)*(Nodes!BQ82-X82)/(X82+ATM_Conf!$C$10)</f>
        <v>#DIV/0!</v>
      </c>
      <c r="AS83" s="43" t="e">
        <f>AS82+(ATM_Conf!$C$5/ATM_Conf!$C$8)*(BM83*EXP(-(1/DA83)*(Y83/CG83)^DA83)-AS82)+(ATM_Conf!$C$5/Y270)*AS82*(AR82-AS82)-(ATM_Conf!$C$5*ATM_Conf!$C$9)/(Y270*ATM_Conf!$C$8)*(Z82-Y82)/(Y82+ATM_Conf!$C$10)</f>
        <v>#DIV/0!</v>
      </c>
      <c r="AT83" s="43" t="e">
        <f>AT82+(ATM_Conf!$C$5/ATM_Conf!$C$8)*(BN83*EXP(-(1/DB83)*(Z83/CH83)^DB83)-AT82)+(ATM_Conf!$C$5/Z270)*AT82*(Nodes!BE82-AT82)-(ATM_Conf!$C$5*ATM_Conf!$C$9)/(Z270*ATM_Conf!$C$8)*(Nodes!BS82-Z82)/(Z82+ATM_Conf!$C$10)</f>
        <v>#DIV/0!</v>
      </c>
      <c r="AU83" s="43" t="e">
        <f>AU82+(ATM_Conf!$C$5/ATM_Conf!$C$8)*(BO83*EXP(-(1/DC83)*(AA83/CI83)^DC83)-AU82)+(ATM_Conf!$C$5/AA270)*AU82*(Nodes!BF82-AU82)-(ATM_Conf!$C$5*ATM_Conf!$C$9)/(AA270*ATM_Conf!$C$8)*(Nodes!BV82-AA82)/(AA82+ATM_Conf!$C$10)</f>
        <v>#DIV/0!</v>
      </c>
      <c r="AV83" s="43" t="e">
        <f>AV82+(ATM_Conf!$C$5/ATM_Conf!$C$8)*(BP83*EXP(-(1/DD83)*(AB83/CJ83)^DD83)-AV82)+(ATM_Conf!$C$5/AB270)*AV82*(AU82-AV82)-(ATM_Conf!$C$5*ATM_Conf!$C$9)/(AB270*ATM_Conf!$C$8)*(AC82-AB82)/(AB82+ATM_Conf!$C$10)</f>
        <v>#DIV/0!</v>
      </c>
      <c r="AW83" s="43" t="e">
        <f>AW82+(ATM_Conf!$C$5/ATM_Conf!$C$8)*(BQ83*EXP(-(1/DE83)*(AC83/CK83)^DE83)-AW82)+(ATM_Conf!$C$5/AC270)*AW82*(AV82-AW82)-(ATM_Conf!$C$5*ATM_Conf!$C$9)/(AC270*ATM_Conf!$C$8)*(AD82-AC82)/(AC82+ATM_Conf!$C$10)</f>
        <v>#DIV/0!</v>
      </c>
      <c r="AX83" s="43" t="e">
        <f>AX82+(ATM_Conf!$C$5/ATM_Conf!$C$8)*(BR83*EXP(-(1/DF83)*(AD83/CL83)^DF83)-AX82)+(ATM_Conf!$C$5/AD270)*AX82*(Nodes!BG82-AX82)-(ATM_Conf!$C$5*ATM_Conf!$C$9)/(AD270*ATM_Conf!$C$8)*(Nodes!BU82-AD82)/(AD82+ATM_Conf!$C$10)</f>
        <v>#DIV/0!</v>
      </c>
      <c r="AY83" s="43" t="e">
        <f>AY82+(ATM_Conf!$C$5/ATM_Conf!$C$8)*(BS83*EXP(-(1/DG83)*(AE83/CM83)^DG83)-AY82)+(ATM_Conf!$C$5/AE270)*AY82*(Nodes!BF82-AY82)</f>
        <v>#DIV/0!</v>
      </c>
      <c r="AZ83" s="43" t="e">
        <f>AZ82+(ATM_Conf!$C$5/ATM_Conf!$C$8)*(BT83*EXP(-(1/DH83)*(AF83/CN83)^DH83)-AZ82)-(ATM_Conf!$C$5*ATM_Conf!$C$9)/(AF270*ATM_Conf!$C$8)*(Nodes!BV82-AF82)/(AF82+ATM_Conf!$C$10)</f>
        <v>#DIV/0!</v>
      </c>
      <c r="BA83" s="43" t="e">
        <f>BA82+(ATM_Conf!$C$5/ATM_Conf!$C$8)*(BU83*EXP(-(1/DI83)*(AG83/CO83)^DI83)-BA82)+(ATM_Conf!$C$5/AG270)*BA82*(Nodes!BI82-BA82)-(ATM_Conf!$C$5*ATM_Conf!$C$9)/(AG270*ATM_Conf!$C$8)*(Nodes!BW82-AG82)/(AG82+ATM_Conf!$C$10)</f>
        <v>#DIV/0!</v>
      </c>
      <c r="BB83" s="43" t="e">
        <f>BB82+(ATM_Conf!$C$5/ATM_Conf!$C$8)*(BV83*EXP(-(1/DJ83)*(AH83/CP83)^DJ83)-BB82)+(ATM_Conf!$C$5/AH270)*BB82*(Nodes!BJ82-BB82)-(ATM_Conf!$C$5*ATM_Conf!$C$9)/(AH270*ATM_Conf!$C$8)*(AI82-AH82)/(AH82+ATM_Conf!$C$10)</f>
        <v>#DIV/0!</v>
      </c>
      <c r="BC83" s="43" t="e">
        <f>BC82+(ATM_Conf!$C$5/ATM_Conf!$C$8)*(BW83*EXP(-(1/DK83)*(AI83/CQ83)^DK83)-BC82)+(ATM_Conf!$C$5/AI270)*BC82*(BB82-BC82)-(ATM_Conf!$C$5*ATM_Conf!$C$9)/(AI270*ATM_Conf!$C$8)*(AJ82-AI82)/(AI82+ATM_Conf!$C$10)</f>
        <v>#DIV/0!</v>
      </c>
      <c r="BD83" s="43" t="e">
        <f>BD82+(ATM_Conf!$C$5/ATM_Conf!$C$8)*(BX83*EXP(-(1/DL83)*(AJ83/CR83)^DL83)-BD82)+(ATM_Conf!$C$5/AJ270)*BD82*(BC82-BD82)-(ATM_Conf!$C$5*ATM_Conf!$C$9)/(AJ270*ATM_Conf!$C$8)*(Nodes!BX82-AJ82)/(AJ82+ATM_Conf!$C$10)</f>
        <v>#DIV/0!</v>
      </c>
      <c r="BE83" s="43" t="e">
        <f>BE82+(ATM_Conf!$C$5/ATM_Conf!$C$8)*(BY83*EXP(-(1/DM83)*(AK83/CS83)^DM83)-BE82)+(ATM_Conf!$C$5/AK270)*BE82*(Nodes!BK82-BE82)-(ATM_Conf!$C$5*ATM_Conf!$C$9)/(AK270*ATM_Conf!$C$8)*(Nodes!BY82-AK82)/(AK82+ATM_Conf!$C$10)</f>
        <v>#DIV/0!</v>
      </c>
      <c r="BF83" s="43" t="e">
        <f>BF82+(ATM_Conf!$C$5/ATM_Conf!$C$8)*(BZ83*EXP(-(1/DN83)*(AL83/CT83)^DN83)-BF82)+(ATM_Conf!$C$5/AL270)*BF82*(BE82-BF82)-(ATM_Conf!$C$5*ATM_Conf!$C$9)/(AL270*ATM_Conf!$C$8)*(AM82-AL82)/(AL82+ATM_Conf!$C$10)</f>
        <v>#DIV/0!</v>
      </c>
      <c r="BG83" s="43" t="e">
        <f>BG82+(ATM_Conf!$C$5/ATM_Conf!$C$8)*(CA83*EXP(-(1/DO83)*(AM83/CU83)^DO83)-BG82)+(ATM_Conf!$C$5/AM270)*BG82*(Nodes!BM82-BG82)-(ATM_Conf!$C$5*ATM_Conf!$C$9)/(AM270*ATM_Conf!$C$8)*(Nodes!CA82-AM82)/(AM82+ATM_Conf!$C$10)</f>
        <v>#DIV/0!</v>
      </c>
      <c r="BH83" s="43" t="e">
        <f>BH82+(ATM_Conf!$C$5/ATM_Conf!$C$8)*(CB83*EXP(-(1/DP83)*(AN83/CV83)^DP83)-BH82)+(ATM_Conf!$C$5/AN270)*BH82*(BG82-BH82)-(ATM_Conf!$C$5*ATM_Conf!$C$9)/(AN270*ATM_Conf!$C$8)*(AO82-AN82)/(AN82+ATM_Conf!$C$10)</f>
        <v>#DIV/0!</v>
      </c>
      <c r="BI83" s="43" t="e">
        <f>BI82+(ATM_Conf!$C$5/ATM_Conf!$C$8)*(CC83*EXP(-(1/DQ83)*(AO83/CW83)^DQ83)-BI82)+(ATM_Conf!$C$5/AO270)*BI82*(BH82-BI82)</f>
        <v>#DIV/0!</v>
      </c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3"/>
      <c r="BX83" s="53"/>
      <c r="BY83" s="53"/>
      <c r="BZ83" s="53"/>
      <c r="CA83" s="53"/>
      <c r="CB83" s="53"/>
      <c r="CC83" s="5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53"/>
      <c r="CY83" s="53"/>
      <c r="CZ83" s="53"/>
      <c r="DA83" s="53"/>
      <c r="DB83" s="53"/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  <c r="DR83" s="43">
        <f t="shared" si="61"/>
        <v>0</v>
      </c>
      <c r="DS83" s="43">
        <f t="shared" si="60"/>
        <v>0</v>
      </c>
      <c r="DT83" s="43">
        <f t="shared" si="60"/>
        <v>0</v>
      </c>
      <c r="DU83" s="43">
        <f t="shared" si="60"/>
        <v>0</v>
      </c>
      <c r="DV83" s="43">
        <f t="shared" si="60"/>
        <v>0</v>
      </c>
      <c r="DW83" s="43">
        <f t="shared" si="60"/>
        <v>0</v>
      </c>
      <c r="DX83" s="43">
        <f t="shared" si="60"/>
        <v>0</v>
      </c>
      <c r="DY83" s="43">
        <f t="shared" si="60"/>
        <v>0</v>
      </c>
      <c r="DZ83" s="43">
        <f t="shared" si="60"/>
        <v>0</v>
      </c>
      <c r="EA83" s="43">
        <f t="shared" si="60"/>
        <v>0</v>
      </c>
      <c r="EB83" s="43">
        <f t="shared" si="60"/>
        <v>0</v>
      </c>
      <c r="EC83" s="43">
        <f t="shared" si="60"/>
        <v>0</v>
      </c>
      <c r="ED83" s="43">
        <f t="shared" si="60"/>
        <v>0</v>
      </c>
      <c r="EE83" s="43">
        <f t="shared" si="60"/>
        <v>0</v>
      </c>
      <c r="EF83" s="43">
        <f t="shared" si="60"/>
        <v>0</v>
      </c>
      <c r="EG83" s="43">
        <f t="shared" si="60"/>
        <v>0</v>
      </c>
      <c r="EH83" s="43">
        <f t="shared" si="60"/>
        <v>0</v>
      </c>
      <c r="EI83" s="43">
        <f t="shared" si="60"/>
        <v>0</v>
      </c>
      <c r="EJ83" s="43">
        <f t="shared" si="60"/>
        <v>0</v>
      </c>
      <c r="EK83" s="43">
        <f t="shared" si="60"/>
        <v>0</v>
      </c>
      <c r="EL83" s="47"/>
      <c r="EM83" s="47"/>
      <c r="EN83" s="47"/>
      <c r="EO83" s="47"/>
      <c r="EP83" s="47"/>
      <c r="EQ83" s="47"/>
      <c r="ER83" s="47"/>
      <c r="ES83" s="47"/>
      <c r="ET83" s="47"/>
      <c r="EU83" s="47"/>
      <c r="EV83" s="47"/>
      <c r="EW83" s="47"/>
      <c r="EX83" s="47"/>
      <c r="EY83" s="47"/>
      <c r="EZ83" s="47"/>
      <c r="FA83" s="47"/>
      <c r="FB83" s="47"/>
      <c r="FC83" s="47"/>
      <c r="FD83" s="47"/>
      <c r="FE83" s="47"/>
    </row>
    <row r="84" spans="1:161" ht="14.25" x14ac:dyDescent="0.15">
      <c r="A84" s="46"/>
      <c r="B84" s="43" t="e">
        <f t="shared" si="39"/>
        <v>#DIV/0!</v>
      </c>
      <c r="C84" s="43" t="e">
        <f t="shared" si="40"/>
        <v>#DIV/0!</v>
      </c>
      <c r="D84" s="43" t="e">
        <f t="shared" si="41"/>
        <v>#DIV/0!</v>
      </c>
      <c r="E84" s="43" t="e">
        <f t="shared" si="42"/>
        <v>#DIV/0!</v>
      </c>
      <c r="F84" s="43" t="e">
        <f t="shared" si="43"/>
        <v>#DIV/0!</v>
      </c>
      <c r="G84" s="43" t="e">
        <f t="shared" si="44"/>
        <v>#DIV/0!</v>
      </c>
      <c r="H84" s="43" t="e">
        <f t="shared" si="45"/>
        <v>#DIV/0!</v>
      </c>
      <c r="I84" s="43" t="e">
        <f t="shared" si="46"/>
        <v>#DIV/0!</v>
      </c>
      <c r="J84" s="43" t="e">
        <f t="shared" si="47"/>
        <v>#DIV/0!</v>
      </c>
      <c r="K84" s="43" t="e">
        <f t="shared" si="48"/>
        <v>#DIV/0!</v>
      </c>
      <c r="L84" s="43" t="e">
        <f t="shared" si="49"/>
        <v>#DIV/0!</v>
      </c>
      <c r="M84" s="43" t="e">
        <f t="shared" si="50"/>
        <v>#DIV/0!</v>
      </c>
      <c r="N84" s="43" t="e">
        <f t="shared" si="51"/>
        <v>#DIV/0!</v>
      </c>
      <c r="O84" s="43" t="e">
        <f t="shared" si="52"/>
        <v>#DIV/0!</v>
      </c>
      <c r="P84" s="43" t="e">
        <f t="shared" si="53"/>
        <v>#DIV/0!</v>
      </c>
      <c r="Q84" s="43" t="e">
        <f t="shared" si="54"/>
        <v>#DIV/0!</v>
      </c>
      <c r="R84" s="43" t="e">
        <f t="shared" si="55"/>
        <v>#DIV/0!</v>
      </c>
      <c r="S84" s="43" t="e">
        <f t="shared" si="56"/>
        <v>#DIV/0!</v>
      </c>
      <c r="T84" s="43" t="e">
        <f t="shared" si="57"/>
        <v>#DIV/0!</v>
      </c>
      <c r="U84" s="43" t="e">
        <f t="shared" si="58"/>
        <v>#DIV/0!</v>
      </c>
      <c r="V84" s="53" t="e">
        <f>V83+ATM_Conf!$C$5*(B83)/(B271*V271)</f>
        <v>#DIV/0!</v>
      </c>
      <c r="W84" s="53" t="e">
        <f>W83+ATM_Conf!$C$5*(C83-B83)/(C271*W271)</f>
        <v>#DIV/0!</v>
      </c>
      <c r="X84" s="53" t="e">
        <f>X83+ATM_Conf!$C$5*(D83-C83)/(D271*X271)</f>
        <v>#DIV/0!</v>
      </c>
      <c r="Y84" s="53" t="e">
        <f>Y83+ATM_Conf!$C$5*(E83-D83)/(E271*Y271)</f>
        <v>#DIV/0!</v>
      </c>
      <c r="Z84" s="53" t="e">
        <f>Z83+ATM_Conf!$C$5*(F83-E83)/(F271*Z271)</f>
        <v>#DIV/0!</v>
      </c>
      <c r="AA84" s="53" t="e">
        <f>AA83+ATM_Conf!$C$5*(G83-F83)/(G271*AA271)</f>
        <v>#DIV/0!</v>
      </c>
      <c r="AB84" s="53" t="e">
        <f>AB83+ATM_Conf!$C$5*(H83-G83)/(H271*AB271)</f>
        <v>#DIV/0!</v>
      </c>
      <c r="AC84" s="53" t="e">
        <f>AC83+ATM_Conf!$C$5*(I83-H83)/(I271*AC271)</f>
        <v>#DIV/0!</v>
      </c>
      <c r="AD84" s="53" t="e">
        <f>AD83+ATM_Conf!$C$5*(J83-I83)/(J271*AD271)</f>
        <v>#DIV/0!</v>
      </c>
      <c r="AE84" s="53" t="e">
        <f>AE83+ATM_Conf!$C$5*(K83-J83)/(K271*AE271)</f>
        <v>#DIV/0!</v>
      </c>
      <c r="AF84" s="53" t="e">
        <f>AF83+ATM_Conf!$C$5*(L83)/(L271*AF271)</f>
        <v>#DIV/0!</v>
      </c>
      <c r="AG84" s="53" t="e">
        <f>AG83+ATM_Conf!$C$5*(M83-L83)/(M271*AG271)</f>
        <v>#DIV/0!</v>
      </c>
      <c r="AH84" s="53" t="e">
        <f>AH83+ATM_Conf!$C$5*(N83-M83)/(N271*AH271)</f>
        <v>#DIV/0!</v>
      </c>
      <c r="AI84" s="53" t="e">
        <f>AI83+ATM_Conf!$C$5*(O83-N83)/(O271*AI271)</f>
        <v>#DIV/0!</v>
      </c>
      <c r="AJ84" s="53" t="e">
        <f>AJ83+ATM_Conf!$C$5*(P83-O83)/(P271*AJ271)</f>
        <v>#DIV/0!</v>
      </c>
      <c r="AK84" s="53" t="e">
        <f>AK83+ATM_Conf!$C$5*(Q83-P83)/(Q271*AK271)</f>
        <v>#DIV/0!</v>
      </c>
      <c r="AL84" s="53" t="e">
        <f>AL83+ATM_Conf!$C$5*(R83-Q83)/(R271*AL271)</f>
        <v>#DIV/0!</v>
      </c>
      <c r="AM84" s="53" t="e">
        <f>AM83+ATM_Conf!$C$5*(S83-R83)/(S271*AM271)</f>
        <v>#DIV/0!</v>
      </c>
      <c r="AN84" s="53" t="e">
        <f>AN83+ATM_Conf!$C$5*(T83-S83)/(T271*AN271)</f>
        <v>#DIV/0!</v>
      </c>
      <c r="AO84" s="53" t="e">
        <f>AO83+ATM_Conf!$C$5*(U83-T83)/(U271*AO271)</f>
        <v>#DIV/0!</v>
      </c>
      <c r="AP84" s="43" t="e">
        <f>AP83+(ATM_Conf!$C$5/ATM_Conf!$C$8)*(BJ84*EXP(-(1/CX84)*(V84/CD84)^CX84)-AP83)-(ATM_Conf!$C$5*ATM_Conf!$C$9)/(V271*ATM_Conf!$C$8)*(Nodes!BO83-V83)/(V83+ATM_Conf!$C$10)</f>
        <v>#DIV/0!</v>
      </c>
      <c r="AQ84" s="43" t="e">
        <f>AQ83+(ATM_Conf!$C$5/ATM_Conf!$C$8)*(BK84*EXP(-(1/CY84)*(W84/CE84)^CY84)-AQ83)+(ATM_Conf!$C$5/W271)*AQ83*(AP83-AQ83)-(ATM_Conf!$C$5*ATM_Conf!$C$9)/(W271*ATM_Conf!$C$8)*(X83-W83)/(W83+ATM_Conf!$C$10)</f>
        <v>#DIV/0!</v>
      </c>
      <c r="AR84" s="43" t="e">
        <f>AR83+(ATM_Conf!$C$5/ATM_Conf!$C$8)*(BL84*EXP(-(1/CZ84)*(X84/CF84)^CZ84)-AR83)+(ATM_Conf!$C$5/X271)*AR83*(Nodes!BC83-AR83)-(ATM_Conf!$C$5*ATM_Conf!$C$9)/(X271*ATM_Conf!$C$8)*(Nodes!BQ83-X83)/(X83+ATM_Conf!$C$10)</f>
        <v>#DIV/0!</v>
      </c>
      <c r="AS84" s="43" t="e">
        <f>AS83+(ATM_Conf!$C$5/ATM_Conf!$C$8)*(BM84*EXP(-(1/DA84)*(Y84/CG84)^DA84)-AS83)+(ATM_Conf!$C$5/Y271)*AS83*(AR83-AS83)-(ATM_Conf!$C$5*ATM_Conf!$C$9)/(Y271*ATM_Conf!$C$8)*(Z83-Y83)/(Y83+ATM_Conf!$C$10)</f>
        <v>#DIV/0!</v>
      </c>
      <c r="AT84" s="43" t="e">
        <f>AT83+(ATM_Conf!$C$5/ATM_Conf!$C$8)*(BN84*EXP(-(1/DB84)*(Z84/CH84)^DB84)-AT83)+(ATM_Conf!$C$5/Z271)*AT83*(Nodes!BE83-AT83)-(ATM_Conf!$C$5*ATM_Conf!$C$9)/(Z271*ATM_Conf!$C$8)*(Nodes!BS83-Z83)/(Z83+ATM_Conf!$C$10)</f>
        <v>#DIV/0!</v>
      </c>
      <c r="AU84" s="43" t="e">
        <f>AU83+(ATM_Conf!$C$5/ATM_Conf!$C$8)*(BO84*EXP(-(1/DC84)*(AA84/CI84)^DC84)-AU83)+(ATM_Conf!$C$5/AA271)*AU83*(Nodes!BF83-AU83)-(ATM_Conf!$C$5*ATM_Conf!$C$9)/(AA271*ATM_Conf!$C$8)*(Nodes!BV83-AA83)/(AA83+ATM_Conf!$C$10)</f>
        <v>#DIV/0!</v>
      </c>
      <c r="AV84" s="43" t="e">
        <f>AV83+(ATM_Conf!$C$5/ATM_Conf!$C$8)*(BP84*EXP(-(1/DD84)*(AB84/CJ84)^DD84)-AV83)+(ATM_Conf!$C$5/AB271)*AV83*(AU83-AV83)-(ATM_Conf!$C$5*ATM_Conf!$C$9)/(AB271*ATM_Conf!$C$8)*(AC83-AB83)/(AB83+ATM_Conf!$C$10)</f>
        <v>#DIV/0!</v>
      </c>
      <c r="AW84" s="43" t="e">
        <f>AW83+(ATM_Conf!$C$5/ATM_Conf!$C$8)*(BQ84*EXP(-(1/DE84)*(AC84/CK84)^DE84)-AW83)+(ATM_Conf!$C$5/AC271)*AW83*(AV83-AW83)-(ATM_Conf!$C$5*ATM_Conf!$C$9)/(AC271*ATM_Conf!$C$8)*(AD83-AC83)/(AC83+ATM_Conf!$C$10)</f>
        <v>#DIV/0!</v>
      </c>
      <c r="AX84" s="43" t="e">
        <f>AX83+(ATM_Conf!$C$5/ATM_Conf!$C$8)*(BR84*EXP(-(1/DF84)*(AD84/CL84)^DF84)-AX83)+(ATM_Conf!$C$5/AD271)*AX83*(Nodes!BG83-AX83)-(ATM_Conf!$C$5*ATM_Conf!$C$9)/(AD271*ATM_Conf!$C$8)*(Nodes!BU83-AD83)/(AD83+ATM_Conf!$C$10)</f>
        <v>#DIV/0!</v>
      </c>
      <c r="AY84" s="43" t="e">
        <f>AY83+(ATM_Conf!$C$5/ATM_Conf!$C$8)*(BS84*EXP(-(1/DG84)*(AE84/CM84)^DG84)-AY83)+(ATM_Conf!$C$5/AE271)*AY83*(Nodes!BF83-AY83)</f>
        <v>#DIV/0!</v>
      </c>
      <c r="AZ84" s="43" t="e">
        <f>AZ83+(ATM_Conf!$C$5/ATM_Conf!$C$8)*(BT84*EXP(-(1/DH84)*(AF84/CN84)^DH84)-AZ83)-(ATM_Conf!$C$5*ATM_Conf!$C$9)/(AF271*ATM_Conf!$C$8)*(Nodes!BV83-AF83)/(AF83+ATM_Conf!$C$10)</f>
        <v>#DIV/0!</v>
      </c>
      <c r="BA84" s="43" t="e">
        <f>BA83+(ATM_Conf!$C$5/ATM_Conf!$C$8)*(BU84*EXP(-(1/DI84)*(AG84/CO84)^DI84)-BA83)+(ATM_Conf!$C$5/AG271)*BA83*(Nodes!BI83-BA83)-(ATM_Conf!$C$5*ATM_Conf!$C$9)/(AG271*ATM_Conf!$C$8)*(Nodes!BW83-AG83)/(AG83+ATM_Conf!$C$10)</f>
        <v>#DIV/0!</v>
      </c>
      <c r="BB84" s="43" t="e">
        <f>BB83+(ATM_Conf!$C$5/ATM_Conf!$C$8)*(BV84*EXP(-(1/DJ84)*(AH84/CP84)^DJ84)-BB83)+(ATM_Conf!$C$5/AH271)*BB83*(Nodes!BJ83-BB83)-(ATM_Conf!$C$5*ATM_Conf!$C$9)/(AH271*ATM_Conf!$C$8)*(AI83-AH83)/(AH83+ATM_Conf!$C$10)</f>
        <v>#DIV/0!</v>
      </c>
      <c r="BC84" s="43" t="e">
        <f>BC83+(ATM_Conf!$C$5/ATM_Conf!$C$8)*(BW84*EXP(-(1/DK84)*(AI84/CQ84)^DK84)-BC83)+(ATM_Conf!$C$5/AI271)*BC83*(BB83-BC83)-(ATM_Conf!$C$5*ATM_Conf!$C$9)/(AI271*ATM_Conf!$C$8)*(AJ83-AI83)/(AI83+ATM_Conf!$C$10)</f>
        <v>#DIV/0!</v>
      </c>
      <c r="BD84" s="43" t="e">
        <f>BD83+(ATM_Conf!$C$5/ATM_Conf!$C$8)*(BX84*EXP(-(1/DL84)*(AJ84/CR84)^DL84)-BD83)+(ATM_Conf!$C$5/AJ271)*BD83*(BC83-BD83)-(ATM_Conf!$C$5*ATM_Conf!$C$9)/(AJ271*ATM_Conf!$C$8)*(Nodes!BX83-AJ83)/(AJ83+ATM_Conf!$C$10)</f>
        <v>#DIV/0!</v>
      </c>
      <c r="BE84" s="43" t="e">
        <f>BE83+(ATM_Conf!$C$5/ATM_Conf!$C$8)*(BY84*EXP(-(1/DM84)*(AK84/CS84)^DM84)-BE83)+(ATM_Conf!$C$5/AK271)*BE83*(Nodes!BK83-BE83)-(ATM_Conf!$C$5*ATM_Conf!$C$9)/(AK271*ATM_Conf!$C$8)*(Nodes!BY83-AK83)/(AK83+ATM_Conf!$C$10)</f>
        <v>#DIV/0!</v>
      </c>
      <c r="BF84" s="43" t="e">
        <f>BF83+(ATM_Conf!$C$5/ATM_Conf!$C$8)*(BZ84*EXP(-(1/DN84)*(AL84/CT84)^DN84)-BF83)+(ATM_Conf!$C$5/AL271)*BF83*(BE83-BF83)-(ATM_Conf!$C$5*ATM_Conf!$C$9)/(AL271*ATM_Conf!$C$8)*(AM83-AL83)/(AL83+ATM_Conf!$C$10)</f>
        <v>#DIV/0!</v>
      </c>
      <c r="BG84" s="43" t="e">
        <f>BG83+(ATM_Conf!$C$5/ATM_Conf!$C$8)*(CA84*EXP(-(1/DO84)*(AM84/CU84)^DO84)-BG83)+(ATM_Conf!$C$5/AM271)*BG83*(Nodes!BM83-BG83)-(ATM_Conf!$C$5*ATM_Conf!$C$9)/(AM271*ATM_Conf!$C$8)*(Nodes!CA83-AM83)/(AM83+ATM_Conf!$C$10)</f>
        <v>#DIV/0!</v>
      </c>
      <c r="BH84" s="43" t="e">
        <f>BH83+(ATM_Conf!$C$5/ATM_Conf!$C$8)*(CB84*EXP(-(1/DP84)*(AN84/CV84)^DP84)-BH83)+(ATM_Conf!$C$5/AN271)*BH83*(BG83-BH83)-(ATM_Conf!$C$5*ATM_Conf!$C$9)/(AN271*ATM_Conf!$C$8)*(AO83-AN83)/(AN83+ATM_Conf!$C$10)</f>
        <v>#DIV/0!</v>
      </c>
      <c r="BI84" s="43" t="e">
        <f>BI83+(ATM_Conf!$C$5/ATM_Conf!$C$8)*(CC84*EXP(-(1/DQ84)*(AO84/CW84)^DQ84)-BI83)+(ATM_Conf!$C$5/AO271)*BI83*(BH83-BI83)</f>
        <v>#DIV/0!</v>
      </c>
      <c r="BJ84" s="53"/>
      <c r="BK84" s="53"/>
      <c r="BL84" s="53"/>
      <c r="BM84" s="53"/>
      <c r="BN84" s="53"/>
      <c r="BO84" s="53"/>
      <c r="BP84" s="53"/>
      <c r="BQ84" s="53"/>
      <c r="BR84" s="53"/>
      <c r="BS84" s="53"/>
      <c r="BT84" s="53"/>
      <c r="BU84" s="53"/>
      <c r="BV84" s="53"/>
      <c r="BW84" s="53"/>
      <c r="BX84" s="53"/>
      <c r="BY84" s="53"/>
      <c r="BZ84" s="53"/>
      <c r="CA84" s="53"/>
      <c r="CB84" s="53"/>
      <c r="CC84" s="5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53"/>
      <c r="CY84" s="53"/>
      <c r="CZ84" s="53"/>
      <c r="DA84" s="53"/>
      <c r="DB84" s="53"/>
      <c r="DC84" s="53"/>
      <c r="DD84" s="53"/>
      <c r="DE84" s="53"/>
      <c r="DF84" s="53"/>
      <c r="DG84" s="53"/>
      <c r="DH84" s="53"/>
      <c r="DI84" s="53"/>
      <c r="DJ84" s="53"/>
      <c r="DK84" s="53"/>
      <c r="DL84" s="53"/>
      <c r="DM84" s="53"/>
      <c r="DN84" s="53"/>
      <c r="DO84" s="53"/>
      <c r="DP84" s="53"/>
      <c r="DQ84" s="53"/>
      <c r="DR84" s="43">
        <f t="shared" si="61"/>
        <v>0</v>
      </c>
      <c r="DS84" s="43">
        <f t="shared" si="60"/>
        <v>0</v>
      </c>
      <c r="DT84" s="43">
        <f t="shared" si="60"/>
        <v>0</v>
      </c>
      <c r="DU84" s="43">
        <f t="shared" si="60"/>
        <v>0</v>
      </c>
      <c r="DV84" s="43">
        <f t="shared" si="60"/>
        <v>0</v>
      </c>
      <c r="DW84" s="43">
        <f t="shared" si="60"/>
        <v>0</v>
      </c>
      <c r="DX84" s="43">
        <f t="shared" si="60"/>
        <v>0</v>
      </c>
      <c r="DY84" s="43">
        <f t="shared" si="60"/>
        <v>0</v>
      </c>
      <c r="DZ84" s="43">
        <f t="shared" si="60"/>
        <v>0</v>
      </c>
      <c r="EA84" s="43">
        <f t="shared" si="60"/>
        <v>0</v>
      </c>
      <c r="EB84" s="43">
        <f t="shared" si="60"/>
        <v>0</v>
      </c>
      <c r="EC84" s="43">
        <f t="shared" si="60"/>
        <v>0</v>
      </c>
      <c r="ED84" s="43">
        <f t="shared" si="60"/>
        <v>0</v>
      </c>
      <c r="EE84" s="43">
        <f t="shared" si="60"/>
        <v>0</v>
      </c>
      <c r="EF84" s="43">
        <f t="shared" si="60"/>
        <v>0</v>
      </c>
      <c r="EG84" s="43">
        <f t="shared" si="60"/>
        <v>0</v>
      </c>
      <c r="EH84" s="43">
        <f t="shared" si="60"/>
        <v>0</v>
      </c>
      <c r="EI84" s="43">
        <f t="shared" si="60"/>
        <v>0</v>
      </c>
      <c r="EJ84" s="43">
        <f t="shared" si="60"/>
        <v>0</v>
      </c>
      <c r="EK84" s="43">
        <f t="shared" si="60"/>
        <v>0</v>
      </c>
      <c r="EL84" s="47"/>
      <c r="EM84" s="47"/>
      <c r="EN84" s="47"/>
      <c r="EO84" s="47"/>
      <c r="EP84" s="47"/>
      <c r="EQ84" s="47"/>
      <c r="ER84" s="47"/>
      <c r="ES84" s="47"/>
      <c r="ET84" s="47"/>
      <c r="EU84" s="47"/>
      <c r="EV84" s="47"/>
      <c r="EW84" s="47"/>
      <c r="EX84" s="47"/>
      <c r="EY84" s="47"/>
      <c r="EZ84" s="47"/>
      <c r="FA84" s="47"/>
      <c r="FB84" s="47"/>
      <c r="FC84" s="47"/>
      <c r="FD84" s="47"/>
      <c r="FE84" s="47"/>
    </row>
    <row r="85" spans="1:161" ht="14.25" x14ac:dyDescent="0.15">
      <c r="A85" s="46"/>
      <c r="B85" s="43" t="e">
        <f t="shared" si="39"/>
        <v>#DIV/0!</v>
      </c>
      <c r="C85" s="43" t="e">
        <f t="shared" si="40"/>
        <v>#DIV/0!</v>
      </c>
      <c r="D85" s="43" t="e">
        <f t="shared" si="41"/>
        <v>#DIV/0!</v>
      </c>
      <c r="E85" s="43" t="e">
        <f t="shared" si="42"/>
        <v>#DIV/0!</v>
      </c>
      <c r="F85" s="43" t="e">
        <f t="shared" si="43"/>
        <v>#DIV/0!</v>
      </c>
      <c r="G85" s="43" t="e">
        <f t="shared" si="44"/>
        <v>#DIV/0!</v>
      </c>
      <c r="H85" s="43" t="e">
        <f t="shared" si="45"/>
        <v>#DIV/0!</v>
      </c>
      <c r="I85" s="43" t="e">
        <f t="shared" si="46"/>
        <v>#DIV/0!</v>
      </c>
      <c r="J85" s="43" t="e">
        <f t="shared" si="47"/>
        <v>#DIV/0!</v>
      </c>
      <c r="K85" s="43" t="e">
        <f t="shared" si="48"/>
        <v>#DIV/0!</v>
      </c>
      <c r="L85" s="43" t="e">
        <f t="shared" si="49"/>
        <v>#DIV/0!</v>
      </c>
      <c r="M85" s="43" t="e">
        <f t="shared" si="50"/>
        <v>#DIV/0!</v>
      </c>
      <c r="N85" s="43" t="e">
        <f t="shared" si="51"/>
        <v>#DIV/0!</v>
      </c>
      <c r="O85" s="43" t="e">
        <f t="shared" si="52"/>
        <v>#DIV/0!</v>
      </c>
      <c r="P85" s="43" t="e">
        <f t="shared" si="53"/>
        <v>#DIV/0!</v>
      </c>
      <c r="Q85" s="43" t="e">
        <f t="shared" si="54"/>
        <v>#DIV/0!</v>
      </c>
      <c r="R85" s="43" t="e">
        <f t="shared" si="55"/>
        <v>#DIV/0!</v>
      </c>
      <c r="S85" s="43" t="e">
        <f t="shared" si="56"/>
        <v>#DIV/0!</v>
      </c>
      <c r="T85" s="43" t="e">
        <f t="shared" si="57"/>
        <v>#DIV/0!</v>
      </c>
      <c r="U85" s="43" t="e">
        <f t="shared" si="58"/>
        <v>#DIV/0!</v>
      </c>
      <c r="V85" s="53" t="e">
        <f>V84+ATM_Conf!$C$5*(B84)/(B272*V272)</f>
        <v>#DIV/0!</v>
      </c>
      <c r="W85" s="53" t="e">
        <f>W84+ATM_Conf!$C$5*(C84-B84)/(C272*W272)</f>
        <v>#DIV/0!</v>
      </c>
      <c r="X85" s="53" t="e">
        <f>X84+ATM_Conf!$C$5*(D84-C84)/(D272*X272)</f>
        <v>#DIV/0!</v>
      </c>
      <c r="Y85" s="53" t="e">
        <f>Y84+ATM_Conf!$C$5*(E84-D84)/(E272*Y272)</f>
        <v>#DIV/0!</v>
      </c>
      <c r="Z85" s="53" t="e">
        <f>Z84+ATM_Conf!$C$5*(F84-E84)/(F272*Z272)</f>
        <v>#DIV/0!</v>
      </c>
      <c r="AA85" s="53" t="e">
        <f>AA84+ATM_Conf!$C$5*(G84-F84)/(G272*AA272)</f>
        <v>#DIV/0!</v>
      </c>
      <c r="AB85" s="53" t="e">
        <f>AB84+ATM_Conf!$C$5*(H84-G84)/(H272*AB272)</f>
        <v>#DIV/0!</v>
      </c>
      <c r="AC85" s="53" t="e">
        <f>AC84+ATM_Conf!$C$5*(I84-H84)/(I272*AC272)</f>
        <v>#DIV/0!</v>
      </c>
      <c r="AD85" s="53" t="e">
        <f>AD84+ATM_Conf!$C$5*(J84-I84)/(J272*AD272)</f>
        <v>#DIV/0!</v>
      </c>
      <c r="AE85" s="53" t="e">
        <f>AE84+ATM_Conf!$C$5*(K84-J84)/(K272*AE272)</f>
        <v>#DIV/0!</v>
      </c>
      <c r="AF85" s="53" t="e">
        <f>AF84+ATM_Conf!$C$5*(L84)/(L272*AF272)</f>
        <v>#DIV/0!</v>
      </c>
      <c r="AG85" s="53" t="e">
        <f>AG84+ATM_Conf!$C$5*(M84-L84)/(M272*AG272)</f>
        <v>#DIV/0!</v>
      </c>
      <c r="AH85" s="53" t="e">
        <f>AH84+ATM_Conf!$C$5*(N84-M84)/(N272*AH272)</f>
        <v>#DIV/0!</v>
      </c>
      <c r="AI85" s="53" t="e">
        <f>AI84+ATM_Conf!$C$5*(O84-N84)/(O272*AI272)</f>
        <v>#DIV/0!</v>
      </c>
      <c r="AJ85" s="53" t="e">
        <f>AJ84+ATM_Conf!$C$5*(P84-O84)/(P272*AJ272)</f>
        <v>#DIV/0!</v>
      </c>
      <c r="AK85" s="53" t="e">
        <f>AK84+ATM_Conf!$C$5*(Q84-P84)/(Q272*AK272)</f>
        <v>#DIV/0!</v>
      </c>
      <c r="AL85" s="53" t="e">
        <f>AL84+ATM_Conf!$C$5*(R84-Q84)/(R272*AL272)</f>
        <v>#DIV/0!</v>
      </c>
      <c r="AM85" s="53" t="e">
        <f>AM84+ATM_Conf!$C$5*(S84-R84)/(S272*AM272)</f>
        <v>#DIV/0!</v>
      </c>
      <c r="AN85" s="53" t="e">
        <f>AN84+ATM_Conf!$C$5*(T84-S84)/(T272*AN272)</f>
        <v>#DIV/0!</v>
      </c>
      <c r="AO85" s="53" t="e">
        <f>AO84+ATM_Conf!$C$5*(U84-T84)/(U272*AO272)</f>
        <v>#DIV/0!</v>
      </c>
      <c r="AP85" s="43" t="e">
        <f>AP84+(ATM_Conf!$C$5/ATM_Conf!$C$8)*(BJ85*EXP(-(1/CX85)*(V85/CD85)^CX85)-AP84)-(ATM_Conf!$C$5*ATM_Conf!$C$9)/(V272*ATM_Conf!$C$8)*(Nodes!BO84-V84)/(V84+ATM_Conf!$C$10)</f>
        <v>#DIV/0!</v>
      </c>
      <c r="AQ85" s="43" t="e">
        <f>AQ84+(ATM_Conf!$C$5/ATM_Conf!$C$8)*(BK85*EXP(-(1/CY85)*(W85/CE85)^CY85)-AQ84)+(ATM_Conf!$C$5/W272)*AQ84*(AP84-AQ84)-(ATM_Conf!$C$5*ATM_Conf!$C$9)/(W272*ATM_Conf!$C$8)*(X84-W84)/(W84+ATM_Conf!$C$10)</f>
        <v>#DIV/0!</v>
      </c>
      <c r="AR85" s="43" t="e">
        <f>AR84+(ATM_Conf!$C$5/ATM_Conf!$C$8)*(BL85*EXP(-(1/CZ85)*(X85/CF85)^CZ85)-AR84)+(ATM_Conf!$C$5/X272)*AR84*(Nodes!BC84-AR84)-(ATM_Conf!$C$5*ATM_Conf!$C$9)/(X272*ATM_Conf!$C$8)*(Nodes!BQ84-X84)/(X84+ATM_Conf!$C$10)</f>
        <v>#DIV/0!</v>
      </c>
      <c r="AS85" s="43" t="e">
        <f>AS84+(ATM_Conf!$C$5/ATM_Conf!$C$8)*(BM85*EXP(-(1/DA85)*(Y85/CG85)^DA85)-AS84)+(ATM_Conf!$C$5/Y272)*AS84*(AR84-AS84)-(ATM_Conf!$C$5*ATM_Conf!$C$9)/(Y272*ATM_Conf!$C$8)*(Z84-Y84)/(Y84+ATM_Conf!$C$10)</f>
        <v>#DIV/0!</v>
      </c>
      <c r="AT85" s="43" t="e">
        <f>AT84+(ATM_Conf!$C$5/ATM_Conf!$C$8)*(BN85*EXP(-(1/DB85)*(Z85/CH85)^DB85)-AT84)+(ATM_Conf!$C$5/Z272)*AT84*(Nodes!BE84-AT84)-(ATM_Conf!$C$5*ATM_Conf!$C$9)/(Z272*ATM_Conf!$C$8)*(Nodes!BS84-Z84)/(Z84+ATM_Conf!$C$10)</f>
        <v>#DIV/0!</v>
      </c>
      <c r="AU85" s="43" t="e">
        <f>AU84+(ATM_Conf!$C$5/ATM_Conf!$C$8)*(BO85*EXP(-(1/DC85)*(AA85/CI85)^DC85)-AU84)+(ATM_Conf!$C$5/AA272)*AU84*(Nodes!BF84-AU84)-(ATM_Conf!$C$5*ATM_Conf!$C$9)/(AA272*ATM_Conf!$C$8)*(Nodes!BV84-AA84)/(AA84+ATM_Conf!$C$10)</f>
        <v>#DIV/0!</v>
      </c>
      <c r="AV85" s="43" t="e">
        <f>AV84+(ATM_Conf!$C$5/ATM_Conf!$C$8)*(BP85*EXP(-(1/DD85)*(AB85/CJ85)^DD85)-AV84)+(ATM_Conf!$C$5/AB272)*AV84*(AU84-AV84)-(ATM_Conf!$C$5*ATM_Conf!$C$9)/(AB272*ATM_Conf!$C$8)*(AC84-AB84)/(AB84+ATM_Conf!$C$10)</f>
        <v>#DIV/0!</v>
      </c>
      <c r="AW85" s="43" t="e">
        <f>AW84+(ATM_Conf!$C$5/ATM_Conf!$C$8)*(BQ85*EXP(-(1/DE85)*(AC85/CK85)^DE85)-AW84)+(ATM_Conf!$C$5/AC272)*AW84*(AV84-AW84)-(ATM_Conf!$C$5*ATM_Conf!$C$9)/(AC272*ATM_Conf!$C$8)*(AD84-AC84)/(AC84+ATM_Conf!$C$10)</f>
        <v>#DIV/0!</v>
      </c>
      <c r="AX85" s="43" t="e">
        <f>AX84+(ATM_Conf!$C$5/ATM_Conf!$C$8)*(BR85*EXP(-(1/DF85)*(AD85/CL85)^DF85)-AX84)+(ATM_Conf!$C$5/AD272)*AX84*(Nodes!BG84-AX84)-(ATM_Conf!$C$5*ATM_Conf!$C$9)/(AD272*ATM_Conf!$C$8)*(Nodes!BU84-AD84)/(AD84+ATM_Conf!$C$10)</f>
        <v>#DIV/0!</v>
      </c>
      <c r="AY85" s="43" t="e">
        <f>AY84+(ATM_Conf!$C$5/ATM_Conf!$C$8)*(BS85*EXP(-(1/DG85)*(AE85/CM85)^DG85)-AY84)+(ATM_Conf!$C$5/AE272)*AY84*(Nodes!BF84-AY84)</f>
        <v>#DIV/0!</v>
      </c>
      <c r="AZ85" s="43" t="e">
        <f>AZ84+(ATM_Conf!$C$5/ATM_Conf!$C$8)*(BT85*EXP(-(1/DH85)*(AF85/CN85)^DH85)-AZ84)-(ATM_Conf!$C$5*ATM_Conf!$C$9)/(AF272*ATM_Conf!$C$8)*(Nodes!BV84-AF84)/(AF84+ATM_Conf!$C$10)</f>
        <v>#DIV/0!</v>
      </c>
      <c r="BA85" s="43" t="e">
        <f>BA84+(ATM_Conf!$C$5/ATM_Conf!$C$8)*(BU85*EXP(-(1/DI85)*(AG85/CO85)^DI85)-BA84)+(ATM_Conf!$C$5/AG272)*BA84*(Nodes!BI84-BA84)-(ATM_Conf!$C$5*ATM_Conf!$C$9)/(AG272*ATM_Conf!$C$8)*(Nodes!BW84-AG84)/(AG84+ATM_Conf!$C$10)</f>
        <v>#DIV/0!</v>
      </c>
      <c r="BB85" s="43" t="e">
        <f>BB84+(ATM_Conf!$C$5/ATM_Conf!$C$8)*(BV85*EXP(-(1/DJ85)*(AH85/CP85)^DJ85)-BB84)+(ATM_Conf!$C$5/AH272)*BB84*(Nodes!BJ84-BB84)-(ATM_Conf!$C$5*ATM_Conf!$C$9)/(AH272*ATM_Conf!$C$8)*(AI84-AH84)/(AH84+ATM_Conf!$C$10)</f>
        <v>#DIV/0!</v>
      </c>
      <c r="BC85" s="43" t="e">
        <f>BC84+(ATM_Conf!$C$5/ATM_Conf!$C$8)*(BW85*EXP(-(1/DK85)*(AI85/CQ85)^DK85)-BC84)+(ATM_Conf!$C$5/AI272)*BC84*(BB84-BC84)-(ATM_Conf!$C$5*ATM_Conf!$C$9)/(AI272*ATM_Conf!$C$8)*(AJ84-AI84)/(AI84+ATM_Conf!$C$10)</f>
        <v>#DIV/0!</v>
      </c>
      <c r="BD85" s="43" t="e">
        <f>BD84+(ATM_Conf!$C$5/ATM_Conf!$C$8)*(BX85*EXP(-(1/DL85)*(AJ85/CR85)^DL85)-BD84)+(ATM_Conf!$C$5/AJ272)*BD84*(BC84-BD84)-(ATM_Conf!$C$5*ATM_Conf!$C$9)/(AJ272*ATM_Conf!$C$8)*(Nodes!BX84-AJ84)/(AJ84+ATM_Conf!$C$10)</f>
        <v>#DIV/0!</v>
      </c>
      <c r="BE85" s="43" t="e">
        <f>BE84+(ATM_Conf!$C$5/ATM_Conf!$C$8)*(BY85*EXP(-(1/DM85)*(AK85/CS85)^DM85)-BE84)+(ATM_Conf!$C$5/AK272)*BE84*(Nodes!BK84-BE84)-(ATM_Conf!$C$5*ATM_Conf!$C$9)/(AK272*ATM_Conf!$C$8)*(Nodes!BY84-AK84)/(AK84+ATM_Conf!$C$10)</f>
        <v>#DIV/0!</v>
      </c>
      <c r="BF85" s="43" t="e">
        <f>BF84+(ATM_Conf!$C$5/ATM_Conf!$C$8)*(BZ85*EXP(-(1/DN85)*(AL85/CT85)^DN85)-BF84)+(ATM_Conf!$C$5/AL272)*BF84*(BE84-BF84)-(ATM_Conf!$C$5*ATM_Conf!$C$9)/(AL272*ATM_Conf!$C$8)*(AM84-AL84)/(AL84+ATM_Conf!$C$10)</f>
        <v>#DIV/0!</v>
      </c>
      <c r="BG85" s="43" t="e">
        <f>BG84+(ATM_Conf!$C$5/ATM_Conf!$C$8)*(CA85*EXP(-(1/DO85)*(AM85/CU85)^DO85)-BG84)+(ATM_Conf!$C$5/AM272)*BG84*(Nodes!BM84-BG84)-(ATM_Conf!$C$5*ATM_Conf!$C$9)/(AM272*ATM_Conf!$C$8)*(Nodes!CA84-AM84)/(AM84+ATM_Conf!$C$10)</f>
        <v>#DIV/0!</v>
      </c>
      <c r="BH85" s="43" t="e">
        <f>BH84+(ATM_Conf!$C$5/ATM_Conf!$C$8)*(CB85*EXP(-(1/DP85)*(AN85/CV85)^DP85)-BH84)+(ATM_Conf!$C$5/AN272)*BH84*(BG84-BH84)-(ATM_Conf!$C$5*ATM_Conf!$C$9)/(AN272*ATM_Conf!$C$8)*(AO84-AN84)/(AN84+ATM_Conf!$C$10)</f>
        <v>#DIV/0!</v>
      </c>
      <c r="BI85" s="43" t="e">
        <f>BI84+(ATM_Conf!$C$5/ATM_Conf!$C$8)*(CC85*EXP(-(1/DQ85)*(AO85/CW85)^DQ85)-BI84)+(ATM_Conf!$C$5/AO272)*BI84*(BH84-BI84)</f>
        <v>#DIV/0!</v>
      </c>
      <c r="BJ85" s="53"/>
      <c r="BK85" s="53"/>
      <c r="BL85" s="53"/>
      <c r="BM85" s="53"/>
      <c r="BN85" s="53"/>
      <c r="BO85" s="53"/>
      <c r="BP85" s="53"/>
      <c r="BQ85" s="53"/>
      <c r="BR85" s="53"/>
      <c r="BS85" s="53"/>
      <c r="BT85" s="53"/>
      <c r="BU85" s="53"/>
      <c r="BV85" s="53"/>
      <c r="BW85" s="53"/>
      <c r="BX85" s="53"/>
      <c r="BY85" s="53"/>
      <c r="BZ85" s="53"/>
      <c r="CA85" s="53"/>
      <c r="CB85" s="53"/>
      <c r="CC85" s="5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53"/>
      <c r="CY85" s="53"/>
      <c r="CZ85" s="53"/>
      <c r="DA85" s="53"/>
      <c r="DB85" s="53"/>
      <c r="DC85" s="53"/>
      <c r="DD85" s="53"/>
      <c r="DE85" s="53"/>
      <c r="DF85" s="53"/>
      <c r="DG85" s="53"/>
      <c r="DH85" s="53"/>
      <c r="DI85" s="53"/>
      <c r="DJ85" s="53"/>
      <c r="DK85" s="53"/>
      <c r="DL85" s="53"/>
      <c r="DM85" s="53"/>
      <c r="DN85" s="53"/>
      <c r="DO85" s="53"/>
      <c r="DP85" s="53"/>
      <c r="DQ85" s="53"/>
      <c r="DR85" s="43">
        <f t="shared" si="61"/>
        <v>0</v>
      </c>
      <c r="DS85" s="43">
        <f t="shared" si="60"/>
        <v>0</v>
      </c>
      <c r="DT85" s="43">
        <f t="shared" si="60"/>
        <v>0</v>
      </c>
      <c r="DU85" s="43">
        <f t="shared" si="60"/>
        <v>0</v>
      </c>
      <c r="DV85" s="43">
        <f t="shared" si="60"/>
        <v>0</v>
      </c>
      <c r="DW85" s="43">
        <f t="shared" si="60"/>
        <v>0</v>
      </c>
      <c r="DX85" s="43">
        <f t="shared" si="60"/>
        <v>0</v>
      </c>
      <c r="DY85" s="43">
        <f t="shared" si="60"/>
        <v>0</v>
      </c>
      <c r="DZ85" s="43">
        <f t="shared" si="60"/>
        <v>0</v>
      </c>
      <c r="EA85" s="43">
        <f t="shared" si="60"/>
        <v>0</v>
      </c>
      <c r="EB85" s="43">
        <f t="shared" si="60"/>
        <v>0</v>
      </c>
      <c r="EC85" s="43">
        <f t="shared" si="60"/>
        <v>0</v>
      </c>
      <c r="ED85" s="43">
        <f t="shared" si="60"/>
        <v>0</v>
      </c>
      <c r="EE85" s="43">
        <f t="shared" si="60"/>
        <v>0</v>
      </c>
      <c r="EF85" s="43">
        <f t="shared" si="60"/>
        <v>0</v>
      </c>
      <c r="EG85" s="43">
        <f t="shared" si="60"/>
        <v>0</v>
      </c>
      <c r="EH85" s="43">
        <f t="shared" si="60"/>
        <v>0</v>
      </c>
      <c r="EI85" s="43">
        <f t="shared" si="60"/>
        <v>0</v>
      </c>
      <c r="EJ85" s="43">
        <f t="shared" si="60"/>
        <v>0</v>
      </c>
      <c r="EK85" s="43">
        <f t="shared" si="60"/>
        <v>0</v>
      </c>
      <c r="EL85" s="47"/>
      <c r="EM85" s="47"/>
      <c r="EN85" s="47"/>
      <c r="EO85" s="47"/>
      <c r="EP85" s="47"/>
      <c r="EQ85" s="47"/>
      <c r="ER85" s="47"/>
      <c r="ES85" s="47"/>
      <c r="ET85" s="47"/>
      <c r="EU85" s="47"/>
      <c r="EV85" s="47"/>
      <c r="EW85" s="47"/>
      <c r="EX85" s="47"/>
      <c r="EY85" s="47"/>
      <c r="EZ85" s="47"/>
      <c r="FA85" s="47"/>
      <c r="FB85" s="47"/>
      <c r="FC85" s="47"/>
      <c r="FD85" s="47"/>
      <c r="FE85" s="47"/>
    </row>
    <row r="86" spans="1:161" ht="14.25" x14ac:dyDescent="0.15">
      <c r="A86" s="46"/>
      <c r="B86" s="43" t="e">
        <f t="shared" si="39"/>
        <v>#DIV/0!</v>
      </c>
      <c r="C86" s="43" t="e">
        <f t="shared" si="40"/>
        <v>#DIV/0!</v>
      </c>
      <c r="D86" s="43" t="e">
        <f t="shared" si="41"/>
        <v>#DIV/0!</v>
      </c>
      <c r="E86" s="43" t="e">
        <f t="shared" si="42"/>
        <v>#DIV/0!</v>
      </c>
      <c r="F86" s="43" t="e">
        <f t="shared" si="43"/>
        <v>#DIV/0!</v>
      </c>
      <c r="G86" s="43" t="e">
        <f t="shared" si="44"/>
        <v>#DIV/0!</v>
      </c>
      <c r="H86" s="43" t="e">
        <f t="shared" si="45"/>
        <v>#DIV/0!</v>
      </c>
      <c r="I86" s="43" t="e">
        <f t="shared" si="46"/>
        <v>#DIV/0!</v>
      </c>
      <c r="J86" s="43" t="e">
        <f t="shared" si="47"/>
        <v>#DIV/0!</v>
      </c>
      <c r="K86" s="43" t="e">
        <f t="shared" si="48"/>
        <v>#DIV/0!</v>
      </c>
      <c r="L86" s="43" t="e">
        <f t="shared" si="49"/>
        <v>#DIV/0!</v>
      </c>
      <c r="M86" s="43" t="e">
        <f t="shared" si="50"/>
        <v>#DIV/0!</v>
      </c>
      <c r="N86" s="43" t="e">
        <f t="shared" si="51"/>
        <v>#DIV/0!</v>
      </c>
      <c r="O86" s="43" t="e">
        <f t="shared" si="52"/>
        <v>#DIV/0!</v>
      </c>
      <c r="P86" s="43" t="e">
        <f t="shared" si="53"/>
        <v>#DIV/0!</v>
      </c>
      <c r="Q86" s="43" t="e">
        <f t="shared" si="54"/>
        <v>#DIV/0!</v>
      </c>
      <c r="R86" s="43" t="e">
        <f t="shared" si="55"/>
        <v>#DIV/0!</v>
      </c>
      <c r="S86" s="43" t="e">
        <f t="shared" si="56"/>
        <v>#DIV/0!</v>
      </c>
      <c r="T86" s="43" t="e">
        <f t="shared" si="57"/>
        <v>#DIV/0!</v>
      </c>
      <c r="U86" s="43" t="e">
        <f t="shared" si="58"/>
        <v>#DIV/0!</v>
      </c>
      <c r="V86" s="53" t="e">
        <f>V85+ATM_Conf!$C$5*(B85)/(B273*V273)</f>
        <v>#DIV/0!</v>
      </c>
      <c r="W86" s="53" t="e">
        <f>W85+ATM_Conf!$C$5*(C85-B85)/(C273*W273)</f>
        <v>#DIV/0!</v>
      </c>
      <c r="X86" s="53" t="e">
        <f>X85+ATM_Conf!$C$5*(D85-C85)/(D273*X273)</f>
        <v>#DIV/0!</v>
      </c>
      <c r="Y86" s="53" t="e">
        <f>Y85+ATM_Conf!$C$5*(E85-D85)/(E273*Y273)</f>
        <v>#DIV/0!</v>
      </c>
      <c r="Z86" s="53" t="e">
        <f>Z85+ATM_Conf!$C$5*(F85-E85)/(F273*Z273)</f>
        <v>#DIV/0!</v>
      </c>
      <c r="AA86" s="53" t="e">
        <f>AA85+ATM_Conf!$C$5*(G85-F85)/(G273*AA273)</f>
        <v>#DIV/0!</v>
      </c>
      <c r="AB86" s="53" t="e">
        <f>AB85+ATM_Conf!$C$5*(H85-G85)/(H273*AB273)</f>
        <v>#DIV/0!</v>
      </c>
      <c r="AC86" s="53" t="e">
        <f>AC85+ATM_Conf!$C$5*(I85-H85)/(I273*AC273)</f>
        <v>#DIV/0!</v>
      </c>
      <c r="AD86" s="53" t="e">
        <f>AD85+ATM_Conf!$C$5*(J85-I85)/(J273*AD273)</f>
        <v>#DIV/0!</v>
      </c>
      <c r="AE86" s="53" t="e">
        <f>AE85+ATM_Conf!$C$5*(K85-J85)/(K273*AE273)</f>
        <v>#DIV/0!</v>
      </c>
      <c r="AF86" s="53" t="e">
        <f>AF85+ATM_Conf!$C$5*(L85)/(L273*AF273)</f>
        <v>#DIV/0!</v>
      </c>
      <c r="AG86" s="53" t="e">
        <f>AG85+ATM_Conf!$C$5*(M85-L85)/(M273*AG273)</f>
        <v>#DIV/0!</v>
      </c>
      <c r="AH86" s="53" t="e">
        <f>AH85+ATM_Conf!$C$5*(N85-M85)/(N273*AH273)</f>
        <v>#DIV/0!</v>
      </c>
      <c r="AI86" s="53" t="e">
        <f>AI85+ATM_Conf!$C$5*(O85-N85)/(O273*AI273)</f>
        <v>#DIV/0!</v>
      </c>
      <c r="AJ86" s="53" t="e">
        <f>AJ85+ATM_Conf!$C$5*(P85-O85)/(P273*AJ273)</f>
        <v>#DIV/0!</v>
      </c>
      <c r="AK86" s="53" t="e">
        <f>AK85+ATM_Conf!$C$5*(Q85-P85)/(Q273*AK273)</f>
        <v>#DIV/0!</v>
      </c>
      <c r="AL86" s="53" t="e">
        <f>AL85+ATM_Conf!$C$5*(R85-Q85)/(R273*AL273)</f>
        <v>#DIV/0!</v>
      </c>
      <c r="AM86" s="53" t="e">
        <f>AM85+ATM_Conf!$C$5*(S85-R85)/(S273*AM273)</f>
        <v>#DIV/0!</v>
      </c>
      <c r="AN86" s="53" t="e">
        <f>AN85+ATM_Conf!$C$5*(T85-S85)/(T273*AN273)</f>
        <v>#DIV/0!</v>
      </c>
      <c r="AO86" s="53" t="e">
        <f>AO85+ATM_Conf!$C$5*(U85-T85)/(U273*AO273)</f>
        <v>#DIV/0!</v>
      </c>
      <c r="AP86" s="43" t="e">
        <f>AP85+(ATM_Conf!$C$5/ATM_Conf!$C$8)*(BJ86*EXP(-(1/CX86)*(V86/CD86)^CX86)-AP85)-(ATM_Conf!$C$5*ATM_Conf!$C$9)/(V273*ATM_Conf!$C$8)*(Nodes!BO85-V85)/(V85+ATM_Conf!$C$10)</f>
        <v>#DIV/0!</v>
      </c>
      <c r="AQ86" s="43" t="e">
        <f>AQ85+(ATM_Conf!$C$5/ATM_Conf!$C$8)*(BK86*EXP(-(1/CY86)*(W86/CE86)^CY86)-AQ85)+(ATM_Conf!$C$5/W273)*AQ85*(AP85-AQ85)-(ATM_Conf!$C$5*ATM_Conf!$C$9)/(W273*ATM_Conf!$C$8)*(X85-W85)/(W85+ATM_Conf!$C$10)</f>
        <v>#DIV/0!</v>
      </c>
      <c r="AR86" s="43" t="e">
        <f>AR85+(ATM_Conf!$C$5/ATM_Conf!$C$8)*(BL86*EXP(-(1/CZ86)*(X86/CF86)^CZ86)-AR85)+(ATM_Conf!$C$5/X273)*AR85*(Nodes!BC85-AR85)-(ATM_Conf!$C$5*ATM_Conf!$C$9)/(X273*ATM_Conf!$C$8)*(Nodes!BQ85-X85)/(X85+ATM_Conf!$C$10)</f>
        <v>#DIV/0!</v>
      </c>
      <c r="AS86" s="43" t="e">
        <f>AS85+(ATM_Conf!$C$5/ATM_Conf!$C$8)*(BM86*EXP(-(1/DA86)*(Y86/CG86)^DA86)-AS85)+(ATM_Conf!$C$5/Y273)*AS85*(AR85-AS85)-(ATM_Conf!$C$5*ATM_Conf!$C$9)/(Y273*ATM_Conf!$C$8)*(Z85-Y85)/(Y85+ATM_Conf!$C$10)</f>
        <v>#DIV/0!</v>
      </c>
      <c r="AT86" s="43" t="e">
        <f>AT85+(ATM_Conf!$C$5/ATM_Conf!$C$8)*(BN86*EXP(-(1/DB86)*(Z86/CH86)^DB86)-AT85)+(ATM_Conf!$C$5/Z273)*AT85*(Nodes!BE85-AT85)-(ATM_Conf!$C$5*ATM_Conf!$C$9)/(Z273*ATM_Conf!$C$8)*(Nodes!BS85-Z85)/(Z85+ATM_Conf!$C$10)</f>
        <v>#DIV/0!</v>
      </c>
      <c r="AU86" s="43" t="e">
        <f>AU85+(ATM_Conf!$C$5/ATM_Conf!$C$8)*(BO86*EXP(-(1/DC86)*(AA86/CI86)^DC86)-AU85)+(ATM_Conf!$C$5/AA273)*AU85*(Nodes!BF85-AU85)-(ATM_Conf!$C$5*ATM_Conf!$C$9)/(AA273*ATM_Conf!$C$8)*(Nodes!BV85-AA85)/(AA85+ATM_Conf!$C$10)</f>
        <v>#DIV/0!</v>
      </c>
      <c r="AV86" s="43" t="e">
        <f>AV85+(ATM_Conf!$C$5/ATM_Conf!$C$8)*(BP86*EXP(-(1/DD86)*(AB86/CJ86)^DD86)-AV85)+(ATM_Conf!$C$5/AB273)*AV85*(AU85-AV85)-(ATM_Conf!$C$5*ATM_Conf!$C$9)/(AB273*ATM_Conf!$C$8)*(AC85-AB85)/(AB85+ATM_Conf!$C$10)</f>
        <v>#DIV/0!</v>
      </c>
      <c r="AW86" s="43" t="e">
        <f>AW85+(ATM_Conf!$C$5/ATM_Conf!$C$8)*(BQ86*EXP(-(1/DE86)*(AC86/CK86)^DE86)-AW85)+(ATM_Conf!$C$5/AC273)*AW85*(AV85-AW85)-(ATM_Conf!$C$5*ATM_Conf!$C$9)/(AC273*ATM_Conf!$C$8)*(AD85-AC85)/(AC85+ATM_Conf!$C$10)</f>
        <v>#DIV/0!</v>
      </c>
      <c r="AX86" s="43" t="e">
        <f>AX85+(ATM_Conf!$C$5/ATM_Conf!$C$8)*(BR86*EXP(-(1/DF86)*(AD86/CL86)^DF86)-AX85)+(ATM_Conf!$C$5/AD273)*AX85*(Nodes!BG85-AX85)-(ATM_Conf!$C$5*ATM_Conf!$C$9)/(AD273*ATM_Conf!$C$8)*(Nodes!BU85-AD85)/(AD85+ATM_Conf!$C$10)</f>
        <v>#DIV/0!</v>
      </c>
      <c r="AY86" s="43" t="e">
        <f>AY85+(ATM_Conf!$C$5/ATM_Conf!$C$8)*(BS86*EXP(-(1/DG86)*(AE86/CM86)^DG86)-AY85)+(ATM_Conf!$C$5/AE273)*AY85*(Nodes!BF85-AY85)</f>
        <v>#DIV/0!</v>
      </c>
      <c r="AZ86" s="43" t="e">
        <f>AZ85+(ATM_Conf!$C$5/ATM_Conf!$C$8)*(BT86*EXP(-(1/DH86)*(AF86/CN86)^DH86)-AZ85)-(ATM_Conf!$C$5*ATM_Conf!$C$9)/(AF273*ATM_Conf!$C$8)*(Nodes!BV85-AF85)/(AF85+ATM_Conf!$C$10)</f>
        <v>#DIV/0!</v>
      </c>
      <c r="BA86" s="43" t="e">
        <f>BA85+(ATM_Conf!$C$5/ATM_Conf!$C$8)*(BU86*EXP(-(1/DI86)*(AG86/CO86)^DI86)-BA85)+(ATM_Conf!$C$5/AG273)*BA85*(Nodes!BI85-BA85)-(ATM_Conf!$C$5*ATM_Conf!$C$9)/(AG273*ATM_Conf!$C$8)*(Nodes!BW85-AG85)/(AG85+ATM_Conf!$C$10)</f>
        <v>#DIV/0!</v>
      </c>
      <c r="BB86" s="43" t="e">
        <f>BB85+(ATM_Conf!$C$5/ATM_Conf!$C$8)*(BV86*EXP(-(1/DJ86)*(AH86/CP86)^DJ86)-BB85)+(ATM_Conf!$C$5/AH273)*BB85*(Nodes!BJ85-BB85)-(ATM_Conf!$C$5*ATM_Conf!$C$9)/(AH273*ATM_Conf!$C$8)*(AI85-AH85)/(AH85+ATM_Conf!$C$10)</f>
        <v>#DIV/0!</v>
      </c>
      <c r="BC86" s="43" t="e">
        <f>BC85+(ATM_Conf!$C$5/ATM_Conf!$C$8)*(BW86*EXP(-(1/DK86)*(AI86/CQ86)^DK86)-BC85)+(ATM_Conf!$C$5/AI273)*BC85*(BB85-BC85)-(ATM_Conf!$C$5*ATM_Conf!$C$9)/(AI273*ATM_Conf!$C$8)*(AJ85-AI85)/(AI85+ATM_Conf!$C$10)</f>
        <v>#DIV/0!</v>
      </c>
      <c r="BD86" s="43" t="e">
        <f>BD85+(ATM_Conf!$C$5/ATM_Conf!$C$8)*(BX86*EXP(-(1/DL86)*(AJ86/CR86)^DL86)-BD85)+(ATM_Conf!$C$5/AJ273)*BD85*(BC85-BD85)-(ATM_Conf!$C$5*ATM_Conf!$C$9)/(AJ273*ATM_Conf!$C$8)*(Nodes!BX85-AJ85)/(AJ85+ATM_Conf!$C$10)</f>
        <v>#DIV/0!</v>
      </c>
      <c r="BE86" s="43" t="e">
        <f>BE85+(ATM_Conf!$C$5/ATM_Conf!$C$8)*(BY86*EXP(-(1/DM86)*(AK86/CS86)^DM86)-BE85)+(ATM_Conf!$C$5/AK273)*BE85*(Nodes!BK85-BE85)-(ATM_Conf!$C$5*ATM_Conf!$C$9)/(AK273*ATM_Conf!$C$8)*(Nodes!BY85-AK85)/(AK85+ATM_Conf!$C$10)</f>
        <v>#DIV/0!</v>
      </c>
      <c r="BF86" s="43" t="e">
        <f>BF85+(ATM_Conf!$C$5/ATM_Conf!$C$8)*(BZ86*EXP(-(1/DN86)*(AL86/CT86)^DN86)-BF85)+(ATM_Conf!$C$5/AL273)*BF85*(BE85-BF85)-(ATM_Conf!$C$5*ATM_Conf!$C$9)/(AL273*ATM_Conf!$C$8)*(AM85-AL85)/(AL85+ATM_Conf!$C$10)</f>
        <v>#DIV/0!</v>
      </c>
      <c r="BG86" s="43" t="e">
        <f>BG85+(ATM_Conf!$C$5/ATM_Conf!$C$8)*(CA86*EXP(-(1/DO86)*(AM86/CU86)^DO86)-BG85)+(ATM_Conf!$C$5/AM273)*BG85*(Nodes!BM85-BG85)-(ATM_Conf!$C$5*ATM_Conf!$C$9)/(AM273*ATM_Conf!$C$8)*(Nodes!CA85-AM85)/(AM85+ATM_Conf!$C$10)</f>
        <v>#DIV/0!</v>
      </c>
      <c r="BH86" s="43" t="e">
        <f>BH85+(ATM_Conf!$C$5/ATM_Conf!$C$8)*(CB86*EXP(-(1/DP86)*(AN86/CV86)^DP86)-BH85)+(ATM_Conf!$C$5/AN273)*BH85*(BG85-BH85)-(ATM_Conf!$C$5*ATM_Conf!$C$9)/(AN273*ATM_Conf!$C$8)*(AO85-AN85)/(AN85+ATM_Conf!$C$10)</f>
        <v>#DIV/0!</v>
      </c>
      <c r="BI86" s="43" t="e">
        <f>BI85+(ATM_Conf!$C$5/ATM_Conf!$C$8)*(CC86*EXP(-(1/DQ86)*(AO86/CW86)^DQ86)-BI85)+(ATM_Conf!$C$5/AO273)*BI85*(BH85-BI85)</f>
        <v>#DIV/0!</v>
      </c>
      <c r="BJ86" s="53"/>
      <c r="BK86" s="53"/>
      <c r="BL86" s="53"/>
      <c r="BM86" s="53"/>
      <c r="BN86" s="53"/>
      <c r="BO86" s="53"/>
      <c r="BP86" s="53"/>
      <c r="BQ86" s="53"/>
      <c r="BR86" s="53"/>
      <c r="BS86" s="53"/>
      <c r="BT86" s="53"/>
      <c r="BU86" s="53"/>
      <c r="BV86" s="53"/>
      <c r="BW86" s="53"/>
      <c r="BX86" s="53"/>
      <c r="BY86" s="53"/>
      <c r="BZ86" s="53"/>
      <c r="CA86" s="53"/>
      <c r="CB86" s="53"/>
      <c r="CC86" s="5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53"/>
      <c r="CY86" s="53"/>
      <c r="CZ86" s="53"/>
      <c r="DA86" s="53"/>
      <c r="DB86" s="53"/>
      <c r="DC86" s="53"/>
      <c r="DD86" s="53"/>
      <c r="DE86" s="53"/>
      <c r="DF86" s="53"/>
      <c r="DG86" s="53"/>
      <c r="DH86" s="53"/>
      <c r="DI86" s="53"/>
      <c r="DJ86" s="53"/>
      <c r="DK86" s="53"/>
      <c r="DL86" s="53"/>
      <c r="DM86" s="53"/>
      <c r="DN86" s="53"/>
      <c r="DO86" s="53"/>
      <c r="DP86" s="53"/>
      <c r="DQ86" s="53"/>
      <c r="DR86" s="43">
        <f t="shared" si="61"/>
        <v>0</v>
      </c>
      <c r="DS86" s="43">
        <f t="shared" si="60"/>
        <v>0</v>
      </c>
      <c r="DT86" s="43">
        <f t="shared" si="60"/>
        <v>0</v>
      </c>
      <c r="DU86" s="43">
        <f t="shared" si="60"/>
        <v>0</v>
      </c>
      <c r="DV86" s="43">
        <f t="shared" si="60"/>
        <v>0</v>
      </c>
      <c r="DW86" s="43">
        <f t="shared" si="60"/>
        <v>0</v>
      </c>
      <c r="DX86" s="43">
        <f t="shared" si="60"/>
        <v>0</v>
      </c>
      <c r="DY86" s="43">
        <f t="shared" si="60"/>
        <v>0</v>
      </c>
      <c r="DZ86" s="43">
        <f t="shared" si="60"/>
        <v>0</v>
      </c>
      <c r="EA86" s="43">
        <f t="shared" si="60"/>
        <v>0</v>
      </c>
      <c r="EB86" s="43">
        <f t="shared" si="60"/>
        <v>0</v>
      </c>
      <c r="EC86" s="43">
        <f t="shared" si="60"/>
        <v>0</v>
      </c>
      <c r="ED86" s="43">
        <f t="shared" si="60"/>
        <v>0</v>
      </c>
      <c r="EE86" s="43">
        <f t="shared" si="60"/>
        <v>0</v>
      </c>
      <c r="EF86" s="43">
        <f t="shared" si="60"/>
        <v>0</v>
      </c>
      <c r="EG86" s="43">
        <f t="shared" si="60"/>
        <v>0</v>
      </c>
      <c r="EH86" s="43">
        <f t="shared" si="60"/>
        <v>0</v>
      </c>
      <c r="EI86" s="43">
        <f t="shared" si="60"/>
        <v>0</v>
      </c>
      <c r="EJ86" s="43">
        <f t="shared" si="60"/>
        <v>0</v>
      </c>
      <c r="EK86" s="43">
        <f t="shared" si="60"/>
        <v>0</v>
      </c>
      <c r="EL86" s="47"/>
      <c r="EM86" s="47"/>
      <c r="EN86" s="47"/>
      <c r="EO86" s="47"/>
      <c r="EP86" s="47"/>
      <c r="EQ86" s="47"/>
      <c r="ER86" s="47"/>
      <c r="ES86" s="47"/>
      <c r="ET86" s="47"/>
      <c r="EU86" s="47"/>
      <c r="EV86" s="47"/>
      <c r="EW86" s="47"/>
      <c r="EX86" s="47"/>
      <c r="EY86" s="47"/>
      <c r="EZ86" s="47"/>
      <c r="FA86" s="47"/>
      <c r="FB86" s="47"/>
      <c r="FC86" s="47"/>
      <c r="FD86" s="47"/>
      <c r="FE86" s="47"/>
    </row>
    <row r="87" spans="1:161" ht="14.25" x14ac:dyDescent="0.15">
      <c r="A87" s="46"/>
      <c r="B87" s="43" t="e">
        <f t="shared" si="39"/>
        <v>#DIV/0!</v>
      </c>
      <c r="C87" s="43" t="e">
        <f t="shared" si="40"/>
        <v>#DIV/0!</v>
      </c>
      <c r="D87" s="43" t="e">
        <f t="shared" si="41"/>
        <v>#DIV/0!</v>
      </c>
      <c r="E87" s="43" t="e">
        <f t="shared" si="42"/>
        <v>#DIV/0!</v>
      </c>
      <c r="F87" s="43" t="e">
        <f t="shared" si="43"/>
        <v>#DIV/0!</v>
      </c>
      <c r="G87" s="43" t="e">
        <f t="shared" si="44"/>
        <v>#DIV/0!</v>
      </c>
      <c r="H87" s="43" t="e">
        <f t="shared" si="45"/>
        <v>#DIV/0!</v>
      </c>
      <c r="I87" s="43" t="e">
        <f t="shared" si="46"/>
        <v>#DIV/0!</v>
      </c>
      <c r="J87" s="43" t="e">
        <f t="shared" si="47"/>
        <v>#DIV/0!</v>
      </c>
      <c r="K87" s="43" t="e">
        <f t="shared" si="48"/>
        <v>#DIV/0!</v>
      </c>
      <c r="L87" s="43" t="e">
        <f t="shared" si="49"/>
        <v>#DIV/0!</v>
      </c>
      <c r="M87" s="43" t="e">
        <f t="shared" si="50"/>
        <v>#DIV/0!</v>
      </c>
      <c r="N87" s="43" t="e">
        <f t="shared" si="51"/>
        <v>#DIV/0!</v>
      </c>
      <c r="O87" s="43" t="e">
        <f t="shared" si="52"/>
        <v>#DIV/0!</v>
      </c>
      <c r="P87" s="43" t="e">
        <f t="shared" si="53"/>
        <v>#DIV/0!</v>
      </c>
      <c r="Q87" s="43" t="e">
        <f t="shared" si="54"/>
        <v>#DIV/0!</v>
      </c>
      <c r="R87" s="43" t="e">
        <f t="shared" si="55"/>
        <v>#DIV/0!</v>
      </c>
      <c r="S87" s="43" t="e">
        <f t="shared" si="56"/>
        <v>#DIV/0!</v>
      </c>
      <c r="T87" s="43" t="e">
        <f t="shared" si="57"/>
        <v>#DIV/0!</v>
      </c>
      <c r="U87" s="43" t="e">
        <f t="shared" si="58"/>
        <v>#DIV/0!</v>
      </c>
      <c r="V87" s="53" t="e">
        <f>V86+ATM_Conf!$C$5*(B86)/(B274*V274)</f>
        <v>#DIV/0!</v>
      </c>
      <c r="W87" s="53" t="e">
        <f>W86+ATM_Conf!$C$5*(C86-B86)/(C274*W274)</f>
        <v>#DIV/0!</v>
      </c>
      <c r="X87" s="53" t="e">
        <f>X86+ATM_Conf!$C$5*(D86-C86)/(D274*X274)</f>
        <v>#DIV/0!</v>
      </c>
      <c r="Y87" s="53" t="e">
        <f>Y86+ATM_Conf!$C$5*(E86-D86)/(E274*Y274)</f>
        <v>#DIV/0!</v>
      </c>
      <c r="Z87" s="53" t="e">
        <f>Z86+ATM_Conf!$C$5*(F86-E86)/(F274*Z274)</f>
        <v>#DIV/0!</v>
      </c>
      <c r="AA87" s="53" t="e">
        <f>AA86+ATM_Conf!$C$5*(G86-F86)/(G274*AA274)</f>
        <v>#DIV/0!</v>
      </c>
      <c r="AB87" s="53" t="e">
        <f>AB86+ATM_Conf!$C$5*(H86-G86)/(H274*AB274)</f>
        <v>#DIV/0!</v>
      </c>
      <c r="AC87" s="53" t="e">
        <f>AC86+ATM_Conf!$C$5*(I86-H86)/(I274*AC274)</f>
        <v>#DIV/0!</v>
      </c>
      <c r="AD87" s="53" t="e">
        <f>AD86+ATM_Conf!$C$5*(J86-I86)/(J274*AD274)</f>
        <v>#DIV/0!</v>
      </c>
      <c r="AE87" s="53" t="e">
        <f>AE86+ATM_Conf!$C$5*(K86-J86)/(K274*AE274)</f>
        <v>#DIV/0!</v>
      </c>
      <c r="AF87" s="53" t="e">
        <f>AF86+ATM_Conf!$C$5*(L86)/(L274*AF274)</f>
        <v>#DIV/0!</v>
      </c>
      <c r="AG87" s="53" t="e">
        <f>AG86+ATM_Conf!$C$5*(M86-L86)/(M274*AG274)</f>
        <v>#DIV/0!</v>
      </c>
      <c r="AH87" s="53" t="e">
        <f>AH86+ATM_Conf!$C$5*(N86-M86)/(N274*AH274)</f>
        <v>#DIV/0!</v>
      </c>
      <c r="AI87" s="53" t="e">
        <f>AI86+ATM_Conf!$C$5*(O86-N86)/(O274*AI274)</f>
        <v>#DIV/0!</v>
      </c>
      <c r="AJ87" s="53" t="e">
        <f>AJ86+ATM_Conf!$C$5*(P86-O86)/(P274*AJ274)</f>
        <v>#DIV/0!</v>
      </c>
      <c r="AK87" s="53" t="e">
        <f>AK86+ATM_Conf!$C$5*(Q86-P86)/(Q274*AK274)</f>
        <v>#DIV/0!</v>
      </c>
      <c r="AL87" s="53" t="e">
        <f>AL86+ATM_Conf!$C$5*(R86-Q86)/(R274*AL274)</f>
        <v>#DIV/0!</v>
      </c>
      <c r="AM87" s="53" t="e">
        <f>AM86+ATM_Conf!$C$5*(S86-R86)/(S274*AM274)</f>
        <v>#DIV/0!</v>
      </c>
      <c r="AN87" s="53" t="e">
        <f>AN86+ATM_Conf!$C$5*(T86-S86)/(T274*AN274)</f>
        <v>#DIV/0!</v>
      </c>
      <c r="AO87" s="53" t="e">
        <f>AO86+ATM_Conf!$C$5*(U86-T86)/(U274*AO274)</f>
        <v>#DIV/0!</v>
      </c>
      <c r="AP87" s="43" t="e">
        <f>AP86+(ATM_Conf!$C$5/ATM_Conf!$C$8)*(BJ87*EXP(-(1/CX87)*(V87/CD87)^CX87)-AP86)-(ATM_Conf!$C$5*ATM_Conf!$C$9)/(V274*ATM_Conf!$C$8)*(Nodes!BO86-V86)/(V86+ATM_Conf!$C$10)</f>
        <v>#DIV/0!</v>
      </c>
      <c r="AQ87" s="43" t="e">
        <f>AQ86+(ATM_Conf!$C$5/ATM_Conf!$C$8)*(BK87*EXP(-(1/CY87)*(W87/CE87)^CY87)-AQ86)+(ATM_Conf!$C$5/W274)*AQ86*(AP86-AQ86)-(ATM_Conf!$C$5*ATM_Conf!$C$9)/(W274*ATM_Conf!$C$8)*(X86-W86)/(W86+ATM_Conf!$C$10)</f>
        <v>#DIV/0!</v>
      </c>
      <c r="AR87" s="43" t="e">
        <f>AR86+(ATM_Conf!$C$5/ATM_Conf!$C$8)*(BL87*EXP(-(1/CZ87)*(X87/CF87)^CZ87)-AR86)+(ATM_Conf!$C$5/X274)*AR86*(Nodes!BC86-AR86)-(ATM_Conf!$C$5*ATM_Conf!$C$9)/(X274*ATM_Conf!$C$8)*(Nodes!BQ86-X86)/(X86+ATM_Conf!$C$10)</f>
        <v>#DIV/0!</v>
      </c>
      <c r="AS87" s="43" t="e">
        <f>AS86+(ATM_Conf!$C$5/ATM_Conf!$C$8)*(BM87*EXP(-(1/DA87)*(Y87/CG87)^DA87)-AS86)+(ATM_Conf!$C$5/Y274)*AS86*(AR86-AS86)-(ATM_Conf!$C$5*ATM_Conf!$C$9)/(Y274*ATM_Conf!$C$8)*(Z86-Y86)/(Y86+ATM_Conf!$C$10)</f>
        <v>#DIV/0!</v>
      </c>
      <c r="AT87" s="43" t="e">
        <f>AT86+(ATM_Conf!$C$5/ATM_Conf!$C$8)*(BN87*EXP(-(1/DB87)*(Z87/CH87)^DB87)-AT86)+(ATM_Conf!$C$5/Z274)*AT86*(Nodes!BE86-AT86)-(ATM_Conf!$C$5*ATM_Conf!$C$9)/(Z274*ATM_Conf!$C$8)*(Nodes!BS86-Z86)/(Z86+ATM_Conf!$C$10)</f>
        <v>#DIV/0!</v>
      </c>
      <c r="AU87" s="43" t="e">
        <f>AU86+(ATM_Conf!$C$5/ATM_Conf!$C$8)*(BO87*EXP(-(1/DC87)*(AA87/CI87)^DC87)-AU86)+(ATM_Conf!$C$5/AA274)*AU86*(Nodes!BF86-AU86)-(ATM_Conf!$C$5*ATM_Conf!$C$9)/(AA274*ATM_Conf!$C$8)*(Nodes!BV86-AA86)/(AA86+ATM_Conf!$C$10)</f>
        <v>#DIV/0!</v>
      </c>
      <c r="AV87" s="43" t="e">
        <f>AV86+(ATM_Conf!$C$5/ATM_Conf!$C$8)*(BP87*EXP(-(1/DD87)*(AB87/CJ87)^DD87)-AV86)+(ATM_Conf!$C$5/AB274)*AV86*(AU86-AV86)-(ATM_Conf!$C$5*ATM_Conf!$C$9)/(AB274*ATM_Conf!$C$8)*(AC86-AB86)/(AB86+ATM_Conf!$C$10)</f>
        <v>#DIV/0!</v>
      </c>
      <c r="AW87" s="43" t="e">
        <f>AW86+(ATM_Conf!$C$5/ATM_Conf!$C$8)*(BQ87*EXP(-(1/DE87)*(AC87/CK87)^DE87)-AW86)+(ATM_Conf!$C$5/AC274)*AW86*(AV86-AW86)-(ATM_Conf!$C$5*ATM_Conf!$C$9)/(AC274*ATM_Conf!$C$8)*(AD86-AC86)/(AC86+ATM_Conf!$C$10)</f>
        <v>#DIV/0!</v>
      </c>
      <c r="AX87" s="43" t="e">
        <f>AX86+(ATM_Conf!$C$5/ATM_Conf!$C$8)*(BR87*EXP(-(1/DF87)*(AD87/CL87)^DF87)-AX86)+(ATM_Conf!$C$5/AD274)*AX86*(Nodes!BG86-AX86)-(ATM_Conf!$C$5*ATM_Conf!$C$9)/(AD274*ATM_Conf!$C$8)*(Nodes!BU86-AD86)/(AD86+ATM_Conf!$C$10)</f>
        <v>#DIV/0!</v>
      </c>
      <c r="AY87" s="43" t="e">
        <f>AY86+(ATM_Conf!$C$5/ATM_Conf!$C$8)*(BS87*EXP(-(1/DG87)*(AE87/CM87)^DG87)-AY86)+(ATM_Conf!$C$5/AE274)*AY86*(Nodes!BF86-AY86)</f>
        <v>#DIV/0!</v>
      </c>
      <c r="AZ87" s="43" t="e">
        <f>AZ86+(ATM_Conf!$C$5/ATM_Conf!$C$8)*(BT87*EXP(-(1/DH87)*(AF87/CN87)^DH87)-AZ86)-(ATM_Conf!$C$5*ATM_Conf!$C$9)/(AF274*ATM_Conf!$C$8)*(Nodes!BV86-AF86)/(AF86+ATM_Conf!$C$10)</f>
        <v>#DIV/0!</v>
      </c>
      <c r="BA87" s="43" t="e">
        <f>BA86+(ATM_Conf!$C$5/ATM_Conf!$C$8)*(BU87*EXP(-(1/DI87)*(AG87/CO87)^DI87)-BA86)+(ATM_Conf!$C$5/AG274)*BA86*(Nodes!BI86-BA86)-(ATM_Conf!$C$5*ATM_Conf!$C$9)/(AG274*ATM_Conf!$C$8)*(Nodes!BW86-AG86)/(AG86+ATM_Conf!$C$10)</f>
        <v>#DIV/0!</v>
      </c>
      <c r="BB87" s="43" t="e">
        <f>BB86+(ATM_Conf!$C$5/ATM_Conf!$C$8)*(BV87*EXP(-(1/DJ87)*(AH87/CP87)^DJ87)-BB86)+(ATM_Conf!$C$5/AH274)*BB86*(Nodes!BJ86-BB86)-(ATM_Conf!$C$5*ATM_Conf!$C$9)/(AH274*ATM_Conf!$C$8)*(AI86-AH86)/(AH86+ATM_Conf!$C$10)</f>
        <v>#DIV/0!</v>
      </c>
      <c r="BC87" s="43" t="e">
        <f>BC86+(ATM_Conf!$C$5/ATM_Conf!$C$8)*(BW87*EXP(-(1/DK87)*(AI87/CQ87)^DK87)-BC86)+(ATM_Conf!$C$5/AI274)*BC86*(BB86-BC86)-(ATM_Conf!$C$5*ATM_Conf!$C$9)/(AI274*ATM_Conf!$C$8)*(AJ86-AI86)/(AI86+ATM_Conf!$C$10)</f>
        <v>#DIV/0!</v>
      </c>
      <c r="BD87" s="43" t="e">
        <f>BD86+(ATM_Conf!$C$5/ATM_Conf!$C$8)*(BX87*EXP(-(1/DL87)*(AJ87/CR87)^DL87)-BD86)+(ATM_Conf!$C$5/AJ274)*BD86*(BC86-BD86)-(ATM_Conf!$C$5*ATM_Conf!$C$9)/(AJ274*ATM_Conf!$C$8)*(Nodes!BX86-AJ86)/(AJ86+ATM_Conf!$C$10)</f>
        <v>#DIV/0!</v>
      </c>
      <c r="BE87" s="43" t="e">
        <f>BE86+(ATM_Conf!$C$5/ATM_Conf!$C$8)*(BY87*EXP(-(1/DM87)*(AK87/CS87)^DM87)-BE86)+(ATM_Conf!$C$5/AK274)*BE86*(Nodes!BK86-BE86)-(ATM_Conf!$C$5*ATM_Conf!$C$9)/(AK274*ATM_Conf!$C$8)*(Nodes!BY86-AK86)/(AK86+ATM_Conf!$C$10)</f>
        <v>#DIV/0!</v>
      </c>
      <c r="BF87" s="43" t="e">
        <f>BF86+(ATM_Conf!$C$5/ATM_Conf!$C$8)*(BZ87*EXP(-(1/DN87)*(AL87/CT87)^DN87)-BF86)+(ATM_Conf!$C$5/AL274)*BF86*(BE86-BF86)-(ATM_Conf!$C$5*ATM_Conf!$C$9)/(AL274*ATM_Conf!$C$8)*(AM86-AL86)/(AL86+ATM_Conf!$C$10)</f>
        <v>#DIV/0!</v>
      </c>
      <c r="BG87" s="43" t="e">
        <f>BG86+(ATM_Conf!$C$5/ATM_Conf!$C$8)*(CA87*EXP(-(1/DO87)*(AM87/CU87)^DO87)-BG86)+(ATM_Conf!$C$5/AM274)*BG86*(Nodes!BM86-BG86)-(ATM_Conf!$C$5*ATM_Conf!$C$9)/(AM274*ATM_Conf!$C$8)*(Nodes!CA86-AM86)/(AM86+ATM_Conf!$C$10)</f>
        <v>#DIV/0!</v>
      </c>
      <c r="BH87" s="43" t="e">
        <f>BH86+(ATM_Conf!$C$5/ATM_Conf!$C$8)*(CB87*EXP(-(1/DP87)*(AN87/CV87)^DP87)-BH86)+(ATM_Conf!$C$5/AN274)*BH86*(BG86-BH86)-(ATM_Conf!$C$5*ATM_Conf!$C$9)/(AN274*ATM_Conf!$C$8)*(AO86-AN86)/(AN86+ATM_Conf!$C$10)</f>
        <v>#DIV/0!</v>
      </c>
      <c r="BI87" s="43" t="e">
        <f>BI86+(ATM_Conf!$C$5/ATM_Conf!$C$8)*(CC87*EXP(-(1/DQ87)*(AO87/CW87)^DQ87)-BI86)+(ATM_Conf!$C$5/AO274)*BI86*(BH86-BI86)</f>
        <v>#DIV/0!</v>
      </c>
      <c r="BJ87" s="53"/>
      <c r="BK87" s="53"/>
      <c r="BL87" s="53"/>
      <c r="BM87" s="53"/>
      <c r="BN87" s="53"/>
      <c r="BO87" s="53"/>
      <c r="BP87" s="53"/>
      <c r="BQ87" s="53"/>
      <c r="BR87" s="53"/>
      <c r="BS87" s="53"/>
      <c r="BT87" s="53"/>
      <c r="BU87" s="53"/>
      <c r="BV87" s="53"/>
      <c r="BW87" s="53"/>
      <c r="BX87" s="53"/>
      <c r="BY87" s="53"/>
      <c r="BZ87" s="53"/>
      <c r="CA87" s="53"/>
      <c r="CB87" s="53"/>
      <c r="CC87" s="5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53"/>
      <c r="CY87" s="53"/>
      <c r="CZ87" s="53"/>
      <c r="DA87" s="53"/>
      <c r="DB87" s="53"/>
      <c r="DC87" s="53"/>
      <c r="DD87" s="53"/>
      <c r="DE87" s="53"/>
      <c r="DF87" s="53"/>
      <c r="DG87" s="53"/>
      <c r="DH87" s="53"/>
      <c r="DI87" s="53"/>
      <c r="DJ87" s="53"/>
      <c r="DK87" s="53"/>
      <c r="DL87" s="53"/>
      <c r="DM87" s="53"/>
      <c r="DN87" s="53"/>
      <c r="DO87" s="53"/>
      <c r="DP87" s="53"/>
      <c r="DQ87" s="53"/>
      <c r="DR87" s="62"/>
      <c r="DS87" s="62"/>
      <c r="DT87" s="62"/>
      <c r="DU87" s="62"/>
      <c r="DV87" s="62"/>
      <c r="DW87" s="62"/>
      <c r="DX87" s="62"/>
      <c r="DY87" s="62"/>
      <c r="DZ87" s="62"/>
      <c r="EA87" s="62"/>
      <c r="EB87" s="62"/>
      <c r="EC87" s="62"/>
      <c r="ED87" s="62"/>
      <c r="EE87" s="62"/>
      <c r="EF87" s="62"/>
      <c r="EG87" s="62"/>
      <c r="EH87" s="62"/>
      <c r="EI87" s="62"/>
      <c r="EJ87" s="62"/>
      <c r="EK87" s="62"/>
      <c r="EL87" s="47">
        <f>(DR87-DR75)^2</f>
        <v>0</v>
      </c>
      <c r="EM87" s="47">
        <f t="shared" ref="EM87:FE87" si="62">(DS87-DS75)^2</f>
        <v>0</v>
      </c>
      <c r="EN87" s="47">
        <f t="shared" si="62"/>
        <v>0</v>
      </c>
      <c r="EO87" s="47">
        <f t="shared" si="62"/>
        <v>0</v>
      </c>
      <c r="EP87" s="47">
        <f t="shared" si="62"/>
        <v>0</v>
      </c>
      <c r="EQ87" s="47">
        <f t="shared" si="62"/>
        <v>0</v>
      </c>
      <c r="ER87" s="47">
        <f t="shared" si="62"/>
        <v>0</v>
      </c>
      <c r="ES87" s="47">
        <f t="shared" si="62"/>
        <v>0</v>
      </c>
      <c r="ET87" s="47">
        <f t="shared" si="62"/>
        <v>0</v>
      </c>
      <c r="EU87" s="47">
        <f t="shared" si="62"/>
        <v>0</v>
      </c>
      <c r="EV87" s="47">
        <f t="shared" si="62"/>
        <v>0</v>
      </c>
      <c r="EW87" s="47">
        <f t="shared" si="62"/>
        <v>0</v>
      </c>
      <c r="EX87" s="47">
        <f t="shared" si="62"/>
        <v>0</v>
      </c>
      <c r="EY87" s="47">
        <f t="shared" si="62"/>
        <v>0</v>
      </c>
      <c r="EZ87" s="47">
        <f t="shared" si="62"/>
        <v>0</v>
      </c>
      <c r="FA87" s="47">
        <f t="shared" si="62"/>
        <v>0</v>
      </c>
      <c r="FB87" s="47">
        <f t="shared" si="62"/>
        <v>0</v>
      </c>
      <c r="FC87" s="47">
        <f t="shared" si="62"/>
        <v>0</v>
      </c>
      <c r="FD87" s="47">
        <f t="shared" si="62"/>
        <v>0</v>
      </c>
      <c r="FE87" s="47">
        <f t="shared" si="62"/>
        <v>0</v>
      </c>
    </row>
    <row r="88" spans="1:161" ht="14.25" x14ac:dyDescent="0.15">
      <c r="A88" s="46"/>
      <c r="B88" s="43" t="e">
        <f t="shared" si="39"/>
        <v>#DIV/0!</v>
      </c>
      <c r="C88" s="43" t="e">
        <f t="shared" si="40"/>
        <v>#DIV/0!</v>
      </c>
      <c r="D88" s="43" t="e">
        <f t="shared" si="41"/>
        <v>#DIV/0!</v>
      </c>
      <c r="E88" s="43" t="e">
        <f t="shared" si="42"/>
        <v>#DIV/0!</v>
      </c>
      <c r="F88" s="43" t="e">
        <f t="shared" si="43"/>
        <v>#DIV/0!</v>
      </c>
      <c r="G88" s="43" t="e">
        <f t="shared" si="44"/>
        <v>#DIV/0!</v>
      </c>
      <c r="H88" s="43" t="e">
        <f t="shared" si="45"/>
        <v>#DIV/0!</v>
      </c>
      <c r="I88" s="43" t="e">
        <f t="shared" si="46"/>
        <v>#DIV/0!</v>
      </c>
      <c r="J88" s="43" t="e">
        <f t="shared" si="47"/>
        <v>#DIV/0!</v>
      </c>
      <c r="K88" s="43" t="e">
        <f t="shared" si="48"/>
        <v>#DIV/0!</v>
      </c>
      <c r="L88" s="43" t="e">
        <f t="shared" si="49"/>
        <v>#DIV/0!</v>
      </c>
      <c r="M88" s="43" t="e">
        <f t="shared" si="50"/>
        <v>#DIV/0!</v>
      </c>
      <c r="N88" s="43" t="e">
        <f t="shared" si="51"/>
        <v>#DIV/0!</v>
      </c>
      <c r="O88" s="43" t="e">
        <f t="shared" si="52"/>
        <v>#DIV/0!</v>
      </c>
      <c r="P88" s="43" t="e">
        <f t="shared" si="53"/>
        <v>#DIV/0!</v>
      </c>
      <c r="Q88" s="43" t="e">
        <f t="shared" si="54"/>
        <v>#DIV/0!</v>
      </c>
      <c r="R88" s="43" t="e">
        <f t="shared" si="55"/>
        <v>#DIV/0!</v>
      </c>
      <c r="S88" s="43" t="e">
        <f t="shared" si="56"/>
        <v>#DIV/0!</v>
      </c>
      <c r="T88" s="43" t="e">
        <f t="shared" si="57"/>
        <v>#DIV/0!</v>
      </c>
      <c r="U88" s="43" t="e">
        <f t="shared" si="58"/>
        <v>#DIV/0!</v>
      </c>
      <c r="V88" s="53" t="e">
        <f>V87+ATM_Conf!$C$5*(B87)/(B275*V275)</f>
        <v>#DIV/0!</v>
      </c>
      <c r="W88" s="53" t="e">
        <f>W87+ATM_Conf!$C$5*(C87-B87)/(C275*W275)</f>
        <v>#DIV/0!</v>
      </c>
      <c r="X88" s="53" t="e">
        <f>X87+ATM_Conf!$C$5*(D87-C87)/(D275*X275)</f>
        <v>#DIV/0!</v>
      </c>
      <c r="Y88" s="53" t="e">
        <f>Y87+ATM_Conf!$C$5*(E87-D87)/(E275*Y275)</f>
        <v>#DIV/0!</v>
      </c>
      <c r="Z88" s="53" t="e">
        <f>Z87+ATM_Conf!$C$5*(F87-E87)/(F275*Z275)</f>
        <v>#DIV/0!</v>
      </c>
      <c r="AA88" s="53" t="e">
        <f>AA87+ATM_Conf!$C$5*(G87-F87)/(G275*AA275)</f>
        <v>#DIV/0!</v>
      </c>
      <c r="AB88" s="53" t="e">
        <f>AB87+ATM_Conf!$C$5*(H87-G87)/(H275*AB275)</f>
        <v>#DIV/0!</v>
      </c>
      <c r="AC88" s="53" t="e">
        <f>AC87+ATM_Conf!$C$5*(I87-H87)/(I275*AC275)</f>
        <v>#DIV/0!</v>
      </c>
      <c r="AD88" s="53" t="e">
        <f>AD87+ATM_Conf!$C$5*(J87-I87)/(J275*AD275)</f>
        <v>#DIV/0!</v>
      </c>
      <c r="AE88" s="53" t="e">
        <f>AE87+ATM_Conf!$C$5*(K87-J87)/(K275*AE275)</f>
        <v>#DIV/0!</v>
      </c>
      <c r="AF88" s="53" t="e">
        <f>AF87+ATM_Conf!$C$5*(L87)/(L275*AF275)</f>
        <v>#DIV/0!</v>
      </c>
      <c r="AG88" s="53" t="e">
        <f>AG87+ATM_Conf!$C$5*(M87-L87)/(M275*AG275)</f>
        <v>#DIV/0!</v>
      </c>
      <c r="AH88" s="53" t="e">
        <f>AH87+ATM_Conf!$C$5*(N87-M87)/(N275*AH275)</f>
        <v>#DIV/0!</v>
      </c>
      <c r="AI88" s="53" t="e">
        <f>AI87+ATM_Conf!$C$5*(O87-N87)/(O275*AI275)</f>
        <v>#DIV/0!</v>
      </c>
      <c r="AJ88" s="53" t="e">
        <f>AJ87+ATM_Conf!$C$5*(P87-O87)/(P275*AJ275)</f>
        <v>#DIV/0!</v>
      </c>
      <c r="AK88" s="53" t="e">
        <f>AK87+ATM_Conf!$C$5*(Q87-P87)/(Q275*AK275)</f>
        <v>#DIV/0!</v>
      </c>
      <c r="AL88" s="53" t="e">
        <f>AL87+ATM_Conf!$C$5*(R87-Q87)/(R275*AL275)</f>
        <v>#DIV/0!</v>
      </c>
      <c r="AM88" s="53" t="e">
        <f>AM87+ATM_Conf!$C$5*(S87-R87)/(S275*AM275)</f>
        <v>#DIV/0!</v>
      </c>
      <c r="AN88" s="53" t="e">
        <f>AN87+ATM_Conf!$C$5*(T87-S87)/(T275*AN275)</f>
        <v>#DIV/0!</v>
      </c>
      <c r="AO88" s="53" t="e">
        <f>AO87+ATM_Conf!$C$5*(U87-T87)/(U275*AO275)</f>
        <v>#DIV/0!</v>
      </c>
      <c r="AP88" s="43" t="e">
        <f>AP87+(ATM_Conf!$C$5/ATM_Conf!$C$8)*(BJ88*EXP(-(1/CX88)*(V88/CD88)^CX88)-AP87)-(ATM_Conf!$C$5*ATM_Conf!$C$9)/(V275*ATM_Conf!$C$8)*(Nodes!BO87-V87)/(V87+ATM_Conf!$C$10)</f>
        <v>#DIV/0!</v>
      </c>
      <c r="AQ88" s="43" t="e">
        <f>AQ87+(ATM_Conf!$C$5/ATM_Conf!$C$8)*(BK88*EXP(-(1/CY88)*(W88/CE88)^CY88)-AQ87)+(ATM_Conf!$C$5/W275)*AQ87*(AP87-AQ87)-(ATM_Conf!$C$5*ATM_Conf!$C$9)/(W275*ATM_Conf!$C$8)*(X87-W87)/(W87+ATM_Conf!$C$10)</f>
        <v>#DIV/0!</v>
      </c>
      <c r="AR88" s="43" t="e">
        <f>AR87+(ATM_Conf!$C$5/ATM_Conf!$C$8)*(BL88*EXP(-(1/CZ88)*(X88/CF88)^CZ88)-AR87)+(ATM_Conf!$C$5/X275)*AR87*(Nodes!BC87-AR87)-(ATM_Conf!$C$5*ATM_Conf!$C$9)/(X275*ATM_Conf!$C$8)*(Nodes!BQ87-X87)/(X87+ATM_Conf!$C$10)</f>
        <v>#DIV/0!</v>
      </c>
      <c r="AS88" s="43" t="e">
        <f>AS87+(ATM_Conf!$C$5/ATM_Conf!$C$8)*(BM88*EXP(-(1/DA88)*(Y88/CG88)^DA88)-AS87)+(ATM_Conf!$C$5/Y275)*AS87*(AR87-AS87)-(ATM_Conf!$C$5*ATM_Conf!$C$9)/(Y275*ATM_Conf!$C$8)*(Z87-Y87)/(Y87+ATM_Conf!$C$10)</f>
        <v>#DIV/0!</v>
      </c>
      <c r="AT88" s="43" t="e">
        <f>AT87+(ATM_Conf!$C$5/ATM_Conf!$C$8)*(BN88*EXP(-(1/DB88)*(Z88/CH88)^DB88)-AT87)+(ATM_Conf!$C$5/Z275)*AT87*(Nodes!BE87-AT87)-(ATM_Conf!$C$5*ATM_Conf!$C$9)/(Z275*ATM_Conf!$C$8)*(Nodes!BS87-Z87)/(Z87+ATM_Conf!$C$10)</f>
        <v>#DIV/0!</v>
      </c>
      <c r="AU88" s="43" t="e">
        <f>AU87+(ATM_Conf!$C$5/ATM_Conf!$C$8)*(BO88*EXP(-(1/DC88)*(AA88/CI88)^DC88)-AU87)+(ATM_Conf!$C$5/AA275)*AU87*(Nodes!BF87-AU87)-(ATM_Conf!$C$5*ATM_Conf!$C$9)/(AA275*ATM_Conf!$C$8)*(Nodes!BV87-AA87)/(AA87+ATM_Conf!$C$10)</f>
        <v>#DIV/0!</v>
      </c>
      <c r="AV88" s="43" t="e">
        <f>AV87+(ATM_Conf!$C$5/ATM_Conf!$C$8)*(BP88*EXP(-(1/DD88)*(AB88/CJ88)^DD88)-AV87)+(ATM_Conf!$C$5/AB275)*AV87*(AU87-AV87)-(ATM_Conf!$C$5*ATM_Conf!$C$9)/(AB275*ATM_Conf!$C$8)*(AC87-AB87)/(AB87+ATM_Conf!$C$10)</f>
        <v>#DIV/0!</v>
      </c>
      <c r="AW88" s="43" t="e">
        <f>AW87+(ATM_Conf!$C$5/ATM_Conf!$C$8)*(BQ88*EXP(-(1/DE88)*(AC88/CK88)^DE88)-AW87)+(ATM_Conf!$C$5/AC275)*AW87*(AV87-AW87)-(ATM_Conf!$C$5*ATM_Conf!$C$9)/(AC275*ATM_Conf!$C$8)*(AD87-AC87)/(AC87+ATM_Conf!$C$10)</f>
        <v>#DIV/0!</v>
      </c>
      <c r="AX88" s="43" t="e">
        <f>AX87+(ATM_Conf!$C$5/ATM_Conf!$C$8)*(BR88*EXP(-(1/DF88)*(AD88/CL88)^DF88)-AX87)+(ATM_Conf!$C$5/AD275)*AX87*(Nodes!BG87-AX87)-(ATM_Conf!$C$5*ATM_Conf!$C$9)/(AD275*ATM_Conf!$C$8)*(Nodes!BU87-AD87)/(AD87+ATM_Conf!$C$10)</f>
        <v>#DIV/0!</v>
      </c>
      <c r="AY88" s="43" t="e">
        <f>AY87+(ATM_Conf!$C$5/ATM_Conf!$C$8)*(BS88*EXP(-(1/DG88)*(AE88/CM88)^DG88)-AY87)+(ATM_Conf!$C$5/AE275)*AY87*(Nodes!BF87-AY87)</f>
        <v>#DIV/0!</v>
      </c>
      <c r="AZ88" s="43" t="e">
        <f>AZ87+(ATM_Conf!$C$5/ATM_Conf!$C$8)*(BT88*EXP(-(1/DH88)*(AF88/CN88)^DH88)-AZ87)-(ATM_Conf!$C$5*ATM_Conf!$C$9)/(AF275*ATM_Conf!$C$8)*(Nodes!BV87-AF87)/(AF87+ATM_Conf!$C$10)</f>
        <v>#DIV/0!</v>
      </c>
      <c r="BA88" s="43" t="e">
        <f>BA87+(ATM_Conf!$C$5/ATM_Conf!$C$8)*(BU88*EXP(-(1/DI88)*(AG88/CO88)^DI88)-BA87)+(ATM_Conf!$C$5/AG275)*BA87*(Nodes!BI87-BA87)-(ATM_Conf!$C$5*ATM_Conf!$C$9)/(AG275*ATM_Conf!$C$8)*(Nodes!BW87-AG87)/(AG87+ATM_Conf!$C$10)</f>
        <v>#DIV/0!</v>
      </c>
      <c r="BB88" s="43" t="e">
        <f>BB87+(ATM_Conf!$C$5/ATM_Conf!$C$8)*(BV88*EXP(-(1/DJ88)*(AH88/CP88)^DJ88)-BB87)+(ATM_Conf!$C$5/AH275)*BB87*(Nodes!BJ87-BB87)-(ATM_Conf!$C$5*ATM_Conf!$C$9)/(AH275*ATM_Conf!$C$8)*(AI87-AH87)/(AH87+ATM_Conf!$C$10)</f>
        <v>#DIV/0!</v>
      </c>
      <c r="BC88" s="43" t="e">
        <f>BC87+(ATM_Conf!$C$5/ATM_Conf!$C$8)*(BW88*EXP(-(1/DK88)*(AI88/CQ88)^DK88)-BC87)+(ATM_Conf!$C$5/AI275)*BC87*(BB87-BC87)-(ATM_Conf!$C$5*ATM_Conf!$C$9)/(AI275*ATM_Conf!$C$8)*(AJ87-AI87)/(AI87+ATM_Conf!$C$10)</f>
        <v>#DIV/0!</v>
      </c>
      <c r="BD88" s="43" t="e">
        <f>BD87+(ATM_Conf!$C$5/ATM_Conf!$C$8)*(BX88*EXP(-(1/DL88)*(AJ88/CR88)^DL88)-BD87)+(ATM_Conf!$C$5/AJ275)*BD87*(BC87-BD87)-(ATM_Conf!$C$5*ATM_Conf!$C$9)/(AJ275*ATM_Conf!$C$8)*(Nodes!BX87-AJ87)/(AJ87+ATM_Conf!$C$10)</f>
        <v>#DIV/0!</v>
      </c>
      <c r="BE88" s="43" t="e">
        <f>BE87+(ATM_Conf!$C$5/ATM_Conf!$C$8)*(BY88*EXP(-(1/DM88)*(AK88/CS88)^DM88)-BE87)+(ATM_Conf!$C$5/AK275)*BE87*(Nodes!BK87-BE87)-(ATM_Conf!$C$5*ATM_Conf!$C$9)/(AK275*ATM_Conf!$C$8)*(Nodes!BY87-AK87)/(AK87+ATM_Conf!$C$10)</f>
        <v>#DIV/0!</v>
      </c>
      <c r="BF88" s="43" t="e">
        <f>BF87+(ATM_Conf!$C$5/ATM_Conf!$C$8)*(BZ88*EXP(-(1/DN88)*(AL88/CT88)^DN88)-BF87)+(ATM_Conf!$C$5/AL275)*BF87*(BE87-BF87)-(ATM_Conf!$C$5*ATM_Conf!$C$9)/(AL275*ATM_Conf!$C$8)*(AM87-AL87)/(AL87+ATM_Conf!$C$10)</f>
        <v>#DIV/0!</v>
      </c>
      <c r="BG88" s="43" t="e">
        <f>BG87+(ATM_Conf!$C$5/ATM_Conf!$C$8)*(CA88*EXP(-(1/DO88)*(AM88/CU88)^DO88)-BG87)+(ATM_Conf!$C$5/AM275)*BG87*(Nodes!BM87-BG87)-(ATM_Conf!$C$5*ATM_Conf!$C$9)/(AM275*ATM_Conf!$C$8)*(Nodes!CA87-AM87)/(AM87+ATM_Conf!$C$10)</f>
        <v>#DIV/0!</v>
      </c>
      <c r="BH88" s="43" t="e">
        <f>BH87+(ATM_Conf!$C$5/ATM_Conf!$C$8)*(CB88*EXP(-(1/DP88)*(AN88/CV88)^DP88)-BH87)+(ATM_Conf!$C$5/AN275)*BH87*(BG87-BH87)-(ATM_Conf!$C$5*ATM_Conf!$C$9)/(AN275*ATM_Conf!$C$8)*(AO87-AN87)/(AN87+ATM_Conf!$C$10)</f>
        <v>#DIV/0!</v>
      </c>
      <c r="BI88" s="43" t="e">
        <f>BI87+(ATM_Conf!$C$5/ATM_Conf!$C$8)*(CC88*EXP(-(1/DQ88)*(AO88/CW88)^DQ88)-BI87)+(ATM_Conf!$C$5/AO275)*BI87*(BH87-BI87)</f>
        <v>#DIV/0!</v>
      </c>
      <c r="BJ88" s="53"/>
      <c r="BK88" s="53"/>
      <c r="BL88" s="53"/>
      <c r="BM88" s="53"/>
      <c r="BN88" s="53"/>
      <c r="BO88" s="53"/>
      <c r="BP88" s="53"/>
      <c r="BQ88" s="53"/>
      <c r="BR88" s="53"/>
      <c r="BS88" s="53"/>
      <c r="BT88" s="53"/>
      <c r="BU88" s="53"/>
      <c r="BV88" s="53"/>
      <c r="BW88" s="53"/>
      <c r="BX88" s="53"/>
      <c r="BY88" s="53"/>
      <c r="BZ88" s="53"/>
      <c r="CA88" s="53"/>
      <c r="CB88" s="53"/>
      <c r="CC88" s="5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53"/>
      <c r="CY88" s="53"/>
      <c r="CZ88" s="53"/>
      <c r="DA88" s="53"/>
      <c r="DB88" s="53"/>
      <c r="DC88" s="53"/>
      <c r="DD88" s="53"/>
      <c r="DE88" s="53"/>
      <c r="DF88" s="53"/>
      <c r="DG88" s="53"/>
      <c r="DH88" s="53"/>
      <c r="DI88" s="53"/>
      <c r="DJ88" s="53"/>
      <c r="DK88" s="53"/>
      <c r="DL88" s="53"/>
      <c r="DM88" s="53"/>
      <c r="DN88" s="53"/>
      <c r="DO88" s="53"/>
      <c r="DP88" s="53"/>
      <c r="DQ88" s="53"/>
      <c r="DR88" s="43">
        <f>DR$87</f>
        <v>0</v>
      </c>
      <c r="DS88" s="43">
        <f t="shared" ref="DS88:EK98" si="63">DS$87</f>
        <v>0</v>
      </c>
      <c r="DT88" s="43">
        <f t="shared" si="63"/>
        <v>0</v>
      </c>
      <c r="DU88" s="43">
        <f t="shared" si="63"/>
        <v>0</v>
      </c>
      <c r="DV88" s="43">
        <f t="shared" si="63"/>
        <v>0</v>
      </c>
      <c r="DW88" s="43">
        <f t="shared" si="63"/>
        <v>0</v>
      </c>
      <c r="DX88" s="43">
        <f t="shared" si="63"/>
        <v>0</v>
      </c>
      <c r="DY88" s="43">
        <f t="shared" si="63"/>
        <v>0</v>
      </c>
      <c r="DZ88" s="43">
        <f t="shared" si="63"/>
        <v>0</v>
      </c>
      <c r="EA88" s="43">
        <f t="shared" si="63"/>
        <v>0</v>
      </c>
      <c r="EB88" s="43">
        <f t="shared" si="63"/>
        <v>0</v>
      </c>
      <c r="EC88" s="43">
        <f t="shared" si="63"/>
        <v>0</v>
      </c>
      <c r="ED88" s="43">
        <f t="shared" si="63"/>
        <v>0</v>
      </c>
      <c r="EE88" s="43">
        <f t="shared" si="63"/>
        <v>0</v>
      </c>
      <c r="EF88" s="43">
        <f t="shared" si="63"/>
        <v>0</v>
      </c>
      <c r="EG88" s="43">
        <f t="shared" si="63"/>
        <v>0</v>
      </c>
      <c r="EH88" s="43">
        <f t="shared" si="63"/>
        <v>0</v>
      </c>
      <c r="EI88" s="43">
        <f t="shared" si="63"/>
        <v>0</v>
      </c>
      <c r="EJ88" s="43">
        <f t="shared" si="63"/>
        <v>0</v>
      </c>
      <c r="EK88" s="43">
        <f t="shared" si="63"/>
        <v>0</v>
      </c>
      <c r="EL88" s="47"/>
      <c r="EM88" s="47"/>
      <c r="EN88" s="47"/>
      <c r="EO88" s="47"/>
      <c r="EP88" s="47"/>
      <c r="EQ88" s="47"/>
      <c r="ER88" s="47"/>
      <c r="ES88" s="47"/>
      <c r="ET88" s="47"/>
      <c r="EU88" s="47"/>
      <c r="EV88" s="47"/>
      <c r="EW88" s="47"/>
      <c r="EX88" s="47"/>
      <c r="EY88" s="47"/>
      <c r="EZ88" s="47"/>
      <c r="FA88" s="47"/>
      <c r="FB88" s="47"/>
      <c r="FC88" s="47"/>
      <c r="FD88" s="47"/>
      <c r="FE88" s="47"/>
    </row>
    <row r="89" spans="1:161" ht="14.25" x14ac:dyDescent="0.15">
      <c r="A89" s="46"/>
      <c r="B89" s="43" t="e">
        <f t="shared" si="39"/>
        <v>#DIV/0!</v>
      </c>
      <c r="C89" s="43" t="e">
        <f t="shared" si="40"/>
        <v>#DIV/0!</v>
      </c>
      <c r="D89" s="43" t="e">
        <f t="shared" si="41"/>
        <v>#DIV/0!</v>
      </c>
      <c r="E89" s="43" t="e">
        <f t="shared" si="42"/>
        <v>#DIV/0!</v>
      </c>
      <c r="F89" s="43" t="e">
        <f t="shared" si="43"/>
        <v>#DIV/0!</v>
      </c>
      <c r="G89" s="43" t="e">
        <f t="shared" si="44"/>
        <v>#DIV/0!</v>
      </c>
      <c r="H89" s="43" t="e">
        <f t="shared" si="45"/>
        <v>#DIV/0!</v>
      </c>
      <c r="I89" s="43" t="e">
        <f t="shared" si="46"/>
        <v>#DIV/0!</v>
      </c>
      <c r="J89" s="43" t="e">
        <f t="shared" si="47"/>
        <v>#DIV/0!</v>
      </c>
      <c r="K89" s="43" t="e">
        <f t="shared" si="48"/>
        <v>#DIV/0!</v>
      </c>
      <c r="L89" s="43" t="e">
        <f t="shared" si="49"/>
        <v>#DIV/0!</v>
      </c>
      <c r="M89" s="43" t="e">
        <f t="shared" si="50"/>
        <v>#DIV/0!</v>
      </c>
      <c r="N89" s="43" t="e">
        <f t="shared" si="51"/>
        <v>#DIV/0!</v>
      </c>
      <c r="O89" s="43" t="e">
        <f t="shared" si="52"/>
        <v>#DIV/0!</v>
      </c>
      <c r="P89" s="43" t="e">
        <f t="shared" si="53"/>
        <v>#DIV/0!</v>
      </c>
      <c r="Q89" s="43" t="e">
        <f t="shared" si="54"/>
        <v>#DIV/0!</v>
      </c>
      <c r="R89" s="43" t="e">
        <f t="shared" si="55"/>
        <v>#DIV/0!</v>
      </c>
      <c r="S89" s="43" t="e">
        <f t="shared" si="56"/>
        <v>#DIV/0!</v>
      </c>
      <c r="T89" s="43" t="e">
        <f t="shared" si="57"/>
        <v>#DIV/0!</v>
      </c>
      <c r="U89" s="43" t="e">
        <f t="shared" si="58"/>
        <v>#DIV/0!</v>
      </c>
      <c r="V89" s="53" t="e">
        <f>V88+ATM_Conf!$C$5*(B88)/(B276*V276)</f>
        <v>#DIV/0!</v>
      </c>
      <c r="W89" s="53" t="e">
        <f>W88+ATM_Conf!$C$5*(C88-B88)/(C276*W276)</f>
        <v>#DIV/0!</v>
      </c>
      <c r="X89" s="53" t="e">
        <f>X88+ATM_Conf!$C$5*(D88-C88)/(D276*X276)</f>
        <v>#DIV/0!</v>
      </c>
      <c r="Y89" s="53" t="e">
        <f>Y88+ATM_Conf!$C$5*(E88-D88)/(E276*Y276)</f>
        <v>#DIV/0!</v>
      </c>
      <c r="Z89" s="53" t="e">
        <f>Z88+ATM_Conf!$C$5*(F88-E88)/(F276*Z276)</f>
        <v>#DIV/0!</v>
      </c>
      <c r="AA89" s="53" t="e">
        <f>AA88+ATM_Conf!$C$5*(G88-F88)/(G276*AA276)</f>
        <v>#DIV/0!</v>
      </c>
      <c r="AB89" s="53" t="e">
        <f>AB88+ATM_Conf!$C$5*(H88-G88)/(H276*AB276)</f>
        <v>#DIV/0!</v>
      </c>
      <c r="AC89" s="53" t="e">
        <f>AC88+ATM_Conf!$C$5*(I88-H88)/(I276*AC276)</f>
        <v>#DIV/0!</v>
      </c>
      <c r="AD89" s="53" t="e">
        <f>AD88+ATM_Conf!$C$5*(J88-I88)/(J276*AD276)</f>
        <v>#DIV/0!</v>
      </c>
      <c r="AE89" s="53" t="e">
        <f>AE88+ATM_Conf!$C$5*(K88-J88)/(K276*AE276)</f>
        <v>#DIV/0!</v>
      </c>
      <c r="AF89" s="53" t="e">
        <f>AF88+ATM_Conf!$C$5*(L88)/(L276*AF276)</f>
        <v>#DIV/0!</v>
      </c>
      <c r="AG89" s="53" t="e">
        <f>AG88+ATM_Conf!$C$5*(M88-L88)/(M276*AG276)</f>
        <v>#DIV/0!</v>
      </c>
      <c r="AH89" s="53" t="e">
        <f>AH88+ATM_Conf!$C$5*(N88-M88)/(N276*AH276)</f>
        <v>#DIV/0!</v>
      </c>
      <c r="AI89" s="53" t="e">
        <f>AI88+ATM_Conf!$C$5*(O88-N88)/(O276*AI276)</f>
        <v>#DIV/0!</v>
      </c>
      <c r="AJ89" s="53" t="e">
        <f>AJ88+ATM_Conf!$C$5*(P88-O88)/(P276*AJ276)</f>
        <v>#DIV/0!</v>
      </c>
      <c r="AK89" s="53" t="e">
        <f>AK88+ATM_Conf!$C$5*(Q88-P88)/(Q276*AK276)</f>
        <v>#DIV/0!</v>
      </c>
      <c r="AL89" s="53" t="e">
        <f>AL88+ATM_Conf!$C$5*(R88-Q88)/(R276*AL276)</f>
        <v>#DIV/0!</v>
      </c>
      <c r="AM89" s="53" t="e">
        <f>AM88+ATM_Conf!$C$5*(S88-R88)/(S276*AM276)</f>
        <v>#DIV/0!</v>
      </c>
      <c r="AN89" s="53" t="e">
        <f>AN88+ATM_Conf!$C$5*(T88-S88)/(T276*AN276)</f>
        <v>#DIV/0!</v>
      </c>
      <c r="AO89" s="53" t="e">
        <f>AO88+ATM_Conf!$C$5*(U88-T88)/(U276*AO276)</f>
        <v>#DIV/0!</v>
      </c>
      <c r="AP89" s="43" t="e">
        <f>AP88+(ATM_Conf!$C$5/ATM_Conf!$C$8)*(BJ89*EXP(-(1/CX89)*(V89/CD89)^CX89)-AP88)-(ATM_Conf!$C$5*ATM_Conf!$C$9)/(V276*ATM_Conf!$C$8)*(Nodes!BO88-V88)/(V88+ATM_Conf!$C$10)</f>
        <v>#DIV/0!</v>
      </c>
      <c r="AQ89" s="43" t="e">
        <f>AQ88+(ATM_Conf!$C$5/ATM_Conf!$C$8)*(BK89*EXP(-(1/CY89)*(W89/CE89)^CY89)-AQ88)+(ATM_Conf!$C$5/W276)*AQ88*(AP88-AQ88)-(ATM_Conf!$C$5*ATM_Conf!$C$9)/(W276*ATM_Conf!$C$8)*(X88-W88)/(W88+ATM_Conf!$C$10)</f>
        <v>#DIV/0!</v>
      </c>
      <c r="AR89" s="43" t="e">
        <f>AR88+(ATM_Conf!$C$5/ATM_Conf!$C$8)*(BL89*EXP(-(1/CZ89)*(X89/CF89)^CZ89)-AR88)+(ATM_Conf!$C$5/X276)*AR88*(Nodes!BC88-AR88)-(ATM_Conf!$C$5*ATM_Conf!$C$9)/(X276*ATM_Conf!$C$8)*(Nodes!BQ88-X88)/(X88+ATM_Conf!$C$10)</f>
        <v>#DIV/0!</v>
      </c>
      <c r="AS89" s="43" t="e">
        <f>AS88+(ATM_Conf!$C$5/ATM_Conf!$C$8)*(BM89*EXP(-(1/DA89)*(Y89/CG89)^DA89)-AS88)+(ATM_Conf!$C$5/Y276)*AS88*(AR88-AS88)-(ATM_Conf!$C$5*ATM_Conf!$C$9)/(Y276*ATM_Conf!$C$8)*(Z88-Y88)/(Y88+ATM_Conf!$C$10)</f>
        <v>#DIV/0!</v>
      </c>
      <c r="AT89" s="43" t="e">
        <f>AT88+(ATM_Conf!$C$5/ATM_Conf!$C$8)*(BN89*EXP(-(1/DB89)*(Z89/CH89)^DB89)-AT88)+(ATM_Conf!$C$5/Z276)*AT88*(Nodes!BE88-AT88)-(ATM_Conf!$C$5*ATM_Conf!$C$9)/(Z276*ATM_Conf!$C$8)*(Nodes!BS88-Z88)/(Z88+ATM_Conf!$C$10)</f>
        <v>#DIV/0!</v>
      </c>
      <c r="AU89" s="43" t="e">
        <f>AU88+(ATM_Conf!$C$5/ATM_Conf!$C$8)*(BO89*EXP(-(1/DC89)*(AA89/CI89)^DC89)-AU88)+(ATM_Conf!$C$5/AA276)*AU88*(Nodes!BF88-AU88)-(ATM_Conf!$C$5*ATM_Conf!$C$9)/(AA276*ATM_Conf!$C$8)*(Nodes!BV88-AA88)/(AA88+ATM_Conf!$C$10)</f>
        <v>#DIV/0!</v>
      </c>
      <c r="AV89" s="43" t="e">
        <f>AV88+(ATM_Conf!$C$5/ATM_Conf!$C$8)*(BP89*EXP(-(1/DD89)*(AB89/CJ89)^DD89)-AV88)+(ATM_Conf!$C$5/AB276)*AV88*(AU88-AV88)-(ATM_Conf!$C$5*ATM_Conf!$C$9)/(AB276*ATM_Conf!$C$8)*(AC88-AB88)/(AB88+ATM_Conf!$C$10)</f>
        <v>#DIV/0!</v>
      </c>
      <c r="AW89" s="43" t="e">
        <f>AW88+(ATM_Conf!$C$5/ATM_Conf!$C$8)*(BQ89*EXP(-(1/DE89)*(AC89/CK89)^DE89)-AW88)+(ATM_Conf!$C$5/AC276)*AW88*(AV88-AW88)-(ATM_Conf!$C$5*ATM_Conf!$C$9)/(AC276*ATM_Conf!$C$8)*(AD88-AC88)/(AC88+ATM_Conf!$C$10)</f>
        <v>#DIV/0!</v>
      </c>
      <c r="AX89" s="43" t="e">
        <f>AX88+(ATM_Conf!$C$5/ATM_Conf!$C$8)*(BR89*EXP(-(1/DF89)*(AD89/CL89)^DF89)-AX88)+(ATM_Conf!$C$5/AD276)*AX88*(Nodes!BG88-AX88)-(ATM_Conf!$C$5*ATM_Conf!$C$9)/(AD276*ATM_Conf!$C$8)*(Nodes!BU88-AD88)/(AD88+ATM_Conf!$C$10)</f>
        <v>#DIV/0!</v>
      </c>
      <c r="AY89" s="43" t="e">
        <f>AY88+(ATM_Conf!$C$5/ATM_Conf!$C$8)*(BS89*EXP(-(1/DG89)*(AE89/CM89)^DG89)-AY88)+(ATM_Conf!$C$5/AE276)*AY88*(Nodes!BF88-AY88)</f>
        <v>#DIV/0!</v>
      </c>
      <c r="AZ89" s="43" t="e">
        <f>AZ88+(ATM_Conf!$C$5/ATM_Conf!$C$8)*(BT89*EXP(-(1/DH89)*(AF89/CN89)^DH89)-AZ88)-(ATM_Conf!$C$5*ATM_Conf!$C$9)/(AF276*ATM_Conf!$C$8)*(Nodes!BV88-AF88)/(AF88+ATM_Conf!$C$10)</f>
        <v>#DIV/0!</v>
      </c>
      <c r="BA89" s="43" t="e">
        <f>BA88+(ATM_Conf!$C$5/ATM_Conf!$C$8)*(BU89*EXP(-(1/DI89)*(AG89/CO89)^DI89)-BA88)+(ATM_Conf!$C$5/AG276)*BA88*(Nodes!BI88-BA88)-(ATM_Conf!$C$5*ATM_Conf!$C$9)/(AG276*ATM_Conf!$C$8)*(Nodes!BW88-AG88)/(AG88+ATM_Conf!$C$10)</f>
        <v>#DIV/0!</v>
      </c>
      <c r="BB89" s="43" t="e">
        <f>BB88+(ATM_Conf!$C$5/ATM_Conf!$C$8)*(BV89*EXP(-(1/DJ89)*(AH89/CP89)^DJ89)-BB88)+(ATM_Conf!$C$5/AH276)*BB88*(Nodes!BJ88-BB88)-(ATM_Conf!$C$5*ATM_Conf!$C$9)/(AH276*ATM_Conf!$C$8)*(AI88-AH88)/(AH88+ATM_Conf!$C$10)</f>
        <v>#DIV/0!</v>
      </c>
      <c r="BC89" s="43" t="e">
        <f>BC88+(ATM_Conf!$C$5/ATM_Conf!$C$8)*(BW89*EXP(-(1/DK89)*(AI89/CQ89)^DK89)-BC88)+(ATM_Conf!$C$5/AI276)*BC88*(BB88-BC88)-(ATM_Conf!$C$5*ATM_Conf!$C$9)/(AI276*ATM_Conf!$C$8)*(AJ88-AI88)/(AI88+ATM_Conf!$C$10)</f>
        <v>#DIV/0!</v>
      </c>
      <c r="BD89" s="43" t="e">
        <f>BD88+(ATM_Conf!$C$5/ATM_Conf!$C$8)*(BX89*EXP(-(1/DL89)*(AJ89/CR89)^DL89)-BD88)+(ATM_Conf!$C$5/AJ276)*BD88*(BC88-BD88)-(ATM_Conf!$C$5*ATM_Conf!$C$9)/(AJ276*ATM_Conf!$C$8)*(Nodes!BX88-AJ88)/(AJ88+ATM_Conf!$C$10)</f>
        <v>#DIV/0!</v>
      </c>
      <c r="BE89" s="43" t="e">
        <f>BE88+(ATM_Conf!$C$5/ATM_Conf!$C$8)*(BY89*EXP(-(1/DM89)*(AK89/CS89)^DM89)-BE88)+(ATM_Conf!$C$5/AK276)*BE88*(Nodes!BK88-BE88)-(ATM_Conf!$C$5*ATM_Conf!$C$9)/(AK276*ATM_Conf!$C$8)*(Nodes!BY88-AK88)/(AK88+ATM_Conf!$C$10)</f>
        <v>#DIV/0!</v>
      </c>
      <c r="BF89" s="43" t="e">
        <f>BF88+(ATM_Conf!$C$5/ATM_Conf!$C$8)*(BZ89*EXP(-(1/DN89)*(AL89/CT89)^DN89)-BF88)+(ATM_Conf!$C$5/AL276)*BF88*(BE88-BF88)-(ATM_Conf!$C$5*ATM_Conf!$C$9)/(AL276*ATM_Conf!$C$8)*(AM88-AL88)/(AL88+ATM_Conf!$C$10)</f>
        <v>#DIV/0!</v>
      </c>
      <c r="BG89" s="43" t="e">
        <f>BG88+(ATM_Conf!$C$5/ATM_Conf!$C$8)*(CA89*EXP(-(1/DO89)*(AM89/CU89)^DO89)-BG88)+(ATM_Conf!$C$5/AM276)*BG88*(Nodes!BM88-BG88)-(ATM_Conf!$C$5*ATM_Conf!$C$9)/(AM276*ATM_Conf!$C$8)*(Nodes!CA88-AM88)/(AM88+ATM_Conf!$C$10)</f>
        <v>#DIV/0!</v>
      </c>
      <c r="BH89" s="43" t="e">
        <f>BH88+(ATM_Conf!$C$5/ATM_Conf!$C$8)*(CB89*EXP(-(1/DP89)*(AN89/CV89)^DP89)-BH88)+(ATM_Conf!$C$5/AN276)*BH88*(BG88-BH88)-(ATM_Conf!$C$5*ATM_Conf!$C$9)/(AN276*ATM_Conf!$C$8)*(AO88-AN88)/(AN88+ATM_Conf!$C$10)</f>
        <v>#DIV/0!</v>
      </c>
      <c r="BI89" s="43" t="e">
        <f>BI88+(ATM_Conf!$C$5/ATM_Conf!$C$8)*(CC89*EXP(-(1/DQ89)*(AO89/CW89)^DQ89)-BI88)+(ATM_Conf!$C$5/AO276)*BI88*(BH88-BI88)</f>
        <v>#DIV/0!</v>
      </c>
      <c r="BJ89" s="53"/>
      <c r="BK89" s="53"/>
      <c r="BL89" s="53"/>
      <c r="BM89" s="53"/>
      <c r="BN89" s="53"/>
      <c r="BO89" s="53"/>
      <c r="BP89" s="53"/>
      <c r="BQ89" s="53"/>
      <c r="BR89" s="53"/>
      <c r="BS89" s="53"/>
      <c r="BT89" s="53"/>
      <c r="BU89" s="53"/>
      <c r="BV89" s="53"/>
      <c r="BW89" s="53"/>
      <c r="BX89" s="53"/>
      <c r="BY89" s="53"/>
      <c r="BZ89" s="53"/>
      <c r="CA89" s="53"/>
      <c r="CB89" s="53"/>
      <c r="CC89" s="5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53"/>
      <c r="CY89" s="53"/>
      <c r="CZ89" s="53"/>
      <c r="DA89" s="53"/>
      <c r="DB89" s="53"/>
      <c r="DC89" s="53"/>
      <c r="DD89" s="53"/>
      <c r="DE89" s="53"/>
      <c r="DF89" s="53"/>
      <c r="DG89" s="53"/>
      <c r="DH89" s="53"/>
      <c r="DI89" s="53"/>
      <c r="DJ89" s="53"/>
      <c r="DK89" s="53"/>
      <c r="DL89" s="53"/>
      <c r="DM89" s="53"/>
      <c r="DN89" s="53"/>
      <c r="DO89" s="53"/>
      <c r="DP89" s="53"/>
      <c r="DQ89" s="53"/>
      <c r="DR89" s="43">
        <f t="shared" ref="DR89:DR98" si="64">DR$87</f>
        <v>0</v>
      </c>
      <c r="DS89" s="43">
        <f t="shared" si="63"/>
        <v>0</v>
      </c>
      <c r="DT89" s="43">
        <f t="shared" si="63"/>
        <v>0</v>
      </c>
      <c r="DU89" s="43">
        <f t="shared" si="63"/>
        <v>0</v>
      </c>
      <c r="DV89" s="43">
        <f t="shared" si="63"/>
        <v>0</v>
      </c>
      <c r="DW89" s="43">
        <f t="shared" si="63"/>
        <v>0</v>
      </c>
      <c r="DX89" s="43">
        <f t="shared" si="63"/>
        <v>0</v>
      </c>
      <c r="DY89" s="43">
        <f t="shared" si="63"/>
        <v>0</v>
      </c>
      <c r="DZ89" s="43">
        <f t="shared" si="63"/>
        <v>0</v>
      </c>
      <c r="EA89" s="43">
        <f t="shared" si="63"/>
        <v>0</v>
      </c>
      <c r="EB89" s="43">
        <f t="shared" si="63"/>
        <v>0</v>
      </c>
      <c r="EC89" s="43">
        <f t="shared" si="63"/>
        <v>0</v>
      </c>
      <c r="ED89" s="43">
        <f t="shared" si="63"/>
        <v>0</v>
      </c>
      <c r="EE89" s="43">
        <f t="shared" si="63"/>
        <v>0</v>
      </c>
      <c r="EF89" s="43">
        <f t="shared" si="63"/>
        <v>0</v>
      </c>
      <c r="EG89" s="43">
        <f t="shared" si="63"/>
        <v>0</v>
      </c>
      <c r="EH89" s="43">
        <f t="shared" si="63"/>
        <v>0</v>
      </c>
      <c r="EI89" s="43">
        <f t="shared" si="63"/>
        <v>0</v>
      </c>
      <c r="EJ89" s="43">
        <f t="shared" si="63"/>
        <v>0</v>
      </c>
      <c r="EK89" s="43">
        <f t="shared" si="63"/>
        <v>0</v>
      </c>
      <c r="EL89" s="47"/>
      <c r="EM89" s="47"/>
      <c r="EN89" s="47"/>
      <c r="EO89" s="47"/>
      <c r="EP89" s="47"/>
      <c r="EQ89" s="47"/>
      <c r="ER89" s="47"/>
      <c r="ES89" s="47"/>
      <c r="ET89" s="47"/>
      <c r="EU89" s="47"/>
      <c r="EV89" s="47"/>
      <c r="EW89" s="47"/>
      <c r="EX89" s="47"/>
      <c r="EY89" s="47"/>
      <c r="EZ89" s="47"/>
      <c r="FA89" s="47"/>
      <c r="FB89" s="47"/>
      <c r="FC89" s="47"/>
      <c r="FD89" s="47"/>
      <c r="FE89" s="47"/>
    </row>
    <row r="90" spans="1:161" ht="14.25" x14ac:dyDescent="0.15">
      <c r="A90" s="46"/>
      <c r="B90" s="43" t="e">
        <f t="shared" si="39"/>
        <v>#DIV/0!</v>
      </c>
      <c r="C90" s="43" t="e">
        <f t="shared" si="40"/>
        <v>#DIV/0!</v>
      </c>
      <c r="D90" s="43" t="e">
        <f t="shared" si="41"/>
        <v>#DIV/0!</v>
      </c>
      <c r="E90" s="43" t="e">
        <f t="shared" si="42"/>
        <v>#DIV/0!</v>
      </c>
      <c r="F90" s="43" t="e">
        <f t="shared" si="43"/>
        <v>#DIV/0!</v>
      </c>
      <c r="G90" s="43" t="e">
        <f t="shared" si="44"/>
        <v>#DIV/0!</v>
      </c>
      <c r="H90" s="43" t="e">
        <f t="shared" si="45"/>
        <v>#DIV/0!</v>
      </c>
      <c r="I90" s="43" t="e">
        <f t="shared" si="46"/>
        <v>#DIV/0!</v>
      </c>
      <c r="J90" s="43" t="e">
        <f t="shared" si="47"/>
        <v>#DIV/0!</v>
      </c>
      <c r="K90" s="43" t="e">
        <f t="shared" si="48"/>
        <v>#DIV/0!</v>
      </c>
      <c r="L90" s="43" t="e">
        <f t="shared" si="49"/>
        <v>#DIV/0!</v>
      </c>
      <c r="M90" s="43" t="e">
        <f t="shared" si="50"/>
        <v>#DIV/0!</v>
      </c>
      <c r="N90" s="43" t="e">
        <f t="shared" si="51"/>
        <v>#DIV/0!</v>
      </c>
      <c r="O90" s="43" t="e">
        <f t="shared" si="52"/>
        <v>#DIV/0!</v>
      </c>
      <c r="P90" s="43" t="e">
        <f t="shared" si="53"/>
        <v>#DIV/0!</v>
      </c>
      <c r="Q90" s="43" t="e">
        <f t="shared" si="54"/>
        <v>#DIV/0!</v>
      </c>
      <c r="R90" s="43" t="e">
        <f t="shared" si="55"/>
        <v>#DIV/0!</v>
      </c>
      <c r="S90" s="43" t="e">
        <f t="shared" si="56"/>
        <v>#DIV/0!</v>
      </c>
      <c r="T90" s="43" t="e">
        <f t="shared" si="57"/>
        <v>#DIV/0!</v>
      </c>
      <c r="U90" s="43" t="e">
        <f t="shared" si="58"/>
        <v>#DIV/0!</v>
      </c>
      <c r="V90" s="53" t="e">
        <f>V89+ATM_Conf!$C$5*(B89)/(B277*V277)</f>
        <v>#DIV/0!</v>
      </c>
      <c r="W90" s="53" t="e">
        <f>W89+ATM_Conf!$C$5*(C89-B89)/(C277*W277)</f>
        <v>#DIV/0!</v>
      </c>
      <c r="X90" s="53" t="e">
        <f>X89+ATM_Conf!$C$5*(D89-C89)/(D277*X277)</f>
        <v>#DIV/0!</v>
      </c>
      <c r="Y90" s="53" t="e">
        <f>Y89+ATM_Conf!$C$5*(E89-D89)/(E277*Y277)</f>
        <v>#DIV/0!</v>
      </c>
      <c r="Z90" s="53" t="e">
        <f>Z89+ATM_Conf!$C$5*(F89-E89)/(F277*Z277)</f>
        <v>#DIV/0!</v>
      </c>
      <c r="AA90" s="53" t="e">
        <f>AA89+ATM_Conf!$C$5*(G89-F89)/(G277*AA277)</f>
        <v>#DIV/0!</v>
      </c>
      <c r="AB90" s="53" t="e">
        <f>AB89+ATM_Conf!$C$5*(H89-G89)/(H277*AB277)</f>
        <v>#DIV/0!</v>
      </c>
      <c r="AC90" s="53" t="e">
        <f>AC89+ATM_Conf!$C$5*(I89-H89)/(I277*AC277)</f>
        <v>#DIV/0!</v>
      </c>
      <c r="AD90" s="53" t="e">
        <f>AD89+ATM_Conf!$C$5*(J89-I89)/(J277*AD277)</f>
        <v>#DIV/0!</v>
      </c>
      <c r="AE90" s="53" t="e">
        <f>AE89+ATM_Conf!$C$5*(K89-J89)/(K277*AE277)</f>
        <v>#DIV/0!</v>
      </c>
      <c r="AF90" s="53" t="e">
        <f>AF89+ATM_Conf!$C$5*(L89)/(L277*AF277)</f>
        <v>#DIV/0!</v>
      </c>
      <c r="AG90" s="53" t="e">
        <f>AG89+ATM_Conf!$C$5*(M89-L89)/(M277*AG277)</f>
        <v>#DIV/0!</v>
      </c>
      <c r="AH90" s="53" t="e">
        <f>AH89+ATM_Conf!$C$5*(N89-M89)/(N277*AH277)</f>
        <v>#DIV/0!</v>
      </c>
      <c r="AI90" s="53" t="e">
        <f>AI89+ATM_Conf!$C$5*(O89-N89)/(O277*AI277)</f>
        <v>#DIV/0!</v>
      </c>
      <c r="AJ90" s="53" t="e">
        <f>AJ89+ATM_Conf!$C$5*(P89-O89)/(P277*AJ277)</f>
        <v>#DIV/0!</v>
      </c>
      <c r="AK90" s="53" t="e">
        <f>AK89+ATM_Conf!$C$5*(Q89-P89)/(Q277*AK277)</f>
        <v>#DIV/0!</v>
      </c>
      <c r="AL90" s="53" t="e">
        <f>AL89+ATM_Conf!$C$5*(R89-Q89)/(R277*AL277)</f>
        <v>#DIV/0!</v>
      </c>
      <c r="AM90" s="53" t="e">
        <f>AM89+ATM_Conf!$C$5*(S89-R89)/(S277*AM277)</f>
        <v>#DIV/0!</v>
      </c>
      <c r="AN90" s="53" t="e">
        <f>AN89+ATM_Conf!$C$5*(T89-S89)/(T277*AN277)</f>
        <v>#DIV/0!</v>
      </c>
      <c r="AO90" s="53" t="e">
        <f>AO89+ATM_Conf!$C$5*(U89-T89)/(U277*AO277)</f>
        <v>#DIV/0!</v>
      </c>
      <c r="AP90" s="43" t="e">
        <f>AP89+(ATM_Conf!$C$5/ATM_Conf!$C$8)*(BJ90*EXP(-(1/CX90)*(V90/CD90)^CX90)-AP89)-(ATM_Conf!$C$5*ATM_Conf!$C$9)/(V277*ATM_Conf!$C$8)*(Nodes!BO89-V89)/(V89+ATM_Conf!$C$10)</f>
        <v>#DIV/0!</v>
      </c>
      <c r="AQ90" s="43" t="e">
        <f>AQ89+(ATM_Conf!$C$5/ATM_Conf!$C$8)*(BK90*EXP(-(1/CY90)*(W90/CE90)^CY90)-AQ89)+(ATM_Conf!$C$5/W277)*AQ89*(AP89-AQ89)-(ATM_Conf!$C$5*ATM_Conf!$C$9)/(W277*ATM_Conf!$C$8)*(X89-W89)/(W89+ATM_Conf!$C$10)</f>
        <v>#DIV/0!</v>
      </c>
      <c r="AR90" s="43" t="e">
        <f>AR89+(ATM_Conf!$C$5/ATM_Conf!$C$8)*(BL90*EXP(-(1/CZ90)*(X90/CF90)^CZ90)-AR89)+(ATM_Conf!$C$5/X277)*AR89*(Nodes!BC89-AR89)-(ATM_Conf!$C$5*ATM_Conf!$C$9)/(X277*ATM_Conf!$C$8)*(Nodes!BQ89-X89)/(X89+ATM_Conf!$C$10)</f>
        <v>#DIV/0!</v>
      </c>
      <c r="AS90" s="43" t="e">
        <f>AS89+(ATM_Conf!$C$5/ATM_Conf!$C$8)*(BM90*EXP(-(1/DA90)*(Y90/CG90)^DA90)-AS89)+(ATM_Conf!$C$5/Y277)*AS89*(AR89-AS89)-(ATM_Conf!$C$5*ATM_Conf!$C$9)/(Y277*ATM_Conf!$C$8)*(Z89-Y89)/(Y89+ATM_Conf!$C$10)</f>
        <v>#DIV/0!</v>
      </c>
      <c r="AT90" s="43" t="e">
        <f>AT89+(ATM_Conf!$C$5/ATM_Conf!$C$8)*(BN90*EXP(-(1/DB90)*(Z90/CH90)^DB90)-AT89)+(ATM_Conf!$C$5/Z277)*AT89*(Nodes!BE89-AT89)-(ATM_Conf!$C$5*ATM_Conf!$C$9)/(Z277*ATM_Conf!$C$8)*(Nodes!BS89-Z89)/(Z89+ATM_Conf!$C$10)</f>
        <v>#DIV/0!</v>
      </c>
      <c r="AU90" s="43" t="e">
        <f>AU89+(ATM_Conf!$C$5/ATM_Conf!$C$8)*(BO90*EXP(-(1/DC90)*(AA90/CI90)^DC90)-AU89)+(ATM_Conf!$C$5/AA277)*AU89*(Nodes!BF89-AU89)-(ATM_Conf!$C$5*ATM_Conf!$C$9)/(AA277*ATM_Conf!$C$8)*(Nodes!BV89-AA89)/(AA89+ATM_Conf!$C$10)</f>
        <v>#DIV/0!</v>
      </c>
      <c r="AV90" s="43" t="e">
        <f>AV89+(ATM_Conf!$C$5/ATM_Conf!$C$8)*(BP90*EXP(-(1/DD90)*(AB90/CJ90)^DD90)-AV89)+(ATM_Conf!$C$5/AB277)*AV89*(AU89-AV89)-(ATM_Conf!$C$5*ATM_Conf!$C$9)/(AB277*ATM_Conf!$C$8)*(AC89-AB89)/(AB89+ATM_Conf!$C$10)</f>
        <v>#DIV/0!</v>
      </c>
      <c r="AW90" s="43" t="e">
        <f>AW89+(ATM_Conf!$C$5/ATM_Conf!$C$8)*(BQ90*EXP(-(1/DE90)*(AC90/CK90)^DE90)-AW89)+(ATM_Conf!$C$5/AC277)*AW89*(AV89-AW89)-(ATM_Conf!$C$5*ATM_Conf!$C$9)/(AC277*ATM_Conf!$C$8)*(AD89-AC89)/(AC89+ATM_Conf!$C$10)</f>
        <v>#DIV/0!</v>
      </c>
      <c r="AX90" s="43" t="e">
        <f>AX89+(ATM_Conf!$C$5/ATM_Conf!$C$8)*(BR90*EXP(-(1/DF90)*(AD90/CL90)^DF90)-AX89)+(ATM_Conf!$C$5/AD277)*AX89*(Nodes!BG89-AX89)-(ATM_Conf!$C$5*ATM_Conf!$C$9)/(AD277*ATM_Conf!$C$8)*(Nodes!BU89-AD89)/(AD89+ATM_Conf!$C$10)</f>
        <v>#DIV/0!</v>
      </c>
      <c r="AY90" s="43" t="e">
        <f>AY89+(ATM_Conf!$C$5/ATM_Conf!$C$8)*(BS90*EXP(-(1/DG90)*(AE90/CM90)^DG90)-AY89)+(ATM_Conf!$C$5/AE277)*AY89*(Nodes!BF89-AY89)</f>
        <v>#DIV/0!</v>
      </c>
      <c r="AZ90" s="43" t="e">
        <f>AZ89+(ATM_Conf!$C$5/ATM_Conf!$C$8)*(BT90*EXP(-(1/DH90)*(AF90/CN90)^DH90)-AZ89)-(ATM_Conf!$C$5*ATM_Conf!$C$9)/(AF277*ATM_Conf!$C$8)*(Nodes!BV89-AF89)/(AF89+ATM_Conf!$C$10)</f>
        <v>#DIV/0!</v>
      </c>
      <c r="BA90" s="43" t="e">
        <f>BA89+(ATM_Conf!$C$5/ATM_Conf!$C$8)*(BU90*EXP(-(1/DI90)*(AG90/CO90)^DI90)-BA89)+(ATM_Conf!$C$5/AG277)*BA89*(Nodes!BI89-BA89)-(ATM_Conf!$C$5*ATM_Conf!$C$9)/(AG277*ATM_Conf!$C$8)*(Nodes!BW89-AG89)/(AG89+ATM_Conf!$C$10)</f>
        <v>#DIV/0!</v>
      </c>
      <c r="BB90" s="43" t="e">
        <f>BB89+(ATM_Conf!$C$5/ATM_Conf!$C$8)*(BV90*EXP(-(1/DJ90)*(AH90/CP90)^DJ90)-BB89)+(ATM_Conf!$C$5/AH277)*BB89*(Nodes!BJ89-BB89)-(ATM_Conf!$C$5*ATM_Conf!$C$9)/(AH277*ATM_Conf!$C$8)*(AI89-AH89)/(AH89+ATM_Conf!$C$10)</f>
        <v>#DIV/0!</v>
      </c>
      <c r="BC90" s="43" t="e">
        <f>BC89+(ATM_Conf!$C$5/ATM_Conf!$C$8)*(BW90*EXP(-(1/DK90)*(AI90/CQ90)^DK90)-BC89)+(ATM_Conf!$C$5/AI277)*BC89*(BB89-BC89)-(ATM_Conf!$C$5*ATM_Conf!$C$9)/(AI277*ATM_Conf!$C$8)*(AJ89-AI89)/(AI89+ATM_Conf!$C$10)</f>
        <v>#DIV/0!</v>
      </c>
      <c r="BD90" s="43" t="e">
        <f>BD89+(ATM_Conf!$C$5/ATM_Conf!$C$8)*(BX90*EXP(-(1/DL90)*(AJ90/CR90)^DL90)-BD89)+(ATM_Conf!$C$5/AJ277)*BD89*(BC89-BD89)-(ATM_Conf!$C$5*ATM_Conf!$C$9)/(AJ277*ATM_Conf!$C$8)*(Nodes!BX89-AJ89)/(AJ89+ATM_Conf!$C$10)</f>
        <v>#DIV/0!</v>
      </c>
      <c r="BE90" s="43" t="e">
        <f>BE89+(ATM_Conf!$C$5/ATM_Conf!$C$8)*(BY90*EXP(-(1/DM90)*(AK90/CS90)^DM90)-BE89)+(ATM_Conf!$C$5/AK277)*BE89*(Nodes!BK89-BE89)-(ATM_Conf!$C$5*ATM_Conf!$C$9)/(AK277*ATM_Conf!$C$8)*(Nodes!BY89-AK89)/(AK89+ATM_Conf!$C$10)</f>
        <v>#DIV/0!</v>
      </c>
      <c r="BF90" s="43" t="e">
        <f>BF89+(ATM_Conf!$C$5/ATM_Conf!$C$8)*(BZ90*EXP(-(1/DN90)*(AL90/CT90)^DN90)-BF89)+(ATM_Conf!$C$5/AL277)*BF89*(BE89-BF89)-(ATM_Conf!$C$5*ATM_Conf!$C$9)/(AL277*ATM_Conf!$C$8)*(AM89-AL89)/(AL89+ATM_Conf!$C$10)</f>
        <v>#DIV/0!</v>
      </c>
      <c r="BG90" s="43" t="e">
        <f>BG89+(ATM_Conf!$C$5/ATM_Conf!$C$8)*(CA90*EXP(-(1/DO90)*(AM90/CU90)^DO90)-BG89)+(ATM_Conf!$C$5/AM277)*BG89*(Nodes!BM89-BG89)-(ATM_Conf!$C$5*ATM_Conf!$C$9)/(AM277*ATM_Conf!$C$8)*(Nodes!CA89-AM89)/(AM89+ATM_Conf!$C$10)</f>
        <v>#DIV/0!</v>
      </c>
      <c r="BH90" s="43" t="e">
        <f>BH89+(ATM_Conf!$C$5/ATM_Conf!$C$8)*(CB90*EXP(-(1/DP90)*(AN90/CV90)^DP90)-BH89)+(ATM_Conf!$C$5/AN277)*BH89*(BG89-BH89)-(ATM_Conf!$C$5*ATM_Conf!$C$9)/(AN277*ATM_Conf!$C$8)*(AO89-AN89)/(AN89+ATM_Conf!$C$10)</f>
        <v>#DIV/0!</v>
      </c>
      <c r="BI90" s="43" t="e">
        <f>BI89+(ATM_Conf!$C$5/ATM_Conf!$C$8)*(CC90*EXP(-(1/DQ90)*(AO90/CW90)^DQ90)-BI89)+(ATM_Conf!$C$5/AO277)*BI89*(BH89-BI89)</f>
        <v>#DIV/0!</v>
      </c>
      <c r="BJ90" s="53"/>
      <c r="BK90" s="53"/>
      <c r="BL90" s="53"/>
      <c r="BM90" s="53"/>
      <c r="BN90" s="53"/>
      <c r="BO90" s="53"/>
      <c r="BP90" s="53"/>
      <c r="BQ90" s="53"/>
      <c r="BR90" s="53"/>
      <c r="BS90" s="53"/>
      <c r="BT90" s="53"/>
      <c r="BU90" s="53"/>
      <c r="BV90" s="53"/>
      <c r="BW90" s="53"/>
      <c r="BX90" s="53"/>
      <c r="BY90" s="53"/>
      <c r="BZ90" s="53"/>
      <c r="CA90" s="53"/>
      <c r="CB90" s="53"/>
      <c r="CC90" s="5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53"/>
      <c r="CY90" s="53"/>
      <c r="CZ90" s="53"/>
      <c r="DA90" s="53"/>
      <c r="DB90" s="53"/>
      <c r="DC90" s="53"/>
      <c r="DD90" s="53"/>
      <c r="DE90" s="53"/>
      <c r="DF90" s="53"/>
      <c r="DG90" s="53"/>
      <c r="DH90" s="53"/>
      <c r="DI90" s="53"/>
      <c r="DJ90" s="53"/>
      <c r="DK90" s="53"/>
      <c r="DL90" s="53"/>
      <c r="DM90" s="53"/>
      <c r="DN90" s="53"/>
      <c r="DO90" s="53"/>
      <c r="DP90" s="53"/>
      <c r="DQ90" s="53"/>
      <c r="DR90" s="43">
        <f t="shared" si="64"/>
        <v>0</v>
      </c>
      <c r="DS90" s="43">
        <f t="shared" si="63"/>
        <v>0</v>
      </c>
      <c r="DT90" s="43">
        <f t="shared" si="63"/>
        <v>0</v>
      </c>
      <c r="DU90" s="43">
        <f t="shared" si="63"/>
        <v>0</v>
      </c>
      <c r="DV90" s="43">
        <f t="shared" si="63"/>
        <v>0</v>
      </c>
      <c r="DW90" s="43">
        <f t="shared" si="63"/>
        <v>0</v>
      </c>
      <c r="DX90" s="43">
        <f t="shared" si="63"/>
        <v>0</v>
      </c>
      <c r="DY90" s="43">
        <f t="shared" si="63"/>
        <v>0</v>
      </c>
      <c r="DZ90" s="43">
        <f t="shared" si="63"/>
        <v>0</v>
      </c>
      <c r="EA90" s="43">
        <f t="shared" si="63"/>
        <v>0</v>
      </c>
      <c r="EB90" s="43">
        <f t="shared" si="63"/>
        <v>0</v>
      </c>
      <c r="EC90" s="43">
        <f t="shared" si="63"/>
        <v>0</v>
      </c>
      <c r="ED90" s="43">
        <f t="shared" si="63"/>
        <v>0</v>
      </c>
      <c r="EE90" s="43">
        <f t="shared" si="63"/>
        <v>0</v>
      </c>
      <c r="EF90" s="43">
        <f t="shared" si="63"/>
        <v>0</v>
      </c>
      <c r="EG90" s="43">
        <f t="shared" si="63"/>
        <v>0</v>
      </c>
      <c r="EH90" s="43">
        <f t="shared" si="63"/>
        <v>0</v>
      </c>
      <c r="EI90" s="43">
        <f t="shared" si="63"/>
        <v>0</v>
      </c>
      <c r="EJ90" s="43">
        <f t="shared" si="63"/>
        <v>0</v>
      </c>
      <c r="EK90" s="43">
        <f t="shared" si="63"/>
        <v>0</v>
      </c>
      <c r="EL90" s="47"/>
      <c r="EM90" s="47"/>
      <c r="EN90" s="47"/>
      <c r="EO90" s="47"/>
      <c r="EP90" s="47"/>
      <c r="EQ90" s="47"/>
      <c r="ER90" s="47"/>
      <c r="ES90" s="47"/>
      <c r="ET90" s="47"/>
      <c r="EU90" s="47"/>
      <c r="EV90" s="47"/>
      <c r="EW90" s="47"/>
      <c r="EX90" s="47"/>
      <c r="EY90" s="47"/>
      <c r="EZ90" s="47"/>
      <c r="FA90" s="47"/>
      <c r="FB90" s="47"/>
      <c r="FC90" s="47"/>
      <c r="FD90" s="47"/>
      <c r="FE90" s="47"/>
    </row>
    <row r="91" spans="1:161" ht="14.25" x14ac:dyDescent="0.15">
      <c r="A91" s="46"/>
      <c r="B91" s="43" t="e">
        <f t="shared" si="39"/>
        <v>#DIV/0!</v>
      </c>
      <c r="C91" s="43" t="e">
        <f t="shared" si="40"/>
        <v>#DIV/0!</v>
      </c>
      <c r="D91" s="43" t="e">
        <f t="shared" si="41"/>
        <v>#DIV/0!</v>
      </c>
      <c r="E91" s="43" t="e">
        <f t="shared" si="42"/>
        <v>#DIV/0!</v>
      </c>
      <c r="F91" s="43" t="e">
        <f t="shared" si="43"/>
        <v>#DIV/0!</v>
      </c>
      <c r="G91" s="43" t="e">
        <f t="shared" si="44"/>
        <v>#DIV/0!</v>
      </c>
      <c r="H91" s="43" t="e">
        <f t="shared" si="45"/>
        <v>#DIV/0!</v>
      </c>
      <c r="I91" s="43" t="e">
        <f t="shared" si="46"/>
        <v>#DIV/0!</v>
      </c>
      <c r="J91" s="43" t="e">
        <f t="shared" si="47"/>
        <v>#DIV/0!</v>
      </c>
      <c r="K91" s="43" t="e">
        <f t="shared" si="48"/>
        <v>#DIV/0!</v>
      </c>
      <c r="L91" s="43" t="e">
        <f t="shared" si="49"/>
        <v>#DIV/0!</v>
      </c>
      <c r="M91" s="43" t="e">
        <f t="shared" si="50"/>
        <v>#DIV/0!</v>
      </c>
      <c r="N91" s="43" t="e">
        <f t="shared" si="51"/>
        <v>#DIV/0!</v>
      </c>
      <c r="O91" s="43" t="e">
        <f t="shared" si="52"/>
        <v>#DIV/0!</v>
      </c>
      <c r="P91" s="43" t="e">
        <f t="shared" si="53"/>
        <v>#DIV/0!</v>
      </c>
      <c r="Q91" s="43" t="e">
        <f t="shared" si="54"/>
        <v>#DIV/0!</v>
      </c>
      <c r="R91" s="43" t="e">
        <f t="shared" si="55"/>
        <v>#DIV/0!</v>
      </c>
      <c r="S91" s="43" t="e">
        <f t="shared" si="56"/>
        <v>#DIV/0!</v>
      </c>
      <c r="T91" s="43" t="e">
        <f t="shared" si="57"/>
        <v>#DIV/0!</v>
      </c>
      <c r="U91" s="43" t="e">
        <f t="shared" si="58"/>
        <v>#DIV/0!</v>
      </c>
      <c r="V91" s="53" t="e">
        <f>V90+ATM_Conf!$C$5*(B90)/(B278*V278)</f>
        <v>#DIV/0!</v>
      </c>
      <c r="W91" s="53" t="e">
        <f>W90+ATM_Conf!$C$5*(C90-B90)/(C278*W278)</f>
        <v>#DIV/0!</v>
      </c>
      <c r="X91" s="53" t="e">
        <f>X90+ATM_Conf!$C$5*(D90-C90)/(D278*X278)</f>
        <v>#DIV/0!</v>
      </c>
      <c r="Y91" s="53" t="e">
        <f>Y90+ATM_Conf!$C$5*(E90-D90)/(E278*Y278)</f>
        <v>#DIV/0!</v>
      </c>
      <c r="Z91" s="53" t="e">
        <f>Z90+ATM_Conf!$C$5*(F90-E90)/(F278*Z278)</f>
        <v>#DIV/0!</v>
      </c>
      <c r="AA91" s="53" t="e">
        <f>AA90+ATM_Conf!$C$5*(G90-F90)/(G278*AA278)</f>
        <v>#DIV/0!</v>
      </c>
      <c r="AB91" s="53" t="e">
        <f>AB90+ATM_Conf!$C$5*(H90-G90)/(H278*AB278)</f>
        <v>#DIV/0!</v>
      </c>
      <c r="AC91" s="53" t="e">
        <f>AC90+ATM_Conf!$C$5*(I90-H90)/(I278*AC278)</f>
        <v>#DIV/0!</v>
      </c>
      <c r="AD91" s="53" t="e">
        <f>AD90+ATM_Conf!$C$5*(J90-I90)/(J278*AD278)</f>
        <v>#DIV/0!</v>
      </c>
      <c r="AE91" s="53" t="e">
        <f>AE90+ATM_Conf!$C$5*(K90-J90)/(K278*AE278)</f>
        <v>#DIV/0!</v>
      </c>
      <c r="AF91" s="53" t="e">
        <f>AF90+ATM_Conf!$C$5*(L90)/(L278*AF278)</f>
        <v>#DIV/0!</v>
      </c>
      <c r="AG91" s="53" t="e">
        <f>AG90+ATM_Conf!$C$5*(M90-L90)/(M278*AG278)</f>
        <v>#DIV/0!</v>
      </c>
      <c r="AH91" s="53" t="e">
        <f>AH90+ATM_Conf!$C$5*(N90-M90)/(N278*AH278)</f>
        <v>#DIV/0!</v>
      </c>
      <c r="AI91" s="53" t="e">
        <f>AI90+ATM_Conf!$C$5*(O90-N90)/(O278*AI278)</f>
        <v>#DIV/0!</v>
      </c>
      <c r="AJ91" s="53" t="e">
        <f>AJ90+ATM_Conf!$C$5*(P90-O90)/(P278*AJ278)</f>
        <v>#DIV/0!</v>
      </c>
      <c r="AK91" s="53" t="e">
        <f>AK90+ATM_Conf!$C$5*(Q90-P90)/(Q278*AK278)</f>
        <v>#DIV/0!</v>
      </c>
      <c r="AL91" s="53" t="e">
        <f>AL90+ATM_Conf!$C$5*(R90-Q90)/(R278*AL278)</f>
        <v>#DIV/0!</v>
      </c>
      <c r="AM91" s="53" t="e">
        <f>AM90+ATM_Conf!$C$5*(S90-R90)/(S278*AM278)</f>
        <v>#DIV/0!</v>
      </c>
      <c r="AN91" s="53" t="e">
        <f>AN90+ATM_Conf!$C$5*(T90-S90)/(T278*AN278)</f>
        <v>#DIV/0!</v>
      </c>
      <c r="AO91" s="53" t="e">
        <f>AO90+ATM_Conf!$C$5*(U90-T90)/(U278*AO278)</f>
        <v>#DIV/0!</v>
      </c>
      <c r="AP91" s="43" t="e">
        <f>AP90+(ATM_Conf!$C$5/ATM_Conf!$C$8)*(BJ91*EXP(-(1/CX91)*(V91/CD91)^CX91)-AP90)-(ATM_Conf!$C$5*ATM_Conf!$C$9)/(V278*ATM_Conf!$C$8)*(Nodes!BO90-V90)/(V90+ATM_Conf!$C$10)</f>
        <v>#DIV/0!</v>
      </c>
      <c r="AQ91" s="43" t="e">
        <f>AQ90+(ATM_Conf!$C$5/ATM_Conf!$C$8)*(BK91*EXP(-(1/CY91)*(W91/CE91)^CY91)-AQ90)+(ATM_Conf!$C$5/W278)*AQ90*(AP90-AQ90)-(ATM_Conf!$C$5*ATM_Conf!$C$9)/(W278*ATM_Conf!$C$8)*(X90-W90)/(W90+ATM_Conf!$C$10)</f>
        <v>#DIV/0!</v>
      </c>
      <c r="AR91" s="43" t="e">
        <f>AR90+(ATM_Conf!$C$5/ATM_Conf!$C$8)*(BL91*EXP(-(1/CZ91)*(X91/CF91)^CZ91)-AR90)+(ATM_Conf!$C$5/X278)*AR90*(Nodes!BC90-AR90)-(ATM_Conf!$C$5*ATM_Conf!$C$9)/(X278*ATM_Conf!$C$8)*(Nodes!BQ90-X90)/(X90+ATM_Conf!$C$10)</f>
        <v>#DIV/0!</v>
      </c>
      <c r="AS91" s="43" t="e">
        <f>AS90+(ATM_Conf!$C$5/ATM_Conf!$C$8)*(BM91*EXP(-(1/DA91)*(Y91/CG91)^DA91)-AS90)+(ATM_Conf!$C$5/Y278)*AS90*(AR90-AS90)-(ATM_Conf!$C$5*ATM_Conf!$C$9)/(Y278*ATM_Conf!$C$8)*(Z90-Y90)/(Y90+ATM_Conf!$C$10)</f>
        <v>#DIV/0!</v>
      </c>
      <c r="AT91" s="43" t="e">
        <f>AT90+(ATM_Conf!$C$5/ATM_Conf!$C$8)*(BN91*EXP(-(1/DB91)*(Z91/CH91)^DB91)-AT90)+(ATM_Conf!$C$5/Z278)*AT90*(Nodes!BE90-AT90)-(ATM_Conf!$C$5*ATM_Conf!$C$9)/(Z278*ATM_Conf!$C$8)*(Nodes!BS90-Z90)/(Z90+ATM_Conf!$C$10)</f>
        <v>#DIV/0!</v>
      </c>
      <c r="AU91" s="43" t="e">
        <f>AU90+(ATM_Conf!$C$5/ATM_Conf!$C$8)*(BO91*EXP(-(1/DC91)*(AA91/CI91)^DC91)-AU90)+(ATM_Conf!$C$5/AA278)*AU90*(Nodes!BF90-AU90)-(ATM_Conf!$C$5*ATM_Conf!$C$9)/(AA278*ATM_Conf!$C$8)*(Nodes!BV90-AA90)/(AA90+ATM_Conf!$C$10)</f>
        <v>#DIV/0!</v>
      </c>
      <c r="AV91" s="43" t="e">
        <f>AV90+(ATM_Conf!$C$5/ATM_Conf!$C$8)*(BP91*EXP(-(1/DD91)*(AB91/CJ91)^DD91)-AV90)+(ATM_Conf!$C$5/AB278)*AV90*(AU90-AV90)-(ATM_Conf!$C$5*ATM_Conf!$C$9)/(AB278*ATM_Conf!$C$8)*(AC90-AB90)/(AB90+ATM_Conf!$C$10)</f>
        <v>#DIV/0!</v>
      </c>
      <c r="AW91" s="43" t="e">
        <f>AW90+(ATM_Conf!$C$5/ATM_Conf!$C$8)*(BQ91*EXP(-(1/DE91)*(AC91/CK91)^DE91)-AW90)+(ATM_Conf!$C$5/AC278)*AW90*(AV90-AW90)-(ATM_Conf!$C$5*ATM_Conf!$C$9)/(AC278*ATM_Conf!$C$8)*(AD90-AC90)/(AC90+ATM_Conf!$C$10)</f>
        <v>#DIV/0!</v>
      </c>
      <c r="AX91" s="43" t="e">
        <f>AX90+(ATM_Conf!$C$5/ATM_Conf!$C$8)*(BR91*EXP(-(1/DF91)*(AD91/CL91)^DF91)-AX90)+(ATM_Conf!$C$5/AD278)*AX90*(Nodes!BG90-AX90)-(ATM_Conf!$C$5*ATM_Conf!$C$9)/(AD278*ATM_Conf!$C$8)*(Nodes!BU90-AD90)/(AD90+ATM_Conf!$C$10)</f>
        <v>#DIV/0!</v>
      </c>
      <c r="AY91" s="43" t="e">
        <f>AY90+(ATM_Conf!$C$5/ATM_Conf!$C$8)*(BS91*EXP(-(1/DG91)*(AE91/CM91)^DG91)-AY90)+(ATM_Conf!$C$5/AE278)*AY90*(Nodes!BF90-AY90)</f>
        <v>#DIV/0!</v>
      </c>
      <c r="AZ91" s="43" t="e">
        <f>AZ90+(ATM_Conf!$C$5/ATM_Conf!$C$8)*(BT91*EXP(-(1/DH91)*(AF91/CN91)^DH91)-AZ90)-(ATM_Conf!$C$5*ATM_Conf!$C$9)/(AF278*ATM_Conf!$C$8)*(Nodes!BV90-AF90)/(AF90+ATM_Conf!$C$10)</f>
        <v>#DIV/0!</v>
      </c>
      <c r="BA91" s="43" t="e">
        <f>BA90+(ATM_Conf!$C$5/ATM_Conf!$C$8)*(BU91*EXP(-(1/DI91)*(AG91/CO91)^DI91)-BA90)+(ATM_Conf!$C$5/AG278)*BA90*(Nodes!BI90-BA90)-(ATM_Conf!$C$5*ATM_Conf!$C$9)/(AG278*ATM_Conf!$C$8)*(Nodes!BW90-AG90)/(AG90+ATM_Conf!$C$10)</f>
        <v>#DIV/0!</v>
      </c>
      <c r="BB91" s="43" t="e">
        <f>BB90+(ATM_Conf!$C$5/ATM_Conf!$C$8)*(BV91*EXP(-(1/DJ91)*(AH91/CP91)^DJ91)-BB90)+(ATM_Conf!$C$5/AH278)*BB90*(Nodes!BJ90-BB90)-(ATM_Conf!$C$5*ATM_Conf!$C$9)/(AH278*ATM_Conf!$C$8)*(AI90-AH90)/(AH90+ATM_Conf!$C$10)</f>
        <v>#DIV/0!</v>
      </c>
      <c r="BC91" s="43" t="e">
        <f>BC90+(ATM_Conf!$C$5/ATM_Conf!$C$8)*(BW91*EXP(-(1/DK91)*(AI91/CQ91)^DK91)-BC90)+(ATM_Conf!$C$5/AI278)*BC90*(BB90-BC90)-(ATM_Conf!$C$5*ATM_Conf!$C$9)/(AI278*ATM_Conf!$C$8)*(AJ90-AI90)/(AI90+ATM_Conf!$C$10)</f>
        <v>#DIV/0!</v>
      </c>
      <c r="BD91" s="43" t="e">
        <f>BD90+(ATM_Conf!$C$5/ATM_Conf!$C$8)*(BX91*EXP(-(1/DL91)*(AJ91/CR91)^DL91)-BD90)+(ATM_Conf!$C$5/AJ278)*BD90*(BC90-BD90)-(ATM_Conf!$C$5*ATM_Conf!$C$9)/(AJ278*ATM_Conf!$C$8)*(Nodes!BX90-AJ90)/(AJ90+ATM_Conf!$C$10)</f>
        <v>#DIV/0!</v>
      </c>
      <c r="BE91" s="43" t="e">
        <f>BE90+(ATM_Conf!$C$5/ATM_Conf!$C$8)*(BY91*EXP(-(1/DM91)*(AK91/CS91)^DM91)-BE90)+(ATM_Conf!$C$5/AK278)*BE90*(Nodes!BK90-BE90)-(ATM_Conf!$C$5*ATM_Conf!$C$9)/(AK278*ATM_Conf!$C$8)*(Nodes!BY90-AK90)/(AK90+ATM_Conf!$C$10)</f>
        <v>#DIV/0!</v>
      </c>
      <c r="BF91" s="43" t="e">
        <f>BF90+(ATM_Conf!$C$5/ATM_Conf!$C$8)*(BZ91*EXP(-(1/DN91)*(AL91/CT91)^DN91)-BF90)+(ATM_Conf!$C$5/AL278)*BF90*(BE90-BF90)-(ATM_Conf!$C$5*ATM_Conf!$C$9)/(AL278*ATM_Conf!$C$8)*(AM90-AL90)/(AL90+ATM_Conf!$C$10)</f>
        <v>#DIV/0!</v>
      </c>
      <c r="BG91" s="43" t="e">
        <f>BG90+(ATM_Conf!$C$5/ATM_Conf!$C$8)*(CA91*EXP(-(1/DO91)*(AM91/CU91)^DO91)-BG90)+(ATM_Conf!$C$5/AM278)*BG90*(Nodes!BM90-BG90)-(ATM_Conf!$C$5*ATM_Conf!$C$9)/(AM278*ATM_Conf!$C$8)*(Nodes!CA90-AM90)/(AM90+ATM_Conf!$C$10)</f>
        <v>#DIV/0!</v>
      </c>
      <c r="BH91" s="43" t="e">
        <f>BH90+(ATM_Conf!$C$5/ATM_Conf!$C$8)*(CB91*EXP(-(1/DP91)*(AN91/CV91)^DP91)-BH90)+(ATM_Conf!$C$5/AN278)*BH90*(BG90-BH90)-(ATM_Conf!$C$5*ATM_Conf!$C$9)/(AN278*ATM_Conf!$C$8)*(AO90-AN90)/(AN90+ATM_Conf!$C$10)</f>
        <v>#DIV/0!</v>
      </c>
      <c r="BI91" s="43" t="e">
        <f>BI90+(ATM_Conf!$C$5/ATM_Conf!$C$8)*(CC91*EXP(-(1/DQ91)*(AO91/CW91)^DQ91)-BI90)+(ATM_Conf!$C$5/AO278)*BI90*(BH90-BI90)</f>
        <v>#DIV/0!</v>
      </c>
      <c r="BJ91" s="53"/>
      <c r="BK91" s="53"/>
      <c r="BL91" s="53"/>
      <c r="BM91" s="53"/>
      <c r="BN91" s="53"/>
      <c r="BO91" s="53"/>
      <c r="BP91" s="53"/>
      <c r="BQ91" s="53"/>
      <c r="BR91" s="53"/>
      <c r="BS91" s="53"/>
      <c r="BT91" s="53"/>
      <c r="BU91" s="53"/>
      <c r="BV91" s="53"/>
      <c r="BW91" s="53"/>
      <c r="BX91" s="53"/>
      <c r="BY91" s="53"/>
      <c r="BZ91" s="53"/>
      <c r="CA91" s="53"/>
      <c r="CB91" s="53"/>
      <c r="CC91" s="5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53"/>
      <c r="CY91" s="53"/>
      <c r="CZ91" s="53"/>
      <c r="DA91" s="53"/>
      <c r="DB91" s="53"/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  <c r="DR91" s="43">
        <f t="shared" si="64"/>
        <v>0</v>
      </c>
      <c r="DS91" s="43">
        <f t="shared" si="63"/>
        <v>0</v>
      </c>
      <c r="DT91" s="43">
        <f t="shared" si="63"/>
        <v>0</v>
      </c>
      <c r="DU91" s="43">
        <f t="shared" si="63"/>
        <v>0</v>
      </c>
      <c r="DV91" s="43">
        <f t="shared" si="63"/>
        <v>0</v>
      </c>
      <c r="DW91" s="43">
        <f t="shared" si="63"/>
        <v>0</v>
      </c>
      <c r="DX91" s="43">
        <f t="shared" si="63"/>
        <v>0</v>
      </c>
      <c r="DY91" s="43">
        <f t="shared" si="63"/>
        <v>0</v>
      </c>
      <c r="DZ91" s="43">
        <f t="shared" si="63"/>
        <v>0</v>
      </c>
      <c r="EA91" s="43">
        <f t="shared" si="63"/>
        <v>0</v>
      </c>
      <c r="EB91" s="43">
        <f t="shared" si="63"/>
        <v>0</v>
      </c>
      <c r="EC91" s="43">
        <f t="shared" si="63"/>
        <v>0</v>
      </c>
      <c r="ED91" s="43">
        <f t="shared" si="63"/>
        <v>0</v>
      </c>
      <c r="EE91" s="43">
        <f t="shared" si="63"/>
        <v>0</v>
      </c>
      <c r="EF91" s="43">
        <f t="shared" si="63"/>
        <v>0</v>
      </c>
      <c r="EG91" s="43">
        <f t="shared" si="63"/>
        <v>0</v>
      </c>
      <c r="EH91" s="43">
        <f t="shared" si="63"/>
        <v>0</v>
      </c>
      <c r="EI91" s="43">
        <f t="shared" si="63"/>
        <v>0</v>
      </c>
      <c r="EJ91" s="43">
        <f t="shared" si="63"/>
        <v>0</v>
      </c>
      <c r="EK91" s="43">
        <f t="shared" si="63"/>
        <v>0</v>
      </c>
      <c r="EL91" s="47"/>
      <c r="EM91" s="47"/>
      <c r="EN91" s="47"/>
      <c r="EO91" s="47"/>
      <c r="EP91" s="47"/>
      <c r="EQ91" s="47"/>
      <c r="ER91" s="47"/>
      <c r="ES91" s="47"/>
      <c r="ET91" s="47"/>
      <c r="EU91" s="47"/>
      <c r="EV91" s="47"/>
      <c r="EW91" s="47"/>
      <c r="EX91" s="47"/>
      <c r="EY91" s="47"/>
      <c r="EZ91" s="47"/>
      <c r="FA91" s="47"/>
      <c r="FB91" s="47"/>
      <c r="FC91" s="47"/>
      <c r="FD91" s="47"/>
      <c r="FE91" s="47"/>
    </row>
    <row r="92" spans="1:161" ht="14.25" x14ac:dyDescent="0.15">
      <c r="A92" s="46"/>
      <c r="B92" s="43" t="e">
        <f t="shared" si="39"/>
        <v>#DIV/0!</v>
      </c>
      <c r="C92" s="43" t="e">
        <f t="shared" si="40"/>
        <v>#DIV/0!</v>
      </c>
      <c r="D92" s="43" t="e">
        <f t="shared" si="41"/>
        <v>#DIV/0!</v>
      </c>
      <c r="E92" s="43" t="e">
        <f t="shared" si="42"/>
        <v>#DIV/0!</v>
      </c>
      <c r="F92" s="43" t="e">
        <f t="shared" si="43"/>
        <v>#DIV/0!</v>
      </c>
      <c r="G92" s="43" t="e">
        <f t="shared" si="44"/>
        <v>#DIV/0!</v>
      </c>
      <c r="H92" s="43" t="e">
        <f t="shared" si="45"/>
        <v>#DIV/0!</v>
      </c>
      <c r="I92" s="43" t="e">
        <f t="shared" si="46"/>
        <v>#DIV/0!</v>
      </c>
      <c r="J92" s="43" t="e">
        <f t="shared" si="47"/>
        <v>#DIV/0!</v>
      </c>
      <c r="K92" s="43" t="e">
        <f t="shared" si="48"/>
        <v>#DIV/0!</v>
      </c>
      <c r="L92" s="43" t="e">
        <f t="shared" si="49"/>
        <v>#DIV/0!</v>
      </c>
      <c r="M92" s="43" t="e">
        <f t="shared" si="50"/>
        <v>#DIV/0!</v>
      </c>
      <c r="N92" s="43" t="e">
        <f t="shared" si="51"/>
        <v>#DIV/0!</v>
      </c>
      <c r="O92" s="43" t="e">
        <f t="shared" si="52"/>
        <v>#DIV/0!</v>
      </c>
      <c r="P92" s="43" t="e">
        <f t="shared" si="53"/>
        <v>#DIV/0!</v>
      </c>
      <c r="Q92" s="43" t="e">
        <f t="shared" si="54"/>
        <v>#DIV/0!</v>
      </c>
      <c r="R92" s="43" t="e">
        <f t="shared" si="55"/>
        <v>#DIV/0!</v>
      </c>
      <c r="S92" s="43" t="e">
        <f t="shared" si="56"/>
        <v>#DIV/0!</v>
      </c>
      <c r="T92" s="43" t="e">
        <f t="shared" si="57"/>
        <v>#DIV/0!</v>
      </c>
      <c r="U92" s="43" t="e">
        <f t="shared" si="58"/>
        <v>#DIV/0!</v>
      </c>
      <c r="V92" s="53" t="e">
        <f>V91+ATM_Conf!$C$5*(B91)/(B279*V279)</f>
        <v>#DIV/0!</v>
      </c>
      <c r="W92" s="53" t="e">
        <f>W91+ATM_Conf!$C$5*(C91-B91)/(C279*W279)</f>
        <v>#DIV/0!</v>
      </c>
      <c r="X92" s="53" t="e">
        <f>X91+ATM_Conf!$C$5*(D91-C91)/(D279*X279)</f>
        <v>#DIV/0!</v>
      </c>
      <c r="Y92" s="53" t="e">
        <f>Y91+ATM_Conf!$C$5*(E91-D91)/(E279*Y279)</f>
        <v>#DIV/0!</v>
      </c>
      <c r="Z92" s="53" t="e">
        <f>Z91+ATM_Conf!$C$5*(F91-E91)/(F279*Z279)</f>
        <v>#DIV/0!</v>
      </c>
      <c r="AA92" s="53" t="e">
        <f>AA91+ATM_Conf!$C$5*(G91-F91)/(G279*AA279)</f>
        <v>#DIV/0!</v>
      </c>
      <c r="AB92" s="53" t="e">
        <f>AB91+ATM_Conf!$C$5*(H91-G91)/(H279*AB279)</f>
        <v>#DIV/0!</v>
      </c>
      <c r="AC92" s="53" t="e">
        <f>AC91+ATM_Conf!$C$5*(I91-H91)/(I279*AC279)</f>
        <v>#DIV/0!</v>
      </c>
      <c r="AD92" s="53" t="e">
        <f>AD91+ATM_Conf!$C$5*(J91-I91)/(J279*AD279)</f>
        <v>#DIV/0!</v>
      </c>
      <c r="AE92" s="53" t="e">
        <f>AE91+ATM_Conf!$C$5*(K91-J91)/(K279*AE279)</f>
        <v>#DIV/0!</v>
      </c>
      <c r="AF92" s="53" t="e">
        <f>AF91+ATM_Conf!$C$5*(L91)/(L279*AF279)</f>
        <v>#DIV/0!</v>
      </c>
      <c r="AG92" s="53" t="e">
        <f>AG91+ATM_Conf!$C$5*(M91-L91)/(M279*AG279)</f>
        <v>#DIV/0!</v>
      </c>
      <c r="AH92" s="53" t="e">
        <f>AH91+ATM_Conf!$C$5*(N91-M91)/(N279*AH279)</f>
        <v>#DIV/0!</v>
      </c>
      <c r="AI92" s="53" t="e">
        <f>AI91+ATM_Conf!$C$5*(O91-N91)/(O279*AI279)</f>
        <v>#DIV/0!</v>
      </c>
      <c r="AJ92" s="53" t="e">
        <f>AJ91+ATM_Conf!$C$5*(P91-O91)/(P279*AJ279)</f>
        <v>#DIV/0!</v>
      </c>
      <c r="AK92" s="53" t="e">
        <f>AK91+ATM_Conf!$C$5*(Q91-P91)/(Q279*AK279)</f>
        <v>#DIV/0!</v>
      </c>
      <c r="AL92" s="53" t="e">
        <f>AL91+ATM_Conf!$C$5*(R91-Q91)/(R279*AL279)</f>
        <v>#DIV/0!</v>
      </c>
      <c r="AM92" s="53" t="e">
        <f>AM91+ATM_Conf!$C$5*(S91-R91)/(S279*AM279)</f>
        <v>#DIV/0!</v>
      </c>
      <c r="AN92" s="53" t="e">
        <f>AN91+ATM_Conf!$C$5*(T91-S91)/(T279*AN279)</f>
        <v>#DIV/0!</v>
      </c>
      <c r="AO92" s="53" t="e">
        <f>AO91+ATM_Conf!$C$5*(U91-T91)/(U279*AO279)</f>
        <v>#DIV/0!</v>
      </c>
      <c r="AP92" s="43" t="e">
        <f>AP91+(ATM_Conf!$C$5/ATM_Conf!$C$8)*(BJ92*EXP(-(1/CX92)*(V92/CD92)^CX92)-AP91)-(ATM_Conf!$C$5*ATM_Conf!$C$9)/(V279*ATM_Conf!$C$8)*(Nodes!BO91-V91)/(V91+ATM_Conf!$C$10)</f>
        <v>#DIV/0!</v>
      </c>
      <c r="AQ92" s="43" t="e">
        <f>AQ91+(ATM_Conf!$C$5/ATM_Conf!$C$8)*(BK92*EXP(-(1/CY92)*(W92/CE92)^CY92)-AQ91)+(ATM_Conf!$C$5/W279)*AQ91*(AP91-AQ91)-(ATM_Conf!$C$5*ATM_Conf!$C$9)/(W279*ATM_Conf!$C$8)*(X91-W91)/(W91+ATM_Conf!$C$10)</f>
        <v>#DIV/0!</v>
      </c>
      <c r="AR92" s="43" t="e">
        <f>AR91+(ATM_Conf!$C$5/ATM_Conf!$C$8)*(BL92*EXP(-(1/CZ92)*(X92/CF92)^CZ92)-AR91)+(ATM_Conf!$C$5/X279)*AR91*(Nodes!BC91-AR91)-(ATM_Conf!$C$5*ATM_Conf!$C$9)/(X279*ATM_Conf!$C$8)*(Nodes!BQ91-X91)/(X91+ATM_Conf!$C$10)</f>
        <v>#DIV/0!</v>
      </c>
      <c r="AS92" s="43" t="e">
        <f>AS91+(ATM_Conf!$C$5/ATM_Conf!$C$8)*(BM92*EXP(-(1/DA92)*(Y92/CG92)^DA92)-AS91)+(ATM_Conf!$C$5/Y279)*AS91*(AR91-AS91)-(ATM_Conf!$C$5*ATM_Conf!$C$9)/(Y279*ATM_Conf!$C$8)*(Z91-Y91)/(Y91+ATM_Conf!$C$10)</f>
        <v>#DIV/0!</v>
      </c>
      <c r="AT92" s="43" t="e">
        <f>AT91+(ATM_Conf!$C$5/ATM_Conf!$C$8)*(BN92*EXP(-(1/DB92)*(Z92/CH92)^DB92)-AT91)+(ATM_Conf!$C$5/Z279)*AT91*(Nodes!BE91-AT91)-(ATM_Conf!$C$5*ATM_Conf!$C$9)/(Z279*ATM_Conf!$C$8)*(Nodes!BS91-Z91)/(Z91+ATM_Conf!$C$10)</f>
        <v>#DIV/0!</v>
      </c>
      <c r="AU92" s="43" t="e">
        <f>AU91+(ATM_Conf!$C$5/ATM_Conf!$C$8)*(BO92*EXP(-(1/DC92)*(AA92/CI92)^DC92)-AU91)+(ATM_Conf!$C$5/AA279)*AU91*(Nodes!BF91-AU91)-(ATM_Conf!$C$5*ATM_Conf!$C$9)/(AA279*ATM_Conf!$C$8)*(Nodes!BV91-AA91)/(AA91+ATM_Conf!$C$10)</f>
        <v>#DIV/0!</v>
      </c>
      <c r="AV92" s="43" t="e">
        <f>AV91+(ATM_Conf!$C$5/ATM_Conf!$C$8)*(BP92*EXP(-(1/DD92)*(AB92/CJ92)^DD92)-AV91)+(ATM_Conf!$C$5/AB279)*AV91*(AU91-AV91)-(ATM_Conf!$C$5*ATM_Conf!$C$9)/(AB279*ATM_Conf!$C$8)*(AC91-AB91)/(AB91+ATM_Conf!$C$10)</f>
        <v>#DIV/0!</v>
      </c>
      <c r="AW92" s="43" t="e">
        <f>AW91+(ATM_Conf!$C$5/ATM_Conf!$C$8)*(BQ92*EXP(-(1/DE92)*(AC92/CK92)^DE92)-AW91)+(ATM_Conf!$C$5/AC279)*AW91*(AV91-AW91)-(ATM_Conf!$C$5*ATM_Conf!$C$9)/(AC279*ATM_Conf!$C$8)*(AD91-AC91)/(AC91+ATM_Conf!$C$10)</f>
        <v>#DIV/0!</v>
      </c>
      <c r="AX92" s="43" t="e">
        <f>AX91+(ATM_Conf!$C$5/ATM_Conf!$C$8)*(BR92*EXP(-(1/DF92)*(AD92/CL92)^DF92)-AX91)+(ATM_Conf!$C$5/AD279)*AX91*(Nodes!BG91-AX91)-(ATM_Conf!$C$5*ATM_Conf!$C$9)/(AD279*ATM_Conf!$C$8)*(Nodes!BU91-AD91)/(AD91+ATM_Conf!$C$10)</f>
        <v>#DIV/0!</v>
      </c>
      <c r="AY92" s="43" t="e">
        <f>AY91+(ATM_Conf!$C$5/ATM_Conf!$C$8)*(BS92*EXP(-(1/DG92)*(AE92/CM92)^DG92)-AY91)+(ATM_Conf!$C$5/AE279)*AY91*(Nodes!BF91-AY91)</f>
        <v>#DIV/0!</v>
      </c>
      <c r="AZ92" s="43" t="e">
        <f>AZ91+(ATM_Conf!$C$5/ATM_Conf!$C$8)*(BT92*EXP(-(1/DH92)*(AF92/CN92)^DH92)-AZ91)-(ATM_Conf!$C$5*ATM_Conf!$C$9)/(AF279*ATM_Conf!$C$8)*(Nodes!BV91-AF91)/(AF91+ATM_Conf!$C$10)</f>
        <v>#DIV/0!</v>
      </c>
      <c r="BA92" s="43" t="e">
        <f>BA91+(ATM_Conf!$C$5/ATM_Conf!$C$8)*(BU92*EXP(-(1/DI92)*(AG92/CO92)^DI92)-BA91)+(ATM_Conf!$C$5/AG279)*BA91*(Nodes!BI91-BA91)-(ATM_Conf!$C$5*ATM_Conf!$C$9)/(AG279*ATM_Conf!$C$8)*(Nodes!BW91-AG91)/(AG91+ATM_Conf!$C$10)</f>
        <v>#DIV/0!</v>
      </c>
      <c r="BB92" s="43" t="e">
        <f>BB91+(ATM_Conf!$C$5/ATM_Conf!$C$8)*(BV92*EXP(-(1/DJ92)*(AH92/CP92)^DJ92)-BB91)+(ATM_Conf!$C$5/AH279)*BB91*(Nodes!BJ91-BB91)-(ATM_Conf!$C$5*ATM_Conf!$C$9)/(AH279*ATM_Conf!$C$8)*(AI91-AH91)/(AH91+ATM_Conf!$C$10)</f>
        <v>#DIV/0!</v>
      </c>
      <c r="BC92" s="43" t="e">
        <f>BC91+(ATM_Conf!$C$5/ATM_Conf!$C$8)*(BW92*EXP(-(1/DK92)*(AI92/CQ92)^DK92)-BC91)+(ATM_Conf!$C$5/AI279)*BC91*(BB91-BC91)-(ATM_Conf!$C$5*ATM_Conf!$C$9)/(AI279*ATM_Conf!$C$8)*(AJ91-AI91)/(AI91+ATM_Conf!$C$10)</f>
        <v>#DIV/0!</v>
      </c>
      <c r="BD92" s="43" t="e">
        <f>BD91+(ATM_Conf!$C$5/ATM_Conf!$C$8)*(BX92*EXP(-(1/DL92)*(AJ92/CR92)^DL92)-BD91)+(ATM_Conf!$C$5/AJ279)*BD91*(BC91-BD91)-(ATM_Conf!$C$5*ATM_Conf!$C$9)/(AJ279*ATM_Conf!$C$8)*(Nodes!BX91-AJ91)/(AJ91+ATM_Conf!$C$10)</f>
        <v>#DIV/0!</v>
      </c>
      <c r="BE92" s="43" t="e">
        <f>BE91+(ATM_Conf!$C$5/ATM_Conf!$C$8)*(BY92*EXP(-(1/DM92)*(AK92/CS92)^DM92)-BE91)+(ATM_Conf!$C$5/AK279)*BE91*(Nodes!BK91-BE91)-(ATM_Conf!$C$5*ATM_Conf!$C$9)/(AK279*ATM_Conf!$C$8)*(Nodes!BY91-AK91)/(AK91+ATM_Conf!$C$10)</f>
        <v>#DIV/0!</v>
      </c>
      <c r="BF92" s="43" t="e">
        <f>BF91+(ATM_Conf!$C$5/ATM_Conf!$C$8)*(BZ92*EXP(-(1/DN92)*(AL92/CT92)^DN92)-BF91)+(ATM_Conf!$C$5/AL279)*BF91*(BE91-BF91)-(ATM_Conf!$C$5*ATM_Conf!$C$9)/(AL279*ATM_Conf!$C$8)*(AM91-AL91)/(AL91+ATM_Conf!$C$10)</f>
        <v>#DIV/0!</v>
      </c>
      <c r="BG92" s="43" t="e">
        <f>BG91+(ATM_Conf!$C$5/ATM_Conf!$C$8)*(CA92*EXP(-(1/DO92)*(AM92/CU92)^DO92)-BG91)+(ATM_Conf!$C$5/AM279)*BG91*(Nodes!BM91-BG91)-(ATM_Conf!$C$5*ATM_Conf!$C$9)/(AM279*ATM_Conf!$C$8)*(Nodes!CA91-AM91)/(AM91+ATM_Conf!$C$10)</f>
        <v>#DIV/0!</v>
      </c>
      <c r="BH92" s="43" t="e">
        <f>BH91+(ATM_Conf!$C$5/ATM_Conf!$C$8)*(CB92*EXP(-(1/DP92)*(AN92/CV92)^DP92)-BH91)+(ATM_Conf!$C$5/AN279)*BH91*(BG91-BH91)-(ATM_Conf!$C$5*ATM_Conf!$C$9)/(AN279*ATM_Conf!$C$8)*(AO91-AN91)/(AN91+ATM_Conf!$C$10)</f>
        <v>#DIV/0!</v>
      </c>
      <c r="BI92" s="43" t="e">
        <f>BI91+(ATM_Conf!$C$5/ATM_Conf!$C$8)*(CC92*EXP(-(1/DQ92)*(AO92/CW92)^DQ92)-BI91)+(ATM_Conf!$C$5/AO279)*BI91*(BH91-BI91)</f>
        <v>#DIV/0!</v>
      </c>
      <c r="BJ92" s="53"/>
      <c r="BK92" s="53"/>
      <c r="BL92" s="53"/>
      <c r="BM92" s="53"/>
      <c r="BN92" s="53"/>
      <c r="BO92" s="53"/>
      <c r="BP92" s="53"/>
      <c r="BQ92" s="53"/>
      <c r="BR92" s="53"/>
      <c r="BS92" s="53"/>
      <c r="BT92" s="53"/>
      <c r="BU92" s="53"/>
      <c r="BV92" s="53"/>
      <c r="BW92" s="53"/>
      <c r="BX92" s="53"/>
      <c r="BY92" s="53"/>
      <c r="BZ92" s="53"/>
      <c r="CA92" s="53"/>
      <c r="CB92" s="53"/>
      <c r="CC92" s="5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53"/>
      <c r="CY92" s="53"/>
      <c r="CZ92" s="53"/>
      <c r="DA92" s="53"/>
      <c r="DB92" s="53"/>
      <c r="DC92" s="53"/>
      <c r="DD92" s="53"/>
      <c r="DE92" s="53"/>
      <c r="DF92" s="53"/>
      <c r="DG92" s="53"/>
      <c r="DH92" s="53"/>
      <c r="DI92" s="53"/>
      <c r="DJ92" s="53"/>
      <c r="DK92" s="53"/>
      <c r="DL92" s="53"/>
      <c r="DM92" s="53"/>
      <c r="DN92" s="53"/>
      <c r="DO92" s="53"/>
      <c r="DP92" s="53"/>
      <c r="DQ92" s="53"/>
      <c r="DR92" s="43">
        <f t="shared" si="64"/>
        <v>0</v>
      </c>
      <c r="DS92" s="43">
        <f t="shared" si="63"/>
        <v>0</v>
      </c>
      <c r="DT92" s="43">
        <f t="shared" si="63"/>
        <v>0</v>
      </c>
      <c r="DU92" s="43">
        <f t="shared" si="63"/>
        <v>0</v>
      </c>
      <c r="DV92" s="43">
        <f t="shared" si="63"/>
        <v>0</v>
      </c>
      <c r="DW92" s="43">
        <f t="shared" si="63"/>
        <v>0</v>
      </c>
      <c r="DX92" s="43">
        <f t="shared" si="63"/>
        <v>0</v>
      </c>
      <c r="DY92" s="43">
        <f t="shared" si="63"/>
        <v>0</v>
      </c>
      <c r="DZ92" s="43">
        <f t="shared" si="63"/>
        <v>0</v>
      </c>
      <c r="EA92" s="43">
        <f t="shared" si="63"/>
        <v>0</v>
      </c>
      <c r="EB92" s="43">
        <f t="shared" si="63"/>
        <v>0</v>
      </c>
      <c r="EC92" s="43">
        <f t="shared" si="63"/>
        <v>0</v>
      </c>
      <c r="ED92" s="43">
        <f t="shared" si="63"/>
        <v>0</v>
      </c>
      <c r="EE92" s="43">
        <f t="shared" si="63"/>
        <v>0</v>
      </c>
      <c r="EF92" s="43">
        <f t="shared" si="63"/>
        <v>0</v>
      </c>
      <c r="EG92" s="43">
        <f t="shared" si="63"/>
        <v>0</v>
      </c>
      <c r="EH92" s="43">
        <f t="shared" si="63"/>
        <v>0</v>
      </c>
      <c r="EI92" s="43">
        <f t="shared" si="63"/>
        <v>0</v>
      </c>
      <c r="EJ92" s="43">
        <f t="shared" si="63"/>
        <v>0</v>
      </c>
      <c r="EK92" s="43">
        <f t="shared" si="63"/>
        <v>0</v>
      </c>
      <c r="EL92" s="47"/>
      <c r="EM92" s="47"/>
      <c r="EN92" s="47"/>
      <c r="EO92" s="47"/>
      <c r="EP92" s="47"/>
      <c r="EQ92" s="47"/>
      <c r="ER92" s="47"/>
      <c r="ES92" s="47"/>
      <c r="ET92" s="47"/>
      <c r="EU92" s="47"/>
      <c r="EV92" s="47"/>
      <c r="EW92" s="47"/>
      <c r="EX92" s="47"/>
      <c r="EY92" s="47"/>
      <c r="EZ92" s="47"/>
      <c r="FA92" s="47"/>
      <c r="FB92" s="47"/>
      <c r="FC92" s="47"/>
      <c r="FD92" s="47"/>
      <c r="FE92" s="47"/>
    </row>
    <row r="93" spans="1:161" ht="14.25" x14ac:dyDescent="0.15">
      <c r="A93" s="46"/>
      <c r="B93" s="43" t="e">
        <f t="shared" si="39"/>
        <v>#DIV/0!</v>
      </c>
      <c r="C93" s="43" t="e">
        <f t="shared" si="40"/>
        <v>#DIV/0!</v>
      </c>
      <c r="D93" s="43" t="e">
        <f t="shared" si="41"/>
        <v>#DIV/0!</v>
      </c>
      <c r="E93" s="43" t="e">
        <f t="shared" si="42"/>
        <v>#DIV/0!</v>
      </c>
      <c r="F93" s="43" t="e">
        <f t="shared" si="43"/>
        <v>#DIV/0!</v>
      </c>
      <c r="G93" s="43" t="e">
        <f t="shared" si="44"/>
        <v>#DIV/0!</v>
      </c>
      <c r="H93" s="43" t="e">
        <f t="shared" si="45"/>
        <v>#DIV/0!</v>
      </c>
      <c r="I93" s="43" t="e">
        <f t="shared" si="46"/>
        <v>#DIV/0!</v>
      </c>
      <c r="J93" s="43" t="e">
        <f t="shared" si="47"/>
        <v>#DIV/0!</v>
      </c>
      <c r="K93" s="43" t="e">
        <f t="shared" si="48"/>
        <v>#DIV/0!</v>
      </c>
      <c r="L93" s="43" t="e">
        <f t="shared" si="49"/>
        <v>#DIV/0!</v>
      </c>
      <c r="M93" s="43" t="e">
        <f t="shared" si="50"/>
        <v>#DIV/0!</v>
      </c>
      <c r="N93" s="43" t="e">
        <f t="shared" si="51"/>
        <v>#DIV/0!</v>
      </c>
      <c r="O93" s="43" t="e">
        <f t="shared" si="52"/>
        <v>#DIV/0!</v>
      </c>
      <c r="P93" s="43" t="e">
        <f t="shared" si="53"/>
        <v>#DIV/0!</v>
      </c>
      <c r="Q93" s="43" t="e">
        <f t="shared" si="54"/>
        <v>#DIV/0!</v>
      </c>
      <c r="R93" s="43" t="e">
        <f t="shared" si="55"/>
        <v>#DIV/0!</v>
      </c>
      <c r="S93" s="43" t="e">
        <f t="shared" si="56"/>
        <v>#DIV/0!</v>
      </c>
      <c r="T93" s="43" t="e">
        <f t="shared" si="57"/>
        <v>#DIV/0!</v>
      </c>
      <c r="U93" s="43" t="e">
        <f t="shared" si="58"/>
        <v>#DIV/0!</v>
      </c>
      <c r="V93" s="53" t="e">
        <f>V92+ATM_Conf!$C$5*(B92)/(B280*V280)</f>
        <v>#DIV/0!</v>
      </c>
      <c r="W93" s="53" t="e">
        <f>W92+ATM_Conf!$C$5*(C92-B92)/(C280*W280)</f>
        <v>#DIV/0!</v>
      </c>
      <c r="X93" s="53" t="e">
        <f>X92+ATM_Conf!$C$5*(D92-C92)/(D280*X280)</f>
        <v>#DIV/0!</v>
      </c>
      <c r="Y93" s="53" t="e">
        <f>Y92+ATM_Conf!$C$5*(E92-D92)/(E280*Y280)</f>
        <v>#DIV/0!</v>
      </c>
      <c r="Z93" s="53" t="e">
        <f>Z92+ATM_Conf!$C$5*(F92-E92)/(F280*Z280)</f>
        <v>#DIV/0!</v>
      </c>
      <c r="AA93" s="53" t="e">
        <f>AA92+ATM_Conf!$C$5*(G92-F92)/(G280*AA280)</f>
        <v>#DIV/0!</v>
      </c>
      <c r="AB93" s="53" t="e">
        <f>AB92+ATM_Conf!$C$5*(H92-G92)/(H280*AB280)</f>
        <v>#DIV/0!</v>
      </c>
      <c r="AC93" s="53" t="e">
        <f>AC92+ATM_Conf!$C$5*(I92-H92)/(I280*AC280)</f>
        <v>#DIV/0!</v>
      </c>
      <c r="AD93" s="53" t="e">
        <f>AD92+ATM_Conf!$C$5*(J92-I92)/(J280*AD280)</f>
        <v>#DIV/0!</v>
      </c>
      <c r="AE93" s="53" t="e">
        <f>AE92+ATM_Conf!$C$5*(K92-J92)/(K280*AE280)</f>
        <v>#DIV/0!</v>
      </c>
      <c r="AF93" s="53" t="e">
        <f>AF92+ATM_Conf!$C$5*(L92)/(L280*AF280)</f>
        <v>#DIV/0!</v>
      </c>
      <c r="AG93" s="53" t="e">
        <f>AG92+ATM_Conf!$C$5*(M92-L92)/(M280*AG280)</f>
        <v>#DIV/0!</v>
      </c>
      <c r="AH93" s="53" t="e">
        <f>AH92+ATM_Conf!$C$5*(N92-M92)/(N280*AH280)</f>
        <v>#DIV/0!</v>
      </c>
      <c r="AI93" s="53" t="e">
        <f>AI92+ATM_Conf!$C$5*(O92-N92)/(O280*AI280)</f>
        <v>#DIV/0!</v>
      </c>
      <c r="AJ93" s="53" t="e">
        <f>AJ92+ATM_Conf!$C$5*(P92-O92)/(P280*AJ280)</f>
        <v>#DIV/0!</v>
      </c>
      <c r="AK93" s="53" t="e">
        <f>AK92+ATM_Conf!$C$5*(Q92-P92)/(Q280*AK280)</f>
        <v>#DIV/0!</v>
      </c>
      <c r="AL93" s="53" t="e">
        <f>AL92+ATM_Conf!$C$5*(R92-Q92)/(R280*AL280)</f>
        <v>#DIV/0!</v>
      </c>
      <c r="AM93" s="53" t="e">
        <f>AM92+ATM_Conf!$C$5*(S92-R92)/(S280*AM280)</f>
        <v>#DIV/0!</v>
      </c>
      <c r="AN93" s="53" t="e">
        <f>AN92+ATM_Conf!$C$5*(T92-S92)/(T280*AN280)</f>
        <v>#DIV/0!</v>
      </c>
      <c r="AO93" s="53" t="e">
        <f>AO92+ATM_Conf!$C$5*(U92-T92)/(U280*AO280)</f>
        <v>#DIV/0!</v>
      </c>
      <c r="AP93" s="43" t="e">
        <f>AP92+(ATM_Conf!$C$5/ATM_Conf!$C$8)*(BJ93*EXP(-(1/CX93)*(V93/CD93)^CX93)-AP92)-(ATM_Conf!$C$5*ATM_Conf!$C$9)/(V280*ATM_Conf!$C$8)*(Nodes!BO92-V92)/(V92+ATM_Conf!$C$10)</f>
        <v>#DIV/0!</v>
      </c>
      <c r="AQ93" s="43" t="e">
        <f>AQ92+(ATM_Conf!$C$5/ATM_Conf!$C$8)*(BK93*EXP(-(1/CY93)*(W93/CE93)^CY93)-AQ92)+(ATM_Conf!$C$5/W280)*AQ92*(AP92-AQ92)-(ATM_Conf!$C$5*ATM_Conf!$C$9)/(W280*ATM_Conf!$C$8)*(X92-W92)/(W92+ATM_Conf!$C$10)</f>
        <v>#DIV/0!</v>
      </c>
      <c r="AR93" s="43" t="e">
        <f>AR92+(ATM_Conf!$C$5/ATM_Conf!$C$8)*(BL93*EXP(-(1/CZ93)*(X93/CF93)^CZ93)-AR92)+(ATM_Conf!$C$5/X280)*AR92*(Nodes!BC92-AR92)-(ATM_Conf!$C$5*ATM_Conf!$C$9)/(X280*ATM_Conf!$C$8)*(Nodes!BQ92-X92)/(X92+ATM_Conf!$C$10)</f>
        <v>#DIV/0!</v>
      </c>
      <c r="AS93" s="43" t="e">
        <f>AS92+(ATM_Conf!$C$5/ATM_Conf!$C$8)*(BM93*EXP(-(1/DA93)*(Y93/CG93)^DA93)-AS92)+(ATM_Conf!$C$5/Y280)*AS92*(AR92-AS92)-(ATM_Conf!$C$5*ATM_Conf!$C$9)/(Y280*ATM_Conf!$C$8)*(Z92-Y92)/(Y92+ATM_Conf!$C$10)</f>
        <v>#DIV/0!</v>
      </c>
      <c r="AT93" s="43" t="e">
        <f>AT92+(ATM_Conf!$C$5/ATM_Conf!$C$8)*(BN93*EXP(-(1/DB93)*(Z93/CH93)^DB93)-AT92)+(ATM_Conf!$C$5/Z280)*AT92*(Nodes!BE92-AT92)-(ATM_Conf!$C$5*ATM_Conf!$C$9)/(Z280*ATM_Conf!$C$8)*(Nodes!BS92-Z92)/(Z92+ATM_Conf!$C$10)</f>
        <v>#DIV/0!</v>
      </c>
      <c r="AU93" s="43" t="e">
        <f>AU92+(ATM_Conf!$C$5/ATM_Conf!$C$8)*(BO93*EXP(-(1/DC93)*(AA93/CI93)^DC93)-AU92)+(ATM_Conf!$C$5/AA280)*AU92*(Nodes!BF92-AU92)-(ATM_Conf!$C$5*ATM_Conf!$C$9)/(AA280*ATM_Conf!$C$8)*(Nodes!BV92-AA92)/(AA92+ATM_Conf!$C$10)</f>
        <v>#DIV/0!</v>
      </c>
      <c r="AV93" s="43" t="e">
        <f>AV92+(ATM_Conf!$C$5/ATM_Conf!$C$8)*(BP93*EXP(-(1/DD93)*(AB93/CJ93)^DD93)-AV92)+(ATM_Conf!$C$5/AB280)*AV92*(AU92-AV92)-(ATM_Conf!$C$5*ATM_Conf!$C$9)/(AB280*ATM_Conf!$C$8)*(AC92-AB92)/(AB92+ATM_Conf!$C$10)</f>
        <v>#DIV/0!</v>
      </c>
      <c r="AW93" s="43" t="e">
        <f>AW92+(ATM_Conf!$C$5/ATM_Conf!$C$8)*(BQ93*EXP(-(1/DE93)*(AC93/CK93)^DE93)-AW92)+(ATM_Conf!$C$5/AC280)*AW92*(AV92-AW92)-(ATM_Conf!$C$5*ATM_Conf!$C$9)/(AC280*ATM_Conf!$C$8)*(AD92-AC92)/(AC92+ATM_Conf!$C$10)</f>
        <v>#DIV/0!</v>
      </c>
      <c r="AX93" s="43" t="e">
        <f>AX92+(ATM_Conf!$C$5/ATM_Conf!$C$8)*(BR93*EXP(-(1/DF93)*(AD93/CL93)^DF93)-AX92)+(ATM_Conf!$C$5/AD280)*AX92*(Nodes!BG92-AX92)-(ATM_Conf!$C$5*ATM_Conf!$C$9)/(AD280*ATM_Conf!$C$8)*(Nodes!BU92-AD92)/(AD92+ATM_Conf!$C$10)</f>
        <v>#DIV/0!</v>
      </c>
      <c r="AY93" s="43" t="e">
        <f>AY92+(ATM_Conf!$C$5/ATM_Conf!$C$8)*(BS93*EXP(-(1/DG93)*(AE93/CM93)^DG93)-AY92)+(ATM_Conf!$C$5/AE280)*AY92*(Nodes!BF92-AY92)</f>
        <v>#DIV/0!</v>
      </c>
      <c r="AZ93" s="43" t="e">
        <f>AZ92+(ATM_Conf!$C$5/ATM_Conf!$C$8)*(BT93*EXP(-(1/DH93)*(AF93/CN93)^DH93)-AZ92)-(ATM_Conf!$C$5*ATM_Conf!$C$9)/(AF280*ATM_Conf!$C$8)*(Nodes!BV92-AF92)/(AF92+ATM_Conf!$C$10)</f>
        <v>#DIV/0!</v>
      </c>
      <c r="BA93" s="43" t="e">
        <f>BA92+(ATM_Conf!$C$5/ATM_Conf!$C$8)*(BU93*EXP(-(1/DI93)*(AG93/CO93)^DI93)-BA92)+(ATM_Conf!$C$5/AG280)*BA92*(Nodes!BI92-BA92)-(ATM_Conf!$C$5*ATM_Conf!$C$9)/(AG280*ATM_Conf!$C$8)*(Nodes!BW92-AG92)/(AG92+ATM_Conf!$C$10)</f>
        <v>#DIV/0!</v>
      </c>
      <c r="BB93" s="43" t="e">
        <f>BB92+(ATM_Conf!$C$5/ATM_Conf!$C$8)*(BV93*EXP(-(1/DJ93)*(AH93/CP93)^DJ93)-BB92)+(ATM_Conf!$C$5/AH280)*BB92*(Nodes!BJ92-BB92)-(ATM_Conf!$C$5*ATM_Conf!$C$9)/(AH280*ATM_Conf!$C$8)*(AI92-AH92)/(AH92+ATM_Conf!$C$10)</f>
        <v>#DIV/0!</v>
      </c>
      <c r="BC93" s="43" t="e">
        <f>BC92+(ATM_Conf!$C$5/ATM_Conf!$C$8)*(BW93*EXP(-(1/DK93)*(AI93/CQ93)^DK93)-BC92)+(ATM_Conf!$C$5/AI280)*BC92*(BB92-BC92)-(ATM_Conf!$C$5*ATM_Conf!$C$9)/(AI280*ATM_Conf!$C$8)*(AJ92-AI92)/(AI92+ATM_Conf!$C$10)</f>
        <v>#DIV/0!</v>
      </c>
      <c r="BD93" s="43" t="e">
        <f>BD92+(ATM_Conf!$C$5/ATM_Conf!$C$8)*(BX93*EXP(-(1/DL93)*(AJ93/CR93)^DL93)-BD92)+(ATM_Conf!$C$5/AJ280)*BD92*(BC92-BD92)-(ATM_Conf!$C$5*ATM_Conf!$C$9)/(AJ280*ATM_Conf!$C$8)*(Nodes!BX92-AJ92)/(AJ92+ATM_Conf!$C$10)</f>
        <v>#DIV/0!</v>
      </c>
      <c r="BE93" s="43" t="e">
        <f>BE92+(ATM_Conf!$C$5/ATM_Conf!$C$8)*(BY93*EXP(-(1/DM93)*(AK93/CS93)^DM93)-BE92)+(ATM_Conf!$C$5/AK280)*BE92*(Nodes!BK92-BE92)-(ATM_Conf!$C$5*ATM_Conf!$C$9)/(AK280*ATM_Conf!$C$8)*(Nodes!BY92-AK92)/(AK92+ATM_Conf!$C$10)</f>
        <v>#DIV/0!</v>
      </c>
      <c r="BF93" s="43" t="e">
        <f>BF92+(ATM_Conf!$C$5/ATM_Conf!$C$8)*(BZ93*EXP(-(1/DN93)*(AL93/CT93)^DN93)-BF92)+(ATM_Conf!$C$5/AL280)*BF92*(BE92-BF92)-(ATM_Conf!$C$5*ATM_Conf!$C$9)/(AL280*ATM_Conf!$C$8)*(AM92-AL92)/(AL92+ATM_Conf!$C$10)</f>
        <v>#DIV/0!</v>
      </c>
      <c r="BG93" s="43" t="e">
        <f>BG92+(ATM_Conf!$C$5/ATM_Conf!$C$8)*(CA93*EXP(-(1/DO93)*(AM93/CU93)^DO93)-BG92)+(ATM_Conf!$C$5/AM280)*BG92*(Nodes!BM92-BG92)-(ATM_Conf!$C$5*ATM_Conf!$C$9)/(AM280*ATM_Conf!$C$8)*(Nodes!CA92-AM92)/(AM92+ATM_Conf!$C$10)</f>
        <v>#DIV/0!</v>
      </c>
      <c r="BH93" s="43" t="e">
        <f>BH92+(ATM_Conf!$C$5/ATM_Conf!$C$8)*(CB93*EXP(-(1/DP93)*(AN93/CV93)^DP93)-BH92)+(ATM_Conf!$C$5/AN280)*BH92*(BG92-BH92)-(ATM_Conf!$C$5*ATM_Conf!$C$9)/(AN280*ATM_Conf!$C$8)*(AO92-AN92)/(AN92+ATM_Conf!$C$10)</f>
        <v>#DIV/0!</v>
      </c>
      <c r="BI93" s="43" t="e">
        <f>BI92+(ATM_Conf!$C$5/ATM_Conf!$C$8)*(CC93*EXP(-(1/DQ93)*(AO93/CW93)^DQ93)-BI92)+(ATM_Conf!$C$5/AO280)*BI92*(BH92-BI92)</f>
        <v>#DIV/0!</v>
      </c>
      <c r="BJ93" s="53"/>
      <c r="BK93" s="53"/>
      <c r="BL93" s="53"/>
      <c r="BM93" s="53"/>
      <c r="BN93" s="53"/>
      <c r="BO93" s="53"/>
      <c r="BP93" s="53"/>
      <c r="BQ93" s="53"/>
      <c r="BR93" s="53"/>
      <c r="BS93" s="53"/>
      <c r="BT93" s="53"/>
      <c r="BU93" s="53"/>
      <c r="BV93" s="53"/>
      <c r="BW93" s="53"/>
      <c r="BX93" s="53"/>
      <c r="BY93" s="53"/>
      <c r="BZ93" s="53"/>
      <c r="CA93" s="53"/>
      <c r="CB93" s="53"/>
      <c r="CC93" s="5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53"/>
      <c r="CY93" s="53"/>
      <c r="CZ93" s="53"/>
      <c r="DA93" s="53"/>
      <c r="DB93" s="53"/>
      <c r="DC93" s="53"/>
      <c r="DD93" s="53"/>
      <c r="DE93" s="53"/>
      <c r="DF93" s="53"/>
      <c r="DG93" s="53"/>
      <c r="DH93" s="53"/>
      <c r="DI93" s="53"/>
      <c r="DJ93" s="53"/>
      <c r="DK93" s="53"/>
      <c r="DL93" s="53"/>
      <c r="DM93" s="53"/>
      <c r="DN93" s="53"/>
      <c r="DO93" s="53"/>
      <c r="DP93" s="53"/>
      <c r="DQ93" s="53"/>
      <c r="DR93" s="43">
        <f t="shared" si="64"/>
        <v>0</v>
      </c>
      <c r="DS93" s="43">
        <f t="shared" si="63"/>
        <v>0</v>
      </c>
      <c r="DT93" s="43">
        <f t="shared" si="63"/>
        <v>0</v>
      </c>
      <c r="DU93" s="43">
        <f t="shared" si="63"/>
        <v>0</v>
      </c>
      <c r="DV93" s="43">
        <f t="shared" si="63"/>
        <v>0</v>
      </c>
      <c r="DW93" s="43">
        <f t="shared" si="63"/>
        <v>0</v>
      </c>
      <c r="DX93" s="43">
        <f t="shared" si="63"/>
        <v>0</v>
      </c>
      <c r="DY93" s="43">
        <f t="shared" si="63"/>
        <v>0</v>
      </c>
      <c r="DZ93" s="43">
        <f t="shared" si="63"/>
        <v>0</v>
      </c>
      <c r="EA93" s="43">
        <f t="shared" si="63"/>
        <v>0</v>
      </c>
      <c r="EB93" s="43">
        <f t="shared" si="63"/>
        <v>0</v>
      </c>
      <c r="EC93" s="43">
        <f t="shared" si="63"/>
        <v>0</v>
      </c>
      <c r="ED93" s="43">
        <f t="shared" si="63"/>
        <v>0</v>
      </c>
      <c r="EE93" s="43">
        <f t="shared" si="63"/>
        <v>0</v>
      </c>
      <c r="EF93" s="43">
        <f t="shared" si="63"/>
        <v>0</v>
      </c>
      <c r="EG93" s="43">
        <f t="shared" si="63"/>
        <v>0</v>
      </c>
      <c r="EH93" s="43">
        <f t="shared" si="63"/>
        <v>0</v>
      </c>
      <c r="EI93" s="43">
        <f t="shared" si="63"/>
        <v>0</v>
      </c>
      <c r="EJ93" s="43">
        <f t="shared" si="63"/>
        <v>0</v>
      </c>
      <c r="EK93" s="43">
        <f t="shared" si="63"/>
        <v>0</v>
      </c>
      <c r="EL93" s="47"/>
      <c r="EM93" s="47"/>
      <c r="EN93" s="47"/>
      <c r="EO93" s="47"/>
      <c r="EP93" s="47"/>
      <c r="EQ93" s="47"/>
      <c r="ER93" s="47"/>
      <c r="ES93" s="47"/>
      <c r="ET93" s="47"/>
      <c r="EU93" s="47"/>
      <c r="EV93" s="47"/>
      <c r="EW93" s="47"/>
      <c r="EX93" s="47"/>
      <c r="EY93" s="47"/>
      <c r="EZ93" s="47"/>
      <c r="FA93" s="47"/>
      <c r="FB93" s="47"/>
      <c r="FC93" s="47"/>
      <c r="FD93" s="47"/>
      <c r="FE93" s="47"/>
    </row>
    <row r="94" spans="1:161" ht="14.25" x14ac:dyDescent="0.15">
      <c r="A94" s="46"/>
      <c r="B94" s="43" t="e">
        <f t="shared" si="39"/>
        <v>#DIV/0!</v>
      </c>
      <c r="C94" s="43" t="e">
        <f t="shared" si="40"/>
        <v>#DIV/0!</v>
      </c>
      <c r="D94" s="43" t="e">
        <f t="shared" si="41"/>
        <v>#DIV/0!</v>
      </c>
      <c r="E94" s="43" t="e">
        <f t="shared" si="42"/>
        <v>#DIV/0!</v>
      </c>
      <c r="F94" s="43" t="e">
        <f t="shared" si="43"/>
        <v>#DIV/0!</v>
      </c>
      <c r="G94" s="43" t="e">
        <f t="shared" si="44"/>
        <v>#DIV/0!</v>
      </c>
      <c r="H94" s="43" t="e">
        <f t="shared" si="45"/>
        <v>#DIV/0!</v>
      </c>
      <c r="I94" s="43" t="e">
        <f t="shared" si="46"/>
        <v>#DIV/0!</v>
      </c>
      <c r="J94" s="43" t="e">
        <f t="shared" si="47"/>
        <v>#DIV/0!</v>
      </c>
      <c r="K94" s="43" t="e">
        <f t="shared" si="48"/>
        <v>#DIV/0!</v>
      </c>
      <c r="L94" s="43" t="e">
        <f t="shared" si="49"/>
        <v>#DIV/0!</v>
      </c>
      <c r="M94" s="43" t="e">
        <f t="shared" si="50"/>
        <v>#DIV/0!</v>
      </c>
      <c r="N94" s="43" t="e">
        <f t="shared" si="51"/>
        <v>#DIV/0!</v>
      </c>
      <c r="O94" s="43" t="e">
        <f t="shared" si="52"/>
        <v>#DIV/0!</v>
      </c>
      <c r="P94" s="43" t="e">
        <f t="shared" si="53"/>
        <v>#DIV/0!</v>
      </c>
      <c r="Q94" s="43" t="e">
        <f t="shared" si="54"/>
        <v>#DIV/0!</v>
      </c>
      <c r="R94" s="43" t="e">
        <f t="shared" si="55"/>
        <v>#DIV/0!</v>
      </c>
      <c r="S94" s="43" t="e">
        <f t="shared" si="56"/>
        <v>#DIV/0!</v>
      </c>
      <c r="T94" s="43" t="e">
        <f t="shared" si="57"/>
        <v>#DIV/0!</v>
      </c>
      <c r="U94" s="43" t="e">
        <f t="shared" si="58"/>
        <v>#DIV/0!</v>
      </c>
      <c r="V94" s="53" t="e">
        <f>V93+ATM_Conf!$C$5*(B93)/(B281*V281)</f>
        <v>#DIV/0!</v>
      </c>
      <c r="W94" s="53" t="e">
        <f>W93+ATM_Conf!$C$5*(C93-B93)/(C281*W281)</f>
        <v>#DIV/0!</v>
      </c>
      <c r="X94" s="53" t="e">
        <f>X93+ATM_Conf!$C$5*(D93-C93)/(D281*X281)</f>
        <v>#DIV/0!</v>
      </c>
      <c r="Y94" s="53" t="e">
        <f>Y93+ATM_Conf!$C$5*(E93-D93)/(E281*Y281)</f>
        <v>#DIV/0!</v>
      </c>
      <c r="Z94" s="53" t="e">
        <f>Z93+ATM_Conf!$C$5*(F93-E93)/(F281*Z281)</f>
        <v>#DIV/0!</v>
      </c>
      <c r="AA94" s="53" t="e">
        <f>AA93+ATM_Conf!$C$5*(G93-F93)/(G281*AA281)</f>
        <v>#DIV/0!</v>
      </c>
      <c r="AB94" s="53" t="e">
        <f>AB93+ATM_Conf!$C$5*(H93-G93)/(H281*AB281)</f>
        <v>#DIV/0!</v>
      </c>
      <c r="AC94" s="53" t="e">
        <f>AC93+ATM_Conf!$C$5*(I93-H93)/(I281*AC281)</f>
        <v>#DIV/0!</v>
      </c>
      <c r="AD94" s="53" t="e">
        <f>AD93+ATM_Conf!$C$5*(J93-I93)/(J281*AD281)</f>
        <v>#DIV/0!</v>
      </c>
      <c r="AE94" s="53" t="e">
        <f>AE93+ATM_Conf!$C$5*(K93-J93)/(K281*AE281)</f>
        <v>#DIV/0!</v>
      </c>
      <c r="AF94" s="53" t="e">
        <f>AF93+ATM_Conf!$C$5*(L93)/(L281*AF281)</f>
        <v>#DIV/0!</v>
      </c>
      <c r="AG94" s="53" t="e">
        <f>AG93+ATM_Conf!$C$5*(M93-L93)/(M281*AG281)</f>
        <v>#DIV/0!</v>
      </c>
      <c r="AH94" s="53" t="e">
        <f>AH93+ATM_Conf!$C$5*(N93-M93)/(N281*AH281)</f>
        <v>#DIV/0!</v>
      </c>
      <c r="AI94" s="53" t="e">
        <f>AI93+ATM_Conf!$C$5*(O93-N93)/(O281*AI281)</f>
        <v>#DIV/0!</v>
      </c>
      <c r="AJ94" s="53" t="e">
        <f>AJ93+ATM_Conf!$C$5*(P93-O93)/(P281*AJ281)</f>
        <v>#DIV/0!</v>
      </c>
      <c r="AK94" s="53" t="e">
        <f>AK93+ATM_Conf!$C$5*(Q93-P93)/(Q281*AK281)</f>
        <v>#DIV/0!</v>
      </c>
      <c r="AL94" s="53" t="e">
        <f>AL93+ATM_Conf!$C$5*(R93-Q93)/(R281*AL281)</f>
        <v>#DIV/0!</v>
      </c>
      <c r="AM94" s="53" t="e">
        <f>AM93+ATM_Conf!$C$5*(S93-R93)/(S281*AM281)</f>
        <v>#DIV/0!</v>
      </c>
      <c r="AN94" s="53" t="e">
        <f>AN93+ATM_Conf!$C$5*(T93-S93)/(T281*AN281)</f>
        <v>#DIV/0!</v>
      </c>
      <c r="AO94" s="53" t="e">
        <f>AO93+ATM_Conf!$C$5*(U93-T93)/(U281*AO281)</f>
        <v>#DIV/0!</v>
      </c>
      <c r="AP94" s="43" t="e">
        <f>AP93+(ATM_Conf!$C$5/ATM_Conf!$C$8)*(BJ94*EXP(-(1/CX94)*(V94/CD94)^CX94)-AP93)-(ATM_Conf!$C$5*ATM_Conf!$C$9)/(V281*ATM_Conf!$C$8)*(Nodes!BO93-V93)/(V93+ATM_Conf!$C$10)</f>
        <v>#DIV/0!</v>
      </c>
      <c r="AQ94" s="43" t="e">
        <f>AQ93+(ATM_Conf!$C$5/ATM_Conf!$C$8)*(BK94*EXP(-(1/CY94)*(W94/CE94)^CY94)-AQ93)+(ATM_Conf!$C$5/W281)*AQ93*(AP93-AQ93)-(ATM_Conf!$C$5*ATM_Conf!$C$9)/(W281*ATM_Conf!$C$8)*(X93-W93)/(W93+ATM_Conf!$C$10)</f>
        <v>#DIV/0!</v>
      </c>
      <c r="AR94" s="43" t="e">
        <f>AR93+(ATM_Conf!$C$5/ATM_Conf!$C$8)*(BL94*EXP(-(1/CZ94)*(X94/CF94)^CZ94)-AR93)+(ATM_Conf!$C$5/X281)*AR93*(Nodes!BC93-AR93)-(ATM_Conf!$C$5*ATM_Conf!$C$9)/(X281*ATM_Conf!$C$8)*(Nodes!BQ93-X93)/(X93+ATM_Conf!$C$10)</f>
        <v>#DIV/0!</v>
      </c>
      <c r="AS94" s="43" t="e">
        <f>AS93+(ATM_Conf!$C$5/ATM_Conf!$C$8)*(BM94*EXP(-(1/DA94)*(Y94/CG94)^DA94)-AS93)+(ATM_Conf!$C$5/Y281)*AS93*(AR93-AS93)-(ATM_Conf!$C$5*ATM_Conf!$C$9)/(Y281*ATM_Conf!$C$8)*(Z93-Y93)/(Y93+ATM_Conf!$C$10)</f>
        <v>#DIV/0!</v>
      </c>
      <c r="AT94" s="43" t="e">
        <f>AT93+(ATM_Conf!$C$5/ATM_Conf!$C$8)*(BN94*EXP(-(1/DB94)*(Z94/CH94)^DB94)-AT93)+(ATM_Conf!$C$5/Z281)*AT93*(Nodes!BE93-AT93)-(ATM_Conf!$C$5*ATM_Conf!$C$9)/(Z281*ATM_Conf!$C$8)*(Nodes!BS93-Z93)/(Z93+ATM_Conf!$C$10)</f>
        <v>#DIV/0!</v>
      </c>
      <c r="AU94" s="43" t="e">
        <f>AU93+(ATM_Conf!$C$5/ATM_Conf!$C$8)*(BO94*EXP(-(1/DC94)*(AA94/CI94)^DC94)-AU93)+(ATM_Conf!$C$5/AA281)*AU93*(Nodes!BF93-AU93)-(ATM_Conf!$C$5*ATM_Conf!$C$9)/(AA281*ATM_Conf!$C$8)*(Nodes!BV93-AA93)/(AA93+ATM_Conf!$C$10)</f>
        <v>#DIV/0!</v>
      </c>
      <c r="AV94" s="43" t="e">
        <f>AV93+(ATM_Conf!$C$5/ATM_Conf!$C$8)*(BP94*EXP(-(1/DD94)*(AB94/CJ94)^DD94)-AV93)+(ATM_Conf!$C$5/AB281)*AV93*(AU93-AV93)-(ATM_Conf!$C$5*ATM_Conf!$C$9)/(AB281*ATM_Conf!$C$8)*(AC93-AB93)/(AB93+ATM_Conf!$C$10)</f>
        <v>#DIV/0!</v>
      </c>
      <c r="AW94" s="43" t="e">
        <f>AW93+(ATM_Conf!$C$5/ATM_Conf!$C$8)*(BQ94*EXP(-(1/DE94)*(AC94/CK94)^DE94)-AW93)+(ATM_Conf!$C$5/AC281)*AW93*(AV93-AW93)-(ATM_Conf!$C$5*ATM_Conf!$C$9)/(AC281*ATM_Conf!$C$8)*(AD93-AC93)/(AC93+ATM_Conf!$C$10)</f>
        <v>#DIV/0!</v>
      </c>
      <c r="AX94" s="43" t="e">
        <f>AX93+(ATM_Conf!$C$5/ATM_Conf!$C$8)*(BR94*EXP(-(1/DF94)*(AD94/CL94)^DF94)-AX93)+(ATM_Conf!$C$5/AD281)*AX93*(Nodes!BG93-AX93)-(ATM_Conf!$C$5*ATM_Conf!$C$9)/(AD281*ATM_Conf!$C$8)*(Nodes!BU93-AD93)/(AD93+ATM_Conf!$C$10)</f>
        <v>#DIV/0!</v>
      </c>
      <c r="AY94" s="43" t="e">
        <f>AY93+(ATM_Conf!$C$5/ATM_Conf!$C$8)*(BS94*EXP(-(1/DG94)*(AE94/CM94)^DG94)-AY93)+(ATM_Conf!$C$5/AE281)*AY93*(Nodes!BF93-AY93)</f>
        <v>#DIV/0!</v>
      </c>
      <c r="AZ94" s="43" t="e">
        <f>AZ93+(ATM_Conf!$C$5/ATM_Conf!$C$8)*(BT94*EXP(-(1/DH94)*(AF94/CN94)^DH94)-AZ93)-(ATM_Conf!$C$5*ATM_Conf!$C$9)/(AF281*ATM_Conf!$C$8)*(Nodes!BV93-AF93)/(AF93+ATM_Conf!$C$10)</f>
        <v>#DIV/0!</v>
      </c>
      <c r="BA94" s="43" t="e">
        <f>BA93+(ATM_Conf!$C$5/ATM_Conf!$C$8)*(BU94*EXP(-(1/DI94)*(AG94/CO94)^DI94)-BA93)+(ATM_Conf!$C$5/AG281)*BA93*(Nodes!BI93-BA93)-(ATM_Conf!$C$5*ATM_Conf!$C$9)/(AG281*ATM_Conf!$C$8)*(Nodes!BW93-AG93)/(AG93+ATM_Conf!$C$10)</f>
        <v>#DIV/0!</v>
      </c>
      <c r="BB94" s="43" t="e">
        <f>BB93+(ATM_Conf!$C$5/ATM_Conf!$C$8)*(BV94*EXP(-(1/DJ94)*(AH94/CP94)^DJ94)-BB93)+(ATM_Conf!$C$5/AH281)*BB93*(Nodes!BJ93-BB93)-(ATM_Conf!$C$5*ATM_Conf!$C$9)/(AH281*ATM_Conf!$C$8)*(AI93-AH93)/(AH93+ATM_Conf!$C$10)</f>
        <v>#DIV/0!</v>
      </c>
      <c r="BC94" s="43" t="e">
        <f>BC93+(ATM_Conf!$C$5/ATM_Conf!$C$8)*(BW94*EXP(-(1/DK94)*(AI94/CQ94)^DK94)-BC93)+(ATM_Conf!$C$5/AI281)*BC93*(BB93-BC93)-(ATM_Conf!$C$5*ATM_Conf!$C$9)/(AI281*ATM_Conf!$C$8)*(AJ93-AI93)/(AI93+ATM_Conf!$C$10)</f>
        <v>#DIV/0!</v>
      </c>
      <c r="BD94" s="43" t="e">
        <f>BD93+(ATM_Conf!$C$5/ATM_Conf!$C$8)*(BX94*EXP(-(1/DL94)*(AJ94/CR94)^DL94)-BD93)+(ATM_Conf!$C$5/AJ281)*BD93*(BC93-BD93)-(ATM_Conf!$C$5*ATM_Conf!$C$9)/(AJ281*ATM_Conf!$C$8)*(Nodes!BX93-AJ93)/(AJ93+ATM_Conf!$C$10)</f>
        <v>#DIV/0!</v>
      </c>
      <c r="BE94" s="43" t="e">
        <f>BE93+(ATM_Conf!$C$5/ATM_Conf!$C$8)*(BY94*EXP(-(1/DM94)*(AK94/CS94)^DM94)-BE93)+(ATM_Conf!$C$5/AK281)*BE93*(Nodes!BK93-BE93)-(ATM_Conf!$C$5*ATM_Conf!$C$9)/(AK281*ATM_Conf!$C$8)*(Nodes!BY93-AK93)/(AK93+ATM_Conf!$C$10)</f>
        <v>#DIV/0!</v>
      </c>
      <c r="BF94" s="43" t="e">
        <f>BF93+(ATM_Conf!$C$5/ATM_Conf!$C$8)*(BZ94*EXP(-(1/DN94)*(AL94/CT94)^DN94)-BF93)+(ATM_Conf!$C$5/AL281)*BF93*(BE93-BF93)-(ATM_Conf!$C$5*ATM_Conf!$C$9)/(AL281*ATM_Conf!$C$8)*(AM93-AL93)/(AL93+ATM_Conf!$C$10)</f>
        <v>#DIV/0!</v>
      </c>
      <c r="BG94" s="43" t="e">
        <f>BG93+(ATM_Conf!$C$5/ATM_Conf!$C$8)*(CA94*EXP(-(1/DO94)*(AM94/CU94)^DO94)-BG93)+(ATM_Conf!$C$5/AM281)*BG93*(Nodes!BM93-BG93)-(ATM_Conf!$C$5*ATM_Conf!$C$9)/(AM281*ATM_Conf!$C$8)*(Nodes!CA93-AM93)/(AM93+ATM_Conf!$C$10)</f>
        <v>#DIV/0!</v>
      </c>
      <c r="BH94" s="43" t="e">
        <f>BH93+(ATM_Conf!$C$5/ATM_Conf!$C$8)*(CB94*EXP(-(1/DP94)*(AN94/CV94)^DP94)-BH93)+(ATM_Conf!$C$5/AN281)*BH93*(BG93-BH93)-(ATM_Conf!$C$5*ATM_Conf!$C$9)/(AN281*ATM_Conf!$C$8)*(AO93-AN93)/(AN93+ATM_Conf!$C$10)</f>
        <v>#DIV/0!</v>
      </c>
      <c r="BI94" s="43" t="e">
        <f>BI93+(ATM_Conf!$C$5/ATM_Conf!$C$8)*(CC94*EXP(-(1/DQ94)*(AO94/CW94)^DQ94)-BI93)+(ATM_Conf!$C$5/AO281)*BI93*(BH93-BI93)</f>
        <v>#DIV/0!</v>
      </c>
      <c r="BJ94" s="53"/>
      <c r="BK94" s="53"/>
      <c r="BL94" s="53"/>
      <c r="BM94" s="53"/>
      <c r="BN94" s="53"/>
      <c r="BO94" s="53"/>
      <c r="BP94" s="53"/>
      <c r="BQ94" s="53"/>
      <c r="BR94" s="53"/>
      <c r="BS94" s="53"/>
      <c r="BT94" s="53"/>
      <c r="BU94" s="53"/>
      <c r="BV94" s="53"/>
      <c r="BW94" s="53"/>
      <c r="BX94" s="53"/>
      <c r="BY94" s="53"/>
      <c r="BZ94" s="53"/>
      <c r="CA94" s="53"/>
      <c r="CB94" s="53"/>
      <c r="CC94" s="5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53"/>
      <c r="CY94" s="53"/>
      <c r="CZ94" s="53"/>
      <c r="DA94" s="53"/>
      <c r="DB94" s="53"/>
      <c r="DC94" s="53"/>
      <c r="DD94" s="53"/>
      <c r="DE94" s="53"/>
      <c r="DF94" s="53"/>
      <c r="DG94" s="53"/>
      <c r="DH94" s="53"/>
      <c r="DI94" s="53"/>
      <c r="DJ94" s="53"/>
      <c r="DK94" s="53"/>
      <c r="DL94" s="53"/>
      <c r="DM94" s="53"/>
      <c r="DN94" s="53"/>
      <c r="DO94" s="53"/>
      <c r="DP94" s="53"/>
      <c r="DQ94" s="53"/>
      <c r="DR94" s="43">
        <f t="shared" si="64"/>
        <v>0</v>
      </c>
      <c r="DS94" s="43">
        <f t="shared" si="63"/>
        <v>0</v>
      </c>
      <c r="DT94" s="43">
        <f t="shared" si="63"/>
        <v>0</v>
      </c>
      <c r="DU94" s="43">
        <f t="shared" si="63"/>
        <v>0</v>
      </c>
      <c r="DV94" s="43">
        <f t="shared" si="63"/>
        <v>0</v>
      </c>
      <c r="DW94" s="43">
        <f t="shared" si="63"/>
        <v>0</v>
      </c>
      <c r="DX94" s="43">
        <f t="shared" si="63"/>
        <v>0</v>
      </c>
      <c r="DY94" s="43">
        <f t="shared" si="63"/>
        <v>0</v>
      </c>
      <c r="DZ94" s="43">
        <f t="shared" si="63"/>
        <v>0</v>
      </c>
      <c r="EA94" s="43">
        <f t="shared" si="63"/>
        <v>0</v>
      </c>
      <c r="EB94" s="43">
        <f t="shared" si="63"/>
        <v>0</v>
      </c>
      <c r="EC94" s="43">
        <f t="shared" si="63"/>
        <v>0</v>
      </c>
      <c r="ED94" s="43">
        <f t="shared" si="63"/>
        <v>0</v>
      </c>
      <c r="EE94" s="43">
        <f t="shared" si="63"/>
        <v>0</v>
      </c>
      <c r="EF94" s="43">
        <f t="shared" si="63"/>
        <v>0</v>
      </c>
      <c r="EG94" s="43">
        <f t="shared" si="63"/>
        <v>0</v>
      </c>
      <c r="EH94" s="43">
        <f t="shared" si="63"/>
        <v>0</v>
      </c>
      <c r="EI94" s="43">
        <f t="shared" si="63"/>
        <v>0</v>
      </c>
      <c r="EJ94" s="43">
        <f t="shared" si="63"/>
        <v>0</v>
      </c>
      <c r="EK94" s="43">
        <f t="shared" si="63"/>
        <v>0</v>
      </c>
      <c r="EL94" s="47"/>
      <c r="EM94" s="47"/>
      <c r="EN94" s="47"/>
      <c r="EO94" s="47"/>
      <c r="EP94" s="47"/>
      <c r="EQ94" s="47"/>
      <c r="ER94" s="47"/>
      <c r="ES94" s="47"/>
      <c r="ET94" s="47"/>
      <c r="EU94" s="47"/>
      <c r="EV94" s="47"/>
      <c r="EW94" s="47"/>
      <c r="EX94" s="47"/>
      <c r="EY94" s="47"/>
      <c r="EZ94" s="47"/>
      <c r="FA94" s="47"/>
      <c r="FB94" s="47"/>
      <c r="FC94" s="47"/>
      <c r="FD94" s="47"/>
      <c r="FE94" s="47"/>
    </row>
    <row r="95" spans="1:161" ht="14.25" x14ac:dyDescent="0.15">
      <c r="A95" s="46"/>
      <c r="B95" s="43" t="e">
        <f t="shared" si="39"/>
        <v>#DIV/0!</v>
      </c>
      <c r="C95" s="43" t="e">
        <f t="shared" si="40"/>
        <v>#DIV/0!</v>
      </c>
      <c r="D95" s="43" t="e">
        <f t="shared" si="41"/>
        <v>#DIV/0!</v>
      </c>
      <c r="E95" s="43" t="e">
        <f t="shared" si="42"/>
        <v>#DIV/0!</v>
      </c>
      <c r="F95" s="43" t="e">
        <f t="shared" si="43"/>
        <v>#DIV/0!</v>
      </c>
      <c r="G95" s="43" t="e">
        <f t="shared" si="44"/>
        <v>#DIV/0!</v>
      </c>
      <c r="H95" s="43" t="e">
        <f t="shared" si="45"/>
        <v>#DIV/0!</v>
      </c>
      <c r="I95" s="43" t="e">
        <f t="shared" si="46"/>
        <v>#DIV/0!</v>
      </c>
      <c r="J95" s="43" t="e">
        <f t="shared" si="47"/>
        <v>#DIV/0!</v>
      </c>
      <c r="K95" s="43" t="e">
        <f t="shared" si="48"/>
        <v>#DIV/0!</v>
      </c>
      <c r="L95" s="43" t="e">
        <f t="shared" si="49"/>
        <v>#DIV/0!</v>
      </c>
      <c r="M95" s="43" t="e">
        <f t="shared" si="50"/>
        <v>#DIV/0!</v>
      </c>
      <c r="N95" s="43" t="e">
        <f t="shared" si="51"/>
        <v>#DIV/0!</v>
      </c>
      <c r="O95" s="43" t="e">
        <f t="shared" si="52"/>
        <v>#DIV/0!</v>
      </c>
      <c r="P95" s="43" t="e">
        <f t="shared" si="53"/>
        <v>#DIV/0!</v>
      </c>
      <c r="Q95" s="43" t="e">
        <f t="shared" si="54"/>
        <v>#DIV/0!</v>
      </c>
      <c r="R95" s="43" t="e">
        <f t="shared" si="55"/>
        <v>#DIV/0!</v>
      </c>
      <c r="S95" s="43" t="e">
        <f t="shared" si="56"/>
        <v>#DIV/0!</v>
      </c>
      <c r="T95" s="43" t="e">
        <f t="shared" si="57"/>
        <v>#DIV/0!</v>
      </c>
      <c r="U95" s="43" t="e">
        <f t="shared" si="58"/>
        <v>#DIV/0!</v>
      </c>
      <c r="V95" s="53" t="e">
        <f>V94+ATM_Conf!$C$5*(B94)/(B282*V282)</f>
        <v>#DIV/0!</v>
      </c>
      <c r="W95" s="53" t="e">
        <f>W94+ATM_Conf!$C$5*(C94-B94)/(C282*W282)</f>
        <v>#DIV/0!</v>
      </c>
      <c r="X95" s="53" t="e">
        <f>X94+ATM_Conf!$C$5*(D94-C94)/(D282*X282)</f>
        <v>#DIV/0!</v>
      </c>
      <c r="Y95" s="53" t="e">
        <f>Y94+ATM_Conf!$C$5*(E94-D94)/(E282*Y282)</f>
        <v>#DIV/0!</v>
      </c>
      <c r="Z95" s="53" t="e">
        <f>Z94+ATM_Conf!$C$5*(F94-E94)/(F282*Z282)</f>
        <v>#DIV/0!</v>
      </c>
      <c r="AA95" s="53" t="e">
        <f>AA94+ATM_Conf!$C$5*(G94-F94)/(G282*AA282)</f>
        <v>#DIV/0!</v>
      </c>
      <c r="AB95" s="53" t="e">
        <f>AB94+ATM_Conf!$C$5*(H94-G94)/(H282*AB282)</f>
        <v>#DIV/0!</v>
      </c>
      <c r="AC95" s="53" t="e">
        <f>AC94+ATM_Conf!$C$5*(I94-H94)/(I282*AC282)</f>
        <v>#DIV/0!</v>
      </c>
      <c r="AD95" s="53" t="e">
        <f>AD94+ATM_Conf!$C$5*(J94-I94)/(J282*AD282)</f>
        <v>#DIV/0!</v>
      </c>
      <c r="AE95" s="53" t="e">
        <f>AE94+ATM_Conf!$C$5*(K94-J94)/(K282*AE282)</f>
        <v>#DIV/0!</v>
      </c>
      <c r="AF95" s="53" t="e">
        <f>AF94+ATM_Conf!$C$5*(L94)/(L282*AF282)</f>
        <v>#DIV/0!</v>
      </c>
      <c r="AG95" s="53" t="e">
        <f>AG94+ATM_Conf!$C$5*(M94-L94)/(M282*AG282)</f>
        <v>#DIV/0!</v>
      </c>
      <c r="AH95" s="53" t="e">
        <f>AH94+ATM_Conf!$C$5*(N94-M94)/(N282*AH282)</f>
        <v>#DIV/0!</v>
      </c>
      <c r="AI95" s="53" t="e">
        <f>AI94+ATM_Conf!$C$5*(O94-N94)/(O282*AI282)</f>
        <v>#DIV/0!</v>
      </c>
      <c r="AJ95" s="53" t="e">
        <f>AJ94+ATM_Conf!$C$5*(P94-O94)/(P282*AJ282)</f>
        <v>#DIV/0!</v>
      </c>
      <c r="AK95" s="53" t="e">
        <f>AK94+ATM_Conf!$C$5*(Q94-P94)/(Q282*AK282)</f>
        <v>#DIV/0!</v>
      </c>
      <c r="AL95" s="53" t="e">
        <f>AL94+ATM_Conf!$C$5*(R94-Q94)/(R282*AL282)</f>
        <v>#DIV/0!</v>
      </c>
      <c r="AM95" s="53" t="e">
        <f>AM94+ATM_Conf!$C$5*(S94-R94)/(S282*AM282)</f>
        <v>#DIV/0!</v>
      </c>
      <c r="AN95" s="53" t="e">
        <f>AN94+ATM_Conf!$C$5*(T94-S94)/(T282*AN282)</f>
        <v>#DIV/0!</v>
      </c>
      <c r="AO95" s="53" t="e">
        <f>AO94+ATM_Conf!$C$5*(U94-T94)/(U282*AO282)</f>
        <v>#DIV/0!</v>
      </c>
      <c r="AP95" s="43" t="e">
        <f>AP94+(ATM_Conf!$C$5/ATM_Conf!$C$8)*(BJ95*EXP(-(1/CX95)*(V95/CD95)^CX95)-AP94)-(ATM_Conf!$C$5*ATM_Conf!$C$9)/(V282*ATM_Conf!$C$8)*(Nodes!BO94-V94)/(V94+ATM_Conf!$C$10)</f>
        <v>#DIV/0!</v>
      </c>
      <c r="AQ95" s="43" t="e">
        <f>AQ94+(ATM_Conf!$C$5/ATM_Conf!$C$8)*(BK95*EXP(-(1/CY95)*(W95/CE95)^CY95)-AQ94)+(ATM_Conf!$C$5/W282)*AQ94*(AP94-AQ94)-(ATM_Conf!$C$5*ATM_Conf!$C$9)/(W282*ATM_Conf!$C$8)*(X94-W94)/(W94+ATM_Conf!$C$10)</f>
        <v>#DIV/0!</v>
      </c>
      <c r="AR95" s="43" t="e">
        <f>AR94+(ATM_Conf!$C$5/ATM_Conf!$C$8)*(BL95*EXP(-(1/CZ95)*(X95/CF95)^CZ95)-AR94)+(ATM_Conf!$C$5/X282)*AR94*(Nodes!BC94-AR94)-(ATM_Conf!$C$5*ATM_Conf!$C$9)/(X282*ATM_Conf!$C$8)*(Nodes!BQ94-X94)/(X94+ATM_Conf!$C$10)</f>
        <v>#DIV/0!</v>
      </c>
      <c r="AS95" s="43" t="e">
        <f>AS94+(ATM_Conf!$C$5/ATM_Conf!$C$8)*(BM95*EXP(-(1/DA95)*(Y95/CG95)^DA95)-AS94)+(ATM_Conf!$C$5/Y282)*AS94*(AR94-AS94)-(ATM_Conf!$C$5*ATM_Conf!$C$9)/(Y282*ATM_Conf!$C$8)*(Z94-Y94)/(Y94+ATM_Conf!$C$10)</f>
        <v>#DIV/0!</v>
      </c>
      <c r="AT95" s="43" t="e">
        <f>AT94+(ATM_Conf!$C$5/ATM_Conf!$C$8)*(BN95*EXP(-(1/DB95)*(Z95/CH95)^DB95)-AT94)+(ATM_Conf!$C$5/Z282)*AT94*(Nodes!BE94-AT94)-(ATM_Conf!$C$5*ATM_Conf!$C$9)/(Z282*ATM_Conf!$C$8)*(Nodes!BS94-Z94)/(Z94+ATM_Conf!$C$10)</f>
        <v>#DIV/0!</v>
      </c>
      <c r="AU95" s="43" t="e">
        <f>AU94+(ATM_Conf!$C$5/ATM_Conf!$C$8)*(BO95*EXP(-(1/DC95)*(AA95/CI95)^DC95)-AU94)+(ATM_Conf!$C$5/AA282)*AU94*(Nodes!BF94-AU94)-(ATM_Conf!$C$5*ATM_Conf!$C$9)/(AA282*ATM_Conf!$C$8)*(Nodes!BV94-AA94)/(AA94+ATM_Conf!$C$10)</f>
        <v>#DIV/0!</v>
      </c>
      <c r="AV95" s="43" t="e">
        <f>AV94+(ATM_Conf!$C$5/ATM_Conf!$C$8)*(BP95*EXP(-(1/DD95)*(AB95/CJ95)^DD95)-AV94)+(ATM_Conf!$C$5/AB282)*AV94*(AU94-AV94)-(ATM_Conf!$C$5*ATM_Conf!$C$9)/(AB282*ATM_Conf!$C$8)*(AC94-AB94)/(AB94+ATM_Conf!$C$10)</f>
        <v>#DIV/0!</v>
      </c>
      <c r="AW95" s="43" t="e">
        <f>AW94+(ATM_Conf!$C$5/ATM_Conf!$C$8)*(BQ95*EXP(-(1/DE95)*(AC95/CK95)^DE95)-AW94)+(ATM_Conf!$C$5/AC282)*AW94*(AV94-AW94)-(ATM_Conf!$C$5*ATM_Conf!$C$9)/(AC282*ATM_Conf!$C$8)*(AD94-AC94)/(AC94+ATM_Conf!$C$10)</f>
        <v>#DIV/0!</v>
      </c>
      <c r="AX95" s="43" t="e">
        <f>AX94+(ATM_Conf!$C$5/ATM_Conf!$C$8)*(BR95*EXP(-(1/DF95)*(AD95/CL95)^DF95)-AX94)+(ATM_Conf!$C$5/AD282)*AX94*(Nodes!BG94-AX94)-(ATM_Conf!$C$5*ATM_Conf!$C$9)/(AD282*ATM_Conf!$C$8)*(Nodes!BU94-AD94)/(AD94+ATM_Conf!$C$10)</f>
        <v>#DIV/0!</v>
      </c>
      <c r="AY95" s="43" t="e">
        <f>AY94+(ATM_Conf!$C$5/ATM_Conf!$C$8)*(BS95*EXP(-(1/DG95)*(AE95/CM95)^DG95)-AY94)+(ATM_Conf!$C$5/AE282)*AY94*(Nodes!BF94-AY94)</f>
        <v>#DIV/0!</v>
      </c>
      <c r="AZ95" s="43" t="e">
        <f>AZ94+(ATM_Conf!$C$5/ATM_Conf!$C$8)*(BT95*EXP(-(1/DH95)*(AF95/CN95)^DH95)-AZ94)-(ATM_Conf!$C$5*ATM_Conf!$C$9)/(AF282*ATM_Conf!$C$8)*(Nodes!BV94-AF94)/(AF94+ATM_Conf!$C$10)</f>
        <v>#DIV/0!</v>
      </c>
      <c r="BA95" s="43" t="e">
        <f>BA94+(ATM_Conf!$C$5/ATM_Conf!$C$8)*(BU95*EXP(-(1/DI95)*(AG95/CO95)^DI95)-BA94)+(ATM_Conf!$C$5/AG282)*BA94*(Nodes!BI94-BA94)-(ATM_Conf!$C$5*ATM_Conf!$C$9)/(AG282*ATM_Conf!$C$8)*(Nodes!BW94-AG94)/(AG94+ATM_Conf!$C$10)</f>
        <v>#DIV/0!</v>
      </c>
      <c r="BB95" s="43" t="e">
        <f>BB94+(ATM_Conf!$C$5/ATM_Conf!$C$8)*(BV95*EXP(-(1/DJ95)*(AH95/CP95)^DJ95)-BB94)+(ATM_Conf!$C$5/AH282)*BB94*(Nodes!BJ94-BB94)-(ATM_Conf!$C$5*ATM_Conf!$C$9)/(AH282*ATM_Conf!$C$8)*(AI94-AH94)/(AH94+ATM_Conf!$C$10)</f>
        <v>#DIV/0!</v>
      </c>
      <c r="BC95" s="43" t="e">
        <f>BC94+(ATM_Conf!$C$5/ATM_Conf!$C$8)*(BW95*EXP(-(1/DK95)*(AI95/CQ95)^DK95)-BC94)+(ATM_Conf!$C$5/AI282)*BC94*(BB94-BC94)-(ATM_Conf!$C$5*ATM_Conf!$C$9)/(AI282*ATM_Conf!$C$8)*(AJ94-AI94)/(AI94+ATM_Conf!$C$10)</f>
        <v>#DIV/0!</v>
      </c>
      <c r="BD95" s="43" t="e">
        <f>BD94+(ATM_Conf!$C$5/ATM_Conf!$C$8)*(BX95*EXP(-(1/DL95)*(AJ95/CR95)^DL95)-BD94)+(ATM_Conf!$C$5/AJ282)*BD94*(BC94-BD94)-(ATM_Conf!$C$5*ATM_Conf!$C$9)/(AJ282*ATM_Conf!$C$8)*(Nodes!BX94-AJ94)/(AJ94+ATM_Conf!$C$10)</f>
        <v>#DIV/0!</v>
      </c>
      <c r="BE95" s="43" t="e">
        <f>BE94+(ATM_Conf!$C$5/ATM_Conf!$C$8)*(BY95*EXP(-(1/DM95)*(AK95/CS95)^DM95)-BE94)+(ATM_Conf!$C$5/AK282)*BE94*(Nodes!BK94-BE94)-(ATM_Conf!$C$5*ATM_Conf!$C$9)/(AK282*ATM_Conf!$C$8)*(Nodes!BY94-AK94)/(AK94+ATM_Conf!$C$10)</f>
        <v>#DIV/0!</v>
      </c>
      <c r="BF95" s="43" t="e">
        <f>BF94+(ATM_Conf!$C$5/ATM_Conf!$C$8)*(BZ95*EXP(-(1/DN95)*(AL95/CT95)^DN95)-BF94)+(ATM_Conf!$C$5/AL282)*BF94*(BE94-BF94)-(ATM_Conf!$C$5*ATM_Conf!$C$9)/(AL282*ATM_Conf!$C$8)*(AM94-AL94)/(AL94+ATM_Conf!$C$10)</f>
        <v>#DIV/0!</v>
      </c>
      <c r="BG95" s="43" t="e">
        <f>BG94+(ATM_Conf!$C$5/ATM_Conf!$C$8)*(CA95*EXP(-(1/DO95)*(AM95/CU95)^DO95)-BG94)+(ATM_Conf!$C$5/AM282)*BG94*(Nodes!BM94-BG94)-(ATM_Conf!$C$5*ATM_Conf!$C$9)/(AM282*ATM_Conf!$C$8)*(Nodes!CA94-AM94)/(AM94+ATM_Conf!$C$10)</f>
        <v>#DIV/0!</v>
      </c>
      <c r="BH95" s="43" t="e">
        <f>BH94+(ATM_Conf!$C$5/ATM_Conf!$C$8)*(CB95*EXP(-(1/DP95)*(AN95/CV95)^DP95)-BH94)+(ATM_Conf!$C$5/AN282)*BH94*(BG94-BH94)-(ATM_Conf!$C$5*ATM_Conf!$C$9)/(AN282*ATM_Conf!$C$8)*(AO94-AN94)/(AN94+ATM_Conf!$C$10)</f>
        <v>#DIV/0!</v>
      </c>
      <c r="BI95" s="43" t="e">
        <f>BI94+(ATM_Conf!$C$5/ATM_Conf!$C$8)*(CC95*EXP(-(1/DQ95)*(AO95/CW95)^DQ95)-BI94)+(ATM_Conf!$C$5/AO282)*BI94*(BH94-BI94)</f>
        <v>#DIV/0!</v>
      </c>
      <c r="BJ95" s="53"/>
      <c r="BK95" s="53"/>
      <c r="BL95" s="53"/>
      <c r="BM95" s="53"/>
      <c r="BN95" s="53"/>
      <c r="BO95" s="53"/>
      <c r="BP95" s="53"/>
      <c r="BQ95" s="53"/>
      <c r="BR95" s="53"/>
      <c r="BS95" s="53"/>
      <c r="BT95" s="53"/>
      <c r="BU95" s="53"/>
      <c r="BV95" s="53"/>
      <c r="BW95" s="53"/>
      <c r="BX95" s="53"/>
      <c r="BY95" s="53"/>
      <c r="BZ95" s="53"/>
      <c r="CA95" s="53"/>
      <c r="CB95" s="53"/>
      <c r="CC95" s="5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53"/>
      <c r="CY95" s="53"/>
      <c r="CZ95" s="53"/>
      <c r="DA95" s="53"/>
      <c r="DB95" s="53"/>
      <c r="DC95" s="53"/>
      <c r="DD95" s="53"/>
      <c r="DE95" s="53"/>
      <c r="DF95" s="53"/>
      <c r="DG95" s="53"/>
      <c r="DH95" s="53"/>
      <c r="DI95" s="53"/>
      <c r="DJ95" s="53"/>
      <c r="DK95" s="53"/>
      <c r="DL95" s="53"/>
      <c r="DM95" s="53"/>
      <c r="DN95" s="53"/>
      <c r="DO95" s="53"/>
      <c r="DP95" s="53"/>
      <c r="DQ95" s="53"/>
      <c r="DR95" s="43">
        <f t="shared" si="64"/>
        <v>0</v>
      </c>
      <c r="DS95" s="43">
        <f t="shared" si="63"/>
        <v>0</v>
      </c>
      <c r="DT95" s="43">
        <f t="shared" si="63"/>
        <v>0</v>
      </c>
      <c r="DU95" s="43">
        <f t="shared" si="63"/>
        <v>0</v>
      </c>
      <c r="DV95" s="43">
        <f t="shared" si="63"/>
        <v>0</v>
      </c>
      <c r="DW95" s="43">
        <f t="shared" si="63"/>
        <v>0</v>
      </c>
      <c r="DX95" s="43">
        <f t="shared" si="63"/>
        <v>0</v>
      </c>
      <c r="DY95" s="43">
        <f t="shared" si="63"/>
        <v>0</v>
      </c>
      <c r="DZ95" s="43">
        <f t="shared" si="63"/>
        <v>0</v>
      </c>
      <c r="EA95" s="43">
        <f t="shared" si="63"/>
        <v>0</v>
      </c>
      <c r="EB95" s="43">
        <f t="shared" si="63"/>
        <v>0</v>
      </c>
      <c r="EC95" s="43">
        <f t="shared" si="63"/>
        <v>0</v>
      </c>
      <c r="ED95" s="43">
        <f t="shared" si="63"/>
        <v>0</v>
      </c>
      <c r="EE95" s="43">
        <f t="shared" si="63"/>
        <v>0</v>
      </c>
      <c r="EF95" s="43">
        <f t="shared" si="63"/>
        <v>0</v>
      </c>
      <c r="EG95" s="43">
        <f t="shared" si="63"/>
        <v>0</v>
      </c>
      <c r="EH95" s="43">
        <f t="shared" si="63"/>
        <v>0</v>
      </c>
      <c r="EI95" s="43">
        <f t="shared" si="63"/>
        <v>0</v>
      </c>
      <c r="EJ95" s="43">
        <f t="shared" si="63"/>
        <v>0</v>
      </c>
      <c r="EK95" s="43">
        <f t="shared" si="63"/>
        <v>0</v>
      </c>
      <c r="EL95" s="47"/>
      <c r="EM95" s="47"/>
      <c r="EN95" s="47"/>
      <c r="EO95" s="47"/>
      <c r="EP95" s="47"/>
      <c r="EQ95" s="47"/>
      <c r="ER95" s="47"/>
      <c r="ES95" s="47"/>
      <c r="ET95" s="47"/>
      <c r="EU95" s="47"/>
      <c r="EV95" s="47"/>
      <c r="EW95" s="47"/>
      <c r="EX95" s="47"/>
      <c r="EY95" s="47"/>
      <c r="EZ95" s="47"/>
      <c r="FA95" s="47"/>
      <c r="FB95" s="47"/>
      <c r="FC95" s="47"/>
      <c r="FD95" s="47"/>
      <c r="FE95" s="47"/>
    </row>
    <row r="96" spans="1:161" ht="14.25" x14ac:dyDescent="0.15">
      <c r="A96" s="46"/>
      <c r="B96" s="43" t="e">
        <f t="shared" si="39"/>
        <v>#DIV/0!</v>
      </c>
      <c r="C96" s="43" t="e">
        <f t="shared" si="40"/>
        <v>#DIV/0!</v>
      </c>
      <c r="D96" s="43" t="e">
        <f t="shared" si="41"/>
        <v>#DIV/0!</v>
      </c>
      <c r="E96" s="43" t="e">
        <f t="shared" si="42"/>
        <v>#DIV/0!</v>
      </c>
      <c r="F96" s="43" t="e">
        <f t="shared" si="43"/>
        <v>#DIV/0!</v>
      </c>
      <c r="G96" s="43" t="e">
        <f t="shared" si="44"/>
        <v>#DIV/0!</v>
      </c>
      <c r="H96" s="43" t="e">
        <f t="shared" si="45"/>
        <v>#DIV/0!</v>
      </c>
      <c r="I96" s="43" t="e">
        <f t="shared" si="46"/>
        <v>#DIV/0!</v>
      </c>
      <c r="J96" s="43" t="e">
        <f t="shared" si="47"/>
        <v>#DIV/0!</v>
      </c>
      <c r="K96" s="43" t="e">
        <f t="shared" si="48"/>
        <v>#DIV/0!</v>
      </c>
      <c r="L96" s="43" t="e">
        <f t="shared" si="49"/>
        <v>#DIV/0!</v>
      </c>
      <c r="M96" s="43" t="e">
        <f t="shared" si="50"/>
        <v>#DIV/0!</v>
      </c>
      <c r="N96" s="43" t="e">
        <f t="shared" si="51"/>
        <v>#DIV/0!</v>
      </c>
      <c r="O96" s="43" t="e">
        <f t="shared" si="52"/>
        <v>#DIV/0!</v>
      </c>
      <c r="P96" s="43" t="e">
        <f t="shared" si="53"/>
        <v>#DIV/0!</v>
      </c>
      <c r="Q96" s="43" t="e">
        <f t="shared" si="54"/>
        <v>#DIV/0!</v>
      </c>
      <c r="R96" s="43" t="e">
        <f t="shared" si="55"/>
        <v>#DIV/0!</v>
      </c>
      <c r="S96" s="43" t="e">
        <f t="shared" si="56"/>
        <v>#DIV/0!</v>
      </c>
      <c r="T96" s="43" t="e">
        <f t="shared" si="57"/>
        <v>#DIV/0!</v>
      </c>
      <c r="U96" s="43" t="e">
        <f t="shared" si="58"/>
        <v>#DIV/0!</v>
      </c>
      <c r="V96" s="53" t="e">
        <f>V95+ATM_Conf!$C$5*(B95)/(B283*V283)</f>
        <v>#DIV/0!</v>
      </c>
      <c r="W96" s="53" t="e">
        <f>W95+ATM_Conf!$C$5*(C95-B95)/(C283*W283)</f>
        <v>#DIV/0!</v>
      </c>
      <c r="X96" s="53" t="e">
        <f>X95+ATM_Conf!$C$5*(D95-C95)/(D283*X283)</f>
        <v>#DIV/0!</v>
      </c>
      <c r="Y96" s="53" t="e">
        <f>Y95+ATM_Conf!$C$5*(E95-D95)/(E283*Y283)</f>
        <v>#DIV/0!</v>
      </c>
      <c r="Z96" s="53" t="e">
        <f>Z95+ATM_Conf!$C$5*(F95-E95)/(F283*Z283)</f>
        <v>#DIV/0!</v>
      </c>
      <c r="AA96" s="53" t="e">
        <f>AA95+ATM_Conf!$C$5*(G95-F95)/(G283*AA283)</f>
        <v>#DIV/0!</v>
      </c>
      <c r="AB96" s="53" t="e">
        <f>AB95+ATM_Conf!$C$5*(H95-G95)/(H283*AB283)</f>
        <v>#DIV/0!</v>
      </c>
      <c r="AC96" s="53" t="e">
        <f>AC95+ATM_Conf!$C$5*(I95-H95)/(I283*AC283)</f>
        <v>#DIV/0!</v>
      </c>
      <c r="AD96" s="53" t="e">
        <f>AD95+ATM_Conf!$C$5*(J95-I95)/(J283*AD283)</f>
        <v>#DIV/0!</v>
      </c>
      <c r="AE96" s="53" t="e">
        <f>AE95+ATM_Conf!$C$5*(K95-J95)/(K283*AE283)</f>
        <v>#DIV/0!</v>
      </c>
      <c r="AF96" s="53" t="e">
        <f>AF95+ATM_Conf!$C$5*(L95)/(L283*AF283)</f>
        <v>#DIV/0!</v>
      </c>
      <c r="AG96" s="53" t="e">
        <f>AG95+ATM_Conf!$C$5*(M95-L95)/(M283*AG283)</f>
        <v>#DIV/0!</v>
      </c>
      <c r="AH96" s="53" t="e">
        <f>AH95+ATM_Conf!$C$5*(N95-M95)/(N283*AH283)</f>
        <v>#DIV/0!</v>
      </c>
      <c r="AI96" s="53" t="e">
        <f>AI95+ATM_Conf!$C$5*(O95-N95)/(O283*AI283)</f>
        <v>#DIV/0!</v>
      </c>
      <c r="AJ96" s="53" t="e">
        <f>AJ95+ATM_Conf!$C$5*(P95-O95)/(P283*AJ283)</f>
        <v>#DIV/0!</v>
      </c>
      <c r="AK96" s="53" t="e">
        <f>AK95+ATM_Conf!$C$5*(Q95-P95)/(Q283*AK283)</f>
        <v>#DIV/0!</v>
      </c>
      <c r="AL96" s="53" t="e">
        <f>AL95+ATM_Conf!$C$5*(R95-Q95)/(R283*AL283)</f>
        <v>#DIV/0!</v>
      </c>
      <c r="AM96" s="53" t="e">
        <f>AM95+ATM_Conf!$C$5*(S95-R95)/(S283*AM283)</f>
        <v>#DIV/0!</v>
      </c>
      <c r="AN96" s="53" t="e">
        <f>AN95+ATM_Conf!$C$5*(T95-S95)/(T283*AN283)</f>
        <v>#DIV/0!</v>
      </c>
      <c r="AO96" s="53" t="e">
        <f>AO95+ATM_Conf!$C$5*(U95-T95)/(U283*AO283)</f>
        <v>#DIV/0!</v>
      </c>
      <c r="AP96" s="43" t="e">
        <f>AP95+(ATM_Conf!$C$5/ATM_Conf!$C$8)*(BJ96*EXP(-(1/CX96)*(V96/CD96)^CX96)-AP95)-(ATM_Conf!$C$5*ATM_Conf!$C$9)/(V283*ATM_Conf!$C$8)*(Nodes!BO95-V95)/(V95+ATM_Conf!$C$10)</f>
        <v>#DIV/0!</v>
      </c>
      <c r="AQ96" s="43" t="e">
        <f>AQ95+(ATM_Conf!$C$5/ATM_Conf!$C$8)*(BK96*EXP(-(1/CY96)*(W96/CE96)^CY96)-AQ95)+(ATM_Conf!$C$5/W283)*AQ95*(AP95-AQ95)-(ATM_Conf!$C$5*ATM_Conf!$C$9)/(W283*ATM_Conf!$C$8)*(X95-W95)/(W95+ATM_Conf!$C$10)</f>
        <v>#DIV/0!</v>
      </c>
      <c r="AR96" s="43" t="e">
        <f>AR95+(ATM_Conf!$C$5/ATM_Conf!$C$8)*(BL96*EXP(-(1/CZ96)*(X96/CF96)^CZ96)-AR95)+(ATM_Conf!$C$5/X283)*AR95*(Nodes!BC95-AR95)-(ATM_Conf!$C$5*ATM_Conf!$C$9)/(X283*ATM_Conf!$C$8)*(Nodes!BQ95-X95)/(X95+ATM_Conf!$C$10)</f>
        <v>#DIV/0!</v>
      </c>
      <c r="AS96" s="43" t="e">
        <f>AS95+(ATM_Conf!$C$5/ATM_Conf!$C$8)*(BM96*EXP(-(1/DA96)*(Y96/CG96)^DA96)-AS95)+(ATM_Conf!$C$5/Y283)*AS95*(AR95-AS95)-(ATM_Conf!$C$5*ATM_Conf!$C$9)/(Y283*ATM_Conf!$C$8)*(Z95-Y95)/(Y95+ATM_Conf!$C$10)</f>
        <v>#DIV/0!</v>
      </c>
      <c r="AT96" s="43" t="e">
        <f>AT95+(ATM_Conf!$C$5/ATM_Conf!$C$8)*(BN96*EXP(-(1/DB96)*(Z96/CH96)^DB96)-AT95)+(ATM_Conf!$C$5/Z283)*AT95*(Nodes!BE95-AT95)-(ATM_Conf!$C$5*ATM_Conf!$C$9)/(Z283*ATM_Conf!$C$8)*(Nodes!BS95-Z95)/(Z95+ATM_Conf!$C$10)</f>
        <v>#DIV/0!</v>
      </c>
      <c r="AU96" s="43" t="e">
        <f>AU95+(ATM_Conf!$C$5/ATM_Conf!$C$8)*(BO96*EXP(-(1/DC96)*(AA96/CI96)^DC96)-AU95)+(ATM_Conf!$C$5/AA283)*AU95*(Nodes!BF95-AU95)-(ATM_Conf!$C$5*ATM_Conf!$C$9)/(AA283*ATM_Conf!$C$8)*(Nodes!BV95-AA95)/(AA95+ATM_Conf!$C$10)</f>
        <v>#DIV/0!</v>
      </c>
      <c r="AV96" s="43" t="e">
        <f>AV95+(ATM_Conf!$C$5/ATM_Conf!$C$8)*(BP96*EXP(-(1/DD96)*(AB96/CJ96)^DD96)-AV95)+(ATM_Conf!$C$5/AB283)*AV95*(AU95-AV95)-(ATM_Conf!$C$5*ATM_Conf!$C$9)/(AB283*ATM_Conf!$C$8)*(AC95-AB95)/(AB95+ATM_Conf!$C$10)</f>
        <v>#DIV/0!</v>
      </c>
      <c r="AW96" s="43" t="e">
        <f>AW95+(ATM_Conf!$C$5/ATM_Conf!$C$8)*(BQ96*EXP(-(1/DE96)*(AC96/CK96)^DE96)-AW95)+(ATM_Conf!$C$5/AC283)*AW95*(AV95-AW95)-(ATM_Conf!$C$5*ATM_Conf!$C$9)/(AC283*ATM_Conf!$C$8)*(AD95-AC95)/(AC95+ATM_Conf!$C$10)</f>
        <v>#DIV/0!</v>
      </c>
      <c r="AX96" s="43" t="e">
        <f>AX95+(ATM_Conf!$C$5/ATM_Conf!$C$8)*(BR96*EXP(-(1/DF96)*(AD96/CL96)^DF96)-AX95)+(ATM_Conf!$C$5/AD283)*AX95*(Nodes!BG95-AX95)-(ATM_Conf!$C$5*ATM_Conf!$C$9)/(AD283*ATM_Conf!$C$8)*(Nodes!BU95-AD95)/(AD95+ATM_Conf!$C$10)</f>
        <v>#DIV/0!</v>
      </c>
      <c r="AY96" s="43" t="e">
        <f>AY95+(ATM_Conf!$C$5/ATM_Conf!$C$8)*(BS96*EXP(-(1/DG96)*(AE96/CM96)^DG96)-AY95)+(ATM_Conf!$C$5/AE283)*AY95*(Nodes!BF95-AY95)</f>
        <v>#DIV/0!</v>
      </c>
      <c r="AZ96" s="43" t="e">
        <f>AZ95+(ATM_Conf!$C$5/ATM_Conf!$C$8)*(BT96*EXP(-(1/DH96)*(AF96/CN96)^DH96)-AZ95)-(ATM_Conf!$C$5*ATM_Conf!$C$9)/(AF283*ATM_Conf!$C$8)*(Nodes!BV95-AF95)/(AF95+ATM_Conf!$C$10)</f>
        <v>#DIV/0!</v>
      </c>
      <c r="BA96" s="43" t="e">
        <f>BA95+(ATM_Conf!$C$5/ATM_Conf!$C$8)*(BU96*EXP(-(1/DI96)*(AG96/CO96)^DI96)-BA95)+(ATM_Conf!$C$5/AG283)*BA95*(Nodes!BI95-BA95)-(ATM_Conf!$C$5*ATM_Conf!$C$9)/(AG283*ATM_Conf!$C$8)*(Nodes!BW95-AG95)/(AG95+ATM_Conf!$C$10)</f>
        <v>#DIV/0!</v>
      </c>
      <c r="BB96" s="43" t="e">
        <f>BB95+(ATM_Conf!$C$5/ATM_Conf!$C$8)*(BV96*EXP(-(1/DJ96)*(AH96/CP96)^DJ96)-BB95)+(ATM_Conf!$C$5/AH283)*BB95*(Nodes!BJ95-BB95)-(ATM_Conf!$C$5*ATM_Conf!$C$9)/(AH283*ATM_Conf!$C$8)*(AI95-AH95)/(AH95+ATM_Conf!$C$10)</f>
        <v>#DIV/0!</v>
      </c>
      <c r="BC96" s="43" t="e">
        <f>BC95+(ATM_Conf!$C$5/ATM_Conf!$C$8)*(BW96*EXP(-(1/DK96)*(AI96/CQ96)^DK96)-BC95)+(ATM_Conf!$C$5/AI283)*BC95*(BB95-BC95)-(ATM_Conf!$C$5*ATM_Conf!$C$9)/(AI283*ATM_Conf!$C$8)*(AJ95-AI95)/(AI95+ATM_Conf!$C$10)</f>
        <v>#DIV/0!</v>
      </c>
      <c r="BD96" s="43" t="e">
        <f>BD95+(ATM_Conf!$C$5/ATM_Conf!$C$8)*(BX96*EXP(-(1/DL96)*(AJ96/CR96)^DL96)-BD95)+(ATM_Conf!$C$5/AJ283)*BD95*(BC95-BD95)-(ATM_Conf!$C$5*ATM_Conf!$C$9)/(AJ283*ATM_Conf!$C$8)*(Nodes!BX95-AJ95)/(AJ95+ATM_Conf!$C$10)</f>
        <v>#DIV/0!</v>
      </c>
      <c r="BE96" s="43" t="e">
        <f>BE95+(ATM_Conf!$C$5/ATM_Conf!$C$8)*(BY96*EXP(-(1/DM96)*(AK96/CS96)^DM96)-BE95)+(ATM_Conf!$C$5/AK283)*BE95*(Nodes!BK95-BE95)-(ATM_Conf!$C$5*ATM_Conf!$C$9)/(AK283*ATM_Conf!$C$8)*(Nodes!BY95-AK95)/(AK95+ATM_Conf!$C$10)</f>
        <v>#DIV/0!</v>
      </c>
      <c r="BF96" s="43" t="e">
        <f>BF95+(ATM_Conf!$C$5/ATM_Conf!$C$8)*(BZ96*EXP(-(1/DN96)*(AL96/CT96)^DN96)-BF95)+(ATM_Conf!$C$5/AL283)*BF95*(BE95-BF95)-(ATM_Conf!$C$5*ATM_Conf!$C$9)/(AL283*ATM_Conf!$C$8)*(AM95-AL95)/(AL95+ATM_Conf!$C$10)</f>
        <v>#DIV/0!</v>
      </c>
      <c r="BG96" s="43" t="e">
        <f>BG95+(ATM_Conf!$C$5/ATM_Conf!$C$8)*(CA96*EXP(-(1/DO96)*(AM96/CU96)^DO96)-BG95)+(ATM_Conf!$C$5/AM283)*BG95*(Nodes!BM95-BG95)-(ATM_Conf!$C$5*ATM_Conf!$C$9)/(AM283*ATM_Conf!$C$8)*(Nodes!CA95-AM95)/(AM95+ATM_Conf!$C$10)</f>
        <v>#DIV/0!</v>
      </c>
      <c r="BH96" s="43" t="e">
        <f>BH95+(ATM_Conf!$C$5/ATM_Conf!$C$8)*(CB96*EXP(-(1/DP96)*(AN96/CV96)^DP96)-BH95)+(ATM_Conf!$C$5/AN283)*BH95*(BG95-BH95)-(ATM_Conf!$C$5*ATM_Conf!$C$9)/(AN283*ATM_Conf!$C$8)*(AO95-AN95)/(AN95+ATM_Conf!$C$10)</f>
        <v>#DIV/0!</v>
      </c>
      <c r="BI96" s="43" t="e">
        <f>BI95+(ATM_Conf!$C$5/ATM_Conf!$C$8)*(CC96*EXP(-(1/DQ96)*(AO96/CW96)^DQ96)-BI95)+(ATM_Conf!$C$5/AO283)*BI95*(BH95-BI95)</f>
        <v>#DIV/0!</v>
      </c>
      <c r="BJ96" s="53"/>
      <c r="BK96" s="53"/>
      <c r="BL96" s="53"/>
      <c r="BM96" s="53"/>
      <c r="BN96" s="53"/>
      <c r="BO96" s="53"/>
      <c r="BP96" s="53"/>
      <c r="BQ96" s="53"/>
      <c r="BR96" s="53"/>
      <c r="BS96" s="53"/>
      <c r="BT96" s="53"/>
      <c r="BU96" s="53"/>
      <c r="BV96" s="53"/>
      <c r="BW96" s="53"/>
      <c r="BX96" s="53"/>
      <c r="BY96" s="53"/>
      <c r="BZ96" s="53"/>
      <c r="CA96" s="53"/>
      <c r="CB96" s="53"/>
      <c r="CC96" s="5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53"/>
      <c r="CY96" s="53"/>
      <c r="CZ96" s="53"/>
      <c r="DA96" s="53"/>
      <c r="DB96" s="53"/>
      <c r="DC96" s="53"/>
      <c r="DD96" s="53"/>
      <c r="DE96" s="53"/>
      <c r="DF96" s="53"/>
      <c r="DG96" s="53"/>
      <c r="DH96" s="53"/>
      <c r="DI96" s="53"/>
      <c r="DJ96" s="53"/>
      <c r="DK96" s="53"/>
      <c r="DL96" s="53"/>
      <c r="DM96" s="53"/>
      <c r="DN96" s="53"/>
      <c r="DO96" s="53"/>
      <c r="DP96" s="53"/>
      <c r="DQ96" s="53"/>
      <c r="DR96" s="43">
        <f t="shared" si="64"/>
        <v>0</v>
      </c>
      <c r="DS96" s="43">
        <f t="shared" si="63"/>
        <v>0</v>
      </c>
      <c r="DT96" s="43">
        <f t="shared" si="63"/>
        <v>0</v>
      </c>
      <c r="DU96" s="43">
        <f t="shared" si="63"/>
        <v>0</v>
      </c>
      <c r="DV96" s="43">
        <f t="shared" si="63"/>
        <v>0</v>
      </c>
      <c r="DW96" s="43">
        <f t="shared" si="63"/>
        <v>0</v>
      </c>
      <c r="DX96" s="43">
        <f t="shared" si="63"/>
        <v>0</v>
      </c>
      <c r="DY96" s="43">
        <f t="shared" si="63"/>
        <v>0</v>
      </c>
      <c r="DZ96" s="43">
        <f t="shared" si="63"/>
        <v>0</v>
      </c>
      <c r="EA96" s="43">
        <f t="shared" si="63"/>
        <v>0</v>
      </c>
      <c r="EB96" s="43">
        <f t="shared" si="63"/>
        <v>0</v>
      </c>
      <c r="EC96" s="43">
        <f t="shared" si="63"/>
        <v>0</v>
      </c>
      <c r="ED96" s="43">
        <f t="shared" si="63"/>
        <v>0</v>
      </c>
      <c r="EE96" s="43">
        <f t="shared" si="63"/>
        <v>0</v>
      </c>
      <c r="EF96" s="43">
        <f t="shared" si="63"/>
        <v>0</v>
      </c>
      <c r="EG96" s="43">
        <f t="shared" si="63"/>
        <v>0</v>
      </c>
      <c r="EH96" s="43">
        <f t="shared" si="63"/>
        <v>0</v>
      </c>
      <c r="EI96" s="43">
        <f t="shared" si="63"/>
        <v>0</v>
      </c>
      <c r="EJ96" s="43">
        <f t="shared" si="63"/>
        <v>0</v>
      </c>
      <c r="EK96" s="43">
        <f t="shared" si="63"/>
        <v>0</v>
      </c>
      <c r="EL96" s="47"/>
      <c r="EM96" s="47"/>
      <c r="EN96" s="47"/>
      <c r="EO96" s="47"/>
      <c r="EP96" s="47"/>
      <c r="EQ96" s="47"/>
      <c r="ER96" s="47"/>
      <c r="ES96" s="47"/>
      <c r="ET96" s="47"/>
      <c r="EU96" s="47"/>
      <c r="EV96" s="47"/>
      <c r="EW96" s="47"/>
      <c r="EX96" s="47"/>
      <c r="EY96" s="47"/>
      <c r="EZ96" s="47"/>
      <c r="FA96" s="47"/>
      <c r="FB96" s="47"/>
      <c r="FC96" s="47"/>
      <c r="FD96" s="47"/>
      <c r="FE96" s="47"/>
    </row>
    <row r="97" spans="1:161" ht="14.25" x14ac:dyDescent="0.15">
      <c r="A97" s="46"/>
      <c r="B97" s="43" t="e">
        <f t="shared" si="39"/>
        <v>#DIV/0!</v>
      </c>
      <c r="C97" s="43" t="e">
        <f t="shared" si="40"/>
        <v>#DIV/0!</v>
      </c>
      <c r="D97" s="43" t="e">
        <f t="shared" si="41"/>
        <v>#DIV/0!</v>
      </c>
      <c r="E97" s="43" t="e">
        <f t="shared" si="42"/>
        <v>#DIV/0!</v>
      </c>
      <c r="F97" s="43" t="e">
        <f t="shared" si="43"/>
        <v>#DIV/0!</v>
      </c>
      <c r="G97" s="43" t="e">
        <f t="shared" si="44"/>
        <v>#DIV/0!</v>
      </c>
      <c r="H97" s="43" t="e">
        <f t="shared" si="45"/>
        <v>#DIV/0!</v>
      </c>
      <c r="I97" s="43" t="e">
        <f t="shared" si="46"/>
        <v>#DIV/0!</v>
      </c>
      <c r="J97" s="43" t="e">
        <f t="shared" si="47"/>
        <v>#DIV/0!</v>
      </c>
      <c r="K97" s="43" t="e">
        <f t="shared" si="48"/>
        <v>#DIV/0!</v>
      </c>
      <c r="L97" s="43" t="e">
        <f t="shared" si="49"/>
        <v>#DIV/0!</v>
      </c>
      <c r="M97" s="43" t="e">
        <f t="shared" si="50"/>
        <v>#DIV/0!</v>
      </c>
      <c r="N97" s="43" t="e">
        <f t="shared" si="51"/>
        <v>#DIV/0!</v>
      </c>
      <c r="O97" s="43" t="e">
        <f t="shared" si="52"/>
        <v>#DIV/0!</v>
      </c>
      <c r="P97" s="43" t="e">
        <f t="shared" si="53"/>
        <v>#DIV/0!</v>
      </c>
      <c r="Q97" s="43" t="e">
        <f t="shared" si="54"/>
        <v>#DIV/0!</v>
      </c>
      <c r="R97" s="43" t="e">
        <f t="shared" si="55"/>
        <v>#DIV/0!</v>
      </c>
      <c r="S97" s="43" t="e">
        <f t="shared" si="56"/>
        <v>#DIV/0!</v>
      </c>
      <c r="T97" s="43" t="e">
        <f t="shared" si="57"/>
        <v>#DIV/0!</v>
      </c>
      <c r="U97" s="43" t="e">
        <f t="shared" si="58"/>
        <v>#DIV/0!</v>
      </c>
      <c r="V97" s="53" t="e">
        <f>V96+ATM_Conf!$C$5*(B96)/(B284*V284)</f>
        <v>#DIV/0!</v>
      </c>
      <c r="W97" s="53" t="e">
        <f>W96+ATM_Conf!$C$5*(C96-B96)/(C284*W284)</f>
        <v>#DIV/0!</v>
      </c>
      <c r="X97" s="53" t="e">
        <f>X96+ATM_Conf!$C$5*(D96-C96)/(D284*X284)</f>
        <v>#DIV/0!</v>
      </c>
      <c r="Y97" s="53" t="e">
        <f>Y96+ATM_Conf!$C$5*(E96-D96)/(E284*Y284)</f>
        <v>#DIV/0!</v>
      </c>
      <c r="Z97" s="53" t="e">
        <f>Z96+ATM_Conf!$C$5*(F96-E96)/(F284*Z284)</f>
        <v>#DIV/0!</v>
      </c>
      <c r="AA97" s="53" t="e">
        <f>AA96+ATM_Conf!$C$5*(G96-F96)/(G284*AA284)</f>
        <v>#DIV/0!</v>
      </c>
      <c r="AB97" s="53" t="e">
        <f>AB96+ATM_Conf!$C$5*(H96-G96)/(H284*AB284)</f>
        <v>#DIV/0!</v>
      </c>
      <c r="AC97" s="53" t="e">
        <f>AC96+ATM_Conf!$C$5*(I96-H96)/(I284*AC284)</f>
        <v>#DIV/0!</v>
      </c>
      <c r="AD97" s="53" t="e">
        <f>AD96+ATM_Conf!$C$5*(J96-I96)/(J284*AD284)</f>
        <v>#DIV/0!</v>
      </c>
      <c r="AE97" s="53" t="e">
        <f>AE96+ATM_Conf!$C$5*(K96-J96)/(K284*AE284)</f>
        <v>#DIV/0!</v>
      </c>
      <c r="AF97" s="53" t="e">
        <f>AF96+ATM_Conf!$C$5*(L96)/(L284*AF284)</f>
        <v>#DIV/0!</v>
      </c>
      <c r="AG97" s="53" t="e">
        <f>AG96+ATM_Conf!$C$5*(M96-L96)/(M284*AG284)</f>
        <v>#DIV/0!</v>
      </c>
      <c r="AH97" s="53" t="e">
        <f>AH96+ATM_Conf!$C$5*(N96-M96)/(N284*AH284)</f>
        <v>#DIV/0!</v>
      </c>
      <c r="AI97" s="53" t="e">
        <f>AI96+ATM_Conf!$C$5*(O96-N96)/(O284*AI284)</f>
        <v>#DIV/0!</v>
      </c>
      <c r="AJ97" s="53" t="e">
        <f>AJ96+ATM_Conf!$C$5*(P96-O96)/(P284*AJ284)</f>
        <v>#DIV/0!</v>
      </c>
      <c r="AK97" s="53" t="e">
        <f>AK96+ATM_Conf!$C$5*(Q96-P96)/(Q284*AK284)</f>
        <v>#DIV/0!</v>
      </c>
      <c r="AL97" s="53" t="e">
        <f>AL96+ATM_Conf!$C$5*(R96-Q96)/(R284*AL284)</f>
        <v>#DIV/0!</v>
      </c>
      <c r="AM97" s="53" t="e">
        <f>AM96+ATM_Conf!$C$5*(S96-R96)/(S284*AM284)</f>
        <v>#DIV/0!</v>
      </c>
      <c r="AN97" s="53" t="e">
        <f>AN96+ATM_Conf!$C$5*(T96-S96)/(T284*AN284)</f>
        <v>#DIV/0!</v>
      </c>
      <c r="AO97" s="53" t="e">
        <f>AO96+ATM_Conf!$C$5*(U96-T96)/(U284*AO284)</f>
        <v>#DIV/0!</v>
      </c>
      <c r="AP97" s="43" t="e">
        <f>AP96+(ATM_Conf!$C$5/ATM_Conf!$C$8)*(BJ97*EXP(-(1/CX97)*(V97/CD97)^CX97)-AP96)-(ATM_Conf!$C$5*ATM_Conf!$C$9)/(V284*ATM_Conf!$C$8)*(Nodes!BO96-V96)/(V96+ATM_Conf!$C$10)</f>
        <v>#DIV/0!</v>
      </c>
      <c r="AQ97" s="43" t="e">
        <f>AQ96+(ATM_Conf!$C$5/ATM_Conf!$C$8)*(BK97*EXP(-(1/CY97)*(W97/CE97)^CY97)-AQ96)+(ATM_Conf!$C$5/W284)*AQ96*(AP96-AQ96)-(ATM_Conf!$C$5*ATM_Conf!$C$9)/(W284*ATM_Conf!$C$8)*(X96-W96)/(W96+ATM_Conf!$C$10)</f>
        <v>#DIV/0!</v>
      </c>
      <c r="AR97" s="43" t="e">
        <f>AR96+(ATM_Conf!$C$5/ATM_Conf!$C$8)*(BL97*EXP(-(1/CZ97)*(X97/CF97)^CZ97)-AR96)+(ATM_Conf!$C$5/X284)*AR96*(Nodes!BC96-AR96)-(ATM_Conf!$C$5*ATM_Conf!$C$9)/(X284*ATM_Conf!$C$8)*(Nodes!BQ96-X96)/(X96+ATM_Conf!$C$10)</f>
        <v>#DIV/0!</v>
      </c>
      <c r="AS97" s="43" t="e">
        <f>AS96+(ATM_Conf!$C$5/ATM_Conf!$C$8)*(BM97*EXP(-(1/DA97)*(Y97/CG97)^DA97)-AS96)+(ATM_Conf!$C$5/Y284)*AS96*(AR96-AS96)-(ATM_Conf!$C$5*ATM_Conf!$C$9)/(Y284*ATM_Conf!$C$8)*(Z96-Y96)/(Y96+ATM_Conf!$C$10)</f>
        <v>#DIV/0!</v>
      </c>
      <c r="AT97" s="43" t="e">
        <f>AT96+(ATM_Conf!$C$5/ATM_Conf!$C$8)*(BN97*EXP(-(1/DB97)*(Z97/CH97)^DB97)-AT96)+(ATM_Conf!$C$5/Z284)*AT96*(Nodes!BE96-AT96)-(ATM_Conf!$C$5*ATM_Conf!$C$9)/(Z284*ATM_Conf!$C$8)*(Nodes!BS96-Z96)/(Z96+ATM_Conf!$C$10)</f>
        <v>#DIV/0!</v>
      </c>
      <c r="AU97" s="43" t="e">
        <f>AU96+(ATM_Conf!$C$5/ATM_Conf!$C$8)*(BO97*EXP(-(1/DC97)*(AA97/CI97)^DC97)-AU96)+(ATM_Conf!$C$5/AA284)*AU96*(Nodes!BF96-AU96)-(ATM_Conf!$C$5*ATM_Conf!$C$9)/(AA284*ATM_Conf!$C$8)*(Nodes!BV96-AA96)/(AA96+ATM_Conf!$C$10)</f>
        <v>#DIV/0!</v>
      </c>
      <c r="AV97" s="43" t="e">
        <f>AV96+(ATM_Conf!$C$5/ATM_Conf!$C$8)*(BP97*EXP(-(1/DD97)*(AB97/CJ97)^DD97)-AV96)+(ATM_Conf!$C$5/AB284)*AV96*(AU96-AV96)-(ATM_Conf!$C$5*ATM_Conf!$C$9)/(AB284*ATM_Conf!$C$8)*(AC96-AB96)/(AB96+ATM_Conf!$C$10)</f>
        <v>#DIV/0!</v>
      </c>
      <c r="AW97" s="43" t="e">
        <f>AW96+(ATM_Conf!$C$5/ATM_Conf!$C$8)*(BQ97*EXP(-(1/DE97)*(AC97/CK97)^DE97)-AW96)+(ATM_Conf!$C$5/AC284)*AW96*(AV96-AW96)-(ATM_Conf!$C$5*ATM_Conf!$C$9)/(AC284*ATM_Conf!$C$8)*(AD96-AC96)/(AC96+ATM_Conf!$C$10)</f>
        <v>#DIV/0!</v>
      </c>
      <c r="AX97" s="43" t="e">
        <f>AX96+(ATM_Conf!$C$5/ATM_Conf!$C$8)*(BR97*EXP(-(1/DF97)*(AD97/CL97)^DF97)-AX96)+(ATM_Conf!$C$5/AD284)*AX96*(Nodes!BG96-AX96)-(ATM_Conf!$C$5*ATM_Conf!$C$9)/(AD284*ATM_Conf!$C$8)*(Nodes!BU96-AD96)/(AD96+ATM_Conf!$C$10)</f>
        <v>#DIV/0!</v>
      </c>
      <c r="AY97" s="43" t="e">
        <f>AY96+(ATM_Conf!$C$5/ATM_Conf!$C$8)*(BS97*EXP(-(1/DG97)*(AE97/CM97)^DG97)-AY96)+(ATM_Conf!$C$5/AE284)*AY96*(Nodes!BF96-AY96)</f>
        <v>#DIV/0!</v>
      </c>
      <c r="AZ97" s="43" t="e">
        <f>AZ96+(ATM_Conf!$C$5/ATM_Conf!$C$8)*(BT97*EXP(-(1/DH97)*(AF97/CN97)^DH97)-AZ96)-(ATM_Conf!$C$5*ATM_Conf!$C$9)/(AF284*ATM_Conf!$C$8)*(Nodes!BV96-AF96)/(AF96+ATM_Conf!$C$10)</f>
        <v>#DIV/0!</v>
      </c>
      <c r="BA97" s="43" t="e">
        <f>BA96+(ATM_Conf!$C$5/ATM_Conf!$C$8)*(BU97*EXP(-(1/DI97)*(AG97/CO97)^DI97)-BA96)+(ATM_Conf!$C$5/AG284)*BA96*(Nodes!BI96-BA96)-(ATM_Conf!$C$5*ATM_Conf!$C$9)/(AG284*ATM_Conf!$C$8)*(Nodes!BW96-AG96)/(AG96+ATM_Conf!$C$10)</f>
        <v>#DIV/0!</v>
      </c>
      <c r="BB97" s="43" t="e">
        <f>BB96+(ATM_Conf!$C$5/ATM_Conf!$C$8)*(BV97*EXP(-(1/DJ97)*(AH97/CP97)^DJ97)-BB96)+(ATM_Conf!$C$5/AH284)*BB96*(Nodes!BJ96-BB96)-(ATM_Conf!$C$5*ATM_Conf!$C$9)/(AH284*ATM_Conf!$C$8)*(AI96-AH96)/(AH96+ATM_Conf!$C$10)</f>
        <v>#DIV/0!</v>
      </c>
      <c r="BC97" s="43" t="e">
        <f>BC96+(ATM_Conf!$C$5/ATM_Conf!$C$8)*(BW97*EXP(-(1/DK97)*(AI97/CQ97)^DK97)-BC96)+(ATM_Conf!$C$5/AI284)*BC96*(BB96-BC96)-(ATM_Conf!$C$5*ATM_Conf!$C$9)/(AI284*ATM_Conf!$C$8)*(AJ96-AI96)/(AI96+ATM_Conf!$C$10)</f>
        <v>#DIV/0!</v>
      </c>
      <c r="BD97" s="43" t="e">
        <f>BD96+(ATM_Conf!$C$5/ATM_Conf!$C$8)*(BX97*EXP(-(1/DL97)*(AJ97/CR97)^DL97)-BD96)+(ATM_Conf!$C$5/AJ284)*BD96*(BC96-BD96)-(ATM_Conf!$C$5*ATM_Conf!$C$9)/(AJ284*ATM_Conf!$C$8)*(Nodes!BX96-AJ96)/(AJ96+ATM_Conf!$C$10)</f>
        <v>#DIV/0!</v>
      </c>
      <c r="BE97" s="43" t="e">
        <f>BE96+(ATM_Conf!$C$5/ATM_Conf!$C$8)*(BY97*EXP(-(1/DM97)*(AK97/CS97)^DM97)-BE96)+(ATM_Conf!$C$5/AK284)*BE96*(Nodes!BK96-BE96)-(ATM_Conf!$C$5*ATM_Conf!$C$9)/(AK284*ATM_Conf!$C$8)*(Nodes!BY96-AK96)/(AK96+ATM_Conf!$C$10)</f>
        <v>#DIV/0!</v>
      </c>
      <c r="BF97" s="43" t="e">
        <f>BF96+(ATM_Conf!$C$5/ATM_Conf!$C$8)*(BZ97*EXP(-(1/DN97)*(AL97/CT97)^DN97)-BF96)+(ATM_Conf!$C$5/AL284)*BF96*(BE96-BF96)-(ATM_Conf!$C$5*ATM_Conf!$C$9)/(AL284*ATM_Conf!$C$8)*(AM96-AL96)/(AL96+ATM_Conf!$C$10)</f>
        <v>#DIV/0!</v>
      </c>
      <c r="BG97" s="43" t="e">
        <f>BG96+(ATM_Conf!$C$5/ATM_Conf!$C$8)*(CA97*EXP(-(1/DO97)*(AM97/CU97)^DO97)-BG96)+(ATM_Conf!$C$5/AM284)*BG96*(Nodes!BM96-BG96)-(ATM_Conf!$C$5*ATM_Conf!$C$9)/(AM284*ATM_Conf!$C$8)*(Nodes!CA96-AM96)/(AM96+ATM_Conf!$C$10)</f>
        <v>#DIV/0!</v>
      </c>
      <c r="BH97" s="43" t="e">
        <f>BH96+(ATM_Conf!$C$5/ATM_Conf!$C$8)*(CB97*EXP(-(1/DP97)*(AN97/CV97)^DP97)-BH96)+(ATM_Conf!$C$5/AN284)*BH96*(BG96-BH96)-(ATM_Conf!$C$5*ATM_Conf!$C$9)/(AN284*ATM_Conf!$C$8)*(AO96-AN96)/(AN96+ATM_Conf!$C$10)</f>
        <v>#DIV/0!</v>
      </c>
      <c r="BI97" s="43" t="e">
        <f>BI96+(ATM_Conf!$C$5/ATM_Conf!$C$8)*(CC97*EXP(-(1/DQ97)*(AO97/CW97)^DQ97)-BI96)+(ATM_Conf!$C$5/AO284)*BI96*(BH96-BI96)</f>
        <v>#DIV/0!</v>
      </c>
      <c r="BJ97" s="53"/>
      <c r="BK97" s="53"/>
      <c r="BL97" s="53"/>
      <c r="BM97" s="53"/>
      <c r="BN97" s="53"/>
      <c r="BO97" s="53"/>
      <c r="BP97" s="53"/>
      <c r="BQ97" s="53"/>
      <c r="BR97" s="53"/>
      <c r="BS97" s="53"/>
      <c r="BT97" s="53"/>
      <c r="BU97" s="53"/>
      <c r="BV97" s="53"/>
      <c r="BW97" s="53"/>
      <c r="BX97" s="53"/>
      <c r="BY97" s="53"/>
      <c r="BZ97" s="53"/>
      <c r="CA97" s="53"/>
      <c r="CB97" s="53"/>
      <c r="CC97" s="5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53"/>
      <c r="CY97" s="53"/>
      <c r="CZ97" s="53"/>
      <c r="DA97" s="53"/>
      <c r="DB97" s="53"/>
      <c r="DC97" s="53"/>
      <c r="DD97" s="53"/>
      <c r="DE97" s="53"/>
      <c r="DF97" s="53"/>
      <c r="DG97" s="53"/>
      <c r="DH97" s="53"/>
      <c r="DI97" s="53"/>
      <c r="DJ97" s="53"/>
      <c r="DK97" s="53"/>
      <c r="DL97" s="53"/>
      <c r="DM97" s="53"/>
      <c r="DN97" s="53"/>
      <c r="DO97" s="53"/>
      <c r="DP97" s="53"/>
      <c r="DQ97" s="53"/>
      <c r="DR97" s="43">
        <f t="shared" si="64"/>
        <v>0</v>
      </c>
      <c r="DS97" s="43">
        <f t="shared" si="63"/>
        <v>0</v>
      </c>
      <c r="DT97" s="43">
        <f t="shared" si="63"/>
        <v>0</v>
      </c>
      <c r="DU97" s="43">
        <f t="shared" si="63"/>
        <v>0</v>
      </c>
      <c r="DV97" s="43">
        <f t="shared" si="63"/>
        <v>0</v>
      </c>
      <c r="DW97" s="43">
        <f t="shared" si="63"/>
        <v>0</v>
      </c>
      <c r="DX97" s="43">
        <f t="shared" si="63"/>
        <v>0</v>
      </c>
      <c r="DY97" s="43">
        <f t="shared" si="63"/>
        <v>0</v>
      </c>
      <c r="DZ97" s="43">
        <f t="shared" si="63"/>
        <v>0</v>
      </c>
      <c r="EA97" s="43">
        <f t="shared" si="63"/>
        <v>0</v>
      </c>
      <c r="EB97" s="43">
        <f t="shared" si="63"/>
        <v>0</v>
      </c>
      <c r="EC97" s="43">
        <f t="shared" si="63"/>
        <v>0</v>
      </c>
      <c r="ED97" s="43">
        <f t="shared" si="63"/>
        <v>0</v>
      </c>
      <c r="EE97" s="43">
        <f t="shared" si="63"/>
        <v>0</v>
      </c>
      <c r="EF97" s="43">
        <f t="shared" si="63"/>
        <v>0</v>
      </c>
      <c r="EG97" s="43">
        <f t="shared" si="63"/>
        <v>0</v>
      </c>
      <c r="EH97" s="43">
        <f t="shared" si="63"/>
        <v>0</v>
      </c>
      <c r="EI97" s="43">
        <f t="shared" si="63"/>
        <v>0</v>
      </c>
      <c r="EJ97" s="43">
        <f t="shared" si="63"/>
        <v>0</v>
      </c>
      <c r="EK97" s="43">
        <f t="shared" si="63"/>
        <v>0</v>
      </c>
      <c r="EL97" s="47"/>
      <c r="EM97" s="47"/>
      <c r="EN97" s="47"/>
      <c r="EO97" s="47"/>
      <c r="EP97" s="47"/>
      <c r="EQ97" s="47"/>
      <c r="ER97" s="47"/>
      <c r="ES97" s="47"/>
      <c r="ET97" s="47"/>
      <c r="EU97" s="47"/>
      <c r="EV97" s="47"/>
      <c r="EW97" s="47"/>
      <c r="EX97" s="47"/>
      <c r="EY97" s="47"/>
      <c r="EZ97" s="47"/>
      <c r="FA97" s="47"/>
      <c r="FB97" s="47"/>
      <c r="FC97" s="47"/>
      <c r="FD97" s="47"/>
      <c r="FE97" s="47"/>
    </row>
    <row r="98" spans="1:161" ht="14.25" x14ac:dyDescent="0.15">
      <c r="A98" s="46"/>
      <c r="B98" s="43" t="e">
        <f t="shared" si="39"/>
        <v>#DIV/0!</v>
      </c>
      <c r="C98" s="43" t="e">
        <f t="shared" si="40"/>
        <v>#DIV/0!</v>
      </c>
      <c r="D98" s="43" t="e">
        <f t="shared" si="41"/>
        <v>#DIV/0!</v>
      </c>
      <c r="E98" s="43" t="e">
        <f t="shared" si="42"/>
        <v>#DIV/0!</v>
      </c>
      <c r="F98" s="43" t="e">
        <f t="shared" si="43"/>
        <v>#DIV/0!</v>
      </c>
      <c r="G98" s="43" t="e">
        <f t="shared" si="44"/>
        <v>#DIV/0!</v>
      </c>
      <c r="H98" s="43" t="e">
        <f t="shared" si="45"/>
        <v>#DIV/0!</v>
      </c>
      <c r="I98" s="43" t="e">
        <f t="shared" si="46"/>
        <v>#DIV/0!</v>
      </c>
      <c r="J98" s="43" t="e">
        <f t="shared" si="47"/>
        <v>#DIV/0!</v>
      </c>
      <c r="K98" s="43" t="e">
        <f t="shared" si="48"/>
        <v>#DIV/0!</v>
      </c>
      <c r="L98" s="43" t="e">
        <f t="shared" si="49"/>
        <v>#DIV/0!</v>
      </c>
      <c r="M98" s="43" t="e">
        <f t="shared" si="50"/>
        <v>#DIV/0!</v>
      </c>
      <c r="N98" s="43" t="e">
        <f t="shared" si="51"/>
        <v>#DIV/0!</v>
      </c>
      <c r="O98" s="43" t="e">
        <f t="shared" si="52"/>
        <v>#DIV/0!</v>
      </c>
      <c r="P98" s="43" t="e">
        <f t="shared" si="53"/>
        <v>#DIV/0!</v>
      </c>
      <c r="Q98" s="43" t="e">
        <f t="shared" si="54"/>
        <v>#DIV/0!</v>
      </c>
      <c r="R98" s="43" t="e">
        <f t="shared" si="55"/>
        <v>#DIV/0!</v>
      </c>
      <c r="S98" s="43" t="e">
        <f t="shared" si="56"/>
        <v>#DIV/0!</v>
      </c>
      <c r="T98" s="43" t="e">
        <f t="shared" si="57"/>
        <v>#DIV/0!</v>
      </c>
      <c r="U98" s="43" t="e">
        <f t="shared" si="58"/>
        <v>#DIV/0!</v>
      </c>
      <c r="V98" s="53" t="e">
        <f>V97+ATM_Conf!$C$5*(B97)/(B285*V285)</f>
        <v>#DIV/0!</v>
      </c>
      <c r="W98" s="53" t="e">
        <f>W97+ATM_Conf!$C$5*(C97-B97)/(C285*W285)</f>
        <v>#DIV/0!</v>
      </c>
      <c r="X98" s="53" t="e">
        <f>X97+ATM_Conf!$C$5*(D97-C97)/(D285*X285)</f>
        <v>#DIV/0!</v>
      </c>
      <c r="Y98" s="53" t="e">
        <f>Y97+ATM_Conf!$C$5*(E97-D97)/(E285*Y285)</f>
        <v>#DIV/0!</v>
      </c>
      <c r="Z98" s="53" t="e">
        <f>Z97+ATM_Conf!$C$5*(F97-E97)/(F285*Z285)</f>
        <v>#DIV/0!</v>
      </c>
      <c r="AA98" s="53" t="e">
        <f>AA97+ATM_Conf!$C$5*(G97-F97)/(G285*AA285)</f>
        <v>#DIV/0!</v>
      </c>
      <c r="AB98" s="53" t="e">
        <f>AB97+ATM_Conf!$C$5*(H97-G97)/(H285*AB285)</f>
        <v>#DIV/0!</v>
      </c>
      <c r="AC98" s="53" t="e">
        <f>AC97+ATM_Conf!$C$5*(I97-H97)/(I285*AC285)</f>
        <v>#DIV/0!</v>
      </c>
      <c r="AD98" s="53" t="e">
        <f>AD97+ATM_Conf!$C$5*(J97-I97)/(J285*AD285)</f>
        <v>#DIV/0!</v>
      </c>
      <c r="AE98" s="53" t="e">
        <f>AE97+ATM_Conf!$C$5*(K97-J97)/(K285*AE285)</f>
        <v>#DIV/0!</v>
      </c>
      <c r="AF98" s="53" t="e">
        <f>AF97+ATM_Conf!$C$5*(L97)/(L285*AF285)</f>
        <v>#DIV/0!</v>
      </c>
      <c r="AG98" s="53" t="e">
        <f>AG97+ATM_Conf!$C$5*(M97-L97)/(M285*AG285)</f>
        <v>#DIV/0!</v>
      </c>
      <c r="AH98" s="53" t="e">
        <f>AH97+ATM_Conf!$C$5*(N97-M97)/(N285*AH285)</f>
        <v>#DIV/0!</v>
      </c>
      <c r="AI98" s="53" t="e">
        <f>AI97+ATM_Conf!$C$5*(O97-N97)/(O285*AI285)</f>
        <v>#DIV/0!</v>
      </c>
      <c r="AJ98" s="53" t="e">
        <f>AJ97+ATM_Conf!$C$5*(P97-O97)/(P285*AJ285)</f>
        <v>#DIV/0!</v>
      </c>
      <c r="AK98" s="53" t="e">
        <f>AK97+ATM_Conf!$C$5*(Q97-P97)/(Q285*AK285)</f>
        <v>#DIV/0!</v>
      </c>
      <c r="AL98" s="53" t="e">
        <f>AL97+ATM_Conf!$C$5*(R97-Q97)/(R285*AL285)</f>
        <v>#DIV/0!</v>
      </c>
      <c r="AM98" s="53" t="e">
        <f>AM97+ATM_Conf!$C$5*(S97-R97)/(S285*AM285)</f>
        <v>#DIV/0!</v>
      </c>
      <c r="AN98" s="53" t="e">
        <f>AN97+ATM_Conf!$C$5*(T97-S97)/(T285*AN285)</f>
        <v>#DIV/0!</v>
      </c>
      <c r="AO98" s="53" t="e">
        <f>AO97+ATM_Conf!$C$5*(U97-T97)/(U285*AO285)</f>
        <v>#DIV/0!</v>
      </c>
      <c r="AP98" s="43" t="e">
        <f>AP97+(ATM_Conf!$C$5/ATM_Conf!$C$8)*(BJ98*EXP(-(1/CX98)*(V98/CD98)^CX98)-AP97)-(ATM_Conf!$C$5*ATM_Conf!$C$9)/(V285*ATM_Conf!$C$8)*(Nodes!BO97-V97)/(V97+ATM_Conf!$C$10)</f>
        <v>#DIV/0!</v>
      </c>
      <c r="AQ98" s="43" t="e">
        <f>AQ97+(ATM_Conf!$C$5/ATM_Conf!$C$8)*(BK98*EXP(-(1/CY98)*(W98/CE98)^CY98)-AQ97)+(ATM_Conf!$C$5/W285)*AQ97*(AP97-AQ97)-(ATM_Conf!$C$5*ATM_Conf!$C$9)/(W285*ATM_Conf!$C$8)*(X97-W97)/(W97+ATM_Conf!$C$10)</f>
        <v>#DIV/0!</v>
      </c>
      <c r="AR98" s="43" t="e">
        <f>AR97+(ATM_Conf!$C$5/ATM_Conf!$C$8)*(BL98*EXP(-(1/CZ98)*(X98/CF98)^CZ98)-AR97)+(ATM_Conf!$C$5/X285)*AR97*(Nodes!BC97-AR97)-(ATM_Conf!$C$5*ATM_Conf!$C$9)/(X285*ATM_Conf!$C$8)*(Nodes!BQ97-X97)/(X97+ATM_Conf!$C$10)</f>
        <v>#DIV/0!</v>
      </c>
      <c r="AS98" s="43" t="e">
        <f>AS97+(ATM_Conf!$C$5/ATM_Conf!$C$8)*(BM98*EXP(-(1/DA98)*(Y98/CG98)^DA98)-AS97)+(ATM_Conf!$C$5/Y285)*AS97*(AR97-AS97)-(ATM_Conf!$C$5*ATM_Conf!$C$9)/(Y285*ATM_Conf!$C$8)*(Z97-Y97)/(Y97+ATM_Conf!$C$10)</f>
        <v>#DIV/0!</v>
      </c>
      <c r="AT98" s="43" t="e">
        <f>AT97+(ATM_Conf!$C$5/ATM_Conf!$C$8)*(BN98*EXP(-(1/DB98)*(Z98/CH98)^DB98)-AT97)+(ATM_Conf!$C$5/Z285)*AT97*(Nodes!BE97-AT97)-(ATM_Conf!$C$5*ATM_Conf!$C$9)/(Z285*ATM_Conf!$C$8)*(Nodes!BS97-Z97)/(Z97+ATM_Conf!$C$10)</f>
        <v>#DIV/0!</v>
      </c>
      <c r="AU98" s="43" t="e">
        <f>AU97+(ATM_Conf!$C$5/ATM_Conf!$C$8)*(BO98*EXP(-(1/DC98)*(AA98/CI98)^DC98)-AU97)+(ATM_Conf!$C$5/AA285)*AU97*(Nodes!BF97-AU97)-(ATM_Conf!$C$5*ATM_Conf!$C$9)/(AA285*ATM_Conf!$C$8)*(Nodes!BV97-AA97)/(AA97+ATM_Conf!$C$10)</f>
        <v>#DIV/0!</v>
      </c>
      <c r="AV98" s="43" t="e">
        <f>AV97+(ATM_Conf!$C$5/ATM_Conf!$C$8)*(BP98*EXP(-(1/DD98)*(AB98/CJ98)^DD98)-AV97)+(ATM_Conf!$C$5/AB285)*AV97*(AU97-AV97)-(ATM_Conf!$C$5*ATM_Conf!$C$9)/(AB285*ATM_Conf!$C$8)*(AC97-AB97)/(AB97+ATM_Conf!$C$10)</f>
        <v>#DIV/0!</v>
      </c>
      <c r="AW98" s="43" t="e">
        <f>AW97+(ATM_Conf!$C$5/ATM_Conf!$C$8)*(BQ98*EXP(-(1/DE98)*(AC98/CK98)^DE98)-AW97)+(ATM_Conf!$C$5/AC285)*AW97*(AV97-AW97)-(ATM_Conf!$C$5*ATM_Conf!$C$9)/(AC285*ATM_Conf!$C$8)*(AD97-AC97)/(AC97+ATM_Conf!$C$10)</f>
        <v>#DIV/0!</v>
      </c>
      <c r="AX98" s="43" t="e">
        <f>AX97+(ATM_Conf!$C$5/ATM_Conf!$C$8)*(BR98*EXP(-(1/DF98)*(AD98/CL98)^DF98)-AX97)+(ATM_Conf!$C$5/AD285)*AX97*(Nodes!BG97-AX97)-(ATM_Conf!$C$5*ATM_Conf!$C$9)/(AD285*ATM_Conf!$C$8)*(Nodes!BU97-AD97)/(AD97+ATM_Conf!$C$10)</f>
        <v>#DIV/0!</v>
      </c>
      <c r="AY98" s="43" t="e">
        <f>AY97+(ATM_Conf!$C$5/ATM_Conf!$C$8)*(BS98*EXP(-(1/DG98)*(AE98/CM98)^DG98)-AY97)+(ATM_Conf!$C$5/AE285)*AY97*(Nodes!BF97-AY97)</f>
        <v>#DIV/0!</v>
      </c>
      <c r="AZ98" s="43" t="e">
        <f>AZ97+(ATM_Conf!$C$5/ATM_Conf!$C$8)*(BT98*EXP(-(1/DH98)*(AF98/CN98)^DH98)-AZ97)-(ATM_Conf!$C$5*ATM_Conf!$C$9)/(AF285*ATM_Conf!$C$8)*(Nodes!BV97-AF97)/(AF97+ATM_Conf!$C$10)</f>
        <v>#DIV/0!</v>
      </c>
      <c r="BA98" s="43" t="e">
        <f>BA97+(ATM_Conf!$C$5/ATM_Conf!$C$8)*(BU98*EXP(-(1/DI98)*(AG98/CO98)^DI98)-BA97)+(ATM_Conf!$C$5/AG285)*BA97*(Nodes!BI97-BA97)-(ATM_Conf!$C$5*ATM_Conf!$C$9)/(AG285*ATM_Conf!$C$8)*(Nodes!BW97-AG97)/(AG97+ATM_Conf!$C$10)</f>
        <v>#DIV/0!</v>
      </c>
      <c r="BB98" s="43" t="e">
        <f>BB97+(ATM_Conf!$C$5/ATM_Conf!$C$8)*(BV98*EXP(-(1/DJ98)*(AH98/CP98)^DJ98)-BB97)+(ATM_Conf!$C$5/AH285)*BB97*(Nodes!BJ97-BB97)-(ATM_Conf!$C$5*ATM_Conf!$C$9)/(AH285*ATM_Conf!$C$8)*(AI97-AH97)/(AH97+ATM_Conf!$C$10)</f>
        <v>#DIV/0!</v>
      </c>
      <c r="BC98" s="43" t="e">
        <f>BC97+(ATM_Conf!$C$5/ATM_Conf!$C$8)*(BW98*EXP(-(1/DK98)*(AI98/CQ98)^DK98)-BC97)+(ATM_Conf!$C$5/AI285)*BC97*(BB97-BC97)-(ATM_Conf!$C$5*ATM_Conf!$C$9)/(AI285*ATM_Conf!$C$8)*(AJ97-AI97)/(AI97+ATM_Conf!$C$10)</f>
        <v>#DIV/0!</v>
      </c>
      <c r="BD98" s="43" t="e">
        <f>BD97+(ATM_Conf!$C$5/ATM_Conf!$C$8)*(BX98*EXP(-(1/DL98)*(AJ98/CR98)^DL98)-BD97)+(ATM_Conf!$C$5/AJ285)*BD97*(BC97-BD97)-(ATM_Conf!$C$5*ATM_Conf!$C$9)/(AJ285*ATM_Conf!$C$8)*(Nodes!BX97-AJ97)/(AJ97+ATM_Conf!$C$10)</f>
        <v>#DIV/0!</v>
      </c>
      <c r="BE98" s="43" t="e">
        <f>BE97+(ATM_Conf!$C$5/ATM_Conf!$C$8)*(BY98*EXP(-(1/DM98)*(AK98/CS98)^DM98)-BE97)+(ATM_Conf!$C$5/AK285)*BE97*(Nodes!BK97-BE97)-(ATM_Conf!$C$5*ATM_Conf!$C$9)/(AK285*ATM_Conf!$C$8)*(Nodes!BY97-AK97)/(AK97+ATM_Conf!$C$10)</f>
        <v>#DIV/0!</v>
      </c>
      <c r="BF98" s="43" t="e">
        <f>BF97+(ATM_Conf!$C$5/ATM_Conf!$C$8)*(BZ98*EXP(-(1/DN98)*(AL98/CT98)^DN98)-BF97)+(ATM_Conf!$C$5/AL285)*BF97*(BE97-BF97)-(ATM_Conf!$C$5*ATM_Conf!$C$9)/(AL285*ATM_Conf!$C$8)*(AM97-AL97)/(AL97+ATM_Conf!$C$10)</f>
        <v>#DIV/0!</v>
      </c>
      <c r="BG98" s="43" t="e">
        <f>BG97+(ATM_Conf!$C$5/ATM_Conf!$C$8)*(CA98*EXP(-(1/DO98)*(AM98/CU98)^DO98)-BG97)+(ATM_Conf!$C$5/AM285)*BG97*(Nodes!BM97-BG97)-(ATM_Conf!$C$5*ATM_Conf!$C$9)/(AM285*ATM_Conf!$C$8)*(Nodes!CA97-AM97)/(AM97+ATM_Conf!$C$10)</f>
        <v>#DIV/0!</v>
      </c>
      <c r="BH98" s="43" t="e">
        <f>BH97+(ATM_Conf!$C$5/ATM_Conf!$C$8)*(CB98*EXP(-(1/DP98)*(AN98/CV98)^DP98)-BH97)+(ATM_Conf!$C$5/AN285)*BH97*(BG97-BH97)-(ATM_Conf!$C$5*ATM_Conf!$C$9)/(AN285*ATM_Conf!$C$8)*(AO97-AN97)/(AN97+ATM_Conf!$C$10)</f>
        <v>#DIV/0!</v>
      </c>
      <c r="BI98" s="43" t="e">
        <f>BI97+(ATM_Conf!$C$5/ATM_Conf!$C$8)*(CC98*EXP(-(1/DQ98)*(AO98/CW98)^DQ98)-BI97)+(ATM_Conf!$C$5/AO285)*BI97*(BH97-BI97)</f>
        <v>#DIV/0!</v>
      </c>
      <c r="BJ98" s="53"/>
      <c r="BK98" s="53"/>
      <c r="BL98" s="53"/>
      <c r="BM98" s="53"/>
      <c r="BN98" s="53"/>
      <c r="BO98" s="53"/>
      <c r="BP98" s="53"/>
      <c r="BQ98" s="53"/>
      <c r="BR98" s="53"/>
      <c r="BS98" s="53"/>
      <c r="BT98" s="53"/>
      <c r="BU98" s="53"/>
      <c r="BV98" s="53"/>
      <c r="BW98" s="53"/>
      <c r="BX98" s="53"/>
      <c r="BY98" s="53"/>
      <c r="BZ98" s="53"/>
      <c r="CA98" s="53"/>
      <c r="CB98" s="53"/>
      <c r="CC98" s="5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53"/>
      <c r="CY98" s="53"/>
      <c r="CZ98" s="53"/>
      <c r="DA98" s="53"/>
      <c r="DB98" s="53"/>
      <c r="DC98" s="53"/>
      <c r="DD98" s="53"/>
      <c r="DE98" s="53"/>
      <c r="DF98" s="53"/>
      <c r="DG98" s="53"/>
      <c r="DH98" s="53"/>
      <c r="DI98" s="53"/>
      <c r="DJ98" s="53"/>
      <c r="DK98" s="53"/>
      <c r="DL98" s="53"/>
      <c r="DM98" s="53"/>
      <c r="DN98" s="53"/>
      <c r="DO98" s="53"/>
      <c r="DP98" s="53"/>
      <c r="DQ98" s="53"/>
      <c r="DR98" s="43">
        <f t="shared" si="64"/>
        <v>0</v>
      </c>
      <c r="DS98" s="43">
        <f t="shared" si="63"/>
        <v>0</v>
      </c>
      <c r="DT98" s="43">
        <f t="shared" si="63"/>
        <v>0</v>
      </c>
      <c r="DU98" s="43">
        <f t="shared" si="63"/>
        <v>0</v>
      </c>
      <c r="DV98" s="43">
        <f t="shared" si="63"/>
        <v>0</v>
      </c>
      <c r="DW98" s="43">
        <f t="shared" si="63"/>
        <v>0</v>
      </c>
      <c r="DX98" s="43">
        <f t="shared" si="63"/>
        <v>0</v>
      </c>
      <c r="DY98" s="43">
        <f t="shared" si="63"/>
        <v>0</v>
      </c>
      <c r="DZ98" s="43">
        <f t="shared" si="63"/>
        <v>0</v>
      </c>
      <c r="EA98" s="43">
        <f t="shared" si="63"/>
        <v>0</v>
      </c>
      <c r="EB98" s="43">
        <f t="shared" si="63"/>
        <v>0</v>
      </c>
      <c r="EC98" s="43">
        <f t="shared" si="63"/>
        <v>0</v>
      </c>
      <c r="ED98" s="43">
        <f t="shared" si="63"/>
        <v>0</v>
      </c>
      <c r="EE98" s="43">
        <f t="shared" si="63"/>
        <v>0</v>
      </c>
      <c r="EF98" s="43">
        <f t="shared" si="63"/>
        <v>0</v>
      </c>
      <c r="EG98" s="43">
        <f t="shared" si="63"/>
        <v>0</v>
      </c>
      <c r="EH98" s="43">
        <f t="shared" si="63"/>
        <v>0</v>
      </c>
      <c r="EI98" s="43">
        <f t="shared" si="63"/>
        <v>0</v>
      </c>
      <c r="EJ98" s="43">
        <f t="shared" si="63"/>
        <v>0</v>
      </c>
      <c r="EK98" s="43">
        <f t="shared" si="63"/>
        <v>0</v>
      </c>
      <c r="EL98" s="47"/>
      <c r="EM98" s="47"/>
      <c r="EN98" s="47"/>
      <c r="EO98" s="47"/>
      <c r="EP98" s="47"/>
      <c r="EQ98" s="47"/>
      <c r="ER98" s="47"/>
      <c r="ES98" s="47"/>
      <c r="ET98" s="47"/>
      <c r="EU98" s="47"/>
      <c r="EV98" s="47"/>
      <c r="EW98" s="47"/>
      <c r="EX98" s="47"/>
      <c r="EY98" s="47"/>
      <c r="EZ98" s="47"/>
      <c r="FA98" s="47"/>
      <c r="FB98" s="47"/>
      <c r="FC98" s="47"/>
      <c r="FD98" s="47"/>
      <c r="FE98" s="47"/>
    </row>
    <row r="99" spans="1:161" ht="14.25" x14ac:dyDescent="0.15">
      <c r="A99" s="46"/>
      <c r="B99" s="43" t="e">
        <f t="shared" si="39"/>
        <v>#DIV/0!</v>
      </c>
      <c r="C99" s="43" t="e">
        <f t="shared" si="40"/>
        <v>#DIV/0!</v>
      </c>
      <c r="D99" s="43" t="e">
        <f t="shared" si="41"/>
        <v>#DIV/0!</v>
      </c>
      <c r="E99" s="43" t="e">
        <f t="shared" si="42"/>
        <v>#DIV/0!</v>
      </c>
      <c r="F99" s="43" t="e">
        <f t="shared" si="43"/>
        <v>#DIV/0!</v>
      </c>
      <c r="G99" s="43" t="e">
        <f t="shared" si="44"/>
        <v>#DIV/0!</v>
      </c>
      <c r="H99" s="43" t="e">
        <f t="shared" si="45"/>
        <v>#DIV/0!</v>
      </c>
      <c r="I99" s="43" t="e">
        <f t="shared" si="46"/>
        <v>#DIV/0!</v>
      </c>
      <c r="J99" s="43" t="e">
        <f t="shared" si="47"/>
        <v>#DIV/0!</v>
      </c>
      <c r="K99" s="43" t="e">
        <f t="shared" si="48"/>
        <v>#DIV/0!</v>
      </c>
      <c r="L99" s="43" t="e">
        <f t="shared" si="49"/>
        <v>#DIV/0!</v>
      </c>
      <c r="M99" s="43" t="e">
        <f t="shared" si="50"/>
        <v>#DIV/0!</v>
      </c>
      <c r="N99" s="43" t="e">
        <f t="shared" si="51"/>
        <v>#DIV/0!</v>
      </c>
      <c r="O99" s="43" t="e">
        <f t="shared" si="52"/>
        <v>#DIV/0!</v>
      </c>
      <c r="P99" s="43" t="e">
        <f t="shared" si="53"/>
        <v>#DIV/0!</v>
      </c>
      <c r="Q99" s="43" t="e">
        <f t="shared" si="54"/>
        <v>#DIV/0!</v>
      </c>
      <c r="R99" s="43" t="e">
        <f t="shared" si="55"/>
        <v>#DIV/0!</v>
      </c>
      <c r="S99" s="43" t="e">
        <f t="shared" si="56"/>
        <v>#DIV/0!</v>
      </c>
      <c r="T99" s="43" t="e">
        <f t="shared" si="57"/>
        <v>#DIV/0!</v>
      </c>
      <c r="U99" s="43" t="e">
        <f t="shared" si="58"/>
        <v>#DIV/0!</v>
      </c>
      <c r="V99" s="53" t="e">
        <f>V98+ATM_Conf!$C$5*(B98)/(B286*V286)</f>
        <v>#DIV/0!</v>
      </c>
      <c r="W99" s="53" t="e">
        <f>W98+ATM_Conf!$C$5*(C98-B98)/(C286*W286)</f>
        <v>#DIV/0!</v>
      </c>
      <c r="X99" s="53" t="e">
        <f>X98+ATM_Conf!$C$5*(D98-C98)/(D286*X286)</f>
        <v>#DIV/0!</v>
      </c>
      <c r="Y99" s="53" t="e">
        <f>Y98+ATM_Conf!$C$5*(E98-D98)/(E286*Y286)</f>
        <v>#DIV/0!</v>
      </c>
      <c r="Z99" s="53" t="e">
        <f>Z98+ATM_Conf!$C$5*(F98-E98)/(F286*Z286)</f>
        <v>#DIV/0!</v>
      </c>
      <c r="AA99" s="53" t="e">
        <f>AA98+ATM_Conf!$C$5*(G98-F98)/(G286*AA286)</f>
        <v>#DIV/0!</v>
      </c>
      <c r="AB99" s="53" t="e">
        <f>AB98+ATM_Conf!$C$5*(H98-G98)/(H286*AB286)</f>
        <v>#DIV/0!</v>
      </c>
      <c r="AC99" s="53" t="e">
        <f>AC98+ATM_Conf!$C$5*(I98-H98)/(I286*AC286)</f>
        <v>#DIV/0!</v>
      </c>
      <c r="AD99" s="53" t="e">
        <f>AD98+ATM_Conf!$C$5*(J98-I98)/(J286*AD286)</f>
        <v>#DIV/0!</v>
      </c>
      <c r="AE99" s="53" t="e">
        <f>AE98+ATM_Conf!$C$5*(K98-J98)/(K286*AE286)</f>
        <v>#DIV/0!</v>
      </c>
      <c r="AF99" s="53" t="e">
        <f>AF98+ATM_Conf!$C$5*(L98)/(L286*AF286)</f>
        <v>#DIV/0!</v>
      </c>
      <c r="AG99" s="53" t="e">
        <f>AG98+ATM_Conf!$C$5*(M98-L98)/(M286*AG286)</f>
        <v>#DIV/0!</v>
      </c>
      <c r="AH99" s="53" t="e">
        <f>AH98+ATM_Conf!$C$5*(N98-M98)/(N286*AH286)</f>
        <v>#DIV/0!</v>
      </c>
      <c r="AI99" s="53" t="e">
        <f>AI98+ATM_Conf!$C$5*(O98-N98)/(O286*AI286)</f>
        <v>#DIV/0!</v>
      </c>
      <c r="AJ99" s="53" t="e">
        <f>AJ98+ATM_Conf!$C$5*(P98-O98)/(P286*AJ286)</f>
        <v>#DIV/0!</v>
      </c>
      <c r="AK99" s="53" t="e">
        <f>AK98+ATM_Conf!$C$5*(Q98-P98)/(Q286*AK286)</f>
        <v>#DIV/0!</v>
      </c>
      <c r="AL99" s="53" t="e">
        <f>AL98+ATM_Conf!$C$5*(R98-Q98)/(R286*AL286)</f>
        <v>#DIV/0!</v>
      </c>
      <c r="AM99" s="53" t="e">
        <f>AM98+ATM_Conf!$C$5*(S98-R98)/(S286*AM286)</f>
        <v>#DIV/0!</v>
      </c>
      <c r="AN99" s="53" t="e">
        <f>AN98+ATM_Conf!$C$5*(T98-S98)/(T286*AN286)</f>
        <v>#DIV/0!</v>
      </c>
      <c r="AO99" s="53" t="e">
        <f>AO98+ATM_Conf!$C$5*(U98-T98)/(U286*AO286)</f>
        <v>#DIV/0!</v>
      </c>
      <c r="AP99" s="43" t="e">
        <f>AP98+(ATM_Conf!$C$5/ATM_Conf!$C$8)*(BJ99*EXP(-(1/CX99)*(V99/CD99)^CX99)-AP98)-(ATM_Conf!$C$5*ATM_Conf!$C$9)/(V286*ATM_Conf!$C$8)*(Nodes!BO98-V98)/(V98+ATM_Conf!$C$10)</f>
        <v>#DIV/0!</v>
      </c>
      <c r="AQ99" s="43" t="e">
        <f>AQ98+(ATM_Conf!$C$5/ATM_Conf!$C$8)*(BK99*EXP(-(1/CY99)*(W99/CE99)^CY99)-AQ98)+(ATM_Conf!$C$5/W286)*AQ98*(AP98-AQ98)-(ATM_Conf!$C$5*ATM_Conf!$C$9)/(W286*ATM_Conf!$C$8)*(X98-W98)/(W98+ATM_Conf!$C$10)</f>
        <v>#DIV/0!</v>
      </c>
      <c r="AR99" s="43" t="e">
        <f>AR98+(ATM_Conf!$C$5/ATM_Conf!$C$8)*(BL99*EXP(-(1/CZ99)*(X99/CF99)^CZ99)-AR98)+(ATM_Conf!$C$5/X286)*AR98*(Nodes!BC98-AR98)-(ATM_Conf!$C$5*ATM_Conf!$C$9)/(X286*ATM_Conf!$C$8)*(Nodes!BQ98-X98)/(X98+ATM_Conf!$C$10)</f>
        <v>#DIV/0!</v>
      </c>
      <c r="AS99" s="43" t="e">
        <f>AS98+(ATM_Conf!$C$5/ATM_Conf!$C$8)*(BM99*EXP(-(1/DA99)*(Y99/CG99)^DA99)-AS98)+(ATM_Conf!$C$5/Y286)*AS98*(AR98-AS98)-(ATM_Conf!$C$5*ATM_Conf!$C$9)/(Y286*ATM_Conf!$C$8)*(Z98-Y98)/(Y98+ATM_Conf!$C$10)</f>
        <v>#DIV/0!</v>
      </c>
      <c r="AT99" s="43" t="e">
        <f>AT98+(ATM_Conf!$C$5/ATM_Conf!$C$8)*(BN99*EXP(-(1/DB99)*(Z99/CH99)^DB99)-AT98)+(ATM_Conf!$C$5/Z286)*AT98*(Nodes!BE98-AT98)-(ATM_Conf!$C$5*ATM_Conf!$C$9)/(Z286*ATM_Conf!$C$8)*(Nodes!BS98-Z98)/(Z98+ATM_Conf!$C$10)</f>
        <v>#DIV/0!</v>
      </c>
      <c r="AU99" s="43" t="e">
        <f>AU98+(ATM_Conf!$C$5/ATM_Conf!$C$8)*(BO99*EXP(-(1/DC99)*(AA99/CI99)^DC99)-AU98)+(ATM_Conf!$C$5/AA286)*AU98*(Nodes!BF98-AU98)-(ATM_Conf!$C$5*ATM_Conf!$C$9)/(AA286*ATM_Conf!$C$8)*(Nodes!BV98-AA98)/(AA98+ATM_Conf!$C$10)</f>
        <v>#DIV/0!</v>
      </c>
      <c r="AV99" s="43" t="e">
        <f>AV98+(ATM_Conf!$C$5/ATM_Conf!$C$8)*(BP99*EXP(-(1/DD99)*(AB99/CJ99)^DD99)-AV98)+(ATM_Conf!$C$5/AB286)*AV98*(AU98-AV98)-(ATM_Conf!$C$5*ATM_Conf!$C$9)/(AB286*ATM_Conf!$C$8)*(AC98-AB98)/(AB98+ATM_Conf!$C$10)</f>
        <v>#DIV/0!</v>
      </c>
      <c r="AW99" s="43" t="e">
        <f>AW98+(ATM_Conf!$C$5/ATM_Conf!$C$8)*(BQ99*EXP(-(1/DE99)*(AC99/CK99)^DE99)-AW98)+(ATM_Conf!$C$5/AC286)*AW98*(AV98-AW98)-(ATM_Conf!$C$5*ATM_Conf!$C$9)/(AC286*ATM_Conf!$C$8)*(AD98-AC98)/(AC98+ATM_Conf!$C$10)</f>
        <v>#DIV/0!</v>
      </c>
      <c r="AX99" s="43" t="e">
        <f>AX98+(ATM_Conf!$C$5/ATM_Conf!$C$8)*(BR99*EXP(-(1/DF99)*(AD99/CL99)^DF99)-AX98)+(ATM_Conf!$C$5/AD286)*AX98*(Nodes!BG98-AX98)-(ATM_Conf!$C$5*ATM_Conf!$C$9)/(AD286*ATM_Conf!$C$8)*(Nodes!BU98-AD98)/(AD98+ATM_Conf!$C$10)</f>
        <v>#DIV/0!</v>
      </c>
      <c r="AY99" s="43" t="e">
        <f>AY98+(ATM_Conf!$C$5/ATM_Conf!$C$8)*(BS99*EXP(-(1/DG99)*(AE99/CM99)^DG99)-AY98)+(ATM_Conf!$C$5/AE286)*AY98*(Nodes!BF98-AY98)</f>
        <v>#DIV/0!</v>
      </c>
      <c r="AZ99" s="43" t="e">
        <f>AZ98+(ATM_Conf!$C$5/ATM_Conf!$C$8)*(BT99*EXP(-(1/DH99)*(AF99/CN99)^DH99)-AZ98)-(ATM_Conf!$C$5*ATM_Conf!$C$9)/(AF286*ATM_Conf!$C$8)*(Nodes!BV98-AF98)/(AF98+ATM_Conf!$C$10)</f>
        <v>#DIV/0!</v>
      </c>
      <c r="BA99" s="43" t="e">
        <f>BA98+(ATM_Conf!$C$5/ATM_Conf!$C$8)*(BU99*EXP(-(1/DI99)*(AG99/CO99)^DI99)-BA98)+(ATM_Conf!$C$5/AG286)*BA98*(Nodes!BI98-BA98)-(ATM_Conf!$C$5*ATM_Conf!$C$9)/(AG286*ATM_Conf!$C$8)*(Nodes!BW98-AG98)/(AG98+ATM_Conf!$C$10)</f>
        <v>#DIV/0!</v>
      </c>
      <c r="BB99" s="43" t="e">
        <f>BB98+(ATM_Conf!$C$5/ATM_Conf!$C$8)*(BV99*EXP(-(1/DJ99)*(AH99/CP99)^DJ99)-BB98)+(ATM_Conf!$C$5/AH286)*BB98*(Nodes!BJ98-BB98)-(ATM_Conf!$C$5*ATM_Conf!$C$9)/(AH286*ATM_Conf!$C$8)*(AI98-AH98)/(AH98+ATM_Conf!$C$10)</f>
        <v>#DIV/0!</v>
      </c>
      <c r="BC99" s="43" t="e">
        <f>BC98+(ATM_Conf!$C$5/ATM_Conf!$C$8)*(BW99*EXP(-(1/DK99)*(AI99/CQ99)^DK99)-BC98)+(ATM_Conf!$C$5/AI286)*BC98*(BB98-BC98)-(ATM_Conf!$C$5*ATM_Conf!$C$9)/(AI286*ATM_Conf!$C$8)*(AJ98-AI98)/(AI98+ATM_Conf!$C$10)</f>
        <v>#DIV/0!</v>
      </c>
      <c r="BD99" s="43" t="e">
        <f>BD98+(ATM_Conf!$C$5/ATM_Conf!$C$8)*(BX99*EXP(-(1/DL99)*(AJ99/CR99)^DL99)-BD98)+(ATM_Conf!$C$5/AJ286)*BD98*(BC98-BD98)-(ATM_Conf!$C$5*ATM_Conf!$C$9)/(AJ286*ATM_Conf!$C$8)*(Nodes!BX98-AJ98)/(AJ98+ATM_Conf!$C$10)</f>
        <v>#DIV/0!</v>
      </c>
      <c r="BE99" s="43" t="e">
        <f>BE98+(ATM_Conf!$C$5/ATM_Conf!$C$8)*(BY99*EXP(-(1/DM99)*(AK99/CS99)^DM99)-BE98)+(ATM_Conf!$C$5/AK286)*BE98*(Nodes!BK98-BE98)-(ATM_Conf!$C$5*ATM_Conf!$C$9)/(AK286*ATM_Conf!$C$8)*(Nodes!BY98-AK98)/(AK98+ATM_Conf!$C$10)</f>
        <v>#DIV/0!</v>
      </c>
      <c r="BF99" s="43" t="e">
        <f>BF98+(ATM_Conf!$C$5/ATM_Conf!$C$8)*(BZ99*EXP(-(1/DN99)*(AL99/CT99)^DN99)-BF98)+(ATM_Conf!$C$5/AL286)*BF98*(BE98-BF98)-(ATM_Conf!$C$5*ATM_Conf!$C$9)/(AL286*ATM_Conf!$C$8)*(AM98-AL98)/(AL98+ATM_Conf!$C$10)</f>
        <v>#DIV/0!</v>
      </c>
      <c r="BG99" s="43" t="e">
        <f>BG98+(ATM_Conf!$C$5/ATM_Conf!$C$8)*(CA99*EXP(-(1/DO99)*(AM99/CU99)^DO99)-BG98)+(ATM_Conf!$C$5/AM286)*BG98*(Nodes!BM98-BG98)-(ATM_Conf!$C$5*ATM_Conf!$C$9)/(AM286*ATM_Conf!$C$8)*(Nodes!CA98-AM98)/(AM98+ATM_Conf!$C$10)</f>
        <v>#DIV/0!</v>
      </c>
      <c r="BH99" s="43" t="e">
        <f>BH98+(ATM_Conf!$C$5/ATM_Conf!$C$8)*(CB99*EXP(-(1/DP99)*(AN99/CV99)^DP99)-BH98)+(ATM_Conf!$C$5/AN286)*BH98*(BG98-BH98)-(ATM_Conf!$C$5*ATM_Conf!$C$9)/(AN286*ATM_Conf!$C$8)*(AO98-AN98)/(AN98+ATM_Conf!$C$10)</f>
        <v>#DIV/0!</v>
      </c>
      <c r="BI99" s="43" t="e">
        <f>BI98+(ATM_Conf!$C$5/ATM_Conf!$C$8)*(CC99*EXP(-(1/DQ99)*(AO99/CW99)^DQ99)-BI98)+(ATM_Conf!$C$5/AO286)*BI98*(BH98-BI98)</f>
        <v>#DIV/0!</v>
      </c>
      <c r="BJ99" s="53"/>
      <c r="BK99" s="53"/>
      <c r="BL99" s="53"/>
      <c r="BM99" s="53"/>
      <c r="BN99" s="53"/>
      <c r="BO99" s="53"/>
      <c r="BP99" s="53"/>
      <c r="BQ99" s="53"/>
      <c r="BR99" s="53"/>
      <c r="BS99" s="53"/>
      <c r="BT99" s="53"/>
      <c r="BU99" s="53"/>
      <c r="BV99" s="53"/>
      <c r="BW99" s="53"/>
      <c r="BX99" s="53"/>
      <c r="BY99" s="53"/>
      <c r="BZ99" s="53"/>
      <c r="CA99" s="53"/>
      <c r="CB99" s="53"/>
      <c r="CC99" s="5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53"/>
      <c r="CY99" s="53"/>
      <c r="CZ99" s="53"/>
      <c r="DA99" s="53"/>
      <c r="DB99" s="53"/>
      <c r="DC99" s="53"/>
      <c r="DD99" s="53"/>
      <c r="DE99" s="53"/>
      <c r="DF99" s="53"/>
      <c r="DG99" s="53"/>
      <c r="DH99" s="53"/>
      <c r="DI99" s="53"/>
      <c r="DJ99" s="53"/>
      <c r="DK99" s="53"/>
      <c r="DL99" s="53"/>
      <c r="DM99" s="53"/>
      <c r="DN99" s="53"/>
      <c r="DO99" s="53"/>
      <c r="DP99" s="53"/>
      <c r="DQ99" s="53"/>
      <c r="DR99" s="62"/>
      <c r="DS99" s="62"/>
      <c r="DT99" s="62"/>
      <c r="DU99" s="62"/>
      <c r="DV99" s="62"/>
      <c r="DW99" s="62"/>
      <c r="DX99" s="62"/>
      <c r="DY99" s="62"/>
      <c r="DZ99" s="62"/>
      <c r="EA99" s="62"/>
      <c r="EB99" s="62"/>
      <c r="EC99" s="62"/>
      <c r="ED99" s="62"/>
      <c r="EE99" s="62"/>
      <c r="EF99" s="62"/>
      <c r="EG99" s="62"/>
      <c r="EH99" s="62"/>
      <c r="EI99" s="62"/>
      <c r="EJ99" s="62"/>
      <c r="EK99" s="62"/>
      <c r="EL99" s="47">
        <f>(DR99-DR87)^2</f>
        <v>0</v>
      </c>
      <c r="EM99" s="47">
        <f t="shared" ref="EM99:FE99" si="65">(DS99-DS87)^2</f>
        <v>0</v>
      </c>
      <c r="EN99" s="47">
        <f t="shared" si="65"/>
        <v>0</v>
      </c>
      <c r="EO99" s="47">
        <f t="shared" si="65"/>
        <v>0</v>
      </c>
      <c r="EP99" s="47">
        <f t="shared" si="65"/>
        <v>0</v>
      </c>
      <c r="EQ99" s="47">
        <f t="shared" si="65"/>
        <v>0</v>
      </c>
      <c r="ER99" s="47">
        <f t="shared" si="65"/>
        <v>0</v>
      </c>
      <c r="ES99" s="47">
        <f t="shared" si="65"/>
        <v>0</v>
      </c>
      <c r="ET99" s="47">
        <f t="shared" si="65"/>
        <v>0</v>
      </c>
      <c r="EU99" s="47">
        <f t="shared" si="65"/>
        <v>0</v>
      </c>
      <c r="EV99" s="47">
        <f t="shared" si="65"/>
        <v>0</v>
      </c>
      <c r="EW99" s="47">
        <f t="shared" si="65"/>
        <v>0</v>
      </c>
      <c r="EX99" s="47">
        <f t="shared" si="65"/>
        <v>0</v>
      </c>
      <c r="EY99" s="47">
        <f t="shared" si="65"/>
        <v>0</v>
      </c>
      <c r="EZ99" s="47">
        <f t="shared" si="65"/>
        <v>0</v>
      </c>
      <c r="FA99" s="47">
        <f t="shared" si="65"/>
        <v>0</v>
      </c>
      <c r="FB99" s="47">
        <f t="shared" si="65"/>
        <v>0</v>
      </c>
      <c r="FC99" s="47">
        <f t="shared" si="65"/>
        <v>0</v>
      </c>
      <c r="FD99" s="47">
        <f t="shared" si="65"/>
        <v>0</v>
      </c>
      <c r="FE99" s="47">
        <f t="shared" si="65"/>
        <v>0</v>
      </c>
    </row>
    <row r="100" spans="1:161" ht="14.25" x14ac:dyDescent="0.15">
      <c r="A100" s="46"/>
      <c r="B100" s="43" t="e">
        <f t="shared" si="39"/>
        <v>#DIV/0!</v>
      </c>
      <c r="C100" s="43" t="e">
        <f t="shared" si="40"/>
        <v>#DIV/0!</v>
      </c>
      <c r="D100" s="43" t="e">
        <f t="shared" si="41"/>
        <v>#DIV/0!</v>
      </c>
      <c r="E100" s="43" t="e">
        <f t="shared" si="42"/>
        <v>#DIV/0!</v>
      </c>
      <c r="F100" s="43" t="e">
        <f t="shared" si="43"/>
        <v>#DIV/0!</v>
      </c>
      <c r="G100" s="43" t="e">
        <f t="shared" si="44"/>
        <v>#DIV/0!</v>
      </c>
      <c r="H100" s="43" t="e">
        <f t="shared" si="45"/>
        <v>#DIV/0!</v>
      </c>
      <c r="I100" s="43" t="e">
        <f t="shared" si="46"/>
        <v>#DIV/0!</v>
      </c>
      <c r="J100" s="43" t="e">
        <f t="shared" si="47"/>
        <v>#DIV/0!</v>
      </c>
      <c r="K100" s="43" t="e">
        <f t="shared" si="48"/>
        <v>#DIV/0!</v>
      </c>
      <c r="L100" s="43" t="e">
        <f t="shared" si="49"/>
        <v>#DIV/0!</v>
      </c>
      <c r="M100" s="43" t="e">
        <f t="shared" si="50"/>
        <v>#DIV/0!</v>
      </c>
      <c r="N100" s="43" t="e">
        <f t="shared" si="51"/>
        <v>#DIV/0!</v>
      </c>
      <c r="O100" s="43" t="e">
        <f t="shared" si="52"/>
        <v>#DIV/0!</v>
      </c>
      <c r="P100" s="43" t="e">
        <f t="shared" si="53"/>
        <v>#DIV/0!</v>
      </c>
      <c r="Q100" s="43" t="e">
        <f t="shared" si="54"/>
        <v>#DIV/0!</v>
      </c>
      <c r="R100" s="43" t="e">
        <f t="shared" si="55"/>
        <v>#DIV/0!</v>
      </c>
      <c r="S100" s="43" t="e">
        <f t="shared" si="56"/>
        <v>#DIV/0!</v>
      </c>
      <c r="T100" s="43" t="e">
        <f t="shared" si="57"/>
        <v>#DIV/0!</v>
      </c>
      <c r="U100" s="43" t="e">
        <f t="shared" si="58"/>
        <v>#DIV/0!</v>
      </c>
      <c r="V100" s="53" t="e">
        <f>V99+ATM_Conf!$C$5*(B99)/(B287*V287)</f>
        <v>#DIV/0!</v>
      </c>
      <c r="W100" s="53" t="e">
        <f>W99+ATM_Conf!$C$5*(C99-B99)/(C287*W287)</f>
        <v>#DIV/0!</v>
      </c>
      <c r="X100" s="53" t="e">
        <f>X99+ATM_Conf!$C$5*(D99-C99)/(D287*X287)</f>
        <v>#DIV/0!</v>
      </c>
      <c r="Y100" s="53" t="e">
        <f>Y99+ATM_Conf!$C$5*(E99-D99)/(E287*Y287)</f>
        <v>#DIV/0!</v>
      </c>
      <c r="Z100" s="53" t="e">
        <f>Z99+ATM_Conf!$C$5*(F99-E99)/(F287*Z287)</f>
        <v>#DIV/0!</v>
      </c>
      <c r="AA100" s="53" t="e">
        <f>AA99+ATM_Conf!$C$5*(G99-F99)/(G287*AA287)</f>
        <v>#DIV/0!</v>
      </c>
      <c r="AB100" s="53" t="e">
        <f>AB99+ATM_Conf!$C$5*(H99-G99)/(H287*AB287)</f>
        <v>#DIV/0!</v>
      </c>
      <c r="AC100" s="53" t="e">
        <f>AC99+ATM_Conf!$C$5*(I99-H99)/(I287*AC287)</f>
        <v>#DIV/0!</v>
      </c>
      <c r="AD100" s="53" t="e">
        <f>AD99+ATM_Conf!$C$5*(J99-I99)/(J287*AD287)</f>
        <v>#DIV/0!</v>
      </c>
      <c r="AE100" s="53" t="e">
        <f>AE99+ATM_Conf!$C$5*(K99-J99)/(K287*AE287)</f>
        <v>#DIV/0!</v>
      </c>
      <c r="AF100" s="53" t="e">
        <f>AF99+ATM_Conf!$C$5*(L99)/(L287*AF287)</f>
        <v>#DIV/0!</v>
      </c>
      <c r="AG100" s="53" t="e">
        <f>AG99+ATM_Conf!$C$5*(M99-L99)/(M287*AG287)</f>
        <v>#DIV/0!</v>
      </c>
      <c r="AH100" s="53" t="e">
        <f>AH99+ATM_Conf!$C$5*(N99-M99)/(N287*AH287)</f>
        <v>#DIV/0!</v>
      </c>
      <c r="AI100" s="53" t="e">
        <f>AI99+ATM_Conf!$C$5*(O99-N99)/(O287*AI287)</f>
        <v>#DIV/0!</v>
      </c>
      <c r="AJ100" s="53" t="e">
        <f>AJ99+ATM_Conf!$C$5*(P99-O99)/(P287*AJ287)</f>
        <v>#DIV/0!</v>
      </c>
      <c r="AK100" s="53" t="e">
        <f>AK99+ATM_Conf!$C$5*(Q99-P99)/(Q287*AK287)</f>
        <v>#DIV/0!</v>
      </c>
      <c r="AL100" s="53" t="e">
        <f>AL99+ATM_Conf!$C$5*(R99-Q99)/(R287*AL287)</f>
        <v>#DIV/0!</v>
      </c>
      <c r="AM100" s="53" t="e">
        <f>AM99+ATM_Conf!$C$5*(S99-R99)/(S287*AM287)</f>
        <v>#DIV/0!</v>
      </c>
      <c r="AN100" s="53" t="e">
        <f>AN99+ATM_Conf!$C$5*(T99-S99)/(T287*AN287)</f>
        <v>#DIV/0!</v>
      </c>
      <c r="AO100" s="53" t="e">
        <f>AO99+ATM_Conf!$C$5*(U99-T99)/(U287*AO287)</f>
        <v>#DIV/0!</v>
      </c>
      <c r="AP100" s="43" t="e">
        <f>AP99+(ATM_Conf!$C$5/ATM_Conf!$C$8)*(BJ100*EXP(-(1/CX100)*(V100/CD100)^CX100)-AP99)-(ATM_Conf!$C$5*ATM_Conf!$C$9)/(V287*ATM_Conf!$C$8)*(Nodes!BO99-V99)/(V99+ATM_Conf!$C$10)</f>
        <v>#DIV/0!</v>
      </c>
      <c r="AQ100" s="43" t="e">
        <f>AQ99+(ATM_Conf!$C$5/ATM_Conf!$C$8)*(BK100*EXP(-(1/CY100)*(W100/CE100)^CY100)-AQ99)+(ATM_Conf!$C$5/W287)*AQ99*(AP99-AQ99)-(ATM_Conf!$C$5*ATM_Conf!$C$9)/(W287*ATM_Conf!$C$8)*(X99-W99)/(W99+ATM_Conf!$C$10)</f>
        <v>#DIV/0!</v>
      </c>
      <c r="AR100" s="43" t="e">
        <f>AR99+(ATM_Conf!$C$5/ATM_Conf!$C$8)*(BL100*EXP(-(1/CZ100)*(X100/CF100)^CZ100)-AR99)+(ATM_Conf!$C$5/X287)*AR99*(Nodes!BC99-AR99)-(ATM_Conf!$C$5*ATM_Conf!$C$9)/(X287*ATM_Conf!$C$8)*(Nodes!BQ99-X99)/(X99+ATM_Conf!$C$10)</f>
        <v>#DIV/0!</v>
      </c>
      <c r="AS100" s="43" t="e">
        <f>AS99+(ATM_Conf!$C$5/ATM_Conf!$C$8)*(BM100*EXP(-(1/DA100)*(Y100/CG100)^DA100)-AS99)+(ATM_Conf!$C$5/Y287)*AS99*(AR99-AS99)-(ATM_Conf!$C$5*ATM_Conf!$C$9)/(Y287*ATM_Conf!$C$8)*(Z99-Y99)/(Y99+ATM_Conf!$C$10)</f>
        <v>#DIV/0!</v>
      </c>
      <c r="AT100" s="43" t="e">
        <f>AT99+(ATM_Conf!$C$5/ATM_Conf!$C$8)*(BN100*EXP(-(1/DB100)*(Z100/CH100)^DB100)-AT99)+(ATM_Conf!$C$5/Z287)*AT99*(Nodes!BE99-AT99)-(ATM_Conf!$C$5*ATM_Conf!$C$9)/(Z287*ATM_Conf!$C$8)*(Nodes!BS99-Z99)/(Z99+ATM_Conf!$C$10)</f>
        <v>#DIV/0!</v>
      </c>
      <c r="AU100" s="43" t="e">
        <f>AU99+(ATM_Conf!$C$5/ATM_Conf!$C$8)*(BO100*EXP(-(1/DC100)*(AA100/CI100)^DC100)-AU99)+(ATM_Conf!$C$5/AA287)*AU99*(Nodes!BF99-AU99)-(ATM_Conf!$C$5*ATM_Conf!$C$9)/(AA287*ATM_Conf!$C$8)*(Nodes!BV99-AA99)/(AA99+ATM_Conf!$C$10)</f>
        <v>#DIV/0!</v>
      </c>
      <c r="AV100" s="43" t="e">
        <f>AV99+(ATM_Conf!$C$5/ATM_Conf!$C$8)*(BP100*EXP(-(1/DD100)*(AB100/CJ100)^DD100)-AV99)+(ATM_Conf!$C$5/AB287)*AV99*(AU99-AV99)-(ATM_Conf!$C$5*ATM_Conf!$C$9)/(AB287*ATM_Conf!$C$8)*(AC99-AB99)/(AB99+ATM_Conf!$C$10)</f>
        <v>#DIV/0!</v>
      </c>
      <c r="AW100" s="43" t="e">
        <f>AW99+(ATM_Conf!$C$5/ATM_Conf!$C$8)*(BQ100*EXP(-(1/DE100)*(AC100/CK100)^DE100)-AW99)+(ATM_Conf!$C$5/AC287)*AW99*(AV99-AW99)-(ATM_Conf!$C$5*ATM_Conf!$C$9)/(AC287*ATM_Conf!$C$8)*(AD99-AC99)/(AC99+ATM_Conf!$C$10)</f>
        <v>#DIV/0!</v>
      </c>
      <c r="AX100" s="43" t="e">
        <f>AX99+(ATM_Conf!$C$5/ATM_Conf!$C$8)*(BR100*EXP(-(1/DF100)*(AD100/CL100)^DF100)-AX99)+(ATM_Conf!$C$5/AD287)*AX99*(Nodes!BG99-AX99)-(ATM_Conf!$C$5*ATM_Conf!$C$9)/(AD287*ATM_Conf!$C$8)*(Nodes!BU99-AD99)/(AD99+ATM_Conf!$C$10)</f>
        <v>#DIV/0!</v>
      </c>
      <c r="AY100" s="43" t="e">
        <f>AY99+(ATM_Conf!$C$5/ATM_Conf!$C$8)*(BS100*EXP(-(1/DG100)*(AE100/CM100)^DG100)-AY99)+(ATM_Conf!$C$5/AE287)*AY99*(Nodes!BF99-AY99)</f>
        <v>#DIV/0!</v>
      </c>
      <c r="AZ100" s="43" t="e">
        <f>AZ99+(ATM_Conf!$C$5/ATM_Conf!$C$8)*(BT100*EXP(-(1/DH100)*(AF100/CN100)^DH100)-AZ99)-(ATM_Conf!$C$5*ATM_Conf!$C$9)/(AF287*ATM_Conf!$C$8)*(Nodes!BV99-AF99)/(AF99+ATM_Conf!$C$10)</f>
        <v>#DIV/0!</v>
      </c>
      <c r="BA100" s="43" t="e">
        <f>BA99+(ATM_Conf!$C$5/ATM_Conf!$C$8)*(BU100*EXP(-(1/DI100)*(AG100/CO100)^DI100)-BA99)+(ATM_Conf!$C$5/AG287)*BA99*(Nodes!BI99-BA99)-(ATM_Conf!$C$5*ATM_Conf!$C$9)/(AG287*ATM_Conf!$C$8)*(Nodes!BW99-AG99)/(AG99+ATM_Conf!$C$10)</f>
        <v>#DIV/0!</v>
      </c>
      <c r="BB100" s="43" t="e">
        <f>BB99+(ATM_Conf!$C$5/ATM_Conf!$C$8)*(BV100*EXP(-(1/DJ100)*(AH100/CP100)^DJ100)-BB99)+(ATM_Conf!$C$5/AH287)*BB99*(Nodes!BJ99-BB99)-(ATM_Conf!$C$5*ATM_Conf!$C$9)/(AH287*ATM_Conf!$C$8)*(AI99-AH99)/(AH99+ATM_Conf!$C$10)</f>
        <v>#DIV/0!</v>
      </c>
      <c r="BC100" s="43" t="e">
        <f>BC99+(ATM_Conf!$C$5/ATM_Conf!$C$8)*(BW100*EXP(-(1/DK100)*(AI100/CQ100)^DK100)-BC99)+(ATM_Conf!$C$5/AI287)*BC99*(BB99-BC99)-(ATM_Conf!$C$5*ATM_Conf!$C$9)/(AI287*ATM_Conf!$C$8)*(AJ99-AI99)/(AI99+ATM_Conf!$C$10)</f>
        <v>#DIV/0!</v>
      </c>
      <c r="BD100" s="43" t="e">
        <f>BD99+(ATM_Conf!$C$5/ATM_Conf!$C$8)*(BX100*EXP(-(1/DL100)*(AJ100/CR100)^DL100)-BD99)+(ATM_Conf!$C$5/AJ287)*BD99*(BC99-BD99)-(ATM_Conf!$C$5*ATM_Conf!$C$9)/(AJ287*ATM_Conf!$C$8)*(Nodes!BX99-AJ99)/(AJ99+ATM_Conf!$C$10)</f>
        <v>#DIV/0!</v>
      </c>
      <c r="BE100" s="43" t="e">
        <f>BE99+(ATM_Conf!$C$5/ATM_Conf!$C$8)*(BY100*EXP(-(1/DM100)*(AK100/CS100)^DM100)-BE99)+(ATM_Conf!$C$5/AK287)*BE99*(Nodes!BK99-BE99)-(ATM_Conf!$C$5*ATM_Conf!$C$9)/(AK287*ATM_Conf!$C$8)*(Nodes!BY99-AK99)/(AK99+ATM_Conf!$C$10)</f>
        <v>#DIV/0!</v>
      </c>
      <c r="BF100" s="43" t="e">
        <f>BF99+(ATM_Conf!$C$5/ATM_Conf!$C$8)*(BZ100*EXP(-(1/DN100)*(AL100/CT100)^DN100)-BF99)+(ATM_Conf!$C$5/AL287)*BF99*(BE99-BF99)-(ATM_Conf!$C$5*ATM_Conf!$C$9)/(AL287*ATM_Conf!$C$8)*(AM99-AL99)/(AL99+ATM_Conf!$C$10)</f>
        <v>#DIV/0!</v>
      </c>
      <c r="BG100" s="43" t="e">
        <f>BG99+(ATM_Conf!$C$5/ATM_Conf!$C$8)*(CA100*EXP(-(1/DO100)*(AM100/CU100)^DO100)-BG99)+(ATM_Conf!$C$5/AM287)*BG99*(Nodes!BM99-BG99)-(ATM_Conf!$C$5*ATM_Conf!$C$9)/(AM287*ATM_Conf!$C$8)*(Nodes!CA99-AM99)/(AM99+ATM_Conf!$C$10)</f>
        <v>#DIV/0!</v>
      </c>
      <c r="BH100" s="43" t="e">
        <f>BH99+(ATM_Conf!$C$5/ATM_Conf!$C$8)*(CB100*EXP(-(1/DP100)*(AN100/CV100)^DP100)-BH99)+(ATM_Conf!$C$5/AN287)*BH99*(BG99-BH99)-(ATM_Conf!$C$5*ATM_Conf!$C$9)/(AN287*ATM_Conf!$C$8)*(AO99-AN99)/(AN99+ATM_Conf!$C$10)</f>
        <v>#DIV/0!</v>
      </c>
      <c r="BI100" s="43" t="e">
        <f>BI99+(ATM_Conf!$C$5/ATM_Conf!$C$8)*(CC100*EXP(-(1/DQ100)*(AO100/CW100)^DQ100)-BI99)+(ATM_Conf!$C$5/AO287)*BI99*(BH99-BI99)</f>
        <v>#DIV/0!</v>
      </c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/>
      <c r="BW100" s="53"/>
      <c r="BX100" s="53"/>
      <c r="BY100" s="53"/>
      <c r="BZ100" s="53"/>
      <c r="CA100" s="53"/>
      <c r="CB100" s="53"/>
      <c r="CC100" s="5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53"/>
      <c r="CY100" s="53"/>
      <c r="CZ100" s="53"/>
      <c r="DA100" s="53"/>
      <c r="DB100" s="53"/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  <c r="DR100" s="43">
        <f>DR$99</f>
        <v>0</v>
      </c>
      <c r="DS100" s="43">
        <f t="shared" ref="DS100:EK110" si="66">DS$99</f>
        <v>0</v>
      </c>
      <c r="DT100" s="43">
        <f t="shared" si="66"/>
        <v>0</v>
      </c>
      <c r="DU100" s="43">
        <f t="shared" si="66"/>
        <v>0</v>
      </c>
      <c r="DV100" s="43">
        <f t="shared" si="66"/>
        <v>0</v>
      </c>
      <c r="DW100" s="43">
        <f t="shared" si="66"/>
        <v>0</v>
      </c>
      <c r="DX100" s="43">
        <f t="shared" si="66"/>
        <v>0</v>
      </c>
      <c r="DY100" s="43">
        <f t="shared" si="66"/>
        <v>0</v>
      </c>
      <c r="DZ100" s="43">
        <f t="shared" si="66"/>
        <v>0</v>
      </c>
      <c r="EA100" s="43">
        <f t="shared" si="66"/>
        <v>0</v>
      </c>
      <c r="EB100" s="43">
        <f t="shared" si="66"/>
        <v>0</v>
      </c>
      <c r="EC100" s="43">
        <f t="shared" si="66"/>
        <v>0</v>
      </c>
      <c r="ED100" s="43">
        <f t="shared" si="66"/>
        <v>0</v>
      </c>
      <c r="EE100" s="43">
        <f t="shared" si="66"/>
        <v>0</v>
      </c>
      <c r="EF100" s="43">
        <f t="shared" si="66"/>
        <v>0</v>
      </c>
      <c r="EG100" s="43">
        <f t="shared" si="66"/>
        <v>0</v>
      </c>
      <c r="EH100" s="43">
        <f t="shared" si="66"/>
        <v>0</v>
      </c>
      <c r="EI100" s="43">
        <f t="shared" si="66"/>
        <v>0</v>
      </c>
      <c r="EJ100" s="43">
        <f t="shared" si="66"/>
        <v>0</v>
      </c>
      <c r="EK100" s="43">
        <f t="shared" si="66"/>
        <v>0</v>
      </c>
      <c r="EL100" s="47"/>
      <c r="EM100" s="47"/>
      <c r="EN100" s="47"/>
      <c r="EO100" s="47"/>
      <c r="EP100" s="47"/>
      <c r="EQ100" s="47"/>
      <c r="ER100" s="47"/>
      <c r="ES100" s="47"/>
      <c r="ET100" s="47"/>
      <c r="EU100" s="47"/>
      <c r="EV100" s="47"/>
      <c r="EW100" s="47"/>
      <c r="EX100" s="47"/>
      <c r="EY100" s="47"/>
      <c r="EZ100" s="47"/>
      <c r="FA100" s="47"/>
      <c r="FB100" s="47"/>
      <c r="FC100" s="47"/>
      <c r="FD100" s="47"/>
      <c r="FE100" s="47"/>
    </row>
    <row r="101" spans="1:161" ht="14.25" x14ac:dyDescent="0.15">
      <c r="A101" s="46"/>
      <c r="B101" s="43" t="e">
        <f t="shared" si="39"/>
        <v>#DIV/0!</v>
      </c>
      <c r="C101" s="43" t="e">
        <f t="shared" si="40"/>
        <v>#DIV/0!</v>
      </c>
      <c r="D101" s="43" t="e">
        <f t="shared" si="41"/>
        <v>#DIV/0!</v>
      </c>
      <c r="E101" s="43" t="e">
        <f t="shared" si="42"/>
        <v>#DIV/0!</v>
      </c>
      <c r="F101" s="43" t="e">
        <f t="shared" si="43"/>
        <v>#DIV/0!</v>
      </c>
      <c r="G101" s="43" t="e">
        <f t="shared" si="44"/>
        <v>#DIV/0!</v>
      </c>
      <c r="H101" s="43" t="e">
        <f t="shared" si="45"/>
        <v>#DIV/0!</v>
      </c>
      <c r="I101" s="43" t="e">
        <f t="shared" si="46"/>
        <v>#DIV/0!</v>
      </c>
      <c r="J101" s="43" t="e">
        <f t="shared" si="47"/>
        <v>#DIV/0!</v>
      </c>
      <c r="K101" s="43" t="e">
        <f t="shared" si="48"/>
        <v>#DIV/0!</v>
      </c>
      <c r="L101" s="43" t="e">
        <f t="shared" si="49"/>
        <v>#DIV/0!</v>
      </c>
      <c r="M101" s="43" t="e">
        <f t="shared" si="50"/>
        <v>#DIV/0!</v>
      </c>
      <c r="N101" s="43" t="e">
        <f t="shared" si="51"/>
        <v>#DIV/0!</v>
      </c>
      <c r="O101" s="43" t="e">
        <f t="shared" si="52"/>
        <v>#DIV/0!</v>
      </c>
      <c r="P101" s="43" t="e">
        <f t="shared" si="53"/>
        <v>#DIV/0!</v>
      </c>
      <c r="Q101" s="43" t="e">
        <f t="shared" si="54"/>
        <v>#DIV/0!</v>
      </c>
      <c r="R101" s="43" t="e">
        <f t="shared" si="55"/>
        <v>#DIV/0!</v>
      </c>
      <c r="S101" s="43" t="e">
        <f t="shared" si="56"/>
        <v>#DIV/0!</v>
      </c>
      <c r="T101" s="43" t="e">
        <f t="shared" si="57"/>
        <v>#DIV/0!</v>
      </c>
      <c r="U101" s="43" t="e">
        <f t="shared" si="58"/>
        <v>#DIV/0!</v>
      </c>
      <c r="V101" s="53" t="e">
        <f>V100+ATM_Conf!$C$5*(B100)/(B288*V288)</f>
        <v>#DIV/0!</v>
      </c>
      <c r="W101" s="53" t="e">
        <f>W100+ATM_Conf!$C$5*(C100-B100)/(C288*W288)</f>
        <v>#DIV/0!</v>
      </c>
      <c r="X101" s="53" t="e">
        <f>X100+ATM_Conf!$C$5*(D100-C100)/(D288*X288)</f>
        <v>#DIV/0!</v>
      </c>
      <c r="Y101" s="53" t="e">
        <f>Y100+ATM_Conf!$C$5*(E100-D100)/(E288*Y288)</f>
        <v>#DIV/0!</v>
      </c>
      <c r="Z101" s="53" t="e">
        <f>Z100+ATM_Conf!$C$5*(F100-E100)/(F288*Z288)</f>
        <v>#DIV/0!</v>
      </c>
      <c r="AA101" s="53" t="e">
        <f>AA100+ATM_Conf!$C$5*(G100-F100)/(G288*AA288)</f>
        <v>#DIV/0!</v>
      </c>
      <c r="AB101" s="53" t="e">
        <f>AB100+ATM_Conf!$C$5*(H100-G100)/(H288*AB288)</f>
        <v>#DIV/0!</v>
      </c>
      <c r="AC101" s="53" t="e">
        <f>AC100+ATM_Conf!$C$5*(I100-H100)/(I288*AC288)</f>
        <v>#DIV/0!</v>
      </c>
      <c r="AD101" s="53" t="e">
        <f>AD100+ATM_Conf!$C$5*(J100-I100)/(J288*AD288)</f>
        <v>#DIV/0!</v>
      </c>
      <c r="AE101" s="53" t="e">
        <f>AE100+ATM_Conf!$C$5*(K100-J100)/(K288*AE288)</f>
        <v>#DIV/0!</v>
      </c>
      <c r="AF101" s="53" t="e">
        <f>AF100+ATM_Conf!$C$5*(L100)/(L288*AF288)</f>
        <v>#DIV/0!</v>
      </c>
      <c r="AG101" s="53" t="e">
        <f>AG100+ATM_Conf!$C$5*(M100-L100)/(M288*AG288)</f>
        <v>#DIV/0!</v>
      </c>
      <c r="AH101" s="53" t="e">
        <f>AH100+ATM_Conf!$C$5*(N100-M100)/(N288*AH288)</f>
        <v>#DIV/0!</v>
      </c>
      <c r="AI101" s="53" t="e">
        <f>AI100+ATM_Conf!$C$5*(O100-N100)/(O288*AI288)</f>
        <v>#DIV/0!</v>
      </c>
      <c r="AJ101" s="53" t="e">
        <f>AJ100+ATM_Conf!$C$5*(P100-O100)/(P288*AJ288)</f>
        <v>#DIV/0!</v>
      </c>
      <c r="AK101" s="53" t="e">
        <f>AK100+ATM_Conf!$C$5*(Q100-P100)/(Q288*AK288)</f>
        <v>#DIV/0!</v>
      </c>
      <c r="AL101" s="53" t="e">
        <f>AL100+ATM_Conf!$C$5*(R100-Q100)/(R288*AL288)</f>
        <v>#DIV/0!</v>
      </c>
      <c r="AM101" s="53" t="e">
        <f>AM100+ATM_Conf!$C$5*(S100-R100)/(S288*AM288)</f>
        <v>#DIV/0!</v>
      </c>
      <c r="AN101" s="53" t="e">
        <f>AN100+ATM_Conf!$C$5*(T100-S100)/(T288*AN288)</f>
        <v>#DIV/0!</v>
      </c>
      <c r="AO101" s="53" t="e">
        <f>AO100+ATM_Conf!$C$5*(U100-T100)/(U288*AO288)</f>
        <v>#DIV/0!</v>
      </c>
      <c r="AP101" s="43" t="e">
        <f>AP100+(ATM_Conf!$C$5/ATM_Conf!$C$8)*(BJ101*EXP(-(1/CX101)*(V101/CD101)^CX101)-AP100)-(ATM_Conf!$C$5*ATM_Conf!$C$9)/(V288*ATM_Conf!$C$8)*(Nodes!BO100-V100)/(V100+ATM_Conf!$C$10)</f>
        <v>#DIV/0!</v>
      </c>
      <c r="AQ101" s="43" t="e">
        <f>AQ100+(ATM_Conf!$C$5/ATM_Conf!$C$8)*(BK101*EXP(-(1/CY101)*(W101/CE101)^CY101)-AQ100)+(ATM_Conf!$C$5/W288)*AQ100*(AP100-AQ100)-(ATM_Conf!$C$5*ATM_Conf!$C$9)/(W288*ATM_Conf!$C$8)*(X100-W100)/(W100+ATM_Conf!$C$10)</f>
        <v>#DIV/0!</v>
      </c>
      <c r="AR101" s="43" t="e">
        <f>AR100+(ATM_Conf!$C$5/ATM_Conf!$C$8)*(BL101*EXP(-(1/CZ101)*(X101/CF101)^CZ101)-AR100)+(ATM_Conf!$C$5/X288)*AR100*(Nodes!BC100-AR100)-(ATM_Conf!$C$5*ATM_Conf!$C$9)/(X288*ATM_Conf!$C$8)*(Nodes!BQ100-X100)/(X100+ATM_Conf!$C$10)</f>
        <v>#DIV/0!</v>
      </c>
      <c r="AS101" s="43" t="e">
        <f>AS100+(ATM_Conf!$C$5/ATM_Conf!$C$8)*(BM101*EXP(-(1/DA101)*(Y101/CG101)^DA101)-AS100)+(ATM_Conf!$C$5/Y288)*AS100*(AR100-AS100)-(ATM_Conf!$C$5*ATM_Conf!$C$9)/(Y288*ATM_Conf!$C$8)*(Z100-Y100)/(Y100+ATM_Conf!$C$10)</f>
        <v>#DIV/0!</v>
      </c>
      <c r="AT101" s="43" t="e">
        <f>AT100+(ATM_Conf!$C$5/ATM_Conf!$C$8)*(BN101*EXP(-(1/DB101)*(Z101/CH101)^DB101)-AT100)+(ATM_Conf!$C$5/Z288)*AT100*(Nodes!BE100-AT100)-(ATM_Conf!$C$5*ATM_Conf!$C$9)/(Z288*ATM_Conf!$C$8)*(Nodes!BS100-Z100)/(Z100+ATM_Conf!$C$10)</f>
        <v>#DIV/0!</v>
      </c>
      <c r="AU101" s="43" t="e">
        <f>AU100+(ATM_Conf!$C$5/ATM_Conf!$C$8)*(BO101*EXP(-(1/DC101)*(AA101/CI101)^DC101)-AU100)+(ATM_Conf!$C$5/AA288)*AU100*(Nodes!BF100-AU100)-(ATM_Conf!$C$5*ATM_Conf!$C$9)/(AA288*ATM_Conf!$C$8)*(Nodes!BV100-AA100)/(AA100+ATM_Conf!$C$10)</f>
        <v>#DIV/0!</v>
      </c>
      <c r="AV101" s="43" t="e">
        <f>AV100+(ATM_Conf!$C$5/ATM_Conf!$C$8)*(BP101*EXP(-(1/DD101)*(AB101/CJ101)^DD101)-AV100)+(ATM_Conf!$C$5/AB288)*AV100*(AU100-AV100)-(ATM_Conf!$C$5*ATM_Conf!$C$9)/(AB288*ATM_Conf!$C$8)*(AC100-AB100)/(AB100+ATM_Conf!$C$10)</f>
        <v>#DIV/0!</v>
      </c>
      <c r="AW101" s="43" t="e">
        <f>AW100+(ATM_Conf!$C$5/ATM_Conf!$C$8)*(BQ101*EXP(-(1/DE101)*(AC101/CK101)^DE101)-AW100)+(ATM_Conf!$C$5/AC288)*AW100*(AV100-AW100)-(ATM_Conf!$C$5*ATM_Conf!$C$9)/(AC288*ATM_Conf!$C$8)*(AD100-AC100)/(AC100+ATM_Conf!$C$10)</f>
        <v>#DIV/0!</v>
      </c>
      <c r="AX101" s="43" t="e">
        <f>AX100+(ATM_Conf!$C$5/ATM_Conf!$C$8)*(BR101*EXP(-(1/DF101)*(AD101/CL101)^DF101)-AX100)+(ATM_Conf!$C$5/AD288)*AX100*(Nodes!BG100-AX100)-(ATM_Conf!$C$5*ATM_Conf!$C$9)/(AD288*ATM_Conf!$C$8)*(Nodes!BU100-AD100)/(AD100+ATM_Conf!$C$10)</f>
        <v>#DIV/0!</v>
      </c>
      <c r="AY101" s="43" t="e">
        <f>AY100+(ATM_Conf!$C$5/ATM_Conf!$C$8)*(BS101*EXP(-(1/DG101)*(AE101/CM101)^DG101)-AY100)+(ATM_Conf!$C$5/AE288)*AY100*(Nodes!BF100-AY100)</f>
        <v>#DIV/0!</v>
      </c>
      <c r="AZ101" s="43" t="e">
        <f>AZ100+(ATM_Conf!$C$5/ATM_Conf!$C$8)*(BT101*EXP(-(1/DH101)*(AF101/CN101)^DH101)-AZ100)-(ATM_Conf!$C$5*ATM_Conf!$C$9)/(AF288*ATM_Conf!$C$8)*(Nodes!BV100-AF100)/(AF100+ATM_Conf!$C$10)</f>
        <v>#DIV/0!</v>
      </c>
      <c r="BA101" s="43" t="e">
        <f>BA100+(ATM_Conf!$C$5/ATM_Conf!$C$8)*(BU101*EXP(-(1/DI101)*(AG101/CO101)^DI101)-BA100)+(ATM_Conf!$C$5/AG288)*BA100*(Nodes!BI100-BA100)-(ATM_Conf!$C$5*ATM_Conf!$C$9)/(AG288*ATM_Conf!$C$8)*(Nodes!BW100-AG100)/(AG100+ATM_Conf!$C$10)</f>
        <v>#DIV/0!</v>
      </c>
      <c r="BB101" s="43" t="e">
        <f>BB100+(ATM_Conf!$C$5/ATM_Conf!$C$8)*(BV101*EXP(-(1/DJ101)*(AH101/CP101)^DJ101)-BB100)+(ATM_Conf!$C$5/AH288)*BB100*(Nodes!BJ100-BB100)-(ATM_Conf!$C$5*ATM_Conf!$C$9)/(AH288*ATM_Conf!$C$8)*(AI100-AH100)/(AH100+ATM_Conf!$C$10)</f>
        <v>#DIV/0!</v>
      </c>
      <c r="BC101" s="43" t="e">
        <f>BC100+(ATM_Conf!$C$5/ATM_Conf!$C$8)*(BW101*EXP(-(1/DK101)*(AI101/CQ101)^DK101)-BC100)+(ATM_Conf!$C$5/AI288)*BC100*(BB100-BC100)-(ATM_Conf!$C$5*ATM_Conf!$C$9)/(AI288*ATM_Conf!$C$8)*(AJ100-AI100)/(AI100+ATM_Conf!$C$10)</f>
        <v>#DIV/0!</v>
      </c>
      <c r="BD101" s="43" t="e">
        <f>BD100+(ATM_Conf!$C$5/ATM_Conf!$C$8)*(BX101*EXP(-(1/DL101)*(AJ101/CR101)^DL101)-BD100)+(ATM_Conf!$C$5/AJ288)*BD100*(BC100-BD100)-(ATM_Conf!$C$5*ATM_Conf!$C$9)/(AJ288*ATM_Conf!$C$8)*(Nodes!BX100-AJ100)/(AJ100+ATM_Conf!$C$10)</f>
        <v>#DIV/0!</v>
      </c>
      <c r="BE101" s="43" t="e">
        <f>BE100+(ATM_Conf!$C$5/ATM_Conf!$C$8)*(BY101*EXP(-(1/DM101)*(AK101/CS101)^DM101)-BE100)+(ATM_Conf!$C$5/AK288)*BE100*(Nodes!BK100-BE100)-(ATM_Conf!$C$5*ATM_Conf!$C$9)/(AK288*ATM_Conf!$C$8)*(Nodes!BY100-AK100)/(AK100+ATM_Conf!$C$10)</f>
        <v>#DIV/0!</v>
      </c>
      <c r="BF101" s="43" t="e">
        <f>BF100+(ATM_Conf!$C$5/ATM_Conf!$C$8)*(BZ101*EXP(-(1/DN101)*(AL101/CT101)^DN101)-BF100)+(ATM_Conf!$C$5/AL288)*BF100*(BE100-BF100)-(ATM_Conf!$C$5*ATM_Conf!$C$9)/(AL288*ATM_Conf!$C$8)*(AM100-AL100)/(AL100+ATM_Conf!$C$10)</f>
        <v>#DIV/0!</v>
      </c>
      <c r="BG101" s="43" t="e">
        <f>BG100+(ATM_Conf!$C$5/ATM_Conf!$C$8)*(CA101*EXP(-(1/DO101)*(AM101/CU101)^DO101)-BG100)+(ATM_Conf!$C$5/AM288)*BG100*(Nodes!BM100-BG100)-(ATM_Conf!$C$5*ATM_Conf!$C$9)/(AM288*ATM_Conf!$C$8)*(Nodes!CA100-AM100)/(AM100+ATM_Conf!$C$10)</f>
        <v>#DIV/0!</v>
      </c>
      <c r="BH101" s="43" t="e">
        <f>BH100+(ATM_Conf!$C$5/ATM_Conf!$C$8)*(CB101*EXP(-(1/DP101)*(AN101/CV101)^DP101)-BH100)+(ATM_Conf!$C$5/AN288)*BH100*(BG100-BH100)-(ATM_Conf!$C$5*ATM_Conf!$C$9)/(AN288*ATM_Conf!$C$8)*(AO100-AN100)/(AN100+ATM_Conf!$C$10)</f>
        <v>#DIV/0!</v>
      </c>
      <c r="BI101" s="43" t="e">
        <f>BI100+(ATM_Conf!$C$5/ATM_Conf!$C$8)*(CC101*EXP(-(1/DQ101)*(AO101/CW101)^DQ101)-BI100)+(ATM_Conf!$C$5/AO288)*BI100*(BH100-BI100)</f>
        <v>#DIV/0!</v>
      </c>
      <c r="BJ101" s="53"/>
      <c r="BK101" s="53"/>
      <c r="BL101" s="53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/>
      <c r="BW101" s="53"/>
      <c r="BX101" s="53"/>
      <c r="BY101" s="53"/>
      <c r="BZ101" s="53"/>
      <c r="CA101" s="53"/>
      <c r="CB101" s="53"/>
      <c r="CC101" s="5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53"/>
      <c r="CY101" s="53"/>
      <c r="CZ101" s="53"/>
      <c r="DA101" s="53"/>
      <c r="DB101" s="53"/>
      <c r="DC101" s="53"/>
      <c r="DD101" s="53"/>
      <c r="DE101" s="53"/>
      <c r="DF101" s="53"/>
      <c r="DG101" s="53"/>
      <c r="DH101" s="53"/>
      <c r="DI101" s="53"/>
      <c r="DJ101" s="53"/>
      <c r="DK101" s="53"/>
      <c r="DL101" s="53"/>
      <c r="DM101" s="53"/>
      <c r="DN101" s="53"/>
      <c r="DO101" s="53"/>
      <c r="DP101" s="53"/>
      <c r="DQ101" s="53"/>
      <c r="DR101" s="43">
        <f t="shared" ref="DR101:DR110" si="67">DR$99</f>
        <v>0</v>
      </c>
      <c r="DS101" s="43">
        <f t="shared" si="66"/>
        <v>0</v>
      </c>
      <c r="DT101" s="43">
        <f t="shared" si="66"/>
        <v>0</v>
      </c>
      <c r="DU101" s="43">
        <f t="shared" si="66"/>
        <v>0</v>
      </c>
      <c r="DV101" s="43">
        <f t="shared" si="66"/>
        <v>0</v>
      </c>
      <c r="DW101" s="43">
        <f t="shared" si="66"/>
        <v>0</v>
      </c>
      <c r="DX101" s="43">
        <f t="shared" si="66"/>
        <v>0</v>
      </c>
      <c r="DY101" s="43">
        <f t="shared" si="66"/>
        <v>0</v>
      </c>
      <c r="DZ101" s="43">
        <f t="shared" si="66"/>
        <v>0</v>
      </c>
      <c r="EA101" s="43">
        <f t="shared" si="66"/>
        <v>0</v>
      </c>
      <c r="EB101" s="43">
        <f t="shared" si="66"/>
        <v>0</v>
      </c>
      <c r="EC101" s="43">
        <f t="shared" si="66"/>
        <v>0</v>
      </c>
      <c r="ED101" s="43">
        <f t="shared" si="66"/>
        <v>0</v>
      </c>
      <c r="EE101" s="43">
        <f t="shared" si="66"/>
        <v>0</v>
      </c>
      <c r="EF101" s="43">
        <f t="shared" si="66"/>
        <v>0</v>
      </c>
      <c r="EG101" s="43">
        <f t="shared" si="66"/>
        <v>0</v>
      </c>
      <c r="EH101" s="43">
        <f t="shared" si="66"/>
        <v>0</v>
      </c>
      <c r="EI101" s="43">
        <f t="shared" si="66"/>
        <v>0</v>
      </c>
      <c r="EJ101" s="43">
        <f t="shared" si="66"/>
        <v>0</v>
      </c>
      <c r="EK101" s="43">
        <f t="shared" si="66"/>
        <v>0</v>
      </c>
      <c r="EL101" s="47"/>
      <c r="EM101" s="47"/>
      <c r="EN101" s="47"/>
      <c r="EO101" s="47"/>
      <c r="EP101" s="47"/>
      <c r="EQ101" s="47"/>
      <c r="ER101" s="47"/>
      <c r="ES101" s="47"/>
      <c r="ET101" s="47"/>
      <c r="EU101" s="47"/>
      <c r="EV101" s="47"/>
      <c r="EW101" s="47"/>
      <c r="EX101" s="47"/>
      <c r="EY101" s="47"/>
      <c r="EZ101" s="47"/>
      <c r="FA101" s="47"/>
      <c r="FB101" s="47"/>
      <c r="FC101" s="47"/>
      <c r="FD101" s="47"/>
      <c r="FE101" s="47"/>
    </row>
    <row r="102" spans="1:161" ht="14.25" x14ac:dyDescent="0.15">
      <c r="A102" s="46"/>
      <c r="B102" s="43" t="e">
        <f t="shared" si="39"/>
        <v>#DIV/0!</v>
      </c>
      <c r="C102" s="43" t="e">
        <f t="shared" si="40"/>
        <v>#DIV/0!</v>
      </c>
      <c r="D102" s="43" t="e">
        <f t="shared" si="41"/>
        <v>#DIV/0!</v>
      </c>
      <c r="E102" s="43" t="e">
        <f t="shared" si="42"/>
        <v>#DIV/0!</v>
      </c>
      <c r="F102" s="43" t="e">
        <f t="shared" si="43"/>
        <v>#DIV/0!</v>
      </c>
      <c r="G102" s="43" t="e">
        <f t="shared" si="44"/>
        <v>#DIV/0!</v>
      </c>
      <c r="H102" s="43" t="e">
        <f t="shared" si="45"/>
        <v>#DIV/0!</v>
      </c>
      <c r="I102" s="43" t="e">
        <f t="shared" si="46"/>
        <v>#DIV/0!</v>
      </c>
      <c r="J102" s="43" t="e">
        <f t="shared" si="47"/>
        <v>#DIV/0!</v>
      </c>
      <c r="K102" s="43" t="e">
        <f t="shared" si="48"/>
        <v>#DIV/0!</v>
      </c>
      <c r="L102" s="43" t="e">
        <f t="shared" si="49"/>
        <v>#DIV/0!</v>
      </c>
      <c r="M102" s="43" t="e">
        <f t="shared" si="50"/>
        <v>#DIV/0!</v>
      </c>
      <c r="N102" s="43" t="e">
        <f t="shared" si="51"/>
        <v>#DIV/0!</v>
      </c>
      <c r="O102" s="43" t="e">
        <f t="shared" si="52"/>
        <v>#DIV/0!</v>
      </c>
      <c r="P102" s="43" t="e">
        <f t="shared" si="53"/>
        <v>#DIV/0!</v>
      </c>
      <c r="Q102" s="43" t="e">
        <f t="shared" si="54"/>
        <v>#DIV/0!</v>
      </c>
      <c r="R102" s="43" t="e">
        <f t="shared" si="55"/>
        <v>#DIV/0!</v>
      </c>
      <c r="S102" s="43" t="e">
        <f t="shared" si="56"/>
        <v>#DIV/0!</v>
      </c>
      <c r="T102" s="43" t="e">
        <f t="shared" si="57"/>
        <v>#DIV/0!</v>
      </c>
      <c r="U102" s="43" t="e">
        <f t="shared" si="58"/>
        <v>#DIV/0!</v>
      </c>
      <c r="V102" s="53" t="e">
        <f>V101+ATM_Conf!$C$5*(B101)/(B289*V289)</f>
        <v>#DIV/0!</v>
      </c>
      <c r="W102" s="53" t="e">
        <f>W101+ATM_Conf!$C$5*(C101-B101)/(C289*W289)</f>
        <v>#DIV/0!</v>
      </c>
      <c r="X102" s="53" t="e">
        <f>X101+ATM_Conf!$C$5*(D101-C101)/(D289*X289)</f>
        <v>#DIV/0!</v>
      </c>
      <c r="Y102" s="53" t="e">
        <f>Y101+ATM_Conf!$C$5*(E101-D101)/(E289*Y289)</f>
        <v>#DIV/0!</v>
      </c>
      <c r="Z102" s="53" t="e">
        <f>Z101+ATM_Conf!$C$5*(F101-E101)/(F289*Z289)</f>
        <v>#DIV/0!</v>
      </c>
      <c r="AA102" s="53" t="e">
        <f>AA101+ATM_Conf!$C$5*(G101-F101)/(G289*AA289)</f>
        <v>#DIV/0!</v>
      </c>
      <c r="AB102" s="53" t="e">
        <f>AB101+ATM_Conf!$C$5*(H101-G101)/(H289*AB289)</f>
        <v>#DIV/0!</v>
      </c>
      <c r="AC102" s="53" t="e">
        <f>AC101+ATM_Conf!$C$5*(I101-H101)/(I289*AC289)</f>
        <v>#DIV/0!</v>
      </c>
      <c r="AD102" s="53" t="e">
        <f>AD101+ATM_Conf!$C$5*(J101-I101)/(J289*AD289)</f>
        <v>#DIV/0!</v>
      </c>
      <c r="AE102" s="53" t="e">
        <f>AE101+ATM_Conf!$C$5*(K101-J101)/(K289*AE289)</f>
        <v>#DIV/0!</v>
      </c>
      <c r="AF102" s="53" t="e">
        <f>AF101+ATM_Conf!$C$5*(L101)/(L289*AF289)</f>
        <v>#DIV/0!</v>
      </c>
      <c r="AG102" s="53" t="e">
        <f>AG101+ATM_Conf!$C$5*(M101-L101)/(M289*AG289)</f>
        <v>#DIV/0!</v>
      </c>
      <c r="AH102" s="53" t="e">
        <f>AH101+ATM_Conf!$C$5*(N101-M101)/(N289*AH289)</f>
        <v>#DIV/0!</v>
      </c>
      <c r="AI102" s="53" t="e">
        <f>AI101+ATM_Conf!$C$5*(O101-N101)/(O289*AI289)</f>
        <v>#DIV/0!</v>
      </c>
      <c r="AJ102" s="53" t="e">
        <f>AJ101+ATM_Conf!$C$5*(P101-O101)/(P289*AJ289)</f>
        <v>#DIV/0!</v>
      </c>
      <c r="AK102" s="53" t="e">
        <f>AK101+ATM_Conf!$C$5*(Q101-P101)/(Q289*AK289)</f>
        <v>#DIV/0!</v>
      </c>
      <c r="AL102" s="53" t="e">
        <f>AL101+ATM_Conf!$C$5*(R101-Q101)/(R289*AL289)</f>
        <v>#DIV/0!</v>
      </c>
      <c r="AM102" s="53" t="e">
        <f>AM101+ATM_Conf!$C$5*(S101-R101)/(S289*AM289)</f>
        <v>#DIV/0!</v>
      </c>
      <c r="AN102" s="53" t="e">
        <f>AN101+ATM_Conf!$C$5*(T101-S101)/(T289*AN289)</f>
        <v>#DIV/0!</v>
      </c>
      <c r="AO102" s="53" t="e">
        <f>AO101+ATM_Conf!$C$5*(U101-T101)/(U289*AO289)</f>
        <v>#DIV/0!</v>
      </c>
      <c r="AP102" s="43" t="e">
        <f>AP101+(ATM_Conf!$C$5/ATM_Conf!$C$8)*(BJ102*EXP(-(1/CX102)*(V102/CD102)^CX102)-AP101)-(ATM_Conf!$C$5*ATM_Conf!$C$9)/(V289*ATM_Conf!$C$8)*(Nodes!BO101-V101)/(V101+ATM_Conf!$C$10)</f>
        <v>#DIV/0!</v>
      </c>
      <c r="AQ102" s="43" t="e">
        <f>AQ101+(ATM_Conf!$C$5/ATM_Conf!$C$8)*(BK102*EXP(-(1/CY102)*(W102/CE102)^CY102)-AQ101)+(ATM_Conf!$C$5/W289)*AQ101*(AP101-AQ101)-(ATM_Conf!$C$5*ATM_Conf!$C$9)/(W289*ATM_Conf!$C$8)*(X101-W101)/(W101+ATM_Conf!$C$10)</f>
        <v>#DIV/0!</v>
      </c>
      <c r="AR102" s="43" t="e">
        <f>AR101+(ATM_Conf!$C$5/ATM_Conf!$C$8)*(BL102*EXP(-(1/CZ102)*(X102/CF102)^CZ102)-AR101)+(ATM_Conf!$C$5/X289)*AR101*(Nodes!BC101-AR101)-(ATM_Conf!$C$5*ATM_Conf!$C$9)/(X289*ATM_Conf!$C$8)*(Nodes!BQ101-X101)/(X101+ATM_Conf!$C$10)</f>
        <v>#DIV/0!</v>
      </c>
      <c r="AS102" s="43" t="e">
        <f>AS101+(ATM_Conf!$C$5/ATM_Conf!$C$8)*(BM102*EXP(-(1/DA102)*(Y102/CG102)^DA102)-AS101)+(ATM_Conf!$C$5/Y289)*AS101*(AR101-AS101)-(ATM_Conf!$C$5*ATM_Conf!$C$9)/(Y289*ATM_Conf!$C$8)*(Z101-Y101)/(Y101+ATM_Conf!$C$10)</f>
        <v>#DIV/0!</v>
      </c>
      <c r="AT102" s="43" t="e">
        <f>AT101+(ATM_Conf!$C$5/ATM_Conf!$C$8)*(BN102*EXP(-(1/DB102)*(Z102/CH102)^DB102)-AT101)+(ATM_Conf!$C$5/Z289)*AT101*(Nodes!BE101-AT101)-(ATM_Conf!$C$5*ATM_Conf!$C$9)/(Z289*ATM_Conf!$C$8)*(Nodes!BS101-Z101)/(Z101+ATM_Conf!$C$10)</f>
        <v>#DIV/0!</v>
      </c>
      <c r="AU102" s="43" t="e">
        <f>AU101+(ATM_Conf!$C$5/ATM_Conf!$C$8)*(BO102*EXP(-(1/DC102)*(AA102/CI102)^DC102)-AU101)+(ATM_Conf!$C$5/AA289)*AU101*(Nodes!BF101-AU101)-(ATM_Conf!$C$5*ATM_Conf!$C$9)/(AA289*ATM_Conf!$C$8)*(Nodes!BV101-AA101)/(AA101+ATM_Conf!$C$10)</f>
        <v>#DIV/0!</v>
      </c>
      <c r="AV102" s="43" t="e">
        <f>AV101+(ATM_Conf!$C$5/ATM_Conf!$C$8)*(BP102*EXP(-(1/DD102)*(AB102/CJ102)^DD102)-AV101)+(ATM_Conf!$C$5/AB289)*AV101*(AU101-AV101)-(ATM_Conf!$C$5*ATM_Conf!$C$9)/(AB289*ATM_Conf!$C$8)*(AC101-AB101)/(AB101+ATM_Conf!$C$10)</f>
        <v>#DIV/0!</v>
      </c>
      <c r="AW102" s="43" t="e">
        <f>AW101+(ATM_Conf!$C$5/ATM_Conf!$C$8)*(BQ102*EXP(-(1/DE102)*(AC102/CK102)^DE102)-AW101)+(ATM_Conf!$C$5/AC289)*AW101*(AV101-AW101)-(ATM_Conf!$C$5*ATM_Conf!$C$9)/(AC289*ATM_Conf!$C$8)*(AD101-AC101)/(AC101+ATM_Conf!$C$10)</f>
        <v>#DIV/0!</v>
      </c>
      <c r="AX102" s="43" t="e">
        <f>AX101+(ATM_Conf!$C$5/ATM_Conf!$C$8)*(BR102*EXP(-(1/DF102)*(AD102/CL102)^DF102)-AX101)+(ATM_Conf!$C$5/AD289)*AX101*(Nodes!BG101-AX101)-(ATM_Conf!$C$5*ATM_Conf!$C$9)/(AD289*ATM_Conf!$C$8)*(Nodes!BU101-AD101)/(AD101+ATM_Conf!$C$10)</f>
        <v>#DIV/0!</v>
      </c>
      <c r="AY102" s="43" t="e">
        <f>AY101+(ATM_Conf!$C$5/ATM_Conf!$C$8)*(BS102*EXP(-(1/DG102)*(AE102/CM102)^DG102)-AY101)+(ATM_Conf!$C$5/AE289)*AY101*(Nodes!BF101-AY101)</f>
        <v>#DIV/0!</v>
      </c>
      <c r="AZ102" s="43" t="e">
        <f>AZ101+(ATM_Conf!$C$5/ATM_Conf!$C$8)*(BT102*EXP(-(1/DH102)*(AF102/CN102)^DH102)-AZ101)-(ATM_Conf!$C$5*ATM_Conf!$C$9)/(AF289*ATM_Conf!$C$8)*(Nodes!BV101-AF101)/(AF101+ATM_Conf!$C$10)</f>
        <v>#DIV/0!</v>
      </c>
      <c r="BA102" s="43" t="e">
        <f>BA101+(ATM_Conf!$C$5/ATM_Conf!$C$8)*(BU102*EXP(-(1/DI102)*(AG102/CO102)^DI102)-BA101)+(ATM_Conf!$C$5/AG289)*BA101*(Nodes!BI101-BA101)-(ATM_Conf!$C$5*ATM_Conf!$C$9)/(AG289*ATM_Conf!$C$8)*(Nodes!BW101-AG101)/(AG101+ATM_Conf!$C$10)</f>
        <v>#DIV/0!</v>
      </c>
      <c r="BB102" s="43" t="e">
        <f>BB101+(ATM_Conf!$C$5/ATM_Conf!$C$8)*(BV102*EXP(-(1/DJ102)*(AH102/CP102)^DJ102)-BB101)+(ATM_Conf!$C$5/AH289)*BB101*(Nodes!BJ101-BB101)-(ATM_Conf!$C$5*ATM_Conf!$C$9)/(AH289*ATM_Conf!$C$8)*(AI101-AH101)/(AH101+ATM_Conf!$C$10)</f>
        <v>#DIV/0!</v>
      </c>
      <c r="BC102" s="43" t="e">
        <f>BC101+(ATM_Conf!$C$5/ATM_Conf!$C$8)*(BW102*EXP(-(1/DK102)*(AI102/CQ102)^DK102)-BC101)+(ATM_Conf!$C$5/AI289)*BC101*(BB101-BC101)-(ATM_Conf!$C$5*ATM_Conf!$C$9)/(AI289*ATM_Conf!$C$8)*(AJ101-AI101)/(AI101+ATM_Conf!$C$10)</f>
        <v>#DIV/0!</v>
      </c>
      <c r="BD102" s="43" t="e">
        <f>BD101+(ATM_Conf!$C$5/ATM_Conf!$C$8)*(BX102*EXP(-(1/DL102)*(AJ102/CR102)^DL102)-BD101)+(ATM_Conf!$C$5/AJ289)*BD101*(BC101-BD101)-(ATM_Conf!$C$5*ATM_Conf!$C$9)/(AJ289*ATM_Conf!$C$8)*(Nodes!BX101-AJ101)/(AJ101+ATM_Conf!$C$10)</f>
        <v>#DIV/0!</v>
      </c>
      <c r="BE102" s="43" t="e">
        <f>BE101+(ATM_Conf!$C$5/ATM_Conf!$C$8)*(BY102*EXP(-(1/DM102)*(AK102/CS102)^DM102)-BE101)+(ATM_Conf!$C$5/AK289)*BE101*(Nodes!BK101-BE101)-(ATM_Conf!$C$5*ATM_Conf!$C$9)/(AK289*ATM_Conf!$C$8)*(Nodes!BY101-AK101)/(AK101+ATM_Conf!$C$10)</f>
        <v>#DIV/0!</v>
      </c>
      <c r="BF102" s="43" t="e">
        <f>BF101+(ATM_Conf!$C$5/ATM_Conf!$C$8)*(BZ102*EXP(-(1/DN102)*(AL102/CT102)^DN102)-BF101)+(ATM_Conf!$C$5/AL289)*BF101*(BE101-BF101)-(ATM_Conf!$C$5*ATM_Conf!$C$9)/(AL289*ATM_Conf!$C$8)*(AM101-AL101)/(AL101+ATM_Conf!$C$10)</f>
        <v>#DIV/0!</v>
      </c>
      <c r="BG102" s="43" t="e">
        <f>BG101+(ATM_Conf!$C$5/ATM_Conf!$C$8)*(CA102*EXP(-(1/DO102)*(AM102/CU102)^DO102)-BG101)+(ATM_Conf!$C$5/AM289)*BG101*(Nodes!BM101-BG101)-(ATM_Conf!$C$5*ATM_Conf!$C$9)/(AM289*ATM_Conf!$C$8)*(Nodes!CA101-AM101)/(AM101+ATM_Conf!$C$10)</f>
        <v>#DIV/0!</v>
      </c>
      <c r="BH102" s="43" t="e">
        <f>BH101+(ATM_Conf!$C$5/ATM_Conf!$C$8)*(CB102*EXP(-(1/DP102)*(AN102/CV102)^DP102)-BH101)+(ATM_Conf!$C$5/AN289)*BH101*(BG101-BH101)-(ATM_Conf!$C$5*ATM_Conf!$C$9)/(AN289*ATM_Conf!$C$8)*(AO101-AN101)/(AN101+ATM_Conf!$C$10)</f>
        <v>#DIV/0!</v>
      </c>
      <c r="BI102" s="43" t="e">
        <f>BI101+(ATM_Conf!$C$5/ATM_Conf!$C$8)*(CC102*EXP(-(1/DQ102)*(AO102/CW102)^DQ102)-BI101)+(ATM_Conf!$C$5/AO289)*BI101*(BH101-BI101)</f>
        <v>#DIV/0!</v>
      </c>
      <c r="BJ102" s="53"/>
      <c r="BK102" s="53"/>
      <c r="BL102" s="53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/>
      <c r="BW102" s="53"/>
      <c r="BX102" s="53"/>
      <c r="BY102" s="53"/>
      <c r="BZ102" s="53"/>
      <c r="CA102" s="53"/>
      <c r="CB102" s="53"/>
      <c r="CC102" s="5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53"/>
      <c r="CY102" s="53"/>
      <c r="CZ102" s="53"/>
      <c r="DA102" s="53"/>
      <c r="DB102" s="53"/>
      <c r="DC102" s="53"/>
      <c r="DD102" s="53"/>
      <c r="DE102" s="53"/>
      <c r="DF102" s="53"/>
      <c r="DG102" s="53"/>
      <c r="DH102" s="53"/>
      <c r="DI102" s="53"/>
      <c r="DJ102" s="53"/>
      <c r="DK102" s="53"/>
      <c r="DL102" s="53"/>
      <c r="DM102" s="53"/>
      <c r="DN102" s="53"/>
      <c r="DO102" s="53"/>
      <c r="DP102" s="53"/>
      <c r="DQ102" s="53"/>
      <c r="DR102" s="43">
        <f t="shared" si="67"/>
        <v>0</v>
      </c>
      <c r="DS102" s="43">
        <f t="shared" si="66"/>
        <v>0</v>
      </c>
      <c r="DT102" s="43">
        <f t="shared" si="66"/>
        <v>0</v>
      </c>
      <c r="DU102" s="43">
        <f t="shared" si="66"/>
        <v>0</v>
      </c>
      <c r="DV102" s="43">
        <f t="shared" si="66"/>
        <v>0</v>
      </c>
      <c r="DW102" s="43">
        <f t="shared" si="66"/>
        <v>0</v>
      </c>
      <c r="DX102" s="43">
        <f t="shared" si="66"/>
        <v>0</v>
      </c>
      <c r="DY102" s="43">
        <f t="shared" si="66"/>
        <v>0</v>
      </c>
      <c r="DZ102" s="43">
        <f t="shared" si="66"/>
        <v>0</v>
      </c>
      <c r="EA102" s="43">
        <f t="shared" si="66"/>
        <v>0</v>
      </c>
      <c r="EB102" s="43">
        <f t="shared" si="66"/>
        <v>0</v>
      </c>
      <c r="EC102" s="43">
        <f t="shared" si="66"/>
        <v>0</v>
      </c>
      <c r="ED102" s="43">
        <f t="shared" si="66"/>
        <v>0</v>
      </c>
      <c r="EE102" s="43">
        <f t="shared" si="66"/>
        <v>0</v>
      </c>
      <c r="EF102" s="43">
        <f t="shared" si="66"/>
        <v>0</v>
      </c>
      <c r="EG102" s="43">
        <f t="shared" si="66"/>
        <v>0</v>
      </c>
      <c r="EH102" s="43">
        <f t="shared" si="66"/>
        <v>0</v>
      </c>
      <c r="EI102" s="43">
        <f t="shared" si="66"/>
        <v>0</v>
      </c>
      <c r="EJ102" s="43">
        <f t="shared" si="66"/>
        <v>0</v>
      </c>
      <c r="EK102" s="43">
        <f t="shared" si="66"/>
        <v>0</v>
      </c>
      <c r="EL102" s="47"/>
      <c r="EM102" s="47"/>
      <c r="EN102" s="47"/>
      <c r="EO102" s="47"/>
      <c r="EP102" s="47"/>
      <c r="EQ102" s="47"/>
      <c r="ER102" s="47"/>
      <c r="ES102" s="47"/>
      <c r="ET102" s="47"/>
      <c r="EU102" s="47"/>
      <c r="EV102" s="47"/>
      <c r="EW102" s="47"/>
      <c r="EX102" s="47"/>
      <c r="EY102" s="47"/>
      <c r="EZ102" s="47"/>
      <c r="FA102" s="47"/>
      <c r="FB102" s="47"/>
      <c r="FC102" s="47"/>
      <c r="FD102" s="47"/>
      <c r="FE102" s="47"/>
    </row>
    <row r="103" spans="1:161" ht="14.25" x14ac:dyDescent="0.15">
      <c r="A103" s="46"/>
      <c r="B103" s="43" t="e">
        <f t="shared" si="39"/>
        <v>#DIV/0!</v>
      </c>
      <c r="C103" s="43" t="e">
        <f t="shared" si="40"/>
        <v>#DIV/0!</v>
      </c>
      <c r="D103" s="43" t="e">
        <f t="shared" si="41"/>
        <v>#DIV/0!</v>
      </c>
      <c r="E103" s="43" t="e">
        <f t="shared" si="42"/>
        <v>#DIV/0!</v>
      </c>
      <c r="F103" s="43" t="e">
        <f t="shared" si="43"/>
        <v>#DIV/0!</v>
      </c>
      <c r="G103" s="43" t="e">
        <f t="shared" si="44"/>
        <v>#DIV/0!</v>
      </c>
      <c r="H103" s="43" t="e">
        <f t="shared" si="45"/>
        <v>#DIV/0!</v>
      </c>
      <c r="I103" s="43" t="e">
        <f t="shared" si="46"/>
        <v>#DIV/0!</v>
      </c>
      <c r="J103" s="43" t="e">
        <f t="shared" si="47"/>
        <v>#DIV/0!</v>
      </c>
      <c r="K103" s="43" t="e">
        <f t="shared" si="48"/>
        <v>#DIV/0!</v>
      </c>
      <c r="L103" s="43" t="e">
        <f t="shared" si="49"/>
        <v>#DIV/0!</v>
      </c>
      <c r="M103" s="43" t="e">
        <f t="shared" si="50"/>
        <v>#DIV/0!</v>
      </c>
      <c r="N103" s="43" t="e">
        <f t="shared" si="51"/>
        <v>#DIV/0!</v>
      </c>
      <c r="O103" s="43" t="e">
        <f t="shared" si="52"/>
        <v>#DIV/0!</v>
      </c>
      <c r="P103" s="43" t="e">
        <f t="shared" si="53"/>
        <v>#DIV/0!</v>
      </c>
      <c r="Q103" s="43" t="e">
        <f t="shared" si="54"/>
        <v>#DIV/0!</v>
      </c>
      <c r="R103" s="43" t="e">
        <f t="shared" si="55"/>
        <v>#DIV/0!</v>
      </c>
      <c r="S103" s="43" t="e">
        <f t="shared" si="56"/>
        <v>#DIV/0!</v>
      </c>
      <c r="T103" s="43" t="e">
        <f t="shared" si="57"/>
        <v>#DIV/0!</v>
      </c>
      <c r="U103" s="43" t="e">
        <f t="shared" si="58"/>
        <v>#DIV/0!</v>
      </c>
      <c r="V103" s="53" t="e">
        <f>V102+ATM_Conf!$C$5*(B102)/(B290*V290)</f>
        <v>#DIV/0!</v>
      </c>
      <c r="W103" s="53" t="e">
        <f>W102+ATM_Conf!$C$5*(C102-B102)/(C290*W290)</f>
        <v>#DIV/0!</v>
      </c>
      <c r="X103" s="53" t="e">
        <f>X102+ATM_Conf!$C$5*(D102-C102)/(D290*X290)</f>
        <v>#DIV/0!</v>
      </c>
      <c r="Y103" s="53" t="e">
        <f>Y102+ATM_Conf!$C$5*(E102-D102)/(E290*Y290)</f>
        <v>#DIV/0!</v>
      </c>
      <c r="Z103" s="53" t="e">
        <f>Z102+ATM_Conf!$C$5*(F102-E102)/(F290*Z290)</f>
        <v>#DIV/0!</v>
      </c>
      <c r="AA103" s="53" t="e">
        <f>AA102+ATM_Conf!$C$5*(G102-F102)/(G290*AA290)</f>
        <v>#DIV/0!</v>
      </c>
      <c r="AB103" s="53" t="e">
        <f>AB102+ATM_Conf!$C$5*(H102-G102)/(H290*AB290)</f>
        <v>#DIV/0!</v>
      </c>
      <c r="AC103" s="53" t="e">
        <f>AC102+ATM_Conf!$C$5*(I102-H102)/(I290*AC290)</f>
        <v>#DIV/0!</v>
      </c>
      <c r="AD103" s="53" t="e">
        <f>AD102+ATM_Conf!$C$5*(J102-I102)/(J290*AD290)</f>
        <v>#DIV/0!</v>
      </c>
      <c r="AE103" s="53" t="e">
        <f>AE102+ATM_Conf!$C$5*(K102-J102)/(K290*AE290)</f>
        <v>#DIV/0!</v>
      </c>
      <c r="AF103" s="53" t="e">
        <f>AF102+ATM_Conf!$C$5*(L102)/(L290*AF290)</f>
        <v>#DIV/0!</v>
      </c>
      <c r="AG103" s="53" t="e">
        <f>AG102+ATM_Conf!$C$5*(M102-L102)/(M290*AG290)</f>
        <v>#DIV/0!</v>
      </c>
      <c r="AH103" s="53" t="e">
        <f>AH102+ATM_Conf!$C$5*(N102-M102)/(N290*AH290)</f>
        <v>#DIV/0!</v>
      </c>
      <c r="AI103" s="53" t="e">
        <f>AI102+ATM_Conf!$C$5*(O102-N102)/(O290*AI290)</f>
        <v>#DIV/0!</v>
      </c>
      <c r="AJ103" s="53" t="e">
        <f>AJ102+ATM_Conf!$C$5*(P102-O102)/(P290*AJ290)</f>
        <v>#DIV/0!</v>
      </c>
      <c r="AK103" s="53" t="e">
        <f>AK102+ATM_Conf!$C$5*(Q102-P102)/(Q290*AK290)</f>
        <v>#DIV/0!</v>
      </c>
      <c r="AL103" s="53" t="e">
        <f>AL102+ATM_Conf!$C$5*(R102-Q102)/(R290*AL290)</f>
        <v>#DIV/0!</v>
      </c>
      <c r="AM103" s="53" t="e">
        <f>AM102+ATM_Conf!$C$5*(S102-R102)/(S290*AM290)</f>
        <v>#DIV/0!</v>
      </c>
      <c r="AN103" s="53" t="e">
        <f>AN102+ATM_Conf!$C$5*(T102-S102)/(T290*AN290)</f>
        <v>#DIV/0!</v>
      </c>
      <c r="AO103" s="53" t="e">
        <f>AO102+ATM_Conf!$C$5*(U102-T102)/(U290*AO290)</f>
        <v>#DIV/0!</v>
      </c>
      <c r="AP103" s="43" t="e">
        <f>AP102+(ATM_Conf!$C$5/ATM_Conf!$C$8)*(BJ103*EXP(-(1/CX103)*(V103/CD103)^CX103)-AP102)-(ATM_Conf!$C$5*ATM_Conf!$C$9)/(V290*ATM_Conf!$C$8)*(Nodes!BO102-V102)/(V102+ATM_Conf!$C$10)</f>
        <v>#DIV/0!</v>
      </c>
      <c r="AQ103" s="43" t="e">
        <f>AQ102+(ATM_Conf!$C$5/ATM_Conf!$C$8)*(BK103*EXP(-(1/CY103)*(W103/CE103)^CY103)-AQ102)+(ATM_Conf!$C$5/W290)*AQ102*(AP102-AQ102)-(ATM_Conf!$C$5*ATM_Conf!$C$9)/(W290*ATM_Conf!$C$8)*(X102-W102)/(W102+ATM_Conf!$C$10)</f>
        <v>#DIV/0!</v>
      </c>
      <c r="AR103" s="43" t="e">
        <f>AR102+(ATM_Conf!$C$5/ATM_Conf!$C$8)*(BL103*EXP(-(1/CZ103)*(X103/CF103)^CZ103)-AR102)+(ATM_Conf!$C$5/X290)*AR102*(Nodes!BC102-AR102)-(ATM_Conf!$C$5*ATM_Conf!$C$9)/(X290*ATM_Conf!$C$8)*(Nodes!BQ102-X102)/(X102+ATM_Conf!$C$10)</f>
        <v>#DIV/0!</v>
      </c>
      <c r="AS103" s="43" t="e">
        <f>AS102+(ATM_Conf!$C$5/ATM_Conf!$C$8)*(BM103*EXP(-(1/DA103)*(Y103/CG103)^DA103)-AS102)+(ATM_Conf!$C$5/Y290)*AS102*(AR102-AS102)-(ATM_Conf!$C$5*ATM_Conf!$C$9)/(Y290*ATM_Conf!$C$8)*(Z102-Y102)/(Y102+ATM_Conf!$C$10)</f>
        <v>#DIV/0!</v>
      </c>
      <c r="AT103" s="43" t="e">
        <f>AT102+(ATM_Conf!$C$5/ATM_Conf!$C$8)*(BN103*EXP(-(1/DB103)*(Z103/CH103)^DB103)-AT102)+(ATM_Conf!$C$5/Z290)*AT102*(Nodes!BE102-AT102)-(ATM_Conf!$C$5*ATM_Conf!$C$9)/(Z290*ATM_Conf!$C$8)*(Nodes!BS102-Z102)/(Z102+ATM_Conf!$C$10)</f>
        <v>#DIV/0!</v>
      </c>
      <c r="AU103" s="43" t="e">
        <f>AU102+(ATM_Conf!$C$5/ATM_Conf!$C$8)*(BO103*EXP(-(1/DC103)*(AA103/CI103)^DC103)-AU102)+(ATM_Conf!$C$5/AA290)*AU102*(Nodes!BF102-AU102)-(ATM_Conf!$C$5*ATM_Conf!$C$9)/(AA290*ATM_Conf!$C$8)*(Nodes!BV102-AA102)/(AA102+ATM_Conf!$C$10)</f>
        <v>#DIV/0!</v>
      </c>
      <c r="AV103" s="43" t="e">
        <f>AV102+(ATM_Conf!$C$5/ATM_Conf!$C$8)*(BP103*EXP(-(1/DD103)*(AB103/CJ103)^DD103)-AV102)+(ATM_Conf!$C$5/AB290)*AV102*(AU102-AV102)-(ATM_Conf!$C$5*ATM_Conf!$C$9)/(AB290*ATM_Conf!$C$8)*(AC102-AB102)/(AB102+ATM_Conf!$C$10)</f>
        <v>#DIV/0!</v>
      </c>
      <c r="AW103" s="43" t="e">
        <f>AW102+(ATM_Conf!$C$5/ATM_Conf!$C$8)*(BQ103*EXP(-(1/DE103)*(AC103/CK103)^DE103)-AW102)+(ATM_Conf!$C$5/AC290)*AW102*(AV102-AW102)-(ATM_Conf!$C$5*ATM_Conf!$C$9)/(AC290*ATM_Conf!$C$8)*(AD102-AC102)/(AC102+ATM_Conf!$C$10)</f>
        <v>#DIV/0!</v>
      </c>
      <c r="AX103" s="43" t="e">
        <f>AX102+(ATM_Conf!$C$5/ATM_Conf!$C$8)*(BR103*EXP(-(1/DF103)*(AD103/CL103)^DF103)-AX102)+(ATM_Conf!$C$5/AD290)*AX102*(Nodes!BG102-AX102)-(ATM_Conf!$C$5*ATM_Conf!$C$9)/(AD290*ATM_Conf!$C$8)*(Nodes!BU102-AD102)/(AD102+ATM_Conf!$C$10)</f>
        <v>#DIV/0!</v>
      </c>
      <c r="AY103" s="43" t="e">
        <f>AY102+(ATM_Conf!$C$5/ATM_Conf!$C$8)*(BS103*EXP(-(1/DG103)*(AE103/CM103)^DG103)-AY102)+(ATM_Conf!$C$5/AE290)*AY102*(Nodes!BF102-AY102)</f>
        <v>#DIV/0!</v>
      </c>
      <c r="AZ103" s="43" t="e">
        <f>AZ102+(ATM_Conf!$C$5/ATM_Conf!$C$8)*(BT103*EXP(-(1/DH103)*(AF103/CN103)^DH103)-AZ102)-(ATM_Conf!$C$5*ATM_Conf!$C$9)/(AF290*ATM_Conf!$C$8)*(Nodes!BV102-AF102)/(AF102+ATM_Conf!$C$10)</f>
        <v>#DIV/0!</v>
      </c>
      <c r="BA103" s="43" t="e">
        <f>BA102+(ATM_Conf!$C$5/ATM_Conf!$C$8)*(BU103*EXP(-(1/DI103)*(AG103/CO103)^DI103)-BA102)+(ATM_Conf!$C$5/AG290)*BA102*(Nodes!BI102-BA102)-(ATM_Conf!$C$5*ATM_Conf!$C$9)/(AG290*ATM_Conf!$C$8)*(Nodes!BW102-AG102)/(AG102+ATM_Conf!$C$10)</f>
        <v>#DIV/0!</v>
      </c>
      <c r="BB103" s="43" t="e">
        <f>BB102+(ATM_Conf!$C$5/ATM_Conf!$C$8)*(BV103*EXP(-(1/DJ103)*(AH103/CP103)^DJ103)-BB102)+(ATM_Conf!$C$5/AH290)*BB102*(Nodes!BJ102-BB102)-(ATM_Conf!$C$5*ATM_Conf!$C$9)/(AH290*ATM_Conf!$C$8)*(AI102-AH102)/(AH102+ATM_Conf!$C$10)</f>
        <v>#DIV/0!</v>
      </c>
      <c r="BC103" s="43" t="e">
        <f>BC102+(ATM_Conf!$C$5/ATM_Conf!$C$8)*(BW103*EXP(-(1/DK103)*(AI103/CQ103)^DK103)-BC102)+(ATM_Conf!$C$5/AI290)*BC102*(BB102-BC102)-(ATM_Conf!$C$5*ATM_Conf!$C$9)/(AI290*ATM_Conf!$C$8)*(AJ102-AI102)/(AI102+ATM_Conf!$C$10)</f>
        <v>#DIV/0!</v>
      </c>
      <c r="BD103" s="43" t="e">
        <f>BD102+(ATM_Conf!$C$5/ATM_Conf!$C$8)*(BX103*EXP(-(1/DL103)*(AJ103/CR103)^DL103)-BD102)+(ATM_Conf!$C$5/AJ290)*BD102*(BC102-BD102)-(ATM_Conf!$C$5*ATM_Conf!$C$9)/(AJ290*ATM_Conf!$C$8)*(Nodes!BX102-AJ102)/(AJ102+ATM_Conf!$C$10)</f>
        <v>#DIV/0!</v>
      </c>
      <c r="BE103" s="43" t="e">
        <f>BE102+(ATM_Conf!$C$5/ATM_Conf!$C$8)*(BY103*EXP(-(1/DM103)*(AK103/CS103)^DM103)-BE102)+(ATM_Conf!$C$5/AK290)*BE102*(Nodes!BK102-BE102)-(ATM_Conf!$C$5*ATM_Conf!$C$9)/(AK290*ATM_Conf!$C$8)*(Nodes!BY102-AK102)/(AK102+ATM_Conf!$C$10)</f>
        <v>#DIV/0!</v>
      </c>
      <c r="BF103" s="43" t="e">
        <f>BF102+(ATM_Conf!$C$5/ATM_Conf!$C$8)*(BZ103*EXP(-(1/DN103)*(AL103/CT103)^DN103)-BF102)+(ATM_Conf!$C$5/AL290)*BF102*(BE102-BF102)-(ATM_Conf!$C$5*ATM_Conf!$C$9)/(AL290*ATM_Conf!$C$8)*(AM102-AL102)/(AL102+ATM_Conf!$C$10)</f>
        <v>#DIV/0!</v>
      </c>
      <c r="BG103" s="43" t="e">
        <f>BG102+(ATM_Conf!$C$5/ATM_Conf!$C$8)*(CA103*EXP(-(1/DO103)*(AM103/CU103)^DO103)-BG102)+(ATM_Conf!$C$5/AM290)*BG102*(Nodes!BM102-BG102)-(ATM_Conf!$C$5*ATM_Conf!$C$9)/(AM290*ATM_Conf!$C$8)*(Nodes!CA102-AM102)/(AM102+ATM_Conf!$C$10)</f>
        <v>#DIV/0!</v>
      </c>
      <c r="BH103" s="43" t="e">
        <f>BH102+(ATM_Conf!$C$5/ATM_Conf!$C$8)*(CB103*EXP(-(1/DP103)*(AN103/CV103)^DP103)-BH102)+(ATM_Conf!$C$5/AN290)*BH102*(BG102-BH102)-(ATM_Conf!$C$5*ATM_Conf!$C$9)/(AN290*ATM_Conf!$C$8)*(AO102-AN102)/(AN102+ATM_Conf!$C$10)</f>
        <v>#DIV/0!</v>
      </c>
      <c r="BI103" s="43" t="e">
        <f>BI102+(ATM_Conf!$C$5/ATM_Conf!$C$8)*(CC103*EXP(-(1/DQ103)*(AO103/CW103)^DQ103)-BI102)+(ATM_Conf!$C$5/AO290)*BI102*(BH102-BI102)</f>
        <v>#DIV/0!</v>
      </c>
      <c r="BJ103" s="53"/>
      <c r="BK103" s="53"/>
      <c r="BL103" s="53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53"/>
      <c r="CY103" s="53"/>
      <c r="CZ103" s="53"/>
      <c r="DA103" s="53"/>
      <c r="DB103" s="53"/>
      <c r="DC103" s="53"/>
      <c r="DD103" s="53"/>
      <c r="DE103" s="53"/>
      <c r="DF103" s="53"/>
      <c r="DG103" s="53"/>
      <c r="DH103" s="53"/>
      <c r="DI103" s="53"/>
      <c r="DJ103" s="53"/>
      <c r="DK103" s="53"/>
      <c r="DL103" s="53"/>
      <c r="DM103" s="53"/>
      <c r="DN103" s="53"/>
      <c r="DO103" s="53"/>
      <c r="DP103" s="53"/>
      <c r="DQ103" s="53"/>
      <c r="DR103" s="43">
        <f t="shared" si="67"/>
        <v>0</v>
      </c>
      <c r="DS103" s="43">
        <f t="shared" si="66"/>
        <v>0</v>
      </c>
      <c r="DT103" s="43">
        <f t="shared" si="66"/>
        <v>0</v>
      </c>
      <c r="DU103" s="43">
        <f t="shared" si="66"/>
        <v>0</v>
      </c>
      <c r="DV103" s="43">
        <f t="shared" si="66"/>
        <v>0</v>
      </c>
      <c r="DW103" s="43">
        <f t="shared" si="66"/>
        <v>0</v>
      </c>
      <c r="DX103" s="43">
        <f t="shared" si="66"/>
        <v>0</v>
      </c>
      <c r="DY103" s="43">
        <f t="shared" si="66"/>
        <v>0</v>
      </c>
      <c r="DZ103" s="43">
        <f t="shared" si="66"/>
        <v>0</v>
      </c>
      <c r="EA103" s="43">
        <f t="shared" si="66"/>
        <v>0</v>
      </c>
      <c r="EB103" s="43">
        <f t="shared" si="66"/>
        <v>0</v>
      </c>
      <c r="EC103" s="43">
        <f t="shared" si="66"/>
        <v>0</v>
      </c>
      <c r="ED103" s="43">
        <f t="shared" si="66"/>
        <v>0</v>
      </c>
      <c r="EE103" s="43">
        <f t="shared" si="66"/>
        <v>0</v>
      </c>
      <c r="EF103" s="43">
        <f t="shared" si="66"/>
        <v>0</v>
      </c>
      <c r="EG103" s="43">
        <f t="shared" si="66"/>
        <v>0</v>
      </c>
      <c r="EH103" s="43">
        <f t="shared" si="66"/>
        <v>0</v>
      </c>
      <c r="EI103" s="43">
        <f t="shared" si="66"/>
        <v>0</v>
      </c>
      <c r="EJ103" s="43">
        <f t="shared" si="66"/>
        <v>0</v>
      </c>
      <c r="EK103" s="43">
        <f t="shared" si="66"/>
        <v>0</v>
      </c>
      <c r="EL103" s="47"/>
      <c r="EM103" s="47"/>
      <c r="EN103" s="47"/>
      <c r="EO103" s="47"/>
      <c r="EP103" s="47"/>
      <c r="EQ103" s="47"/>
      <c r="ER103" s="47"/>
      <c r="ES103" s="47"/>
      <c r="ET103" s="47"/>
      <c r="EU103" s="47"/>
      <c r="EV103" s="47"/>
      <c r="EW103" s="47"/>
      <c r="EX103" s="47"/>
      <c r="EY103" s="47"/>
      <c r="EZ103" s="47"/>
      <c r="FA103" s="47"/>
      <c r="FB103" s="47"/>
      <c r="FC103" s="47"/>
      <c r="FD103" s="47"/>
      <c r="FE103" s="47"/>
    </row>
    <row r="104" spans="1:161" ht="14.25" x14ac:dyDescent="0.15">
      <c r="A104" s="46"/>
      <c r="B104" s="43" t="e">
        <f t="shared" si="39"/>
        <v>#DIV/0!</v>
      </c>
      <c r="C104" s="43" t="e">
        <f t="shared" si="40"/>
        <v>#DIV/0!</v>
      </c>
      <c r="D104" s="43" t="e">
        <f t="shared" si="41"/>
        <v>#DIV/0!</v>
      </c>
      <c r="E104" s="43" t="e">
        <f t="shared" si="42"/>
        <v>#DIV/0!</v>
      </c>
      <c r="F104" s="43" t="e">
        <f t="shared" si="43"/>
        <v>#DIV/0!</v>
      </c>
      <c r="G104" s="43" t="e">
        <f t="shared" si="44"/>
        <v>#DIV/0!</v>
      </c>
      <c r="H104" s="43" t="e">
        <f t="shared" si="45"/>
        <v>#DIV/0!</v>
      </c>
      <c r="I104" s="43" t="e">
        <f t="shared" si="46"/>
        <v>#DIV/0!</v>
      </c>
      <c r="J104" s="43" t="e">
        <f t="shared" si="47"/>
        <v>#DIV/0!</v>
      </c>
      <c r="K104" s="43" t="e">
        <f t="shared" si="48"/>
        <v>#DIV/0!</v>
      </c>
      <c r="L104" s="43" t="e">
        <f t="shared" si="49"/>
        <v>#DIV/0!</v>
      </c>
      <c r="M104" s="43" t="e">
        <f t="shared" si="50"/>
        <v>#DIV/0!</v>
      </c>
      <c r="N104" s="43" t="e">
        <f t="shared" si="51"/>
        <v>#DIV/0!</v>
      </c>
      <c r="O104" s="43" t="e">
        <f t="shared" si="52"/>
        <v>#DIV/0!</v>
      </c>
      <c r="P104" s="43" t="e">
        <f t="shared" si="53"/>
        <v>#DIV/0!</v>
      </c>
      <c r="Q104" s="43" t="e">
        <f t="shared" si="54"/>
        <v>#DIV/0!</v>
      </c>
      <c r="R104" s="43" t="e">
        <f t="shared" si="55"/>
        <v>#DIV/0!</v>
      </c>
      <c r="S104" s="43" t="e">
        <f t="shared" si="56"/>
        <v>#DIV/0!</v>
      </c>
      <c r="T104" s="43" t="e">
        <f t="shared" si="57"/>
        <v>#DIV/0!</v>
      </c>
      <c r="U104" s="43" t="e">
        <f t="shared" si="58"/>
        <v>#DIV/0!</v>
      </c>
      <c r="V104" s="53" t="e">
        <f>V103+ATM_Conf!$C$5*(B103)/(B291*V291)</f>
        <v>#DIV/0!</v>
      </c>
      <c r="W104" s="53" t="e">
        <f>W103+ATM_Conf!$C$5*(C103-B103)/(C291*W291)</f>
        <v>#DIV/0!</v>
      </c>
      <c r="X104" s="53" t="e">
        <f>X103+ATM_Conf!$C$5*(D103-C103)/(D291*X291)</f>
        <v>#DIV/0!</v>
      </c>
      <c r="Y104" s="53" t="e">
        <f>Y103+ATM_Conf!$C$5*(E103-D103)/(E291*Y291)</f>
        <v>#DIV/0!</v>
      </c>
      <c r="Z104" s="53" t="e">
        <f>Z103+ATM_Conf!$C$5*(F103-E103)/(F291*Z291)</f>
        <v>#DIV/0!</v>
      </c>
      <c r="AA104" s="53" t="e">
        <f>AA103+ATM_Conf!$C$5*(G103-F103)/(G291*AA291)</f>
        <v>#DIV/0!</v>
      </c>
      <c r="AB104" s="53" t="e">
        <f>AB103+ATM_Conf!$C$5*(H103-G103)/(H291*AB291)</f>
        <v>#DIV/0!</v>
      </c>
      <c r="AC104" s="53" t="e">
        <f>AC103+ATM_Conf!$C$5*(I103-H103)/(I291*AC291)</f>
        <v>#DIV/0!</v>
      </c>
      <c r="AD104" s="53" t="e">
        <f>AD103+ATM_Conf!$C$5*(J103-I103)/(J291*AD291)</f>
        <v>#DIV/0!</v>
      </c>
      <c r="AE104" s="53" t="e">
        <f>AE103+ATM_Conf!$C$5*(K103-J103)/(K291*AE291)</f>
        <v>#DIV/0!</v>
      </c>
      <c r="AF104" s="53" t="e">
        <f>AF103+ATM_Conf!$C$5*(L103)/(L291*AF291)</f>
        <v>#DIV/0!</v>
      </c>
      <c r="AG104" s="53" t="e">
        <f>AG103+ATM_Conf!$C$5*(M103-L103)/(M291*AG291)</f>
        <v>#DIV/0!</v>
      </c>
      <c r="AH104" s="53" t="e">
        <f>AH103+ATM_Conf!$C$5*(N103-M103)/(N291*AH291)</f>
        <v>#DIV/0!</v>
      </c>
      <c r="AI104" s="53" t="e">
        <f>AI103+ATM_Conf!$C$5*(O103-N103)/(O291*AI291)</f>
        <v>#DIV/0!</v>
      </c>
      <c r="AJ104" s="53" t="e">
        <f>AJ103+ATM_Conf!$C$5*(P103-O103)/(P291*AJ291)</f>
        <v>#DIV/0!</v>
      </c>
      <c r="AK104" s="53" t="e">
        <f>AK103+ATM_Conf!$C$5*(Q103-P103)/(Q291*AK291)</f>
        <v>#DIV/0!</v>
      </c>
      <c r="AL104" s="53" t="e">
        <f>AL103+ATM_Conf!$C$5*(R103-Q103)/(R291*AL291)</f>
        <v>#DIV/0!</v>
      </c>
      <c r="AM104" s="53" t="e">
        <f>AM103+ATM_Conf!$C$5*(S103-R103)/(S291*AM291)</f>
        <v>#DIV/0!</v>
      </c>
      <c r="AN104" s="53" t="e">
        <f>AN103+ATM_Conf!$C$5*(T103-S103)/(T291*AN291)</f>
        <v>#DIV/0!</v>
      </c>
      <c r="AO104" s="53" t="e">
        <f>AO103+ATM_Conf!$C$5*(U103-T103)/(U291*AO291)</f>
        <v>#DIV/0!</v>
      </c>
      <c r="AP104" s="43" t="e">
        <f>AP103+(ATM_Conf!$C$5/ATM_Conf!$C$8)*(BJ104*EXP(-(1/CX104)*(V104/CD104)^CX104)-AP103)-(ATM_Conf!$C$5*ATM_Conf!$C$9)/(V291*ATM_Conf!$C$8)*(Nodes!BO103-V103)/(V103+ATM_Conf!$C$10)</f>
        <v>#DIV/0!</v>
      </c>
      <c r="AQ104" s="43" t="e">
        <f>AQ103+(ATM_Conf!$C$5/ATM_Conf!$C$8)*(BK104*EXP(-(1/CY104)*(W104/CE104)^CY104)-AQ103)+(ATM_Conf!$C$5/W291)*AQ103*(AP103-AQ103)-(ATM_Conf!$C$5*ATM_Conf!$C$9)/(W291*ATM_Conf!$C$8)*(X103-W103)/(W103+ATM_Conf!$C$10)</f>
        <v>#DIV/0!</v>
      </c>
      <c r="AR104" s="43" t="e">
        <f>AR103+(ATM_Conf!$C$5/ATM_Conf!$C$8)*(BL104*EXP(-(1/CZ104)*(X104/CF104)^CZ104)-AR103)+(ATM_Conf!$C$5/X291)*AR103*(Nodes!BC103-AR103)-(ATM_Conf!$C$5*ATM_Conf!$C$9)/(X291*ATM_Conf!$C$8)*(Nodes!BQ103-X103)/(X103+ATM_Conf!$C$10)</f>
        <v>#DIV/0!</v>
      </c>
      <c r="AS104" s="43" t="e">
        <f>AS103+(ATM_Conf!$C$5/ATM_Conf!$C$8)*(BM104*EXP(-(1/DA104)*(Y104/CG104)^DA104)-AS103)+(ATM_Conf!$C$5/Y291)*AS103*(AR103-AS103)-(ATM_Conf!$C$5*ATM_Conf!$C$9)/(Y291*ATM_Conf!$C$8)*(Z103-Y103)/(Y103+ATM_Conf!$C$10)</f>
        <v>#DIV/0!</v>
      </c>
      <c r="AT104" s="43" t="e">
        <f>AT103+(ATM_Conf!$C$5/ATM_Conf!$C$8)*(BN104*EXP(-(1/DB104)*(Z104/CH104)^DB104)-AT103)+(ATM_Conf!$C$5/Z291)*AT103*(Nodes!BE103-AT103)-(ATM_Conf!$C$5*ATM_Conf!$C$9)/(Z291*ATM_Conf!$C$8)*(Nodes!BS103-Z103)/(Z103+ATM_Conf!$C$10)</f>
        <v>#DIV/0!</v>
      </c>
      <c r="AU104" s="43" t="e">
        <f>AU103+(ATM_Conf!$C$5/ATM_Conf!$C$8)*(BO104*EXP(-(1/DC104)*(AA104/CI104)^DC104)-AU103)+(ATM_Conf!$C$5/AA291)*AU103*(Nodes!BF103-AU103)-(ATM_Conf!$C$5*ATM_Conf!$C$9)/(AA291*ATM_Conf!$C$8)*(Nodes!BV103-AA103)/(AA103+ATM_Conf!$C$10)</f>
        <v>#DIV/0!</v>
      </c>
      <c r="AV104" s="43" t="e">
        <f>AV103+(ATM_Conf!$C$5/ATM_Conf!$C$8)*(BP104*EXP(-(1/DD104)*(AB104/CJ104)^DD104)-AV103)+(ATM_Conf!$C$5/AB291)*AV103*(AU103-AV103)-(ATM_Conf!$C$5*ATM_Conf!$C$9)/(AB291*ATM_Conf!$C$8)*(AC103-AB103)/(AB103+ATM_Conf!$C$10)</f>
        <v>#DIV/0!</v>
      </c>
      <c r="AW104" s="43" t="e">
        <f>AW103+(ATM_Conf!$C$5/ATM_Conf!$C$8)*(BQ104*EXP(-(1/DE104)*(AC104/CK104)^DE104)-AW103)+(ATM_Conf!$C$5/AC291)*AW103*(AV103-AW103)-(ATM_Conf!$C$5*ATM_Conf!$C$9)/(AC291*ATM_Conf!$C$8)*(AD103-AC103)/(AC103+ATM_Conf!$C$10)</f>
        <v>#DIV/0!</v>
      </c>
      <c r="AX104" s="43" t="e">
        <f>AX103+(ATM_Conf!$C$5/ATM_Conf!$C$8)*(BR104*EXP(-(1/DF104)*(AD104/CL104)^DF104)-AX103)+(ATM_Conf!$C$5/AD291)*AX103*(Nodes!BG103-AX103)-(ATM_Conf!$C$5*ATM_Conf!$C$9)/(AD291*ATM_Conf!$C$8)*(Nodes!BU103-AD103)/(AD103+ATM_Conf!$C$10)</f>
        <v>#DIV/0!</v>
      </c>
      <c r="AY104" s="43" t="e">
        <f>AY103+(ATM_Conf!$C$5/ATM_Conf!$C$8)*(BS104*EXP(-(1/DG104)*(AE104/CM104)^DG104)-AY103)+(ATM_Conf!$C$5/AE291)*AY103*(Nodes!BF103-AY103)</f>
        <v>#DIV/0!</v>
      </c>
      <c r="AZ104" s="43" t="e">
        <f>AZ103+(ATM_Conf!$C$5/ATM_Conf!$C$8)*(BT104*EXP(-(1/DH104)*(AF104/CN104)^DH104)-AZ103)-(ATM_Conf!$C$5*ATM_Conf!$C$9)/(AF291*ATM_Conf!$C$8)*(Nodes!BV103-AF103)/(AF103+ATM_Conf!$C$10)</f>
        <v>#DIV/0!</v>
      </c>
      <c r="BA104" s="43" t="e">
        <f>BA103+(ATM_Conf!$C$5/ATM_Conf!$C$8)*(BU104*EXP(-(1/DI104)*(AG104/CO104)^DI104)-BA103)+(ATM_Conf!$C$5/AG291)*BA103*(Nodes!BI103-BA103)-(ATM_Conf!$C$5*ATM_Conf!$C$9)/(AG291*ATM_Conf!$C$8)*(Nodes!BW103-AG103)/(AG103+ATM_Conf!$C$10)</f>
        <v>#DIV/0!</v>
      </c>
      <c r="BB104" s="43" t="e">
        <f>BB103+(ATM_Conf!$C$5/ATM_Conf!$C$8)*(BV104*EXP(-(1/DJ104)*(AH104/CP104)^DJ104)-BB103)+(ATM_Conf!$C$5/AH291)*BB103*(Nodes!BJ103-BB103)-(ATM_Conf!$C$5*ATM_Conf!$C$9)/(AH291*ATM_Conf!$C$8)*(AI103-AH103)/(AH103+ATM_Conf!$C$10)</f>
        <v>#DIV/0!</v>
      </c>
      <c r="BC104" s="43" t="e">
        <f>BC103+(ATM_Conf!$C$5/ATM_Conf!$C$8)*(BW104*EXP(-(1/DK104)*(AI104/CQ104)^DK104)-BC103)+(ATM_Conf!$C$5/AI291)*BC103*(BB103-BC103)-(ATM_Conf!$C$5*ATM_Conf!$C$9)/(AI291*ATM_Conf!$C$8)*(AJ103-AI103)/(AI103+ATM_Conf!$C$10)</f>
        <v>#DIV/0!</v>
      </c>
      <c r="BD104" s="43" t="e">
        <f>BD103+(ATM_Conf!$C$5/ATM_Conf!$C$8)*(BX104*EXP(-(1/DL104)*(AJ104/CR104)^DL104)-BD103)+(ATM_Conf!$C$5/AJ291)*BD103*(BC103-BD103)-(ATM_Conf!$C$5*ATM_Conf!$C$9)/(AJ291*ATM_Conf!$C$8)*(Nodes!BX103-AJ103)/(AJ103+ATM_Conf!$C$10)</f>
        <v>#DIV/0!</v>
      </c>
      <c r="BE104" s="43" t="e">
        <f>BE103+(ATM_Conf!$C$5/ATM_Conf!$C$8)*(BY104*EXP(-(1/DM104)*(AK104/CS104)^DM104)-BE103)+(ATM_Conf!$C$5/AK291)*BE103*(Nodes!BK103-BE103)-(ATM_Conf!$C$5*ATM_Conf!$C$9)/(AK291*ATM_Conf!$C$8)*(Nodes!BY103-AK103)/(AK103+ATM_Conf!$C$10)</f>
        <v>#DIV/0!</v>
      </c>
      <c r="BF104" s="43" t="e">
        <f>BF103+(ATM_Conf!$C$5/ATM_Conf!$C$8)*(BZ104*EXP(-(1/DN104)*(AL104/CT104)^DN104)-BF103)+(ATM_Conf!$C$5/AL291)*BF103*(BE103-BF103)-(ATM_Conf!$C$5*ATM_Conf!$C$9)/(AL291*ATM_Conf!$C$8)*(AM103-AL103)/(AL103+ATM_Conf!$C$10)</f>
        <v>#DIV/0!</v>
      </c>
      <c r="BG104" s="43" t="e">
        <f>BG103+(ATM_Conf!$C$5/ATM_Conf!$C$8)*(CA104*EXP(-(1/DO104)*(AM104/CU104)^DO104)-BG103)+(ATM_Conf!$C$5/AM291)*BG103*(Nodes!BM103-BG103)-(ATM_Conf!$C$5*ATM_Conf!$C$9)/(AM291*ATM_Conf!$C$8)*(Nodes!CA103-AM103)/(AM103+ATM_Conf!$C$10)</f>
        <v>#DIV/0!</v>
      </c>
      <c r="BH104" s="43" t="e">
        <f>BH103+(ATM_Conf!$C$5/ATM_Conf!$C$8)*(CB104*EXP(-(1/DP104)*(AN104/CV104)^DP104)-BH103)+(ATM_Conf!$C$5/AN291)*BH103*(BG103-BH103)-(ATM_Conf!$C$5*ATM_Conf!$C$9)/(AN291*ATM_Conf!$C$8)*(AO103-AN103)/(AN103+ATM_Conf!$C$10)</f>
        <v>#DIV/0!</v>
      </c>
      <c r="BI104" s="43" t="e">
        <f>BI103+(ATM_Conf!$C$5/ATM_Conf!$C$8)*(CC104*EXP(-(1/DQ104)*(AO104/CW104)^DQ104)-BI103)+(ATM_Conf!$C$5/AO291)*BI103*(BH103-BI103)</f>
        <v>#DIV/0!</v>
      </c>
      <c r="BJ104" s="53"/>
      <c r="BK104" s="53"/>
      <c r="BL104" s="53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/>
      <c r="BW104" s="53"/>
      <c r="BX104" s="53"/>
      <c r="BY104" s="53"/>
      <c r="BZ104" s="53"/>
      <c r="CA104" s="53"/>
      <c r="CB104" s="53"/>
      <c r="CC104" s="5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53"/>
      <c r="CY104" s="53"/>
      <c r="CZ104" s="53"/>
      <c r="DA104" s="53"/>
      <c r="DB104" s="53"/>
      <c r="DC104" s="53"/>
      <c r="DD104" s="53"/>
      <c r="DE104" s="53"/>
      <c r="DF104" s="53"/>
      <c r="DG104" s="53"/>
      <c r="DH104" s="53"/>
      <c r="DI104" s="53"/>
      <c r="DJ104" s="53"/>
      <c r="DK104" s="53"/>
      <c r="DL104" s="53"/>
      <c r="DM104" s="53"/>
      <c r="DN104" s="53"/>
      <c r="DO104" s="53"/>
      <c r="DP104" s="53"/>
      <c r="DQ104" s="53"/>
      <c r="DR104" s="43">
        <f t="shared" si="67"/>
        <v>0</v>
      </c>
      <c r="DS104" s="43">
        <f t="shared" si="66"/>
        <v>0</v>
      </c>
      <c r="DT104" s="43">
        <f t="shared" si="66"/>
        <v>0</v>
      </c>
      <c r="DU104" s="43">
        <f t="shared" si="66"/>
        <v>0</v>
      </c>
      <c r="DV104" s="43">
        <f t="shared" si="66"/>
        <v>0</v>
      </c>
      <c r="DW104" s="43">
        <f t="shared" si="66"/>
        <v>0</v>
      </c>
      <c r="DX104" s="43">
        <f t="shared" si="66"/>
        <v>0</v>
      </c>
      <c r="DY104" s="43">
        <f t="shared" si="66"/>
        <v>0</v>
      </c>
      <c r="DZ104" s="43">
        <f t="shared" si="66"/>
        <v>0</v>
      </c>
      <c r="EA104" s="43">
        <f t="shared" si="66"/>
        <v>0</v>
      </c>
      <c r="EB104" s="43">
        <f t="shared" si="66"/>
        <v>0</v>
      </c>
      <c r="EC104" s="43">
        <f t="shared" si="66"/>
        <v>0</v>
      </c>
      <c r="ED104" s="43">
        <f t="shared" si="66"/>
        <v>0</v>
      </c>
      <c r="EE104" s="43">
        <f t="shared" si="66"/>
        <v>0</v>
      </c>
      <c r="EF104" s="43">
        <f t="shared" si="66"/>
        <v>0</v>
      </c>
      <c r="EG104" s="43">
        <f t="shared" si="66"/>
        <v>0</v>
      </c>
      <c r="EH104" s="43">
        <f t="shared" si="66"/>
        <v>0</v>
      </c>
      <c r="EI104" s="43">
        <f t="shared" si="66"/>
        <v>0</v>
      </c>
      <c r="EJ104" s="43">
        <f t="shared" si="66"/>
        <v>0</v>
      </c>
      <c r="EK104" s="43">
        <f t="shared" si="66"/>
        <v>0</v>
      </c>
      <c r="EL104" s="47"/>
      <c r="EM104" s="47"/>
      <c r="EN104" s="47"/>
      <c r="EO104" s="47"/>
      <c r="EP104" s="47"/>
      <c r="EQ104" s="47"/>
      <c r="ER104" s="47"/>
      <c r="ES104" s="47"/>
      <c r="ET104" s="47"/>
      <c r="EU104" s="47"/>
      <c r="EV104" s="47"/>
      <c r="EW104" s="47"/>
      <c r="EX104" s="47"/>
      <c r="EY104" s="47"/>
      <c r="EZ104" s="47"/>
      <c r="FA104" s="47"/>
      <c r="FB104" s="47"/>
      <c r="FC104" s="47"/>
      <c r="FD104" s="47"/>
      <c r="FE104" s="47"/>
    </row>
    <row r="105" spans="1:161" ht="14.25" x14ac:dyDescent="0.15">
      <c r="A105" s="46"/>
      <c r="B105" s="43" t="e">
        <f t="shared" si="39"/>
        <v>#DIV/0!</v>
      </c>
      <c r="C105" s="43" t="e">
        <f t="shared" si="40"/>
        <v>#DIV/0!</v>
      </c>
      <c r="D105" s="43" t="e">
        <f t="shared" si="41"/>
        <v>#DIV/0!</v>
      </c>
      <c r="E105" s="43" t="e">
        <f t="shared" si="42"/>
        <v>#DIV/0!</v>
      </c>
      <c r="F105" s="43" t="e">
        <f t="shared" si="43"/>
        <v>#DIV/0!</v>
      </c>
      <c r="G105" s="43" t="e">
        <f t="shared" si="44"/>
        <v>#DIV/0!</v>
      </c>
      <c r="H105" s="43" t="e">
        <f t="shared" si="45"/>
        <v>#DIV/0!</v>
      </c>
      <c r="I105" s="43" t="e">
        <f t="shared" si="46"/>
        <v>#DIV/0!</v>
      </c>
      <c r="J105" s="43" t="e">
        <f t="shared" si="47"/>
        <v>#DIV/0!</v>
      </c>
      <c r="K105" s="43" t="e">
        <f t="shared" si="48"/>
        <v>#DIV/0!</v>
      </c>
      <c r="L105" s="43" t="e">
        <f t="shared" si="49"/>
        <v>#DIV/0!</v>
      </c>
      <c r="M105" s="43" t="e">
        <f t="shared" si="50"/>
        <v>#DIV/0!</v>
      </c>
      <c r="N105" s="43" t="e">
        <f t="shared" si="51"/>
        <v>#DIV/0!</v>
      </c>
      <c r="O105" s="43" t="e">
        <f t="shared" si="52"/>
        <v>#DIV/0!</v>
      </c>
      <c r="P105" s="43" t="e">
        <f t="shared" si="53"/>
        <v>#DIV/0!</v>
      </c>
      <c r="Q105" s="43" t="e">
        <f t="shared" si="54"/>
        <v>#DIV/0!</v>
      </c>
      <c r="R105" s="43" t="e">
        <f t="shared" si="55"/>
        <v>#DIV/0!</v>
      </c>
      <c r="S105" s="43" t="e">
        <f t="shared" si="56"/>
        <v>#DIV/0!</v>
      </c>
      <c r="T105" s="43" t="e">
        <f t="shared" si="57"/>
        <v>#DIV/0!</v>
      </c>
      <c r="U105" s="43" t="e">
        <f t="shared" si="58"/>
        <v>#DIV/0!</v>
      </c>
      <c r="V105" s="53" t="e">
        <f>V104+ATM_Conf!$C$5*(B104)/(B292*V292)</f>
        <v>#DIV/0!</v>
      </c>
      <c r="W105" s="53" t="e">
        <f>W104+ATM_Conf!$C$5*(C104-B104)/(C292*W292)</f>
        <v>#DIV/0!</v>
      </c>
      <c r="X105" s="53" t="e">
        <f>X104+ATM_Conf!$C$5*(D104-C104)/(D292*X292)</f>
        <v>#DIV/0!</v>
      </c>
      <c r="Y105" s="53" t="e">
        <f>Y104+ATM_Conf!$C$5*(E104-D104)/(E292*Y292)</f>
        <v>#DIV/0!</v>
      </c>
      <c r="Z105" s="53" t="e">
        <f>Z104+ATM_Conf!$C$5*(F104-E104)/(F292*Z292)</f>
        <v>#DIV/0!</v>
      </c>
      <c r="AA105" s="53" t="e">
        <f>AA104+ATM_Conf!$C$5*(G104-F104)/(G292*AA292)</f>
        <v>#DIV/0!</v>
      </c>
      <c r="AB105" s="53" t="e">
        <f>AB104+ATM_Conf!$C$5*(H104-G104)/(H292*AB292)</f>
        <v>#DIV/0!</v>
      </c>
      <c r="AC105" s="53" t="e">
        <f>AC104+ATM_Conf!$C$5*(I104-H104)/(I292*AC292)</f>
        <v>#DIV/0!</v>
      </c>
      <c r="AD105" s="53" t="e">
        <f>AD104+ATM_Conf!$C$5*(J104-I104)/(J292*AD292)</f>
        <v>#DIV/0!</v>
      </c>
      <c r="AE105" s="53" t="e">
        <f>AE104+ATM_Conf!$C$5*(K104-J104)/(K292*AE292)</f>
        <v>#DIV/0!</v>
      </c>
      <c r="AF105" s="53" t="e">
        <f>AF104+ATM_Conf!$C$5*(L104)/(L292*AF292)</f>
        <v>#DIV/0!</v>
      </c>
      <c r="AG105" s="53" t="e">
        <f>AG104+ATM_Conf!$C$5*(M104-L104)/(M292*AG292)</f>
        <v>#DIV/0!</v>
      </c>
      <c r="AH105" s="53" t="e">
        <f>AH104+ATM_Conf!$C$5*(N104-M104)/(N292*AH292)</f>
        <v>#DIV/0!</v>
      </c>
      <c r="AI105" s="53" t="e">
        <f>AI104+ATM_Conf!$C$5*(O104-N104)/(O292*AI292)</f>
        <v>#DIV/0!</v>
      </c>
      <c r="AJ105" s="53" t="e">
        <f>AJ104+ATM_Conf!$C$5*(P104-O104)/(P292*AJ292)</f>
        <v>#DIV/0!</v>
      </c>
      <c r="AK105" s="53" t="e">
        <f>AK104+ATM_Conf!$C$5*(Q104-P104)/(Q292*AK292)</f>
        <v>#DIV/0!</v>
      </c>
      <c r="AL105" s="53" t="e">
        <f>AL104+ATM_Conf!$C$5*(R104-Q104)/(R292*AL292)</f>
        <v>#DIV/0!</v>
      </c>
      <c r="AM105" s="53" t="e">
        <f>AM104+ATM_Conf!$C$5*(S104-R104)/(S292*AM292)</f>
        <v>#DIV/0!</v>
      </c>
      <c r="AN105" s="53" t="e">
        <f>AN104+ATM_Conf!$C$5*(T104-S104)/(T292*AN292)</f>
        <v>#DIV/0!</v>
      </c>
      <c r="AO105" s="53" t="e">
        <f>AO104+ATM_Conf!$C$5*(U104-T104)/(U292*AO292)</f>
        <v>#DIV/0!</v>
      </c>
      <c r="AP105" s="43" t="e">
        <f>AP104+(ATM_Conf!$C$5/ATM_Conf!$C$8)*(BJ105*EXP(-(1/CX105)*(V105/CD105)^CX105)-AP104)-(ATM_Conf!$C$5*ATM_Conf!$C$9)/(V292*ATM_Conf!$C$8)*(Nodes!BO104-V104)/(V104+ATM_Conf!$C$10)</f>
        <v>#DIV/0!</v>
      </c>
      <c r="AQ105" s="43" t="e">
        <f>AQ104+(ATM_Conf!$C$5/ATM_Conf!$C$8)*(BK105*EXP(-(1/CY105)*(W105/CE105)^CY105)-AQ104)+(ATM_Conf!$C$5/W292)*AQ104*(AP104-AQ104)-(ATM_Conf!$C$5*ATM_Conf!$C$9)/(W292*ATM_Conf!$C$8)*(X104-W104)/(W104+ATM_Conf!$C$10)</f>
        <v>#DIV/0!</v>
      </c>
      <c r="AR105" s="43" t="e">
        <f>AR104+(ATM_Conf!$C$5/ATM_Conf!$C$8)*(BL105*EXP(-(1/CZ105)*(X105/CF105)^CZ105)-AR104)+(ATM_Conf!$C$5/X292)*AR104*(Nodes!BC104-AR104)-(ATM_Conf!$C$5*ATM_Conf!$C$9)/(X292*ATM_Conf!$C$8)*(Nodes!BQ104-X104)/(X104+ATM_Conf!$C$10)</f>
        <v>#DIV/0!</v>
      </c>
      <c r="AS105" s="43" t="e">
        <f>AS104+(ATM_Conf!$C$5/ATM_Conf!$C$8)*(BM105*EXP(-(1/DA105)*(Y105/CG105)^DA105)-AS104)+(ATM_Conf!$C$5/Y292)*AS104*(AR104-AS104)-(ATM_Conf!$C$5*ATM_Conf!$C$9)/(Y292*ATM_Conf!$C$8)*(Z104-Y104)/(Y104+ATM_Conf!$C$10)</f>
        <v>#DIV/0!</v>
      </c>
      <c r="AT105" s="43" t="e">
        <f>AT104+(ATM_Conf!$C$5/ATM_Conf!$C$8)*(BN105*EXP(-(1/DB105)*(Z105/CH105)^DB105)-AT104)+(ATM_Conf!$C$5/Z292)*AT104*(Nodes!BE104-AT104)-(ATM_Conf!$C$5*ATM_Conf!$C$9)/(Z292*ATM_Conf!$C$8)*(Nodes!BS104-Z104)/(Z104+ATM_Conf!$C$10)</f>
        <v>#DIV/0!</v>
      </c>
      <c r="AU105" s="43" t="e">
        <f>AU104+(ATM_Conf!$C$5/ATM_Conf!$C$8)*(BO105*EXP(-(1/DC105)*(AA105/CI105)^DC105)-AU104)+(ATM_Conf!$C$5/AA292)*AU104*(Nodes!BF104-AU104)-(ATM_Conf!$C$5*ATM_Conf!$C$9)/(AA292*ATM_Conf!$C$8)*(Nodes!BV104-AA104)/(AA104+ATM_Conf!$C$10)</f>
        <v>#DIV/0!</v>
      </c>
      <c r="AV105" s="43" t="e">
        <f>AV104+(ATM_Conf!$C$5/ATM_Conf!$C$8)*(BP105*EXP(-(1/DD105)*(AB105/CJ105)^DD105)-AV104)+(ATM_Conf!$C$5/AB292)*AV104*(AU104-AV104)-(ATM_Conf!$C$5*ATM_Conf!$C$9)/(AB292*ATM_Conf!$C$8)*(AC104-AB104)/(AB104+ATM_Conf!$C$10)</f>
        <v>#DIV/0!</v>
      </c>
      <c r="AW105" s="43" t="e">
        <f>AW104+(ATM_Conf!$C$5/ATM_Conf!$C$8)*(BQ105*EXP(-(1/DE105)*(AC105/CK105)^DE105)-AW104)+(ATM_Conf!$C$5/AC292)*AW104*(AV104-AW104)-(ATM_Conf!$C$5*ATM_Conf!$C$9)/(AC292*ATM_Conf!$C$8)*(AD104-AC104)/(AC104+ATM_Conf!$C$10)</f>
        <v>#DIV/0!</v>
      </c>
      <c r="AX105" s="43" t="e">
        <f>AX104+(ATM_Conf!$C$5/ATM_Conf!$C$8)*(BR105*EXP(-(1/DF105)*(AD105/CL105)^DF105)-AX104)+(ATM_Conf!$C$5/AD292)*AX104*(Nodes!BG104-AX104)-(ATM_Conf!$C$5*ATM_Conf!$C$9)/(AD292*ATM_Conf!$C$8)*(Nodes!BU104-AD104)/(AD104+ATM_Conf!$C$10)</f>
        <v>#DIV/0!</v>
      </c>
      <c r="AY105" s="43" t="e">
        <f>AY104+(ATM_Conf!$C$5/ATM_Conf!$C$8)*(BS105*EXP(-(1/DG105)*(AE105/CM105)^DG105)-AY104)+(ATM_Conf!$C$5/AE292)*AY104*(Nodes!BF104-AY104)</f>
        <v>#DIV/0!</v>
      </c>
      <c r="AZ105" s="43" t="e">
        <f>AZ104+(ATM_Conf!$C$5/ATM_Conf!$C$8)*(BT105*EXP(-(1/DH105)*(AF105/CN105)^DH105)-AZ104)-(ATM_Conf!$C$5*ATM_Conf!$C$9)/(AF292*ATM_Conf!$C$8)*(Nodes!BV104-AF104)/(AF104+ATM_Conf!$C$10)</f>
        <v>#DIV/0!</v>
      </c>
      <c r="BA105" s="43" t="e">
        <f>BA104+(ATM_Conf!$C$5/ATM_Conf!$C$8)*(BU105*EXP(-(1/DI105)*(AG105/CO105)^DI105)-BA104)+(ATM_Conf!$C$5/AG292)*BA104*(Nodes!BI104-BA104)-(ATM_Conf!$C$5*ATM_Conf!$C$9)/(AG292*ATM_Conf!$C$8)*(Nodes!BW104-AG104)/(AG104+ATM_Conf!$C$10)</f>
        <v>#DIV/0!</v>
      </c>
      <c r="BB105" s="43" t="e">
        <f>BB104+(ATM_Conf!$C$5/ATM_Conf!$C$8)*(BV105*EXP(-(1/DJ105)*(AH105/CP105)^DJ105)-BB104)+(ATM_Conf!$C$5/AH292)*BB104*(Nodes!BJ104-BB104)-(ATM_Conf!$C$5*ATM_Conf!$C$9)/(AH292*ATM_Conf!$C$8)*(AI104-AH104)/(AH104+ATM_Conf!$C$10)</f>
        <v>#DIV/0!</v>
      </c>
      <c r="BC105" s="43" t="e">
        <f>BC104+(ATM_Conf!$C$5/ATM_Conf!$C$8)*(BW105*EXP(-(1/DK105)*(AI105/CQ105)^DK105)-BC104)+(ATM_Conf!$C$5/AI292)*BC104*(BB104-BC104)-(ATM_Conf!$C$5*ATM_Conf!$C$9)/(AI292*ATM_Conf!$C$8)*(AJ104-AI104)/(AI104+ATM_Conf!$C$10)</f>
        <v>#DIV/0!</v>
      </c>
      <c r="BD105" s="43" t="e">
        <f>BD104+(ATM_Conf!$C$5/ATM_Conf!$C$8)*(BX105*EXP(-(1/DL105)*(AJ105/CR105)^DL105)-BD104)+(ATM_Conf!$C$5/AJ292)*BD104*(BC104-BD104)-(ATM_Conf!$C$5*ATM_Conf!$C$9)/(AJ292*ATM_Conf!$C$8)*(Nodes!BX104-AJ104)/(AJ104+ATM_Conf!$C$10)</f>
        <v>#DIV/0!</v>
      </c>
      <c r="BE105" s="43" t="e">
        <f>BE104+(ATM_Conf!$C$5/ATM_Conf!$C$8)*(BY105*EXP(-(1/DM105)*(AK105/CS105)^DM105)-BE104)+(ATM_Conf!$C$5/AK292)*BE104*(Nodes!BK104-BE104)-(ATM_Conf!$C$5*ATM_Conf!$C$9)/(AK292*ATM_Conf!$C$8)*(Nodes!BY104-AK104)/(AK104+ATM_Conf!$C$10)</f>
        <v>#DIV/0!</v>
      </c>
      <c r="BF105" s="43" t="e">
        <f>BF104+(ATM_Conf!$C$5/ATM_Conf!$C$8)*(BZ105*EXP(-(1/DN105)*(AL105/CT105)^DN105)-BF104)+(ATM_Conf!$C$5/AL292)*BF104*(BE104-BF104)-(ATM_Conf!$C$5*ATM_Conf!$C$9)/(AL292*ATM_Conf!$C$8)*(AM104-AL104)/(AL104+ATM_Conf!$C$10)</f>
        <v>#DIV/0!</v>
      </c>
      <c r="BG105" s="43" t="e">
        <f>BG104+(ATM_Conf!$C$5/ATM_Conf!$C$8)*(CA105*EXP(-(1/DO105)*(AM105/CU105)^DO105)-BG104)+(ATM_Conf!$C$5/AM292)*BG104*(Nodes!BM104-BG104)-(ATM_Conf!$C$5*ATM_Conf!$C$9)/(AM292*ATM_Conf!$C$8)*(Nodes!CA104-AM104)/(AM104+ATM_Conf!$C$10)</f>
        <v>#DIV/0!</v>
      </c>
      <c r="BH105" s="43" t="e">
        <f>BH104+(ATM_Conf!$C$5/ATM_Conf!$C$8)*(CB105*EXP(-(1/DP105)*(AN105/CV105)^DP105)-BH104)+(ATM_Conf!$C$5/AN292)*BH104*(BG104-BH104)-(ATM_Conf!$C$5*ATM_Conf!$C$9)/(AN292*ATM_Conf!$C$8)*(AO104-AN104)/(AN104+ATM_Conf!$C$10)</f>
        <v>#DIV/0!</v>
      </c>
      <c r="BI105" s="43" t="e">
        <f>BI104+(ATM_Conf!$C$5/ATM_Conf!$C$8)*(CC105*EXP(-(1/DQ105)*(AO105/CW105)^DQ105)-BI104)+(ATM_Conf!$C$5/AO292)*BI104*(BH104-BI104)</f>
        <v>#DIV/0!</v>
      </c>
      <c r="BJ105" s="53"/>
      <c r="BK105" s="53"/>
      <c r="BL105" s="53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/>
      <c r="BW105" s="53"/>
      <c r="BX105" s="53"/>
      <c r="BY105" s="53"/>
      <c r="BZ105" s="53"/>
      <c r="CA105" s="53"/>
      <c r="CB105" s="53"/>
      <c r="CC105" s="5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53"/>
      <c r="CY105" s="53"/>
      <c r="CZ105" s="53"/>
      <c r="DA105" s="53"/>
      <c r="DB105" s="53"/>
      <c r="DC105" s="53"/>
      <c r="DD105" s="53"/>
      <c r="DE105" s="53"/>
      <c r="DF105" s="53"/>
      <c r="DG105" s="53"/>
      <c r="DH105" s="53"/>
      <c r="DI105" s="53"/>
      <c r="DJ105" s="53"/>
      <c r="DK105" s="53"/>
      <c r="DL105" s="53"/>
      <c r="DM105" s="53"/>
      <c r="DN105" s="53"/>
      <c r="DO105" s="53"/>
      <c r="DP105" s="53"/>
      <c r="DQ105" s="53"/>
      <c r="DR105" s="43">
        <f t="shared" si="67"/>
        <v>0</v>
      </c>
      <c r="DS105" s="43">
        <f t="shared" si="66"/>
        <v>0</v>
      </c>
      <c r="DT105" s="43">
        <f t="shared" si="66"/>
        <v>0</v>
      </c>
      <c r="DU105" s="43">
        <f t="shared" si="66"/>
        <v>0</v>
      </c>
      <c r="DV105" s="43">
        <f t="shared" si="66"/>
        <v>0</v>
      </c>
      <c r="DW105" s="43">
        <f t="shared" si="66"/>
        <v>0</v>
      </c>
      <c r="DX105" s="43">
        <f t="shared" si="66"/>
        <v>0</v>
      </c>
      <c r="DY105" s="43">
        <f t="shared" si="66"/>
        <v>0</v>
      </c>
      <c r="DZ105" s="43">
        <f t="shared" si="66"/>
        <v>0</v>
      </c>
      <c r="EA105" s="43">
        <f t="shared" si="66"/>
        <v>0</v>
      </c>
      <c r="EB105" s="43">
        <f t="shared" si="66"/>
        <v>0</v>
      </c>
      <c r="EC105" s="43">
        <f t="shared" si="66"/>
        <v>0</v>
      </c>
      <c r="ED105" s="43">
        <f t="shared" si="66"/>
        <v>0</v>
      </c>
      <c r="EE105" s="43">
        <f t="shared" si="66"/>
        <v>0</v>
      </c>
      <c r="EF105" s="43">
        <f t="shared" si="66"/>
        <v>0</v>
      </c>
      <c r="EG105" s="43">
        <f t="shared" si="66"/>
        <v>0</v>
      </c>
      <c r="EH105" s="43">
        <f t="shared" si="66"/>
        <v>0</v>
      </c>
      <c r="EI105" s="43">
        <f t="shared" si="66"/>
        <v>0</v>
      </c>
      <c r="EJ105" s="43">
        <f t="shared" si="66"/>
        <v>0</v>
      </c>
      <c r="EK105" s="43">
        <f t="shared" si="66"/>
        <v>0</v>
      </c>
      <c r="EL105" s="47"/>
      <c r="EM105" s="47"/>
      <c r="EN105" s="47"/>
      <c r="EO105" s="47"/>
      <c r="EP105" s="47"/>
      <c r="EQ105" s="47"/>
      <c r="ER105" s="47"/>
      <c r="ES105" s="47"/>
      <c r="ET105" s="47"/>
      <c r="EU105" s="47"/>
      <c r="EV105" s="47"/>
      <c r="EW105" s="47"/>
      <c r="EX105" s="47"/>
      <c r="EY105" s="47"/>
      <c r="EZ105" s="47"/>
      <c r="FA105" s="47"/>
      <c r="FB105" s="47"/>
      <c r="FC105" s="47"/>
      <c r="FD105" s="47"/>
      <c r="FE105" s="47"/>
    </row>
    <row r="106" spans="1:161" ht="14.25" x14ac:dyDescent="0.15">
      <c r="A106" s="46"/>
      <c r="B106" s="43" t="e">
        <f t="shared" si="39"/>
        <v>#DIV/0!</v>
      </c>
      <c r="C106" s="43" t="e">
        <f t="shared" si="40"/>
        <v>#DIV/0!</v>
      </c>
      <c r="D106" s="43" t="e">
        <f t="shared" si="41"/>
        <v>#DIV/0!</v>
      </c>
      <c r="E106" s="43" t="e">
        <f t="shared" si="42"/>
        <v>#DIV/0!</v>
      </c>
      <c r="F106" s="43" t="e">
        <f t="shared" si="43"/>
        <v>#DIV/0!</v>
      </c>
      <c r="G106" s="43" t="e">
        <f t="shared" si="44"/>
        <v>#DIV/0!</v>
      </c>
      <c r="H106" s="43" t="e">
        <f t="shared" si="45"/>
        <v>#DIV/0!</v>
      </c>
      <c r="I106" s="43" t="e">
        <f t="shared" si="46"/>
        <v>#DIV/0!</v>
      </c>
      <c r="J106" s="43" t="e">
        <f t="shared" si="47"/>
        <v>#DIV/0!</v>
      </c>
      <c r="K106" s="43" t="e">
        <f t="shared" si="48"/>
        <v>#DIV/0!</v>
      </c>
      <c r="L106" s="43" t="e">
        <f t="shared" si="49"/>
        <v>#DIV/0!</v>
      </c>
      <c r="M106" s="43" t="e">
        <f t="shared" si="50"/>
        <v>#DIV/0!</v>
      </c>
      <c r="N106" s="43" t="e">
        <f t="shared" si="51"/>
        <v>#DIV/0!</v>
      </c>
      <c r="O106" s="43" t="e">
        <f t="shared" si="52"/>
        <v>#DIV/0!</v>
      </c>
      <c r="P106" s="43" t="e">
        <f t="shared" si="53"/>
        <v>#DIV/0!</v>
      </c>
      <c r="Q106" s="43" t="e">
        <f t="shared" si="54"/>
        <v>#DIV/0!</v>
      </c>
      <c r="R106" s="43" t="e">
        <f t="shared" si="55"/>
        <v>#DIV/0!</v>
      </c>
      <c r="S106" s="43" t="e">
        <f t="shared" si="56"/>
        <v>#DIV/0!</v>
      </c>
      <c r="T106" s="43" t="e">
        <f t="shared" si="57"/>
        <v>#DIV/0!</v>
      </c>
      <c r="U106" s="43" t="e">
        <f t="shared" si="58"/>
        <v>#DIV/0!</v>
      </c>
      <c r="V106" s="53" t="e">
        <f>V105+ATM_Conf!$C$5*(B105)/(B293*V293)</f>
        <v>#DIV/0!</v>
      </c>
      <c r="W106" s="53" t="e">
        <f>W105+ATM_Conf!$C$5*(C105-B105)/(C293*W293)</f>
        <v>#DIV/0!</v>
      </c>
      <c r="X106" s="53" t="e">
        <f>X105+ATM_Conf!$C$5*(D105-C105)/(D293*X293)</f>
        <v>#DIV/0!</v>
      </c>
      <c r="Y106" s="53" t="e">
        <f>Y105+ATM_Conf!$C$5*(E105-D105)/(E293*Y293)</f>
        <v>#DIV/0!</v>
      </c>
      <c r="Z106" s="53" t="e">
        <f>Z105+ATM_Conf!$C$5*(F105-E105)/(F293*Z293)</f>
        <v>#DIV/0!</v>
      </c>
      <c r="AA106" s="53" t="e">
        <f>AA105+ATM_Conf!$C$5*(G105-F105)/(G293*AA293)</f>
        <v>#DIV/0!</v>
      </c>
      <c r="AB106" s="53" t="e">
        <f>AB105+ATM_Conf!$C$5*(H105-G105)/(H293*AB293)</f>
        <v>#DIV/0!</v>
      </c>
      <c r="AC106" s="53" t="e">
        <f>AC105+ATM_Conf!$C$5*(I105-H105)/(I293*AC293)</f>
        <v>#DIV/0!</v>
      </c>
      <c r="AD106" s="53" t="e">
        <f>AD105+ATM_Conf!$C$5*(J105-I105)/(J293*AD293)</f>
        <v>#DIV/0!</v>
      </c>
      <c r="AE106" s="53" t="e">
        <f>AE105+ATM_Conf!$C$5*(K105-J105)/(K293*AE293)</f>
        <v>#DIV/0!</v>
      </c>
      <c r="AF106" s="53" t="e">
        <f>AF105+ATM_Conf!$C$5*(L105)/(L293*AF293)</f>
        <v>#DIV/0!</v>
      </c>
      <c r="AG106" s="53" t="e">
        <f>AG105+ATM_Conf!$C$5*(M105-L105)/(M293*AG293)</f>
        <v>#DIV/0!</v>
      </c>
      <c r="AH106" s="53" t="e">
        <f>AH105+ATM_Conf!$C$5*(N105-M105)/(N293*AH293)</f>
        <v>#DIV/0!</v>
      </c>
      <c r="AI106" s="53" t="e">
        <f>AI105+ATM_Conf!$C$5*(O105-N105)/(O293*AI293)</f>
        <v>#DIV/0!</v>
      </c>
      <c r="AJ106" s="53" t="e">
        <f>AJ105+ATM_Conf!$C$5*(P105-O105)/(P293*AJ293)</f>
        <v>#DIV/0!</v>
      </c>
      <c r="AK106" s="53" t="e">
        <f>AK105+ATM_Conf!$C$5*(Q105-P105)/(Q293*AK293)</f>
        <v>#DIV/0!</v>
      </c>
      <c r="AL106" s="53" t="e">
        <f>AL105+ATM_Conf!$C$5*(R105-Q105)/(R293*AL293)</f>
        <v>#DIV/0!</v>
      </c>
      <c r="AM106" s="53" t="e">
        <f>AM105+ATM_Conf!$C$5*(S105-R105)/(S293*AM293)</f>
        <v>#DIV/0!</v>
      </c>
      <c r="AN106" s="53" t="e">
        <f>AN105+ATM_Conf!$C$5*(T105-S105)/(T293*AN293)</f>
        <v>#DIV/0!</v>
      </c>
      <c r="AO106" s="53" t="e">
        <f>AO105+ATM_Conf!$C$5*(U105-T105)/(U293*AO293)</f>
        <v>#DIV/0!</v>
      </c>
      <c r="AP106" s="43" t="e">
        <f>AP105+(ATM_Conf!$C$5/ATM_Conf!$C$8)*(BJ106*EXP(-(1/CX106)*(V106/CD106)^CX106)-AP105)-(ATM_Conf!$C$5*ATM_Conf!$C$9)/(V293*ATM_Conf!$C$8)*(Nodes!BO105-V105)/(V105+ATM_Conf!$C$10)</f>
        <v>#DIV/0!</v>
      </c>
      <c r="AQ106" s="43" t="e">
        <f>AQ105+(ATM_Conf!$C$5/ATM_Conf!$C$8)*(BK106*EXP(-(1/CY106)*(W106/CE106)^CY106)-AQ105)+(ATM_Conf!$C$5/W293)*AQ105*(AP105-AQ105)-(ATM_Conf!$C$5*ATM_Conf!$C$9)/(W293*ATM_Conf!$C$8)*(X105-W105)/(W105+ATM_Conf!$C$10)</f>
        <v>#DIV/0!</v>
      </c>
      <c r="AR106" s="43" t="e">
        <f>AR105+(ATM_Conf!$C$5/ATM_Conf!$C$8)*(BL106*EXP(-(1/CZ106)*(X106/CF106)^CZ106)-AR105)+(ATM_Conf!$C$5/X293)*AR105*(Nodes!BC105-AR105)-(ATM_Conf!$C$5*ATM_Conf!$C$9)/(X293*ATM_Conf!$C$8)*(Nodes!BQ105-X105)/(X105+ATM_Conf!$C$10)</f>
        <v>#DIV/0!</v>
      </c>
      <c r="AS106" s="43" t="e">
        <f>AS105+(ATM_Conf!$C$5/ATM_Conf!$C$8)*(BM106*EXP(-(1/DA106)*(Y106/CG106)^DA106)-AS105)+(ATM_Conf!$C$5/Y293)*AS105*(AR105-AS105)-(ATM_Conf!$C$5*ATM_Conf!$C$9)/(Y293*ATM_Conf!$C$8)*(Z105-Y105)/(Y105+ATM_Conf!$C$10)</f>
        <v>#DIV/0!</v>
      </c>
      <c r="AT106" s="43" t="e">
        <f>AT105+(ATM_Conf!$C$5/ATM_Conf!$C$8)*(BN106*EXP(-(1/DB106)*(Z106/CH106)^DB106)-AT105)+(ATM_Conf!$C$5/Z293)*AT105*(Nodes!BE105-AT105)-(ATM_Conf!$C$5*ATM_Conf!$C$9)/(Z293*ATM_Conf!$C$8)*(Nodes!BS105-Z105)/(Z105+ATM_Conf!$C$10)</f>
        <v>#DIV/0!</v>
      </c>
      <c r="AU106" s="43" t="e">
        <f>AU105+(ATM_Conf!$C$5/ATM_Conf!$C$8)*(BO106*EXP(-(1/DC106)*(AA106/CI106)^DC106)-AU105)+(ATM_Conf!$C$5/AA293)*AU105*(Nodes!BF105-AU105)-(ATM_Conf!$C$5*ATM_Conf!$C$9)/(AA293*ATM_Conf!$C$8)*(Nodes!BV105-AA105)/(AA105+ATM_Conf!$C$10)</f>
        <v>#DIV/0!</v>
      </c>
      <c r="AV106" s="43" t="e">
        <f>AV105+(ATM_Conf!$C$5/ATM_Conf!$C$8)*(BP106*EXP(-(1/DD106)*(AB106/CJ106)^DD106)-AV105)+(ATM_Conf!$C$5/AB293)*AV105*(AU105-AV105)-(ATM_Conf!$C$5*ATM_Conf!$C$9)/(AB293*ATM_Conf!$C$8)*(AC105-AB105)/(AB105+ATM_Conf!$C$10)</f>
        <v>#DIV/0!</v>
      </c>
      <c r="AW106" s="43" t="e">
        <f>AW105+(ATM_Conf!$C$5/ATM_Conf!$C$8)*(BQ106*EXP(-(1/DE106)*(AC106/CK106)^DE106)-AW105)+(ATM_Conf!$C$5/AC293)*AW105*(AV105-AW105)-(ATM_Conf!$C$5*ATM_Conf!$C$9)/(AC293*ATM_Conf!$C$8)*(AD105-AC105)/(AC105+ATM_Conf!$C$10)</f>
        <v>#DIV/0!</v>
      </c>
      <c r="AX106" s="43" t="e">
        <f>AX105+(ATM_Conf!$C$5/ATM_Conf!$C$8)*(BR106*EXP(-(1/DF106)*(AD106/CL106)^DF106)-AX105)+(ATM_Conf!$C$5/AD293)*AX105*(Nodes!BG105-AX105)-(ATM_Conf!$C$5*ATM_Conf!$C$9)/(AD293*ATM_Conf!$C$8)*(Nodes!BU105-AD105)/(AD105+ATM_Conf!$C$10)</f>
        <v>#DIV/0!</v>
      </c>
      <c r="AY106" s="43" t="e">
        <f>AY105+(ATM_Conf!$C$5/ATM_Conf!$C$8)*(BS106*EXP(-(1/DG106)*(AE106/CM106)^DG106)-AY105)+(ATM_Conf!$C$5/AE293)*AY105*(Nodes!BF105-AY105)</f>
        <v>#DIV/0!</v>
      </c>
      <c r="AZ106" s="43" t="e">
        <f>AZ105+(ATM_Conf!$C$5/ATM_Conf!$C$8)*(BT106*EXP(-(1/DH106)*(AF106/CN106)^DH106)-AZ105)-(ATM_Conf!$C$5*ATM_Conf!$C$9)/(AF293*ATM_Conf!$C$8)*(Nodes!BV105-AF105)/(AF105+ATM_Conf!$C$10)</f>
        <v>#DIV/0!</v>
      </c>
      <c r="BA106" s="43" t="e">
        <f>BA105+(ATM_Conf!$C$5/ATM_Conf!$C$8)*(BU106*EXP(-(1/DI106)*(AG106/CO106)^DI106)-BA105)+(ATM_Conf!$C$5/AG293)*BA105*(Nodes!BI105-BA105)-(ATM_Conf!$C$5*ATM_Conf!$C$9)/(AG293*ATM_Conf!$C$8)*(Nodes!BW105-AG105)/(AG105+ATM_Conf!$C$10)</f>
        <v>#DIV/0!</v>
      </c>
      <c r="BB106" s="43" t="e">
        <f>BB105+(ATM_Conf!$C$5/ATM_Conf!$C$8)*(BV106*EXP(-(1/DJ106)*(AH106/CP106)^DJ106)-BB105)+(ATM_Conf!$C$5/AH293)*BB105*(Nodes!BJ105-BB105)-(ATM_Conf!$C$5*ATM_Conf!$C$9)/(AH293*ATM_Conf!$C$8)*(AI105-AH105)/(AH105+ATM_Conf!$C$10)</f>
        <v>#DIV/0!</v>
      </c>
      <c r="BC106" s="43" t="e">
        <f>BC105+(ATM_Conf!$C$5/ATM_Conf!$C$8)*(BW106*EXP(-(1/DK106)*(AI106/CQ106)^DK106)-BC105)+(ATM_Conf!$C$5/AI293)*BC105*(BB105-BC105)-(ATM_Conf!$C$5*ATM_Conf!$C$9)/(AI293*ATM_Conf!$C$8)*(AJ105-AI105)/(AI105+ATM_Conf!$C$10)</f>
        <v>#DIV/0!</v>
      </c>
      <c r="BD106" s="43" t="e">
        <f>BD105+(ATM_Conf!$C$5/ATM_Conf!$C$8)*(BX106*EXP(-(1/DL106)*(AJ106/CR106)^DL106)-BD105)+(ATM_Conf!$C$5/AJ293)*BD105*(BC105-BD105)-(ATM_Conf!$C$5*ATM_Conf!$C$9)/(AJ293*ATM_Conf!$C$8)*(Nodes!BX105-AJ105)/(AJ105+ATM_Conf!$C$10)</f>
        <v>#DIV/0!</v>
      </c>
      <c r="BE106" s="43" t="e">
        <f>BE105+(ATM_Conf!$C$5/ATM_Conf!$C$8)*(BY106*EXP(-(1/DM106)*(AK106/CS106)^DM106)-BE105)+(ATM_Conf!$C$5/AK293)*BE105*(Nodes!BK105-BE105)-(ATM_Conf!$C$5*ATM_Conf!$C$9)/(AK293*ATM_Conf!$C$8)*(Nodes!BY105-AK105)/(AK105+ATM_Conf!$C$10)</f>
        <v>#DIV/0!</v>
      </c>
      <c r="BF106" s="43" t="e">
        <f>BF105+(ATM_Conf!$C$5/ATM_Conf!$C$8)*(BZ106*EXP(-(1/DN106)*(AL106/CT106)^DN106)-BF105)+(ATM_Conf!$C$5/AL293)*BF105*(BE105-BF105)-(ATM_Conf!$C$5*ATM_Conf!$C$9)/(AL293*ATM_Conf!$C$8)*(AM105-AL105)/(AL105+ATM_Conf!$C$10)</f>
        <v>#DIV/0!</v>
      </c>
      <c r="BG106" s="43" t="e">
        <f>BG105+(ATM_Conf!$C$5/ATM_Conf!$C$8)*(CA106*EXP(-(1/DO106)*(AM106/CU106)^DO106)-BG105)+(ATM_Conf!$C$5/AM293)*BG105*(Nodes!BM105-BG105)-(ATM_Conf!$C$5*ATM_Conf!$C$9)/(AM293*ATM_Conf!$C$8)*(Nodes!CA105-AM105)/(AM105+ATM_Conf!$C$10)</f>
        <v>#DIV/0!</v>
      </c>
      <c r="BH106" s="43" t="e">
        <f>BH105+(ATM_Conf!$C$5/ATM_Conf!$C$8)*(CB106*EXP(-(1/DP106)*(AN106/CV106)^DP106)-BH105)+(ATM_Conf!$C$5/AN293)*BH105*(BG105-BH105)-(ATM_Conf!$C$5*ATM_Conf!$C$9)/(AN293*ATM_Conf!$C$8)*(AO105-AN105)/(AN105+ATM_Conf!$C$10)</f>
        <v>#DIV/0!</v>
      </c>
      <c r="BI106" s="43" t="e">
        <f>BI105+(ATM_Conf!$C$5/ATM_Conf!$C$8)*(CC106*EXP(-(1/DQ106)*(AO106/CW106)^DQ106)-BI105)+(ATM_Conf!$C$5/AO293)*BI105*(BH105-BI105)</f>
        <v>#DIV/0!</v>
      </c>
      <c r="BJ106" s="53"/>
      <c r="BK106" s="53"/>
      <c r="BL106" s="53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/>
      <c r="BW106" s="53"/>
      <c r="BX106" s="53"/>
      <c r="BY106" s="53"/>
      <c r="BZ106" s="53"/>
      <c r="CA106" s="53"/>
      <c r="CB106" s="53"/>
      <c r="CC106" s="5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53"/>
      <c r="CY106" s="53"/>
      <c r="CZ106" s="53"/>
      <c r="DA106" s="53"/>
      <c r="DB106" s="53"/>
      <c r="DC106" s="53"/>
      <c r="DD106" s="53"/>
      <c r="DE106" s="53"/>
      <c r="DF106" s="53"/>
      <c r="DG106" s="53"/>
      <c r="DH106" s="53"/>
      <c r="DI106" s="53"/>
      <c r="DJ106" s="53"/>
      <c r="DK106" s="53"/>
      <c r="DL106" s="53"/>
      <c r="DM106" s="53"/>
      <c r="DN106" s="53"/>
      <c r="DO106" s="53"/>
      <c r="DP106" s="53"/>
      <c r="DQ106" s="53"/>
      <c r="DR106" s="43">
        <f t="shared" si="67"/>
        <v>0</v>
      </c>
      <c r="DS106" s="43">
        <f t="shared" si="66"/>
        <v>0</v>
      </c>
      <c r="DT106" s="43">
        <f t="shared" si="66"/>
        <v>0</v>
      </c>
      <c r="DU106" s="43">
        <f t="shared" si="66"/>
        <v>0</v>
      </c>
      <c r="DV106" s="43">
        <f t="shared" si="66"/>
        <v>0</v>
      </c>
      <c r="DW106" s="43">
        <f t="shared" si="66"/>
        <v>0</v>
      </c>
      <c r="DX106" s="43">
        <f t="shared" si="66"/>
        <v>0</v>
      </c>
      <c r="DY106" s="43">
        <f t="shared" si="66"/>
        <v>0</v>
      </c>
      <c r="DZ106" s="43">
        <f t="shared" si="66"/>
        <v>0</v>
      </c>
      <c r="EA106" s="43">
        <f t="shared" si="66"/>
        <v>0</v>
      </c>
      <c r="EB106" s="43">
        <f t="shared" si="66"/>
        <v>0</v>
      </c>
      <c r="EC106" s="43">
        <f t="shared" si="66"/>
        <v>0</v>
      </c>
      <c r="ED106" s="43">
        <f t="shared" si="66"/>
        <v>0</v>
      </c>
      <c r="EE106" s="43">
        <f t="shared" si="66"/>
        <v>0</v>
      </c>
      <c r="EF106" s="43">
        <f t="shared" si="66"/>
        <v>0</v>
      </c>
      <c r="EG106" s="43">
        <f t="shared" si="66"/>
        <v>0</v>
      </c>
      <c r="EH106" s="43">
        <f t="shared" si="66"/>
        <v>0</v>
      </c>
      <c r="EI106" s="43">
        <f t="shared" si="66"/>
        <v>0</v>
      </c>
      <c r="EJ106" s="43">
        <f t="shared" si="66"/>
        <v>0</v>
      </c>
      <c r="EK106" s="43">
        <f t="shared" si="66"/>
        <v>0</v>
      </c>
      <c r="EL106" s="47"/>
      <c r="EM106" s="47"/>
      <c r="EN106" s="47"/>
      <c r="EO106" s="47"/>
      <c r="EP106" s="47"/>
      <c r="EQ106" s="47"/>
      <c r="ER106" s="47"/>
      <c r="ES106" s="47"/>
      <c r="ET106" s="47"/>
      <c r="EU106" s="47"/>
      <c r="EV106" s="47"/>
      <c r="EW106" s="47"/>
      <c r="EX106" s="47"/>
      <c r="EY106" s="47"/>
      <c r="EZ106" s="47"/>
      <c r="FA106" s="47"/>
      <c r="FB106" s="47"/>
      <c r="FC106" s="47"/>
      <c r="FD106" s="47"/>
      <c r="FE106" s="47"/>
    </row>
    <row r="107" spans="1:161" ht="14.25" x14ac:dyDescent="0.15">
      <c r="A107" s="46"/>
      <c r="B107" s="43" t="e">
        <f t="shared" si="39"/>
        <v>#DIV/0!</v>
      </c>
      <c r="C107" s="43" t="e">
        <f t="shared" si="40"/>
        <v>#DIV/0!</v>
      </c>
      <c r="D107" s="43" t="e">
        <f t="shared" si="41"/>
        <v>#DIV/0!</v>
      </c>
      <c r="E107" s="43" t="e">
        <f t="shared" si="42"/>
        <v>#DIV/0!</v>
      </c>
      <c r="F107" s="43" t="e">
        <f t="shared" si="43"/>
        <v>#DIV/0!</v>
      </c>
      <c r="G107" s="43" t="e">
        <f t="shared" si="44"/>
        <v>#DIV/0!</v>
      </c>
      <c r="H107" s="43" t="e">
        <f t="shared" si="45"/>
        <v>#DIV/0!</v>
      </c>
      <c r="I107" s="43" t="e">
        <f t="shared" si="46"/>
        <v>#DIV/0!</v>
      </c>
      <c r="J107" s="43" t="e">
        <f t="shared" si="47"/>
        <v>#DIV/0!</v>
      </c>
      <c r="K107" s="43" t="e">
        <f t="shared" si="48"/>
        <v>#DIV/0!</v>
      </c>
      <c r="L107" s="43" t="e">
        <f t="shared" si="49"/>
        <v>#DIV/0!</v>
      </c>
      <c r="M107" s="43" t="e">
        <f t="shared" si="50"/>
        <v>#DIV/0!</v>
      </c>
      <c r="N107" s="43" t="e">
        <f t="shared" si="51"/>
        <v>#DIV/0!</v>
      </c>
      <c r="O107" s="43" t="e">
        <f t="shared" si="52"/>
        <v>#DIV/0!</v>
      </c>
      <c r="P107" s="43" t="e">
        <f t="shared" si="53"/>
        <v>#DIV/0!</v>
      </c>
      <c r="Q107" s="43" t="e">
        <f t="shared" si="54"/>
        <v>#DIV/0!</v>
      </c>
      <c r="R107" s="43" t="e">
        <f t="shared" si="55"/>
        <v>#DIV/0!</v>
      </c>
      <c r="S107" s="43" t="e">
        <f t="shared" si="56"/>
        <v>#DIV/0!</v>
      </c>
      <c r="T107" s="43" t="e">
        <f t="shared" si="57"/>
        <v>#DIV/0!</v>
      </c>
      <c r="U107" s="43" t="e">
        <f t="shared" si="58"/>
        <v>#DIV/0!</v>
      </c>
      <c r="V107" s="53" t="e">
        <f>V106+ATM_Conf!$C$5*(B106)/(B294*V294)</f>
        <v>#DIV/0!</v>
      </c>
      <c r="W107" s="53" t="e">
        <f>W106+ATM_Conf!$C$5*(C106-B106)/(C294*W294)</f>
        <v>#DIV/0!</v>
      </c>
      <c r="X107" s="53" t="e">
        <f>X106+ATM_Conf!$C$5*(D106-C106)/(D294*X294)</f>
        <v>#DIV/0!</v>
      </c>
      <c r="Y107" s="53" t="e">
        <f>Y106+ATM_Conf!$C$5*(E106-D106)/(E294*Y294)</f>
        <v>#DIV/0!</v>
      </c>
      <c r="Z107" s="53" t="e">
        <f>Z106+ATM_Conf!$C$5*(F106-E106)/(F294*Z294)</f>
        <v>#DIV/0!</v>
      </c>
      <c r="AA107" s="53" t="e">
        <f>AA106+ATM_Conf!$C$5*(G106-F106)/(G294*AA294)</f>
        <v>#DIV/0!</v>
      </c>
      <c r="AB107" s="53" t="e">
        <f>AB106+ATM_Conf!$C$5*(H106-G106)/(H294*AB294)</f>
        <v>#DIV/0!</v>
      </c>
      <c r="AC107" s="53" t="e">
        <f>AC106+ATM_Conf!$C$5*(I106-H106)/(I294*AC294)</f>
        <v>#DIV/0!</v>
      </c>
      <c r="AD107" s="53" t="e">
        <f>AD106+ATM_Conf!$C$5*(J106-I106)/(J294*AD294)</f>
        <v>#DIV/0!</v>
      </c>
      <c r="AE107" s="53" t="e">
        <f>AE106+ATM_Conf!$C$5*(K106-J106)/(K294*AE294)</f>
        <v>#DIV/0!</v>
      </c>
      <c r="AF107" s="53" t="e">
        <f>AF106+ATM_Conf!$C$5*(L106)/(L294*AF294)</f>
        <v>#DIV/0!</v>
      </c>
      <c r="AG107" s="53" t="e">
        <f>AG106+ATM_Conf!$C$5*(M106-L106)/(M294*AG294)</f>
        <v>#DIV/0!</v>
      </c>
      <c r="AH107" s="53" t="e">
        <f>AH106+ATM_Conf!$C$5*(N106-M106)/(N294*AH294)</f>
        <v>#DIV/0!</v>
      </c>
      <c r="AI107" s="53" t="e">
        <f>AI106+ATM_Conf!$C$5*(O106-N106)/(O294*AI294)</f>
        <v>#DIV/0!</v>
      </c>
      <c r="AJ107" s="53" t="e">
        <f>AJ106+ATM_Conf!$C$5*(P106-O106)/(P294*AJ294)</f>
        <v>#DIV/0!</v>
      </c>
      <c r="AK107" s="53" t="e">
        <f>AK106+ATM_Conf!$C$5*(Q106-P106)/(Q294*AK294)</f>
        <v>#DIV/0!</v>
      </c>
      <c r="AL107" s="53" t="e">
        <f>AL106+ATM_Conf!$C$5*(R106-Q106)/(R294*AL294)</f>
        <v>#DIV/0!</v>
      </c>
      <c r="AM107" s="53" t="e">
        <f>AM106+ATM_Conf!$C$5*(S106-R106)/(S294*AM294)</f>
        <v>#DIV/0!</v>
      </c>
      <c r="AN107" s="53" t="e">
        <f>AN106+ATM_Conf!$C$5*(T106-S106)/(T294*AN294)</f>
        <v>#DIV/0!</v>
      </c>
      <c r="AO107" s="53" t="e">
        <f>AO106+ATM_Conf!$C$5*(U106-T106)/(U294*AO294)</f>
        <v>#DIV/0!</v>
      </c>
      <c r="AP107" s="43" t="e">
        <f>AP106+(ATM_Conf!$C$5/ATM_Conf!$C$8)*(BJ107*EXP(-(1/CX107)*(V107/CD107)^CX107)-AP106)-(ATM_Conf!$C$5*ATM_Conf!$C$9)/(V294*ATM_Conf!$C$8)*(Nodes!BO106-V106)/(V106+ATM_Conf!$C$10)</f>
        <v>#DIV/0!</v>
      </c>
      <c r="AQ107" s="43" t="e">
        <f>AQ106+(ATM_Conf!$C$5/ATM_Conf!$C$8)*(BK107*EXP(-(1/CY107)*(W107/CE107)^CY107)-AQ106)+(ATM_Conf!$C$5/W294)*AQ106*(AP106-AQ106)-(ATM_Conf!$C$5*ATM_Conf!$C$9)/(W294*ATM_Conf!$C$8)*(X106-W106)/(W106+ATM_Conf!$C$10)</f>
        <v>#DIV/0!</v>
      </c>
      <c r="AR107" s="43" t="e">
        <f>AR106+(ATM_Conf!$C$5/ATM_Conf!$C$8)*(BL107*EXP(-(1/CZ107)*(X107/CF107)^CZ107)-AR106)+(ATM_Conf!$C$5/X294)*AR106*(Nodes!BC106-AR106)-(ATM_Conf!$C$5*ATM_Conf!$C$9)/(X294*ATM_Conf!$C$8)*(Nodes!BQ106-X106)/(X106+ATM_Conf!$C$10)</f>
        <v>#DIV/0!</v>
      </c>
      <c r="AS107" s="43" t="e">
        <f>AS106+(ATM_Conf!$C$5/ATM_Conf!$C$8)*(BM107*EXP(-(1/DA107)*(Y107/CG107)^DA107)-AS106)+(ATM_Conf!$C$5/Y294)*AS106*(AR106-AS106)-(ATM_Conf!$C$5*ATM_Conf!$C$9)/(Y294*ATM_Conf!$C$8)*(Z106-Y106)/(Y106+ATM_Conf!$C$10)</f>
        <v>#DIV/0!</v>
      </c>
      <c r="AT107" s="43" t="e">
        <f>AT106+(ATM_Conf!$C$5/ATM_Conf!$C$8)*(BN107*EXP(-(1/DB107)*(Z107/CH107)^DB107)-AT106)+(ATM_Conf!$C$5/Z294)*AT106*(Nodes!BE106-AT106)-(ATM_Conf!$C$5*ATM_Conf!$C$9)/(Z294*ATM_Conf!$C$8)*(Nodes!BS106-Z106)/(Z106+ATM_Conf!$C$10)</f>
        <v>#DIV/0!</v>
      </c>
      <c r="AU107" s="43" t="e">
        <f>AU106+(ATM_Conf!$C$5/ATM_Conf!$C$8)*(BO107*EXP(-(1/DC107)*(AA107/CI107)^DC107)-AU106)+(ATM_Conf!$C$5/AA294)*AU106*(Nodes!BF106-AU106)-(ATM_Conf!$C$5*ATM_Conf!$C$9)/(AA294*ATM_Conf!$C$8)*(Nodes!BV106-AA106)/(AA106+ATM_Conf!$C$10)</f>
        <v>#DIV/0!</v>
      </c>
      <c r="AV107" s="43" t="e">
        <f>AV106+(ATM_Conf!$C$5/ATM_Conf!$C$8)*(BP107*EXP(-(1/DD107)*(AB107/CJ107)^DD107)-AV106)+(ATM_Conf!$C$5/AB294)*AV106*(AU106-AV106)-(ATM_Conf!$C$5*ATM_Conf!$C$9)/(AB294*ATM_Conf!$C$8)*(AC106-AB106)/(AB106+ATM_Conf!$C$10)</f>
        <v>#DIV/0!</v>
      </c>
      <c r="AW107" s="43" t="e">
        <f>AW106+(ATM_Conf!$C$5/ATM_Conf!$C$8)*(BQ107*EXP(-(1/DE107)*(AC107/CK107)^DE107)-AW106)+(ATM_Conf!$C$5/AC294)*AW106*(AV106-AW106)-(ATM_Conf!$C$5*ATM_Conf!$C$9)/(AC294*ATM_Conf!$C$8)*(AD106-AC106)/(AC106+ATM_Conf!$C$10)</f>
        <v>#DIV/0!</v>
      </c>
      <c r="AX107" s="43" t="e">
        <f>AX106+(ATM_Conf!$C$5/ATM_Conf!$C$8)*(BR107*EXP(-(1/DF107)*(AD107/CL107)^DF107)-AX106)+(ATM_Conf!$C$5/AD294)*AX106*(Nodes!BG106-AX106)-(ATM_Conf!$C$5*ATM_Conf!$C$9)/(AD294*ATM_Conf!$C$8)*(Nodes!BU106-AD106)/(AD106+ATM_Conf!$C$10)</f>
        <v>#DIV/0!</v>
      </c>
      <c r="AY107" s="43" t="e">
        <f>AY106+(ATM_Conf!$C$5/ATM_Conf!$C$8)*(BS107*EXP(-(1/DG107)*(AE107/CM107)^DG107)-AY106)+(ATM_Conf!$C$5/AE294)*AY106*(Nodes!BF106-AY106)</f>
        <v>#DIV/0!</v>
      </c>
      <c r="AZ107" s="43" t="e">
        <f>AZ106+(ATM_Conf!$C$5/ATM_Conf!$C$8)*(BT107*EXP(-(1/DH107)*(AF107/CN107)^DH107)-AZ106)-(ATM_Conf!$C$5*ATM_Conf!$C$9)/(AF294*ATM_Conf!$C$8)*(Nodes!BV106-AF106)/(AF106+ATM_Conf!$C$10)</f>
        <v>#DIV/0!</v>
      </c>
      <c r="BA107" s="43" t="e">
        <f>BA106+(ATM_Conf!$C$5/ATM_Conf!$C$8)*(BU107*EXP(-(1/DI107)*(AG107/CO107)^DI107)-BA106)+(ATM_Conf!$C$5/AG294)*BA106*(Nodes!BI106-BA106)-(ATM_Conf!$C$5*ATM_Conf!$C$9)/(AG294*ATM_Conf!$C$8)*(Nodes!BW106-AG106)/(AG106+ATM_Conf!$C$10)</f>
        <v>#DIV/0!</v>
      </c>
      <c r="BB107" s="43" t="e">
        <f>BB106+(ATM_Conf!$C$5/ATM_Conf!$C$8)*(BV107*EXP(-(1/DJ107)*(AH107/CP107)^DJ107)-BB106)+(ATM_Conf!$C$5/AH294)*BB106*(Nodes!BJ106-BB106)-(ATM_Conf!$C$5*ATM_Conf!$C$9)/(AH294*ATM_Conf!$C$8)*(AI106-AH106)/(AH106+ATM_Conf!$C$10)</f>
        <v>#DIV/0!</v>
      </c>
      <c r="BC107" s="43" t="e">
        <f>BC106+(ATM_Conf!$C$5/ATM_Conf!$C$8)*(BW107*EXP(-(1/DK107)*(AI107/CQ107)^DK107)-BC106)+(ATM_Conf!$C$5/AI294)*BC106*(BB106-BC106)-(ATM_Conf!$C$5*ATM_Conf!$C$9)/(AI294*ATM_Conf!$C$8)*(AJ106-AI106)/(AI106+ATM_Conf!$C$10)</f>
        <v>#DIV/0!</v>
      </c>
      <c r="BD107" s="43" t="e">
        <f>BD106+(ATM_Conf!$C$5/ATM_Conf!$C$8)*(BX107*EXP(-(1/DL107)*(AJ107/CR107)^DL107)-BD106)+(ATM_Conf!$C$5/AJ294)*BD106*(BC106-BD106)-(ATM_Conf!$C$5*ATM_Conf!$C$9)/(AJ294*ATM_Conf!$C$8)*(Nodes!BX106-AJ106)/(AJ106+ATM_Conf!$C$10)</f>
        <v>#DIV/0!</v>
      </c>
      <c r="BE107" s="43" t="e">
        <f>BE106+(ATM_Conf!$C$5/ATM_Conf!$C$8)*(BY107*EXP(-(1/DM107)*(AK107/CS107)^DM107)-BE106)+(ATM_Conf!$C$5/AK294)*BE106*(Nodes!BK106-BE106)-(ATM_Conf!$C$5*ATM_Conf!$C$9)/(AK294*ATM_Conf!$C$8)*(Nodes!BY106-AK106)/(AK106+ATM_Conf!$C$10)</f>
        <v>#DIV/0!</v>
      </c>
      <c r="BF107" s="43" t="e">
        <f>BF106+(ATM_Conf!$C$5/ATM_Conf!$C$8)*(BZ107*EXP(-(1/DN107)*(AL107/CT107)^DN107)-BF106)+(ATM_Conf!$C$5/AL294)*BF106*(BE106-BF106)-(ATM_Conf!$C$5*ATM_Conf!$C$9)/(AL294*ATM_Conf!$C$8)*(AM106-AL106)/(AL106+ATM_Conf!$C$10)</f>
        <v>#DIV/0!</v>
      </c>
      <c r="BG107" s="43" t="e">
        <f>BG106+(ATM_Conf!$C$5/ATM_Conf!$C$8)*(CA107*EXP(-(1/DO107)*(AM107/CU107)^DO107)-BG106)+(ATM_Conf!$C$5/AM294)*BG106*(Nodes!BM106-BG106)-(ATM_Conf!$C$5*ATM_Conf!$C$9)/(AM294*ATM_Conf!$C$8)*(Nodes!CA106-AM106)/(AM106+ATM_Conf!$C$10)</f>
        <v>#DIV/0!</v>
      </c>
      <c r="BH107" s="43" t="e">
        <f>BH106+(ATM_Conf!$C$5/ATM_Conf!$C$8)*(CB107*EXP(-(1/DP107)*(AN107/CV107)^DP107)-BH106)+(ATM_Conf!$C$5/AN294)*BH106*(BG106-BH106)-(ATM_Conf!$C$5*ATM_Conf!$C$9)/(AN294*ATM_Conf!$C$8)*(AO106-AN106)/(AN106+ATM_Conf!$C$10)</f>
        <v>#DIV/0!</v>
      </c>
      <c r="BI107" s="43" t="e">
        <f>BI106+(ATM_Conf!$C$5/ATM_Conf!$C$8)*(CC107*EXP(-(1/DQ107)*(AO107/CW107)^DQ107)-BI106)+(ATM_Conf!$C$5/AO294)*BI106*(BH106-BI106)</f>
        <v>#DIV/0!</v>
      </c>
      <c r="BJ107" s="53"/>
      <c r="BK107" s="53"/>
      <c r="BL107" s="53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/>
      <c r="BW107" s="53"/>
      <c r="BX107" s="53"/>
      <c r="BY107" s="53"/>
      <c r="BZ107" s="53"/>
      <c r="CA107" s="53"/>
      <c r="CB107" s="53"/>
      <c r="CC107" s="5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53"/>
      <c r="CY107" s="53"/>
      <c r="CZ107" s="53"/>
      <c r="DA107" s="53"/>
      <c r="DB107" s="53"/>
      <c r="DC107" s="53"/>
      <c r="DD107" s="53"/>
      <c r="DE107" s="53"/>
      <c r="DF107" s="53"/>
      <c r="DG107" s="53"/>
      <c r="DH107" s="53"/>
      <c r="DI107" s="53"/>
      <c r="DJ107" s="53"/>
      <c r="DK107" s="53"/>
      <c r="DL107" s="53"/>
      <c r="DM107" s="53"/>
      <c r="DN107" s="53"/>
      <c r="DO107" s="53"/>
      <c r="DP107" s="53"/>
      <c r="DQ107" s="53"/>
      <c r="DR107" s="43">
        <f t="shared" si="67"/>
        <v>0</v>
      </c>
      <c r="DS107" s="43">
        <f t="shared" si="66"/>
        <v>0</v>
      </c>
      <c r="DT107" s="43">
        <f t="shared" si="66"/>
        <v>0</v>
      </c>
      <c r="DU107" s="43">
        <f t="shared" si="66"/>
        <v>0</v>
      </c>
      <c r="DV107" s="43">
        <f t="shared" si="66"/>
        <v>0</v>
      </c>
      <c r="DW107" s="43">
        <f t="shared" si="66"/>
        <v>0</v>
      </c>
      <c r="DX107" s="43">
        <f t="shared" si="66"/>
        <v>0</v>
      </c>
      <c r="DY107" s="43">
        <f t="shared" si="66"/>
        <v>0</v>
      </c>
      <c r="DZ107" s="43">
        <f t="shared" si="66"/>
        <v>0</v>
      </c>
      <c r="EA107" s="43">
        <f t="shared" si="66"/>
        <v>0</v>
      </c>
      <c r="EB107" s="43">
        <f t="shared" si="66"/>
        <v>0</v>
      </c>
      <c r="EC107" s="43">
        <f t="shared" si="66"/>
        <v>0</v>
      </c>
      <c r="ED107" s="43">
        <f t="shared" si="66"/>
        <v>0</v>
      </c>
      <c r="EE107" s="43">
        <f t="shared" si="66"/>
        <v>0</v>
      </c>
      <c r="EF107" s="43">
        <f t="shared" si="66"/>
        <v>0</v>
      </c>
      <c r="EG107" s="43">
        <f t="shared" si="66"/>
        <v>0</v>
      </c>
      <c r="EH107" s="43">
        <f t="shared" si="66"/>
        <v>0</v>
      </c>
      <c r="EI107" s="43">
        <f t="shared" si="66"/>
        <v>0</v>
      </c>
      <c r="EJ107" s="43">
        <f t="shared" si="66"/>
        <v>0</v>
      </c>
      <c r="EK107" s="43">
        <f t="shared" si="66"/>
        <v>0</v>
      </c>
      <c r="EL107" s="47"/>
      <c r="EM107" s="47"/>
      <c r="EN107" s="47"/>
      <c r="EO107" s="47"/>
      <c r="EP107" s="47"/>
      <c r="EQ107" s="47"/>
      <c r="ER107" s="47"/>
      <c r="ES107" s="47"/>
      <c r="ET107" s="47"/>
      <c r="EU107" s="47"/>
      <c r="EV107" s="47"/>
      <c r="EW107" s="47"/>
      <c r="EX107" s="47"/>
      <c r="EY107" s="47"/>
      <c r="EZ107" s="47"/>
      <c r="FA107" s="47"/>
      <c r="FB107" s="47"/>
      <c r="FC107" s="47"/>
      <c r="FD107" s="47"/>
      <c r="FE107" s="47"/>
    </row>
    <row r="108" spans="1:161" ht="14.25" x14ac:dyDescent="0.15">
      <c r="A108" s="46"/>
      <c r="B108" s="43" t="e">
        <f t="shared" si="39"/>
        <v>#DIV/0!</v>
      </c>
      <c r="C108" s="43" t="e">
        <f t="shared" si="40"/>
        <v>#DIV/0!</v>
      </c>
      <c r="D108" s="43" t="e">
        <f t="shared" si="41"/>
        <v>#DIV/0!</v>
      </c>
      <c r="E108" s="43" t="e">
        <f t="shared" si="42"/>
        <v>#DIV/0!</v>
      </c>
      <c r="F108" s="43" t="e">
        <f t="shared" si="43"/>
        <v>#DIV/0!</v>
      </c>
      <c r="G108" s="43" t="e">
        <f t="shared" si="44"/>
        <v>#DIV/0!</v>
      </c>
      <c r="H108" s="43" t="e">
        <f t="shared" si="45"/>
        <v>#DIV/0!</v>
      </c>
      <c r="I108" s="43" t="e">
        <f t="shared" si="46"/>
        <v>#DIV/0!</v>
      </c>
      <c r="J108" s="43" t="e">
        <f t="shared" si="47"/>
        <v>#DIV/0!</v>
      </c>
      <c r="K108" s="43" t="e">
        <f t="shared" si="48"/>
        <v>#DIV/0!</v>
      </c>
      <c r="L108" s="43" t="e">
        <f t="shared" si="49"/>
        <v>#DIV/0!</v>
      </c>
      <c r="M108" s="43" t="e">
        <f t="shared" si="50"/>
        <v>#DIV/0!</v>
      </c>
      <c r="N108" s="43" t="e">
        <f t="shared" si="51"/>
        <v>#DIV/0!</v>
      </c>
      <c r="O108" s="43" t="e">
        <f t="shared" si="52"/>
        <v>#DIV/0!</v>
      </c>
      <c r="P108" s="43" t="e">
        <f t="shared" si="53"/>
        <v>#DIV/0!</v>
      </c>
      <c r="Q108" s="43" t="e">
        <f t="shared" si="54"/>
        <v>#DIV/0!</v>
      </c>
      <c r="R108" s="43" t="e">
        <f t="shared" si="55"/>
        <v>#DIV/0!</v>
      </c>
      <c r="S108" s="43" t="e">
        <f t="shared" si="56"/>
        <v>#DIV/0!</v>
      </c>
      <c r="T108" s="43" t="e">
        <f t="shared" si="57"/>
        <v>#DIV/0!</v>
      </c>
      <c r="U108" s="43" t="e">
        <f t="shared" si="58"/>
        <v>#DIV/0!</v>
      </c>
      <c r="V108" s="53" t="e">
        <f>V107+ATM_Conf!$C$5*(B107)/(B295*V295)</f>
        <v>#DIV/0!</v>
      </c>
      <c r="W108" s="53" t="e">
        <f>W107+ATM_Conf!$C$5*(C107-B107)/(C295*W295)</f>
        <v>#DIV/0!</v>
      </c>
      <c r="X108" s="53" t="e">
        <f>X107+ATM_Conf!$C$5*(D107-C107)/(D295*X295)</f>
        <v>#DIV/0!</v>
      </c>
      <c r="Y108" s="53" t="e">
        <f>Y107+ATM_Conf!$C$5*(E107-D107)/(E295*Y295)</f>
        <v>#DIV/0!</v>
      </c>
      <c r="Z108" s="53" t="e">
        <f>Z107+ATM_Conf!$C$5*(F107-E107)/(F295*Z295)</f>
        <v>#DIV/0!</v>
      </c>
      <c r="AA108" s="53" t="e">
        <f>AA107+ATM_Conf!$C$5*(G107-F107)/(G295*AA295)</f>
        <v>#DIV/0!</v>
      </c>
      <c r="AB108" s="53" t="e">
        <f>AB107+ATM_Conf!$C$5*(H107-G107)/(H295*AB295)</f>
        <v>#DIV/0!</v>
      </c>
      <c r="AC108" s="53" t="e">
        <f>AC107+ATM_Conf!$C$5*(I107-H107)/(I295*AC295)</f>
        <v>#DIV/0!</v>
      </c>
      <c r="AD108" s="53" t="e">
        <f>AD107+ATM_Conf!$C$5*(J107-I107)/(J295*AD295)</f>
        <v>#DIV/0!</v>
      </c>
      <c r="AE108" s="53" t="e">
        <f>AE107+ATM_Conf!$C$5*(K107-J107)/(K295*AE295)</f>
        <v>#DIV/0!</v>
      </c>
      <c r="AF108" s="53" t="e">
        <f>AF107+ATM_Conf!$C$5*(L107)/(L295*AF295)</f>
        <v>#DIV/0!</v>
      </c>
      <c r="AG108" s="53" t="e">
        <f>AG107+ATM_Conf!$C$5*(M107-L107)/(M295*AG295)</f>
        <v>#DIV/0!</v>
      </c>
      <c r="AH108" s="53" t="e">
        <f>AH107+ATM_Conf!$C$5*(N107-M107)/(N295*AH295)</f>
        <v>#DIV/0!</v>
      </c>
      <c r="AI108" s="53" t="e">
        <f>AI107+ATM_Conf!$C$5*(O107-N107)/(O295*AI295)</f>
        <v>#DIV/0!</v>
      </c>
      <c r="AJ108" s="53" t="e">
        <f>AJ107+ATM_Conf!$C$5*(P107-O107)/(P295*AJ295)</f>
        <v>#DIV/0!</v>
      </c>
      <c r="AK108" s="53" t="e">
        <f>AK107+ATM_Conf!$C$5*(Q107-P107)/(Q295*AK295)</f>
        <v>#DIV/0!</v>
      </c>
      <c r="AL108" s="53" t="e">
        <f>AL107+ATM_Conf!$C$5*(R107-Q107)/(R295*AL295)</f>
        <v>#DIV/0!</v>
      </c>
      <c r="AM108" s="53" t="e">
        <f>AM107+ATM_Conf!$C$5*(S107-R107)/(S295*AM295)</f>
        <v>#DIV/0!</v>
      </c>
      <c r="AN108" s="53" t="e">
        <f>AN107+ATM_Conf!$C$5*(T107-S107)/(T295*AN295)</f>
        <v>#DIV/0!</v>
      </c>
      <c r="AO108" s="53" t="e">
        <f>AO107+ATM_Conf!$C$5*(U107-T107)/(U295*AO295)</f>
        <v>#DIV/0!</v>
      </c>
      <c r="AP108" s="43" t="e">
        <f>AP107+(ATM_Conf!$C$5/ATM_Conf!$C$8)*(BJ108*EXP(-(1/CX108)*(V108/CD108)^CX108)-AP107)-(ATM_Conf!$C$5*ATM_Conf!$C$9)/(V295*ATM_Conf!$C$8)*(Nodes!BO107-V107)/(V107+ATM_Conf!$C$10)</f>
        <v>#DIV/0!</v>
      </c>
      <c r="AQ108" s="43" t="e">
        <f>AQ107+(ATM_Conf!$C$5/ATM_Conf!$C$8)*(BK108*EXP(-(1/CY108)*(W108/CE108)^CY108)-AQ107)+(ATM_Conf!$C$5/W295)*AQ107*(AP107-AQ107)-(ATM_Conf!$C$5*ATM_Conf!$C$9)/(W295*ATM_Conf!$C$8)*(X107-W107)/(W107+ATM_Conf!$C$10)</f>
        <v>#DIV/0!</v>
      </c>
      <c r="AR108" s="43" t="e">
        <f>AR107+(ATM_Conf!$C$5/ATM_Conf!$C$8)*(BL108*EXP(-(1/CZ108)*(X108/CF108)^CZ108)-AR107)+(ATM_Conf!$C$5/X295)*AR107*(Nodes!BC107-AR107)-(ATM_Conf!$C$5*ATM_Conf!$C$9)/(X295*ATM_Conf!$C$8)*(Nodes!BQ107-X107)/(X107+ATM_Conf!$C$10)</f>
        <v>#DIV/0!</v>
      </c>
      <c r="AS108" s="43" t="e">
        <f>AS107+(ATM_Conf!$C$5/ATM_Conf!$C$8)*(BM108*EXP(-(1/DA108)*(Y108/CG108)^DA108)-AS107)+(ATM_Conf!$C$5/Y295)*AS107*(AR107-AS107)-(ATM_Conf!$C$5*ATM_Conf!$C$9)/(Y295*ATM_Conf!$C$8)*(Z107-Y107)/(Y107+ATM_Conf!$C$10)</f>
        <v>#DIV/0!</v>
      </c>
      <c r="AT108" s="43" t="e">
        <f>AT107+(ATM_Conf!$C$5/ATM_Conf!$C$8)*(BN108*EXP(-(1/DB108)*(Z108/CH108)^DB108)-AT107)+(ATM_Conf!$C$5/Z295)*AT107*(Nodes!BE107-AT107)-(ATM_Conf!$C$5*ATM_Conf!$C$9)/(Z295*ATM_Conf!$C$8)*(Nodes!BS107-Z107)/(Z107+ATM_Conf!$C$10)</f>
        <v>#DIV/0!</v>
      </c>
      <c r="AU108" s="43" t="e">
        <f>AU107+(ATM_Conf!$C$5/ATM_Conf!$C$8)*(BO108*EXP(-(1/DC108)*(AA108/CI108)^DC108)-AU107)+(ATM_Conf!$C$5/AA295)*AU107*(Nodes!BF107-AU107)-(ATM_Conf!$C$5*ATM_Conf!$C$9)/(AA295*ATM_Conf!$C$8)*(Nodes!BV107-AA107)/(AA107+ATM_Conf!$C$10)</f>
        <v>#DIV/0!</v>
      </c>
      <c r="AV108" s="43" t="e">
        <f>AV107+(ATM_Conf!$C$5/ATM_Conf!$C$8)*(BP108*EXP(-(1/DD108)*(AB108/CJ108)^DD108)-AV107)+(ATM_Conf!$C$5/AB295)*AV107*(AU107-AV107)-(ATM_Conf!$C$5*ATM_Conf!$C$9)/(AB295*ATM_Conf!$C$8)*(AC107-AB107)/(AB107+ATM_Conf!$C$10)</f>
        <v>#DIV/0!</v>
      </c>
      <c r="AW108" s="43" t="e">
        <f>AW107+(ATM_Conf!$C$5/ATM_Conf!$C$8)*(BQ108*EXP(-(1/DE108)*(AC108/CK108)^DE108)-AW107)+(ATM_Conf!$C$5/AC295)*AW107*(AV107-AW107)-(ATM_Conf!$C$5*ATM_Conf!$C$9)/(AC295*ATM_Conf!$C$8)*(AD107-AC107)/(AC107+ATM_Conf!$C$10)</f>
        <v>#DIV/0!</v>
      </c>
      <c r="AX108" s="43" t="e">
        <f>AX107+(ATM_Conf!$C$5/ATM_Conf!$C$8)*(BR108*EXP(-(1/DF108)*(AD108/CL108)^DF108)-AX107)+(ATM_Conf!$C$5/AD295)*AX107*(Nodes!BG107-AX107)-(ATM_Conf!$C$5*ATM_Conf!$C$9)/(AD295*ATM_Conf!$C$8)*(Nodes!BU107-AD107)/(AD107+ATM_Conf!$C$10)</f>
        <v>#DIV/0!</v>
      </c>
      <c r="AY108" s="43" t="e">
        <f>AY107+(ATM_Conf!$C$5/ATM_Conf!$C$8)*(BS108*EXP(-(1/DG108)*(AE108/CM108)^DG108)-AY107)+(ATM_Conf!$C$5/AE295)*AY107*(Nodes!BF107-AY107)</f>
        <v>#DIV/0!</v>
      </c>
      <c r="AZ108" s="43" t="e">
        <f>AZ107+(ATM_Conf!$C$5/ATM_Conf!$C$8)*(BT108*EXP(-(1/DH108)*(AF108/CN108)^DH108)-AZ107)-(ATM_Conf!$C$5*ATM_Conf!$C$9)/(AF295*ATM_Conf!$C$8)*(Nodes!BV107-AF107)/(AF107+ATM_Conf!$C$10)</f>
        <v>#DIV/0!</v>
      </c>
      <c r="BA108" s="43" t="e">
        <f>BA107+(ATM_Conf!$C$5/ATM_Conf!$C$8)*(BU108*EXP(-(1/DI108)*(AG108/CO108)^DI108)-BA107)+(ATM_Conf!$C$5/AG295)*BA107*(Nodes!BI107-BA107)-(ATM_Conf!$C$5*ATM_Conf!$C$9)/(AG295*ATM_Conf!$C$8)*(Nodes!BW107-AG107)/(AG107+ATM_Conf!$C$10)</f>
        <v>#DIV/0!</v>
      </c>
      <c r="BB108" s="43" t="e">
        <f>BB107+(ATM_Conf!$C$5/ATM_Conf!$C$8)*(BV108*EXP(-(1/DJ108)*(AH108/CP108)^DJ108)-BB107)+(ATM_Conf!$C$5/AH295)*BB107*(Nodes!BJ107-BB107)-(ATM_Conf!$C$5*ATM_Conf!$C$9)/(AH295*ATM_Conf!$C$8)*(AI107-AH107)/(AH107+ATM_Conf!$C$10)</f>
        <v>#DIV/0!</v>
      </c>
      <c r="BC108" s="43" t="e">
        <f>BC107+(ATM_Conf!$C$5/ATM_Conf!$C$8)*(BW108*EXP(-(1/DK108)*(AI108/CQ108)^DK108)-BC107)+(ATM_Conf!$C$5/AI295)*BC107*(BB107-BC107)-(ATM_Conf!$C$5*ATM_Conf!$C$9)/(AI295*ATM_Conf!$C$8)*(AJ107-AI107)/(AI107+ATM_Conf!$C$10)</f>
        <v>#DIV/0!</v>
      </c>
      <c r="BD108" s="43" t="e">
        <f>BD107+(ATM_Conf!$C$5/ATM_Conf!$C$8)*(BX108*EXP(-(1/DL108)*(AJ108/CR108)^DL108)-BD107)+(ATM_Conf!$C$5/AJ295)*BD107*(BC107-BD107)-(ATM_Conf!$C$5*ATM_Conf!$C$9)/(AJ295*ATM_Conf!$C$8)*(Nodes!BX107-AJ107)/(AJ107+ATM_Conf!$C$10)</f>
        <v>#DIV/0!</v>
      </c>
      <c r="BE108" s="43" t="e">
        <f>BE107+(ATM_Conf!$C$5/ATM_Conf!$C$8)*(BY108*EXP(-(1/DM108)*(AK108/CS108)^DM108)-BE107)+(ATM_Conf!$C$5/AK295)*BE107*(Nodes!BK107-BE107)-(ATM_Conf!$C$5*ATM_Conf!$C$9)/(AK295*ATM_Conf!$C$8)*(Nodes!BY107-AK107)/(AK107+ATM_Conf!$C$10)</f>
        <v>#DIV/0!</v>
      </c>
      <c r="BF108" s="43" t="e">
        <f>BF107+(ATM_Conf!$C$5/ATM_Conf!$C$8)*(BZ108*EXP(-(1/DN108)*(AL108/CT108)^DN108)-BF107)+(ATM_Conf!$C$5/AL295)*BF107*(BE107-BF107)-(ATM_Conf!$C$5*ATM_Conf!$C$9)/(AL295*ATM_Conf!$C$8)*(AM107-AL107)/(AL107+ATM_Conf!$C$10)</f>
        <v>#DIV/0!</v>
      </c>
      <c r="BG108" s="43" t="e">
        <f>BG107+(ATM_Conf!$C$5/ATM_Conf!$C$8)*(CA108*EXP(-(1/DO108)*(AM108/CU108)^DO108)-BG107)+(ATM_Conf!$C$5/AM295)*BG107*(Nodes!BM107-BG107)-(ATM_Conf!$C$5*ATM_Conf!$C$9)/(AM295*ATM_Conf!$C$8)*(Nodes!CA107-AM107)/(AM107+ATM_Conf!$C$10)</f>
        <v>#DIV/0!</v>
      </c>
      <c r="BH108" s="43" t="e">
        <f>BH107+(ATM_Conf!$C$5/ATM_Conf!$C$8)*(CB108*EXP(-(1/DP108)*(AN108/CV108)^DP108)-BH107)+(ATM_Conf!$C$5/AN295)*BH107*(BG107-BH107)-(ATM_Conf!$C$5*ATM_Conf!$C$9)/(AN295*ATM_Conf!$C$8)*(AO107-AN107)/(AN107+ATM_Conf!$C$10)</f>
        <v>#DIV/0!</v>
      </c>
      <c r="BI108" s="43" t="e">
        <f>BI107+(ATM_Conf!$C$5/ATM_Conf!$C$8)*(CC108*EXP(-(1/DQ108)*(AO108/CW108)^DQ108)-BI107)+(ATM_Conf!$C$5/AO295)*BI107*(BH107-BI107)</f>
        <v>#DIV/0!</v>
      </c>
      <c r="BJ108" s="53"/>
      <c r="BK108" s="53"/>
      <c r="BL108" s="53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/>
      <c r="BW108" s="53"/>
      <c r="BX108" s="53"/>
      <c r="BY108" s="53"/>
      <c r="BZ108" s="53"/>
      <c r="CA108" s="53"/>
      <c r="CB108" s="53"/>
      <c r="CC108" s="5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53"/>
      <c r="CY108" s="53"/>
      <c r="CZ108" s="53"/>
      <c r="DA108" s="53"/>
      <c r="DB108" s="53"/>
      <c r="DC108" s="53"/>
      <c r="DD108" s="53"/>
      <c r="DE108" s="53"/>
      <c r="DF108" s="53"/>
      <c r="DG108" s="53"/>
      <c r="DH108" s="53"/>
      <c r="DI108" s="53"/>
      <c r="DJ108" s="53"/>
      <c r="DK108" s="53"/>
      <c r="DL108" s="53"/>
      <c r="DM108" s="53"/>
      <c r="DN108" s="53"/>
      <c r="DO108" s="53"/>
      <c r="DP108" s="53"/>
      <c r="DQ108" s="53"/>
      <c r="DR108" s="43">
        <f t="shared" si="67"/>
        <v>0</v>
      </c>
      <c r="DS108" s="43">
        <f t="shared" si="66"/>
        <v>0</v>
      </c>
      <c r="DT108" s="43">
        <f t="shared" si="66"/>
        <v>0</v>
      </c>
      <c r="DU108" s="43">
        <f t="shared" si="66"/>
        <v>0</v>
      </c>
      <c r="DV108" s="43">
        <f t="shared" si="66"/>
        <v>0</v>
      </c>
      <c r="DW108" s="43">
        <f t="shared" si="66"/>
        <v>0</v>
      </c>
      <c r="DX108" s="43">
        <f t="shared" si="66"/>
        <v>0</v>
      </c>
      <c r="DY108" s="43">
        <f t="shared" si="66"/>
        <v>0</v>
      </c>
      <c r="DZ108" s="43">
        <f t="shared" si="66"/>
        <v>0</v>
      </c>
      <c r="EA108" s="43">
        <f t="shared" si="66"/>
        <v>0</v>
      </c>
      <c r="EB108" s="43">
        <f t="shared" si="66"/>
        <v>0</v>
      </c>
      <c r="EC108" s="43">
        <f t="shared" si="66"/>
        <v>0</v>
      </c>
      <c r="ED108" s="43">
        <f t="shared" si="66"/>
        <v>0</v>
      </c>
      <c r="EE108" s="43">
        <f t="shared" si="66"/>
        <v>0</v>
      </c>
      <c r="EF108" s="43">
        <f t="shared" si="66"/>
        <v>0</v>
      </c>
      <c r="EG108" s="43">
        <f t="shared" si="66"/>
        <v>0</v>
      </c>
      <c r="EH108" s="43">
        <f t="shared" si="66"/>
        <v>0</v>
      </c>
      <c r="EI108" s="43">
        <f t="shared" si="66"/>
        <v>0</v>
      </c>
      <c r="EJ108" s="43">
        <f t="shared" si="66"/>
        <v>0</v>
      </c>
      <c r="EK108" s="43">
        <f t="shared" si="66"/>
        <v>0</v>
      </c>
      <c r="EL108" s="47"/>
      <c r="EM108" s="47"/>
      <c r="EN108" s="47"/>
      <c r="EO108" s="47"/>
      <c r="EP108" s="47"/>
      <c r="EQ108" s="47"/>
      <c r="ER108" s="47"/>
      <c r="ES108" s="47"/>
      <c r="ET108" s="47"/>
      <c r="EU108" s="47"/>
      <c r="EV108" s="47"/>
      <c r="EW108" s="47"/>
      <c r="EX108" s="47"/>
      <c r="EY108" s="47"/>
      <c r="EZ108" s="47"/>
      <c r="FA108" s="47"/>
      <c r="FB108" s="47"/>
      <c r="FC108" s="47"/>
      <c r="FD108" s="47"/>
      <c r="FE108" s="47"/>
    </row>
    <row r="109" spans="1:161" ht="14.25" x14ac:dyDescent="0.15">
      <c r="A109" s="46"/>
      <c r="B109" s="43" t="e">
        <f t="shared" si="39"/>
        <v>#DIV/0!</v>
      </c>
      <c r="C109" s="43" t="e">
        <f t="shared" si="40"/>
        <v>#DIV/0!</v>
      </c>
      <c r="D109" s="43" t="e">
        <f t="shared" si="41"/>
        <v>#DIV/0!</v>
      </c>
      <c r="E109" s="43" t="e">
        <f t="shared" si="42"/>
        <v>#DIV/0!</v>
      </c>
      <c r="F109" s="43" t="e">
        <f t="shared" si="43"/>
        <v>#DIV/0!</v>
      </c>
      <c r="G109" s="43" t="e">
        <f t="shared" si="44"/>
        <v>#DIV/0!</v>
      </c>
      <c r="H109" s="43" t="e">
        <f t="shared" si="45"/>
        <v>#DIV/0!</v>
      </c>
      <c r="I109" s="43" t="e">
        <f t="shared" si="46"/>
        <v>#DIV/0!</v>
      </c>
      <c r="J109" s="43" t="e">
        <f t="shared" si="47"/>
        <v>#DIV/0!</v>
      </c>
      <c r="K109" s="43" t="e">
        <f t="shared" si="48"/>
        <v>#DIV/0!</v>
      </c>
      <c r="L109" s="43" t="e">
        <f t="shared" si="49"/>
        <v>#DIV/0!</v>
      </c>
      <c r="M109" s="43" t="e">
        <f t="shared" si="50"/>
        <v>#DIV/0!</v>
      </c>
      <c r="N109" s="43" t="e">
        <f t="shared" si="51"/>
        <v>#DIV/0!</v>
      </c>
      <c r="O109" s="43" t="e">
        <f t="shared" si="52"/>
        <v>#DIV/0!</v>
      </c>
      <c r="P109" s="43" t="e">
        <f t="shared" si="53"/>
        <v>#DIV/0!</v>
      </c>
      <c r="Q109" s="43" t="e">
        <f t="shared" si="54"/>
        <v>#DIV/0!</v>
      </c>
      <c r="R109" s="43" t="e">
        <f t="shared" si="55"/>
        <v>#DIV/0!</v>
      </c>
      <c r="S109" s="43" t="e">
        <f t="shared" si="56"/>
        <v>#DIV/0!</v>
      </c>
      <c r="T109" s="43" t="e">
        <f t="shared" si="57"/>
        <v>#DIV/0!</v>
      </c>
      <c r="U109" s="43" t="e">
        <f t="shared" si="58"/>
        <v>#DIV/0!</v>
      </c>
      <c r="V109" s="53" t="e">
        <f>V108+ATM_Conf!$C$5*(B108)/(B296*V296)</f>
        <v>#DIV/0!</v>
      </c>
      <c r="W109" s="53" t="e">
        <f>W108+ATM_Conf!$C$5*(C108-B108)/(C296*W296)</f>
        <v>#DIV/0!</v>
      </c>
      <c r="X109" s="53" t="e">
        <f>X108+ATM_Conf!$C$5*(D108-C108)/(D296*X296)</f>
        <v>#DIV/0!</v>
      </c>
      <c r="Y109" s="53" t="e">
        <f>Y108+ATM_Conf!$C$5*(E108-D108)/(E296*Y296)</f>
        <v>#DIV/0!</v>
      </c>
      <c r="Z109" s="53" t="e">
        <f>Z108+ATM_Conf!$C$5*(F108-E108)/(F296*Z296)</f>
        <v>#DIV/0!</v>
      </c>
      <c r="AA109" s="53" t="e">
        <f>AA108+ATM_Conf!$C$5*(G108-F108)/(G296*AA296)</f>
        <v>#DIV/0!</v>
      </c>
      <c r="AB109" s="53" t="e">
        <f>AB108+ATM_Conf!$C$5*(H108-G108)/(H296*AB296)</f>
        <v>#DIV/0!</v>
      </c>
      <c r="AC109" s="53" t="e">
        <f>AC108+ATM_Conf!$C$5*(I108-H108)/(I296*AC296)</f>
        <v>#DIV/0!</v>
      </c>
      <c r="AD109" s="53" t="e">
        <f>AD108+ATM_Conf!$C$5*(J108-I108)/(J296*AD296)</f>
        <v>#DIV/0!</v>
      </c>
      <c r="AE109" s="53" t="e">
        <f>AE108+ATM_Conf!$C$5*(K108-J108)/(K296*AE296)</f>
        <v>#DIV/0!</v>
      </c>
      <c r="AF109" s="53" t="e">
        <f>AF108+ATM_Conf!$C$5*(L108)/(L296*AF296)</f>
        <v>#DIV/0!</v>
      </c>
      <c r="AG109" s="53" t="e">
        <f>AG108+ATM_Conf!$C$5*(M108-L108)/(M296*AG296)</f>
        <v>#DIV/0!</v>
      </c>
      <c r="AH109" s="53" t="e">
        <f>AH108+ATM_Conf!$C$5*(N108-M108)/(N296*AH296)</f>
        <v>#DIV/0!</v>
      </c>
      <c r="AI109" s="53" t="e">
        <f>AI108+ATM_Conf!$C$5*(O108-N108)/(O296*AI296)</f>
        <v>#DIV/0!</v>
      </c>
      <c r="AJ109" s="53" t="e">
        <f>AJ108+ATM_Conf!$C$5*(P108-O108)/(P296*AJ296)</f>
        <v>#DIV/0!</v>
      </c>
      <c r="AK109" s="53" t="e">
        <f>AK108+ATM_Conf!$C$5*(Q108-P108)/(Q296*AK296)</f>
        <v>#DIV/0!</v>
      </c>
      <c r="AL109" s="53" t="e">
        <f>AL108+ATM_Conf!$C$5*(R108-Q108)/(R296*AL296)</f>
        <v>#DIV/0!</v>
      </c>
      <c r="AM109" s="53" t="e">
        <f>AM108+ATM_Conf!$C$5*(S108-R108)/(S296*AM296)</f>
        <v>#DIV/0!</v>
      </c>
      <c r="AN109" s="53" t="e">
        <f>AN108+ATM_Conf!$C$5*(T108-S108)/(T296*AN296)</f>
        <v>#DIV/0!</v>
      </c>
      <c r="AO109" s="53" t="e">
        <f>AO108+ATM_Conf!$C$5*(U108-T108)/(U296*AO296)</f>
        <v>#DIV/0!</v>
      </c>
      <c r="AP109" s="43" t="e">
        <f>AP108+(ATM_Conf!$C$5/ATM_Conf!$C$8)*(BJ109*EXP(-(1/CX109)*(V109/CD109)^CX109)-AP108)-(ATM_Conf!$C$5*ATM_Conf!$C$9)/(V296*ATM_Conf!$C$8)*(Nodes!BO108-V108)/(V108+ATM_Conf!$C$10)</f>
        <v>#DIV/0!</v>
      </c>
      <c r="AQ109" s="43" t="e">
        <f>AQ108+(ATM_Conf!$C$5/ATM_Conf!$C$8)*(BK109*EXP(-(1/CY109)*(W109/CE109)^CY109)-AQ108)+(ATM_Conf!$C$5/W296)*AQ108*(AP108-AQ108)-(ATM_Conf!$C$5*ATM_Conf!$C$9)/(W296*ATM_Conf!$C$8)*(X108-W108)/(W108+ATM_Conf!$C$10)</f>
        <v>#DIV/0!</v>
      </c>
      <c r="AR109" s="43" t="e">
        <f>AR108+(ATM_Conf!$C$5/ATM_Conf!$C$8)*(BL109*EXP(-(1/CZ109)*(X109/CF109)^CZ109)-AR108)+(ATM_Conf!$C$5/X296)*AR108*(Nodes!BC108-AR108)-(ATM_Conf!$C$5*ATM_Conf!$C$9)/(X296*ATM_Conf!$C$8)*(Nodes!BQ108-X108)/(X108+ATM_Conf!$C$10)</f>
        <v>#DIV/0!</v>
      </c>
      <c r="AS109" s="43" t="e">
        <f>AS108+(ATM_Conf!$C$5/ATM_Conf!$C$8)*(BM109*EXP(-(1/DA109)*(Y109/CG109)^DA109)-AS108)+(ATM_Conf!$C$5/Y296)*AS108*(AR108-AS108)-(ATM_Conf!$C$5*ATM_Conf!$C$9)/(Y296*ATM_Conf!$C$8)*(Z108-Y108)/(Y108+ATM_Conf!$C$10)</f>
        <v>#DIV/0!</v>
      </c>
      <c r="AT109" s="43" t="e">
        <f>AT108+(ATM_Conf!$C$5/ATM_Conf!$C$8)*(BN109*EXP(-(1/DB109)*(Z109/CH109)^DB109)-AT108)+(ATM_Conf!$C$5/Z296)*AT108*(Nodes!BE108-AT108)-(ATM_Conf!$C$5*ATM_Conf!$C$9)/(Z296*ATM_Conf!$C$8)*(Nodes!BS108-Z108)/(Z108+ATM_Conf!$C$10)</f>
        <v>#DIV/0!</v>
      </c>
      <c r="AU109" s="43" t="e">
        <f>AU108+(ATM_Conf!$C$5/ATM_Conf!$C$8)*(BO109*EXP(-(1/DC109)*(AA109/CI109)^DC109)-AU108)+(ATM_Conf!$C$5/AA296)*AU108*(Nodes!BF108-AU108)-(ATM_Conf!$C$5*ATM_Conf!$C$9)/(AA296*ATM_Conf!$C$8)*(Nodes!BV108-AA108)/(AA108+ATM_Conf!$C$10)</f>
        <v>#DIV/0!</v>
      </c>
      <c r="AV109" s="43" t="e">
        <f>AV108+(ATM_Conf!$C$5/ATM_Conf!$C$8)*(BP109*EXP(-(1/DD109)*(AB109/CJ109)^DD109)-AV108)+(ATM_Conf!$C$5/AB296)*AV108*(AU108-AV108)-(ATM_Conf!$C$5*ATM_Conf!$C$9)/(AB296*ATM_Conf!$C$8)*(AC108-AB108)/(AB108+ATM_Conf!$C$10)</f>
        <v>#DIV/0!</v>
      </c>
      <c r="AW109" s="43" t="e">
        <f>AW108+(ATM_Conf!$C$5/ATM_Conf!$C$8)*(BQ109*EXP(-(1/DE109)*(AC109/CK109)^DE109)-AW108)+(ATM_Conf!$C$5/AC296)*AW108*(AV108-AW108)-(ATM_Conf!$C$5*ATM_Conf!$C$9)/(AC296*ATM_Conf!$C$8)*(AD108-AC108)/(AC108+ATM_Conf!$C$10)</f>
        <v>#DIV/0!</v>
      </c>
      <c r="AX109" s="43" t="e">
        <f>AX108+(ATM_Conf!$C$5/ATM_Conf!$C$8)*(BR109*EXP(-(1/DF109)*(AD109/CL109)^DF109)-AX108)+(ATM_Conf!$C$5/AD296)*AX108*(Nodes!BG108-AX108)-(ATM_Conf!$C$5*ATM_Conf!$C$9)/(AD296*ATM_Conf!$C$8)*(Nodes!BU108-AD108)/(AD108+ATM_Conf!$C$10)</f>
        <v>#DIV/0!</v>
      </c>
      <c r="AY109" s="43" t="e">
        <f>AY108+(ATM_Conf!$C$5/ATM_Conf!$C$8)*(BS109*EXP(-(1/DG109)*(AE109/CM109)^DG109)-AY108)+(ATM_Conf!$C$5/AE296)*AY108*(Nodes!BF108-AY108)</f>
        <v>#DIV/0!</v>
      </c>
      <c r="AZ109" s="43" t="e">
        <f>AZ108+(ATM_Conf!$C$5/ATM_Conf!$C$8)*(BT109*EXP(-(1/DH109)*(AF109/CN109)^DH109)-AZ108)-(ATM_Conf!$C$5*ATM_Conf!$C$9)/(AF296*ATM_Conf!$C$8)*(Nodes!BV108-AF108)/(AF108+ATM_Conf!$C$10)</f>
        <v>#DIV/0!</v>
      </c>
      <c r="BA109" s="43" t="e">
        <f>BA108+(ATM_Conf!$C$5/ATM_Conf!$C$8)*(BU109*EXP(-(1/DI109)*(AG109/CO109)^DI109)-BA108)+(ATM_Conf!$C$5/AG296)*BA108*(Nodes!BI108-BA108)-(ATM_Conf!$C$5*ATM_Conf!$C$9)/(AG296*ATM_Conf!$C$8)*(Nodes!BW108-AG108)/(AG108+ATM_Conf!$C$10)</f>
        <v>#DIV/0!</v>
      </c>
      <c r="BB109" s="43" t="e">
        <f>BB108+(ATM_Conf!$C$5/ATM_Conf!$C$8)*(BV109*EXP(-(1/DJ109)*(AH109/CP109)^DJ109)-BB108)+(ATM_Conf!$C$5/AH296)*BB108*(Nodes!BJ108-BB108)-(ATM_Conf!$C$5*ATM_Conf!$C$9)/(AH296*ATM_Conf!$C$8)*(AI108-AH108)/(AH108+ATM_Conf!$C$10)</f>
        <v>#DIV/0!</v>
      </c>
      <c r="BC109" s="43" t="e">
        <f>BC108+(ATM_Conf!$C$5/ATM_Conf!$C$8)*(BW109*EXP(-(1/DK109)*(AI109/CQ109)^DK109)-BC108)+(ATM_Conf!$C$5/AI296)*BC108*(BB108-BC108)-(ATM_Conf!$C$5*ATM_Conf!$C$9)/(AI296*ATM_Conf!$C$8)*(AJ108-AI108)/(AI108+ATM_Conf!$C$10)</f>
        <v>#DIV/0!</v>
      </c>
      <c r="BD109" s="43" t="e">
        <f>BD108+(ATM_Conf!$C$5/ATM_Conf!$C$8)*(BX109*EXP(-(1/DL109)*(AJ109/CR109)^DL109)-BD108)+(ATM_Conf!$C$5/AJ296)*BD108*(BC108-BD108)-(ATM_Conf!$C$5*ATM_Conf!$C$9)/(AJ296*ATM_Conf!$C$8)*(Nodes!BX108-AJ108)/(AJ108+ATM_Conf!$C$10)</f>
        <v>#DIV/0!</v>
      </c>
      <c r="BE109" s="43" t="e">
        <f>BE108+(ATM_Conf!$C$5/ATM_Conf!$C$8)*(BY109*EXP(-(1/DM109)*(AK109/CS109)^DM109)-BE108)+(ATM_Conf!$C$5/AK296)*BE108*(Nodes!BK108-BE108)-(ATM_Conf!$C$5*ATM_Conf!$C$9)/(AK296*ATM_Conf!$C$8)*(Nodes!BY108-AK108)/(AK108+ATM_Conf!$C$10)</f>
        <v>#DIV/0!</v>
      </c>
      <c r="BF109" s="43" t="e">
        <f>BF108+(ATM_Conf!$C$5/ATM_Conf!$C$8)*(BZ109*EXP(-(1/DN109)*(AL109/CT109)^DN109)-BF108)+(ATM_Conf!$C$5/AL296)*BF108*(BE108-BF108)-(ATM_Conf!$C$5*ATM_Conf!$C$9)/(AL296*ATM_Conf!$C$8)*(AM108-AL108)/(AL108+ATM_Conf!$C$10)</f>
        <v>#DIV/0!</v>
      </c>
      <c r="BG109" s="43" t="e">
        <f>BG108+(ATM_Conf!$C$5/ATM_Conf!$C$8)*(CA109*EXP(-(1/DO109)*(AM109/CU109)^DO109)-BG108)+(ATM_Conf!$C$5/AM296)*BG108*(Nodes!BM108-BG108)-(ATM_Conf!$C$5*ATM_Conf!$C$9)/(AM296*ATM_Conf!$C$8)*(Nodes!CA108-AM108)/(AM108+ATM_Conf!$C$10)</f>
        <v>#DIV/0!</v>
      </c>
      <c r="BH109" s="43" t="e">
        <f>BH108+(ATM_Conf!$C$5/ATM_Conf!$C$8)*(CB109*EXP(-(1/DP109)*(AN109/CV109)^DP109)-BH108)+(ATM_Conf!$C$5/AN296)*BH108*(BG108-BH108)-(ATM_Conf!$C$5*ATM_Conf!$C$9)/(AN296*ATM_Conf!$C$8)*(AO108-AN108)/(AN108+ATM_Conf!$C$10)</f>
        <v>#DIV/0!</v>
      </c>
      <c r="BI109" s="43" t="e">
        <f>BI108+(ATM_Conf!$C$5/ATM_Conf!$C$8)*(CC109*EXP(-(1/DQ109)*(AO109/CW109)^DQ109)-BI108)+(ATM_Conf!$C$5/AO296)*BI108*(BH108-BI108)</f>
        <v>#DIV/0!</v>
      </c>
      <c r="BJ109" s="53"/>
      <c r="BK109" s="53"/>
      <c r="BL109" s="53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/>
      <c r="BW109" s="53"/>
      <c r="BX109" s="53"/>
      <c r="BY109" s="53"/>
      <c r="BZ109" s="53"/>
      <c r="CA109" s="53"/>
      <c r="CB109" s="53"/>
      <c r="CC109" s="5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53"/>
      <c r="CY109" s="53"/>
      <c r="CZ109" s="53"/>
      <c r="DA109" s="53"/>
      <c r="DB109" s="53"/>
      <c r="DC109" s="53"/>
      <c r="DD109" s="53"/>
      <c r="DE109" s="53"/>
      <c r="DF109" s="53"/>
      <c r="DG109" s="53"/>
      <c r="DH109" s="53"/>
      <c r="DI109" s="53"/>
      <c r="DJ109" s="53"/>
      <c r="DK109" s="53"/>
      <c r="DL109" s="53"/>
      <c r="DM109" s="53"/>
      <c r="DN109" s="53"/>
      <c r="DO109" s="53"/>
      <c r="DP109" s="53"/>
      <c r="DQ109" s="53"/>
      <c r="DR109" s="43">
        <f t="shared" si="67"/>
        <v>0</v>
      </c>
      <c r="DS109" s="43">
        <f t="shared" si="66"/>
        <v>0</v>
      </c>
      <c r="DT109" s="43">
        <f t="shared" si="66"/>
        <v>0</v>
      </c>
      <c r="DU109" s="43">
        <f t="shared" si="66"/>
        <v>0</v>
      </c>
      <c r="DV109" s="43">
        <f t="shared" si="66"/>
        <v>0</v>
      </c>
      <c r="DW109" s="43">
        <f t="shared" si="66"/>
        <v>0</v>
      </c>
      <c r="DX109" s="43">
        <f t="shared" si="66"/>
        <v>0</v>
      </c>
      <c r="DY109" s="43">
        <f t="shared" si="66"/>
        <v>0</v>
      </c>
      <c r="DZ109" s="43">
        <f t="shared" si="66"/>
        <v>0</v>
      </c>
      <c r="EA109" s="43">
        <f t="shared" si="66"/>
        <v>0</v>
      </c>
      <c r="EB109" s="43">
        <f t="shared" si="66"/>
        <v>0</v>
      </c>
      <c r="EC109" s="43">
        <f t="shared" si="66"/>
        <v>0</v>
      </c>
      <c r="ED109" s="43">
        <f t="shared" si="66"/>
        <v>0</v>
      </c>
      <c r="EE109" s="43">
        <f t="shared" si="66"/>
        <v>0</v>
      </c>
      <c r="EF109" s="43">
        <f t="shared" si="66"/>
        <v>0</v>
      </c>
      <c r="EG109" s="43">
        <f t="shared" si="66"/>
        <v>0</v>
      </c>
      <c r="EH109" s="43">
        <f t="shared" si="66"/>
        <v>0</v>
      </c>
      <c r="EI109" s="43">
        <f t="shared" si="66"/>
        <v>0</v>
      </c>
      <c r="EJ109" s="43">
        <f t="shared" si="66"/>
        <v>0</v>
      </c>
      <c r="EK109" s="43">
        <f t="shared" si="66"/>
        <v>0</v>
      </c>
      <c r="EL109" s="47"/>
      <c r="EM109" s="47"/>
      <c r="EN109" s="47"/>
      <c r="EO109" s="47"/>
      <c r="EP109" s="47"/>
      <c r="EQ109" s="47"/>
      <c r="ER109" s="47"/>
      <c r="ES109" s="47"/>
      <c r="ET109" s="47"/>
      <c r="EU109" s="47"/>
      <c r="EV109" s="47"/>
      <c r="EW109" s="47"/>
      <c r="EX109" s="47"/>
      <c r="EY109" s="47"/>
      <c r="EZ109" s="47"/>
      <c r="FA109" s="47"/>
      <c r="FB109" s="47"/>
      <c r="FC109" s="47"/>
      <c r="FD109" s="47"/>
      <c r="FE109" s="47"/>
    </row>
    <row r="110" spans="1:161" ht="14.25" x14ac:dyDescent="0.15">
      <c r="A110" s="46"/>
      <c r="B110" s="43" t="e">
        <f t="shared" si="39"/>
        <v>#DIV/0!</v>
      </c>
      <c r="C110" s="43" t="e">
        <f t="shared" si="40"/>
        <v>#DIV/0!</v>
      </c>
      <c r="D110" s="43" t="e">
        <f t="shared" si="41"/>
        <v>#DIV/0!</v>
      </c>
      <c r="E110" s="43" t="e">
        <f t="shared" si="42"/>
        <v>#DIV/0!</v>
      </c>
      <c r="F110" s="43" t="e">
        <f t="shared" si="43"/>
        <v>#DIV/0!</v>
      </c>
      <c r="G110" s="43" t="e">
        <f t="shared" si="44"/>
        <v>#DIV/0!</v>
      </c>
      <c r="H110" s="43" t="e">
        <f t="shared" si="45"/>
        <v>#DIV/0!</v>
      </c>
      <c r="I110" s="43" t="e">
        <f t="shared" si="46"/>
        <v>#DIV/0!</v>
      </c>
      <c r="J110" s="43" t="e">
        <f t="shared" si="47"/>
        <v>#DIV/0!</v>
      </c>
      <c r="K110" s="43" t="e">
        <f t="shared" si="48"/>
        <v>#DIV/0!</v>
      </c>
      <c r="L110" s="43" t="e">
        <f t="shared" si="49"/>
        <v>#DIV/0!</v>
      </c>
      <c r="M110" s="43" t="e">
        <f t="shared" si="50"/>
        <v>#DIV/0!</v>
      </c>
      <c r="N110" s="43" t="e">
        <f t="shared" si="51"/>
        <v>#DIV/0!</v>
      </c>
      <c r="O110" s="43" t="e">
        <f t="shared" si="52"/>
        <v>#DIV/0!</v>
      </c>
      <c r="P110" s="43" t="e">
        <f t="shared" si="53"/>
        <v>#DIV/0!</v>
      </c>
      <c r="Q110" s="43" t="e">
        <f t="shared" si="54"/>
        <v>#DIV/0!</v>
      </c>
      <c r="R110" s="43" t="e">
        <f t="shared" si="55"/>
        <v>#DIV/0!</v>
      </c>
      <c r="S110" s="43" t="e">
        <f t="shared" si="56"/>
        <v>#DIV/0!</v>
      </c>
      <c r="T110" s="43" t="e">
        <f t="shared" si="57"/>
        <v>#DIV/0!</v>
      </c>
      <c r="U110" s="43" t="e">
        <f t="shared" si="58"/>
        <v>#DIV/0!</v>
      </c>
      <c r="V110" s="53" t="e">
        <f>V109+ATM_Conf!$C$5*(B109)/(B297*V297)</f>
        <v>#DIV/0!</v>
      </c>
      <c r="W110" s="53" t="e">
        <f>W109+ATM_Conf!$C$5*(C109-B109)/(C297*W297)</f>
        <v>#DIV/0!</v>
      </c>
      <c r="X110" s="53" t="e">
        <f>X109+ATM_Conf!$C$5*(D109-C109)/(D297*X297)</f>
        <v>#DIV/0!</v>
      </c>
      <c r="Y110" s="53" t="e">
        <f>Y109+ATM_Conf!$C$5*(E109-D109)/(E297*Y297)</f>
        <v>#DIV/0!</v>
      </c>
      <c r="Z110" s="53" t="e">
        <f>Z109+ATM_Conf!$C$5*(F109-E109)/(F297*Z297)</f>
        <v>#DIV/0!</v>
      </c>
      <c r="AA110" s="53" t="e">
        <f>AA109+ATM_Conf!$C$5*(G109-F109)/(G297*AA297)</f>
        <v>#DIV/0!</v>
      </c>
      <c r="AB110" s="53" t="e">
        <f>AB109+ATM_Conf!$C$5*(H109-G109)/(H297*AB297)</f>
        <v>#DIV/0!</v>
      </c>
      <c r="AC110" s="53" t="e">
        <f>AC109+ATM_Conf!$C$5*(I109-H109)/(I297*AC297)</f>
        <v>#DIV/0!</v>
      </c>
      <c r="AD110" s="53" t="e">
        <f>AD109+ATM_Conf!$C$5*(J109-I109)/(J297*AD297)</f>
        <v>#DIV/0!</v>
      </c>
      <c r="AE110" s="53" t="e">
        <f>AE109+ATM_Conf!$C$5*(K109-J109)/(K297*AE297)</f>
        <v>#DIV/0!</v>
      </c>
      <c r="AF110" s="53" t="e">
        <f>AF109+ATM_Conf!$C$5*(L109)/(L297*AF297)</f>
        <v>#DIV/0!</v>
      </c>
      <c r="AG110" s="53" t="e">
        <f>AG109+ATM_Conf!$C$5*(M109-L109)/(M297*AG297)</f>
        <v>#DIV/0!</v>
      </c>
      <c r="AH110" s="53" t="e">
        <f>AH109+ATM_Conf!$C$5*(N109-M109)/(N297*AH297)</f>
        <v>#DIV/0!</v>
      </c>
      <c r="AI110" s="53" t="e">
        <f>AI109+ATM_Conf!$C$5*(O109-N109)/(O297*AI297)</f>
        <v>#DIV/0!</v>
      </c>
      <c r="AJ110" s="53" t="e">
        <f>AJ109+ATM_Conf!$C$5*(P109-O109)/(P297*AJ297)</f>
        <v>#DIV/0!</v>
      </c>
      <c r="AK110" s="53" t="e">
        <f>AK109+ATM_Conf!$C$5*(Q109-P109)/(Q297*AK297)</f>
        <v>#DIV/0!</v>
      </c>
      <c r="AL110" s="53" t="e">
        <f>AL109+ATM_Conf!$C$5*(R109-Q109)/(R297*AL297)</f>
        <v>#DIV/0!</v>
      </c>
      <c r="AM110" s="53" t="e">
        <f>AM109+ATM_Conf!$C$5*(S109-R109)/(S297*AM297)</f>
        <v>#DIV/0!</v>
      </c>
      <c r="AN110" s="53" t="e">
        <f>AN109+ATM_Conf!$C$5*(T109-S109)/(T297*AN297)</f>
        <v>#DIV/0!</v>
      </c>
      <c r="AO110" s="53" t="e">
        <f>AO109+ATM_Conf!$C$5*(U109-T109)/(U297*AO297)</f>
        <v>#DIV/0!</v>
      </c>
      <c r="AP110" s="43" t="e">
        <f>AP109+(ATM_Conf!$C$5/ATM_Conf!$C$8)*(BJ110*EXP(-(1/CX110)*(V110/CD110)^CX110)-AP109)-(ATM_Conf!$C$5*ATM_Conf!$C$9)/(V297*ATM_Conf!$C$8)*(Nodes!BO109-V109)/(V109+ATM_Conf!$C$10)</f>
        <v>#DIV/0!</v>
      </c>
      <c r="AQ110" s="43" t="e">
        <f>AQ109+(ATM_Conf!$C$5/ATM_Conf!$C$8)*(BK110*EXP(-(1/CY110)*(W110/CE110)^CY110)-AQ109)+(ATM_Conf!$C$5/W297)*AQ109*(AP109-AQ109)-(ATM_Conf!$C$5*ATM_Conf!$C$9)/(W297*ATM_Conf!$C$8)*(X109-W109)/(W109+ATM_Conf!$C$10)</f>
        <v>#DIV/0!</v>
      </c>
      <c r="AR110" s="43" t="e">
        <f>AR109+(ATM_Conf!$C$5/ATM_Conf!$C$8)*(BL110*EXP(-(1/CZ110)*(X110/CF110)^CZ110)-AR109)+(ATM_Conf!$C$5/X297)*AR109*(Nodes!BC109-AR109)-(ATM_Conf!$C$5*ATM_Conf!$C$9)/(X297*ATM_Conf!$C$8)*(Nodes!BQ109-X109)/(X109+ATM_Conf!$C$10)</f>
        <v>#DIV/0!</v>
      </c>
      <c r="AS110" s="43" t="e">
        <f>AS109+(ATM_Conf!$C$5/ATM_Conf!$C$8)*(BM110*EXP(-(1/DA110)*(Y110/CG110)^DA110)-AS109)+(ATM_Conf!$C$5/Y297)*AS109*(AR109-AS109)-(ATM_Conf!$C$5*ATM_Conf!$C$9)/(Y297*ATM_Conf!$C$8)*(Z109-Y109)/(Y109+ATM_Conf!$C$10)</f>
        <v>#DIV/0!</v>
      </c>
      <c r="AT110" s="43" t="e">
        <f>AT109+(ATM_Conf!$C$5/ATM_Conf!$C$8)*(BN110*EXP(-(1/DB110)*(Z110/CH110)^DB110)-AT109)+(ATM_Conf!$C$5/Z297)*AT109*(Nodes!BE109-AT109)-(ATM_Conf!$C$5*ATM_Conf!$C$9)/(Z297*ATM_Conf!$C$8)*(Nodes!BS109-Z109)/(Z109+ATM_Conf!$C$10)</f>
        <v>#DIV/0!</v>
      </c>
      <c r="AU110" s="43" t="e">
        <f>AU109+(ATM_Conf!$C$5/ATM_Conf!$C$8)*(BO110*EXP(-(1/DC110)*(AA110/CI110)^DC110)-AU109)+(ATM_Conf!$C$5/AA297)*AU109*(Nodes!BF109-AU109)-(ATM_Conf!$C$5*ATM_Conf!$C$9)/(AA297*ATM_Conf!$C$8)*(Nodes!BV109-AA109)/(AA109+ATM_Conf!$C$10)</f>
        <v>#DIV/0!</v>
      </c>
      <c r="AV110" s="43" t="e">
        <f>AV109+(ATM_Conf!$C$5/ATM_Conf!$C$8)*(BP110*EXP(-(1/DD110)*(AB110/CJ110)^DD110)-AV109)+(ATM_Conf!$C$5/AB297)*AV109*(AU109-AV109)-(ATM_Conf!$C$5*ATM_Conf!$C$9)/(AB297*ATM_Conf!$C$8)*(AC109-AB109)/(AB109+ATM_Conf!$C$10)</f>
        <v>#DIV/0!</v>
      </c>
      <c r="AW110" s="43" t="e">
        <f>AW109+(ATM_Conf!$C$5/ATM_Conf!$C$8)*(BQ110*EXP(-(1/DE110)*(AC110/CK110)^DE110)-AW109)+(ATM_Conf!$C$5/AC297)*AW109*(AV109-AW109)-(ATM_Conf!$C$5*ATM_Conf!$C$9)/(AC297*ATM_Conf!$C$8)*(AD109-AC109)/(AC109+ATM_Conf!$C$10)</f>
        <v>#DIV/0!</v>
      </c>
      <c r="AX110" s="43" t="e">
        <f>AX109+(ATM_Conf!$C$5/ATM_Conf!$C$8)*(BR110*EXP(-(1/DF110)*(AD110/CL110)^DF110)-AX109)+(ATM_Conf!$C$5/AD297)*AX109*(Nodes!BG109-AX109)-(ATM_Conf!$C$5*ATM_Conf!$C$9)/(AD297*ATM_Conf!$C$8)*(Nodes!BU109-AD109)/(AD109+ATM_Conf!$C$10)</f>
        <v>#DIV/0!</v>
      </c>
      <c r="AY110" s="43" t="e">
        <f>AY109+(ATM_Conf!$C$5/ATM_Conf!$C$8)*(BS110*EXP(-(1/DG110)*(AE110/CM110)^DG110)-AY109)+(ATM_Conf!$C$5/AE297)*AY109*(Nodes!BF109-AY109)</f>
        <v>#DIV/0!</v>
      </c>
      <c r="AZ110" s="43" t="e">
        <f>AZ109+(ATM_Conf!$C$5/ATM_Conf!$C$8)*(BT110*EXP(-(1/DH110)*(AF110/CN110)^DH110)-AZ109)-(ATM_Conf!$C$5*ATM_Conf!$C$9)/(AF297*ATM_Conf!$C$8)*(Nodes!BV109-AF109)/(AF109+ATM_Conf!$C$10)</f>
        <v>#DIV/0!</v>
      </c>
      <c r="BA110" s="43" t="e">
        <f>BA109+(ATM_Conf!$C$5/ATM_Conf!$C$8)*(BU110*EXP(-(1/DI110)*(AG110/CO110)^DI110)-BA109)+(ATM_Conf!$C$5/AG297)*BA109*(Nodes!BI109-BA109)-(ATM_Conf!$C$5*ATM_Conf!$C$9)/(AG297*ATM_Conf!$C$8)*(Nodes!BW109-AG109)/(AG109+ATM_Conf!$C$10)</f>
        <v>#DIV/0!</v>
      </c>
      <c r="BB110" s="43" t="e">
        <f>BB109+(ATM_Conf!$C$5/ATM_Conf!$C$8)*(BV110*EXP(-(1/DJ110)*(AH110/CP110)^DJ110)-BB109)+(ATM_Conf!$C$5/AH297)*BB109*(Nodes!BJ109-BB109)-(ATM_Conf!$C$5*ATM_Conf!$C$9)/(AH297*ATM_Conf!$C$8)*(AI109-AH109)/(AH109+ATM_Conf!$C$10)</f>
        <v>#DIV/0!</v>
      </c>
      <c r="BC110" s="43" t="e">
        <f>BC109+(ATM_Conf!$C$5/ATM_Conf!$C$8)*(BW110*EXP(-(1/DK110)*(AI110/CQ110)^DK110)-BC109)+(ATM_Conf!$C$5/AI297)*BC109*(BB109-BC109)-(ATM_Conf!$C$5*ATM_Conf!$C$9)/(AI297*ATM_Conf!$C$8)*(AJ109-AI109)/(AI109+ATM_Conf!$C$10)</f>
        <v>#DIV/0!</v>
      </c>
      <c r="BD110" s="43" t="e">
        <f>BD109+(ATM_Conf!$C$5/ATM_Conf!$C$8)*(BX110*EXP(-(1/DL110)*(AJ110/CR110)^DL110)-BD109)+(ATM_Conf!$C$5/AJ297)*BD109*(BC109-BD109)-(ATM_Conf!$C$5*ATM_Conf!$C$9)/(AJ297*ATM_Conf!$C$8)*(Nodes!BX109-AJ109)/(AJ109+ATM_Conf!$C$10)</f>
        <v>#DIV/0!</v>
      </c>
      <c r="BE110" s="43" t="e">
        <f>BE109+(ATM_Conf!$C$5/ATM_Conf!$C$8)*(BY110*EXP(-(1/DM110)*(AK110/CS110)^DM110)-BE109)+(ATM_Conf!$C$5/AK297)*BE109*(Nodes!BK109-BE109)-(ATM_Conf!$C$5*ATM_Conf!$C$9)/(AK297*ATM_Conf!$C$8)*(Nodes!BY109-AK109)/(AK109+ATM_Conf!$C$10)</f>
        <v>#DIV/0!</v>
      </c>
      <c r="BF110" s="43" t="e">
        <f>BF109+(ATM_Conf!$C$5/ATM_Conf!$C$8)*(BZ110*EXP(-(1/DN110)*(AL110/CT110)^DN110)-BF109)+(ATM_Conf!$C$5/AL297)*BF109*(BE109-BF109)-(ATM_Conf!$C$5*ATM_Conf!$C$9)/(AL297*ATM_Conf!$C$8)*(AM109-AL109)/(AL109+ATM_Conf!$C$10)</f>
        <v>#DIV/0!</v>
      </c>
      <c r="BG110" s="43" t="e">
        <f>BG109+(ATM_Conf!$C$5/ATM_Conf!$C$8)*(CA110*EXP(-(1/DO110)*(AM110/CU110)^DO110)-BG109)+(ATM_Conf!$C$5/AM297)*BG109*(Nodes!BM109-BG109)-(ATM_Conf!$C$5*ATM_Conf!$C$9)/(AM297*ATM_Conf!$C$8)*(Nodes!CA109-AM109)/(AM109+ATM_Conf!$C$10)</f>
        <v>#DIV/0!</v>
      </c>
      <c r="BH110" s="43" t="e">
        <f>BH109+(ATM_Conf!$C$5/ATM_Conf!$C$8)*(CB110*EXP(-(1/DP110)*(AN110/CV110)^DP110)-BH109)+(ATM_Conf!$C$5/AN297)*BH109*(BG109-BH109)-(ATM_Conf!$C$5*ATM_Conf!$C$9)/(AN297*ATM_Conf!$C$8)*(AO109-AN109)/(AN109+ATM_Conf!$C$10)</f>
        <v>#DIV/0!</v>
      </c>
      <c r="BI110" s="43" t="e">
        <f>BI109+(ATM_Conf!$C$5/ATM_Conf!$C$8)*(CC110*EXP(-(1/DQ110)*(AO110/CW110)^DQ110)-BI109)+(ATM_Conf!$C$5/AO297)*BI109*(BH109-BI109)</f>
        <v>#DIV/0!</v>
      </c>
      <c r="BJ110" s="53"/>
      <c r="BK110" s="53"/>
      <c r="BL110" s="53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/>
      <c r="BW110" s="53"/>
      <c r="BX110" s="53"/>
      <c r="BY110" s="53"/>
      <c r="BZ110" s="53"/>
      <c r="CA110" s="53"/>
      <c r="CB110" s="53"/>
      <c r="CC110" s="5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53"/>
      <c r="CY110" s="53"/>
      <c r="CZ110" s="53"/>
      <c r="DA110" s="53"/>
      <c r="DB110" s="53"/>
      <c r="DC110" s="53"/>
      <c r="DD110" s="53"/>
      <c r="DE110" s="53"/>
      <c r="DF110" s="53"/>
      <c r="DG110" s="53"/>
      <c r="DH110" s="53"/>
      <c r="DI110" s="53"/>
      <c r="DJ110" s="53"/>
      <c r="DK110" s="53"/>
      <c r="DL110" s="53"/>
      <c r="DM110" s="53"/>
      <c r="DN110" s="53"/>
      <c r="DO110" s="53"/>
      <c r="DP110" s="53"/>
      <c r="DQ110" s="53"/>
      <c r="DR110" s="43">
        <f t="shared" si="67"/>
        <v>0</v>
      </c>
      <c r="DS110" s="43">
        <f t="shared" si="66"/>
        <v>0</v>
      </c>
      <c r="DT110" s="43">
        <f t="shared" si="66"/>
        <v>0</v>
      </c>
      <c r="DU110" s="43">
        <f t="shared" si="66"/>
        <v>0</v>
      </c>
      <c r="DV110" s="43">
        <f t="shared" si="66"/>
        <v>0</v>
      </c>
      <c r="DW110" s="43">
        <f t="shared" si="66"/>
        <v>0</v>
      </c>
      <c r="DX110" s="43">
        <f t="shared" si="66"/>
        <v>0</v>
      </c>
      <c r="DY110" s="43">
        <f t="shared" si="66"/>
        <v>0</v>
      </c>
      <c r="DZ110" s="43">
        <f t="shared" si="66"/>
        <v>0</v>
      </c>
      <c r="EA110" s="43">
        <f t="shared" si="66"/>
        <v>0</v>
      </c>
      <c r="EB110" s="43">
        <f t="shared" si="66"/>
        <v>0</v>
      </c>
      <c r="EC110" s="43">
        <f t="shared" si="66"/>
        <v>0</v>
      </c>
      <c r="ED110" s="43">
        <f t="shared" si="66"/>
        <v>0</v>
      </c>
      <c r="EE110" s="43">
        <f t="shared" si="66"/>
        <v>0</v>
      </c>
      <c r="EF110" s="43">
        <f t="shared" si="66"/>
        <v>0</v>
      </c>
      <c r="EG110" s="43">
        <f t="shared" si="66"/>
        <v>0</v>
      </c>
      <c r="EH110" s="43">
        <f t="shared" si="66"/>
        <v>0</v>
      </c>
      <c r="EI110" s="43">
        <f t="shared" si="66"/>
        <v>0</v>
      </c>
      <c r="EJ110" s="43">
        <f t="shared" si="66"/>
        <v>0</v>
      </c>
      <c r="EK110" s="43">
        <f t="shared" si="66"/>
        <v>0</v>
      </c>
      <c r="EL110" s="47"/>
      <c r="EM110" s="47"/>
      <c r="EN110" s="47"/>
      <c r="EO110" s="47"/>
      <c r="EP110" s="47"/>
      <c r="EQ110" s="47"/>
      <c r="ER110" s="47"/>
      <c r="ES110" s="47"/>
      <c r="ET110" s="47"/>
      <c r="EU110" s="47"/>
      <c r="EV110" s="47"/>
      <c r="EW110" s="47"/>
      <c r="EX110" s="47"/>
      <c r="EY110" s="47"/>
      <c r="EZ110" s="47"/>
      <c r="FA110" s="47"/>
      <c r="FB110" s="47"/>
      <c r="FC110" s="47"/>
      <c r="FD110" s="47"/>
      <c r="FE110" s="47"/>
    </row>
    <row r="111" spans="1:161" ht="14.25" x14ac:dyDescent="0.15">
      <c r="A111" s="46"/>
      <c r="B111" s="43" t="e">
        <f t="shared" si="39"/>
        <v>#DIV/0!</v>
      </c>
      <c r="C111" s="43" t="e">
        <f t="shared" si="40"/>
        <v>#DIV/0!</v>
      </c>
      <c r="D111" s="43" t="e">
        <f t="shared" si="41"/>
        <v>#DIV/0!</v>
      </c>
      <c r="E111" s="43" t="e">
        <f t="shared" si="42"/>
        <v>#DIV/0!</v>
      </c>
      <c r="F111" s="43" t="e">
        <f t="shared" si="43"/>
        <v>#DIV/0!</v>
      </c>
      <c r="G111" s="43" t="e">
        <f t="shared" si="44"/>
        <v>#DIV/0!</v>
      </c>
      <c r="H111" s="43" t="e">
        <f t="shared" si="45"/>
        <v>#DIV/0!</v>
      </c>
      <c r="I111" s="43" t="e">
        <f t="shared" si="46"/>
        <v>#DIV/0!</v>
      </c>
      <c r="J111" s="43" t="e">
        <f t="shared" si="47"/>
        <v>#DIV/0!</v>
      </c>
      <c r="K111" s="43" t="e">
        <f t="shared" si="48"/>
        <v>#DIV/0!</v>
      </c>
      <c r="L111" s="43" t="e">
        <f t="shared" si="49"/>
        <v>#DIV/0!</v>
      </c>
      <c r="M111" s="43" t="e">
        <f t="shared" si="50"/>
        <v>#DIV/0!</v>
      </c>
      <c r="N111" s="43" t="e">
        <f t="shared" si="51"/>
        <v>#DIV/0!</v>
      </c>
      <c r="O111" s="43" t="e">
        <f t="shared" si="52"/>
        <v>#DIV/0!</v>
      </c>
      <c r="P111" s="43" t="e">
        <f t="shared" si="53"/>
        <v>#DIV/0!</v>
      </c>
      <c r="Q111" s="43" t="e">
        <f t="shared" si="54"/>
        <v>#DIV/0!</v>
      </c>
      <c r="R111" s="43" t="e">
        <f t="shared" si="55"/>
        <v>#DIV/0!</v>
      </c>
      <c r="S111" s="43" t="e">
        <f t="shared" si="56"/>
        <v>#DIV/0!</v>
      </c>
      <c r="T111" s="43" t="e">
        <f t="shared" si="57"/>
        <v>#DIV/0!</v>
      </c>
      <c r="U111" s="43" t="e">
        <f t="shared" si="58"/>
        <v>#DIV/0!</v>
      </c>
      <c r="V111" s="53" t="e">
        <f>V110+ATM_Conf!$C$5*(B110)/(B298*V298)</f>
        <v>#DIV/0!</v>
      </c>
      <c r="W111" s="53" t="e">
        <f>W110+ATM_Conf!$C$5*(C110-B110)/(C298*W298)</f>
        <v>#DIV/0!</v>
      </c>
      <c r="X111" s="53" t="e">
        <f>X110+ATM_Conf!$C$5*(D110-C110)/(D298*X298)</f>
        <v>#DIV/0!</v>
      </c>
      <c r="Y111" s="53" t="e">
        <f>Y110+ATM_Conf!$C$5*(E110-D110)/(E298*Y298)</f>
        <v>#DIV/0!</v>
      </c>
      <c r="Z111" s="53" t="e">
        <f>Z110+ATM_Conf!$C$5*(F110-E110)/(F298*Z298)</f>
        <v>#DIV/0!</v>
      </c>
      <c r="AA111" s="53" t="e">
        <f>AA110+ATM_Conf!$C$5*(G110-F110)/(G298*AA298)</f>
        <v>#DIV/0!</v>
      </c>
      <c r="AB111" s="53" t="e">
        <f>AB110+ATM_Conf!$C$5*(H110-G110)/(H298*AB298)</f>
        <v>#DIV/0!</v>
      </c>
      <c r="AC111" s="53" t="e">
        <f>AC110+ATM_Conf!$C$5*(I110-H110)/(I298*AC298)</f>
        <v>#DIV/0!</v>
      </c>
      <c r="AD111" s="53" t="e">
        <f>AD110+ATM_Conf!$C$5*(J110-I110)/(J298*AD298)</f>
        <v>#DIV/0!</v>
      </c>
      <c r="AE111" s="53" t="e">
        <f>AE110+ATM_Conf!$C$5*(K110-J110)/(K298*AE298)</f>
        <v>#DIV/0!</v>
      </c>
      <c r="AF111" s="53" t="e">
        <f>AF110+ATM_Conf!$C$5*(L110)/(L298*AF298)</f>
        <v>#DIV/0!</v>
      </c>
      <c r="AG111" s="53" t="e">
        <f>AG110+ATM_Conf!$C$5*(M110-L110)/(M298*AG298)</f>
        <v>#DIV/0!</v>
      </c>
      <c r="AH111" s="53" t="e">
        <f>AH110+ATM_Conf!$C$5*(N110-M110)/(N298*AH298)</f>
        <v>#DIV/0!</v>
      </c>
      <c r="AI111" s="53" t="e">
        <f>AI110+ATM_Conf!$C$5*(O110-N110)/(O298*AI298)</f>
        <v>#DIV/0!</v>
      </c>
      <c r="AJ111" s="53" t="e">
        <f>AJ110+ATM_Conf!$C$5*(P110-O110)/(P298*AJ298)</f>
        <v>#DIV/0!</v>
      </c>
      <c r="AK111" s="53" t="e">
        <f>AK110+ATM_Conf!$C$5*(Q110-P110)/(Q298*AK298)</f>
        <v>#DIV/0!</v>
      </c>
      <c r="AL111" s="53" t="e">
        <f>AL110+ATM_Conf!$C$5*(R110-Q110)/(R298*AL298)</f>
        <v>#DIV/0!</v>
      </c>
      <c r="AM111" s="53" t="e">
        <f>AM110+ATM_Conf!$C$5*(S110-R110)/(S298*AM298)</f>
        <v>#DIV/0!</v>
      </c>
      <c r="AN111" s="53" t="e">
        <f>AN110+ATM_Conf!$C$5*(T110-S110)/(T298*AN298)</f>
        <v>#DIV/0!</v>
      </c>
      <c r="AO111" s="53" t="e">
        <f>AO110+ATM_Conf!$C$5*(U110-T110)/(U298*AO298)</f>
        <v>#DIV/0!</v>
      </c>
      <c r="AP111" s="43" t="e">
        <f>AP110+(ATM_Conf!$C$5/ATM_Conf!$C$8)*(BJ111*EXP(-(1/CX111)*(V111/CD111)^CX111)-AP110)-(ATM_Conf!$C$5*ATM_Conf!$C$9)/(V298*ATM_Conf!$C$8)*(Nodes!BO110-V110)/(V110+ATM_Conf!$C$10)</f>
        <v>#DIV/0!</v>
      </c>
      <c r="AQ111" s="43" t="e">
        <f>AQ110+(ATM_Conf!$C$5/ATM_Conf!$C$8)*(BK111*EXP(-(1/CY111)*(W111/CE111)^CY111)-AQ110)+(ATM_Conf!$C$5/W298)*AQ110*(AP110-AQ110)-(ATM_Conf!$C$5*ATM_Conf!$C$9)/(W298*ATM_Conf!$C$8)*(X110-W110)/(W110+ATM_Conf!$C$10)</f>
        <v>#DIV/0!</v>
      </c>
      <c r="AR111" s="43" t="e">
        <f>AR110+(ATM_Conf!$C$5/ATM_Conf!$C$8)*(BL111*EXP(-(1/CZ111)*(X111/CF111)^CZ111)-AR110)+(ATM_Conf!$C$5/X298)*AR110*(Nodes!BC110-AR110)-(ATM_Conf!$C$5*ATM_Conf!$C$9)/(X298*ATM_Conf!$C$8)*(Nodes!BQ110-X110)/(X110+ATM_Conf!$C$10)</f>
        <v>#DIV/0!</v>
      </c>
      <c r="AS111" s="43" t="e">
        <f>AS110+(ATM_Conf!$C$5/ATM_Conf!$C$8)*(BM111*EXP(-(1/DA111)*(Y111/CG111)^DA111)-AS110)+(ATM_Conf!$C$5/Y298)*AS110*(AR110-AS110)-(ATM_Conf!$C$5*ATM_Conf!$C$9)/(Y298*ATM_Conf!$C$8)*(Z110-Y110)/(Y110+ATM_Conf!$C$10)</f>
        <v>#DIV/0!</v>
      </c>
      <c r="AT111" s="43" t="e">
        <f>AT110+(ATM_Conf!$C$5/ATM_Conf!$C$8)*(BN111*EXP(-(1/DB111)*(Z111/CH111)^DB111)-AT110)+(ATM_Conf!$C$5/Z298)*AT110*(Nodes!BE110-AT110)-(ATM_Conf!$C$5*ATM_Conf!$C$9)/(Z298*ATM_Conf!$C$8)*(Nodes!BS110-Z110)/(Z110+ATM_Conf!$C$10)</f>
        <v>#DIV/0!</v>
      </c>
      <c r="AU111" s="43" t="e">
        <f>AU110+(ATM_Conf!$C$5/ATM_Conf!$C$8)*(BO111*EXP(-(1/DC111)*(AA111/CI111)^DC111)-AU110)+(ATM_Conf!$C$5/AA298)*AU110*(Nodes!BF110-AU110)-(ATM_Conf!$C$5*ATM_Conf!$C$9)/(AA298*ATM_Conf!$C$8)*(Nodes!BV110-AA110)/(AA110+ATM_Conf!$C$10)</f>
        <v>#DIV/0!</v>
      </c>
      <c r="AV111" s="43" t="e">
        <f>AV110+(ATM_Conf!$C$5/ATM_Conf!$C$8)*(BP111*EXP(-(1/DD111)*(AB111/CJ111)^DD111)-AV110)+(ATM_Conf!$C$5/AB298)*AV110*(AU110-AV110)-(ATM_Conf!$C$5*ATM_Conf!$C$9)/(AB298*ATM_Conf!$C$8)*(AC110-AB110)/(AB110+ATM_Conf!$C$10)</f>
        <v>#DIV/0!</v>
      </c>
      <c r="AW111" s="43" t="e">
        <f>AW110+(ATM_Conf!$C$5/ATM_Conf!$C$8)*(BQ111*EXP(-(1/DE111)*(AC111/CK111)^DE111)-AW110)+(ATM_Conf!$C$5/AC298)*AW110*(AV110-AW110)-(ATM_Conf!$C$5*ATM_Conf!$C$9)/(AC298*ATM_Conf!$C$8)*(AD110-AC110)/(AC110+ATM_Conf!$C$10)</f>
        <v>#DIV/0!</v>
      </c>
      <c r="AX111" s="43" t="e">
        <f>AX110+(ATM_Conf!$C$5/ATM_Conf!$C$8)*(BR111*EXP(-(1/DF111)*(AD111/CL111)^DF111)-AX110)+(ATM_Conf!$C$5/AD298)*AX110*(Nodes!BG110-AX110)-(ATM_Conf!$C$5*ATM_Conf!$C$9)/(AD298*ATM_Conf!$C$8)*(Nodes!BU110-AD110)/(AD110+ATM_Conf!$C$10)</f>
        <v>#DIV/0!</v>
      </c>
      <c r="AY111" s="43" t="e">
        <f>AY110+(ATM_Conf!$C$5/ATM_Conf!$C$8)*(BS111*EXP(-(1/DG111)*(AE111/CM111)^DG111)-AY110)+(ATM_Conf!$C$5/AE298)*AY110*(Nodes!BF110-AY110)</f>
        <v>#DIV/0!</v>
      </c>
      <c r="AZ111" s="43" t="e">
        <f>AZ110+(ATM_Conf!$C$5/ATM_Conf!$C$8)*(BT111*EXP(-(1/DH111)*(AF111/CN111)^DH111)-AZ110)-(ATM_Conf!$C$5*ATM_Conf!$C$9)/(AF298*ATM_Conf!$C$8)*(Nodes!BV110-AF110)/(AF110+ATM_Conf!$C$10)</f>
        <v>#DIV/0!</v>
      </c>
      <c r="BA111" s="43" t="e">
        <f>BA110+(ATM_Conf!$C$5/ATM_Conf!$C$8)*(BU111*EXP(-(1/DI111)*(AG111/CO111)^DI111)-BA110)+(ATM_Conf!$C$5/AG298)*BA110*(Nodes!BI110-BA110)-(ATM_Conf!$C$5*ATM_Conf!$C$9)/(AG298*ATM_Conf!$C$8)*(Nodes!BW110-AG110)/(AG110+ATM_Conf!$C$10)</f>
        <v>#DIV/0!</v>
      </c>
      <c r="BB111" s="43" t="e">
        <f>BB110+(ATM_Conf!$C$5/ATM_Conf!$C$8)*(BV111*EXP(-(1/DJ111)*(AH111/CP111)^DJ111)-BB110)+(ATM_Conf!$C$5/AH298)*BB110*(Nodes!BJ110-BB110)-(ATM_Conf!$C$5*ATM_Conf!$C$9)/(AH298*ATM_Conf!$C$8)*(AI110-AH110)/(AH110+ATM_Conf!$C$10)</f>
        <v>#DIV/0!</v>
      </c>
      <c r="BC111" s="43" t="e">
        <f>BC110+(ATM_Conf!$C$5/ATM_Conf!$C$8)*(BW111*EXP(-(1/DK111)*(AI111/CQ111)^DK111)-BC110)+(ATM_Conf!$C$5/AI298)*BC110*(BB110-BC110)-(ATM_Conf!$C$5*ATM_Conf!$C$9)/(AI298*ATM_Conf!$C$8)*(AJ110-AI110)/(AI110+ATM_Conf!$C$10)</f>
        <v>#DIV/0!</v>
      </c>
      <c r="BD111" s="43" t="e">
        <f>BD110+(ATM_Conf!$C$5/ATM_Conf!$C$8)*(BX111*EXP(-(1/DL111)*(AJ111/CR111)^DL111)-BD110)+(ATM_Conf!$C$5/AJ298)*BD110*(BC110-BD110)-(ATM_Conf!$C$5*ATM_Conf!$C$9)/(AJ298*ATM_Conf!$C$8)*(Nodes!BX110-AJ110)/(AJ110+ATM_Conf!$C$10)</f>
        <v>#DIV/0!</v>
      </c>
      <c r="BE111" s="43" t="e">
        <f>BE110+(ATM_Conf!$C$5/ATM_Conf!$C$8)*(BY111*EXP(-(1/DM111)*(AK111/CS111)^DM111)-BE110)+(ATM_Conf!$C$5/AK298)*BE110*(Nodes!BK110-BE110)-(ATM_Conf!$C$5*ATM_Conf!$C$9)/(AK298*ATM_Conf!$C$8)*(Nodes!BY110-AK110)/(AK110+ATM_Conf!$C$10)</f>
        <v>#DIV/0!</v>
      </c>
      <c r="BF111" s="43" t="e">
        <f>BF110+(ATM_Conf!$C$5/ATM_Conf!$C$8)*(BZ111*EXP(-(1/DN111)*(AL111/CT111)^DN111)-BF110)+(ATM_Conf!$C$5/AL298)*BF110*(BE110-BF110)-(ATM_Conf!$C$5*ATM_Conf!$C$9)/(AL298*ATM_Conf!$C$8)*(AM110-AL110)/(AL110+ATM_Conf!$C$10)</f>
        <v>#DIV/0!</v>
      </c>
      <c r="BG111" s="43" t="e">
        <f>BG110+(ATM_Conf!$C$5/ATM_Conf!$C$8)*(CA111*EXP(-(1/DO111)*(AM111/CU111)^DO111)-BG110)+(ATM_Conf!$C$5/AM298)*BG110*(Nodes!BM110-BG110)-(ATM_Conf!$C$5*ATM_Conf!$C$9)/(AM298*ATM_Conf!$C$8)*(Nodes!CA110-AM110)/(AM110+ATM_Conf!$C$10)</f>
        <v>#DIV/0!</v>
      </c>
      <c r="BH111" s="43" t="e">
        <f>BH110+(ATM_Conf!$C$5/ATM_Conf!$C$8)*(CB111*EXP(-(1/DP111)*(AN111/CV111)^DP111)-BH110)+(ATM_Conf!$C$5/AN298)*BH110*(BG110-BH110)-(ATM_Conf!$C$5*ATM_Conf!$C$9)/(AN298*ATM_Conf!$C$8)*(AO110-AN110)/(AN110+ATM_Conf!$C$10)</f>
        <v>#DIV/0!</v>
      </c>
      <c r="BI111" s="43" t="e">
        <f>BI110+(ATM_Conf!$C$5/ATM_Conf!$C$8)*(CC111*EXP(-(1/DQ111)*(AO111/CW111)^DQ111)-BI110)+(ATM_Conf!$C$5/AO298)*BI110*(BH110-BI110)</f>
        <v>#DIV/0!</v>
      </c>
      <c r="BJ111" s="53"/>
      <c r="BK111" s="53"/>
      <c r="BL111" s="53"/>
      <c r="BM111" s="53"/>
      <c r="BN111" s="53"/>
      <c r="BO111" s="53"/>
      <c r="BP111" s="53"/>
      <c r="BQ111" s="53"/>
      <c r="BR111" s="53"/>
      <c r="BS111" s="53"/>
      <c r="BT111" s="53"/>
      <c r="BU111" s="53"/>
      <c r="BV111" s="53"/>
      <c r="BW111" s="53"/>
      <c r="BX111" s="53"/>
      <c r="BY111" s="53"/>
      <c r="BZ111" s="53"/>
      <c r="CA111" s="53"/>
      <c r="CB111" s="53"/>
      <c r="CC111" s="5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53"/>
      <c r="CY111" s="53"/>
      <c r="CZ111" s="53"/>
      <c r="DA111" s="53"/>
      <c r="DB111" s="53"/>
      <c r="DC111" s="53"/>
      <c r="DD111" s="53"/>
      <c r="DE111" s="53"/>
      <c r="DF111" s="53"/>
      <c r="DG111" s="53"/>
      <c r="DH111" s="53"/>
      <c r="DI111" s="53"/>
      <c r="DJ111" s="53"/>
      <c r="DK111" s="53"/>
      <c r="DL111" s="53"/>
      <c r="DM111" s="53"/>
      <c r="DN111" s="53"/>
      <c r="DO111" s="53"/>
      <c r="DP111" s="53"/>
      <c r="DQ111" s="53"/>
      <c r="DR111" s="62"/>
      <c r="DS111" s="62"/>
      <c r="DT111" s="62"/>
      <c r="DU111" s="62"/>
      <c r="DV111" s="62"/>
      <c r="DW111" s="62"/>
      <c r="DX111" s="62"/>
      <c r="DY111" s="62"/>
      <c r="DZ111" s="62"/>
      <c r="EA111" s="62"/>
      <c r="EB111" s="62"/>
      <c r="EC111" s="62"/>
      <c r="ED111" s="62"/>
      <c r="EE111" s="62"/>
      <c r="EF111" s="62"/>
      <c r="EG111" s="62"/>
      <c r="EH111" s="62"/>
      <c r="EI111" s="62"/>
      <c r="EJ111" s="62"/>
      <c r="EK111" s="62"/>
      <c r="EL111" s="47">
        <f>(DR111-DR99)^2</f>
        <v>0</v>
      </c>
      <c r="EM111" s="47">
        <f t="shared" ref="EM111:FE111" si="68">(DS111-DS99)^2</f>
        <v>0</v>
      </c>
      <c r="EN111" s="47">
        <f t="shared" si="68"/>
        <v>0</v>
      </c>
      <c r="EO111" s="47">
        <f t="shared" si="68"/>
        <v>0</v>
      </c>
      <c r="EP111" s="47">
        <f t="shared" si="68"/>
        <v>0</v>
      </c>
      <c r="EQ111" s="47">
        <f t="shared" si="68"/>
        <v>0</v>
      </c>
      <c r="ER111" s="47">
        <f t="shared" si="68"/>
        <v>0</v>
      </c>
      <c r="ES111" s="47">
        <f t="shared" si="68"/>
        <v>0</v>
      </c>
      <c r="ET111" s="47">
        <f t="shared" si="68"/>
        <v>0</v>
      </c>
      <c r="EU111" s="47">
        <f t="shared" si="68"/>
        <v>0</v>
      </c>
      <c r="EV111" s="47">
        <f t="shared" si="68"/>
        <v>0</v>
      </c>
      <c r="EW111" s="47">
        <f t="shared" si="68"/>
        <v>0</v>
      </c>
      <c r="EX111" s="47">
        <f t="shared" si="68"/>
        <v>0</v>
      </c>
      <c r="EY111" s="47">
        <f t="shared" si="68"/>
        <v>0</v>
      </c>
      <c r="EZ111" s="47">
        <f t="shared" si="68"/>
        <v>0</v>
      </c>
      <c r="FA111" s="47">
        <f t="shared" si="68"/>
        <v>0</v>
      </c>
      <c r="FB111" s="47">
        <f t="shared" si="68"/>
        <v>0</v>
      </c>
      <c r="FC111" s="47">
        <f t="shared" si="68"/>
        <v>0</v>
      </c>
      <c r="FD111" s="47">
        <f t="shared" si="68"/>
        <v>0</v>
      </c>
      <c r="FE111" s="47">
        <f t="shared" si="68"/>
        <v>0</v>
      </c>
    </row>
    <row r="112" spans="1:161" ht="14.25" x14ac:dyDescent="0.15">
      <c r="A112" s="46"/>
      <c r="B112" s="43" t="e">
        <f t="shared" si="39"/>
        <v>#DIV/0!</v>
      </c>
      <c r="C112" s="43" t="e">
        <f t="shared" si="40"/>
        <v>#DIV/0!</v>
      </c>
      <c r="D112" s="43" t="e">
        <f t="shared" si="41"/>
        <v>#DIV/0!</v>
      </c>
      <c r="E112" s="43" t="e">
        <f t="shared" si="42"/>
        <v>#DIV/0!</v>
      </c>
      <c r="F112" s="43" t="e">
        <f t="shared" si="43"/>
        <v>#DIV/0!</v>
      </c>
      <c r="G112" s="43" t="e">
        <f t="shared" si="44"/>
        <v>#DIV/0!</v>
      </c>
      <c r="H112" s="43" t="e">
        <f t="shared" si="45"/>
        <v>#DIV/0!</v>
      </c>
      <c r="I112" s="43" t="e">
        <f t="shared" si="46"/>
        <v>#DIV/0!</v>
      </c>
      <c r="J112" s="43" t="e">
        <f t="shared" si="47"/>
        <v>#DIV/0!</v>
      </c>
      <c r="K112" s="43" t="e">
        <f t="shared" si="48"/>
        <v>#DIV/0!</v>
      </c>
      <c r="L112" s="43" t="e">
        <f t="shared" si="49"/>
        <v>#DIV/0!</v>
      </c>
      <c r="M112" s="43" t="e">
        <f t="shared" si="50"/>
        <v>#DIV/0!</v>
      </c>
      <c r="N112" s="43" t="e">
        <f t="shared" si="51"/>
        <v>#DIV/0!</v>
      </c>
      <c r="O112" s="43" t="e">
        <f t="shared" si="52"/>
        <v>#DIV/0!</v>
      </c>
      <c r="P112" s="43" t="e">
        <f t="shared" si="53"/>
        <v>#DIV/0!</v>
      </c>
      <c r="Q112" s="43" t="e">
        <f t="shared" si="54"/>
        <v>#DIV/0!</v>
      </c>
      <c r="R112" s="43" t="e">
        <f t="shared" si="55"/>
        <v>#DIV/0!</v>
      </c>
      <c r="S112" s="43" t="e">
        <f t="shared" si="56"/>
        <v>#DIV/0!</v>
      </c>
      <c r="T112" s="43" t="e">
        <f t="shared" si="57"/>
        <v>#DIV/0!</v>
      </c>
      <c r="U112" s="43" t="e">
        <f t="shared" si="58"/>
        <v>#DIV/0!</v>
      </c>
      <c r="V112" s="53" t="e">
        <f>V111+ATM_Conf!$C$5*(B111)/(B299*V299)</f>
        <v>#DIV/0!</v>
      </c>
      <c r="W112" s="53" t="e">
        <f>W111+ATM_Conf!$C$5*(C111-B111)/(C299*W299)</f>
        <v>#DIV/0!</v>
      </c>
      <c r="X112" s="53" t="e">
        <f>X111+ATM_Conf!$C$5*(D111-C111)/(D299*X299)</f>
        <v>#DIV/0!</v>
      </c>
      <c r="Y112" s="53" t="e">
        <f>Y111+ATM_Conf!$C$5*(E111-D111)/(E299*Y299)</f>
        <v>#DIV/0!</v>
      </c>
      <c r="Z112" s="53" t="e">
        <f>Z111+ATM_Conf!$C$5*(F111-E111)/(F299*Z299)</f>
        <v>#DIV/0!</v>
      </c>
      <c r="AA112" s="53" t="e">
        <f>AA111+ATM_Conf!$C$5*(G111-F111)/(G299*AA299)</f>
        <v>#DIV/0!</v>
      </c>
      <c r="AB112" s="53" t="e">
        <f>AB111+ATM_Conf!$C$5*(H111-G111)/(H299*AB299)</f>
        <v>#DIV/0!</v>
      </c>
      <c r="AC112" s="53" t="e">
        <f>AC111+ATM_Conf!$C$5*(I111-H111)/(I299*AC299)</f>
        <v>#DIV/0!</v>
      </c>
      <c r="AD112" s="53" t="e">
        <f>AD111+ATM_Conf!$C$5*(J111-I111)/(J299*AD299)</f>
        <v>#DIV/0!</v>
      </c>
      <c r="AE112" s="53" t="e">
        <f>AE111+ATM_Conf!$C$5*(K111-J111)/(K299*AE299)</f>
        <v>#DIV/0!</v>
      </c>
      <c r="AF112" s="53" t="e">
        <f>AF111+ATM_Conf!$C$5*(L111)/(L299*AF299)</f>
        <v>#DIV/0!</v>
      </c>
      <c r="AG112" s="53" t="e">
        <f>AG111+ATM_Conf!$C$5*(M111-L111)/(M299*AG299)</f>
        <v>#DIV/0!</v>
      </c>
      <c r="AH112" s="53" t="e">
        <f>AH111+ATM_Conf!$C$5*(N111-M111)/(N299*AH299)</f>
        <v>#DIV/0!</v>
      </c>
      <c r="AI112" s="53" t="e">
        <f>AI111+ATM_Conf!$C$5*(O111-N111)/(O299*AI299)</f>
        <v>#DIV/0!</v>
      </c>
      <c r="AJ112" s="53" t="e">
        <f>AJ111+ATM_Conf!$C$5*(P111-O111)/(P299*AJ299)</f>
        <v>#DIV/0!</v>
      </c>
      <c r="AK112" s="53" t="e">
        <f>AK111+ATM_Conf!$C$5*(Q111-P111)/(Q299*AK299)</f>
        <v>#DIV/0!</v>
      </c>
      <c r="AL112" s="53" t="e">
        <f>AL111+ATM_Conf!$C$5*(R111-Q111)/(R299*AL299)</f>
        <v>#DIV/0!</v>
      </c>
      <c r="AM112" s="53" t="e">
        <f>AM111+ATM_Conf!$C$5*(S111-R111)/(S299*AM299)</f>
        <v>#DIV/0!</v>
      </c>
      <c r="AN112" s="53" t="e">
        <f>AN111+ATM_Conf!$C$5*(T111-S111)/(T299*AN299)</f>
        <v>#DIV/0!</v>
      </c>
      <c r="AO112" s="53" t="e">
        <f>AO111+ATM_Conf!$C$5*(U111-T111)/(U299*AO299)</f>
        <v>#DIV/0!</v>
      </c>
      <c r="AP112" s="43" t="e">
        <f>AP111+(ATM_Conf!$C$5/ATM_Conf!$C$8)*(BJ112*EXP(-(1/CX112)*(V112/CD112)^CX112)-AP111)-(ATM_Conf!$C$5*ATM_Conf!$C$9)/(V299*ATM_Conf!$C$8)*(Nodes!BO111-V111)/(V111+ATM_Conf!$C$10)</f>
        <v>#DIV/0!</v>
      </c>
      <c r="AQ112" s="43" t="e">
        <f>AQ111+(ATM_Conf!$C$5/ATM_Conf!$C$8)*(BK112*EXP(-(1/CY112)*(W112/CE112)^CY112)-AQ111)+(ATM_Conf!$C$5/W299)*AQ111*(AP111-AQ111)-(ATM_Conf!$C$5*ATM_Conf!$C$9)/(W299*ATM_Conf!$C$8)*(X111-W111)/(W111+ATM_Conf!$C$10)</f>
        <v>#DIV/0!</v>
      </c>
      <c r="AR112" s="43" t="e">
        <f>AR111+(ATM_Conf!$C$5/ATM_Conf!$C$8)*(BL112*EXP(-(1/CZ112)*(X112/CF112)^CZ112)-AR111)+(ATM_Conf!$C$5/X299)*AR111*(Nodes!BC111-AR111)-(ATM_Conf!$C$5*ATM_Conf!$C$9)/(X299*ATM_Conf!$C$8)*(Nodes!BQ111-X111)/(X111+ATM_Conf!$C$10)</f>
        <v>#DIV/0!</v>
      </c>
      <c r="AS112" s="43" t="e">
        <f>AS111+(ATM_Conf!$C$5/ATM_Conf!$C$8)*(BM112*EXP(-(1/DA112)*(Y112/CG112)^DA112)-AS111)+(ATM_Conf!$C$5/Y299)*AS111*(AR111-AS111)-(ATM_Conf!$C$5*ATM_Conf!$C$9)/(Y299*ATM_Conf!$C$8)*(Z111-Y111)/(Y111+ATM_Conf!$C$10)</f>
        <v>#DIV/0!</v>
      </c>
      <c r="AT112" s="43" t="e">
        <f>AT111+(ATM_Conf!$C$5/ATM_Conf!$C$8)*(BN112*EXP(-(1/DB112)*(Z112/CH112)^DB112)-AT111)+(ATM_Conf!$C$5/Z299)*AT111*(Nodes!BE111-AT111)-(ATM_Conf!$C$5*ATM_Conf!$C$9)/(Z299*ATM_Conf!$C$8)*(Nodes!BS111-Z111)/(Z111+ATM_Conf!$C$10)</f>
        <v>#DIV/0!</v>
      </c>
      <c r="AU112" s="43" t="e">
        <f>AU111+(ATM_Conf!$C$5/ATM_Conf!$C$8)*(BO112*EXP(-(1/DC112)*(AA112/CI112)^DC112)-AU111)+(ATM_Conf!$C$5/AA299)*AU111*(Nodes!BF111-AU111)-(ATM_Conf!$C$5*ATM_Conf!$C$9)/(AA299*ATM_Conf!$C$8)*(Nodes!BV111-AA111)/(AA111+ATM_Conf!$C$10)</f>
        <v>#DIV/0!</v>
      </c>
      <c r="AV112" s="43" t="e">
        <f>AV111+(ATM_Conf!$C$5/ATM_Conf!$C$8)*(BP112*EXP(-(1/DD112)*(AB112/CJ112)^DD112)-AV111)+(ATM_Conf!$C$5/AB299)*AV111*(AU111-AV111)-(ATM_Conf!$C$5*ATM_Conf!$C$9)/(AB299*ATM_Conf!$C$8)*(AC111-AB111)/(AB111+ATM_Conf!$C$10)</f>
        <v>#DIV/0!</v>
      </c>
      <c r="AW112" s="43" t="e">
        <f>AW111+(ATM_Conf!$C$5/ATM_Conf!$C$8)*(BQ112*EXP(-(1/DE112)*(AC112/CK112)^DE112)-AW111)+(ATM_Conf!$C$5/AC299)*AW111*(AV111-AW111)-(ATM_Conf!$C$5*ATM_Conf!$C$9)/(AC299*ATM_Conf!$C$8)*(AD111-AC111)/(AC111+ATM_Conf!$C$10)</f>
        <v>#DIV/0!</v>
      </c>
      <c r="AX112" s="43" t="e">
        <f>AX111+(ATM_Conf!$C$5/ATM_Conf!$C$8)*(BR112*EXP(-(1/DF112)*(AD112/CL112)^DF112)-AX111)+(ATM_Conf!$C$5/AD299)*AX111*(Nodes!BG111-AX111)-(ATM_Conf!$C$5*ATM_Conf!$C$9)/(AD299*ATM_Conf!$C$8)*(Nodes!BU111-AD111)/(AD111+ATM_Conf!$C$10)</f>
        <v>#DIV/0!</v>
      </c>
      <c r="AY112" s="43" t="e">
        <f>AY111+(ATM_Conf!$C$5/ATM_Conf!$C$8)*(BS112*EXP(-(1/DG112)*(AE112/CM112)^DG112)-AY111)+(ATM_Conf!$C$5/AE299)*AY111*(Nodes!BF111-AY111)</f>
        <v>#DIV/0!</v>
      </c>
      <c r="AZ112" s="43" t="e">
        <f>AZ111+(ATM_Conf!$C$5/ATM_Conf!$C$8)*(BT112*EXP(-(1/DH112)*(AF112/CN112)^DH112)-AZ111)-(ATM_Conf!$C$5*ATM_Conf!$C$9)/(AF299*ATM_Conf!$C$8)*(Nodes!BV111-AF111)/(AF111+ATM_Conf!$C$10)</f>
        <v>#DIV/0!</v>
      </c>
      <c r="BA112" s="43" t="e">
        <f>BA111+(ATM_Conf!$C$5/ATM_Conf!$C$8)*(BU112*EXP(-(1/DI112)*(AG112/CO112)^DI112)-BA111)+(ATM_Conf!$C$5/AG299)*BA111*(Nodes!BI111-BA111)-(ATM_Conf!$C$5*ATM_Conf!$C$9)/(AG299*ATM_Conf!$C$8)*(Nodes!BW111-AG111)/(AG111+ATM_Conf!$C$10)</f>
        <v>#DIV/0!</v>
      </c>
      <c r="BB112" s="43" t="e">
        <f>BB111+(ATM_Conf!$C$5/ATM_Conf!$C$8)*(BV112*EXP(-(1/DJ112)*(AH112/CP112)^DJ112)-BB111)+(ATM_Conf!$C$5/AH299)*BB111*(Nodes!BJ111-BB111)-(ATM_Conf!$C$5*ATM_Conf!$C$9)/(AH299*ATM_Conf!$C$8)*(AI111-AH111)/(AH111+ATM_Conf!$C$10)</f>
        <v>#DIV/0!</v>
      </c>
      <c r="BC112" s="43" t="e">
        <f>BC111+(ATM_Conf!$C$5/ATM_Conf!$C$8)*(BW112*EXP(-(1/DK112)*(AI112/CQ112)^DK112)-BC111)+(ATM_Conf!$C$5/AI299)*BC111*(BB111-BC111)-(ATM_Conf!$C$5*ATM_Conf!$C$9)/(AI299*ATM_Conf!$C$8)*(AJ111-AI111)/(AI111+ATM_Conf!$C$10)</f>
        <v>#DIV/0!</v>
      </c>
      <c r="BD112" s="43" t="e">
        <f>BD111+(ATM_Conf!$C$5/ATM_Conf!$C$8)*(BX112*EXP(-(1/DL112)*(AJ112/CR112)^DL112)-BD111)+(ATM_Conf!$C$5/AJ299)*BD111*(BC111-BD111)-(ATM_Conf!$C$5*ATM_Conf!$C$9)/(AJ299*ATM_Conf!$C$8)*(Nodes!BX111-AJ111)/(AJ111+ATM_Conf!$C$10)</f>
        <v>#DIV/0!</v>
      </c>
      <c r="BE112" s="43" t="e">
        <f>BE111+(ATM_Conf!$C$5/ATM_Conf!$C$8)*(BY112*EXP(-(1/DM112)*(AK112/CS112)^DM112)-BE111)+(ATM_Conf!$C$5/AK299)*BE111*(Nodes!BK111-BE111)-(ATM_Conf!$C$5*ATM_Conf!$C$9)/(AK299*ATM_Conf!$C$8)*(Nodes!BY111-AK111)/(AK111+ATM_Conf!$C$10)</f>
        <v>#DIV/0!</v>
      </c>
      <c r="BF112" s="43" t="e">
        <f>BF111+(ATM_Conf!$C$5/ATM_Conf!$C$8)*(BZ112*EXP(-(1/DN112)*(AL112/CT112)^DN112)-BF111)+(ATM_Conf!$C$5/AL299)*BF111*(BE111-BF111)-(ATM_Conf!$C$5*ATM_Conf!$C$9)/(AL299*ATM_Conf!$C$8)*(AM111-AL111)/(AL111+ATM_Conf!$C$10)</f>
        <v>#DIV/0!</v>
      </c>
      <c r="BG112" s="43" t="e">
        <f>BG111+(ATM_Conf!$C$5/ATM_Conf!$C$8)*(CA112*EXP(-(1/DO112)*(AM112/CU112)^DO112)-BG111)+(ATM_Conf!$C$5/AM299)*BG111*(Nodes!BM111-BG111)-(ATM_Conf!$C$5*ATM_Conf!$C$9)/(AM299*ATM_Conf!$C$8)*(Nodes!CA111-AM111)/(AM111+ATM_Conf!$C$10)</f>
        <v>#DIV/0!</v>
      </c>
      <c r="BH112" s="43" t="e">
        <f>BH111+(ATM_Conf!$C$5/ATM_Conf!$C$8)*(CB112*EXP(-(1/DP112)*(AN112/CV112)^DP112)-BH111)+(ATM_Conf!$C$5/AN299)*BH111*(BG111-BH111)-(ATM_Conf!$C$5*ATM_Conf!$C$9)/(AN299*ATM_Conf!$C$8)*(AO111-AN111)/(AN111+ATM_Conf!$C$10)</f>
        <v>#DIV/0!</v>
      </c>
      <c r="BI112" s="43" t="e">
        <f>BI111+(ATM_Conf!$C$5/ATM_Conf!$C$8)*(CC112*EXP(-(1/DQ112)*(AO112/CW112)^DQ112)-BI111)+(ATM_Conf!$C$5/AO299)*BI111*(BH111-BI111)</f>
        <v>#DIV/0!</v>
      </c>
      <c r="BJ112" s="53"/>
      <c r="BK112" s="53"/>
      <c r="BL112" s="53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/>
      <c r="BW112" s="53"/>
      <c r="BX112" s="53"/>
      <c r="BY112" s="53"/>
      <c r="BZ112" s="53"/>
      <c r="CA112" s="53"/>
      <c r="CB112" s="53"/>
      <c r="CC112" s="5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53"/>
      <c r="CY112" s="53"/>
      <c r="CZ112" s="53"/>
      <c r="DA112" s="53"/>
      <c r="DB112" s="53"/>
      <c r="DC112" s="53"/>
      <c r="DD112" s="53"/>
      <c r="DE112" s="53"/>
      <c r="DF112" s="53"/>
      <c r="DG112" s="53"/>
      <c r="DH112" s="53"/>
      <c r="DI112" s="53"/>
      <c r="DJ112" s="53"/>
      <c r="DK112" s="53"/>
      <c r="DL112" s="53"/>
      <c r="DM112" s="53"/>
      <c r="DN112" s="53"/>
      <c r="DO112" s="53"/>
      <c r="DP112" s="53"/>
      <c r="DQ112" s="53"/>
      <c r="DR112" s="43">
        <f>DR$111</f>
        <v>0</v>
      </c>
      <c r="DS112" s="43">
        <f t="shared" ref="DS112:EK122" si="69">DS$111</f>
        <v>0</v>
      </c>
      <c r="DT112" s="43">
        <f t="shared" si="69"/>
        <v>0</v>
      </c>
      <c r="DU112" s="43">
        <f t="shared" si="69"/>
        <v>0</v>
      </c>
      <c r="DV112" s="43">
        <f t="shared" si="69"/>
        <v>0</v>
      </c>
      <c r="DW112" s="43">
        <f t="shared" si="69"/>
        <v>0</v>
      </c>
      <c r="DX112" s="43">
        <f t="shared" si="69"/>
        <v>0</v>
      </c>
      <c r="DY112" s="43">
        <f t="shared" si="69"/>
        <v>0</v>
      </c>
      <c r="DZ112" s="43">
        <f t="shared" si="69"/>
        <v>0</v>
      </c>
      <c r="EA112" s="43">
        <f t="shared" si="69"/>
        <v>0</v>
      </c>
      <c r="EB112" s="43">
        <f t="shared" si="69"/>
        <v>0</v>
      </c>
      <c r="EC112" s="43">
        <f t="shared" si="69"/>
        <v>0</v>
      </c>
      <c r="ED112" s="43">
        <f t="shared" si="69"/>
        <v>0</v>
      </c>
      <c r="EE112" s="43">
        <f t="shared" si="69"/>
        <v>0</v>
      </c>
      <c r="EF112" s="43">
        <f t="shared" si="69"/>
        <v>0</v>
      </c>
      <c r="EG112" s="43">
        <f t="shared" si="69"/>
        <v>0</v>
      </c>
      <c r="EH112" s="43">
        <f t="shared" si="69"/>
        <v>0</v>
      </c>
      <c r="EI112" s="43">
        <f t="shared" si="69"/>
        <v>0</v>
      </c>
      <c r="EJ112" s="43">
        <f t="shared" si="69"/>
        <v>0</v>
      </c>
      <c r="EK112" s="43">
        <f t="shared" si="69"/>
        <v>0</v>
      </c>
      <c r="EL112" s="47"/>
      <c r="EM112" s="47"/>
      <c r="EN112" s="47"/>
      <c r="EO112" s="47"/>
      <c r="EP112" s="47"/>
      <c r="EQ112" s="47"/>
      <c r="ER112" s="47"/>
      <c r="ES112" s="47"/>
      <c r="ET112" s="47"/>
      <c r="EU112" s="47"/>
      <c r="EV112" s="47"/>
      <c r="EW112" s="47"/>
      <c r="EX112" s="47"/>
      <c r="EY112" s="47"/>
      <c r="EZ112" s="47"/>
      <c r="FA112" s="47"/>
      <c r="FB112" s="47"/>
      <c r="FC112" s="47"/>
      <c r="FD112" s="47"/>
      <c r="FE112" s="47"/>
    </row>
    <row r="113" spans="1:161" ht="14.25" x14ac:dyDescent="0.15">
      <c r="A113" s="46"/>
      <c r="B113" s="43" t="e">
        <f t="shared" si="39"/>
        <v>#DIV/0!</v>
      </c>
      <c r="C113" s="43" t="e">
        <f t="shared" si="40"/>
        <v>#DIV/0!</v>
      </c>
      <c r="D113" s="43" t="e">
        <f t="shared" si="41"/>
        <v>#DIV/0!</v>
      </c>
      <c r="E113" s="43" t="e">
        <f t="shared" si="42"/>
        <v>#DIV/0!</v>
      </c>
      <c r="F113" s="43" t="e">
        <f t="shared" si="43"/>
        <v>#DIV/0!</v>
      </c>
      <c r="G113" s="43" t="e">
        <f t="shared" si="44"/>
        <v>#DIV/0!</v>
      </c>
      <c r="H113" s="43" t="e">
        <f t="shared" si="45"/>
        <v>#DIV/0!</v>
      </c>
      <c r="I113" s="43" t="e">
        <f t="shared" si="46"/>
        <v>#DIV/0!</v>
      </c>
      <c r="J113" s="43" t="e">
        <f t="shared" si="47"/>
        <v>#DIV/0!</v>
      </c>
      <c r="K113" s="43" t="e">
        <f t="shared" si="48"/>
        <v>#DIV/0!</v>
      </c>
      <c r="L113" s="43" t="e">
        <f t="shared" si="49"/>
        <v>#DIV/0!</v>
      </c>
      <c r="M113" s="43" t="e">
        <f t="shared" si="50"/>
        <v>#DIV/0!</v>
      </c>
      <c r="N113" s="43" t="e">
        <f t="shared" si="51"/>
        <v>#DIV/0!</v>
      </c>
      <c r="O113" s="43" t="e">
        <f t="shared" si="52"/>
        <v>#DIV/0!</v>
      </c>
      <c r="P113" s="43" t="e">
        <f t="shared" si="53"/>
        <v>#DIV/0!</v>
      </c>
      <c r="Q113" s="43" t="e">
        <f t="shared" si="54"/>
        <v>#DIV/0!</v>
      </c>
      <c r="R113" s="43" t="e">
        <f t="shared" si="55"/>
        <v>#DIV/0!</v>
      </c>
      <c r="S113" s="43" t="e">
        <f t="shared" si="56"/>
        <v>#DIV/0!</v>
      </c>
      <c r="T113" s="43" t="e">
        <f t="shared" si="57"/>
        <v>#DIV/0!</v>
      </c>
      <c r="U113" s="43" t="e">
        <f t="shared" si="58"/>
        <v>#DIV/0!</v>
      </c>
      <c r="V113" s="53" t="e">
        <f>V112+ATM_Conf!$C$5*(B112)/(B300*V300)</f>
        <v>#DIV/0!</v>
      </c>
      <c r="W113" s="53" t="e">
        <f>W112+ATM_Conf!$C$5*(C112-B112)/(C300*W300)</f>
        <v>#DIV/0!</v>
      </c>
      <c r="X113" s="53" t="e">
        <f>X112+ATM_Conf!$C$5*(D112-C112)/(D300*X300)</f>
        <v>#DIV/0!</v>
      </c>
      <c r="Y113" s="53" t="e">
        <f>Y112+ATM_Conf!$C$5*(E112-D112)/(E300*Y300)</f>
        <v>#DIV/0!</v>
      </c>
      <c r="Z113" s="53" t="e">
        <f>Z112+ATM_Conf!$C$5*(F112-E112)/(F300*Z300)</f>
        <v>#DIV/0!</v>
      </c>
      <c r="AA113" s="53" t="e">
        <f>AA112+ATM_Conf!$C$5*(G112-F112)/(G300*AA300)</f>
        <v>#DIV/0!</v>
      </c>
      <c r="AB113" s="53" t="e">
        <f>AB112+ATM_Conf!$C$5*(H112-G112)/(H300*AB300)</f>
        <v>#DIV/0!</v>
      </c>
      <c r="AC113" s="53" t="e">
        <f>AC112+ATM_Conf!$C$5*(I112-H112)/(I300*AC300)</f>
        <v>#DIV/0!</v>
      </c>
      <c r="AD113" s="53" t="e">
        <f>AD112+ATM_Conf!$C$5*(J112-I112)/(J300*AD300)</f>
        <v>#DIV/0!</v>
      </c>
      <c r="AE113" s="53" t="e">
        <f>AE112+ATM_Conf!$C$5*(K112-J112)/(K300*AE300)</f>
        <v>#DIV/0!</v>
      </c>
      <c r="AF113" s="53" t="e">
        <f>AF112+ATM_Conf!$C$5*(L112)/(L300*AF300)</f>
        <v>#DIV/0!</v>
      </c>
      <c r="AG113" s="53" t="e">
        <f>AG112+ATM_Conf!$C$5*(M112-L112)/(M300*AG300)</f>
        <v>#DIV/0!</v>
      </c>
      <c r="AH113" s="53" t="e">
        <f>AH112+ATM_Conf!$C$5*(N112-M112)/(N300*AH300)</f>
        <v>#DIV/0!</v>
      </c>
      <c r="AI113" s="53" t="e">
        <f>AI112+ATM_Conf!$C$5*(O112-N112)/(O300*AI300)</f>
        <v>#DIV/0!</v>
      </c>
      <c r="AJ113" s="53" t="e">
        <f>AJ112+ATM_Conf!$C$5*(P112-O112)/(P300*AJ300)</f>
        <v>#DIV/0!</v>
      </c>
      <c r="AK113" s="53" t="e">
        <f>AK112+ATM_Conf!$C$5*(Q112-P112)/(Q300*AK300)</f>
        <v>#DIV/0!</v>
      </c>
      <c r="AL113" s="53" t="e">
        <f>AL112+ATM_Conf!$C$5*(R112-Q112)/(R300*AL300)</f>
        <v>#DIV/0!</v>
      </c>
      <c r="AM113" s="53" t="e">
        <f>AM112+ATM_Conf!$C$5*(S112-R112)/(S300*AM300)</f>
        <v>#DIV/0!</v>
      </c>
      <c r="AN113" s="53" t="e">
        <f>AN112+ATM_Conf!$C$5*(T112-S112)/(T300*AN300)</f>
        <v>#DIV/0!</v>
      </c>
      <c r="AO113" s="53" t="e">
        <f>AO112+ATM_Conf!$C$5*(U112-T112)/(U300*AO300)</f>
        <v>#DIV/0!</v>
      </c>
      <c r="AP113" s="43" t="e">
        <f>AP112+(ATM_Conf!$C$5/ATM_Conf!$C$8)*(BJ113*EXP(-(1/CX113)*(V113/CD113)^CX113)-AP112)-(ATM_Conf!$C$5*ATM_Conf!$C$9)/(V300*ATM_Conf!$C$8)*(Nodes!BO112-V112)/(V112+ATM_Conf!$C$10)</f>
        <v>#DIV/0!</v>
      </c>
      <c r="AQ113" s="43" t="e">
        <f>AQ112+(ATM_Conf!$C$5/ATM_Conf!$C$8)*(BK113*EXP(-(1/CY113)*(W113/CE113)^CY113)-AQ112)+(ATM_Conf!$C$5/W300)*AQ112*(AP112-AQ112)-(ATM_Conf!$C$5*ATM_Conf!$C$9)/(W300*ATM_Conf!$C$8)*(X112-W112)/(W112+ATM_Conf!$C$10)</f>
        <v>#DIV/0!</v>
      </c>
      <c r="AR113" s="43" t="e">
        <f>AR112+(ATM_Conf!$C$5/ATM_Conf!$C$8)*(BL113*EXP(-(1/CZ113)*(X113/CF113)^CZ113)-AR112)+(ATM_Conf!$C$5/X300)*AR112*(Nodes!BC112-AR112)-(ATM_Conf!$C$5*ATM_Conf!$C$9)/(X300*ATM_Conf!$C$8)*(Nodes!BQ112-X112)/(X112+ATM_Conf!$C$10)</f>
        <v>#DIV/0!</v>
      </c>
      <c r="AS113" s="43" t="e">
        <f>AS112+(ATM_Conf!$C$5/ATM_Conf!$C$8)*(BM113*EXP(-(1/DA113)*(Y113/CG113)^DA113)-AS112)+(ATM_Conf!$C$5/Y300)*AS112*(AR112-AS112)-(ATM_Conf!$C$5*ATM_Conf!$C$9)/(Y300*ATM_Conf!$C$8)*(Z112-Y112)/(Y112+ATM_Conf!$C$10)</f>
        <v>#DIV/0!</v>
      </c>
      <c r="AT113" s="43" t="e">
        <f>AT112+(ATM_Conf!$C$5/ATM_Conf!$C$8)*(BN113*EXP(-(1/DB113)*(Z113/CH113)^DB113)-AT112)+(ATM_Conf!$C$5/Z300)*AT112*(Nodes!BE112-AT112)-(ATM_Conf!$C$5*ATM_Conf!$C$9)/(Z300*ATM_Conf!$C$8)*(Nodes!BS112-Z112)/(Z112+ATM_Conf!$C$10)</f>
        <v>#DIV/0!</v>
      </c>
      <c r="AU113" s="43" t="e">
        <f>AU112+(ATM_Conf!$C$5/ATM_Conf!$C$8)*(BO113*EXP(-(1/DC113)*(AA113/CI113)^DC113)-AU112)+(ATM_Conf!$C$5/AA300)*AU112*(Nodes!BF112-AU112)-(ATM_Conf!$C$5*ATM_Conf!$C$9)/(AA300*ATM_Conf!$C$8)*(Nodes!BV112-AA112)/(AA112+ATM_Conf!$C$10)</f>
        <v>#DIV/0!</v>
      </c>
      <c r="AV113" s="43" t="e">
        <f>AV112+(ATM_Conf!$C$5/ATM_Conf!$C$8)*(BP113*EXP(-(1/DD113)*(AB113/CJ113)^DD113)-AV112)+(ATM_Conf!$C$5/AB300)*AV112*(AU112-AV112)-(ATM_Conf!$C$5*ATM_Conf!$C$9)/(AB300*ATM_Conf!$C$8)*(AC112-AB112)/(AB112+ATM_Conf!$C$10)</f>
        <v>#DIV/0!</v>
      </c>
      <c r="AW113" s="43" t="e">
        <f>AW112+(ATM_Conf!$C$5/ATM_Conf!$C$8)*(BQ113*EXP(-(1/DE113)*(AC113/CK113)^DE113)-AW112)+(ATM_Conf!$C$5/AC300)*AW112*(AV112-AW112)-(ATM_Conf!$C$5*ATM_Conf!$C$9)/(AC300*ATM_Conf!$C$8)*(AD112-AC112)/(AC112+ATM_Conf!$C$10)</f>
        <v>#DIV/0!</v>
      </c>
      <c r="AX113" s="43" t="e">
        <f>AX112+(ATM_Conf!$C$5/ATM_Conf!$C$8)*(BR113*EXP(-(1/DF113)*(AD113/CL113)^DF113)-AX112)+(ATM_Conf!$C$5/AD300)*AX112*(Nodes!BG112-AX112)-(ATM_Conf!$C$5*ATM_Conf!$C$9)/(AD300*ATM_Conf!$C$8)*(Nodes!BU112-AD112)/(AD112+ATM_Conf!$C$10)</f>
        <v>#DIV/0!</v>
      </c>
      <c r="AY113" s="43" t="e">
        <f>AY112+(ATM_Conf!$C$5/ATM_Conf!$C$8)*(BS113*EXP(-(1/DG113)*(AE113/CM113)^DG113)-AY112)+(ATM_Conf!$C$5/AE300)*AY112*(Nodes!BF112-AY112)</f>
        <v>#DIV/0!</v>
      </c>
      <c r="AZ113" s="43" t="e">
        <f>AZ112+(ATM_Conf!$C$5/ATM_Conf!$C$8)*(BT113*EXP(-(1/DH113)*(AF113/CN113)^DH113)-AZ112)-(ATM_Conf!$C$5*ATM_Conf!$C$9)/(AF300*ATM_Conf!$C$8)*(Nodes!BV112-AF112)/(AF112+ATM_Conf!$C$10)</f>
        <v>#DIV/0!</v>
      </c>
      <c r="BA113" s="43" t="e">
        <f>BA112+(ATM_Conf!$C$5/ATM_Conf!$C$8)*(BU113*EXP(-(1/DI113)*(AG113/CO113)^DI113)-BA112)+(ATM_Conf!$C$5/AG300)*BA112*(Nodes!BI112-BA112)-(ATM_Conf!$C$5*ATM_Conf!$C$9)/(AG300*ATM_Conf!$C$8)*(Nodes!BW112-AG112)/(AG112+ATM_Conf!$C$10)</f>
        <v>#DIV/0!</v>
      </c>
      <c r="BB113" s="43" t="e">
        <f>BB112+(ATM_Conf!$C$5/ATM_Conf!$C$8)*(BV113*EXP(-(1/DJ113)*(AH113/CP113)^DJ113)-BB112)+(ATM_Conf!$C$5/AH300)*BB112*(Nodes!BJ112-BB112)-(ATM_Conf!$C$5*ATM_Conf!$C$9)/(AH300*ATM_Conf!$C$8)*(AI112-AH112)/(AH112+ATM_Conf!$C$10)</f>
        <v>#DIV/0!</v>
      </c>
      <c r="BC113" s="43" t="e">
        <f>BC112+(ATM_Conf!$C$5/ATM_Conf!$C$8)*(BW113*EXP(-(1/DK113)*(AI113/CQ113)^DK113)-BC112)+(ATM_Conf!$C$5/AI300)*BC112*(BB112-BC112)-(ATM_Conf!$C$5*ATM_Conf!$C$9)/(AI300*ATM_Conf!$C$8)*(AJ112-AI112)/(AI112+ATM_Conf!$C$10)</f>
        <v>#DIV/0!</v>
      </c>
      <c r="BD113" s="43" t="e">
        <f>BD112+(ATM_Conf!$C$5/ATM_Conf!$C$8)*(BX113*EXP(-(1/DL113)*(AJ113/CR113)^DL113)-BD112)+(ATM_Conf!$C$5/AJ300)*BD112*(BC112-BD112)-(ATM_Conf!$C$5*ATM_Conf!$C$9)/(AJ300*ATM_Conf!$C$8)*(Nodes!BX112-AJ112)/(AJ112+ATM_Conf!$C$10)</f>
        <v>#DIV/0!</v>
      </c>
      <c r="BE113" s="43" t="e">
        <f>BE112+(ATM_Conf!$C$5/ATM_Conf!$C$8)*(BY113*EXP(-(1/DM113)*(AK113/CS113)^DM113)-BE112)+(ATM_Conf!$C$5/AK300)*BE112*(Nodes!BK112-BE112)-(ATM_Conf!$C$5*ATM_Conf!$C$9)/(AK300*ATM_Conf!$C$8)*(Nodes!BY112-AK112)/(AK112+ATM_Conf!$C$10)</f>
        <v>#DIV/0!</v>
      </c>
      <c r="BF113" s="43" t="e">
        <f>BF112+(ATM_Conf!$C$5/ATM_Conf!$C$8)*(BZ113*EXP(-(1/DN113)*(AL113/CT113)^DN113)-BF112)+(ATM_Conf!$C$5/AL300)*BF112*(BE112-BF112)-(ATM_Conf!$C$5*ATM_Conf!$C$9)/(AL300*ATM_Conf!$C$8)*(AM112-AL112)/(AL112+ATM_Conf!$C$10)</f>
        <v>#DIV/0!</v>
      </c>
      <c r="BG113" s="43" t="e">
        <f>BG112+(ATM_Conf!$C$5/ATM_Conf!$C$8)*(CA113*EXP(-(1/DO113)*(AM113/CU113)^DO113)-BG112)+(ATM_Conf!$C$5/AM300)*BG112*(Nodes!BM112-BG112)-(ATM_Conf!$C$5*ATM_Conf!$C$9)/(AM300*ATM_Conf!$C$8)*(Nodes!CA112-AM112)/(AM112+ATM_Conf!$C$10)</f>
        <v>#DIV/0!</v>
      </c>
      <c r="BH113" s="43" t="e">
        <f>BH112+(ATM_Conf!$C$5/ATM_Conf!$C$8)*(CB113*EXP(-(1/DP113)*(AN113/CV113)^DP113)-BH112)+(ATM_Conf!$C$5/AN300)*BH112*(BG112-BH112)-(ATM_Conf!$C$5*ATM_Conf!$C$9)/(AN300*ATM_Conf!$C$8)*(AO112-AN112)/(AN112+ATM_Conf!$C$10)</f>
        <v>#DIV/0!</v>
      </c>
      <c r="BI113" s="43" t="e">
        <f>BI112+(ATM_Conf!$C$5/ATM_Conf!$C$8)*(CC113*EXP(-(1/DQ113)*(AO113/CW113)^DQ113)-BI112)+(ATM_Conf!$C$5/AO300)*BI112*(BH112-BI112)</f>
        <v>#DIV/0!</v>
      </c>
      <c r="BJ113" s="53"/>
      <c r="BK113" s="53"/>
      <c r="BL113" s="53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/>
      <c r="BW113" s="53"/>
      <c r="BX113" s="53"/>
      <c r="BY113" s="53"/>
      <c r="BZ113" s="53"/>
      <c r="CA113" s="53"/>
      <c r="CB113" s="53"/>
      <c r="CC113" s="5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53"/>
      <c r="CY113" s="53"/>
      <c r="CZ113" s="53"/>
      <c r="DA113" s="53"/>
      <c r="DB113" s="53"/>
      <c r="DC113" s="53"/>
      <c r="DD113" s="53"/>
      <c r="DE113" s="53"/>
      <c r="DF113" s="53"/>
      <c r="DG113" s="53"/>
      <c r="DH113" s="53"/>
      <c r="DI113" s="53"/>
      <c r="DJ113" s="53"/>
      <c r="DK113" s="53"/>
      <c r="DL113" s="53"/>
      <c r="DM113" s="53"/>
      <c r="DN113" s="53"/>
      <c r="DO113" s="53"/>
      <c r="DP113" s="53"/>
      <c r="DQ113" s="53"/>
      <c r="DR113" s="43">
        <f t="shared" ref="DR113:DR122" si="70">DR$111</f>
        <v>0</v>
      </c>
      <c r="DS113" s="43">
        <f t="shared" si="69"/>
        <v>0</v>
      </c>
      <c r="DT113" s="43">
        <f t="shared" si="69"/>
        <v>0</v>
      </c>
      <c r="DU113" s="43">
        <f t="shared" si="69"/>
        <v>0</v>
      </c>
      <c r="DV113" s="43">
        <f t="shared" si="69"/>
        <v>0</v>
      </c>
      <c r="DW113" s="43">
        <f t="shared" si="69"/>
        <v>0</v>
      </c>
      <c r="DX113" s="43">
        <f t="shared" si="69"/>
        <v>0</v>
      </c>
      <c r="DY113" s="43">
        <f t="shared" si="69"/>
        <v>0</v>
      </c>
      <c r="DZ113" s="43">
        <f t="shared" si="69"/>
        <v>0</v>
      </c>
      <c r="EA113" s="43">
        <f t="shared" si="69"/>
        <v>0</v>
      </c>
      <c r="EB113" s="43">
        <f t="shared" si="69"/>
        <v>0</v>
      </c>
      <c r="EC113" s="43">
        <f t="shared" si="69"/>
        <v>0</v>
      </c>
      <c r="ED113" s="43">
        <f t="shared" si="69"/>
        <v>0</v>
      </c>
      <c r="EE113" s="43">
        <f t="shared" si="69"/>
        <v>0</v>
      </c>
      <c r="EF113" s="43">
        <f t="shared" si="69"/>
        <v>0</v>
      </c>
      <c r="EG113" s="43">
        <f t="shared" si="69"/>
        <v>0</v>
      </c>
      <c r="EH113" s="43">
        <f t="shared" si="69"/>
        <v>0</v>
      </c>
      <c r="EI113" s="43">
        <f t="shared" si="69"/>
        <v>0</v>
      </c>
      <c r="EJ113" s="43">
        <f t="shared" si="69"/>
        <v>0</v>
      </c>
      <c r="EK113" s="43">
        <f t="shared" si="69"/>
        <v>0</v>
      </c>
      <c r="EL113" s="47"/>
      <c r="EM113" s="47"/>
      <c r="EN113" s="47"/>
      <c r="EO113" s="47"/>
      <c r="EP113" s="47"/>
      <c r="EQ113" s="47"/>
      <c r="ER113" s="47"/>
      <c r="ES113" s="47"/>
      <c r="ET113" s="47"/>
      <c r="EU113" s="47"/>
      <c r="EV113" s="47"/>
      <c r="EW113" s="47"/>
      <c r="EX113" s="47"/>
      <c r="EY113" s="47"/>
      <c r="EZ113" s="47"/>
      <c r="FA113" s="47"/>
      <c r="FB113" s="47"/>
      <c r="FC113" s="47"/>
      <c r="FD113" s="47"/>
      <c r="FE113" s="47"/>
    </row>
    <row r="114" spans="1:161" ht="14.25" x14ac:dyDescent="0.15">
      <c r="A114" s="46"/>
      <c r="B114" s="43" t="e">
        <f t="shared" si="39"/>
        <v>#DIV/0!</v>
      </c>
      <c r="C114" s="43" t="e">
        <f t="shared" si="40"/>
        <v>#DIV/0!</v>
      </c>
      <c r="D114" s="43" t="e">
        <f t="shared" si="41"/>
        <v>#DIV/0!</v>
      </c>
      <c r="E114" s="43" t="e">
        <f t="shared" si="42"/>
        <v>#DIV/0!</v>
      </c>
      <c r="F114" s="43" t="e">
        <f t="shared" si="43"/>
        <v>#DIV/0!</v>
      </c>
      <c r="G114" s="43" t="e">
        <f t="shared" si="44"/>
        <v>#DIV/0!</v>
      </c>
      <c r="H114" s="43" t="e">
        <f t="shared" si="45"/>
        <v>#DIV/0!</v>
      </c>
      <c r="I114" s="43" t="e">
        <f t="shared" si="46"/>
        <v>#DIV/0!</v>
      </c>
      <c r="J114" s="43" t="e">
        <f t="shared" si="47"/>
        <v>#DIV/0!</v>
      </c>
      <c r="K114" s="43" t="e">
        <f t="shared" si="48"/>
        <v>#DIV/0!</v>
      </c>
      <c r="L114" s="43" t="e">
        <f t="shared" si="49"/>
        <v>#DIV/0!</v>
      </c>
      <c r="M114" s="43" t="e">
        <f t="shared" si="50"/>
        <v>#DIV/0!</v>
      </c>
      <c r="N114" s="43" t="e">
        <f t="shared" si="51"/>
        <v>#DIV/0!</v>
      </c>
      <c r="O114" s="43" t="e">
        <f t="shared" si="52"/>
        <v>#DIV/0!</v>
      </c>
      <c r="P114" s="43" t="e">
        <f t="shared" si="53"/>
        <v>#DIV/0!</v>
      </c>
      <c r="Q114" s="43" t="e">
        <f t="shared" si="54"/>
        <v>#DIV/0!</v>
      </c>
      <c r="R114" s="43" t="e">
        <f t="shared" si="55"/>
        <v>#DIV/0!</v>
      </c>
      <c r="S114" s="43" t="e">
        <f t="shared" si="56"/>
        <v>#DIV/0!</v>
      </c>
      <c r="T114" s="43" t="e">
        <f t="shared" si="57"/>
        <v>#DIV/0!</v>
      </c>
      <c r="U114" s="43" t="e">
        <f t="shared" si="58"/>
        <v>#DIV/0!</v>
      </c>
      <c r="V114" s="53" t="e">
        <f>V113+ATM_Conf!$C$5*(B113)/(B301*V301)</f>
        <v>#DIV/0!</v>
      </c>
      <c r="W114" s="53" t="e">
        <f>W113+ATM_Conf!$C$5*(C113-B113)/(C301*W301)</f>
        <v>#DIV/0!</v>
      </c>
      <c r="X114" s="53" t="e">
        <f>X113+ATM_Conf!$C$5*(D113-C113)/(D301*X301)</f>
        <v>#DIV/0!</v>
      </c>
      <c r="Y114" s="53" t="e">
        <f>Y113+ATM_Conf!$C$5*(E113-D113)/(E301*Y301)</f>
        <v>#DIV/0!</v>
      </c>
      <c r="Z114" s="53" t="e">
        <f>Z113+ATM_Conf!$C$5*(F113-E113)/(F301*Z301)</f>
        <v>#DIV/0!</v>
      </c>
      <c r="AA114" s="53" t="e">
        <f>AA113+ATM_Conf!$C$5*(G113-F113)/(G301*AA301)</f>
        <v>#DIV/0!</v>
      </c>
      <c r="AB114" s="53" t="e">
        <f>AB113+ATM_Conf!$C$5*(H113-G113)/(H301*AB301)</f>
        <v>#DIV/0!</v>
      </c>
      <c r="AC114" s="53" t="e">
        <f>AC113+ATM_Conf!$C$5*(I113-H113)/(I301*AC301)</f>
        <v>#DIV/0!</v>
      </c>
      <c r="AD114" s="53" t="e">
        <f>AD113+ATM_Conf!$C$5*(J113-I113)/(J301*AD301)</f>
        <v>#DIV/0!</v>
      </c>
      <c r="AE114" s="53" t="e">
        <f>AE113+ATM_Conf!$C$5*(K113-J113)/(K301*AE301)</f>
        <v>#DIV/0!</v>
      </c>
      <c r="AF114" s="53" t="e">
        <f>AF113+ATM_Conf!$C$5*(L113)/(L301*AF301)</f>
        <v>#DIV/0!</v>
      </c>
      <c r="AG114" s="53" t="e">
        <f>AG113+ATM_Conf!$C$5*(M113-L113)/(M301*AG301)</f>
        <v>#DIV/0!</v>
      </c>
      <c r="AH114" s="53" t="e">
        <f>AH113+ATM_Conf!$C$5*(N113-M113)/(N301*AH301)</f>
        <v>#DIV/0!</v>
      </c>
      <c r="AI114" s="53" t="e">
        <f>AI113+ATM_Conf!$C$5*(O113-N113)/(O301*AI301)</f>
        <v>#DIV/0!</v>
      </c>
      <c r="AJ114" s="53" t="e">
        <f>AJ113+ATM_Conf!$C$5*(P113-O113)/(P301*AJ301)</f>
        <v>#DIV/0!</v>
      </c>
      <c r="AK114" s="53" t="e">
        <f>AK113+ATM_Conf!$C$5*(Q113-P113)/(Q301*AK301)</f>
        <v>#DIV/0!</v>
      </c>
      <c r="AL114" s="53" t="e">
        <f>AL113+ATM_Conf!$C$5*(R113-Q113)/(R301*AL301)</f>
        <v>#DIV/0!</v>
      </c>
      <c r="AM114" s="53" t="e">
        <f>AM113+ATM_Conf!$C$5*(S113-R113)/(S301*AM301)</f>
        <v>#DIV/0!</v>
      </c>
      <c r="AN114" s="53" t="e">
        <f>AN113+ATM_Conf!$C$5*(T113-S113)/(T301*AN301)</f>
        <v>#DIV/0!</v>
      </c>
      <c r="AO114" s="53" t="e">
        <f>AO113+ATM_Conf!$C$5*(U113-T113)/(U301*AO301)</f>
        <v>#DIV/0!</v>
      </c>
      <c r="AP114" s="43" t="e">
        <f>AP113+(ATM_Conf!$C$5/ATM_Conf!$C$8)*(BJ114*EXP(-(1/CX114)*(V114/CD114)^CX114)-AP113)-(ATM_Conf!$C$5*ATM_Conf!$C$9)/(V301*ATM_Conf!$C$8)*(Nodes!BO113-V113)/(V113+ATM_Conf!$C$10)</f>
        <v>#DIV/0!</v>
      </c>
      <c r="AQ114" s="43" t="e">
        <f>AQ113+(ATM_Conf!$C$5/ATM_Conf!$C$8)*(BK114*EXP(-(1/CY114)*(W114/CE114)^CY114)-AQ113)+(ATM_Conf!$C$5/W301)*AQ113*(AP113-AQ113)-(ATM_Conf!$C$5*ATM_Conf!$C$9)/(W301*ATM_Conf!$C$8)*(X113-W113)/(W113+ATM_Conf!$C$10)</f>
        <v>#DIV/0!</v>
      </c>
      <c r="AR114" s="43" t="e">
        <f>AR113+(ATM_Conf!$C$5/ATM_Conf!$C$8)*(BL114*EXP(-(1/CZ114)*(X114/CF114)^CZ114)-AR113)+(ATM_Conf!$C$5/X301)*AR113*(Nodes!BC113-AR113)-(ATM_Conf!$C$5*ATM_Conf!$C$9)/(X301*ATM_Conf!$C$8)*(Nodes!BQ113-X113)/(X113+ATM_Conf!$C$10)</f>
        <v>#DIV/0!</v>
      </c>
      <c r="AS114" s="43" t="e">
        <f>AS113+(ATM_Conf!$C$5/ATM_Conf!$C$8)*(BM114*EXP(-(1/DA114)*(Y114/CG114)^DA114)-AS113)+(ATM_Conf!$C$5/Y301)*AS113*(AR113-AS113)-(ATM_Conf!$C$5*ATM_Conf!$C$9)/(Y301*ATM_Conf!$C$8)*(Z113-Y113)/(Y113+ATM_Conf!$C$10)</f>
        <v>#DIV/0!</v>
      </c>
      <c r="AT114" s="43" t="e">
        <f>AT113+(ATM_Conf!$C$5/ATM_Conf!$C$8)*(BN114*EXP(-(1/DB114)*(Z114/CH114)^DB114)-AT113)+(ATM_Conf!$C$5/Z301)*AT113*(Nodes!BE113-AT113)-(ATM_Conf!$C$5*ATM_Conf!$C$9)/(Z301*ATM_Conf!$C$8)*(Nodes!BS113-Z113)/(Z113+ATM_Conf!$C$10)</f>
        <v>#DIV/0!</v>
      </c>
      <c r="AU114" s="43" t="e">
        <f>AU113+(ATM_Conf!$C$5/ATM_Conf!$C$8)*(BO114*EXP(-(1/DC114)*(AA114/CI114)^DC114)-AU113)+(ATM_Conf!$C$5/AA301)*AU113*(Nodes!BF113-AU113)-(ATM_Conf!$C$5*ATM_Conf!$C$9)/(AA301*ATM_Conf!$C$8)*(Nodes!BV113-AA113)/(AA113+ATM_Conf!$C$10)</f>
        <v>#DIV/0!</v>
      </c>
      <c r="AV114" s="43" t="e">
        <f>AV113+(ATM_Conf!$C$5/ATM_Conf!$C$8)*(BP114*EXP(-(1/DD114)*(AB114/CJ114)^DD114)-AV113)+(ATM_Conf!$C$5/AB301)*AV113*(AU113-AV113)-(ATM_Conf!$C$5*ATM_Conf!$C$9)/(AB301*ATM_Conf!$C$8)*(AC113-AB113)/(AB113+ATM_Conf!$C$10)</f>
        <v>#DIV/0!</v>
      </c>
      <c r="AW114" s="43" t="e">
        <f>AW113+(ATM_Conf!$C$5/ATM_Conf!$C$8)*(BQ114*EXP(-(1/DE114)*(AC114/CK114)^DE114)-AW113)+(ATM_Conf!$C$5/AC301)*AW113*(AV113-AW113)-(ATM_Conf!$C$5*ATM_Conf!$C$9)/(AC301*ATM_Conf!$C$8)*(AD113-AC113)/(AC113+ATM_Conf!$C$10)</f>
        <v>#DIV/0!</v>
      </c>
      <c r="AX114" s="43" t="e">
        <f>AX113+(ATM_Conf!$C$5/ATM_Conf!$C$8)*(BR114*EXP(-(1/DF114)*(AD114/CL114)^DF114)-AX113)+(ATM_Conf!$C$5/AD301)*AX113*(Nodes!BG113-AX113)-(ATM_Conf!$C$5*ATM_Conf!$C$9)/(AD301*ATM_Conf!$C$8)*(Nodes!BU113-AD113)/(AD113+ATM_Conf!$C$10)</f>
        <v>#DIV/0!</v>
      </c>
      <c r="AY114" s="43" t="e">
        <f>AY113+(ATM_Conf!$C$5/ATM_Conf!$C$8)*(BS114*EXP(-(1/DG114)*(AE114/CM114)^DG114)-AY113)+(ATM_Conf!$C$5/AE301)*AY113*(Nodes!BF113-AY113)</f>
        <v>#DIV/0!</v>
      </c>
      <c r="AZ114" s="43" t="e">
        <f>AZ113+(ATM_Conf!$C$5/ATM_Conf!$C$8)*(BT114*EXP(-(1/DH114)*(AF114/CN114)^DH114)-AZ113)-(ATM_Conf!$C$5*ATM_Conf!$C$9)/(AF301*ATM_Conf!$C$8)*(Nodes!BV113-AF113)/(AF113+ATM_Conf!$C$10)</f>
        <v>#DIV/0!</v>
      </c>
      <c r="BA114" s="43" t="e">
        <f>BA113+(ATM_Conf!$C$5/ATM_Conf!$C$8)*(BU114*EXP(-(1/DI114)*(AG114/CO114)^DI114)-BA113)+(ATM_Conf!$C$5/AG301)*BA113*(Nodes!BI113-BA113)-(ATM_Conf!$C$5*ATM_Conf!$C$9)/(AG301*ATM_Conf!$C$8)*(Nodes!BW113-AG113)/(AG113+ATM_Conf!$C$10)</f>
        <v>#DIV/0!</v>
      </c>
      <c r="BB114" s="43" t="e">
        <f>BB113+(ATM_Conf!$C$5/ATM_Conf!$C$8)*(BV114*EXP(-(1/DJ114)*(AH114/CP114)^DJ114)-BB113)+(ATM_Conf!$C$5/AH301)*BB113*(Nodes!BJ113-BB113)-(ATM_Conf!$C$5*ATM_Conf!$C$9)/(AH301*ATM_Conf!$C$8)*(AI113-AH113)/(AH113+ATM_Conf!$C$10)</f>
        <v>#DIV/0!</v>
      </c>
      <c r="BC114" s="43" t="e">
        <f>BC113+(ATM_Conf!$C$5/ATM_Conf!$C$8)*(BW114*EXP(-(1/DK114)*(AI114/CQ114)^DK114)-BC113)+(ATM_Conf!$C$5/AI301)*BC113*(BB113-BC113)-(ATM_Conf!$C$5*ATM_Conf!$C$9)/(AI301*ATM_Conf!$C$8)*(AJ113-AI113)/(AI113+ATM_Conf!$C$10)</f>
        <v>#DIV/0!</v>
      </c>
      <c r="BD114" s="43" t="e">
        <f>BD113+(ATM_Conf!$C$5/ATM_Conf!$C$8)*(BX114*EXP(-(1/DL114)*(AJ114/CR114)^DL114)-BD113)+(ATM_Conf!$C$5/AJ301)*BD113*(BC113-BD113)-(ATM_Conf!$C$5*ATM_Conf!$C$9)/(AJ301*ATM_Conf!$C$8)*(Nodes!BX113-AJ113)/(AJ113+ATM_Conf!$C$10)</f>
        <v>#DIV/0!</v>
      </c>
      <c r="BE114" s="43" t="e">
        <f>BE113+(ATM_Conf!$C$5/ATM_Conf!$C$8)*(BY114*EXP(-(1/DM114)*(AK114/CS114)^DM114)-BE113)+(ATM_Conf!$C$5/AK301)*BE113*(Nodes!BK113-BE113)-(ATM_Conf!$C$5*ATM_Conf!$C$9)/(AK301*ATM_Conf!$C$8)*(Nodes!BY113-AK113)/(AK113+ATM_Conf!$C$10)</f>
        <v>#DIV/0!</v>
      </c>
      <c r="BF114" s="43" t="e">
        <f>BF113+(ATM_Conf!$C$5/ATM_Conf!$C$8)*(BZ114*EXP(-(1/DN114)*(AL114/CT114)^DN114)-BF113)+(ATM_Conf!$C$5/AL301)*BF113*(BE113-BF113)-(ATM_Conf!$C$5*ATM_Conf!$C$9)/(AL301*ATM_Conf!$C$8)*(AM113-AL113)/(AL113+ATM_Conf!$C$10)</f>
        <v>#DIV/0!</v>
      </c>
      <c r="BG114" s="43" t="e">
        <f>BG113+(ATM_Conf!$C$5/ATM_Conf!$C$8)*(CA114*EXP(-(1/DO114)*(AM114/CU114)^DO114)-BG113)+(ATM_Conf!$C$5/AM301)*BG113*(Nodes!BM113-BG113)-(ATM_Conf!$C$5*ATM_Conf!$C$9)/(AM301*ATM_Conf!$C$8)*(Nodes!CA113-AM113)/(AM113+ATM_Conf!$C$10)</f>
        <v>#DIV/0!</v>
      </c>
      <c r="BH114" s="43" t="e">
        <f>BH113+(ATM_Conf!$C$5/ATM_Conf!$C$8)*(CB114*EXP(-(1/DP114)*(AN114/CV114)^DP114)-BH113)+(ATM_Conf!$C$5/AN301)*BH113*(BG113-BH113)-(ATM_Conf!$C$5*ATM_Conf!$C$9)/(AN301*ATM_Conf!$C$8)*(AO113-AN113)/(AN113+ATM_Conf!$C$10)</f>
        <v>#DIV/0!</v>
      </c>
      <c r="BI114" s="43" t="e">
        <f>BI113+(ATM_Conf!$C$5/ATM_Conf!$C$8)*(CC114*EXP(-(1/DQ114)*(AO114/CW114)^DQ114)-BI113)+(ATM_Conf!$C$5/AO301)*BI113*(BH113-BI113)</f>
        <v>#DIV/0!</v>
      </c>
      <c r="BJ114" s="53"/>
      <c r="BK114" s="53"/>
      <c r="BL114" s="53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/>
      <c r="BW114" s="53"/>
      <c r="BX114" s="53"/>
      <c r="BY114" s="53"/>
      <c r="BZ114" s="53"/>
      <c r="CA114" s="53"/>
      <c r="CB114" s="53"/>
      <c r="CC114" s="5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53"/>
      <c r="CY114" s="53"/>
      <c r="CZ114" s="53"/>
      <c r="DA114" s="53"/>
      <c r="DB114" s="53"/>
      <c r="DC114" s="53"/>
      <c r="DD114" s="53"/>
      <c r="DE114" s="53"/>
      <c r="DF114" s="53"/>
      <c r="DG114" s="53"/>
      <c r="DH114" s="53"/>
      <c r="DI114" s="53"/>
      <c r="DJ114" s="53"/>
      <c r="DK114" s="53"/>
      <c r="DL114" s="53"/>
      <c r="DM114" s="53"/>
      <c r="DN114" s="53"/>
      <c r="DO114" s="53"/>
      <c r="DP114" s="53"/>
      <c r="DQ114" s="53"/>
      <c r="DR114" s="43">
        <f t="shared" si="70"/>
        <v>0</v>
      </c>
      <c r="DS114" s="43">
        <f t="shared" si="69"/>
        <v>0</v>
      </c>
      <c r="DT114" s="43">
        <f t="shared" si="69"/>
        <v>0</v>
      </c>
      <c r="DU114" s="43">
        <f t="shared" si="69"/>
        <v>0</v>
      </c>
      <c r="DV114" s="43">
        <f t="shared" si="69"/>
        <v>0</v>
      </c>
      <c r="DW114" s="43">
        <f t="shared" si="69"/>
        <v>0</v>
      </c>
      <c r="DX114" s="43">
        <f t="shared" si="69"/>
        <v>0</v>
      </c>
      <c r="DY114" s="43">
        <f t="shared" si="69"/>
        <v>0</v>
      </c>
      <c r="DZ114" s="43">
        <f t="shared" si="69"/>
        <v>0</v>
      </c>
      <c r="EA114" s="43">
        <f t="shared" si="69"/>
        <v>0</v>
      </c>
      <c r="EB114" s="43">
        <f t="shared" si="69"/>
        <v>0</v>
      </c>
      <c r="EC114" s="43">
        <f t="shared" si="69"/>
        <v>0</v>
      </c>
      <c r="ED114" s="43">
        <f t="shared" si="69"/>
        <v>0</v>
      </c>
      <c r="EE114" s="43">
        <f t="shared" si="69"/>
        <v>0</v>
      </c>
      <c r="EF114" s="43">
        <f t="shared" si="69"/>
        <v>0</v>
      </c>
      <c r="EG114" s="43">
        <f t="shared" si="69"/>
        <v>0</v>
      </c>
      <c r="EH114" s="43">
        <f t="shared" si="69"/>
        <v>0</v>
      </c>
      <c r="EI114" s="43">
        <f t="shared" si="69"/>
        <v>0</v>
      </c>
      <c r="EJ114" s="43">
        <f t="shared" si="69"/>
        <v>0</v>
      </c>
      <c r="EK114" s="43">
        <f t="shared" si="69"/>
        <v>0</v>
      </c>
      <c r="EL114" s="47"/>
      <c r="EM114" s="47"/>
      <c r="EN114" s="47"/>
      <c r="EO114" s="47"/>
      <c r="EP114" s="47"/>
      <c r="EQ114" s="47"/>
      <c r="ER114" s="47"/>
      <c r="ES114" s="47"/>
      <c r="ET114" s="47"/>
      <c r="EU114" s="47"/>
      <c r="EV114" s="47"/>
      <c r="EW114" s="47"/>
      <c r="EX114" s="47"/>
      <c r="EY114" s="47"/>
      <c r="EZ114" s="47"/>
      <c r="FA114" s="47"/>
      <c r="FB114" s="47"/>
      <c r="FC114" s="47"/>
      <c r="FD114" s="47"/>
      <c r="FE114" s="47"/>
    </row>
    <row r="115" spans="1:161" ht="14.25" x14ac:dyDescent="0.15">
      <c r="A115" s="46"/>
      <c r="B115" s="43" t="e">
        <f t="shared" si="39"/>
        <v>#DIV/0!</v>
      </c>
      <c r="C115" s="43" t="e">
        <f t="shared" si="40"/>
        <v>#DIV/0!</v>
      </c>
      <c r="D115" s="43" t="e">
        <f t="shared" si="41"/>
        <v>#DIV/0!</v>
      </c>
      <c r="E115" s="43" t="e">
        <f t="shared" si="42"/>
        <v>#DIV/0!</v>
      </c>
      <c r="F115" s="43" t="e">
        <f t="shared" si="43"/>
        <v>#DIV/0!</v>
      </c>
      <c r="G115" s="43" t="e">
        <f t="shared" si="44"/>
        <v>#DIV/0!</v>
      </c>
      <c r="H115" s="43" t="e">
        <f t="shared" si="45"/>
        <v>#DIV/0!</v>
      </c>
      <c r="I115" s="43" t="e">
        <f t="shared" si="46"/>
        <v>#DIV/0!</v>
      </c>
      <c r="J115" s="43" t="e">
        <f t="shared" si="47"/>
        <v>#DIV/0!</v>
      </c>
      <c r="K115" s="43" t="e">
        <f t="shared" si="48"/>
        <v>#DIV/0!</v>
      </c>
      <c r="L115" s="43" t="e">
        <f t="shared" si="49"/>
        <v>#DIV/0!</v>
      </c>
      <c r="M115" s="43" t="e">
        <f t="shared" si="50"/>
        <v>#DIV/0!</v>
      </c>
      <c r="N115" s="43" t="e">
        <f t="shared" si="51"/>
        <v>#DIV/0!</v>
      </c>
      <c r="O115" s="43" t="e">
        <f t="shared" si="52"/>
        <v>#DIV/0!</v>
      </c>
      <c r="P115" s="43" t="e">
        <f t="shared" si="53"/>
        <v>#DIV/0!</v>
      </c>
      <c r="Q115" s="43" t="e">
        <f t="shared" si="54"/>
        <v>#DIV/0!</v>
      </c>
      <c r="R115" s="43" t="e">
        <f t="shared" si="55"/>
        <v>#DIV/0!</v>
      </c>
      <c r="S115" s="43" t="e">
        <f t="shared" si="56"/>
        <v>#DIV/0!</v>
      </c>
      <c r="T115" s="43" t="e">
        <f t="shared" si="57"/>
        <v>#DIV/0!</v>
      </c>
      <c r="U115" s="43" t="e">
        <f t="shared" si="58"/>
        <v>#DIV/0!</v>
      </c>
      <c r="V115" s="53" t="e">
        <f>V114+ATM_Conf!$C$5*(B114)/(B302*V302)</f>
        <v>#DIV/0!</v>
      </c>
      <c r="W115" s="53" t="e">
        <f>W114+ATM_Conf!$C$5*(C114-B114)/(C302*W302)</f>
        <v>#DIV/0!</v>
      </c>
      <c r="X115" s="53" t="e">
        <f>X114+ATM_Conf!$C$5*(D114-C114)/(D302*X302)</f>
        <v>#DIV/0!</v>
      </c>
      <c r="Y115" s="53" t="e">
        <f>Y114+ATM_Conf!$C$5*(E114-D114)/(E302*Y302)</f>
        <v>#DIV/0!</v>
      </c>
      <c r="Z115" s="53" t="e">
        <f>Z114+ATM_Conf!$C$5*(F114-E114)/(F302*Z302)</f>
        <v>#DIV/0!</v>
      </c>
      <c r="AA115" s="53" t="e">
        <f>AA114+ATM_Conf!$C$5*(G114-F114)/(G302*AA302)</f>
        <v>#DIV/0!</v>
      </c>
      <c r="AB115" s="53" t="e">
        <f>AB114+ATM_Conf!$C$5*(H114-G114)/(H302*AB302)</f>
        <v>#DIV/0!</v>
      </c>
      <c r="AC115" s="53" t="e">
        <f>AC114+ATM_Conf!$C$5*(I114-H114)/(I302*AC302)</f>
        <v>#DIV/0!</v>
      </c>
      <c r="AD115" s="53" t="e">
        <f>AD114+ATM_Conf!$C$5*(J114-I114)/(J302*AD302)</f>
        <v>#DIV/0!</v>
      </c>
      <c r="AE115" s="53" t="e">
        <f>AE114+ATM_Conf!$C$5*(K114-J114)/(K302*AE302)</f>
        <v>#DIV/0!</v>
      </c>
      <c r="AF115" s="53" t="e">
        <f>AF114+ATM_Conf!$C$5*(L114)/(L302*AF302)</f>
        <v>#DIV/0!</v>
      </c>
      <c r="AG115" s="53" t="e">
        <f>AG114+ATM_Conf!$C$5*(M114-L114)/(M302*AG302)</f>
        <v>#DIV/0!</v>
      </c>
      <c r="AH115" s="53" t="e">
        <f>AH114+ATM_Conf!$C$5*(N114-M114)/(N302*AH302)</f>
        <v>#DIV/0!</v>
      </c>
      <c r="AI115" s="53" t="e">
        <f>AI114+ATM_Conf!$C$5*(O114-N114)/(O302*AI302)</f>
        <v>#DIV/0!</v>
      </c>
      <c r="AJ115" s="53" t="e">
        <f>AJ114+ATM_Conf!$C$5*(P114-O114)/(P302*AJ302)</f>
        <v>#DIV/0!</v>
      </c>
      <c r="AK115" s="53" t="e">
        <f>AK114+ATM_Conf!$C$5*(Q114-P114)/(Q302*AK302)</f>
        <v>#DIV/0!</v>
      </c>
      <c r="AL115" s="53" t="e">
        <f>AL114+ATM_Conf!$C$5*(R114-Q114)/(R302*AL302)</f>
        <v>#DIV/0!</v>
      </c>
      <c r="AM115" s="53" t="e">
        <f>AM114+ATM_Conf!$C$5*(S114-R114)/(S302*AM302)</f>
        <v>#DIV/0!</v>
      </c>
      <c r="AN115" s="53" t="e">
        <f>AN114+ATM_Conf!$C$5*(T114-S114)/(T302*AN302)</f>
        <v>#DIV/0!</v>
      </c>
      <c r="AO115" s="53" t="e">
        <f>AO114+ATM_Conf!$C$5*(U114-T114)/(U302*AO302)</f>
        <v>#DIV/0!</v>
      </c>
      <c r="AP115" s="43" t="e">
        <f>AP114+(ATM_Conf!$C$5/ATM_Conf!$C$8)*(BJ115*EXP(-(1/CX115)*(V115/CD115)^CX115)-AP114)-(ATM_Conf!$C$5*ATM_Conf!$C$9)/(V302*ATM_Conf!$C$8)*(Nodes!BO114-V114)/(V114+ATM_Conf!$C$10)</f>
        <v>#DIV/0!</v>
      </c>
      <c r="AQ115" s="43" t="e">
        <f>AQ114+(ATM_Conf!$C$5/ATM_Conf!$C$8)*(BK115*EXP(-(1/CY115)*(W115/CE115)^CY115)-AQ114)+(ATM_Conf!$C$5/W302)*AQ114*(AP114-AQ114)-(ATM_Conf!$C$5*ATM_Conf!$C$9)/(W302*ATM_Conf!$C$8)*(X114-W114)/(W114+ATM_Conf!$C$10)</f>
        <v>#DIV/0!</v>
      </c>
      <c r="AR115" s="43" t="e">
        <f>AR114+(ATM_Conf!$C$5/ATM_Conf!$C$8)*(BL115*EXP(-(1/CZ115)*(X115/CF115)^CZ115)-AR114)+(ATM_Conf!$C$5/X302)*AR114*(Nodes!BC114-AR114)-(ATM_Conf!$C$5*ATM_Conf!$C$9)/(X302*ATM_Conf!$C$8)*(Nodes!BQ114-X114)/(X114+ATM_Conf!$C$10)</f>
        <v>#DIV/0!</v>
      </c>
      <c r="AS115" s="43" t="e">
        <f>AS114+(ATM_Conf!$C$5/ATM_Conf!$C$8)*(BM115*EXP(-(1/DA115)*(Y115/CG115)^DA115)-AS114)+(ATM_Conf!$C$5/Y302)*AS114*(AR114-AS114)-(ATM_Conf!$C$5*ATM_Conf!$C$9)/(Y302*ATM_Conf!$C$8)*(Z114-Y114)/(Y114+ATM_Conf!$C$10)</f>
        <v>#DIV/0!</v>
      </c>
      <c r="AT115" s="43" t="e">
        <f>AT114+(ATM_Conf!$C$5/ATM_Conf!$C$8)*(BN115*EXP(-(1/DB115)*(Z115/CH115)^DB115)-AT114)+(ATM_Conf!$C$5/Z302)*AT114*(Nodes!BE114-AT114)-(ATM_Conf!$C$5*ATM_Conf!$C$9)/(Z302*ATM_Conf!$C$8)*(Nodes!BS114-Z114)/(Z114+ATM_Conf!$C$10)</f>
        <v>#DIV/0!</v>
      </c>
      <c r="AU115" s="43" t="e">
        <f>AU114+(ATM_Conf!$C$5/ATM_Conf!$C$8)*(BO115*EXP(-(1/DC115)*(AA115/CI115)^DC115)-AU114)+(ATM_Conf!$C$5/AA302)*AU114*(Nodes!BF114-AU114)-(ATM_Conf!$C$5*ATM_Conf!$C$9)/(AA302*ATM_Conf!$C$8)*(Nodes!BV114-AA114)/(AA114+ATM_Conf!$C$10)</f>
        <v>#DIV/0!</v>
      </c>
      <c r="AV115" s="43" t="e">
        <f>AV114+(ATM_Conf!$C$5/ATM_Conf!$C$8)*(BP115*EXP(-(1/DD115)*(AB115/CJ115)^DD115)-AV114)+(ATM_Conf!$C$5/AB302)*AV114*(AU114-AV114)-(ATM_Conf!$C$5*ATM_Conf!$C$9)/(AB302*ATM_Conf!$C$8)*(AC114-AB114)/(AB114+ATM_Conf!$C$10)</f>
        <v>#DIV/0!</v>
      </c>
      <c r="AW115" s="43" t="e">
        <f>AW114+(ATM_Conf!$C$5/ATM_Conf!$C$8)*(BQ115*EXP(-(1/DE115)*(AC115/CK115)^DE115)-AW114)+(ATM_Conf!$C$5/AC302)*AW114*(AV114-AW114)-(ATM_Conf!$C$5*ATM_Conf!$C$9)/(AC302*ATM_Conf!$C$8)*(AD114-AC114)/(AC114+ATM_Conf!$C$10)</f>
        <v>#DIV/0!</v>
      </c>
      <c r="AX115" s="43" t="e">
        <f>AX114+(ATM_Conf!$C$5/ATM_Conf!$C$8)*(BR115*EXP(-(1/DF115)*(AD115/CL115)^DF115)-AX114)+(ATM_Conf!$C$5/AD302)*AX114*(Nodes!BG114-AX114)-(ATM_Conf!$C$5*ATM_Conf!$C$9)/(AD302*ATM_Conf!$C$8)*(Nodes!BU114-AD114)/(AD114+ATM_Conf!$C$10)</f>
        <v>#DIV/0!</v>
      </c>
      <c r="AY115" s="43" t="e">
        <f>AY114+(ATM_Conf!$C$5/ATM_Conf!$C$8)*(BS115*EXP(-(1/DG115)*(AE115/CM115)^DG115)-AY114)+(ATM_Conf!$C$5/AE302)*AY114*(Nodes!BF114-AY114)</f>
        <v>#DIV/0!</v>
      </c>
      <c r="AZ115" s="43" t="e">
        <f>AZ114+(ATM_Conf!$C$5/ATM_Conf!$C$8)*(BT115*EXP(-(1/DH115)*(AF115/CN115)^DH115)-AZ114)-(ATM_Conf!$C$5*ATM_Conf!$C$9)/(AF302*ATM_Conf!$C$8)*(Nodes!BV114-AF114)/(AF114+ATM_Conf!$C$10)</f>
        <v>#DIV/0!</v>
      </c>
      <c r="BA115" s="43" t="e">
        <f>BA114+(ATM_Conf!$C$5/ATM_Conf!$C$8)*(BU115*EXP(-(1/DI115)*(AG115/CO115)^DI115)-BA114)+(ATM_Conf!$C$5/AG302)*BA114*(Nodes!BI114-BA114)-(ATM_Conf!$C$5*ATM_Conf!$C$9)/(AG302*ATM_Conf!$C$8)*(Nodes!BW114-AG114)/(AG114+ATM_Conf!$C$10)</f>
        <v>#DIV/0!</v>
      </c>
      <c r="BB115" s="43" t="e">
        <f>BB114+(ATM_Conf!$C$5/ATM_Conf!$C$8)*(BV115*EXP(-(1/DJ115)*(AH115/CP115)^DJ115)-BB114)+(ATM_Conf!$C$5/AH302)*BB114*(Nodes!BJ114-BB114)-(ATM_Conf!$C$5*ATM_Conf!$C$9)/(AH302*ATM_Conf!$C$8)*(AI114-AH114)/(AH114+ATM_Conf!$C$10)</f>
        <v>#DIV/0!</v>
      </c>
      <c r="BC115" s="43" t="e">
        <f>BC114+(ATM_Conf!$C$5/ATM_Conf!$C$8)*(BW115*EXP(-(1/DK115)*(AI115/CQ115)^DK115)-BC114)+(ATM_Conf!$C$5/AI302)*BC114*(BB114-BC114)-(ATM_Conf!$C$5*ATM_Conf!$C$9)/(AI302*ATM_Conf!$C$8)*(AJ114-AI114)/(AI114+ATM_Conf!$C$10)</f>
        <v>#DIV/0!</v>
      </c>
      <c r="BD115" s="43" t="e">
        <f>BD114+(ATM_Conf!$C$5/ATM_Conf!$C$8)*(BX115*EXP(-(1/DL115)*(AJ115/CR115)^DL115)-BD114)+(ATM_Conf!$C$5/AJ302)*BD114*(BC114-BD114)-(ATM_Conf!$C$5*ATM_Conf!$C$9)/(AJ302*ATM_Conf!$C$8)*(Nodes!BX114-AJ114)/(AJ114+ATM_Conf!$C$10)</f>
        <v>#DIV/0!</v>
      </c>
      <c r="BE115" s="43" t="e">
        <f>BE114+(ATM_Conf!$C$5/ATM_Conf!$C$8)*(BY115*EXP(-(1/DM115)*(AK115/CS115)^DM115)-BE114)+(ATM_Conf!$C$5/AK302)*BE114*(Nodes!BK114-BE114)-(ATM_Conf!$C$5*ATM_Conf!$C$9)/(AK302*ATM_Conf!$C$8)*(Nodes!BY114-AK114)/(AK114+ATM_Conf!$C$10)</f>
        <v>#DIV/0!</v>
      </c>
      <c r="BF115" s="43" t="e">
        <f>BF114+(ATM_Conf!$C$5/ATM_Conf!$C$8)*(BZ115*EXP(-(1/DN115)*(AL115/CT115)^DN115)-BF114)+(ATM_Conf!$C$5/AL302)*BF114*(BE114-BF114)-(ATM_Conf!$C$5*ATM_Conf!$C$9)/(AL302*ATM_Conf!$C$8)*(AM114-AL114)/(AL114+ATM_Conf!$C$10)</f>
        <v>#DIV/0!</v>
      </c>
      <c r="BG115" s="43" t="e">
        <f>BG114+(ATM_Conf!$C$5/ATM_Conf!$C$8)*(CA115*EXP(-(1/DO115)*(AM115/CU115)^DO115)-BG114)+(ATM_Conf!$C$5/AM302)*BG114*(Nodes!BM114-BG114)-(ATM_Conf!$C$5*ATM_Conf!$C$9)/(AM302*ATM_Conf!$C$8)*(Nodes!CA114-AM114)/(AM114+ATM_Conf!$C$10)</f>
        <v>#DIV/0!</v>
      </c>
      <c r="BH115" s="43" t="e">
        <f>BH114+(ATM_Conf!$C$5/ATM_Conf!$C$8)*(CB115*EXP(-(1/DP115)*(AN115/CV115)^DP115)-BH114)+(ATM_Conf!$C$5/AN302)*BH114*(BG114-BH114)-(ATM_Conf!$C$5*ATM_Conf!$C$9)/(AN302*ATM_Conf!$C$8)*(AO114-AN114)/(AN114+ATM_Conf!$C$10)</f>
        <v>#DIV/0!</v>
      </c>
      <c r="BI115" s="43" t="e">
        <f>BI114+(ATM_Conf!$C$5/ATM_Conf!$C$8)*(CC115*EXP(-(1/DQ115)*(AO115/CW115)^DQ115)-BI114)+(ATM_Conf!$C$5/AO302)*BI114*(BH114-BI114)</f>
        <v>#DIV/0!</v>
      </c>
      <c r="BJ115" s="53"/>
      <c r="BK115" s="53"/>
      <c r="BL115" s="53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/>
      <c r="BW115" s="53"/>
      <c r="BX115" s="53"/>
      <c r="BY115" s="53"/>
      <c r="BZ115" s="53"/>
      <c r="CA115" s="53"/>
      <c r="CB115" s="53"/>
      <c r="CC115" s="5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53"/>
      <c r="CY115" s="53"/>
      <c r="CZ115" s="53"/>
      <c r="DA115" s="53"/>
      <c r="DB115" s="53"/>
      <c r="DC115" s="53"/>
      <c r="DD115" s="53"/>
      <c r="DE115" s="53"/>
      <c r="DF115" s="53"/>
      <c r="DG115" s="53"/>
      <c r="DH115" s="53"/>
      <c r="DI115" s="53"/>
      <c r="DJ115" s="53"/>
      <c r="DK115" s="53"/>
      <c r="DL115" s="53"/>
      <c r="DM115" s="53"/>
      <c r="DN115" s="53"/>
      <c r="DO115" s="53"/>
      <c r="DP115" s="53"/>
      <c r="DQ115" s="53"/>
      <c r="DR115" s="43">
        <f t="shared" si="70"/>
        <v>0</v>
      </c>
      <c r="DS115" s="43">
        <f t="shared" si="69"/>
        <v>0</v>
      </c>
      <c r="DT115" s="43">
        <f t="shared" si="69"/>
        <v>0</v>
      </c>
      <c r="DU115" s="43">
        <f t="shared" si="69"/>
        <v>0</v>
      </c>
      <c r="DV115" s="43">
        <f t="shared" si="69"/>
        <v>0</v>
      </c>
      <c r="DW115" s="43">
        <f t="shared" si="69"/>
        <v>0</v>
      </c>
      <c r="DX115" s="43">
        <f t="shared" si="69"/>
        <v>0</v>
      </c>
      <c r="DY115" s="43">
        <f t="shared" si="69"/>
        <v>0</v>
      </c>
      <c r="DZ115" s="43">
        <f t="shared" si="69"/>
        <v>0</v>
      </c>
      <c r="EA115" s="43">
        <f t="shared" si="69"/>
        <v>0</v>
      </c>
      <c r="EB115" s="43">
        <f t="shared" si="69"/>
        <v>0</v>
      </c>
      <c r="EC115" s="43">
        <f t="shared" si="69"/>
        <v>0</v>
      </c>
      <c r="ED115" s="43">
        <f t="shared" si="69"/>
        <v>0</v>
      </c>
      <c r="EE115" s="43">
        <f t="shared" si="69"/>
        <v>0</v>
      </c>
      <c r="EF115" s="43">
        <f t="shared" si="69"/>
        <v>0</v>
      </c>
      <c r="EG115" s="43">
        <f t="shared" si="69"/>
        <v>0</v>
      </c>
      <c r="EH115" s="43">
        <f t="shared" si="69"/>
        <v>0</v>
      </c>
      <c r="EI115" s="43">
        <f t="shared" si="69"/>
        <v>0</v>
      </c>
      <c r="EJ115" s="43">
        <f t="shared" si="69"/>
        <v>0</v>
      </c>
      <c r="EK115" s="43">
        <f t="shared" si="69"/>
        <v>0</v>
      </c>
      <c r="EL115" s="47"/>
      <c r="EM115" s="47"/>
      <c r="EN115" s="47"/>
      <c r="EO115" s="47"/>
      <c r="EP115" s="47"/>
      <c r="EQ115" s="47"/>
      <c r="ER115" s="47"/>
      <c r="ES115" s="47"/>
      <c r="ET115" s="47"/>
      <c r="EU115" s="47"/>
      <c r="EV115" s="47"/>
      <c r="EW115" s="47"/>
      <c r="EX115" s="47"/>
      <c r="EY115" s="47"/>
      <c r="EZ115" s="47"/>
      <c r="FA115" s="47"/>
      <c r="FB115" s="47"/>
      <c r="FC115" s="47"/>
      <c r="FD115" s="47"/>
      <c r="FE115" s="47"/>
    </row>
    <row r="116" spans="1:161" ht="14.25" x14ac:dyDescent="0.15">
      <c r="A116" s="46"/>
      <c r="B116" s="43" t="e">
        <f t="shared" si="39"/>
        <v>#DIV/0!</v>
      </c>
      <c r="C116" s="43" t="e">
        <f t="shared" si="40"/>
        <v>#DIV/0!</v>
      </c>
      <c r="D116" s="43" t="e">
        <f t="shared" si="41"/>
        <v>#DIV/0!</v>
      </c>
      <c r="E116" s="43" t="e">
        <f t="shared" si="42"/>
        <v>#DIV/0!</v>
      </c>
      <c r="F116" s="43" t="e">
        <f t="shared" si="43"/>
        <v>#DIV/0!</v>
      </c>
      <c r="G116" s="43" t="e">
        <f t="shared" si="44"/>
        <v>#DIV/0!</v>
      </c>
      <c r="H116" s="43" t="e">
        <f t="shared" si="45"/>
        <v>#DIV/0!</v>
      </c>
      <c r="I116" s="43" t="e">
        <f t="shared" si="46"/>
        <v>#DIV/0!</v>
      </c>
      <c r="J116" s="43" t="e">
        <f t="shared" si="47"/>
        <v>#DIV/0!</v>
      </c>
      <c r="K116" s="43" t="e">
        <f t="shared" si="48"/>
        <v>#DIV/0!</v>
      </c>
      <c r="L116" s="43" t="e">
        <f t="shared" si="49"/>
        <v>#DIV/0!</v>
      </c>
      <c r="M116" s="43" t="e">
        <f t="shared" si="50"/>
        <v>#DIV/0!</v>
      </c>
      <c r="N116" s="43" t="e">
        <f t="shared" si="51"/>
        <v>#DIV/0!</v>
      </c>
      <c r="O116" s="43" t="e">
        <f t="shared" si="52"/>
        <v>#DIV/0!</v>
      </c>
      <c r="P116" s="43" t="e">
        <f t="shared" si="53"/>
        <v>#DIV/0!</v>
      </c>
      <c r="Q116" s="43" t="e">
        <f t="shared" si="54"/>
        <v>#DIV/0!</v>
      </c>
      <c r="R116" s="43" t="e">
        <f t="shared" si="55"/>
        <v>#DIV/0!</v>
      </c>
      <c r="S116" s="43" t="e">
        <f t="shared" si="56"/>
        <v>#DIV/0!</v>
      </c>
      <c r="T116" s="43" t="e">
        <f t="shared" si="57"/>
        <v>#DIV/0!</v>
      </c>
      <c r="U116" s="43" t="e">
        <f t="shared" si="58"/>
        <v>#DIV/0!</v>
      </c>
      <c r="V116" s="53" t="e">
        <f>V115+ATM_Conf!$C$5*(B115)/(B303*V303)</f>
        <v>#DIV/0!</v>
      </c>
      <c r="W116" s="53" t="e">
        <f>W115+ATM_Conf!$C$5*(C115-B115)/(C303*W303)</f>
        <v>#DIV/0!</v>
      </c>
      <c r="X116" s="53" t="e">
        <f>X115+ATM_Conf!$C$5*(D115-C115)/(D303*X303)</f>
        <v>#DIV/0!</v>
      </c>
      <c r="Y116" s="53" t="e">
        <f>Y115+ATM_Conf!$C$5*(E115-D115)/(E303*Y303)</f>
        <v>#DIV/0!</v>
      </c>
      <c r="Z116" s="53" t="e">
        <f>Z115+ATM_Conf!$C$5*(F115-E115)/(F303*Z303)</f>
        <v>#DIV/0!</v>
      </c>
      <c r="AA116" s="53" t="e">
        <f>AA115+ATM_Conf!$C$5*(G115-F115)/(G303*AA303)</f>
        <v>#DIV/0!</v>
      </c>
      <c r="AB116" s="53" t="e">
        <f>AB115+ATM_Conf!$C$5*(H115-G115)/(H303*AB303)</f>
        <v>#DIV/0!</v>
      </c>
      <c r="AC116" s="53" t="e">
        <f>AC115+ATM_Conf!$C$5*(I115-H115)/(I303*AC303)</f>
        <v>#DIV/0!</v>
      </c>
      <c r="AD116" s="53" t="e">
        <f>AD115+ATM_Conf!$C$5*(J115-I115)/(J303*AD303)</f>
        <v>#DIV/0!</v>
      </c>
      <c r="AE116" s="53" t="e">
        <f>AE115+ATM_Conf!$C$5*(K115-J115)/(K303*AE303)</f>
        <v>#DIV/0!</v>
      </c>
      <c r="AF116" s="53" t="e">
        <f>AF115+ATM_Conf!$C$5*(L115)/(L303*AF303)</f>
        <v>#DIV/0!</v>
      </c>
      <c r="AG116" s="53" t="e">
        <f>AG115+ATM_Conf!$C$5*(M115-L115)/(M303*AG303)</f>
        <v>#DIV/0!</v>
      </c>
      <c r="AH116" s="53" t="e">
        <f>AH115+ATM_Conf!$C$5*(N115-M115)/(N303*AH303)</f>
        <v>#DIV/0!</v>
      </c>
      <c r="AI116" s="53" t="e">
        <f>AI115+ATM_Conf!$C$5*(O115-N115)/(O303*AI303)</f>
        <v>#DIV/0!</v>
      </c>
      <c r="AJ116" s="53" t="e">
        <f>AJ115+ATM_Conf!$C$5*(P115-O115)/(P303*AJ303)</f>
        <v>#DIV/0!</v>
      </c>
      <c r="AK116" s="53" t="e">
        <f>AK115+ATM_Conf!$C$5*(Q115-P115)/(Q303*AK303)</f>
        <v>#DIV/0!</v>
      </c>
      <c r="AL116" s="53" t="e">
        <f>AL115+ATM_Conf!$C$5*(R115-Q115)/(R303*AL303)</f>
        <v>#DIV/0!</v>
      </c>
      <c r="AM116" s="53" t="e">
        <f>AM115+ATM_Conf!$C$5*(S115-R115)/(S303*AM303)</f>
        <v>#DIV/0!</v>
      </c>
      <c r="AN116" s="53" t="e">
        <f>AN115+ATM_Conf!$C$5*(T115-S115)/(T303*AN303)</f>
        <v>#DIV/0!</v>
      </c>
      <c r="AO116" s="53" t="e">
        <f>AO115+ATM_Conf!$C$5*(U115-T115)/(U303*AO303)</f>
        <v>#DIV/0!</v>
      </c>
      <c r="AP116" s="43" t="e">
        <f>AP115+(ATM_Conf!$C$5/ATM_Conf!$C$8)*(BJ116*EXP(-(1/CX116)*(V116/CD116)^CX116)-AP115)-(ATM_Conf!$C$5*ATM_Conf!$C$9)/(V303*ATM_Conf!$C$8)*(Nodes!BO115-V115)/(V115+ATM_Conf!$C$10)</f>
        <v>#DIV/0!</v>
      </c>
      <c r="AQ116" s="43" t="e">
        <f>AQ115+(ATM_Conf!$C$5/ATM_Conf!$C$8)*(BK116*EXP(-(1/CY116)*(W116/CE116)^CY116)-AQ115)+(ATM_Conf!$C$5/W303)*AQ115*(AP115-AQ115)-(ATM_Conf!$C$5*ATM_Conf!$C$9)/(W303*ATM_Conf!$C$8)*(X115-W115)/(W115+ATM_Conf!$C$10)</f>
        <v>#DIV/0!</v>
      </c>
      <c r="AR116" s="43" t="e">
        <f>AR115+(ATM_Conf!$C$5/ATM_Conf!$C$8)*(BL116*EXP(-(1/CZ116)*(X116/CF116)^CZ116)-AR115)+(ATM_Conf!$C$5/X303)*AR115*(Nodes!BC115-AR115)-(ATM_Conf!$C$5*ATM_Conf!$C$9)/(X303*ATM_Conf!$C$8)*(Nodes!BQ115-X115)/(X115+ATM_Conf!$C$10)</f>
        <v>#DIV/0!</v>
      </c>
      <c r="AS116" s="43" t="e">
        <f>AS115+(ATM_Conf!$C$5/ATM_Conf!$C$8)*(BM116*EXP(-(1/DA116)*(Y116/CG116)^DA116)-AS115)+(ATM_Conf!$C$5/Y303)*AS115*(AR115-AS115)-(ATM_Conf!$C$5*ATM_Conf!$C$9)/(Y303*ATM_Conf!$C$8)*(Z115-Y115)/(Y115+ATM_Conf!$C$10)</f>
        <v>#DIV/0!</v>
      </c>
      <c r="AT116" s="43" t="e">
        <f>AT115+(ATM_Conf!$C$5/ATM_Conf!$C$8)*(BN116*EXP(-(1/DB116)*(Z116/CH116)^DB116)-AT115)+(ATM_Conf!$C$5/Z303)*AT115*(Nodes!BE115-AT115)-(ATM_Conf!$C$5*ATM_Conf!$C$9)/(Z303*ATM_Conf!$C$8)*(Nodes!BS115-Z115)/(Z115+ATM_Conf!$C$10)</f>
        <v>#DIV/0!</v>
      </c>
      <c r="AU116" s="43" t="e">
        <f>AU115+(ATM_Conf!$C$5/ATM_Conf!$C$8)*(BO116*EXP(-(1/DC116)*(AA116/CI116)^DC116)-AU115)+(ATM_Conf!$C$5/AA303)*AU115*(Nodes!BF115-AU115)-(ATM_Conf!$C$5*ATM_Conf!$C$9)/(AA303*ATM_Conf!$C$8)*(Nodes!BV115-AA115)/(AA115+ATM_Conf!$C$10)</f>
        <v>#DIV/0!</v>
      </c>
      <c r="AV116" s="43" t="e">
        <f>AV115+(ATM_Conf!$C$5/ATM_Conf!$C$8)*(BP116*EXP(-(1/DD116)*(AB116/CJ116)^DD116)-AV115)+(ATM_Conf!$C$5/AB303)*AV115*(AU115-AV115)-(ATM_Conf!$C$5*ATM_Conf!$C$9)/(AB303*ATM_Conf!$C$8)*(AC115-AB115)/(AB115+ATM_Conf!$C$10)</f>
        <v>#DIV/0!</v>
      </c>
      <c r="AW116" s="43" t="e">
        <f>AW115+(ATM_Conf!$C$5/ATM_Conf!$C$8)*(BQ116*EXP(-(1/DE116)*(AC116/CK116)^DE116)-AW115)+(ATM_Conf!$C$5/AC303)*AW115*(AV115-AW115)-(ATM_Conf!$C$5*ATM_Conf!$C$9)/(AC303*ATM_Conf!$C$8)*(AD115-AC115)/(AC115+ATM_Conf!$C$10)</f>
        <v>#DIV/0!</v>
      </c>
      <c r="AX116" s="43" t="e">
        <f>AX115+(ATM_Conf!$C$5/ATM_Conf!$C$8)*(BR116*EXP(-(1/DF116)*(AD116/CL116)^DF116)-AX115)+(ATM_Conf!$C$5/AD303)*AX115*(Nodes!BG115-AX115)-(ATM_Conf!$C$5*ATM_Conf!$C$9)/(AD303*ATM_Conf!$C$8)*(Nodes!BU115-AD115)/(AD115+ATM_Conf!$C$10)</f>
        <v>#DIV/0!</v>
      </c>
      <c r="AY116" s="43" t="e">
        <f>AY115+(ATM_Conf!$C$5/ATM_Conf!$C$8)*(BS116*EXP(-(1/DG116)*(AE116/CM116)^DG116)-AY115)+(ATM_Conf!$C$5/AE303)*AY115*(Nodes!BF115-AY115)</f>
        <v>#DIV/0!</v>
      </c>
      <c r="AZ116" s="43" t="e">
        <f>AZ115+(ATM_Conf!$C$5/ATM_Conf!$C$8)*(BT116*EXP(-(1/DH116)*(AF116/CN116)^DH116)-AZ115)-(ATM_Conf!$C$5*ATM_Conf!$C$9)/(AF303*ATM_Conf!$C$8)*(Nodes!BV115-AF115)/(AF115+ATM_Conf!$C$10)</f>
        <v>#DIV/0!</v>
      </c>
      <c r="BA116" s="43" t="e">
        <f>BA115+(ATM_Conf!$C$5/ATM_Conf!$C$8)*(BU116*EXP(-(1/DI116)*(AG116/CO116)^DI116)-BA115)+(ATM_Conf!$C$5/AG303)*BA115*(Nodes!BI115-BA115)-(ATM_Conf!$C$5*ATM_Conf!$C$9)/(AG303*ATM_Conf!$C$8)*(Nodes!BW115-AG115)/(AG115+ATM_Conf!$C$10)</f>
        <v>#DIV/0!</v>
      </c>
      <c r="BB116" s="43" t="e">
        <f>BB115+(ATM_Conf!$C$5/ATM_Conf!$C$8)*(BV116*EXP(-(1/DJ116)*(AH116/CP116)^DJ116)-BB115)+(ATM_Conf!$C$5/AH303)*BB115*(Nodes!BJ115-BB115)-(ATM_Conf!$C$5*ATM_Conf!$C$9)/(AH303*ATM_Conf!$C$8)*(AI115-AH115)/(AH115+ATM_Conf!$C$10)</f>
        <v>#DIV/0!</v>
      </c>
      <c r="BC116" s="43" t="e">
        <f>BC115+(ATM_Conf!$C$5/ATM_Conf!$C$8)*(BW116*EXP(-(1/DK116)*(AI116/CQ116)^DK116)-BC115)+(ATM_Conf!$C$5/AI303)*BC115*(BB115-BC115)-(ATM_Conf!$C$5*ATM_Conf!$C$9)/(AI303*ATM_Conf!$C$8)*(AJ115-AI115)/(AI115+ATM_Conf!$C$10)</f>
        <v>#DIV/0!</v>
      </c>
      <c r="BD116" s="43" t="e">
        <f>BD115+(ATM_Conf!$C$5/ATM_Conf!$C$8)*(BX116*EXP(-(1/DL116)*(AJ116/CR116)^DL116)-BD115)+(ATM_Conf!$C$5/AJ303)*BD115*(BC115-BD115)-(ATM_Conf!$C$5*ATM_Conf!$C$9)/(AJ303*ATM_Conf!$C$8)*(Nodes!BX115-AJ115)/(AJ115+ATM_Conf!$C$10)</f>
        <v>#DIV/0!</v>
      </c>
      <c r="BE116" s="43" t="e">
        <f>BE115+(ATM_Conf!$C$5/ATM_Conf!$C$8)*(BY116*EXP(-(1/DM116)*(AK116/CS116)^DM116)-BE115)+(ATM_Conf!$C$5/AK303)*BE115*(Nodes!BK115-BE115)-(ATM_Conf!$C$5*ATM_Conf!$C$9)/(AK303*ATM_Conf!$C$8)*(Nodes!BY115-AK115)/(AK115+ATM_Conf!$C$10)</f>
        <v>#DIV/0!</v>
      </c>
      <c r="BF116" s="43" t="e">
        <f>BF115+(ATM_Conf!$C$5/ATM_Conf!$C$8)*(BZ116*EXP(-(1/DN116)*(AL116/CT116)^DN116)-BF115)+(ATM_Conf!$C$5/AL303)*BF115*(BE115-BF115)-(ATM_Conf!$C$5*ATM_Conf!$C$9)/(AL303*ATM_Conf!$C$8)*(AM115-AL115)/(AL115+ATM_Conf!$C$10)</f>
        <v>#DIV/0!</v>
      </c>
      <c r="BG116" s="43" t="e">
        <f>BG115+(ATM_Conf!$C$5/ATM_Conf!$C$8)*(CA116*EXP(-(1/DO116)*(AM116/CU116)^DO116)-BG115)+(ATM_Conf!$C$5/AM303)*BG115*(Nodes!BM115-BG115)-(ATM_Conf!$C$5*ATM_Conf!$C$9)/(AM303*ATM_Conf!$C$8)*(Nodes!CA115-AM115)/(AM115+ATM_Conf!$C$10)</f>
        <v>#DIV/0!</v>
      </c>
      <c r="BH116" s="43" t="e">
        <f>BH115+(ATM_Conf!$C$5/ATM_Conf!$C$8)*(CB116*EXP(-(1/DP116)*(AN116/CV116)^DP116)-BH115)+(ATM_Conf!$C$5/AN303)*BH115*(BG115-BH115)-(ATM_Conf!$C$5*ATM_Conf!$C$9)/(AN303*ATM_Conf!$C$8)*(AO115-AN115)/(AN115+ATM_Conf!$C$10)</f>
        <v>#DIV/0!</v>
      </c>
      <c r="BI116" s="43" t="e">
        <f>BI115+(ATM_Conf!$C$5/ATM_Conf!$C$8)*(CC116*EXP(-(1/DQ116)*(AO116/CW116)^DQ116)-BI115)+(ATM_Conf!$C$5/AO303)*BI115*(BH115-BI115)</f>
        <v>#DIV/0!</v>
      </c>
      <c r="BJ116" s="53"/>
      <c r="BK116" s="53"/>
      <c r="BL116" s="53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/>
      <c r="BW116" s="53"/>
      <c r="BX116" s="53"/>
      <c r="BY116" s="53"/>
      <c r="BZ116" s="53"/>
      <c r="CA116" s="53"/>
      <c r="CB116" s="53"/>
      <c r="CC116" s="5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53"/>
      <c r="CY116" s="53"/>
      <c r="CZ116" s="53"/>
      <c r="DA116" s="53"/>
      <c r="DB116" s="53"/>
      <c r="DC116" s="53"/>
      <c r="DD116" s="53"/>
      <c r="DE116" s="53"/>
      <c r="DF116" s="53"/>
      <c r="DG116" s="53"/>
      <c r="DH116" s="53"/>
      <c r="DI116" s="53"/>
      <c r="DJ116" s="53"/>
      <c r="DK116" s="53"/>
      <c r="DL116" s="53"/>
      <c r="DM116" s="53"/>
      <c r="DN116" s="53"/>
      <c r="DO116" s="53"/>
      <c r="DP116" s="53"/>
      <c r="DQ116" s="53"/>
      <c r="DR116" s="43">
        <f t="shared" si="70"/>
        <v>0</v>
      </c>
      <c r="DS116" s="43">
        <f t="shared" si="69"/>
        <v>0</v>
      </c>
      <c r="DT116" s="43">
        <f t="shared" si="69"/>
        <v>0</v>
      </c>
      <c r="DU116" s="43">
        <f t="shared" si="69"/>
        <v>0</v>
      </c>
      <c r="DV116" s="43">
        <f t="shared" si="69"/>
        <v>0</v>
      </c>
      <c r="DW116" s="43">
        <f t="shared" si="69"/>
        <v>0</v>
      </c>
      <c r="DX116" s="43">
        <f t="shared" si="69"/>
        <v>0</v>
      </c>
      <c r="DY116" s="43">
        <f t="shared" si="69"/>
        <v>0</v>
      </c>
      <c r="DZ116" s="43">
        <f t="shared" si="69"/>
        <v>0</v>
      </c>
      <c r="EA116" s="43">
        <f t="shared" si="69"/>
        <v>0</v>
      </c>
      <c r="EB116" s="43">
        <f t="shared" si="69"/>
        <v>0</v>
      </c>
      <c r="EC116" s="43">
        <f t="shared" si="69"/>
        <v>0</v>
      </c>
      <c r="ED116" s="43">
        <f t="shared" si="69"/>
        <v>0</v>
      </c>
      <c r="EE116" s="43">
        <f t="shared" si="69"/>
        <v>0</v>
      </c>
      <c r="EF116" s="43">
        <f t="shared" si="69"/>
        <v>0</v>
      </c>
      <c r="EG116" s="43">
        <f t="shared" si="69"/>
        <v>0</v>
      </c>
      <c r="EH116" s="43">
        <f t="shared" si="69"/>
        <v>0</v>
      </c>
      <c r="EI116" s="43">
        <f t="shared" si="69"/>
        <v>0</v>
      </c>
      <c r="EJ116" s="43">
        <f t="shared" si="69"/>
        <v>0</v>
      </c>
      <c r="EK116" s="43">
        <f t="shared" si="69"/>
        <v>0</v>
      </c>
      <c r="EL116" s="47"/>
      <c r="EM116" s="47"/>
      <c r="EN116" s="47"/>
      <c r="EO116" s="47"/>
      <c r="EP116" s="47"/>
      <c r="EQ116" s="47"/>
      <c r="ER116" s="47"/>
      <c r="ES116" s="47"/>
      <c r="ET116" s="47"/>
      <c r="EU116" s="47"/>
      <c r="EV116" s="47"/>
      <c r="EW116" s="47"/>
      <c r="EX116" s="47"/>
      <c r="EY116" s="47"/>
      <c r="EZ116" s="47"/>
      <c r="FA116" s="47"/>
      <c r="FB116" s="47"/>
      <c r="FC116" s="47"/>
      <c r="FD116" s="47"/>
      <c r="FE116" s="47"/>
    </row>
    <row r="117" spans="1:161" ht="14.25" x14ac:dyDescent="0.15">
      <c r="A117" s="46"/>
      <c r="B117" s="43" t="e">
        <f t="shared" si="39"/>
        <v>#DIV/0!</v>
      </c>
      <c r="C117" s="43" t="e">
        <f t="shared" si="40"/>
        <v>#DIV/0!</v>
      </c>
      <c r="D117" s="43" t="e">
        <f t="shared" si="41"/>
        <v>#DIV/0!</v>
      </c>
      <c r="E117" s="43" t="e">
        <f t="shared" si="42"/>
        <v>#DIV/0!</v>
      </c>
      <c r="F117" s="43" t="e">
        <f t="shared" si="43"/>
        <v>#DIV/0!</v>
      </c>
      <c r="G117" s="43" t="e">
        <f t="shared" si="44"/>
        <v>#DIV/0!</v>
      </c>
      <c r="H117" s="43" t="e">
        <f t="shared" si="45"/>
        <v>#DIV/0!</v>
      </c>
      <c r="I117" s="43" t="e">
        <f t="shared" si="46"/>
        <v>#DIV/0!</v>
      </c>
      <c r="J117" s="43" t="e">
        <f t="shared" si="47"/>
        <v>#DIV/0!</v>
      </c>
      <c r="K117" s="43" t="e">
        <f t="shared" si="48"/>
        <v>#DIV/0!</v>
      </c>
      <c r="L117" s="43" t="e">
        <f t="shared" si="49"/>
        <v>#DIV/0!</v>
      </c>
      <c r="M117" s="43" t="e">
        <f t="shared" si="50"/>
        <v>#DIV/0!</v>
      </c>
      <c r="N117" s="43" t="e">
        <f t="shared" si="51"/>
        <v>#DIV/0!</v>
      </c>
      <c r="O117" s="43" t="e">
        <f t="shared" si="52"/>
        <v>#DIV/0!</v>
      </c>
      <c r="P117" s="43" t="e">
        <f t="shared" si="53"/>
        <v>#DIV/0!</v>
      </c>
      <c r="Q117" s="43" t="e">
        <f t="shared" si="54"/>
        <v>#DIV/0!</v>
      </c>
      <c r="R117" s="43" t="e">
        <f t="shared" si="55"/>
        <v>#DIV/0!</v>
      </c>
      <c r="S117" s="43" t="e">
        <f t="shared" si="56"/>
        <v>#DIV/0!</v>
      </c>
      <c r="T117" s="43" t="e">
        <f t="shared" si="57"/>
        <v>#DIV/0!</v>
      </c>
      <c r="U117" s="43" t="e">
        <f t="shared" si="58"/>
        <v>#DIV/0!</v>
      </c>
      <c r="V117" s="53" t="e">
        <f>V116+ATM_Conf!$C$5*(B116)/(B304*V304)</f>
        <v>#DIV/0!</v>
      </c>
      <c r="W117" s="53" t="e">
        <f>W116+ATM_Conf!$C$5*(C116-B116)/(C304*W304)</f>
        <v>#DIV/0!</v>
      </c>
      <c r="X117" s="53" t="e">
        <f>X116+ATM_Conf!$C$5*(D116-C116)/(D304*X304)</f>
        <v>#DIV/0!</v>
      </c>
      <c r="Y117" s="53" t="e">
        <f>Y116+ATM_Conf!$C$5*(E116-D116)/(E304*Y304)</f>
        <v>#DIV/0!</v>
      </c>
      <c r="Z117" s="53" t="e">
        <f>Z116+ATM_Conf!$C$5*(F116-E116)/(F304*Z304)</f>
        <v>#DIV/0!</v>
      </c>
      <c r="AA117" s="53" t="e">
        <f>AA116+ATM_Conf!$C$5*(G116-F116)/(G304*AA304)</f>
        <v>#DIV/0!</v>
      </c>
      <c r="AB117" s="53" t="e">
        <f>AB116+ATM_Conf!$C$5*(H116-G116)/(H304*AB304)</f>
        <v>#DIV/0!</v>
      </c>
      <c r="AC117" s="53" t="e">
        <f>AC116+ATM_Conf!$C$5*(I116-H116)/(I304*AC304)</f>
        <v>#DIV/0!</v>
      </c>
      <c r="AD117" s="53" t="e">
        <f>AD116+ATM_Conf!$C$5*(J116-I116)/(J304*AD304)</f>
        <v>#DIV/0!</v>
      </c>
      <c r="AE117" s="53" t="e">
        <f>AE116+ATM_Conf!$C$5*(K116-J116)/(K304*AE304)</f>
        <v>#DIV/0!</v>
      </c>
      <c r="AF117" s="53" t="e">
        <f>AF116+ATM_Conf!$C$5*(L116)/(L304*AF304)</f>
        <v>#DIV/0!</v>
      </c>
      <c r="AG117" s="53" t="e">
        <f>AG116+ATM_Conf!$C$5*(M116-L116)/(M304*AG304)</f>
        <v>#DIV/0!</v>
      </c>
      <c r="AH117" s="53" t="e">
        <f>AH116+ATM_Conf!$C$5*(N116-M116)/(N304*AH304)</f>
        <v>#DIV/0!</v>
      </c>
      <c r="AI117" s="53" t="e">
        <f>AI116+ATM_Conf!$C$5*(O116-N116)/(O304*AI304)</f>
        <v>#DIV/0!</v>
      </c>
      <c r="AJ117" s="53" t="e">
        <f>AJ116+ATM_Conf!$C$5*(P116-O116)/(P304*AJ304)</f>
        <v>#DIV/0!</v>
      </c>
      <c r="AK117" s="53" t="e">
        <f>AK116+ATM_Conf!$C$5*(Q116-P116)/(Q304*AK304)</f>
        <v>#DIV/0!</v>
      </c>
      <c r="AL117" s="53" t="e">
        <f>AL116+ATM_Conf!$C$5*(R116-Q116)/(R304*AL304)</f>
        <v>#DIV/0!</v>
      </c>
      <c r="AM117" s="53" t="e">
        <f>AM116+ATM_Conf!$C$5*(S116-R116)/(S304*AM304)</f>
        <v>#DIV/0!</v>
      </c>
      <c r="AN117" s="53" t="e">
        <f>AN116+ATM_Conf!$C$5*(T116-S116)/(T304*AN304)</f>
        <v>#DIV/0!</v>
      </c>
      <c r="AO117" s="53" t="e">
        <f>AO116+ATM_Conf!$C$5*(U116-T116)/(U304*AO304)</f>
        <v>#DIV/0!</v>
      </c>
      <c r="AP117" s="43" t="e">
        <f>AP116+(ATM_Conf!$C$5/ATM_Conf!$C$8)*(BJ117*EXP(-(1/CX117)*(V117/CD117)^CX117)-AP116)-(ATM_Conf!$C$5*ATM_Conf!$C$9)/(V304*ATM_Conf!$C$8)*(Nodes!BO116-V116)/(V116+ATM_Conf!$C$10)</f>
        <v>#DIV/0!</v>
      </c>
      <c r="AQ117" s="43" t="e">
        <f>AQ116+(ATM_Conf!$C$5/ATM_Conf!$C$8)*(BK117*EXP(-(1/CY117)*(W117/CE117)^CY117)-AQ116)+(ATM_Conf!$C$5/W304)*AQ116*(AP116-AQ116)-(ATM_Conf!$C$5*ATM_Conf!$C$9)/(W304*ATM_Conf!$C$8)*(X116-W116)/(W116+ATM_Conf!$C$10)</f>
        <v>#DIV/0!</v>
      </c>
      <c r="AR117" s="43" t="e">
        <f>AR116+(ATM_Conf!$C$5/ATM_Conf!$C$8)*(BL117*EXP(-(1/CZ117)*(X117/CF117)^CZ117)-AR116)+(ATM_Conf!$C$5/X304)*AR116*(Nodes!BC116-AR116)-(ATM_Conf!$C$5*ATM_Conf!$C$9)/(X304*ATM_Conf!$C$8)*(Nodes!BQ116-X116)/(X116+ATM_Conf!$C$10)</f>
        <v>#DIV/0!</v>
      </c>
      <c r="AS117" s="43" t="e">
        <f>AS116+(ATM_Conf!$C$5/ATM_Conf!$C$8)*(BM117*EXP(-(1/DA117)*(Y117/CG117)^DA117)-AS116)+(ATM_Conf!$C$5/Y304)*AS116*(AR116-AS116)-(ATM_Conf!$C$5*ATM_Conf!$C$9)/(Y304*ATM_Conf!$C$8)*(Z116-Y116)/(Y116+ATM_Conf!$C$10)</f>
        <v>#DIV/0!</v>
      </c>
      <c r="AT117" s="43" t="e">
        <f>AT116+(ATM_Conf!$C$5/ATM_Conf!$C$8)*(BN117*EXP(-(1/DB117)*(Z117/CH117)^DB117)-AT116)+(ATM_Conf!$C$5/Z304)*AT116*(Nodes!BE116-AT116)-(ATM_Conf!$C$5*ATM_Conf!$C$9)/(Z304*ATM_Conf!$C$8)*(Nodes!BS116-Z116)/(Z116+ATM_Conf!$C$10)</f>
        <v>#DIV/0!</v>
      </c>
      <c r="AU117" s="43" t="e">
        <f>AU116+(ATM_Conf!$C$5/ATM_Conf!$C$8)*(BO117*EXP(-(1/DC117)*(AA117/CI117)^DC117)-AU116)+(ATM_Conf!$C$5/AA304)*AU116*(Nodes!BF116-AU116)-(ATM_Conf!$C$5*ATM_Conf!$C$9)/(AA304*ATM_Conf!$C$8)*(Nodes!BV116-AA116)/(AA116+ATM_Conf!$C$10)</f>
        <v>#DIV/0!</v>
      </c>
      <c r="AV117" s="43" t="e">
        <f>AV116+(ATM_Conf!$C$5/ATM_Conf!$C$8)*(BP117*EXP(-(1/DD117)*(AB117/CJ117)^DD117)-AV116)+(ATM_Conf!$C$5/AB304)*AV116*(AU116-AV116)-(ATM_Conf!$C$5*ATM_Conf!$C$9)/(AB304*ATM_Conf!$C$8)*(AC116-AB116)/(AB116+ATM_Conf!$C$10)</f>
        <v>#DIV/0!</v>
      </c>
      <c r="AW117" s="43" t="e">
        <f>AW116+(ATM_Conf!$C$5/ATM_Conf!$C$8)*(BQ117*EXP(-(1/DE117)*(AC117/CK117)^DE117)-AW116)+(ATM_Conf!$C$5/AC304)*AW116*(AV116-AW116)-(ATM_Conf!$C$5*ATM_Conf!$C$9)/(AC304*ATM_Conf!$C$8)*(AD116-AC116)/(AC116+ATM_Conf!$C$10)</f>
        <v>#DIV/0!</v>
      </c>
      <c r="AX117" s="43" t="e">
        <f>AX116+(ATM_Conf!$C$5/ATM_Conf!$C$8)*(BR117*EXP(-(1/DF117)*(AD117/CL117)^DF117)-AX116)+(ATM_Conf!$C$5/AD304)*AX116*(Nodes!BG116-AX116)-(ATM_Conf!$C$5*ATM_Conf!$C$9)/(AD304*ATM_Conf!$C$8)*(Nodes!BU116-AD116)/(AD116+ATM_Conf!$C$10)</f>
        <v>#DIV/0!</v>
      </c>
      <c r="AY117" s="43" t="e">
        <f>AY116+(ATM_Conf!$C$5/ATM_Conf!$C$8)*(BS117*EXP(-(1/DG117)*(AE117/CM117)^DG117)-AY116)+(ATM_Conf!$C$5/AE304)*AY116*(Nodes!BF116-AY116)</f>
        <v>#DIV/0!</v>
      </c>
      <c r="AZ117" s="43" t="e">
        <f>AZ116+(ATM_Conf!$C$5/ATM_Conf!$C$8)*(BT117*EXP(-(1/DH117)*(AF117/CN117)^DH117)-AZ116)-(ATM_Conf!$C$5*ATM_Conf!$C$9)/(AF304*ATM_Conf!$C$8)*(Nodes!BV116-AF116)/(AF116+ATM_Conf!$C$10)</f>
        <v>#DIV/0!</v>
      </c>
      <c r="BA117" s="43" t="e">
        <f>BA116+(ATM_Conf!$C$5/ATM_Conf!$C$8)*(BU117*EXP(-(1/DI117)*(AG117/CO117)^DI117)-BA116)+(ATM_Conf!$C$5/AG304)*BA116*(Nodes!BI116-BA116)-(ATM_Conf!$C$5*ATM_Conf!$C$9)/(AG304*ATM_Conf!$C$8)*(Nodes!BW116-AG116)/(AG116+ATM_Conf!$C$10)</f>
        <v>#DIV/0!</v>
      </c>
      <c r="BB117" s="43" t="e">
        <f>BB116+(ATM_Conf!$C$5/ATM_Conf!$C$8)*(BV117*EXP(-(1/DJ117)*(AH117/CP117)^DJ117)-BB116)+(ATM_Conf!$C$5/AH304)*BB116*(Nodes!BJ116-BB116)-(ATM_Conf!$C$5*ATM_Conf!$C$9)/(AH304*ATM_Conf!$C$8)*(AI116-AH116)/(AH116+ATM_Conf!$C$10)</f>
        <v>#DIV/0!</v>
      </c>
      <c r="BC117" s="43" t="e">
        <f>BC116+(ATM_Conf!$C$5/ATM_Conf!$C$8)*(BW117*EXP(-(1/DK117)*(AI117/CQ117)^DK117)-BC116)+(ATM_Conf!$C$5/AI304)*BC116*(BB116-BC116)-(ATM_Conf!$C$5*ATM_Conf!$C$9)/(AI304*ATM_Conf!$C$8)*(AJ116-AI116)/(AI116+ATM_Conf!$C$10)</f>
        <v>#DIV/0!</v>
      </c>
      <c r="BD117" s="43" t="e">
        <f>BD116+(ATM_Conf!$C$5/ATM_Conf!$C$8)*(BX117*EXP(-(1/DL117)*(AJ117/CR117)^DL117)-BD116)+(ATM_Conf!$C$5/AJ304)*BD116*(BC116-BD116)-(ATM_Conf!$C$5*ATM_Conf!$C$9)/(AJ304*ATM_Conf!$C$8)*(Nodes!BX116-AJ116)/(AJ116+ATM_Conf!$C$10)</f>
        <v>#DIV/0!</v>
      </c>
      <c r="BE117" s="43" t="e">
        <f>BE116+(ATM_Conf!$C$5/ATM_Conf!$C$8)*(BY117*EXP(-(1/DM117)*(AK117/CS117)^DM117)-BE116)+(ATM_Conf!$C$5/AK304)*BE116*(Nodes!BK116-BE116)-(ATM_Conf!$C$5*ATM_Conf!$C$9)/(AK304*ATM_Conf!$C$8)*(Nodes!BY116-AK116)/(AK116+ATM_Conf!$C$10)</f>
        <v>#DIV/0!</v>
      </c>
      <c r="BF117" s="43" t="e">
        <f>BF116+(ATM_Conf!$C$5/ATM_Conf!$C$8)*(BZ117*EXP(-(1/DN117)*(AL117/CT117)^DN117)-BF116)+(ATM_Conf!$C$5/AL304)*BF116*(BE116-BF116)-(ATM_Conf!$C$5*ATM_Conf!$C$9)/(AL304*ATM_Conf!$C$8)*(AM116-AL116)/(AL116+ATM_Conf!$C$10)</f>
        <v>#DIV/0!</v>
      </c>
      <c r="BG117" s="43" t="e">
        <f>BG116+(ATM_Conf!$C$5/ATM_Conf!$C$8)*(CA117*EXP(-(1/DO117)*(AM117/CU117)^DO117)-BG116)+(ATM_Conf!$C$5/AM304)*BG116*(Nodes!BM116-BG116)-(ATM_Conf!$C$5*ATM_Conf!$C$9)/(AM304*ATM_Conf!$C$8)*(Nodes!CA116-AM116)/(AM116+ATM_Conf!$C$10)</f>
        <v>#DIV/0!</v>
      </c>
      <c r="BH117" s="43" t="e">
        <f>BH116+(ATM_Conf!$C$5/ATM_Conf!$C$8)*(CB117*EXP(-(1/DP117)*(AN117/CV117)^DP117)-BH116)+(ATM_Conf!$C$5/AN304)*BH116*(BG116-BH116)-(ATM_Conf!$C$5*ATM_Conf!$C$9)/(AN304*ATM_Conf!$C$8)*(AO116-AN116)/(AN116+ATM_Conf!$C$10)</f>
        <v>#DIV/0!</v>
      </c>
      <c r="BI117" s="43" t="e">
        <f>BI116+(ATM_Conf!$C$5/ATM_Conf!$C$8)*(CC117*EXP(-(1/DQ117)*(AO117/CW117)^DQ117)-BI116)+(ATM_Conf!$C$5/AO304)*BI116*(BH116-BI116)</f>
        <v>#DIV/0!</v>
      </c>
      <c r="BJ117" s="53"/>
      <c r="BK117" s="53"/>
      <c r="BL117" s="53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/>
      <c r="BW117" s="53"/>
      <c r="BX117" s="53"/>
      <c r="BY117" s="53"/>
      <c r="BZ117" s="53"/>
      <c r="CA117" s="53"/>
      <c r="CB117" s="53"/>
      <c r="CC117" s="5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53"/>
      <c r="CY117" s="53"/>
      <c r="CZ117" s="53"/>
      <c r="DA117" s="53"/>
      <c r="DB117" s="53"/>
      <c r="DC117" s="53"/>
      <c r="DD117" s="53"/>
      <c r="DE117" s="53"/>
      <c r="DF117" s="53"/>
      <c r="DG117" s="53"/>
      <c r="DH117" s="53"/>
      <c r="DI117" s="53"/>
      <c r="DJ117" s="53"/>
      <c r="DK117" s="53"/>
      <c r="DL117" s="53"/>
      <c r="DM117" s="53"/>
      <c r="DN117" s="53"/>
      <c r="DO117" s="53"/>
      <c r="DP117" s="53"/>
      <c r="DQ117" s="53"/>
      <c r="DR117" s="43">
        <f t="shared" si="70"/>
        <v>0</v>
      </c>
      <c r="DS117" s="43">
        <f t="shared" si="69"/>
        <v>0</v>
      </c>
      <c r="DT117" s="43">
        <f t="shared" si="69"/>
        <v>0</v>
      </c>
      <c r="DU117" s="43">
        <f t="shared" si="69"/>
        <v>0</v>
      </c>
      <c r="DV117" s="43">
        <f t="shared" si="69"/>
        <v>0</v>
      </c>
      <c r="DW117" s="43">
        <f t="shared" si="69"/>
        <v>0</v>
      </c>
      <c r="DX117" s="43">
        <f t="shared" si="69"/>
        <v>0</v>
      </c>
      <c r="DY117" s="43">
        <f t="shared" si="69"/>
        <v>0</v>
      </c>
      <c r="DZ117" s="43">
        <f t="shared" si="69"/>
        <v>0</v>
      </c>
      <c r="EA117" s="43">
        <f t="shared" si="69"/>
        <v>0</v>
      </c>
      <c r="EB117" s="43">
        <f t="shared" si="69"/>
        <v>0</v>
      </c>
      <c r="EC117" s="43">
        <f t="shared" si="69"/>
        <v>0</v>
      </c>
      <c r="ED117" s="43">
        <f t="shared" si="69"/>
        <v>0</v>
      </c>
      <c r="EE117" s="43">
        <f t="shared" si="69"/>
        <v>0</v>
      </c>
      <c r="EF117" s="43">
        <f t="shared" si="69"/>
        <v>0</v>
      </c>
      <c r="EG117" s="43">
        <f t="shared" si="69"/>
        <v>0</v>
      </c>
      <c r="EH117" s="43">
        <f t="shared" si="69"/>
        <v>0</v>
      </c>
      <c r="EI117" s="43">
        <f t="shared" si="69"/>
        <v>0</v>
      </c>
      <c r="EJ117" s="43">
        <f t="shared" si="69"/>
        <v>0</v>
      </c>
      <c r="EK117" s="43">
        <f t="shared" si="69"/>
        <v>0</v>
      </c>
      <c r="EL117" s="47"/>
      <c r="EM117" s="47"/>
      <c r="EN117" s="47"/>
      <c r="EO117" s="47"/>
      <c r="EP117" s="47"/>
      <c r="EQ117" s="47"/>
      <c r="ER117" s="47"/>
      <c r="ES117" s="47"/>
      <c r="ET117" s="47"/>
      <c r="EU117" s="47"/>
      <c r="EV117" s="47"/>
      <c r="EW117" s="47"/>
      <c r="EX117" s="47"/>
      <c r="EY117" s="47"/>
      <c r="EZ117" s="47"/>
      <c r="FA117" s="47"/>
      <c r="FB117" s="47"/>
      <c r="FC117" s="47"/>
      <c r="FD117" s="47"/>
      <c r="FE117" s="47"/>
    </row>
    <row r="118" spans="1:161" ht="14.25" x14ac:dyDescent="0.15">
      <c r="A118" s="46"/>
      <c r="B118" s="43" t="e">
        <f t="shared" si="39"/>
        <v>#DIV/0!</v>
      </c>
      <c r="C118" s="43" t="e">
        <f t="shared" si="40"/>
        <v>#DIV/0!</v>
      </c>
      <c r="D118" s="43" t="e">
        <f t="shared" si="41"/>
        <v>#DIV/0!</v>
      </c>
      <c r="E118" s="43" t="e">
        <f t="shared" si="42"/>
        <v>#DIV/0!</v>
      </c>
      <c r="F118" s="43" t="e">
        <f t="shared" si="43"/>
        <v>#DIV/0!</v>
      </c>
      <c r="G118" s="43" t="e">
        <f t="shared" si="44"/>
        <v>#DIV/0!</v>
      </c>
      <c r="H118" s="43" t="e">
        <f t="shared" si="45"/>
        <v>#DIV/0!</v>
      </c>
      <c r="I118" s="43" t="e">
        <f t="shared" si="46"/>
        <v>#DIV/0!</v>
      </c>
      <c r="J118" s="43" t="e">
        <f t="shared" si="47"/>
        <v>#DIV/0!</v>
      </c>
      <c r="K118" s="43" t="e">
        <f t="shared" si="48"/>
        <v>#DIV/0!</v>
      </c>
      <c r="L118" s="43" t="e">
        <f t="shared" si="49"/>
        <v>#DIV/0!</v>
      </c>
      <c r="M118" s="43" t="e">
        <f t="shared" si="50"/>
        <v>#DIV/0!</v>
      </c>
      <c r="N118" s="43" t="e">
        <f t="shared" si="51"/>
        <v>#DIV/0!</v>
      </c>
      <c r="O118" s="43" t="e">
        <f t="shared" si="52"/>
        <v>#DIV/0!</v>
      </c>
      <c r="P118" s="43" t="e">
        <f t="shared" si="53"/>
        <v>#DIV/0!</v>
      </c>
      <c r="Q118" s="43" t="e">
        <f t="shared" si="54"/>
        <v>#DIV/0!</v>
      </c>
      <c r="R118" s="43" t="e">
        <f t="shared" si="55"/>
        <v>#DIV/0!</v>
      </c>
      <c r="S118" s="43" t="e">
        <f t="shared" si="56"/>
        <v>#DIV/0!</v>
      </c>
      <c r="T118" s="43" t="e">
        <f t="shared" si="57"/>
        <v>#DIV/0!</v>
      </c>
      <c r="U118" s="43" t="e">
        <f t="shared" si="58"/>
        <v>#DIV/0!</v>
      </c>
      <c r="V118" s="53" t="e">
        <f>V117+ATM_Conf!$C$5*(B117)/(B305*V305)</f>
        <v>#DIV/0!</v>
      </c>
      <c r="W118" s="53" t="e">
        <f>W117+ATM_Conf!$C$5*(C117-B117)/(C305*W305)</f>
        <v>#DIV/0!</v>
      </c>
      <c r="X118" s="53" t="e">
        <f>X117+ATM_Conf!$C$5*(D117-C117)/(D305*X305)</f>
        <v>#DIV/0!</v>
      </c>
      <c r="Y118" s="53" t="e">
        <f>Y117+ATM_Conf!$C$5*(E117-D117)/(E305*Y305)</f>
        <v>#DIV/0!</v>
      </c>
      <c r="Z118" s="53" t="e">
        <f>Z117+ATM_Conf!$C$5*(F117-E117)/(F305*Z305)</f>
        <v>#DIV/0!</v>
      </c>
      <c r="AA118" s="53" t="e">
        <f>AA117+ATM_Conf!$C$5*(G117-F117)/(G305*AA305)</f>
        <v>#DIV/0!</v>
      </c>
      <c r="AB118" s="53" t="e">
        <f>AB117+ATM_Conf!$C$5*(H117-G117)/(H305*AB305)</f>
        <v>#DIV/0!</v>
      </c>
      <c r="AC118" s="53" t="e">
        <f>AC117+ATM_Conf!$C$5*(I117-H117)/(I305*AC305)</f>
        <v>#DIV/0!</v>
      </c>
      <c r="AD118" s="53" t="e">
        <f>AD117+ATM_Conf!$C$5*(J117-I117)/(J305*AD305)</f>
        <v>#DIV/0!</v>
      </c>
      <c r="AE118" s="53" t="e">
        <f>AE117+ATM_Conf!$C$5*(K117-J117)/(K305*AE305)</f>
        <v>#DIV/0!</v>
      </c>
      <c r="AF118" s="53" t="e">
        <f>AF117+ATM_Conf!$C$5*(L117)/(L305*AF305)</f>
        <v>#DIV/0!</v>
      </c>
      <c r="AG118" s="53" t="e">
        <f>AG117+ATM_Conf!$C$5*(M117-L117)/(M305*AG305)</f>
        <v>#DIV/0!</v>
      </c>
      <c r="AH118" s="53" t="e">
        <f>AH117+ATM_Conf!$C$5*(N117-M117)/(N305*AH305)</f>
        <v>#DIV/0!</v>
      </c>
      <c r="AI118" s="53" t="e">
        <f>AI117+ATM_Conf!$C$5*(O117-N117)/(O305*AI305)</f>
        <v>#DIV/0!</v>
      </c>
      <c r="AJ118" s="53" t="e">
        <f>AJ117+ATM_Conf!$C$5*(P117-O117)/(P305*AJ305)</f>
        <v>#DIV/0!</v>
      </c>
      <c r="AK118" s="53" t="e">
        <f>AK117+ATM_Conf!$C$5*(Q117-P117)/(Q305*AK305)</f>
        <v>#DIV/0!</v>
      </c>
      <c r="AL118" s="53" t="e">
        <f>AL117+ATM_Conf!$C$5*(R117-Q117)/(R305*AL305)</f>
        <v>#DIV/0!</v>
      </c>
      <c r="AM118" s="53" t="e">
        <f>AM117+ATM_Conf!$C$5*(S117-R117)/(S305*AM305)</f>
        <v>#DIV/0!</v>
      </c>
      <c r="AN118" s="53" t="e">
        <f>AN117+ATM_Conf!$C$5*(T117-S117)/(T305*AN305)</f>
        <v>#DIV/0!</v>
      </c>
      <c r="AO118" s="53" t="e">
        <f>AO117+ATM_Conf!$C$5*(U117-T117)/(U305*AO305)</f>
        <v>#DIV/0!</v>
      </c>
      <c r="AP118" s="43" t="e">
        <f>AP117+(ATM_Conf!$C$5/ATM_Conf!$C$8)*(BJ118*EXP(-(1/CX118)*(V118/CD118)^CX118)-AP117)-(ATM_Conf!$C$5*ATM_Conf!$C$9)/(V305*ATM_Conf!$C$8)*(Nodes!BO117-V117)/(V117+ATM_Conf!$C$10)</f>
        <v>#DIV/0!</v>
      </c>
      <c r="AQ118" s="43" t="e">
        <f>AQ117+(ATM_Conf!$C$5/ATM_Conf!$C$8)*(BK118*EXP(-(1/CY118)*(W118/CE118)^CY118)-AQ117)+(ATM_Conf!$C$5/W305)*AQ117*(AP117-AQ117)-(ATM_Conf!$C$5*ATM_Conf!$C$9)/(W305*ATM_Conf!$C$8)*(X117-W117)/(W117+ATM_Conf!$C$10)</f>
        <v>#DIV/0!</v>
      </c>
      <c r="AR118" s="43" t="e">
        <f>AR117+(ATM_Conf!$C$5/ATM_Conf!$C$8)*(BL118*EXP(-(1/CZ118)*(X118/CF118)^CZ118)-AR117)+(ATM_Conf!$C$5/X305)*AR117*(Nodes!BC117-AR117)-(ATM_Conf!$C$5*ATM_Conf!$C$9)/(X305*ATM_Conf!$C$8)*(Nodes!BQ117-X117)/(X117+ATM_Conf!$C$10)</f>
        <v>#DIV/0!</v>
      </c>
      <c r="AS118" s="43" t="e">
        <f>AS117+(ATM_Conf!$C$5/ATM_Conf!$C$8)*(BM118*EXP(-(1/DA118)*(Y118/CG118)^DA118)-AS117)+(ATM_Conf!$C$5/Y305)*AS117*(AR117-AS117)-(ATM_Conf!$C$5*ATM_Conf!$C$9)/(Y305*ATM_Conf!$C$8)*(Z117-Y117)/(Y117+ATM_Conf!$C$10)</f>
        <v>#DIV/0!</v>
      </c>
      <c r="AT118" s="43" t="e">
        <f>AT117+(ATM_Conf!$C$5/ATM_Conf!$C$8)*(BN118*EXP(-(1/DB118)*(Z118/CH118)^DB118)-AT117)+(ATM_Conf!$C$5/Z305)*AT117*(Nodes!BE117-AT117)-(ATM_Conf!$C$5*ATM_Conf!$C$9)/(Z305*ATM_Conf!$C$8)*(Nodes!BS117-Z117)/(Z117+ATM_Conf!$C$10)</f>
        <v>#DIV/0!</v>
      </c>
      <c r="AU118" s="43" t="e">
        <f>AU117+(ATM_Conf!$C$5/ATM_Conf!$C$8)*(BO118*EXP(-(1/DC118)*(AA118/CI118)^DC118)-AU117)+(ATM_Conf!$C$5/AA305)*AU117*(Nodes!BF117-AU117)-(ATM_Conf!$C$5*ATM_Conf!$C$9)/(AA305*ATM_Conf!$C$8)*(Nodes!BV117-AA117)/(AA117+ATM_Conf!$C$10)</f>
        <v>#DIV/0!</v>
      </c>
      <c r="AV118" s="43" t="e">
        <f>AV117+(ATM_Conf!$C$5/ATM_Conf!$C$8)*(BP118*EXP(-(1/DD118)*(AB118/CJ118)^DD118)-AV117)+(ATM_Conf!$C$5/AB305)*AV117*(AU117-AV117)-(ATM_Conf!$C$5*ATM_Conf!$C$9)/(AB305*ATM_Conf!$C$8)*(AC117-AB117)/(AB117+ATM_Conf!$C$10)</f>
        <v>#DIV/0!</v>
      </c>
      <c r="AW118" s="43" t="e">
        <f>AW117+(ATM_Conf!$C$5/ATM_Conf!$C$8)*(BQ118*EXP(-(1/DE118)*(AC118/CK118)^DE118)-AW117)+(ATM_Conf!$C$5/AC305)*AW117*(AV117-AW117)-(ATM_Conf!$C$5*ATM_Conf!$C$9)/(AC305*ATM_Conf!$C$8)*(AD117-AC117)/(AC117+ATM_Conf!$C$10)</f>
        <v>#DIV/0!</v>
      </c>
      <c r="AX118" s="43" t="e">
        <f>AX117+(ATM_Conf!$C$5/ATM_Conf!$C$8)*(BR118*EXP(-(1/DF118)*(AD118/CL118)^DF118)-AX117)+(ATM_Conf!$C$5/AD305)*AX117*(Nodes!BG117-AX117)-(ATM_Conf!$C$5*ATM_Conf!$C$9)/(AD305*ATM_Conf!$C$8)*(Nodes!BU117-AD117)/(AD117+ATM_Conf!$C$10)</f>
        <v>#DIV/0!</v>
      </c>
      <c r="AY118" s="43" t="e">
        <f>AY117+(ATM_Conf!$C$5/ATM_Conf!$C$8)*(BS118*EXP(-(1/DG118)*(AE118/CM118)^DG118)-AY117)+(ATM_Conf!$C$5/AE305)*AY117*(Nodes!BF117-AY117)</f>
        <v>#DIV/0!</v>
      </c>
      <c r="AZ118" s="43" t="e">
        <f>AZ117+(ATM_Conf!$C$5/ATM_Conf!$C$8)*(BT118*EXP(-(1/DH118)*(AF118/CN118)^DH118)-AZ117)-(ATM_Conf!$C$5*ATM_Conf!$C$9)/(AF305*ATM_Conf!$C$8)*(Nodes!BV117-AF117)/(AF117+ATM_Conf!$C$10)</f>
        <v>#DIV/0!</v>
      </c>
      <c r="BA118" s="43" t="e">
        <f>BA117+(ATM_Conf!$C$5/ATM_Conf!$C$8)*(BU118*EXP(-(1/DI118)*(AG118/CO118)^DI118)-BA117)+(ATM_Conf!$C$5/AG305)*BA117*(Nodes!BI117-BA117)-(ATM_Conf!$C$5*ATM_Conf!$C$9)/(AG305*ATM_Conf!$C$8)*(Nodes!BW117-AG117)/(AG117+ATM_Conf!$C$10)</f>
        <v>#DIV/0!</v>
      </c>
      <c r="BB118" s="43" t="e">
        <f>BB117+(ATM_Conf!$C$5/ATM_Conf!$C$8)*(BV118*EXP(-(1/DJ118)*(AH118/CP118)^DJ118)-BB117)+(ATM_Conf!$C$5/AH305)*BB117*(Nodes!BJ117-BB117)-(ATM_Conf!$C$5*ATM_Conf!$C$9)/(AH305*ATM_Conf!$C$8)*(AI117-AH117)/(AH117+ATM_Conf!$C$10)</f>
        <v>#DIV/0!</v>
      </c>
      <c r="BC118" s="43" t="e">
        <f>BC117+(ATM_Conf!$C$5/ATM_Conf!$C$8)*(BW118*EXP(-(1/DK118)*(AI118/CQ118)^DK118)-BC117)+(ATM_Conf!$C$5/AI305)*BC117*(BB117-BC117)-(ATM_Conf!$C$5*ATM_Conf!$C$9)/(AI305*ATM_Conf!$C$8)*(AJ117-AI117)/(AI117+ATM_Conf!$C$10)</f>
        <v>#DIV/0!</v>
      </c>
      <c r="BD118" s="43" t="e">
        <f>BD117+(ATM_Conf!$C$5/ATM_Conf!$C$8)*(BX118*EXP(-(1/DL118)*(AJ118/CR118)^DL118)-BD117)+(ATM_Conf!$C$5/AJ305)*BD117*(BC117-BD117)-(ATM_Conf!$C$5*ATM_Conf!$C$9)/(AJ305*ATM_Conf!$C$8)*(Nodes!BX117-AJ117)/(AJ117+ATM_Conf!$C$10)</f>
        <v>#DIV/0!</v>
      </c>
      <c r="BE118" s="43" t="e">
        <f>BE117+(ATM_Conf!$C$5/ATM_Conf!$C$8)*(BY118*EXP(-(1/DM118)*(AK118/CS118)^DM118)-BE117)+(ATM_Conf!$C$5/AK305)*BE117*(Nodes!BK117-BE117)-(ATM_Conf!$C$5*ATM_Conf!$C$9)/(AK305*ATM_Conf!$C$8)*(Nodes!BY117-AK117)/(AK117+ATM_Conf!$C$10)</f>
        <v>#DIV/0!</v>
      </c>
      <c r="BF118" s="43" t="e">
        <f>BF117+(ATM_Conf!$C$5/ATM_Conf!$C$8)*(BZ118*EXP(-(1/DN118)*(AL118/CT118)^DN118)-BF117)+(ATM_Conf!$C$5/AL305)*BF117*(BE117-BF117)-(ATM_Conf!$C$5*ATM_Conf!$C$9)/(AL305*ATM_Conf!$C$8)*(AM117-AL117)/(AL117+ATM_Conf!$C$10)</f>
        <v>#DIV/0!</v>
      </c>
      <c r="BG118" s="43" t="e">
        <f>BG117+(ATM_Conf!$C$5/ATM_Conf!$C$8)*(CA118*EXP(-(1/DO118)*(AM118/CU118)^DO118)-BG117)+(ATM_Conf!$C$5/AM305)*BG117*(Nodes!BM117-BG117)-(ATM_Conf!$C$5*ATM_Conf!$C$9)/(AM305*ATM_Conf!$C$8)*(Nodes!CA117-AM117)/(AM117+ATM_Conf!$C$10)</f>
        <v>#DIV/0!</v>
      </c>
      <c r="BH118" s="43" t="e">
        <f>BH117+(ATM_Conf!$C$5/ATM_Conf!$C$8)*(CB118*EXP(-(1/DP118)*(AN118/CV118)^DP118)-BH117)+(ATM_Conf!$C$5/AN305)*BH117*(BG117-BH117)-(ATM_Conf!$C$5*ATM_Conf!$C$9)/(AN305*ATM_Conf!$C$8)*(AO117-AN117)/(AN117+ATM_Conf!$C$10)</f>
        <v>#DIV/0!</v>
      </c>
      <c r="BI118" s="43" t="e">
        <f>BI117+(ATM_Conf!$C$5/ATM_Conf!$C$8)*(CC118*EXP(-(1/DQ118)*(AO118/CW118)^DQ118)-BI117)+(ATM_Conf!$C$5/AO305)*BI117*(BH117-BI117)</f>
        <v>#DIV/0!</v>
      </c>
      <c r="BJ118" s="53"/>
      <c r="BK118" s="53"/>
      <c r="BL118" s="53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/>
      <c r="BW118" s="53"/>
      <c r="BX118" s="53"/>
      <c r="BY118" s="53"/>
      <c r="BZ118" s="53"/>
      <c r="CA118" s="53"/>
      <c r="CB118" s="53"/>
      <c r="CC118" s="5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53"/>
      <c r="CY118" s="53"/>
      <c r="CZ118" s="53"/>
      <c r="DA118" s="53"/>
      <c r="DB118" s="53"/>
      <c r="DC118" s="53"/>
      <c r="DD118" s="53"/>
      <c r="DE118" s="53"/>
      <c r="DF118" s="53"/>
      <c r="DG118" s="53"/>
      <c r="DH118" s="53"/>
      <c r="DI118" s="53"/>
      <c r="DJ118" s="53"/>
      <c r="DK118" s="53"/>
      <c r="DL118" s="53"/>
      <c r="DM118" s="53"/>
      <c r="DN118" s="53"/>
      <c r="DO118" s="53"/>
      <c r="DP118" s="53"/>
      <c r="DQ118" s="53"/>
      <c r="DR118" s="43">
        <f t="shared" si="70"/>
        <v>0</v>
      </c>
      <c r="DS118" s="43">
        <f t="shared" si="69"/>
        <v>0</v>
      </c>
      <c r="DT118" s="43">
        <f t="shared" si="69"/>
        <v>0</v>
      </c>
      <c r="DU118" s="43">
        <f t="shared" si="69"/>
        <v>0</v>
      </c>
      <c r="DV118" s="43">
        <f t="shared" si="69"/>
        <v>0</v>
      </c>
      <c r="DW118" s="43">
        <f t="shared" si="69"/>
        <v>0</v>
      </c>
      <c r="DX118" s="43">
        <f t="shared" si="69"/>
        <v>0</v>
      </c>
      <c r="DY118" s="43">
        <f t="shared" si="69"/>
        <v>0</v>
      </c>
      <c r="DZ118" s="43">
        <f t="shared" si="69"/>
        <v>0</v>
      </c>
      <c r="EA118" s="43">
        <f t="shared" si="69"/>
        <v>0</v>
      </c>
      <c r="EB118" s="43">
        <f t="shared" si="69"/>
        <v>0</v>
      </c>
      <c r="EC118" s="43">
        <f t="shared" si="69"/>
        <v>0</v>
      </c>
      <c r="ED118" s="43">
        <f t="shared" si="69"/>
        <v>0</v>
      </c>
      <c r="EE118" s="43">
        <f t="shared" si="69"/>
        <v>0</v>
      </c>
      <c r="EF118" s="43">
        <f t="shared" si="69"/>
        <v>0</v>
      </c>
      <c r="EG118" s="43">
        <f t="shared" si="69"/>
        <v>0</v>
      </c>
      <c r="EH118" s="43">
        <f t="shared" si="69"/>
        <v>0</v>
      </c>
      <c r="EI118" s="43">
        <f t="shared" si="69"/>
        <v>0</v>
      </c>
      <c r="EJ118" s="43">
        <f t="shared" si="69"/>
        <v>0</v>
      </c>
      <c r="EK118" s="43">
        <f t="shared" si="69"/>
        <v>0</v>
      </c>
      <c r="EL118" s="47"/>
      <c r="EM118" s="47"/>
      <c r="EN118" s="47"/>
      <c r="EO118" s="47"/>
      <c r="EP118" s="47"/>
      <c r="EQ118" s="47"/>
      <c r="ER118" s="47"/>
      <c r="ES118" s="47"/>
      <c r="ET118" s="47"/>
      <c r="EU118" s="47"/>
      <c r="EV118" s="47"/>
      <c r="EW118" s="47"/>
      <c r="EX118" s="47"/>
      <c r="EY118" s="47"/>
      <c r="EZ118" s="47"/>
      <c r="FA118" s="47"/>
      <c r="FB118" s="47"/>
      <c r="FC118" s="47"/>
      <c r="FD118" s="47"/>
      <c r="FE118" s="47"/>
    </row>
    <row r="119" spans="1:161" ht="14.25" x14ac:dyDescent="0.15">
      <c r="A119" s="46"/>
      <c r="B119" s="43" t="e">
        <f t="shared" si="39"/>
        <v>#DIV/0!</v>
      </c>
      <c r="C119" s="43" t="e">
        <f t="shared" si="40"/>
        <v>#DIV/0!</v>
      </c>
      <c r="D119" s="43" t="e">
        <f t="shared" si="41"/>
        <v>#DIV/0!</v>
      </c>
      <c r="E119" s="43" t="e">
        <f t="shared" si="42"/>
        <v>#DIV/0!</v>
      </c>
      <c r="F119" s="43" t="e">
        <f t="shared" si="43"/>
        <v>#DIV/0!</v>
      </c>
      <c r="G119" s="43" t="e">
        <f t="shared" si="44"/>
        <v>#DIV/0!</v>
      </c>
      <c r="H119" s="43" t="e">
        <f t="shared" si="45"/>
        <v>#DIV/0!</v>
      </c>
      <c r="I119" s="43" t="e">
        <f t="shared" si="46"/>
        <v>#DIV/0!</v>
      </c>
      <c r="J119" s="43" t="e">
        <f t="shared" si="47"/>
        <v>#DIV/0!</v>
      </c>
      <c r="K119" s="43" t="e">
        <f t="shared" si="48"/>
        <v>#DIV/0!</v>
      </c>
      <c r="L119" s="43" t="e">
        <f t="shared" si="49"/>
        <v>#DIV/0!</v>
      </c>
      <c r="M119" s="43" t="e">
        <f t="shared" si="50"/>
        <v>#DIV/0!</v>
      </c>
      <c r="N119" s="43" t="e">
        <f t="shared" si="51"/>
        <v>#DIV/0!</v>
      </c>
      <c r="O119" s="43" t="e">
        <f t="shared" si="52"/>
        <v>#DIV/0!</v>
      </c>
      <c r="P119" s="43" t="e">
        <f t="shared" si="53"/>
        <v>#DIV/0!</v>
      </c>
      <c r="Q119" s="43" t="e">
        <f t="shared" si="54"/>
        <v>#DIV/0!</v>
      </c>
      <c r="R119" s="43" t="e">
        <f t="shared" si="55"/>
        <v>#DIV/0!</v>
      </c>
      <c r="S119" s="43" t="e">
        <f t="shared" si="56"/>
        <v>#DIV/0!</v>
      </c>
      <c r="T119" s="43" t="e">
        <f t="shared" si="57"/>
        <v>#DIV/0!</v>
      </c>
      <c r="U119" s="43" t="e">
        <f t="shared" si="58"/>
        <v>#DIV/0!</v>
      </c>
      <c r="V119" s="53" t="e">
        <f>V118+ATM_Conf!$C$5*(B118)/(B306*V306)</f>
        <v>#DIV/0!</v>
      </c>
      <c r="W119" s="53" t="e">
        <f>W118+ATM_Conf!$C$5*(C118-B118)/(C306*W306)</f>
        <v>#DIV/0!</v>
      </c>
      <c r="X119" s="53" t="e">
        <f>X118+ATM_Conf!$C$5*(D118-C118)/(D306*X306)</f>
        <v>#DIV/0!</v>
      </c>
      <c r="Y119" s="53" t="e">
        <f>Y118+ATM_Conf!$C$5*(E118-D118)/(E306*Y306)</f>
        <v>#DIV/0!</v>
      </c>
      <c r="Z119" s="53" t="e">
        <f>Z118+ATM_Conf!$C$5*(F118-E118)/(F306*Z306)</f>
        <v>#DIV/0!</v>
      </c>
      <c r="AA119" s="53" t="e">
        <f>AA118+ATM_Conf!$C$5*(G118-F118)/(G306*AA306)</f>
        <v>#DIV/0!</v>
      </c>
      <c r="AB119" s="53" t="e">
        <f>AB118+ATM_Conf!$C$5*(H118-G118)/(H306*AB306)</f>
        <v>#DIV/0!</v>
      </c>
      <c r="AC119" s="53" t="e">
        <f>AC118+ATM_Conf!$C$5*(I118-H118)/(I306*AC306)</f>
        <v>#DIV/0!</v>
      </c>
      <c r="AD119" s="53" t="e">
        <f>AD118+ATM_Conf!$C$5*(J118-I118)/(J306*AD306)</f>
        <v>#DIV/0!</v>
      </c>
      <c r="AE119" s="53" t="e">
        <f>AE118+ATM_Conf!$C$5*(K118-J118)/(K306*AE306)</f>
        <v>#DIV/0!</v>
      </c>
      <c r="AF119" s="53" t="e">
        <f>AF118+ATM_Conf!$C$5*(L118)/(L306*AF306)</f>
        <v>#DIV/0!</v>
      </c>
      <c r="AG119" s="53" t="e">
        <f>AG118+ATM_Conf!$C$5*(M118-L118)/(M306*AG306)</f>
        <v>#DIV/0!</v>
      </c>
      <c r="AH119" s="53" t="e">
        <f>AH118+ATM_Conf!$C$5*(N118-M118)/(N306*AH306)</f>
        <v>#DIV/0!</v>
      </c>
      <c r="AI119" s="53" t="e">
        <f>AI118+ATM_Conf!$C$5*(O118-N118)/(O306*AI306)</f>
        <v>#DIV/0!</v>
      </c>
      <c r="AJ119" s="53" t="e">
        <f>AJ118+ATM_Conf!$C$5*(P118-O118)/(P306*AJ306)</f>
        <v>#DIV/0!</v>
      </c>
      <c r="AK119" s="53" t="e">
        <f>AK118+ATM_Conf!$C$5*(Q118-P118)/(Q306*AK306)</f>
        <v>#DIV/0!</v>
      </c>
      <c r="AL119" s="53" t="e">
        <f>AL118+ATM_Conf!$C$5*(R118-Q118)/(R306*AL306)</f>
        <v>#DIV/0!</v>
      </c>
      <c r="AM119" s="53" t="e">
        <f>AM118+ATM_Conf!$C$5*(S118-R118)/(S306*AM306)</f>
        <v>#DIV/0!</v>
      </c>
      <c r="AN119" s="53" t="e">
        <f>AN118+ATM_Conf!$C$5*(T118-S118)/(T306*AN306)</f>
        <v>#DIV/0!</v>
      </c>
      <c r="AO119" s="53" t="e">
        <f>AO118+ATM_Conf!$C$5*(U118-T118)/(U306*AO306)</f>
        <v>#DIV/0!</v>
      </c>
      <c r="AP119" s="43" t="e">
        <f>AP118+(ATM_Conf!$C$5/ATM_Conf!$C$8)*(BJ119*EXP(-(1/CX119)*(V119/CD119)^CX119)-AP118)-(ATM_Conf!$C$5*ATM_Conf!$C$9)/(V306*ATM_Conf!$C$8)*(Nodes!BO118-V118)/(V118+ATM_Conf!$C$10)</f>
        <v>#DIV/0!</v>
      </c>
      <c r="AQ119" s="43" t="e">
        <f>AQ118+(ATM_Conf!$C$5/ATM_Conf!$C$8)*(BK119*EXP(-(1/CY119)*(W119/CE119)^CY119)-AQ118)+(ATM_Conf!$C$5/W306)*AQ118*(AP118-AQ118)-(ATM_Conf!$C$5*ATM_Conf!$C$9)/(W306*ATM_Conf!$C$8)*(X118-W118)/(W118+ATM_Conf!$C$10)</f>
        <v>#DIV/0!</v>
      </c>
      <c r="AR119" s="43" t="e">
        <f>AR118+(ATM_Conf!$C$5/ATM_Conf!$C$8)*(BL119*EXP(-(1/CZ119)*(X119/CF119)^CZ119)-AR118)+(ATM_Conf!$C$5/X306)*AR118*(Nodes!BC118-AR118)-(ATM_Conf!$C$5*ATM_Conf!$C$9)/(X306*ATM_Conf!$C$8)*(Nodes!BQ118-X118)/(X118+ATM_Conf!$C$10)</f>
        <v>#DIV/0!</v>
      </c>
      <c r="AS119" s="43" t="e">
        <f>AS118+(ATM_Conf!$C$5/ATM_Conf!$C$8)*(BM119*EXP(-(1/DA119)*(Y119/CG119)^DA119)-AS118)+(ATM_Conf!$C$5/Y306)*AS118*(AR118-AS118)-(ATM_Conf!$C$5*ATM_Conf!$C$9)/(Y306*ATM_Conf!$C$8)*(Z118-Y118)/(Y118+ATM_Conf!$C$10)</f>
        <v>#DIV/0!</v>
      </c>
      <c r="AT119" s="43" t="e">
        <f>AT118+(ATM_Conf!$C$5/ATM_Conf!$C$8)*(BN119*EXP(-(1/DB119)*(Z119/CH119)^DB119)-AT118)+(ATM_Conf!$C$5/Z306)*AT118*(Nodes!BE118-AT118)-(ATM_Conf!$C$5*ATM_Conf!$C$9)/(Z306*ATM_Conf!$C$8)*(Nodes!BS118-Z118)/(Z118+ATM_Conf!$C$10)</f>
        <v>#DIV/0!</v>
      </c>
      <c r="AU119" s="43" t="e">
        <f>AU118+(ATM_Conf!$C$5/ATM_Conf!$C$8)*(BO119*EXP(-(1/DC119)*(AA119/CI119)^DC119)-AU118)+(ATM_Conf!$C$5/AA306)*AU118*(Nodes!BF118-AU118)-(ATM_Conf!$C$5*ATM_Conf!$C$9)/(AA306*ATM_Conf!$C$8)*(Nodes!BV118-AA118)/(AA118+ATM_Conf!$C$10)</f>
        <v>#DIV/0!</v>
      </c>
      <c r="AV119" s="43" t="e">
        <f>AV118+(ATM_Conf!$C$5/ATM_Conf!$C$8)*(BP119*EXP(-(1/DD119)*(AB119/CJ119)^DD119)-AV118)+(ATM_Conf!$C$5/AB306)*AV118*(AU118-AV118)-(ATM_Conf!$C$5*ATM_Conf!$C$9)/(AB306*ATM_Conf!$C$8)*(AC118-AB118)/(AB118+ATM_Conf!$C$10)</f>
        <v>#DIV/0!</v>
      </c>
      <c r="AW119" s="43" t="e">
        <f>AW118+(ATM_Conf!$C$5/ATM_Conf!$C$8)*(BQ119*EXP(-(1/DE119)*(AC119/CK119)^DE119)-AW118)+(ATM_Conf!$C$5/AC306)*AW118*(AV118-AW118)-(ATM_Conf!$C$5*ATM_Conf!$C$9)/(AC306*ATM_Conf!$C$8)*(AD118-AC118)/(AC118+ATM_Conf!$C$10)</f>
        <v>#DIV/0!</v>
      </c>
      <c r="AX119" s="43" t="e">
        <f>AX118+(ATM_Conf!$C$5/ATM_Conf!$C$8)*(BR119*EXP(-(1/DF119)*(AD119/CL119)^DF119)-AX118)+(ATM_Conf!$C$5/AD306)*AX118*(Nodes!BG118-AX118)-(ATM_Conf!$C$5*ATM_Conf!$C$9)/(AD306*ATM_Conf!$C$8)*(Nodes!BU118-AD118)/(AD118+ATM_Conf!$C$10)</f>
        <v>#DIV/0!</v>
      </c>
      <c r="AY119" s="43" t="e">
        <f>AY118+(ATM_Conf!$C$5/ATM_Conf!$C$8)*(BS119*EXP(-(1/DG119)*(AE119/CM119)^DG119)-AY118)+(ATM_Conf!$C$5/AE306)*AY118*(Nodes!BF118-AY118)</f>
        <v>#DIV/0!</v>
      </c>
      <c r="AZ119" s="43" t="e">
        <f>AZ118+(ATM_Conf!$C$5/ATM_Conf!$C$8)*(BT119*EXP(-(1/DH119)*(AF119/CN119)^DH119)-AZ118)-(ATM_Conf!$C$5*ATM_Conf!$C$9)/(AF306*ATM_Conf!$C$8)*(Nodes!BV118-AF118)/(AF118+ATM_Conf!$C$10)</f>
        <v>#DIV/0!</v>
      </c>
      <c r="BA119" s="43" t="e">
        <f>BA118+(ATM_Conf!$C$5/ATM_Conf!$C$8)*(BU119*EXP(-(1/DI119)*(AG119/CO119)^DI119)-BA118)+(ATM_Conf!$C$5/AG306)*BA118*(Nodes!BI118-BA118)-(ATM_Conf!$C$5*ATM_Conf!$C$9)/(AG306*ATM_Conf!$C$8)*(Nodes!BW118-AG118)/(AG118+ATM_Conf!$C$10)</f>
        <v>#DIV/0!</v>
      </c>
      <c r="BB119" s="43" t="e">
        <f>BB118+(ATM_Conf!$C$5/ATM_Conf!$C$8)*(BV119*EXP(-(1/DJ119)*(AH119/CP119)^DJ119)-BB118)+(ATM_Conf!$C$5/AH306)*BB118*(Nodes!BJ118-BB118)-(ATM_Conf!$C$5*ATM_Conf!$C$9)/(AH306*ATM_Conf!$C$8)*(AI118-AH118)/(AH118+ATM_Conf!$C$10)</f>
        <v>#DIV/0!</v>
      </c>
      <c r="BC119" s="43" t="e">
        <f>BC118+(ATM_Conf!$C$5/ATM_Conf!$C$8)*(BW119*EXP(-(1/DK119)*(AI119/CQ119)^DK119)-BC118)+(ATM_Conf!$C$5/AI306)*BC118*(BB118-BC118)-(ATM_Conf!$C$5*ATM_Conf!$C$9)/(AI306*ATM_Conf!$C$8)*(AJ118-AI118)/(AI118+ATM_Conf!$C$10)</f>
        <v>#DIV/0!</v>
      </c>
      <c r="BD119" s="43" t="e">
        <f>BD118+(ATM_Conf!$C$5/ATM_Conf!$C$8)*(BX119*EXP(-(1/DL119)*(AJ119/CR119)^DL119)-BD118)+(ATM_Conf!$C$5/AJ306)*BD118*(BC118-BD118)-(ATM_Conf!$C$5*ATM_Conf!$C$9)/(AJ306*ATM_Conf!$C$8)*(Nodes!BX118-AJ118)/(AJ118+ATM_Conf!$C$10)</f>
        <v>#DIV/0!</v>
      </c>
      <c r="BE119" s="43" t="e">
        <f>BE118+(ATM_Conf!$C$5/ATM_Conf!$C$8)*(BY119*EXP(-(1/DM119)*(AK119/CS119)^DM119)-BE118)+(ATM_Conf!$C$5/AK306)*BE118*(Nodes!BK118-BE118)-(ATM_Conf!$C$5*ATM_Conf!$C$9)/(AK306*ATM_Conf!$C$8)*(Nodes!BY118-AK118)/(AK118+ATM_Conf!$C$10)</f>
        <v>#DIV/0!</v>
      </c>
      <c r="BF119" s="43" t="e">
        <f>BF118+(ATM_Conf!$C$5/ATM_Conf!$C$8)*(BZ119*EXP(-(1/DN119)*(AL119/CT119)^DN119)-BF118)+(ATM_Conf!$C$5/AL306)*BF118*(BE118-BF118)-(ATM_Conf!$C$5*ATM_Conf!$C$9)/(AL306*ATM_Conf!$C$8)*(AM118-AL118)/(AL118+ATM_Conf!$C$10)</f>
        <v>#DIV/0!</v>
      </c>
      <c r="BG119" s="43" t="e">
        <f>BG118+(ATM_Conf!$C$5/ATM_Conf!$C$8)*(CA119*EXP(-(1/DO119)*(AM119/CU119)^DO119)-BG118)+(ATM_Conf!$C$5/AM306)*BG118*(Nodes!BM118-BG118)-(ATM_Conf!$C$5*ATM_Conf!$C$9)/(AM306*ATM_Conf!$C$8)*(Nodes!CA118-AM118)/(AM118+ATM_Conf!$C$10)</f>
        <v>#DIV/0!</v>
      </c>
      <c r="BH119" s="43" t="e">
        <f>BH118+(ATM_Conf!$C$5/ATM_Conf!$C$8)*(CB119*EXP(-(1/DP119)*(AN119/CV119)^DP119)-BH118)+(ATM_Conf!$C$5/AN306)*BH118*(BG118-BH118)-(ATM_Conf!$C$5*ATM_Conf!$C$9)/(AN306*ATM_Conf!$C$8)*(AO118-AN118)/(AN118+ATM_Conf!$C$10)</f>
        <v>#DIV/0!</v>
      </c>
      <c r="BI119" s="43" t="e">
        <f>BI118+(ATM_Conf!$C$5/ATM_Conf!$C$8)*(CC119*EXP(-(1/DQ119)*(AO119/CW119)^DQ119)-BI118)+(ATM_Conf!$C$5/AO306)*BI118*(BH118-BI118)</f>
        <v>#DIV/0!</v>
      </c>
      <c r="BJ119" s="53"/>
      <c r="BK119" s="53"/>
      <c r="BL119" s="53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/>
      <c r="BW119" s="53"/>
      <c r="BX119" s="53"/>
      <c r="BY119" s="53"/>
      <c r="BZ119" s="53"/>
      <c r="CA119" s="53"/>
      <c r="CB119" s="53"/>
      <c r="CC119" s="5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53"/>
      <c r="CY119" s="53"/>
      <c r="CZ119" s="53"/>
      <c r="DA119" s="53"/>
      <c r="DB119" s="53"/>
      <c r="DC119" s="53"/>
      <c r="DD119" s="53"/>
      <c r="DE119" s="53"/>
      <c r="DF119" s="53"/>
      <c r="DG119" s="53"/>
      <c r="DH119" s="53"/>
      <c r="DI119" s="53"/>
      <c r="DJ119" s="53"/>
      <c r="DK119" s="53"/>
      <c r="DL119" s="53"/>
      <c r="DM119" s="53"/>
      <c r="DN119" s="53"/>
      <c r="DO119" s="53"/>
      <c r="DP119" s="53"/>
      <c r="DQ119" s="53"/>
      <c r="DR119" s="43">
        <f t="shared" si="70"/>
        <v>0</v>
      </c>
      <c r="DS119" s="43">
        <f t="shared" si="69"/>
        <v>0</v>
      </c>
      <c r="DT119" s="43">
        <f t="shared" si="69"/>
        <v>0</v>
      </c>
      <c r="DU119" s="43">
        <f t="shared" si="69"/>
        <v>0</v>
      </c>
      <c r="DV119" s="43">
        <f t="shared" si="69"/>
        <v>0</v>
      </c>
      <c r="DW119" s="43">
        <f t="shared" si="69"/>
        <v>0</v>
      </c>
      <c r="DX119" s="43">
        <f t="shared" si="69"/>
        <v>0</v>
      </c>
      <c r="DY119" s="43">
        <f t="shared" si="69"/>
        <v>0</v>
      </c>
      <c r="DZ119" s="43">
        <f t="shared" si="69"/>
        <v>0</v>
      </c>
      <c r="EA119" s="43">
        <f t="shared" si="69"/>
        <v>0</v>
      </c>
      <c r="EB119" s="43">
        <f t="shared" si="69"/>
        <v>0</v>
      </c>
      <c r="EC119" s="43">
        <f t="shared" si="69"/>
        <v>0</v>
      </c>
      <c r="ED119" s="43">
        <f t="shared" si="69"/>
        <v>0</v>
      </c>
      <c r="EE119" s="43">
        <f t="shared" si="69"/>
        <v>0</v>
      </c>
      <c r="EF119" s="43">
        <f t="shared" si="69"/>
        <v>0</v>
      </c>
      <c r="EG119" s="43">
        <f t="shared" si="69"/>
        <v>0</v>
      </c>
      <c r="EH119" s="43">
        <f t="shared" si="69"/>
        <v>0</v>
      </c>
      <c r="EI119" s="43">
        <f t="shared" si="69"/>
        <v>0</v>
      </c>
      <c r="EJ119" s="43">
        <f t="shared" si="69"/>
        <v>0</v>
      </c>
      <c r="EK119" s="43">
        <f t="shared" si="69"/>
        <v>0</v>
      </c>
      <c r="EL119" s="47"/>
      <c r="EM119" s="47"/>
      <c r="EN119" s="47"/>
      <c r="EO119" s="47"/>
      <c r="EP119" s="47"/>
      <c r="EQ119" s="47"/>
      <c r="ER119" s="47"/>
      <c r="ES119" s="47"/>
      <c r="ET119" s="47"/>
      <c r="EU119" s="47"/>
      <c r="EV119" s="47"/>
      <c r="EW119" s="47"/>
      <c r="EX119" s="47"/>
      <c r="EY119" s="47"/>
      <c r="EZ119" s="47"/>
      <c r="FA119" s="47"/>
      <c r="FB119" s="47"/>
      <c r="FC119" s="47"/>
      <c r="FD119" s="47"/>
      <c r="FE119" s="47"/>
    </row>
    <row r="120" spans="1:161" ht="14.25" x14ac:dyDescent="0.15">
      <c r="A120" s="46"/>
      <c r="B120" s="43" t="e">
        <f t="shared" si="39"/>
        <v>#DIV/0!</v>
      </c>
      <c r="C120" s="43" t="e">
        <f t="shared" si="40"/>
        <v>#DIV/0!</v>
      </c>
      <c r="D120" s="43" t="e">
        <f t="shared" si="41"/>
        <v>#DIV/0!</v>
      </c>
      <c r="E120" s="43" t="e">
        <f t="shared" si="42"/>
        <v>#DIV/0!</v>
      </c>
      <c r="F120" s="43" t="e">
        <f t="shared" si="43"/>
        <v>#DIV/0!</v>
      </c>
      <c r="G120" s="43" t="e">
        <f t="shared" si="44"/>
        <v>#DIV/0!</v>
      </c>
      <c r="H120" s="43" t="e">
        <f t="shared" si="45"/>
        <v>#DIV/0!</v>
      </c>
      <c r="I120" s="43" t="e">
        <f t="shared" si="46"/>
        <v>#DIV/0!</v>
      </c>
      <c r="J120" s="43" t="e">
        <f t="shared" si="47"/>
        <v>#DIV/0!</v>
      </c>
      <c r="K120" s="43" t="e">
        <f t="shared" si="48"/>
        <v>#DIV/0!</v>
      </c>
      <c r="L120" s="43" t="e">
        <f t="shared" si="49"/>
        <v>#DIV/0!</v>
      </c>
      <c r="M120" s="43" t="e">
        <f t="shared" si="50"/>
        <v>#DIV/0!</v>
      </c>
      <c r="N120" s="43" t="e">
        <f t="shared" si="51"/>
        <v>#DIV/0!</v>
      </c>
      <c r="O120" s="43" t="e">
        <f t="shared" si="52"/>
        <v>#DIV/0!</v>
      </c>
      <c r="P120" s="43" t="e">
        <f t="shared" si="53"/>
        <v>#DIV/0!</v>
      </c>
      <c r="Q120" s="43" t="e">
        <f t="shared" si="54"/>
        <v>#DIV/0!</v>
      </c>
      <c r="R120" s="43" t="e">
        <f t="shared" si="55"/>
        <v>#DIV/0!</v>
      </c>
      <c r="S120" s="43" t="e">
        <f t="shared" si="56"/>
        <v>#DIV/0!</v>
      </c>
      <c r="T120" s="43" t="e">
        <f t="shared" si="57"/>
        <v>#DIV/0!</v>
      </c>
      <c r="U120" s="43" t="e">
        <f t="shared" si="58"/>
        <v>#DIV/0!</v>
      </c>
      <c r="V120" s="53" t="e">
        <f>V119+ATM_Conf!$C$5*(B119)/(B307*V307)</f>
        <v>#DIV/0!</v>
      </c>
      <c r="W120" s="53" t="e">
        <f>W119+ATM_Conf!$C$5*(C119-B119)/(C307*W307)</f>
        <v>#DIV/0!</v>
      </c>
      <c r="X120" s="53" t="e">
        <f>X119+ATM_Conf!$C$5*(D119-C119)/(D307*X307)</f>
        <v>#DIV/0!</v>
      </c>
      <c r="Y120" s="53" t="e">
        <f>Y119+ATM_Conf!$C$5*(E119-D119)/(E307*Y307)</f>
        <v>#DIV/0!</v>
      </c>
      <c r="Z120" s="53" t="e">
        <f>Z119+ATM_Conf!$C$5*(F119-E119)/(F307*Z307)</f>
        <v>#DIV/0!</v>
      </c>
      <c r="AA120" s="53" t="e">
        <f>AA119+ATM_Conf!$C$5*(G119-F119)/(G307*AA307)</f>
        <v>#DIV/0!</v>
      </c>
      <c r="AB120" s="53" t="e">
        <f>AB119+ATM_Conf!$C$5*(H119-G119)/(H307*AB307)</f>
        <v>#DIV/0!</v>
      </c>
      <c r="AC120" s="53" t="e">
        <f>AC119+ATM_Conf!$C$5*(I119-H119)/(I307*AC307)</f>
        <v>#DIV/0!</v>
      </c>
      <c r="AD120" s="53" t="e">
        <f>AD119+ATM_Conf!$C$5*(J119-I119)/(J307*AD307)</f>
        <v>#DIV/0!</v>
      </c>
      <c r="AE120" s="53" t="e">
        <f>AE119+ATM_Conf!$C$5*(K119-J119)/(K307*AE307)</f>
        <v>#DIV/0!</v>
      </c>
      <c r="AF120" s="53" t="e">
        <f>AF119+ATM_Conf!$C$5*(L119)/(L307*AF307)</f>
        <v>#DIV/0!</v>
      </c>
      <c r="AG120" s="53" t="e">
        <f>AG119+ATM_Conf!$C$5*(M119-L119)/(M307*AG307)</f>
        <v>#DIV/0!</v>
      </c>
      <c r="AH120" s="53" t="e">
        <f>AH119+ATM_Conf!$C$5*(N119-M119)/(N307*AH307)</f>
        <v>#DIV/0!</v>
      </c>
      <c r="AI120" s="53" t="e">
        <f>AI119+ATM_Conf!$C$5*(O119-N119)/(O307*AI307)</f>
        <v>#DIV/0!</v>
      </c>
      <c r="AJ120" s="53" t="e">
        <f>AJ119+ATM_Conf!$C$5*(P119-O119)/(P307*AJ307)</f>
        <v>#DIV/0!</v>
      </c>
      <c r="AK120" s="53" t="e">
        <f>AK119+ATM_Conf!$C$5*(Q119-P119)/(Q307*AK307)</f>
        <v>#DIV/0!</v>
      </c>
      <c r="AL120" s="53" t="e">
        <f>AL119+ATM_Conf!$C$5*(R119-Q119)/(R307*AL307)</f>
        <v>#DIV/0!</v>
      </c>
      <c r="AM120" s="53" t="e">
        <f>AM119+ATM_Conf!$C$5*(S119-R119)/(S307*AM307)</f>
        <v>#DIV/0!</v>
      </c>
      <c r="AN120" s="53" t="e">
        <f>AN119+ATM_Conf!$C$5*(T119-S119)/(T307*AN307)</f>
        <v>#DIV/0!</v>
      </c>
      <c r="AO120" s="53" t="e">
        <f>AO119+ATM_Conf!$C$5*(U119-T119)/(U307*AO307)</f>
        <v>#DIV/0!</v>
      </c>
      <c r="AP120" s="43" t="e">
        <f>AP119+(ATM_Conf!$C$5/ATM_Conf!$C$8)*(BJ120*EXP(-(1/CX120)*(V120/CD120)^CX120)-AP119)-(ATM_Conf!$C$5*ATM_Conf!$C$9)/(V307*ATM_Conf!$C$8)*(Nodes!BO119-V119)/(V119+ATM_Conf!$C$10)</f>
        <v>#DIV/0!</v>
      </c>
      <c r="AQ120" s="43" t="e">
        <f>AQ119+(ATM_Conf!$C$5/ATM_Conf!$C$8)*(BK120*EXP(-(1/CY120)*(W120/CE120)^CY120)-AQ119)+(ATM_Conf!$C$5/W307)*AQ119*(AP119-AQ119)-(ATM_Conf!$C$5*ATM_Conf!$C$9)/(W307*ATM_Conf!$C$8)*(X119-W119)/(W119+ATM_Conf!$C$10)</f>
        <v>#DIV/0!</v>
      </c>
      <c r="AR120" s="43" t="e">
        <f>AR119+(ATM_Conf!$C$5/ATM_Conf!$C$8)*(BL120*EXP(-(1/CZ120)*(X120/CF120)^CZ120)-AR119)+(ATM_Conf!$C$5/X307)*AR119*(Nodes!BC119-AR119)-(ATM_Conf!$C$5*ATM_Conf!$C$9)/(X307*ATM_Conf!$C$8)*(Nodes!BQ119-X119)/(X119+ATM_Conf!$C$10)</f>
        <v>#DIV/0!</v>
      </c>
      <c r="AS120" s="43" t="e">
        <f>AS119+(ATM_Conf!$C$5/ATM_Conf!$C$8)*(BM120*EXP(-(1/DA120)*(Y120/CG120)^DA120)-AS119)+(ATM_Conf!$C$5/Y307)*AS119*(AR119-AS119)-(ATM_Conf!$C$5*ATM_Conf!$C$9)/(Y307*ATM_Conf!$C$8)*(Z119-Y119)/(Y119+ATM_Conf!$C$10)</f>
        <v>#DIV/0!</v>
      </c>
      <c r="AT120" s="43" t="e">
        <f>AT119+(ATM_Conf!$C$5/ATM_Conf!$C$8)*(BN120*EXP(-(1/DB120)*(Z120/CH120)^DB120)-AT119)+(ATM_Conf!$C$5/Z307)*AT119*(Nodes!BE119-AT119)-(ATM_Conf!$C$5*ATM_Conf!$C$9)/(Z307*ATM_Conf!$C$8)*(Nodes!BS119-Z119)/(Z119+ATM_Conf!$C$10)</f>
        <v>#DIV/0!</v>
      </c>
      <c r="AU120" s="43" t="e">
        <f>AU119+(ATM_Conf!$C$5/ATM_Conf!$C$8)*(BO120*EXP(-(1/DC120)*(AA120/CI120)^DC120)-AU119)+(ATM_Conf!$C$5/AA307)*AU119*(Nodes!BF119-AU119)-(ATM_Conf!$C$5*ATM_Conf!$C$9)/(AA307*ATM_Conf!$C$8)*(Nodes!BV119-AA119)/(AA119+ATM_Conf!$C$10)</f>
        <v>#DIV/0!</v>
      </c>
      <c r="AV120" s="43" t="e">
        <f>AV119+(ATM_Conf!$C$5/ATM_Conf!$C$8)*(BP120*EXP(-(1/DD120)*(AB120/CJ120)^DD120)-AV119)+(ATM_Conf!$C$5/AB307)*AV119*(AU119-AV119)-(ATM_Conf!$C$5*ATM_Conf!$C$9)/(AB307*ATM_Conf!$C$8)*(AC119-AB119)/(AB119+ATM_Conf!$C$10)</f>
        <v>#DIV/0!</v>
      </c>
      <c r="AW120" s="43" t="e">
        <f>AW119+(ATM_Conf!$C$5/ATM_Conf!$C$8)*(BQ120*EXP(-(1/DE120)*(AC120/CK120)^DE120)-AW119)+(ATM_Conf!$C$5/AC307)*AW119*(AV119-AW119)-(ATM_Conf!$C$5*ATM_Conf!$C$9)/(AC307*ATM_Conf!$C$8)*(AD119-AC119)/(AC119+ATM_Conf!$C$10)</f>
        <v>#DIV/0!</v>
      </c>
      <c r="AX120" s="43" t="e">
        <f>AX119+(ATM_Conf!$C$5/ATM_Conf!$C$8)*(BR120*EXP(-(1/DF120)*(AD120/CL120)^DF120)-AX119)+(ATM_Conf!$C$5/AD307)*AX119*(Nodes!BG119-AX119)-(ATM_Conf!$C$5*ATM_Conf!$C$9)/(AD307*ATM_Conf!$C$8)*(Nodes!BU119-AD119)/(AD119+ATM_Conf!$C$10)</f>
        <v>#DIV/0!</v>
      </c>
      <c r="AY120" s="43" t="e">
        <f>AY119+(ATM_Conf!$C$5/ATM_Conf!$C$8)*(BS120*EXP(-(1/DG120)*(AE120/CM120)^DG120)-AY119)+(ATM_Conf!$C$5/AE307)*AY119*(Nodes!BF119-AY119)</f>
        <v>#DIV/0!</v>
      </c>
      <c r="AZ120" s="43" t="e">
        <f>AZ119+(ATM_Conf!$C$5/ATM_Conf!$C$8)*(BT120*EXP(-(1/DH120)*(AF120/CN120)^DH120)-AZ119)-(ATM_Conf!$C$5*ATM_Conf!$C$9)/(AF307*ATM_Conf!$C$8)*(Nodes!BV119-AF119)/(AF119+ATM_Conf!$C$10)</f>
        <v>#DIV/0!</v>
      </c>
      <c r="BA120" s="43" t="e">
        <f>BA119+(ATM_Conf!$C$5/ATM_Conf!$C$8)*(BU120*EXP(-(1/DI120)*(AG120/CO120)^DI120)-BA119)+(ATM_Conf!$C$5/AG307)*BA119*(Nodes!BI119-BA119)-(ATM_Conf!$C$5*ATM_Conf!$C$9)/(AG307*ATM_Conf!$C$8)*(Nodes!BW119-AG119)/(AG119+ATM_Conf!$C$10)</f>
        <v>#DIV/0!</v>
      </c>
      <c r="BB120" s="43" t="e">
        <f>BB119+(ATM_Conf!$C$5/ATM_Conf!$C$8)*(BV120*EXP(-(1/DJ120)*(AH120/CP120)^DJ120)-BB119)+(ATM_Conf!$C$5/AH307)*BB119*(Nodes!BJ119-BB119)-(ATM_Conf!$C$5*ATM_Conf!$C$9)/(AH307*ATM_Conf!$C$8)*(AI119-AH119)/(AH119+ATM_Conf!$C$10)</f>
        <v>#DIV/0!</v>
      </c>
      <c r="BC120" s="43" t="e">
        <f>BC119+(ATM_Conf!$C$5/ATM_Conf!$C$8)*(BW120*EXP(-(1/DK120)*(AI120/CQ120)^DK120)-BC119)+(ATM_Conf!$C$5/AI307)*BC119*(BB119-BC119)-(ATM_Conf!$C$5*ATM_Conf!$C$9)/(AI307*ATM_Conf!$C$8)*(AJ119-AI119)/(AI119+ATM_Conf!$C$10)</f>
        <v>#DIV/0!</v>
      </c>
      <c r="BD120" s="43" t="e">
        <f>BD119+(ATM_Conf!$C$5/ATM_Conf!$C$8)*(BX120*EXP(-(1/DL120)*(AJ120/CR120)^DL120)-BD119)+(ATM_Conf!$C$5/AJ307)*BD119*(BC119-BD119)-(ATM_Conf!$C$5*ATM_Conf!$C$9)/(AJ307*ATM_Conf!$C$8)*(Nodes!BX119-AJ119)/(AJ119+ATM_Conf!$C$10)</f>
        <v>#DIV/0!</v>
      </c>
      <c r="BE120" s="43" t="e">
        <f>BE119+(ATM_Conf!$C$5/ATM_Conf!$C$8)*(BY120*EXP(-(1/DM120)*(AK120/CS120)^DM120)-BE119)+(ATM_Conf!$C$5/AK307)*BE119*(Nodes!BK119-BE119)-(ATM_Conf!$C$5*ATM_Conf!$C$9)/(AK307*ATM_Conf!$C$8)*(Nodes!BY119-AK119)/(AK119+ATM_Conf!$C$10)</f>
        <v>#DIV/0!</v>
      </c>
      <c r="BF120" s="43" t="e">
        <f>BF119+(ATM_Conf!$C$5/ATM_Conf!$C$8)*(BZ120*EXP(-(1/DN120)*(AL120/CT120)^DN120)-BF119)+(ATM_Conf!$C$5/AL307)*BF119*(BE119-BF119)-(ATM_Conf!$C$5*ATM_Conf!$C$9)/(AL307*ATM_Conf!$C$8)*(AM119-AL119)/(AL119+ATM_Conf!$C$10)</f>
        <v>#DIV/0!</v>
      </c>
      <c r="BG120" s="43" t="e">
        <f>BG119+(ATM_Conf!$C$5/ATM_Conf!$C$8)*(CA120*EXP(-(1/DO120)*(AM120/CU120)^DO120)-BG119)+(ATM_Conf!$C$5/AM307)*BG119*(Nodes!BM119-BG119)-(ATM_Conf!$C$5*ATM_Conf!$C$9)/(AM307*ATM_Conf!$C$8)*(Nodes!CA119-AM119)/(AM119+ATM_Conf!$C$10)</f>
        <v>#DIV/0!</v>
      </c>
      <c r="BH120" s="43" t="e">
        <f>BH119+(ATM_Conf!$C$5/ATM_Conf!$C$8)*(CB120*EXP(-(1/DP120)*(AN120/CV120)^DP120)-BH119)+(ATM_Conf!$C$5/AN307)*BH119*(BG119-BH119)-(ATM_Conf!$C$5*ATM_Conf!$C$9)/(AN307*ATM_Conf!$C$8)*(AO119-AN119)/(AN119+ATM_Conf!$C$10)</f>
        <v>#DIV/0!</v>
      </c>
      <c r="BI120" s="43" t="e">
        <f>BI119+(ATM_Conf!$C$5/ATM_Conf!$C$8)*(CC120*EXP(-(1/DQ120)*(AO120/CW120)^DQ120)-BI119)+(ATM_Conf!$C$5/AO307)*BI119*(BH119-BI119)</f>
        <v>#DIV/0!</v>
      </c>
      <c r="BJ120" s="53"/>
      <c r="BK120" s="53"/>
      <c r="BL120" s="53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/>
      <c r="BW120" s="53"/>
      <c r="BX120" s="53"/>
      <c r="BY120" s="53"/>
      <c r="BZ120" s="53"/>
      <c r="CA120" s="53"/>
      <c r="CB120" s="53"/>
      <c r="CC120" s="5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53"/>
      <c r="CY120" s="53"/>
      <c r="CZ120" s="53"/>
      <c r="DA120" s="53"/>
      <c r="DB120" s="53"/>
      <c r="DC120" s="53"/>
      <c r="DD120" s="53"/>
      <c r="DE120" s="53"/>
      <c r="DF120" s="53"/>
      <c r="DG120" s="53"/>
      <c r="DH120" s="53"/>
      <c r="DI120" s="53"/>
      <c r="DJ120" s="53"/>
      <c r="DK120" s="53"/>
      <c r="DL120" s="53"/>
      <c r="DM120" s="53"/>
      <c r="DN120" s="53"/>
      <c r="DO120" s="53"/>
      <c r="DP120" s="53"/>
      <c r="DQ120" s="53"/>
      <c r="DR120" s="43">
        <f t="shared" si="70"/>
        <v>0</v>
      </c>
      <c r="DS120" s="43">
        <f t="shared" si="69"/>
        <v>0</v>
      </c>
      <c r="DT120" s="43">
        <f t="shared" si="69"/>
        <v>0</v>
      </c>
      <c r="DU120" s="43">
        <f t="shared" si="69"/>
        <v>0</v>
      </c>
      <c r="DV120" s="43">
        <f t="shared" si="69"/>
        <v>0</v>
      </c>
      <c r="DW120" s="43">
        <f t="shared" si="69"/>
        <v>0</v>
      </c>
      <c r="DX120" s="43">
        <f t="shared" si="69"/>
        <v>0</v>
      </c>
      <c r="DY120" s="43">
        <f t="shared" si="69"/>
        <v>0</v>
      </c>
      <c r="DZ120" s="43">
        <f t="shared" si="69"/>
        <v>0</v>
      </c>
      <c r="EA120" s="43">
        <f t="shared" si="69"/>
        <v>0</v>
      </c>
      <c r="EB120" s="43">
        <f t="shared" si="69"/>
        <v>0</v>
      </c>
      <c r="EC120" s="43">
        <f t="shared" si="69"/>
        <v>0</v>
      </c>
      <c r="ED120" s="43">
        <f t="shared" si="69"/>
        <v>0</v>
      </c>
      <c r="EE120" s="43">
        <f t="shared" si="69"/>
        <v>0</v>
      </c>
      <c r="EF120" s="43">
        <f t="shared" si="69"/>
        <v>0</v>
      </c>
      <c r="EG120" s="43">
        <f t="shared" si="69"/>
        <v>0</v>
      </c>
      <c r="EH120" s="43">
        <f t="shared" si="69"/>
        <v>0</v>
      </c>
      <c r="EI120" s="43">
        <f t="shared" si="69"/>
        <v>0</v>
      </c>
      <c r="EJ120" s="43">
        <f t="shared" si="69"/>
        <v>0</v>
      </c>
      <c r="EK120" s="43">
        <f t="shared" si="69"/>
        <v>0</v>
      </c>
      <c r="EL120" s="47"/>
      <c r="EM120" s="47"/>
      <c r="EN120" s="47"/>
      <c r="EO120" s="47"/>
      <c r="EP120" s="47"/>
      <c r="EQ120" s="47"/>
      <c r="ER120" s="47"/>
      <c r="ES120" s="47"/>
      <c r="ET120" s="47"/>
      <c r="EU120" s="47"/>
      <c r="EV120" s="47"/>
      <c r="EW120" s="47"/>
      <c r="EX120" s="47"/>
      <c r="EY120" s="47"/>
      <c r="EZ120" s="47"/>
      <c r="FA120" s="47"/>
      <c r="FB120" s="47"/>
      <c r="FC120" s="47"/>
      <c r="FD120" s="47"/>
      <c r="FE120" s="47"/>
    </row>
    <row r="121" spans="1:161" ht="14.25" x14ac:dyDescent="0.15">
      <c r="A121" s="46"/>
      <c r="B121" s="43" t="e">
        <f t="shared" si="39"/>
        <v>#DIV/0!</v>
      </c>
      <c r="C121" s="43" t="e">
        <f t="shared" si="40"/>
        <v>#DIV/0!</v>
      </c>
      <c r="D121" s="43" t="e">
        <f t="shared" si="41"/>
        <v>#DIV/0!</v>
      </c>
      <c r="E121" s="43" t="e">
        <f t="shared" si="42"/>
        <v>#DIV/0!</v>
      </c>
      <c r="F121" s="43" t="e">
        <f t="shared" si="43"/>
        <v>#DIV/0!</v>
      </c>
      <c r="G121" s="43" t="e">
        <f t="shared" si="44"/>
        <v>#DIV/0!</v>
      </c>
      <c r="H121" s="43" t="e">
        <f t="shared" si="45"/>
        <v>#DIV/0!</v>
      </c>
      <c r="I121" s="43" t="e">
        <f t="shared" si="46"/>
        <v>#DIV/0!</v>
      </c>
      <c r="J121" s="43" t="e">
        <f t="shared" si="47"/>
        <v>#DIV/0!</v>
      </c>
      <c r="K121" s="43" t="e">
        <f t="shared" si="48"/>
        <v>#DIV/0!</v>
      </c>
      <c r="L121" s="43" t="e">
        <f t="shared" si="49"/>
        <v>#DIV/0!</v>
      </c>
      <c r="M121" s="43" t="e">
        <f t="shared" si="50"/>
        <v>#DIV/0!</v>
      </c>
      <c r="N121" s="43" t="e">
        <f t="shared" si="51"/>
        <v>#DIV/0!</v>
      </c>
      <c r="O121" s="43" t="e">
        <f t="shared" si="52"/>
        <v>#DIV/0!</v>
      </c>
      <c r="P121" s="43" t="e">
        <f t="shared" si="53"/>
        <v>#DIV/0!</v>
      </c>
      <c r="Q121" s="43" t="e">
        <f t="shared" si="54"/>
        <v>#DIV/0!</v>
      </c>
      <c r="R121" s="43" t="e">
        <f t="shared" si="55"/>
        <v>#DIV/0!</v>
      </c>
      <c r="S121" s="43" t="e">
        <f t="shared" si="56"/>
        <v>#DIV/0!</v>
      </c>
      <c r="T121" s="43" t="e">
        <f t="shared" si="57"/>
        <v>#DIV/0!</v>
      </c>
      <c r="U121" s="43" t="e">
        <f t="shared" si="58"/>
        <v>#DIV/0!</v>
      </c>
      <c r="V121" s="53" t="e">
        <f>V120+ATM_Conf!$C$5*(B120)/(B308*V308)</f>
        <v>#DIV/0!</v>
      </c>
      <c r="W121" s="53" t="e">
        <f>W120+ATM_Conf!$C$5*(C120-B120)/(C308*W308)</f>
        <v>#DIV/0!</v>
      </c>
      <c r="X121" s="53" t="e">
        <f>X120+ATM_Conf!$C$5*(D120-C120)/(D308*X308)</f>
        <v>#DIV/0!</v>
      </c>
      <c r="Y121" s="53" t="e">
        <f>Y120+ATM_Conf!$C$5*(E120-D120)/(E308*Y308)</f>
        <v>#DIV/0!</v>
      </c>
      <c r="Z121" s="53" t="e">
        <f>Z120+ATM_Conf!$C$5*(F120-E120)/(F308*Z308)</f>
        <v>#DIV/0!</v>
      </c>
      <c r="AA121" s="53" t="e">
        <f>AA120+ATM_Conf!$C$5*(G120-F120)/(G308*AA308)</f>
        <v>#DIV/0!</v>
      </c>
      <c r="AB121" s="53" t="e">
        <f>AB120+ATM_Conf!$C$5*(H120-G120)/(H308*AB308)</f>
        <v>#DIV/0!</v>
      </c>
      <c r="AC121" s="53" t="e">
        <f>AC120+ATM_Conf!$C$5*(I120-H120)/(I308*AC308)</f>
        <v>#DIV/0!</v>
      </c>
      <c r="AD121" s="53" t="e">
        <f>AD120+ATM_Conf!$C$5*(J120-I120)/(J308*AD308)</f>
        <v>#DIV/0!</v>
      </c>
      <c r="AE121" s="53" t="e">
        <f>AE120+ATM_Conf!$C$5*(K120-J120)/(K308*AE308)</f>
        <v>#DIV/0!</v>
      </c>
      <c r="AF121" s="53" t="e">
        <f>AF120+ATM_Conf!$C$5*(L120)/(L308*AF308)</f>
        <v>#DIV/0!</v>
      </c>
      <c r="AG121" s="53" t="e">
        <f>AG120+ATM_Conf!$C$5*(M120-L120)/(M308*AG308)</f>
        <v>#DIV/0!</v>
      </c>
      <c r="AH121" s="53" t="e">
        <f>AH120+ATM_Conf!$C$5*(N120-M120)/(N308*AH308)</f>
        <v>#DIV/0!</v>
      </c>
      <c r="AI121" s="53" t="e">
        <f>AI120+ATM_Conf!$C$5*(O120-N120)/(O308*AI308)</f>
        <v>#DIV/0!</v>
      </c>
      <c r="AJ121" s="53" t="e">
        <f>AJ120+ATM_Conf!$C$5*(P120-O120)/(P308*AJ308)</f>
        <v>#DIV/0!</v>
      </c>
      <c r="AK121" s="53" t="e">
        <f>AK120+ATM_Conf!$C$5*(Q120-P120)/(Q308*AK308)</f>
        <v>#DIV/0!</v>
      </c>
      <c r="AL121" s="53" t="e">
        <f>AL120+ATM_Conf!$C$5*(R120-Q120)/(R308*AL308)</f>
        <v>#DIV/0!</v>
      </c>
      <c r="AM121" s="53" t="e">
        <f>AM120+ATM_Conf!$C$5*(S120-R120)/(S308*AM308)</f>
        <v>#DIV/0!</v>
      </c>
      <c r="AN121" s="53" t="e">
        <f>AN120+ATM_Conf!$C$5*(T120-S120)/(T308*AN308)</f>
        <v>#DIV/0!</v>
      </c>
      <c r="AO121" s="53" t="e">
        <f>AO120+ATM_Conf!$C$5*(U120-T120)/(U308*AO308)</f>
        <v>#DIV/0!</v>
      </c>
      <c r="AP121" s="43" t="e">
        <f>AP120+(ATM_Conf!$C$5/ATM_Conf!$C$8)*(BJ121*EXP(-(1/CX121)*(V121/CD121)^CX121)-AP120)-(ATM_Conf!$C$5*ATM_Conf!$C$9)/(V308*ATM_Conf!$C$8)*(Nodes!BO120-V120)/(V120+ATM_Conf!$C$10)</f>
        <v>#DIV/0!</v>
      </c>
      <c r="AQ121" s="43" t="e">
        <f>AQ120+(ATM_Conf!$C$5/ATM_Conf!$C$8)*(BK121*EXP(-(1/CY121)*(W121/CE121)^CY121)-AQ120)+(ATM_Conf!$C$5/W308)*AQ120*(AP120-AQ120)-(ATM_Conf!$C$5*ATM_Conf!$C$9)/(W308*ATM_Conf!$C$8)*(X120-W120)/(W120+ATM_Conf!$C$10)</f>
        <v>#DIV/0!</v>
      </c>
      <c r="AR121" s="43" t="e">
        <f>AR120+(ATM_Conf!$C$5/ATM_Conf!$C$8)*(BL121*EXP(-(1/CZ121)*(X121/CF121)^CZ121)-AR120)+(ATM_Conf!$C$5/X308)*AR120*(Nodes!BC120-AR120)-(ATM_Conf!$C$5*ATM_Conf!$C$9)/(X308*ATM_Conf!$C$8)*(Nodes!BQ120-X120)/(X120+ATM_Conf!$C$10)</f>
        <v>#DIV/0!</v>
      </c>
      <c r="AS121" s="43" t="e">
        <f>AS120+(ATM_Conf!$C$5/ATM_Conf!$C$8)*(BM121*EXP(-(1/DA121)*(Y121/CG121)^DA121)-AS120)+(ATM_Conf!$C$5/Y308)*AS120*(AR120-AS120)-(ATM_Conf!$C$5*ATM_Conf!$C$9)/(Y308*ATM_Conf!$C$8)*(Z120-Y120)/(Y120+ATM_Conf!$C$10)</f>
        <v>#DIV/0!</v>
      </c>
      <c r="AT121" s="43" t="e">
        <f>AT120+(ATM_Conf!$C$5/ATM_Conf!$C$8)*(BN121*EXP(-(1/DB121)*(Z121/CH121)^DB121)-AT120)+(ATM_Conf!$C$5/Z308)*AT120*(Nodes!BE120-AT120)-(ATM_Conf!$C$5*ATM_Conf!$C$9)/(Z308*ATM_Conf!$C$8)*(Nodes!BS120-Z120)/(Z120+ATM_Conf!$C$10)</f>
        <v>#DIV/0!</v>
      </c>
      <c r="AU121" s="43" t="e">
        <f>AU120+(ATM_Conf!$C$5/ATM_Conf!$C$8)*(BO121*EXP(-(1/DC121)*(AA121/CI121)^DC121)-AU120)+(ATM_Conf!$C$5/AA308)*AU120*(Nodes!BF120-AU120)-(ATM_Conf!$C$5*ATM_Conf!$C$9)/(AA308*ATM_Conf!$C$8)*(Nodes!BV120-AA120)/(AA120+ATM_Conf!$C$10)</f>
        <v>#DIV/0!</v>
      </c>
      <c r="AV121" s="43" t="e">
        <f>AV120+(ATM_Conf!$C$5/ATM_Conf!$C$8)*(BP121*EXP(-(1/DD121)*(AB121/CJ121)^DD121)-AV120)+(ATM_Conf!$C$5/AB308)*AV120*(AU120-AV120)-(ATM_Conf!$C$5*ATM_Conf!$C$9)/(AB308*ATM_Conf!$C$8)*(AC120-AB120)/(AB120+ATM_Conf!$C$10)</f>
        <v>#DIV/0!</v>
      </c>
      <c r="AW121" s="43" t="e">
        <f>AW120+(ATM_Conf!$C$5/ATM_Conf!$C$8)*(BQ121*EXP(-(1/DE121)*(AC121/CK121)^DE121)-AW120)+(ATM_Conf!$C$5/AC308)*AW120*(AV120-AW120)-(ATM_Conf!$C$5*ATM_Conf!$C$9)/(AC308*ATM_Conf!$C$8)*(AD120-AC120)/(AC120+ATM_Conf!$C$10)</f>
        <v>#DIV/0!</v>
      </c>
      <c r="AX121" s="43" t="e">
        <f>AX120+(ATM_Conf!$C$5/ATM_Conf!$C$8)*(BR121*EXP(-(1/DF121)*(AD121/CL121)^DF121)-AX120)+(ATM_Conf!$C$5/AD308)*AX120*(Nodes!BG120-AX120)-(ATM_Conf!$C$5*ATM_Conf!$C$9)/(AD308*ATM_Conf!$C$8)*(Nodes!BU120-AD120)/(AD120+ATM_Conf!$C$10)</f>
        <v>#DIV/0!</v>
      </c>
      <c r="AY121" s="43" t="e">
        <f>AY120+(ATM_Conf!$C$5/ATM_Conf!$C$8)*(BS121*EXP(-(1/DG121)*(AE121/CM121)^DG121)-AY120)+(ATM_Conf!$C$5/AE308)*AY120*(Nodes!BF120-AY120)</f>
        <v>#DIV/0!</v>
      </c>
      <c r="AZ121" s="43" t="e">
        <f>AZ120+(ATM_Conf!$C$5/ATM_Conf!$C$8)*(BT121*EXP(-(1/DH121)*(AF121/CN121)^DH121)-AZ120)-(ATM_Conf!$C$5*ATM_Conf!$C$9)/(AF308*ATM_Conf!$C$8)*(Nodes!BV120-AF120)/(AF120+ATM_Conf!$C$10)</f>
        <v>#DIV/0!</v>
      </c>
      <c r="BA121" s="43" t="e">
        <f>BA120+(ATM_Conf!$C$5/ATM_Conf!$C$8)*(BU121*EXP(-(1/DI121)*(AG121/CO121)^DI121)-BA120)+(ATM_Conf!$C$5/AG308)*BA120*(Nodes!BI120-BA120)-(ATM_Conf!$C$5*ATM_Conf!$C$9)/(AG308*ATM_Conf!$C$8)*(Nodes!BW120-AG120)/(AG120+ATM_Conf!$C$10)</f>
        <v>#DIV/0!</v>
      </c>
      <c r="BB121" s="43" t="e">
        <f>BB120+(ATM_Conf!$C$5/ATM_Conf!$C$8)*(BV121*EXP(-(1/DJ121)*(AH121/CP121)^DJ121)-BB120)+(ATM_Conf!$C$5/AH308)*BB120*(Nodes!BJ120-BB120)-(ATM_Conf!$C$5*ATM_Conf!$C$9)/(AH308*ATM_Conf!$C$8)*(AI120-AH120)/(AH120+ATM_Conf!$C$10)</f>
        <v>#DIV/0!</v>
      </c>
      <c r="BC121" s="43" t="e">
        <f>BC120+(ATM_Conf!$C$5/ATM_Conf!$C$8)*(BW121*EXP(-(1/DK121)*(AI121/CQ121)^DK121)-BC120)+(ATM_Conf!$C$5/AI308)*BC120*(BB120-BC120)-(ATM_Conf!$C$5*ATM_Conf!$C$9)/(AI308*ATM_Conf!$C$8)*(AJ120-AI120)/(AI120+ATM_Conf!$C$10)</f>
        <v>#DIV/0!</v>
      </c>
      <c r="BD121" s="43" t="e">
        <f>BD120+(ATM_Conf!$C$5/ATM_Conf!$C$8)*(BX121*EXP(-(1/DL121)*(AJ121/CR121)^DL121)-BD120)+(ATM_Conf!$C$5/AJ308)*BD120*(BC120-BD120)-(ATM_Conf!$C$5*ATM_Conf!$C$9)/(AJ308*ATM_Conf!$C$8)*(Nodes!BX120-AJ120)/(AJ120+ATM_Conf!$C$10)</f>
        <v>#DIV/0!</v>
      </c>
      <c r="BE121" s="43" t="e">
        <f>BE120+(ATM_Conf!$C$5/ATM_Conf!$C$8)*(BY121*EXP(-(1/DM121)*(AK121/CS121)^DM121)-BE120)+(ATM_Conf!$C$5/AK308)*BE120*(Nodes!BK120-BE120)-(ATM_Conf!$C$5*ATM_Conf!$C$9)/(AK308*ATM_Conf!$C$8)*(Nodes!BY120-AK120)/(AK120+ATM_Conf!$C$10)</f>
        <v>#DIV/0!</v>
      </c>
      <c r="BF121" s="43" t="e">
        <f>BF120+(ATM_Conf!$C$5/ATM_Conf!$C$8)*(BZ121*EXP(-(1/DN121)*(AL121/CT121)^DN121)-BF120)+(ATM_Conf!$C$5/AL308)*BF120*(BE120-BF120)-(ATM_Conf!$C$5*ATM_Conf!$C$9)/(AL308*ATM_Conf!$C$8)*(AM120-AL120)/(AL120+ATM_Conf!$C$10)</f>
        <v>#DIV/0!</v>
      </c>
      <c r="BG121" s="43" t="e">
        <f>BG120+(ATM_Conf!$C$5/ATM_Conf!$C$8)*(CA121*EXP(-(1/DO121)*(AM121/CU121)^DO121)-BG120)+(ATM_Conf!$C$5/AM308)*BG120*(Nodes!BM120-BG120)-(ATM_Conf!$C$5*ATM_Conf!$C$9)/(AM308*ATM_Conf!$C$8)*(Nodes!CA120-AM120)/(AM120+ATM_Conf!$C$10)</f>
        <v>#DIV/0!</v>
      </c>
      <c r="BH121" s="43" t="e">
        <f>BH120+(ATM_Conf!$C$5/ATM_Conf!$C$8)*(CB121*EXP(-(1/DP121)*(AN121/CV121)^DP121)-BH120)+(ATM_Conf!$C$5/AN308)*BH120*(BG120-BH120)-(ATM_Conf!$C$5*ATM_Conf!$C$9)/(AN308*ATM_Conf!$C$8)*(AO120-AN120)/(AN120+ATM_Conf!$C$10)</f>
        <v>#DIV/0!</v>
      </c>
      <c r="BI121" s="43" t="e">
        <f>BI120+(ATM_Conf!$C$5/ATM_Conf!$C$8)*(CC121*EXP(-(1/DQ121)*(AO121/CW121)^DQ121)-BI120)+(ATM_Conf!$C$5/AO308)*BI120*(BH120-BI120)</f>
        <v>#DIV/0!</v>
      </c>
      <c r="BJ121" s="53"/>
      <c r="BK121" s="53"/>
      <c r="BL121" s="53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/>
      <c r="BW121" s="53"/>
      <c r="BX121" s="53"/>
      <c r="BY121" s="53"/>
      <c r="BZ121" s="53"/>
      <c r="CA121" s="53"/>
      <c r="CB121" s="53"/>
      <c r="CC121" s="5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53"/>
      <c r="CY121" s="53"/>
      <c r="CZ121" s="53"/>
      <c r="DA121" s="53"/>
      <c r="DB121" s="53"/>
      <c r="DC121" s="53"/>
      <c r="DD121" s="53"/>
      <c r="DE121" s="53"/>
      <c r="DF121" s="53"/>
      <c r="DG121" s="53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  <c r="DR121" s="43">
        <f t="shared" si="70"/>
        <v>0</v>
      </c>
      <c r="DS121" s="43">
        <f t="shared" si="69"/>
        <v>0</v>
      </c>
      <c r="DT121" s="43">
        <f t="shared" si="69"/>
        <v>0</v>
      </c>
      <c r="DU121" s="43">
        <f t="shared" si="69"/>
        <v>0</v>
      </c>
      <c r="DV121" s="43">
        <f t="shared" si="69"/>
        <v>0</v>
      </c>
      <c r="DW121" s="43">
        <f t="shared" si="69"/>
        <v>0</v>
      </c>
      <c r="DX121" s="43">
        <f t="shared" si="69"/>
        <v>0</v>
      </c>
      <c r="DY121" s="43">
        <f t="shared" si="69"/>
        <v>0</v>
      </c>
      <c r="DZ121" s="43">
        <f t="shared" si="69"/>
        <v>0</v>
      </c>
      <c r="EA121" s="43">
        <f t="shared" si="69"/>
        <v>0</v>
      </c>
      <c r="EB121" s="43">
        <f t="shared" si="69"/>
        <v>0</v>
      </c>
      <c r="EC121" s="43">
        <f t="shared" si="69"/>
        <v>0</v>
      </c>
      <c r="ED121" s="43">
        <f t="shared" si="69"/>
        <v>0</v>
      </c>
      <c r="EE121" s="43">
        <f t="shared" si="69"/>
        <v>0</v>
      </c>
      <c r="EF121" s="43">
        <f t="shared" si="69"/>
        <v>0</v>
      </c>
      <c r="EG121" s="43">
        <f t="shared" si="69"/>
        <v>0</v>
      </c>
      <c r="EH121" s="43">
        <f t="shared" si="69"/>
        <v>0</v>
      </c>
      <c r="EI121" s="43">
        <f t="shared" si="69"/>
        <v>0</v>
      </c>
      <c r="EJ121" s="43">
        <f t="shared" si="69"/>
        <v>0</v>
      </c>
      <c r="EK121" s="43">
        <f t="shared" si="69"/>
        <v>0</v>
      </c>
      <c r="EL121" s="47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47"/>
      <c r="FA121" s="47"/>
      <c r="FB121" s="47"/>
      <c r="FC121" s="47"/>
      <c r="FD121" s="47"/>
      <c r="FE121" s="47"/>
    </row>
    <row r="122" spans="1:161" ht="14.25" x14ac:dyDescent="0.15">
      <c r="A122" s="46"/>
      <c r="B122" s="43" t="e">
        <f t="shared" si="39"/>
        <v>#DIV/0!</v>
      </c>
      <c r="C122" s="43" t="e">
        <f t="shared" si="40"/>
        <v>#DIV/0!</v>
      </c>
      <c r="D122" s="43" t="e">
        <f t="shared" si="41"/>
        <v>#DIV/0!</v>
      </c>
      <c r="E122" s="43" t="e">
        <f t="shared" si="42"/>
        <v>#DIV/0!</v>
      </c>
      <c r="F122" s="43" t="e">
        <f t="shared" si="43"/>
        <v>#DIV/0!</v>
      </c>
      <c r="G122" s="43" t="e">
        <f t="shared" si="44"/>
        <v>#DIV/0!</v>
      </c>
      <c r="H122" s="43" t="e">
        <f t="shared" si="45"/>
        <v>#DIV/0!</v>
      </c>
      <c r="I122" s="43" t="e">
        <f t="shared" si="46"/>
        <v>#DIV/0!</v>
      </c>
      <c r="J122" s="43" t="e">
        <f t="shared" si="47"/>
        <v>#DIV/0!</v>
      </c>
      <c r="K122" s="43" t="e">
        <f t="shared" si="48"/>
        <v>#DIV/0!</v>
      </c>
      <c r="L122" s="43" t="e">
        <f t="shared" si="49"/>
        <v>#DIV/0!</v>
      </c>
      <c r="M122" s="43" t="e">
        <f t="shared" si="50"/>
        <v>#DIV/0!</v>
      </c>
      <c r="N122" s="43" t="e">
        <f t="shared" si="51"/>
        <v>#DIV/0!</v>
      </c>
      <c r="O122" s="43" t="e">
        <f t="shared" si="52"/>
        <v>#DIV/0!</v>
      </c>
      <c r="P122" s="43" t="e">
        <f t="shared" si="53"/>
        <v>#DIV/0!</v>
      </c>
      <c r="Q122" s="43" t="e">
        <f t="shared" si="54"/>
        <v>#DIV/0!</v>
      </c>
      <c r="R122" s="43" t="e">
        <f t="shared" si="55"/>
        <v>#DIV/0!</v>
      </c>
      <c r="S122" s="43" t="e">
        <f t="shared" si="56"/>
        <v>#DIV/0!</v>
      </c>
      <c r="T122" s="43" t="e">
        <f t="shared" si="57"/>
        <v>#DIV/0!</v>
      </c>
      <c r="U122" s="43" t="e">
        <f t="shared" si="58"/>
        <v>#DIV/0!</v>
      </c>
      <c r="V122" s="53" t="e">
        <f>V121+ATM_Conf!$C$5*(B121)/(B309*V309)</f>
        <v>#DIV/0!</v>
      </c>
      <c r="W122" s="53" t="e">
        <f>W121+ATM_Conf!$C$5*(C121-B121)/(C309*W309)</f>
        <v>#DIV/0!</v>
      </c>
      <c r="X122" s="53" t="e">
        <f>X121+ATM_Conf!$C$5*(D121-C121)/(D309*X309)</f>
        <v>#DIV/0!</v>
      </c>
      <c r="Y122" s="53" t="e">
        <f>Y121+ATM_Conf!$C$5*(E121-D121)/(E309*Y309)</f>
        <v>#DIV/0!</v>
      </c>
      <c r="Z122" s="53" t="e">
        <f>Z121+ATM_Conf!$C$5*(F121-E121)/(F309*Z309)</f>
        <v>#DIV/0!</v>
      </c>
      <c r="AA122" s="53" t="e">
        <f>AA121+ATM_Conf!$C$5*(G121-F121)/(G309*AA309)</f>
        <v>#DIV/0!</v>
      </c>
      <c r="AB122" s="53" t="e">
        <f>AB121+ATM_Conf!$C$5*(H121-G121)/(H309*AB309)</f>
        <v>#DIV/0!</v>
      </c>
      <c r="AC122" s="53" t="e">
        <f>AC121+ATM_Conf!$C$5*(I121-H121)/(I309*AC309)</f>
        <v>#DIV/0!</v>
      </c>
      <c r="AD122" s="53" t="e">
        <f>AD121+ATM_Conf!$C$5*(J121-I121)/(J309*AD309)</f>
        <v>#DIV/0!</v>
      </c>
      <c r="AE122" s="53" t="e">
        <f>AE121+ATM_Conf!$C$5*(K121-J121)/(K309*AE309)</f>
        <v>#DIV/0!</v>
      </c>
      <c r="AF122" s="53" t="e">
        <f>AF121+ATM_Conf!$C$5*(L121)/(L309*AF309)</f>
        <v>#DIV/0!</v>
      </c>
      <c r="AG122" s="53" t="e">
        <f>AG121+ATM_Conf!$C$5*(M121-L121)/(M309*AG309)</f>
        <v>#DIV/0!</v>
      </c>
      <c r="AH122" s="53" t="e">
        <f>AH121+ATM_Conf!$C$5*(N121-M121)/(N309*AH309)</f>
        <v>#DIV/0!</v>
      </c>
      <c r="AI122" s="53" t="e">
        <f>AI121+ATM_Conf!$C$5*(O121-N121)/(O309*AI309)</f>
        <v>#DIV/0!</v>
      </c>
      <c r="AJ122" s="53" t="e">
        <f>AJ121+ATM_Conf!$C$5*(P121-O121)/(P309*AJ309)</f>
        <v>#DIV/0!</v>
      </c>
      <c r="AK122" s="53" t="e">
        <f>AK121+ATM_Conf!$C$5*(Q121-P121)/(Q309*AK309)</f>
        <v>#DIV/0!</v>
      </c>
      <c r="AL122" s="53" t="e">
        <f>AL121+ATM_Conf!$C$5*(R121-Q121)/(R309*AL309)</f>
        <v>#DIV/0!</v>
      </c>
      <c r="AM122" s="53" t="e">
        <f>AM121+ATM_Conf!$C$5*(S121-R121)/(S309*AM309)</f>
        <v>#DIV/0!</v>
      </c>
      <c r="AN122" s="53" t="e">
        <f>AN121+ATM_Conf!$C$5*(T121-S121)/(T309*AN309)</f>
        <v>#DIV/0!</v>
      </c>
      <c r="AO122" s="53" t="e">
        <f>AO121+ATM_Conf!$C$5*(U121-T121)/(U309*AO309)</f>
        <v>#DIV/0!</v>
      </c>
      <c r="AP122" s="43" t="e">
        <f>AP121+(ATM_Conf!$C$5/ATM_Conf!$C$8)*(BJ122*EXP(-(1/CX122)*(V122/CD122)^CX122)-AP121)-(ATM_Conf!$C$5*ATM_Conf!$C$9)/(V309*ATM_Conf!$C$8)*(Nodes!BO121-V121)/(V121+ATM_Conf!$C$10)</f>
        <v>#DIV/0!</v>
      </c>
      <c r="AQ122" s="43" t="e">
        <f>AQ121+(ATM_Conf!$C$5/ATM_Conf!$C$8)*(BK122*EXP(-(1/CY122)*(W122/CE122)^CY122)-AQ121)+(ATM_Conf!$C$5/W309)*AQ121*(AP121-AQ121)-(ATM_Conf!$C$5*ATM_Conf!$C$9)/(W309*ATM_Conf!$C$8)*(X121-W121)/(W121+ATM_Conf!$C$10)</f>
        <v>#DIV/0!</v>
      </c>
      <c r="AR122" s="43" t="e">
        <f>AR121+(ATM_Conf!$C$5/ATM_Conf!$C$8)*(BL122*EXP(-(1/CZ122)*(X122/CF122)^CZ122)-AR121)+(ATM_Conf!$C$5/X309)*AR121*(Nodes!BC121-AR121)-(ATM_Conf!$C$5*ATM_Conf!$C$9)/(X309*ATM_Conf!$C$8)*(Nodes!BQ121-X121)/(X121+ATM_Conf!$C$10)</f>
        <v>#DIV/0!</v>
      </c>
      <c r="AS122" s="43" t="e">
        <f>AS121+(ATM_Conf!$C$5/ATM_Conf!$C$8)*(BM122*EXP(-(1/DA122)*(Y122/CG122)^DA122)-AS121)+(ATM_Conf!$C$5/Y309)*AS121*(AR121-AS121)-(ATM_Conf!$C$5*ATM_Conf!$C$9)/(Y309*ATM_Conf!$C$8)*(Z121-Y121)/(Y121+ATM_Conf!$C$10)</f>
        <v>#DIV/0!</v>
      </c>
      <c r="AT122" s="43" t="e">
        <f>AT121+(ATM_Conf!$C$5/ATM_Conf!$C$8)*(BN122*EXP(-(1/DB122)*(Z122/CH122)^DB122)-AT121)+(ATM_Conf!$C$5/Z309)*AT121*(Nodes!BE121-AT121)-(ATM_Conf!$C$5*ATM_Conf!$C$9)/(Z309*ATM_Conf!$C$8)*(Nodes!BS121-Z121)/(Z121+ATM_Conf!$C$10)</f>
        <v>#DIV/0!</v>
      </c>
      <c r="AU122" s="43" t="e">
        <f>AU121+(ATM_Conf!$C$5/ATM_Conf!$C$8)*(BO122*EXP(-(1/DC122)*(AA122/CI122)^DC122)-AU121)+(ATM_Conf!$C$5/AA309)*AU121*(Nodes!BF121-AU121)-(ATM_Conf!$C$5*ATM_Conf!$C$9)/(AA309*ATM_Conf!$C$8)*(Nodes!BV121-AA121)/(AA121+ATM_Conf!$C$10)</f>
        <v>#DIV/0!</v>
      </c>
      <c r="AV122" s="43" t="e">
        <f>AV121+(ATM_Conf!$C$5/ATM_Conf!$C$8)*(BP122*EXP(-(1/DD122)*(AB122/CJ122)^DD122)-AV121)+(ATM_Conf!$C$5/AB309)*AV121*(AU121-AV121)-(ATM_Conf!$C$5*ATM_Conf!$C$9)/(AB309*ATM_Conf!$C$8)*(AC121-AB121)/(AB121+ATM_Conf!$C$10)</f>
        <v>#DIV/0!</v>
      </c>
      <c r="AW122" s="43" t="e">
        <f>AW121+(ATM_Conf!$C$5/ATM_Conf!$C$8)*(BQ122*EXP(-(1/DE122)*(AC122/CK122)^DE122)-AW121)+(ATM_Conf!$C$5/AC309)*AW121*(AV121-AW121)-(ATM_Conf!$C$5*ATM_Conf!$C$9)/(AC309*ATM_Conf!$C$8)*(AD121-AC121)/(AC121+ATM_Conf!$C$10)</f>
        <v>#DIV/0!</v>
      </c>
      <c r="AX122" s="43" t="e">
        <f>AX121+(ATM_Conf!$C$5/ATM_Conf!$C$8)*(BR122*EXP(-(1/DF122)*(AD122/CL122)^DF122)-AX121)+(ATM_Conf!$C$5/AD309)*AX121*(Nodes!BG121-AX121)-(ATM_Conf!$C$5*ATM_Conf!$C$9)/(AD309*ATM_Conf!$C$8)*(Nodes!BU121-AD121)/(AD121+ATM_Conf!$C$10)</f>
        <v>#DIV/0!</v>
      </c>
      <c r="AY122" s="43" t="e">
        <f>AY121+(ATM_Conf!$C$5/ATM_Conf!$C$8)*(BS122*EXP(-(1/DG122)*(AE122/CM122)^DG122)-AY121)+(ATM_Conf!$C$5/AE309)*AY121*(Nodes!BF121-AY121)</f>
        <v>#DIV/0!</v>
      </c>
      <c r="AZ122" s="43" t="e">
        <f>AZ121+(ATM_Conf!$C$5/ATM_Conf!$C$8)*(BT122*EXP(-(1/DH122)*(AF122/CN122)^DH122)-AZ121)-(ATM_Conf!$C$5*ATM_Conf!$C$9)/(AF309*ATM_Conf!$C$8)*(Nodes!BV121-AF121)/(AF121+ATM_Conf!$C$10)</f>
        <v>#DIV/0!</v>
      </c>
      <c r="BA122" s="43" t="e">
        <f>BA121+(ATM_Conf!$C$5/ATM_Conf!$C$8)*(BU122*EXP(-(1/DI122)*(AG122/CO122)^DI122)-BA121)+(ATM_Conf!$C$5/AG309)*BA121*(Nodes!BI121-BA121)-(ATM_Conf!$C$5*ATM_Conf!$C$9)/(AG309*ATM_Conf!$C$8)*(Nodes!BW121-AG121)/(AG121+ATM_Conf!$C$10)</f>
        <v>#DIV/0!</v>
      </c>
      <c r="BB122" s="43" t="e">
        <f>BB121+(ATM_Conf!$C$5/ATM_Conf!$C$8)*(BV122*EXP(-(1/DJ122)*(AH122/CP122)^DJ122)-BB121)+(ATM_Conf!$C$5/AH309)*BB121*(Nodes!BJ121-BB121)-(ATM_Conf!$C$5*ATM_Conf!$C$9)/(AH309*ATM_Conf!$C$8)*(AI121-AH121)/(AH121+ATM_Conf!$C$10)</f>
        <v>#DIV/0!</v>
      </c>
      <c r="BC122" s="43" t="e">
        <f>BC121+(ATM_Conf!$C$5/ATM_Conf!$C$8)*(BW122*EXP(-(1/DK122)*(AI122/CQ122)^DK122)-BC121)+(ATM_Conf!$C$5/AI309)*BC121*(BB121-BC121)-(ATM_Conf!$C$5*ATM_Conf!$C$9)/(AI309*ATM_Conf!$C$8)*(AJ121-AI121)/(AI121+ATM_Conf!$C$10)</f>
        <v>#DIV/0!</v>
      </c>
      <c r="BD122" s="43" t="e">
        <f>BD121+(ATM_Conf!$C$5/ATM_Conf!$C$8)*(BX122*EXP(-(1/DL122)*(AJ122/CR122)^DL122)-BD121)+(ATM_Conf!$C$5/AJ309)*BD121*(BC121-BD121)-(ATM_Conf!$C$5*ATM_Conf!$C$9)/(AJ309*ATM_Conf!$C$8)*(Nodes!BX121-AJ121)/(AJ121+ATM_Conf!$C$10)</f>
        <v>#DIV/0!</v>
      </c>
      <c r="BE122" s="43" t="e">
        <f>BE121+(ATM_Conf!$C$5/ATM_Conf!$C$8)*(BY122*EXP(-(1/DM122)*(AK122/CS122)^DM122)-BE121)+(ATM_Conf!$C$5/AK309)*BE121*(Nodes!BK121-BE121)-(ATM_Conf!$C$5*ATM_Conf!$C$9)/(AK309*ATM_Conf!$C$8)*(Nodes!BY121-AK121)/(AK121+ATM_Conf!$C$10)</f>
        <v>#DIV/0!</v>
      </c>
      <c r="BF122" s="43" t="e">
        <f>BF121+(ATM_Conf!$C$5/ATM_Conf!$C$8)*(BZ122*EXP(-(1/DN122)*(AL122/CT122)^DN122)-BF121)+(ATM_Conf!$C$5/AL309)*BF121*(BE121-BF121)-(ATM_Conf!$C$5*ATM_Conf!$C$9)/(AL309*ATM_Conf!$C$8)*(AM121-AL121)/(AL121+ATM_Conf!$C$10)</f>
        <v>#DIV/0!</v>
      </c>
      <c r="BG122" s="43" t="e">
        <f>BG121+(ATM_Conf!$C$5/ATM_Conf!$C$8)*(CA122*EXP(-(1/DO122)*(AM122/CU122)^DO122)-BG121)+(ATM_Conf!$C$5/AM309)*BG121*(Nodes!BM121-BG121)-(ATM_Conf!$C$5*ATM_Conf!$C$9)/(AM309*ATM_Conf!$C$8)*(Nodes!CA121-AM121)/(AM121+ATM_Conf!$C$10)</f>
        <v>#DIV/0!</v>
      </c>
      <c r="BH122" s="43" t="e">
        <f>BH121+(ATM_Conf!$C$5/ATM_Conf!$C$8)*(CB122*EXP(-(1/DP122)*(AN122/CV122)^DP122)-BH121)+(ATM_Conf!$C$5/AN309)*BH121*(BG121-BH121)-(ATM_Conf!$C$5*ATM_Conf!$C$9)/(AN309*ATM_Conf!$C$8)*(AO121-AN121)/(AN121+ATM_Conf!$C$10)</f>
        <v>#DIV/0!</v>
      </c>
      <c r="BI122" s="43" t="e">
        <f>BI121+(ATM_Conf!$C$5/ATM_Conf!$C$8)*(CC122*EXP(-(1/DQ122)*(AO122/CW122)^DQ122)-BI121)+(ATM_Conf!$C$5/AO309)*BI121*(BH121-BI121)</f>
        <v>#DIV/0!</v>
      </c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/>
      <c r="BW122" s="53"/>
      <c r="BX122" s="53"/>
      <c r="BY122" s="53"/>
      <c r="BZ122" s="53"/>
      <c r="CA122" s="53"/>
      <c r="CB122" s="53"/>
      <c r="CC122" s="5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53"/>
      <c r="CY122" s="53"/>
      <c r="CZ122" s="53"/>
      <c r="DA122" s="53"/>
      <c r="DB122" s="53"/>
      <c r="DC122" s="53"/>
      <c r="DD122" s="53"/>
      <c r="DE122" s="53"/>
      <c r="DF122" s="53"/>
      <c r="DG122" s="53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  <c r="DR122" s="43">
        <f t="shared" si="70"/>
        <v>0</v>
      </c>
      <c r="DS122" s="43">
        <f t="shared" si="69"/>
        <v>0</v>
      </c>
      <c r="DT122" s="43">
        <f t="shared" si="69"/>
        <v>0</v>
      </c>
      <c r="DU122" s="43">
        <f t="shared" si="69"/>
        <v>0</v>
      </c>
      <c r="DV122" s="43">
        <f t="shared" si="69"/>
        <v>0</v>
      </c>
      <c r="DW122" s="43">
        <f t="shared" si="69"/>
        <v>0</v>
      </c>
      <c r="DX122" s="43">
        <f t="shared" si="69"/>
        <v>0</v>
      </c>
      <c r="DY122" s="43">
        <f t="shared" si="69"/>
        <v>0</v>
      </c>
      <c r="DZ122" s="43">
        <f t="shared" si="69"/>
        <v>0</v>
      </c>
      <c r="EA122" s="43">
        <f t="shared" si="69"/>
        <v>0</v>
      </c>
      <c r="EB122" s="43">
        <f t="shared" si="69"/>
        <v>0</v>
      </c>
      <c r="EC122" s="43">
        <f t="shared" si="69"/>
        <v>0</v>
      </c>
      <c r="ED122" s="43">
        <f t="shared" si="69"/>
        <v>0</v>
      </c>
      <c r="EE122" s="43">
        <f t="shared" si="69"/>
        <v>0</v>
      </c>
      <c r="EF122" s="43">
        <f t="shared" si="69"/>
        <v>0</v>
      </c>
      <c r="EG122" s="43">
        <f t="shared" si="69"/>
        <v>0</v>
      </c>
      <c r="EH122" s="43">
        <f t="shared" si="69"/>
        <v>0</v>
      </c>
      <c r="EI122" s="43">
        <f t="shared" si="69"/>
        <v>0</v>
      </c>
      <c r="EJ122" s="43">
        <f t="shared" si="69"/>
        <v>0</v>
      </c>
      <c r="EK122" s="43">
        <f t="shared" si="69"/>
        <v>0</v>
      </c>
      <c r="EL122" s="47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47"/>
      <c r="FA122" s="47"/>
      <c r="FB122" s="47"/>
      <c r="FC122" s="47"/>
      <c r="FD122" s="47"/>
      <c r="FE122" s="47"/>
    </row>
    <row r="123" spans="1:161" ht="14.25" x14ac:dyDescent="0.15">
      <c r="A123" s="46"/>
      <c r="B123" s="43" t="e">
        <f t="shared" si="39"/>
        <v>#DIV/0!</v>
      </c>
      <c r="C123" s="43" t="e">
        <f t="shared" si="40"/>
        <v>#DIV/0!</v>
      </c>
      <c r="D123" s="43" t="e">
        <f t="shared" si="41"/>
        <v>#DIV/0!</v>
      </c>
      <c r="E123" s="43" t="e">
        <f t="shared" si="42"/>
        <v>#DIV/0!</v>
      </c>
      <c r="F123" s="43" t="e">
        <f t="shared" si="43"/>
        <v>#DIV/0!</v>
      </c>
      <c r="G123" s="43" t="e">
        <f t="shared" si="44"/>
        <v>#DIV/0!</v>
      </c>
      <c r="H123" s="43" t="e">
        <f t="shared" si="45"/>
        <v>#DIV/0!</v>
      </c>
      <c r="I123" s="43" t="e">
        <f t="shared" si="46"/>
        <v>#DIV/0!</v>
      </c>
      <c r="J123" s="43" t="e">
        <f t="shared" si="47"/>
        <v>#DIV/0!</v>
      </c>
      <c r="K123" s="43" t="e">
        <f t="shared" si="48"/>
        <v>#DIV/0!</v>
      </c>
      <c r="L123" s="43" t="e">
        <f t="shared" si="49"/>
        <v>#DIV/0!</v>
      </c>
      <c r="M123" s="43" t="e">
        <f t="shared" si="50"/>
        <v>#DIV/0!</v>
      </c>
      <c r="N123" s="43" t="e">
        <f t="shared" si="51"/>
        <v>#DIV/0!</v>
      </c>
      <c r="O123" s="43" t="e">
        <f t="shared" si="52"/>
        <v>#DIV/0!</v>
      </c>
      <c r="P123" s="43" t="e">
        <f t="shared" si="53"/>
        <v>#DIV/0!</v>
      </c>
      <c r="Q123" s="43" t="e">
        <f t="shared" si="54"/>
        <v>#DIV/0!</v>
      </c>
      <c r="R123" s="43" t="e">
        <f t="shared" si="55"/>
        <v>#DIV/0!</v>
      </c>
      <c r="S123" s="43" t="e">
        <f t="shared" si="56"/>
        <v>#DIV/0!</v>
      </c>
      <c r="T123" s="43" t="e">
        <f t="shared" si="57"/>
        <v>#DIV/0!</v>
      </c>
      <c r="U123" s="43" t="e">
        <f t="shared" si="58"/>
        <v>#DIV/0!</v>
      </c>
      <c r="V123" s="53" t="e">
        <f>V122+ATM_Conf!$C$5*(B122)/(B310*V310)</f>
        <v>#DIV/0!</v>
      </c>
      <c r="W123" s="53" t="e">
        <f>W122+ATM_Conf!$C$5*(C122-B122)/(C310*W310)</f>
        <v>#DIV/0!</v>
      </c>
      <c r="X123" s="53" t="e">
        <f>X122+ATM_Conf!$C$5*(D122-C122)/(D310*X310)</f>
        <v>#DIV/0!</v>
      </c>
      <c r="Y123" s="53" t="e">
        <f>Y122+ATM_Conf!$C$5*(E122-D122)/(E310*Y310)</f>
        <v>#DIV/0!</v>
      </c>
      <c r="Z123" s="53" t="e">
        <f>Z122+ATM_Conf!$C$5*(F122-E122)/(F310*Z310)</f>
        <v>#DIV/0!</v>
      </c>
      <c r="AA123" s="53" t="e">
        <f>AA122+ATM_Conf!$C$5*(G122-F122)/(G310*AA310)</f>
        <v>#DIV/0!</v>
      </c>
      <c r="AB123" s="53" t="e">
        <f>AB122+ATM_Conf!$C$5*(H122-G122)/(H310*AB310)</f>
        <v>#DIV/0!</v>
      </c>
      <c r="AC123" s="53" t="e">
        <f>AC122+ATM_Conf!$C$5*(I122-H122)/(I310*AC310)</f>
        <v>#DIV/0!</v>
      </c>
      <c r="AD123" s="53" t="e">
        <f>AD122+ATM_Conf!$C$5*(J122-I122)/(J310*AD310)</f>
        <v>#DIV/0!</v>
      </c>
      <c r="AE123" s="53" t="e">
        <f>AE122+ATM_Conf!$C$5*(K122-J122)/(K310*AE310)</f>
        <v>#DIV/0!</v>
      </c>
      <c r="AF123" s="53" t="e">
        <f>AF122+ATM_Conf!$C$5*(L122)/(L310*AF310)</f>
        <v>#DIV/0!</v>
      </c>
      <c r="AG123" s="53" t="e">
        <f>AG122+ATM_Conf!$C$5*(M122-L122)/(M310*AG310)</f>
        <v>#DIV/0!</v>
      </c>
      <c r="AH123" s="53" t="e">
        <f>AH122+ATM_Conf!$C$5*(N122-M122)/(N310*AH310)</f>
        <v>#DIV/0!</v>
      </c>
      <c r="AI123" s="53" t="e">
        <f>AI122+ATM_Conf!$C$5*(O122-N122)/(O310*AI310)</f>
        <v>#DIV/0!</v>
      </c>
      <c r="AJ123" s="53" t="e">
        <f>AJ122+ATM_Conf!$C$5*(P122-O122)/(P310*AJ310)</f>
        <v>#DIV/0!</v>
      </c>
      <c r="AK123" s="53" t="e">
        <f>AK122+ATM_Conf!$C$5*(Q122-P122)/(Q310*AK310)</f>
        <v>#DIV/0!</v>
      </c>
      <c r="AL123" s="53" t="e">
        <f>AL122+ATM_Conf!$C$5*(R122-Q122)/(R310*AL310)</f>
        <v>#DIV/0!</v>
      </c>
      <c r="AM123" s="53" t="e">
        <f>AM122+ATM_Conf!$C$5*(S122-R122)/(S310*AM310)</f>
        <v>#DIV/0!</v>
      </c>
      <c r="AN123" s="53" t="e">
        <f>AN122+ATM_Conf!$C$5*(T122-S122)/(T310*AN310)</f>
        <v>#DIV/0!</v>
      </c>
      <c r="AO123" s="53" t="e">
        <f>AO122+ATM_Conf!$C$5*(U122-T122)/(U310*AO310)</f>
        <v>#DIV/0!</v>
      </c>
      <c r="AP123" s="43" t="e">
        <f>AP122+(ATM_Conf!$C$5/ATM_Conf!$C$8)*(BJ123*EXP(-(1/CX123)*(V123/CD123)^CX123)-AP122)-(ATM_Conf!$C$5*ATM_Conf!$C$9)/(V310*ATM_Conf!$C$8)*(Nodes!BO122-V122)/(V122+ATM_Conf!$C$10)</f>
        <v>#DIV/0!</v>
      </c>
      <c r="AQ123" s="43" t="e">
        <f>AQ122+(ATM_Conf!$C$5/ATM_Conf!$C$8)*(BK123*EXP(-(1/CY123)*(W123/CE123)^CY123)-AQ122)+(ATM_Conf!$C$5/W310)*AQ122*(AP122-AQ122)-(ATM_Conf!$C$5*ATM_Conf!$C$9)/(W310*ATM_Conf!$C$8)*(X122-W122)/(W122+ATM_Conf!$C$10)</f>
        <v>#DIV/0!</v>
      </c>
      <c r="AR123" s="43" t="e">
        <f>AR122+(ATM_Conf!$C$5/ATM_Conf!$C$8)*(BL123*EXP(-(1/CZ123)*(X123/CF123)^CZ123)-AR122)+(ATM_Conf!$C$5/X310)*AR122*(Nodes!BC122-AR122)-(ATM_Conf!$C$5*ATM_Conf!$C$9)/(X310*ATM_Conf!$C$8)*(Nodes!BQ122-X122)/(X122+ATM_Conf!$C$10)</f>
        <v>#DIV/0!</v>
      </c>
      <c r="AS123" s="43" t="e">
        <f>AS122+(ATM_Conf!$C$5/ATM_Conf!$C$8)*(BM123*EXP(-(1/DA123)*(Y123/CG123)^DA123)-AS122)+(ATM_Conf!$C$5/Y310)*AS122*(AR122-AS122)-(ATM_Conf!$C$5*ATM_Conf!$C$9)/(Y310*ATM_Conf!$C$8)*(Z122-Y122)/(Y122+ATM_Conf!$C$10)</f>
        <v>#DIV/0!</v>
      </c>
      <c r="AT123" s="43" t="e">
        <f>AT122+(ATM_Conf!$C$5/ATM_Conf!$C$8)*(BN123*EXP(-(1/DB123)*(Z123/CH123)^DB123)-AT122)+(ATM_Conf!$C$5/Z310)*AT122*(Nodes!BE122-AT122)-(ATM_Conf!$C$5*ATM_Conf!$C$9)/(Z310*ATM_Conf!$C$8)*(Nodes!BS122-Z122)/(Z122+ATM_Conf!$C$10)</f>
        <v>#DIV/0!</v>
      </c>
      <c r="AU123" s="43" t="e">
        <f>AU122+(ATM_Conf!$C$5/ATM_Conf!$C$8)*(BO123*EXP(-(1/DC123)*(AA123/CI123)^DC123)-AU122)+(ATM_Conf!$C$5/AA310)*AU122*(Nodes!BF122-AU122)-(ATM_Conf!$C$5*ATM_Conf!$C$9)/(AA310*ATM_Conf!$C$8)*(Nodes!BV122-AA122)/(AA122+ATM_Conf!$C$10)</f>
        <v>#DIV/0!</v>
      </c>
      <c r="AV123" s="43" t="e">
        <f>AV122+(ATM_Conf!$C$5/ATM_Conf!$C$8)*(BP123*EXP(-(1/DD123)*(AB123/CJ123)^DD123)-AV122)+(ATM_Conf!$C$5/AB310)*AV122*(AU122-AV122)-(ATM_Conf!$C$5*ATM_Conf!$C$9)/(AB310*ATM_Conf!$C$8)*(AC122-AB122)/(AB122+ATM_Conf!$C$10)</f>
        <v>#DIV/0!</v>
      </c>
      <c r="AW123" s="43" t="e">
        <f>AW122+(ATM_Conf!$C$5/ATM_Conf!$C$8)*(BQ123*EXP(-(1/DE123)*(AC123/CK123)^DE123)-AW122)+(ATM_Conf!$C$5/AC310)*AW122*(AV122-AW122)-(ATM_Conf!$C$5*ATM_Conf!$C$9)/(AC310*ATM_Conf!$C$8)*(AD122-AC122)/(AC122+ATM_Conf!$C$10)</f>
        <v>#DIV/0!</v>
      </c>
      <c r="AX123" s="43" t="e">
        <f>AX122+(ATM_Conf!$C$5/ATM_Conf!$C$8)*(BR123*EXP(-(1/DF123)*(AD123/CL123)^DF123)-AX122)+(ATM_Conf!$C$5/AD310)*AX122*(Nodes!BG122-AX122)-(ATM_Conf!$C$5*ATM_Conf!$C$9)/(AD310*ATM_Conf!$C$8)*(Nodes!BU122-AD122)/(AD122+ATM_Conf!$C$10)</f>
        <v>#DIV/0!</v>
      </c>
      <c r="AY123" s="43" t="e">
        <f>AY122+(ATM_Conf!$C$5/ATM_Conf!$C$8)*(BS123*EXP(-(1/DG123)*(AE123/CM123)^DG123)-AY122)+(ATM_Conf!$C$5/AE310)*AY122*(Nodes!BF122-AY122)</f>
        <v>#DIV/0!</v>
      </c>
      <c r="AZ123" s="43" t="e">
        <f>AZ122+(ATM_Conf!$C$5/ATM_Conf!$C$8)*(BT123*EXP(-(1/DH123)*(AF123/CN123)^DH123)-AZ122)-(ATM_Conf!$C$5*ATM_Conf!$C$9)/(AF310*ATM_Conf!$C$8)*(Nodes!BV122-AF122)/(AF122+ATM_Conf!$C$10)</f>
        <v>#DIV/0!</v>
      </c>
      <c r="BA123" s="43" t="e">
        <f>BA122+(ATM_Conf!$C$5/ATM_Conf!$C$8)*(BU123*EXP(-(1/DI123)*(AG123/CO123)^DI123)-BA122)+(ATM_Conf!$C$5/AG310)*BA122*(Nodes!BI122-BA122)-(ATM_Conf!$C$5*ATM_Conf!$C$9)/(AG310*ATM_Conf!$C$8)*(Nodes!BW122-AG122)/(AG122+ATM_Conf!$C$10)</f>
        <v>#DIV/0!</v>
      </c>
      <c r="BB123" s="43" t="e">
        <f>BB122+(ATM_Conf!$C$5/ATM_Conf!$C$8)*(BV123*EXP(-(1/DJ123)*(AH123/CP123)^DJ123)-BB122)+(ATM_Conf!$C$5/AH310)*BB122*(Nodes!BJ122-BB122)-(ATM_Conf!$C$5*ATM_Conf!$C$9)/(AH310*ATM_Conf!$C$8)*(AI122-AH122)/(AH122+ATM_Conf!$C$10)</f>
        <v>#DIV/0!</v>
      </c>
      <c r="BC123" s="43" t="e">
        <f>BC122+(ATM_Conf!$C$5/ATM_Conf!$C$8)*(BW123*EXP(-(1/DK123)*(AI123/CQ123)^DK123)-BC122)+(ATM_Conf!$C$5/AI310)*BC122*(BB122-BC122)-(ATM_Conf!$C$5*ATM_Conf!$C$9)/(AI310*ATM_Conf!$C$8)*(AJ122-AI122)/(AI122+ATM_Conf!$C$10)</f>
        <v>#DIV/0!</v>
      </c>
      <c r="BD123" s="43" t="e">
        <f>BD122+(ATM_Conf!$C$5/ATM_Conf!$C$8)*(BX123*EXP(-(1/DL123)*(AJ123/CR123)^DL123)-BD122)+(ATM_Conf!$C$5/AJ310)*BD122*(BC122-BD122)-(ATM_Conf!$C$5*ATM_Conf!$C$9)/(AJ310*ATM_Conf!$C$8)*(Nodes!BX122-AJ122)/(AJ122+ATM_Conf!$C$10)</f>
        <v>#DIV/0!</v>
      </c>
      <c r="BE123" s="43" t="e">
        <f>BE122+(ATM_Conf!$C$5/ATM_Conf!$C$8)*(BY123*EXP(-(1/DM123)*(AK123/CS123)^DM123)-BE122)+(ATM_Conf!$C$5/AK310)*BE122*(Nodes!BK122-BE122)-(ATM_Conf!$C$5*ATM_Conf!$C$9)/(AK310*ATM_Conf!$C$8)*(Nodes!BY122-AK122)/(AK122+ATM_Conf!$C$10)</f>
        <v>#DIV/0!</v>
      </c>
      <c r="BF123" s="43" t="e">
        <f>BF122+(ATM_Conf!$C$5/ATM_Conf!$C$8)*(BZ123*EXP(-(1/DN123)*(AL123/CT123)^DN123)-BF122)+(ATM_Conf!$C$5/AL310)*BF122*(BE122-BF122)-(ATM_Conf!$C$5*ATM_Conf!$C$9)/(AL310*ATM_Conf!$C$8)*(AM122-AL122)/(AL122+ATM_Conf!$C$10)</f>
        <v>#DIV/0!</v>
      </c>
      <c r="BG123" s="43" t="e">
        <f>BG122+(ATM_Conf!$C$5/ATM_Conf!$C$8)*(CA123*EXP(-(1/DO123)*(AM123/CU123)^DO123)-BG122)+(ATM_Conf!$C$5/AM310)*BG122*(Nodes!BM122-BG122)-(ATM_Conf!$C$5*ATM_Conf!$C$9)/(AM310*ATM_Conf!$C$8)*(Nodes!CA122-AM122)/(AM122+ATM_Conf!$C$10)</f>
        <v>#DIV/0!</v>
      </c>
      <c r="BH123" s="43" t="e">
        <f>BH122+(ATM_Conf!$C$5/ATM_Conf!$C$8)*(CB123*EXP(-(1/DP123)*(AN123/CV123)^DP123)-BH122)+(ATM_Conf!$C$5/AN310)*BH122*(BG122-BH122)-(ATM_Conf!$C$5*ATM_Conf!$C$9)/(AN310*ATM_Conf!$C$8)*(AO122-AN122)/(AN122+ATM_Conf!$C$10)</f>
        <v>#DIV/0!</v>
      </c>
      <c r="BI123" s="43" t="e">
        <f>BI122+(ATM_Conf!$C$5/ATM_Conf!$C$8)*(CC123*EXP(-(1/DQ123)*(AO123/CW123)^DQ123)-BI122)+(ATM_Conf!$C$5/AO310)*BI122*(BH122-BI122)</f>
        <v>#DIV/0!</v>
      </c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53"/>
      <c r="CY123" s="53"/>
      <c r="CZ123" s="53"/>
      <c r="DA123" s="53"/>
      <c r="DB123" s="53"/>
      <c r="DC123" s="53"/>
      <c r="DD123" s="53"/>
      <c r="DE123" s="53"/>
      <c r="DF123" s="53"/>
      <c r="DG123" s="53"/>
      <c r="DH123" s="53"/>
      <c r="DI123" s="53"/>
      <c r="DJ123" s="53"/>
      <c r="DK123" s="53"/>
      <c r="DL123" s="53"/>
      <c r="DM123" s="53"/>
      <c r="DN123" s="53"/>
      <c r="DO123" s="53"/>
      <c r="DP123" s="53"/>
      <c r="DQ123" s="53"/>
      <c r="DR123" s="62"/>
      <c r="DS123" s="62"/>
      <c r="DT123" s="62"/>
      <c r="DU123" s="62"/>
      <c r="DV123" s="62"/>
      <c r="DW123" s="62"/>
      <c r="DX123" s="62"/>
      <c r="DY123" s="62"/>
      <c r="DZ123" s="62"/>
      <c r="EA123" s="62"/>
      <c r="EB123" s="62"/>
      <c r="EC123" s="62"/>
      <c r="ED123" s="62"/>
      <c r="EE123" s="62"/>
      <c r="EF123" s="62"/>
      <c r="EG123" s="62"/>
      <c r="EH123" s="62"/>
      <c r="EI123" s="62"/>
      <c r="EJ123" s="62"/>
      <c r="EK123" s="62"/>
      <c r="EL123" s="47">
        <f>(DR123-DR111)^2</f>
        <v>0</v>
      </c>
      <c r="EM123" s="47">
        <f t="shared" ref="EM123:FE123" si="71">(DS123-DS111)^2</f>
        <v>0</v>
      </c>
      <c r="EN123" s="47">
        <f t="shared" si="71"/>
        <v>0</v>
      </c>
      <c r="EO123" s="47">
        <f t="shared" si="71"/>
        <v>0</v>
      </c>
      <c r="EP123" s="47">
        <f t="shared" si="71"/>
        <v>0</v>
      </c>
      <c r="EQ123" s="47">
        <f t="shared" si="71"/>
        <v>0</v>
      </c>
      <c r="ER123" s="47">
        <f t="shared" si="71"/>
        <v>0</v>
      </c>
      <c r="ES123" s="47">
        <f t="shared" si="71"/>
        <v>0</v>
      </c>
      <c r="ET123" s="47">
        <f t="shared" si="71"/>
        <v>0</v>
      </c>
      <c r="EU123" s="47">
        <f t="shared" si="71"/>
        <v>0</v>
      </c>
      <c r="EV123" s="47">
        <f t="shared" si="71"/>
        <v>0</v>
      </c>
      <c r="EW123" s="47">
        <f t="shared" si="71"/>
        <v>0</v>
      </c>
      <c r="EX123" s="47">
        <f t="shared" si="71"/>
        <v>0</v>
      </c>
      <c r="EY123" s="47">
        <f t="shared" si="71"/>
        <v>0</v>
      </c>
      <c r="EZ123" s="47">
        <f t="shared" si="71"/>
        <v>0</v>
      </c>
      <c r="FA123" s="47">
        <f t="shared" si="71"/>
        <v>0</v>
      </c>
      <c r="FB123" s="47">
        <f t="shared" si="71"/>
        <v>0</v>
      </c>
      <c r="FC123" s="47">
        <f t="shared" si="71"/>
        <v>0</v>
      </c>
      <c r="FD123" s="47">
        <f t="shared" si="71"/>
        <v>0</v>
      </c>
      <c r="FE123" s="47">
        <f t="shared" si="71"/>
        <v>0</v>
      </c>
    </row>
    <row r="124" spans="1:161" ht="14.25" x14ac:dyDescent="0.15">
      <c r="A124" s="46"/>
      <c r="B124" s="43" t="e">
        <f t="shared" si="39"/>
        <v>#DIV/0!</v>
      </c>
      <c r="C124" s="43" t="e">
        <f t="shared" si="40"/>
        <v>#DIV/0!</v>
      </c>
      <c r="D124" s="43" t="e">
        <f t="shared" si="41"/>
        <v>#DIV/0!</v>
      </c>
      <c r="E124" s="43" t="e">
        <f t="shared" si="42"/>
        <v>#DIV/0!</v>
      </c>
      <c r="F124" s="43" t="e">
        <f t="shared" si="43"/>
        <v>#DIV/0!</v>
      </c>
      <c r="G124" s="43" t="e">
        <f t="shared" si="44"/>
        <v>#DIV/0!</v>
      </c>
      <c r="H124" s="43" t="e">
        <f t="shared" si="45"/>
        <v>#DIV/0!</v>
      </c>
      <c r="I124" s="43" t="e">
        <f t="shared" si="46"/>
        <v>#DIV/0!</v>
      </c>
      <c r="J124" s="43" t="e">
        <f t="shared" si="47"/>
        <v>#DIV/0!</v>
      </c>
      <c r="K124" s="43" t="e">
        <f t="shared" si="48"/>
        <v>#DIV/0!</v>
      </c>
      <c r="L124" s="43" t="e">
        <f t="shared" si="49"/>
        <v>#DIV/0!</v>
      </c>
      <c r="M124" s="43" t="e">
        <f t="shared" si="50"/>
        <v>#DIV/0!</v>
      </c>
      <c r="N124" s="43" t="e">
        <f t="shared" si="51"/>
        <v>#DIV/0!</v>
      </c>
      <c r="O124" s="43" t="e">
        <f t="shared" si="52"/>
        <v>#DIV/0!</v>
      </c>
      <c r="P124" s="43" t="e">
        <f t="shared" si="53"/>
        <v>#DIV/0!</v>
      </c>
      <c r="Q124" s="43" t="e">
        <f t="shared" si="54"/>
        <v>#DIV/0!</v>
      </c>
      <c r="R124" s="43" t="e">
        <f t="shared" si="55"/>
        <v>#DIV/0!</v>
      </c>
      <c r="S124" s="43" t="e">
        <f t="shared" si="56"/>
        <v>#DIV/0!</v>
      </c>
      <c r="T124" s="43" t="e">
        <f t="shared" si="57"/>
        <v>#DIV/0!</v>
      </c>
      <c r="U124" s="43" t="e">
        <f t="shared" si="58"/>
        <v>#DIV/0!</v>
      </c>
      <c r="V124" s="53" t="e">
        <f>V123+ATM_Conf!$C$5*(B123)/(B311*V311)</f>
        <v>#DIV/0!</v>
      </c>
      <c r="W124" s="53" t="e">
        <f>W123+ATM_Conf!$C$5*(C123-B123)/(C311*W311)</f>
        <v>#DIV/0!</v>
      </c>
      <c r="X124" s="53" t="e">
        <f>X123+ATM_Conf!$C$5*(D123-C123)/(D311*X311)</f>
        <v>#DIV/0!</v>
      </c>
      <c r="Y124" s="53" t="e">
        <f>Y123+ATM_Conf!$C$5*(E123-D123)/(E311*Y311)</f>
        <v>#DIV/0!</v>
      </c>
      <c r="Z124" s="53" t="e">
        <f>Z123+ATM_Conf!$C$5*(F123-E123)/(F311*Z311)</f>
        <v>#DIV/0!</v>
      </c>
      <c r="AA124" s="53" t="e">
        <f>AA123+ATM_Conf!$C$5*(G123-F123)/(G311*AA311)</f>
        <v>#DIV/0!</v>
      </c>
      <c r="AB124" s="53" t="e">
        <f>AB123+ATM_Conf!$C$5*(H123-G123)/(H311*AB311)</f>
        <v>#DIV/0!</v>
      </c>
      <c r="AC124" s="53" t="e">
        <f>AC123+ATM_Conf!$C$5*(I123-H123)/(I311*AC311)</f>
        <v>#DIV/0!</v>
      </c>
      <c r="AD124" s="53" t="e">
        <f>AD123+ATM_Conf!$C$5*(J123-I123)/(J311*AD311)</f>
        <v>#DIV/0!</v>
      </c>
      <c r="AE124" s="53" t="e">
        <f>AE123+ATM_Conf!$C$5*(K123-J123)/(K311*AE311)</f>
        <v>#DIV/0!</v>
      </c>
      <c r="AF124" s="53" t="e">
        <f>AF123+ATM_Conf!$C$5*(L123)/(L311*AF311)</f>
        <v>#DIV/0!</v>
      </c>
      <c r="AG124" s="53" t="e">
        <f>AG123+ATM_Conf!$C$5*(M123-L123)/(M311*AG311)</f>
        <v>#DIV/0!</v>
      </c>
      <c r="AH124" s="53" t="e">
        <f>AH123+ATM_Conf!$C$5*(N123-M123)/(N311*AH311)</f>
        <v>#DIV/0!</v>
      </c>
      <c r="AI124" s="53" t="e">
        <f>AI123+ATM_Conf!$C$5*(O123-N123)/(O311*AI311)</f>
        <v>#DIV/0!</v>
      </c>
      <c r="AJ124" s="53" t="e">
        <f>AJ123+ATM_Conf!$C$5*(P123-O123)/(P311*AJ311)</f>
        <v>#DIV/0!</v>
      </c>
      <c r="AK124" s="53" t="e">
        <f>AK123+ATM_Conf!$C$5*(Q123-P123)/(Q311*AK311)</f>
        <v>#DIV/0!</v>
      </c>
      <c r="AL124" s="53" t="e">
        <f>AL123+ATM_Conf!$C$5*(R123-Q123)/(R311*AL311)</f>
        <v>#DIV/0!</v>
      </c>
      <c r="AM124" s="53" t="e">
        <f>AM123+ATM_Conf!$C$5*(S123-R123)/(S311*AM311)</f>
        <v>#DIV/0!</v>
      </c>
      <c r="AN124" s="53" t="e">
        <f>AN123+ATM_Conf!$C$5*(T123-S123)/(T311*AN311)</f>
        <v>#DIV/0!</v>
      </c>
      <c r="AO124" s="53" t="e">
        <f>AO123+ATM_Conf!$C$5*(U123-T123)/(U311*AO311)</f>
        <v>#DIV/0!</v>
      </c>
      <c r="AP124" s="43" t="e">
        <f>AP123+(ATM_Conf!$C$5/ATM_Conf!$C$8)*(BJ124*EXP(-(1/CX124)*(V124/CD124)^CX124)-AP123)-(ATM_Conf!$C$5*ATM_Conf!$C$9)/(V311*ATM_Conf!$C$8)*(Nodes!BO123-V123)/(V123+ATM_Conf!$C$10)</f>
        <v>#DIV/0!</v>
      </c>
      <c r="AQ124" s="43" t="e">
        <f>AQ123+(ATM_Conf!$C$5/ATM_Conf!$C$8)*(BK124*EXP(-(1/CY124)*(W124/CE124)^CY124)-AQ123)+(ATM_Conf!$C$5/W311)*AQ123*(AP123-AQ123)-(ATM_Conf!$C$5*ATM_Conf!$C$9)/(W311*ATM_Conf!$C$8)*(X123-W123)/(W123+ATM_Conf!$C$10)</f>
        <v>#DIV/0!</v>
      </c>
      <c r="AR124" s="43" t="e">
        <f>AR123+(ATM_Conf!$C$5/ATM_Conf!$C$8)*(BL124*EXP(-(1/CZ124)*(X124/CF124)^CZ124)-AR123)+(ATM_Conf!$C$5/X311)*AR123*(Nodes!BC123-AR123)-(ATM_Conf!$C$5*ATM_Conf!$C$9)/(X311*ATM_Conf!$C$8)*(Nodes!BQ123-X123)/(X123+ATM_Conf!$C$10)</f>
        <v>#DIV/0!</v>
      </c>
      <c r="AS124" s="43" t="e">
        <f>AS123+(ATM_Conf!$C$5/ATM_Conf!$C$8)*(BM124*EXP(-(1/DA124)*(Y124/CG124)^DA124)-AS123)+(ATM_Conf!$C$5/Y311)*AS123*(AR123-AS123)-(ATM_Conf!$C$5*ATM_Conf!$C$9)/(Y311*ATM_Conf!$C$8)*(Z123-Y123)/(Y123+ATM_Conf!$C$10)</f>
        <v>#DIV/0!</v>
      </c>
      <c r="AT124" s="43" t="e">
        <f>AT123+(ATM_Conf!$C$5/ATM_Conf!$C$8)*(BN124*EXP(-(1/DB124)*(Z124/CH124)^DB124)-AT123)+(ATM_Conf!$C$5/Z311)*AT123*(Nodes!BE123-AT123)-(ATM_Conf!$C$5*ATM_Conf!$C$9)/(Z311*ATM_Conf!$C$8)*(Nodes!BS123-Z123)/(Z123+ATM_Conf!$C$10)</f>
        <v>#DIV/0!</v>
      </c>
      <c r="AU124" s="43" t="e">
        <f>AU123+(ATM_Conf!$C$5/ATM_Conf!$C$8)*(BO124*EXP(-(1/DC124)*(AA124/CI124)^DC124)-AU123)+(ATM_Conf!$C$5/AA311)*AU123*(Nodes!BF123-AU123)-(ATM_Conf!$C$5*ATM_Conf!$C$9)/(AA311*ATM_Conf!$C$8)*(Nodes!BV123-AA123)/(AA123+ATM_Conf!$C$10)</f>
        <v>#DIV/0!</v>
      </c>
      <c r="AV124" s="43" t="e">
        <f>AV123+(ATM_Conf!$C$5/ATM_Conf!$C$8)*(BP124*EXP(-(1/DD124)*(AB124/CJ124)^DD124)-AV123)+(ATM_Conf!$C$5/AB311)*AV123*(AU123-AV123)-(ATM_Conf!$C$5*ATM_Conf!$C$9)/(AB311*ATM_Conf!$C$8)*(AC123-AB123)/(AB123+ATM_Conf!$C$10)</f>
        <v>#DIV/0!</v>
      </c>
      <c r="AW124" s="43" t="e">
        <f>AW123+(ATM_Conf!$C$5/ATM_Conf!$C$8)*(BQ124*EXP(-(1/DE124)*(AC124/CK124)^DE124)-AW123)+(ATM_Conf!$C$5/AC311)*AW123*(AV123-AW123)-(ATM_Conf!$C$5*ATM_Conf!$C$9)/(AC311*ATM_Conf!$C$8)*(AD123-AC123)/(AC123+ATM_Conf!$C$10)</f>
        <v>#DIV/0!</v>
      </c>
      <c r="AX124" s="43" t="e">
        <f>AX123+(ATM_Conf!$C$5/ATM_Conf!$C$8)*(BR124*EXP(-(1/DF124)*(AD124/CL124)^DF124)-AX123)+(ATM_Conf!$C$5/AD311)*AX123*(Nodes!BG123-AX123)-(ATM_Conf!$C$5*ATM_Conf!$C$9)/(AD311*ATM_Conf!$C$8)*(Nodes!BU123-AD123)/(AD123+ATM_Conf!$C$10)</f>
        <v>#DIV/0!</v>
      </c>
      <c r="AY124" s="43" t="e">
        <f>AY123+(ATM_Conf!$C$5/ATM_Conf!$C$8)*(BS124*EXP(-(1/DG124)*(AE124/CM124)^DG124)-AY123)+(ATM_Conf!$C$5/AE311)*AY123*(Nodes!BF123-AY123)</f>
        <v>#DIV/0!</v>
      </c>
      <c r="AZ124" s="43" t="e">
        <f>AZ123+(ATM_Conf!$C$5/ATM_Conf!$C$8)*(BT124*EXP(-(1/DH124)*(AF124/CN124)^DH124)-AZ123)-(ATM_Conf!$C$5*ATM_Conf!$C$9)/(AF311*ATM_Conf!$C$8)*(Nodes!BV123-AF123)/(AF123+ATM_Conf!$C$10)</f>
        <v>#DIV/0!</v>
      </c>
      <c r="BA124" s="43" t="e">
        <f>BA123+(ATM_Conf!$C$5/ATM_Conf!$C$8)*(BU124*EXP(-(1/DI124)*(AG124/CO124)^DI124)-BA123)+(ATM_Conf!$C$5/AG311)*BA123*(Nodes!BI123-BA123)-(ATM_Conf!$C$5*ATM_Conf!$C$9)/(AG311*ATM_Conf!$C$8)*(Nodes!BW123-AG123)/(AG123+ATM_Conf!$C$10)</f>
        <v>#DIV/0!</v>
      </c>
      <c r="BB124" s="43" t="e">
        <f>BB123+(ATM_Conf!$C$5/ATM_Conf!$C$8)*(BV124*EXP(-(1/DJ124)*(AH124/CP124)^DJ124)-BB123)+(ATM_Conf!$C$5/AH311)*BB123*(Nodes!BJ123-BB123)-(ATM_Conf!$C$5*ATM_Conf!$C$9)/(AH311*ATM_Conf!$C$8)*(AI123-AH123)/(AH123+ATM_Conf!$C$10)</f>
        <v>#DIV/0!</v>
      </c>
      <c r="BC124" s="43" t="e">
        <f>BC123+(ATM_Conf!$C$5/ATM_Conf!$C$8)*(BW124*EXP(-(1/DK124)*(AI124/CQ124)^DK124)-BC123)+(ATM_Conf!$C$5/AI311)*BC123*(BB123-BC123)-(ATM_Conf!$C$5*ATM_Conf!$C$9)/(AI311*ATM_Conf!$C$8)*(AJ123-AI123)/(AI123+ATM_Conf!$C$10)</f>
        <v>#DIV/0!</v>
      </c>
      <c r="BD124" s="43" t="e">
        <f>BD123+(ATM_Conf!$C$5/ATM_Conf!$C$8)*(BX124*EXP(-(1/DL124)*(AJ124/CR124)^DL124)-BD123)+(ATM_Conf!$C$5/AJ311)*BD123*(BC123-BD123)-(ATM_Conf!$C$5*ATM_Conf!$C$9)/(AJ311*ATM_Conf!$C$8)*(Nodes!BX123-AJ123)/(AJ123+ATM_Conf!$C$10)</f>
        <v>#DIV/0!</v>
      </c>
      <c r="BE124" s="43" t="e">
        <f>BE123+(ATM_Conf!$C$5/ATM_Conf!$C$8)*(BY124*EXP(-(1/DM124)*(AK124/CS124)^DM124)-BE123)+(ATM_Conf!$C$5/AK311)*BE123*(Nodes!BK123-BE123)-(ATM_Conf!$C$5*ATM_Conf!$C$9)/(AK311*ATM_Conf!$C$8)*(Nodes!BY123-AK123)/(AK123+ATM_Conf!$C$10)</f>
        <v>#DIV/0!</v>
      </c>
      <c r="BF124" s="43" t="e">
        <f>BF123+(ATM_Conf!$C$5/ATM_Conf!$C$8)*(BZ124*EXP(-(1/DN124)*(AL124/CT124)^DN124)-BF123)+(ATM_Conf!$C$5/AL311)*BF123*(BE123-BF123)-(ATM_Conf!$C$5*ATM_Conf!$C$9)/(AL311*ATM_Conf!$C$8)*(AM123-AL123)/(AL123+ATM_Conf!$C$10)</f>
        <v>#DIV/0!</v>
      </c>
      <c r="BG124" s="43" t="e">
        <f>BG123+(ATM_Conf!$C$5/ATM_Conf!$C$8)*(CA124*EXP(-(1/DO124)*(AM124/CU124)^DO124)-BG123)+(ATM_Conf!$C$5/AM311)*BG123*(Nodes!BM123-BG123)-(ATM_Conf!$C$5*ATM_Conf!$C$9)/(AM311*ATM_Conf!$C$8)*(Nodes!CA123-AM123)/(AM123+ATM_Conf!$C$10)</f>
        <v>#DIV/0!</v>
      </c>
      <c r="BH124" s="43" t="e">
        <f>BH123+(ATM_Conf!$C$5/ATM_Conf!$C$8)*(CB124*EXP(-(1/DP124)*(AN124/CV124)^DP124)-BH123)+(ATM_Conf!$C$5/AN311)*BH123*(BG123-BH123)-(ATM_Conf!$C$5*ATM_Conf!$C$9)/(AN311*ATM_Conf!$C$8)*(AO123-AN123)/(AN123+ATM_Conf!$C$10)</f>
        <v>#DIV/0!</v>
      </c>
      <c r="BI124" s="43" t="e">
        <f>BI123+(ATM_Conf!$C$5/ATM_Conf!$C$8)*(CC124*EXP(-(1/DQ124)*(AO124/CW124)^DQ124)-BI123)+(ATM_Conf!$C$5/AO311)*BI123*(BH123-BI123)</f>
        <v>#DIV/0!</v>
      </c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53"/>
      <c r="CY124" s="53"/>
      <c r="CZ124" s="53"/>
      <c r="DA124" s="53"/>
      <c r="DB124" s="53"/>
      <c r="DC124" s="53"/>
      <c r="DD124" s="53"/>
      <c r="DE124" s="53"/>
      <c r="DF124" s="53"/>
      <c r="DG124" s="53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  <c r="DR124" s="43">
        <f>DR$123</f>
        <v>0</v>
      </c>
      <c r="DS124" s="43">
        <f t="shared" ref="DS124:EK134" si="72">DS$123</f>
        <v>0</v>
      </c>
      <c r="DT124" s="43">
        <f t="shared" si="72"/>
        <v>0</v>
      </c>
      <c r="DU124" s="43">
        <f t="shared" si="72"/>
        <v>0</v>
      </c>
      <c r="DV124" s="43">
        <f t="shared" si="72"/>
        <v>0</v>
      </c>
      <c r="DW124" s="43">
        <f t="shared" si="72"/>
        <v>0</v>
      </c>
      <c r="DX124" s="43">
        <f t="shared" si="72"/>
        <v>0</v>
      </c>
      <c r="DY124" s="43">
        <f t="shared" si="72"/>
        <v>0</v>
      </c>
      <c r="DZ124" s="43">
        <f t="shared" si="72"/>
        <v>0</v>
      </c>
      <c r="EA124" s="43">
        <f t="shared" si="72"/>
        <v>0</v>
      </c>
      <c r="EB124" s="43">
        <f t="shared" si="72"/>
        <v>0</v>
      </c>
      <c r="EC124" s="43">
        <f t="shared" si="72"/>
        <v>0</v>
      </c>
      <c r="ED124" s="43">
        <f t="shared" si="72"/>
        <v>0</v>
      </c>
      <c r="EE124" s="43">
        <f t="shared" si="72"/>
        <v>0</v>
      </c>
      <c r="EF124" s="43">
        <f t="shared" si="72"/>
        <v>0</v>
      </c>
      <c r="EG124" s="43">
        <f t="shared" si="72"/>
        <v>0</v>
      </c>
      <c r="EH124" s="43">
        <f t="shared" si="72"/>
        <v>0</v>
      </c>
      <c r="EI124" s="43">
        <f t="shared" si="72"/>
        <v>0</v>
      </c>
      <c r="EJ124" s="43">
        <f t="shared" si="72"/>
        <v>0</v>
      </c>
      <c r="EK124" s="43">
        <f t="shared" si="72"/>
        <v>0</v>
      </c>
      <c r="EL124" s="47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47"/>
      <c r="FA124" s="47"/>
      <c r="FB124" s="47"/>
      <c r="FC124" s="47"/>
      <c r="FD124" s="47"/>
      <c r="FE124" s="47"/>
    </row>
    <row r="125" spans="1:161" ht="14.25" x14ac:dyDescent="0.15">
      <c r="A125" s="46"/>
      <c r="B125" s="43" t="e">
        <f t="shared" si="39"/>
        <v>#DIV/0!</v>
      </c>
      <c r="C125" s="43" t="e">
        <f t="shared" si="40"/>
        <v>#DIV/0!</v>
      </c>
      <c r="D125" s="43" t="e">
        <f t="shared" si="41"/>
        <v>#DIV/0!</v>
      </c>
      <c r="E125" s="43" t="e">
        <f t="shared" si="42"/>
        <v>#DIV/0!</v>
      </c>
      <c r="F125" s="43" t="e">
        <f t="shared" si="43"/>
        <v>#DIV/0!</v>
      </c>
      <c r="G125" s="43" t="e">
        <f t="shared" si="44"/>
        <v>#DIV/0!</v>
      </c>
      <c r="H125" s="43" t="e">
        <f t="shared" si="45"/>
        <v>#DIV/0!</v>
      </c>
      <c r="I125" s="43" t="e">
        <f t="shared" si="46"/>
        <v>#DIV/0!</v>
      </c>
      <c r="J125" s="43" t="e">
        <f t="shared" si="47"/>
        <v>#DIV/0!</v>
      </c>
      <c r="K125" s="43" t="e">
        <f t="shared" si="48"/>
        <v>#DIV/0!</v>
      </c>
      <c r="L125" s="43" t="e">
        <f t="shared" si="49"/>
        <v>#DIV/0!</v>
      </c>
      <c r="M125" s="43" t="e">
        <f t="shared" si="50"/>
        <v>#DIV/0!</v>
      </c>
      <c r="N125" s="43" t="e">
        <f t="shared" si="51"/>
        <v>#DIV/0!</v>
      </c>
      <c r="O125" s="43" t="e">
        <f t="shared" si="52"/>
        <v>#DIV/0!</v>
      </c>
      <c r="P125" s="43" t="e">
        <f t="shared" si="53"/>
        <v>#DIV/0!</v>
      </c>
      <c r="Q125" s="43" t="e">
        <f t="shared" si="54"/>
        <v>#DIV/0!</v>
      </c>
      <c r="R125" s="43" t="e">
        <f t="shared" si="55"/>
        <v>#DIV/0!</v>
      </c>
      <c r="S125" s="43" t="e">
        <f t="shared" si="56"/>
        <v>#DIV/0!</v>
      </c>
      <c r="T125" s="43" t="e">
        <f t="shared" si="57"/>
        <v>#DIV/0!</v>
      </c>
      <c r="U125" s="43" t="e">
        <f t="shared" si="58"/>
        <v>#DIV/0!</v>
      </c>
      <c r="V125" s="53" t="e">
        <f>V124+ATM_Conf!$C$5*(B124)/(B312*V312)</f>
        <v>#DIV/0!</v>
      </c>
      <c r="W125" s="53" t="e">
        <f>W124+ATM_Conf!$C$5*(C124-B124)/(C312*W312)</f>
        <v>#DIV/0!</v>
      </c>
      <c r="X125" s="53" t="e">
        <f>X124+ATM_Conf!$C$5*(D124-C124)/(D312*X312)</f>
        <v>#DIV/0!</v>
      </c>
      <c r="Y125" s="53" t="e">
        <f>Y124+ATM_Conf!$C$5*(E124-D124)/(E312*Y312)</f>
        <v>#DIV/0!</v>
      </c>
      <c r="Z125" s="53" t="e">
        <f>Z124+ATM_Conf!$C$5*(F124-E124)/(F312*Z312)</f>
        <v>#DIV/0!</v>
      </c>
      <c r="AA125" s="53" t="e">
        <f>AA124+ATM_Conf!$C$5*(G124-F124)/(G312*AA312)</f>
        <v>#DIV/0!</v>
      </c>
      <c r="AB125" s="53" t="e">
        <f>AB124+ATM_Conf!$C$5*(H124-G124)/(H312*AB312)</f>
        <v>#DIV/0!</v>
      </c>
      <c r="AC125" s="53" t="e">
        <f>AC124+ATM_Conf!$C$5*(I124-H124)/(I312*AC312)</f>
        <v>#DIV/0!</v>
      </c>
      <c r="AD125" s="53" t="e">
        <f>AD124+ATM_Conf!$C$5*(J124-I124)/(J312*AD312)</f>
        <v>#DIV/0!</v>
      </c>
      <c r="AE125" s="53" t="e">
        <f>AE124+ATM_Conf!$C$5*(K124-J124)/(K312*AE312)</f>
        <v>#DIV/0!</v>
      </c>
      <c r="AF125" s="53" t="e">
        <f>AF124+ATM_Conf!$C$5*(L124)/(L312*AF312)</f>
        <v>#DIV/0!</v>
      </c>
      <c r="AG125" s="53" t="e">
        <f>AG124+ATM_Conf!$C$5*(M124-L124)/(M312*AG312)</f>
        <v>#DIV/0!</v>
      </c>
      <c r="AH125" s="53" t="e">
        <f>AH124+ATM_Conf!$C$5*(N124-M124)/(N312*AH312)</f>
        <v>#DIV/0!</v>
      </c>
      <c r="AI125" s="53" t="e">
        <f>AI124+ATM_Conf!$C$5*(O124-N124)/(O312*AI312)</f>
        <v>#DIV/0!</v>
      </c>
      <c r="AJ125" s="53" t="e">
        <f>AJ124+ATM_Conf!$C$5*(P124-O124)/(P312*AJ312)</f>
        <v>#DIV/0!</v>
      </c>
      <c r="AK125" s="53" t="e">
        <f>AK124+ATM_Conf!$C$5*(Q124-P124)/(Q312*AK312)</f>
        <v>#DIV/0!</v>
      </c>
      <c r="AL125" s="53" t="e">
        <f>AL124+ATM_Conf!$C$5*(R124-Q124)/(R312*AL312)</f>
        <v>#DIV/0!</v>
      </c>
      <c r="AM125" s="53" t="e">
        <f>AM124+ATM_Conf!$C$5*(S124-R124)/(S312*AM312)</f>
        <v>#DIV/0!</v>
      </c>
      <c r="AN125" s="53" t="e">
        <f>AN124+ATM_Conf!$C$5*(T124-S124)/(T312*AN312)</f>
        <v>#DIV/0!</v>
      </c>
      <c r="AO125" s="53" t="e">
        <f>AO124+ATM_Conf!$C$5*(U124-T124)/(U312*AO312)</f>
        <v>#DIV/0!</v>
      </c>
      <c r="AP125" s="43" t="e">
        <f>AP124+(ATM_Conf!$C$5/ATM_Conf!$C$8)*(BJ125*EXP(-(1/CX125)*(V125/CD125)^CX125)-AP124)-(ATM_Conf!$C$5*ATM_Conf!$C$9)/(V312*ATM_Conf!$C$8)*(Nodes!BO124-V124)/(V124+ATM_Conf!$C$10)</f>
        <v>#DIV/0!</v>
      </c>
      <c r="AQ125" s="43" t="e">
        <f>AQ124+(ATM_Conf!$C$5/ATM_Conf!$C$8)*(BK125*EXP(-(1/CY125)*(W125/CE125)^CY125)-AQ124)+(ATM_Conf!$C$5/W312)*AQ124*(AP124-AQ124)-(ATM_Conf!$C$5*ATM_Conf!$C$9)/(W312*ATM_Conf!$C$8)*(X124-W124)/(W124+ATM_Conf!$C$10)</f>
        <v>#DIV/0!</v>
      </c>
      <c r="AR125" s="43" t="e">
        <f>AR124+(ATM_Conf!$C$5/ATM_Conf!$C$8)*(BL125*EXP(-(1/CZ125)*(X125/CF125)^CZ125)-AR124)+(ATM_Conf!$C$5/X312)*AR124*(Nodes!BC124-AR124)-(ATM_Conf!$C$5*ATM_Conf!$C$9)/(X312*ATM_Conf!$C$8)*(Nodes!BQ124-X124)/(X124+ATM_Conf!$C$10)</f>
        <v>#DIV/0!</v>
      </c>
      <c r="AS125" s="43" t="e">
        <f>AS124+(ATM_Conf!$C$5/ATM_Conf!$C$8)*(BM125*EXP(-(1/DA125)*(Y125/CG125)^DA125)-AS124)+(ATM_Conf!$C$5/Y312)*AS124*(AR124-AS124)-(ATM_Conf!$C$5*ATM_Conf!$C$9)/(Y312*ATM_Conf!$C$8)*(Z124-Y124)/(Y124+ATM_Conf!$C$10)</f>
        <v>#DIV/0!</v>
      </c>
      <c r="AT125" s="43" t="e">
        <f>AT124+(ATM_Conf!$C$5/ATM_Conf!$C$8)*(BN125*EXP(-(1/DB125)*(Z125/CH125)^DB125)-AT124)+(ATM_Conf!$C$5/Z312)*AT124*(Nodes!BE124-AT124)-(ATM_Conf!$C$5*ATM_Conf!$C$9)/(Z312*ATM_Conf!$C$8)*(Nodes!BS124-Z124)/(Z124+ATM_Conf!$C$10)</f>
        <v>#DIV/0!</v>
      </c>
      <c r="AU125" s="43" t="e">
        <f>AU124+(ATM_Conf!$C$5/ATM_Conf!$C$8)*(BO125*EXP(-(1/DC125)*(AA125/CI125)^DC125)-AU124)+(ATM_Conf!$C$5/AA312)*AU124*(Nodes!BF124-AU124)-(ATM_Conf!$C$5*ATM_Conf!$C$9)/(AA312*ATM_Conf!$C$8)*(Nodes!BV124-AA124)/(AA124+ATM_Conf!$C$10)</f>
        <v>#DIV/0!</v>
      </c>
      <c r="AV125" s="43" t="e">
        <f>AV124+(ATM_Conf!$C$5/ATM_Conf!$C$8)*(BP125*EXP(-(1/DD125)*(AB125/CJ125)^DD125)-AV124)+(ATM_Conf!$C$5/AB312)*AV124*(AU124-AV124)-(ATM_Conf!$C$5*ATM_Conf!$C$9)/(AB312*ATM_Conf!$C$8)*(AC124-AB124)/(AB124+ATM_Conf!$C$10)</f>
        <v>#DIV/0!</v>
      </c>
      <c r="AW125" s="43" t="e">
        <f>AW124+(ATM_Conf!$C$5/ATM_Conf!$C$8)*(BQ125*EXP(-(1/DE125)*(AC125/CK125)^DE125)-AW124)+(ATM_Conf!$C$5/AC312)*AW124*(AV124-AW124)-(ATM_Conf!$C$5*ATM_Conf!$C$9)/(AC312*ATM_Conf!$C$8)*(AD124-AC124)/(AC124+ATM_Conf!$C$10)</f>
        <v>#DIV/0!</v>
      </c>
      <c r="AX125" s="43" t="e">
        <f>AX124+(ATM_Conf!$C$5/ATM_Conf!$C$8)*(BR125*EXP(-(1/DF125)*(AD125/CL125)^DF125)-AX124)+(ATM_Conf!$C$5/AD312)*AX124*(Nodes!BG124-AX124)-(ATM_Conf!$C$5*ATM_Conf!$C$9)/(AD312*ATM_Conf!$C$8)*(Nodes!BU124-AD124)/(AD124+ATM_Conf!$C$10)</f>
        <v>#DIV/0!</v>
      </c>
      <c r="AY125" s="43" t="e">
        <f>AY124+(ATM_Conf!$C$5/ATM_Conf!$C$8)*(BS125*EXP(-(1/DG125)*(AE125/CM125)^DG125)-AY124)+(ATM_Conf!$C$5/AE312)*AY124*(Nodes!BF124-AY124)</f>
        <v>#DIV/0!</v>
      </c>
      <c r="AZ125" s="43" t="e">
        <f>AZ124+(ATM_Conf!$C$5/ATM_Conf!$C$8)*(BT125*EXP(-(1/DH125)*(AF125/CN125)^DH125)-AZ124)-(ATM_Conf!$C$5*ATM_Conf!$C$9)/(AF312*ATM_Conf!$C$8)*(Nodes!BV124-AF124)/(AF124+ATM_Conf!$C$10)</f>
        <v>#DIV/0!</v>
      </c>
      <c r="BA125" s="43" t="e">
        <f>BA124+(ATM_Conf!$C$5/ATM_Conf!$C$8)*(BU125*EXP(-(1/DI125)*(AG125/CO125)^DI125)-BA124)+(ATM_Conf!$C$5/AG312)*BA124*(Nodes!BI124-BA124)-(ATM_Conf!$C$5*ATM_Conf!$C$9)/(AG312*ATM_Conf!$C$8)*(Nodes!BW124-AG124)/(AG124+ATM_Conf!$C$10)</f>
        <v>#DIV/0!</v>
      </c>
      <c r="BB125" s="43" t="e">
        <f>BB124+(ATM_Conf!$C$5/ATM_Conf!$C$8)*(BV125*EXP(-(1/DJ125)*(AH125/CP125)^DJ125)-BB124)+(ATM_Conf!$C$5/AH312)*BB124*(Nodes!BJ124-BB124)-(ATM_Conf!$C$5*ATM_Conf!$C$9)/(AH312*ATM_Conf!$C$8)*(AI124-AH124)/(AH124+ATM_Conf!$C$10)</f>
        <v>#DIV/0!</v>
      </c>
      <c r="BC125" s="43" t="e">
        <f>BC124+(ATM_Conf!$C$5/ATM_Conf!$C$8)*(BW125*EXP(-(1/DK125)*(AI125/CQ125)^DK125)-BC124)+(ATM_Conf!$C$5/AI312)*BC124*(BB124-BC124)-(ATM_Conf!$C$5*ATM_Conf!$C$9)/(AI312*ATM_Conf!$C$8)*(AJ124-AI124)/(AI124+ATM_Conf!$C$10)</f>
        <v>#DIV/0!</v>
      </c>
      <c r="BD125" s="43" t="e">
        <f>BD124+(ATM_Conf!$C$5/ATM_Conf!$C$8)*(BX125*EXP(-(1/DL125)*(AJ125/CR125)^DL125)-BD124)+(ATM_Conf!$C$5/AJ312)*BD124*(BC124-BD124)-(ATM_Conf!$C$5*ATM_Conf!$C$9)/(AJ312*ATM_Conf!$C$8)*(Nodes!BX124-AJ124)/(AJ124+ATM_Conf!$C$10)</f>
        <v>#DIV/0!</v>
      </c>
      <c r="BE125" s="43" t="e">
        <f>BE124+(ATM_Conf!$C$5/ATM_Conf!$C$8)*(BY125*EXP(-(1/DM125)*(AK125/CS125)^DM125)-BE124)+(ATM_Conf!$C$5/AK312)*BE124*(Nodes!BK124-BE124)-(ATM_Conf!$C$5*ATM_Conf!$C$9)/(AK312*ATM_Conf!$C$8)*(Nodes!BY124-AK124)/(AK124+ATM_Conf!$C$10)</f>
        <v>#DIV/0!</v>
      </c>
      <c r="BF125" s="43" t="e">
        <f>BF124+(ATM_Conf!$C$5/ATM_Conf!$C$8)*(BZ125*EXP(-(1/DN125)*(AL125/CT125)^DN125)-BF124)+(ATM_Conf!$C$5/AL312)*BF124*(BE124-BF124)-(ATM_Conf!$C$5*ATM_Conf!$C$9)/(AL312*ATM_Conf!$C$8)*(AM124-AL124)/(AL124+ATM_Conf!$C$10)</f>
        <v>#DIV/0!</v>
      </c>
      <c r="BG125" s="43" t="e">
        <f>BG124+(ATM_Conf!$C$5/ATM_Conf!$C$8)*(CA125*EXP(-(1/DO125)*(AM125/CU125)^DO125)-BG124)+(ATM_Conf!$C$5/AM312)*BG124*(Nodes!BM124-BG124)-(ATM_Conf!$C$5*ATM_Conf!$C$9)/(AM312*ATM_Conf!$C$8)*(Nodes!CA124-AM124)/(AM124+ATM_Conf!$C$10)</f>
        <v>#DIV/0!</v>
      </c>
      <c r="BH125" s="43" t="e">
        <f>BH124+(ATM_Conf!$C$5/ATM_Conf!$C$8)*(CB125*EXP(-(1/DP125)*(AN125/CV125)^DP125)-BH124)+(ATM_Conf!$C$5/AN312)*BH124*(BG124-BH124)-(ATM_Conf!$C$5*ATM_Conf!$C$9)/(AN312*ATM_Conf!$C$8)*(AO124-AN124)/(AN124+ATM_Conf!$C$10)</f>
        <v>#DIV/0!</v>
      </c>
      <c r="BI125" s="43" t="e">
        <f>BI124+(ATM_Conf!$C$5/ATM_Conf!$C$8)*(CC125*EXP(-(1/DQ125)*(AO125/CW125)^DQ125)-BI124)+(ATM_Conf!$C$5/AO312)*BI124*(BH124-BI124)</f>
        <v>#DIV/0!</v>
      </c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53"/>
      <c r="CY125" s="53"/>
      <c r="CZ125" s="53"/>
      <c r="DA125" s="53"/>
      <c r="DB125" s="53"/>
      <c r="DC125" s="53"/>
      <c r="DD125" s="53"/>
      <c r="DE125" s="53"/>
      <c r="DF125" s="53"/>
      <c r="DG125" s="53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  <c r="DR125" s="43">
        <f t="shared" ref="DR125:DR134" si="73">DR$123</f>
        <v>0</v>
      </c>
      <c r="DS125" s="43">
        <f t="shared" si="72"/>
        <v>0</v>
      </c>
      <c r="DT125" s="43">
        <f t="shared" si="72"/>
        <v>0</v>
      </c>
      <c r="DU125" s="43">
        <f t="shared" si="72"/>
        <v>0</v>
      </c>
      <c r="DV125" s="43">
        <f t="shared" si="72"/>
        <v>0</v>
      </c>
      <c r="DW125" s="43">
        <f t="shared" si="72"/>
        <v>0</v>
      </c>
      <c r="DX125" s="43">
        <f t="shared" si="72"/>
        <v>0</v>
      </c>
      <c r="DY125" s="43">
        <f t="shared" si="72"/>
        <v>0</v>
      </c>
      <c r="DZ125" s="43">
        <f t="shared" si="72"/>
        <v>0</v>
      </c>
      <c r="EA125" s="43">
        <f t="shared" si="72"/>
        <v>0</v>
      </c>
      <c r="EB125" s="43">
        <f t="shared" si="72"/>
        <v>0</v>
      </c>
      <c r="EC125" s="43">
        <f t="shared" si="72"/>
        <v>0</v>
      </c>
      <c r="ED125" s="43">
        <f t="shared" si="72"/>
        <v>0</v>
      </c>
      <c r="EE125" s="43">
        <f t="shared" si="72"/>
        <v>0</v>
      </c>
      <c r="EF125" s="43">
        <f t="shared" si="72"/>
        <v>0</v>
      </c>
      <c r="EG125" s="43">
        <f t="shared" si="72"/>
        <v>0</v>
      </c>
      <c r="EH125" s="43">
        <f t="shared" si="72"/>
        <v>0</v>
      </c>
      <c r="EI125" s="43">
        <f t="shared" si="72"/>
        <v>0</v>
      </c>
      <c r="EJ125" s="43">
        <f t="shared" si="72"/>
        <v>0</v>
      </c>
      <c r="EK125" s="43">
        <f t="shared" si="72"/>
        <v>0</v>
      </c>
      <c r="EL125" s="47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47"/>
      <c r="FA125" s="47"/>
      <c r="FB125" s="47"/>
      <c r="FC125" s="47"/>
      <c r="FD125" s="47"/>
      <c r="FE125" s="47"/>
    </row>
    <row r="126" spans="1:161" ht="14.25" x14ac:dyDescent="0.15">
      <c r="A126" s="46"/>
      <c r="B126" s="43" t="e">
        <f t="shared" si="39"/>
        <v>#DIV/0!</v>
      </c>
      <c r="C126" s="43" t="e">
        <f t="shared" si="40"/>
        <v>#DIV/0!</v>
      </c>
      <c r="D126" s="43" t="e">
        <f t="shared" si="41"/>
        <v>#DIV/0!</v>
      </c>
      <c r="E126" s="43" t="e">
        <f t="shared" si="42"/>
        <v>#DIV/0!</v>
      </c>
      <c r="F126" s="43" t="e">
        <f t="shared" si="43"/>
        <v>#DIV/0!</v>
      </c>
      <c r="G126" s="43" t="e">
        <f t="shared" si="44"/>
        <v>#DIV/0!</v>
      </c>
      <c r="H126" s="43" t="e">
        <f t="shared" si="45"/>
        <v>#DIV/0!</v>
      </c>
      <c r="I126" s="43" t="e">
        <f t="shared" si="46"/>
        <v>#DIV/0!</v>
      </c>
      <c r="J126" s="43" t="e">
        <f t="shared" si="47"/>
        <v>#DIV/0!</v>
      </c>
      <c r="K126" s="43" t="e">
        <f t="shared" si="48"/>
        <v>#DIV/0!</v>
      </c>
      <c r="L126" s="43" t="e">
        <f t="shared" si="49"/>
        <v>#DIV/0!</v>
      </c>
      <c r="M126" s="43" t="e">
        <f t="shared" si="50"/>
        <v>#DIV/0!</v>
      </c>
      <c r="N126" s="43" t="e">
        <f t="shared" si="51"/>
        <v>#DIV/0!</v>
      </c>
      <c r="O126" s="43" t="e">
        <f t="shared" si="52"/>
        <v>#DIV/0!</v>
      </c>
      <c r="P126" s="43" t="e">
        <f t="shared" si="53"/>
        <v>#DIV/0!</v>
      </c>
      <c r="Q126" s="43" t="e">
        <f t="shared" si="54"/>
        <v>#DIV/0!</v>
      </c>
      <c r="R126" s="43" t="e">
        <f t="shared" si="55"/>
        <v>#DIV/0!</v>
      </c>
      <c r="S126" s="43" t="e">
        <f t="shared" si="56"/>
        <v>#DIV/0!</v>
      </c>
      <c r="T126" s="43" t="e">
        <f t="shared" si="57"/>
        <v>#DIV/0!</v>
      </c>
      <c r="U126" s="43" t="e">
        <f t="shared" si="58"/>
        <v>#DIV/0!</v>
      </c>
      <c r="V126" s="53" t="e">
        <f>V125+ATM_Conf!$C$5*(B125)/(B313*V313)</f>
        <v>#DIV/0!</v>
      </c>
      <c r="W126" s="53" t="e">
        <f>W125+ATM_Conf!$C$5*(C125-B125)/(C313*W313)</f>
        <v>#DIV/0!</v>
      </c>
      <c r="X126" s="53" t="e">
        <f>X125+ATM_Conf!$C$5*(D125-C125)/(D313*X313)</f>
        <v>#DIV/0!</v>
      </c>
      <c r="Y126" s="53" t="e">
        <f>Y125+ATM_Conf!$C$5*(E125-D125)/(E313*Y313)</f>
        <v>#DIV/0!</v>
      </c>
      <c r="Z126" s="53" t="e">
        <f>Z125+ATM_Conf!$C$5*(F125-E125)/(F313*Z313)</f>
        <v>#DIV/0!</v>
      </c>
      <c r="AA126" s="53" t="e">
        <f>AA125+ATM_Conf!$C$5*(G125-F125)/(G313*AA313)</f>
        <v>#DIV/0!</v>
      </c>
      <c r="AB126" s="53" t="e">
        <f>AB125+ATM_Conf!$C$5*(H125-G125)/(H313*AB313)</f>
        <v>#DIV/0!</v>
      </c>
      <c r="AC126" s="53" t="e">
        <f>AC125+ATM_Conf!$C$5*(I125-H125)/(I313*AC313)</f>
        <v>#DIV/0!</v>
      </c>
      <c r="AD126" s="53" t="e">
        <f>AD125+ATM_Conf!$C$5*(J125-I125)/(J313*AD313)</f>
        <v>#DIV/0!</v>
      </c>
      <c r="AE126" s="53" t="e">
        <f>AE125+ATM_Conf!$C$5*(K125-J125)/(K313*AE313)</f>
        <v>#DIV/0!</v>
      </c>
      <c r="AF126" s="53" t="e">
        <f>AF125+ATM_Conf!$C$5*(L125)/(L313*AF313)</f>
        <v>#DIV/0!</v>
      </c>
      <c r="AG126" s="53" t="e">
        <f>AG125+ATM_Conf!$C$5*(M125-L125)/(M313*AG313)</f>
        <v>#DIV/0!</v>
      </c>
      <c r="AH126" s="53" t="e">
        <f>AH125+ATM_Conf!$C$5*(N125-M125)/(N313*AH313)</f>
        <v>#DIV/0!</v>
      </c>
      <c r="AI126" s="53" t="e">
        <f>AI125+ATM_Conf!$C$5*(O125-N125)/(O313*AI313)</f>
        <v>#DIV/0!</v>
      </c>
      <c r="AJ126" s="53" t="e">
        <f>AJ125+ATM_Conf!$C$5*(P125-O125)/(P313*AJ313)</f>
        <v>#DIV/0!</v>
      </c>
      <c r="AK126" s="53" t="e">
        <f>AK125+ATM_Conf!$C$5*(Q125-P125)/(Q313*AK313)</f>
        <v>#DIV/0!</v>
      </c>
      <c r="AL126" s="53" t="e">
        <f>AL125+ATM_Conf!$C$5*(R125-Q125)/(R313*AL313)</f>
        <v>#DIV/0!</v>
      </c>
      <c r="AM126" s="53" t="e">
        <f>AM125+ATM_Conf!$C$5*(S125-R125)/(S313*AM313)</f>
        <v>#DIV/0!</v>
      </c>
      <c r="AN126" s="53" t="e">
        <f>AN125+ATM_Conf!$C$5*(T125-S125)/(T313*AN313)</f>
        <v>#DIV/0!</v>
      </c>
      <c r="AO126" s="53" t="e">
        <f>AO125+ATM_Conf!$C$5*(U125-T125)/(U313*AO313)</f>
        <v>#DIV/0!</v>
      </c>
      <c r="AP126" s="43" t="e">
        <f>AP125+(ATM_Conf!$C$5/ATM_Conf!$C$8)*(BJ126*EXP(-(1/CX126)*(V126/CD126)^CX126)-AP125)-(ATM_Conf!$C$5*ATM_Conf!$C$9)/(V313*ATM_Conf!$C$8)*(Nodes!BO125-V125)/(V125+ATM_Conf!$C$10)</f>
        <v>#DIV/0!</v>
      </c>
      <c r="AQ126" s="43" t="e">
        <f>AQ125+(ATM_Conf!$C$5/ATM_Conf!$C$8)*(BK126*EXP(-(1/CY126)*(W126/CE126)^CY126)-AQ125)+(ATM_Conf!$C$5/W313)*AQ125*(AP125-AQ125)-(ATM_Conf!$C$5*ATM_Conf!$C$9)/(W313*ATM_Conf!$C$8)*(X125-W125)/(W125+ATM_Conf!$C$10)</f>
        <v>#DIV/0!</v>
      </c>
      <c r="AR126" s="43" t="e">
        <f>AR125+(ATM_Conf!$C$5/ATM_Conf!$C$8)*(BL126*EXP(-(1/CZ126)*(X126/CF126)^CZ126)-AR125)+(ATM_Conf!$C$5/X313)*AR125*(Nodes!BC125-AR125)-(ATM_Conf!$C$5*ATM_Conf!$C$9)/(X313*ATM_Conf!$C$8)*(Nodes!BQ125-X125)/(X125+ATM_Conf!$C$10)</f>
        <v>#DIV/0!</v>
      </c>
      <c r="AS126" s="43" t="e">
        <f>AS125+(ATM_Conf!$C$5/ATM_Conf!$C$8)*(BM126*EXP(-(1/DA126)*(Y126/CG126)^DA126)-AS125)+(ATM_Conf!$C$5/Y313)*AS125*(AR125-AS125)-(ATM_Conf!$C$5*ATM_Conf!$C$9)/(Y313*ATM_Conf!$C$8)*(Z125-Y125)/(Y125+ATM_Conf!$C$10)</f>
        <v>#DIV/0!</v>
      </c>
      <c r="AT126" s="43" t="e">
        <f>AT125+(ATM_Conf!$C$5/ATM_Conf!$C$8)*(BN126*EXP(-(1/DB126)*(Z126/CH126)^DB126)-AT125)+(ATM_Conf!$C$5/Z313)*AT125*(Nodes!BE125-AT125)-(ATM_Conf!$C$5*ATM_Conf!$C$9)/(Z313*ATM_Conf!$C$8)*(Nodes!BS125-Z125)/(Z125+ATM_Conf!$C$10)</f>
        <v>#DIV/0!</v>
      </c>
      <c r="AU126" s="43" t="e">
        <f>AU125+(ATM_Conf!$C$5/ATM_Conf!$C$8)*(BO126*EXP(-(1/DC126)*(AA126/CI126)^DC126)-AU125)+(ATM_Conf!$C$5/AA313)*AU125*(Nodes!BF125-AU125)-(ATM_Conf!$C$5*ATM_Conf!$C$9)/(AA313*ATM_Conf!$C$8)*(Nodes!BV125-AA125)/(AA125+ATM_Conf!$C$10)</f>
        <v>#DIV/0!</v>
      </c>
      <c r="AV126" s="43" t="e">
        <f>AV125+(ATM_Conf!$C$5/ATM_Conf!$C$8)*(BP126*EXP(-(1/DD126)*(AB126/CJ126)^DD126)-AV125)+(ATM_Conf!$C$5/AB313)*AV125*(AU125-AV125)-(ATM_Conf!$C$5*ATM_Conf!$C$9)/(AB313*ATM_Conf!$C$8)*(AC125-AB125)/(AB125+ATM_Conf!$C$10)</f>
        <v>#DIV/0!</v>
      </c>
      <c r="AW126" s="43" t="e">
        <f>AW125+(ATM_Conf!$C$5/ATM_Conf!$C$8)*(BQ126*EXP(-(1/DE126)*(AC126/CK126)^DE126)-AW125)+(ATM_Conf!$C$5/AC313)*AW125*(AV125-AW125)-(ATM_Conf!$C$5*ATM_Conf!$C$9)/(AC313*ATM_Conf!$C$8)*(AD125-AC125)/(AC125+ATM_Conf!$C$10)</f>
        <v>#DIV/0!</v>
      </c>
      <c r="AX126" s="43" t="e">
        <f>AX125+(ATM_Conf!$C$5/ATM_Conf!$C$8)*(BR126*EXP(-(1/DF126)*(AD126/CL126)^DF126)-AX125)+(ATM_Conf!$C$5/AD313)*AX125*(Nodes!BG125-AX125)-(ATM_Conf!$C$5*ATM_Conf!$C$9)/(AD313*ATM_Conf!$C$8)*(Nodes!BU125-AD125)/(AD125+ATM_Conf!$C$10)</f>
        <v>#DIV/0!</v>
      </c>
      <c r="AY126" s="43" t="e">
        <f>AY125+(ATM_Conf!$C$5/ATM_Conf!$C$8)*(BS126*EXP(-(1/DG126)*(AE126/CM126)^DG126)-AY125)+(ATM_Conf!$C$5/AE313)*AY125*(Nodes!BF125-AY125)</f>
        <v>#DIV/0!</v>
      </c>
      <c r="AZ126" s="43" t="e">
        <f>AZ125+(ATM_Conf!$C$5/ATM_Conf!$C$8)*(BT126*EXP(-(1/DH126)*(AF126/CN126)^DH126)-AZ125)-(ATM_Conf!$C$5*ATM_Conf!$C$9)/(AF313*ATM_Conf!$C$8)*(Nodes!BV125-AF125)/(AF125+ATM_Conf!$C$10)</f>
        <v>#DIV/0!</v>
      </c>
      <c r="BA126" s="43" t="e">
        <f>BA125+(ATM_Conf!$C$5/ATM_Conf!$C$8)*(BU126*EXP(-(1/DI126)*(AG126/CO126)^DI126)-BA125)+(ATM_Conf!$C$5/AG313)*BA125*(Nodes!BI125-BA125)-(ATM_Conf!$C$5*ATM_Conf!$C$9)/(AG313*ATM_Conf!$C$8)*(Nodes!BW125-AG125)/(AG125+ATM_Conf!$C$10)</f>
        <v>#DIV/0!</v>
      </c>
      <c r="BB126" s="43" t="e">
        <f>BB125+(ATM_Conf!$C$5/ATM_Conf!$C$8)*(BV126*EXP(-(1/DJ126)*(AH126/CP126)^DJ126)-BB125)+(ATM_Conf!$C$5/AH313)*BB125*(Nodes!BJ125-BB125)-(ATM_Conf!$C$5*ATM_Conf!$C$9)/(AH313*ATM_Conf!$C$8)*(AI125-AH125)/(AH125+ATM_Conf!$C$10)</f>
        <v>#DIV/0!</v>
      </c>
      <c r="BC126" s="43" t="e">
        <f>BC125+(ATM_Conf!$C$5/ATM_Conf!$C$8)*(BW126*EXP(-(1/DK126)*(AI126/CQ126)^DK126)-BC125)+(ATM_Conf!$C$5/AI313)*BC125*(BB125-BC125)-(ATM_Conf!$C$5*ATM_Conf!$C$9)/(AI313*ATM_Conf!$C$8)*(AJ125-AI125)/(AI125+ATM_Conf!$C$10)</f>
        <v>#DIV/0!</v>
      </c>
      <c r="BD126" s="43" t="e">
        <f>BD125+(ATM_Conf!$C$5/ATM_Conf!$C$8)*(BX126*EXP(-(1/DL126)*(AJ126/CR126)^DL126)-BD125)+(ATM_Conf!$C$5/AJ313)*BD125*(BC125-BD125)-(ATM_Conf!$C$5*ATM_Conf!$C$9)/(AJ313*ATM_Conf!$C$8)*(Nodes!BX125-AJ125)/(AJ125+ATM_Conf!$C$10)</f>
        <v>#DIV/0!</v>
      </c>
      <c r="BE126" s="43" t="e">
        <f>BE125+(ATM_Conf!$C$5/ATM_Conf!$C$8)*(BY126*EXP(-(1/DM126)*(AK126/CS126)^DM126)-BE125)+(ATM_Conf!$C$5/AK313)*BE125*(Nodes!BK125-BE125)-(ATM_Conf!$C$5*ATM_Conf!$C$9)/(AK313*ATM_Conf!$C$8)*(Nodes!BY125-AK125)/(AK125+ATM_Conf!$C$10)</f>
        <v>#DIV/0!</v>
      </c>
      <c r="BF126" s="43" t="e">
        <f>BF125+(ATM_Conf!$C$5/ATM_Conf!$C$8)*(BZ126*EXP(-(1/DN126)*(AL126/CT126)^DN126)-BF125)+(ATM_Conf!$C$5/AL313)*BF125*(BE125-BF125)-(ATM_Conf!$C$5*ATM_Conf!$C$9)/(AL313*ATM_Conf!$C$8)*(AM125-AL125)/(AL125+ATM_Conf!$C$10)</f>
        <v>#DIV/0!</v>
      </c>
      <c r="BG126" s="43" t="e">
        <f>BG125+(ATM_Conf!$C$5/ATM_Conf!$C$8)*(CA126*EXP(-(1/DO126)*(AM126/CU126)^DO126)-BG125)+(ATM_Conf!$C$5/AM313)*BG125*(Nodes!BM125-BG125)-(ATM_Conf!$C$5*ATM_Conf!$C$9)/(AM313*ATM_Conf!$C$8)*(Nodes!CA125-AM125)/(AM125+ATM_Conf!$C$10)</f>
        <v>#DIV/0!</v>
      </c>
      <c r="BH126" s="43" t="e">
        <f>BH125+(ATM_Conf!$C$5/ATM_Conf!$C$8)*(CB126*EXP(-(1/DP126)*(AN126/CV126)^DP126)-BH125)+(ATM_Conf!$C$5/AN313)*BH125*(BG125-BH125)-(ATM_Conf!$C$5*ATM_Conf!$C$9)/(AN313*ATM_Conf!$C$8)*(AO125-AN125)/(AN125+ATM_Conf!$C$10)</f>
        <v>#DIV/0!</v>
      </c>
      <c r="BI126" s="43" t="e">
        <f>BI125+(ATM_Conf!$C$5/ATM_Conf!$C$8)*(CC126*EXP(-(1/DQ126)*(AO126/CW126)^DQ126)-BI125)+(ATM_Conf!$C$5/AO313)*BI125*(BH125-BI125)</f>
        <v>#DIV/0!</v>
      </c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53"/>
      <c r="CY126" s="53"/>
      <c r="CZ126" s="53"/>
      <c r="DA126" s="53"/>
      <c r="DB126" s="53"/>
      <c r="DC126" s="53"/>
      <c r="DD126" s="53"/>
      <c r="DE126" s="53"/>
      <c r="DF126" s="53"/>
      <c r="DG126" s="53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  <c r="DR126" s="43">
        <f t="shared" si="73"/>
        <v>0</v>
      </c>
      <c r="DS126" s="43">
        <f t="shared" si="72"/>
        <v>0</v>
      </c>
      <c r="DT126" s="43">
        <f t="shared" si="72"/>
        <v>0</v>
      </c>
      <c r="DU126" s="43">
        <f t="shared" si="72"/>
        <v>0</v>
      </c>
      <c r="DV126" s="43">
        <f t="shared" si="72"/>
        <v>0</v>
      </c>
      <c r="DW126" s="43">
        <f t="shared" si="72"/>
        <v>0</v>
      </c>
      <c r="DX126" s="43">
        <f t="shared" si="72"/>
        <v>0</v>
      </c>
      <c r="DY126" s="43">
        <f t="shared" si="72"/>
        <v>0</v>
      </c>
      <c r="DZ126" s="43">
        <f t="shared" si="72"/>
        <v>0</v>
      </c>
      <c r="EA126" s="43">
        <f t="shared" si="72"/>
        <v>0</v>
      </c>
      <c r="EB126" s="43">
        <f t="shared" si="72"/>
        <v>0</v>
      </c>
      <c r="EC126" s="43">
        <f t="shared" si="72"/>
        <v>0</v>
      </c>
      <c r="ED126" s="43">
        <f t="shared" si="72"/>
        <v>0</v>
      </c>
      <c r="EE126" s="43">
        <f t="shared" si="72"/>
        <v>0</v>
      </c>
      <c r="EF126" s="43">
        <f t="shared" si="72"/>
        <v>0</v>
      </c>
      <c r="EG126" s="43">
        <f t="shared" si="72"/>
        <v>0</v>
      </c>
      <c r="EH126" s="43">
        <f t="shared" si="72"/>
        <v>0</v>
      </c>
      <c r="EI126" s="43">
        <f t="shared" si="72"/>
        <v>0</v>
      </c>
      <c r="EJ126" s="43">
        <f t="shared" si="72"/>
        <v>0</v>
      </c>
      <c r="EK126" s="43">
        <f t="shared" si="72"/>
        <v>0</v>
      </c>
      <c r="EL126" s="47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47"/>
      <c r="FA126" s="47"/>
      <c r="FB126" s="47"/>
      <c r="FC126" s="47"/>
      <c r="FD126" s="47"/>
      <c r="FE126" s="47"/>
    </row>
    <row r="127" spans="1:161" ht="14.25" x14ac:dyDescent="0.15">
      <c r="A127" s="46"/>
      <c r="B127" s="43" t="e">
        <f t="shared" si="39"/>
        <v>#DIV/0!</v>
      </c>
      <c r="C127" s="43" t="e">
        <f t="shared" si="40"/>
        <v>#DIV/0!</v>
      </c>
      <c r="D127" s="43" t="e">
        <f t="shared" si="41"/>
        <v>#DIV/0!</v>
      </c>
      <c r="E127" s="43" t="e">
        <f t="shared" si="42"/>
        <v>#DIV/0!</v>
      </c>
      <c r="F127" s="43" t="e">
        <f t="shared" si="43"/>
        <v>#DIV/0!</v>
      </c>
      <c r="G127" s="43" t="e">
        <f t="shared" si="44"/>
        <v>#DIV/0!</v>
      </c>
      <c r="H127" s="43" t="e">
        <f t="shared" si="45"/>
        <v>#DIV/0!</v>
      </c>
      <c r="I127" s="43" t="e">
        <f t="shared" si="46"/>
        <v>#DIV/0!</v>
      </c>
      <c r="J127" s="43" t="e">
        <f t="shared" si="47"/>
        <v>#DIV/0!</v>
      </c>
      <c r="K127" s="43" t="e">
        <f t="shared" si="48"/>
        <v>#DIV/0!</v>
      </c>
      <c r="L127" s="43" t="e">
        <f t="shared" si="49"/>
        <v>#DIV/0!</v>
      </c>
      <c r="M127" s="43" t="e">
        <f t="shared" si="50"/>
        <v>#DIV/0!</v>
      </c>
      <c r="N127" s="43" t="e">
        <f t="shared" si="51"/>
        <v>#DIV/0!</v>
      </c>
      <c r="O127" s="43" t="e">
        <f t="shared" si="52"/>
        <v>#DIV/0!</v>
      </c>
      <c r="P127" s="43" t="e">
        <f t="shared" si="53"/>
        <v>#DIV/0!</v>
      </c>
      <c r="Q127" s="43" t="e">
        <f t="shared" si="54"/>
        <v>#DIV/0!</v>
      </c>
      <c r="R127" s="43" t="e">
        <f t="shared" si="55"/>
        <v>#DIV/0!</v>
      </c>
      <c r="S127" s="43" t="e">
        <f t="shared" si="56"/>
        <v>#DIV/0!</v>
      </c>
      <c r="T127" s="43" t="e">
        <f t="shared" si="57"/>
        <v>#DIV/0!</v>
      </c>
      <c r="U127" s="43" t="e">
        <f t="shared" si="58"/>
        <v>#DIV/0!</v>
      </c>
      <c r="V127" s="53" t="e">
        <f>V126+ATM_Conf!$C$5*(B126)/(B314*V314)</f>
        <v>#DIV/0!</v>
      </c>
      <c r="W127" s="53" t="e">
        <f>W126+ATM_Conf!$C$5*(C126-B126)/(C314*W314)</f>
        <v>#DIV/0!</v>
      </c>
      <c r="X127" s="53" t="e">
        <f>X126+ATM_Conf!$C$5*(D126-C126)/(D314*X314)</f>
        <v>#DIV/0!</v>
      </c>
      <c r="Y127" s="53" t="e">
        <f>Y126+ATM_Conf!$C$5*(E126-D126)/(E314*Y314)</f>
        <v>#DIV/0!</v>
      </c>
      <c r="Z127" s="53" t="e">
        <f>Z126+ATM_Conf!$C$5*(F126-E126)/(F314*Z314)</f>
        <v>#DIV/0!</v>
      </c>
      <c r="AA127" s="53" t="e">
        <f>AA126+ATM_Conf!$C$5*(G126-F126)/(G314*AA314)</f>
        <v>#DIV/0!</v>
      </c>
      <c r="AB127" s="53" t="e">
        <f>AB126+ATM_Conf!$C$5*(H126-G126)/(H314*AB314)</f>
        <v>#DIV/0!</v>
      </c>
      <c r="AC127" s="53" t="e">
        <f>AC126+ATM_Conf!$C$5*(I126-H126)/(I314*AC314)</f>
        <v>#DIV/0!</v>
      </c>
      <c r="AD127" s="53" t="e">
        <f>AD126+ATM_Conf!$C$5*(J126-I126)/(J314*AD314)</f>
        <v>#DIV/0!</v>
      </c>
      <c r="AE127" s="53" t="e">
        <f>AE126+ATM_Conf!$C$5*(K126-J126)/(K314*AE314)</f>
        <v>#DIV/0!</v>
      </c>
      <c r="AF127" s="53" t="e">
        <f>AF126+ATM_Conf!$C$5*(L126)/(L314*AF314)</f>
        <v>#DIV/0!</v>
      </c>
      <c r="AG127" s="53" t="e">
        <f>AG126+ATM_Conf!$C$5*(M126-L126)/(M314*AG314)</f>
        <v>#DIV/0!</v>
      </c>
      <c r="AH127" s="53" t="e">
        <f>AH126+ATM_Conf!$C$5*(N126-M126)/(N314*AH314)</f>
        <v>#DIV/0!</v>
      </c>
      <c r="AI127" s="53" t="e">
        <f>AI126+ATM_Conf!$C$5*(O126-N126)/(O314*AI314)</f>
        <v>#DIV/0!</v>
      </c>
      <c r="AJ127" s="53" t="e">
        <f>AJ126+ATM_Conf!$C$5*(P126-O126)/(P314*AJ314)</f>
        <v>#DIV/0!</v>
      </c>
      <c r="AK127" s="53" t="e">
        <f>AK126+ATM_Conf!$C$5*(Q126-P126)/(Q314*AK314)</f>
        <v>#DIV/0!</v>
      </c>
      <c r="AL127" s="53" t="e">
        <f>AL126+ATM_Conf!$C$5*(R126-Q126)/(R314*AL314)</f>
        <v>#DIV/0!</v>
      </c>
      <c r="AM127" s="53" t="e">
        <f>AM126+ATM_Conf!$C$5*(S126-R126)/(S314*AM314)</f>
        <v>#DIV/0!</v>
      </c>
      <c r="AN127" s="53" t="e">
        <f>AN126+ATM_Conf!$C$5*(T126-S126)/(T314*AN314)</f>
        <v>#DIV/0!</v>
      </c>
      <c r="AO127" s="53" t="e">
        <f>AO126+ATM_Conf!$C$5*(U126-T126)/(U314*AO314)</f>
        <v>#DIV/0!</v>
      </c>
      <c r="AP127" s="43" t="e">
        <f>AP126+(ATM_Conf!$C$5/ATM_Conf!$C$8)*(BJ127*EXP(-(1/CX127)*(V127/CD127)^CX127)-AP126)-(ATM_Conf!$C$5*ATM_Conf!$C$9)/(V314*ATM_Conf!$C$8)*(Nodes!BO126-V126)/(V126+ATM_Conf!$C$10)</f>
        <v>#DIV/0!</v>
      </c>
      <c r="AQ127" s="43" t="e">
        <f>AQ126+(ATM_Conf!$C$5/ATM_Conf!$C$8)*(BK127*EXP(-(1/CY127)*(W127/CE127)^CY127)-AQ126)+(ATM_Conf!$C$5/W314)*AQ126*(AP126-AQ126)-(ATM_Conf!$C$5*ATM_Conf!$C$9)/(W314*ATM_Conf!$C$8)*(X126-W126)/(W126+ATM_Conf!$C$10)</f>
        <v>#DIV/0!</v>
      </c>
      <c r="AR127" s="43" t="e">
        <f>AR126+(ATM_Conf!$C$5/ATM_Conf!$C$8)*(BL127*EXP(-(1/CZ127)*(X127/CF127)^CZ127)-AR126)+(ATM_Conf!$C$5/X314)*AR126*(Nodes!BC126-AR126)-(ATM_Conf!$C$5*ATM_Conf!$C$9)/(X314*ATM_Conf!$C$8)*(Nodes!BQ126-X126)/(X126+ATM_Conf!$C$10)</f>
        <v>#DIV/0!</v>
      </c>
      <c r="AS127" s="43" t="e">
        <f>AS126+(ATM_Conf!$C$5/ATM_Conf!$C$8)*(BM127*EXP(-(1/DA127)*(Y127/CG127)^DA127)-AS126)+(ATM_Conf!$C$5/Y314)*AS126*(AR126-AS126)-(ATM_Conf!$C$5*ATM_Conf!$C$9)/(Y314*ATM_Conf!$C$8)*(Z126-Y126)/(Y126+ATM_Conf!$C$10)</f>
        <v>#DIV/0!</v>
      </c>
      <c r="AT127" s="43" t="e">
        <f>AT126+(ATM_Conf!$C$5/ATM_Conf!$C$8)*(BN127*EXP(-(1/DB127)*(Z127/CH127)^DB127)-AT126)+(ATM_Conf!$C$5/Z314)*AT126*(Nodes!BE126-AT126)-(ATM_Conf!$C$5*ATM_Conf!$C$9)/(Z314*ATM_Conf!$C$8)*(Nodes!BS126-Z126)/(Z126+ATM_Conf!$C$10)</f>
        <v>#DIV/0!</v>
      </c>
      <c r="AU127" s="43" t="e">
        <f>AU126+(ATM_Conf!$C$5/ATM_Conf!$C$8)*(BO127*EXP(-(1/DC127)*(AA127/CI127)^DC127)-AU126)+(ATM_Conf!$C$5/AA314)*AU126*(Nodes!BF126-AU126)-(ATM_Conf!$C$5*ATM_Conf!$C$9)/(AA314*ATM_Conf!$C$8)*(Nodes!BV126-AA126)/(AA126+ATM_Conf!$C$10)</f>
        <v>#DIV/0!</v>
      </c>
      <c r="AV127" s="43" t="e">
        <f>AV126+(ATM_Conf!$C$5/ATM_Conf!$C$8)*(BP127*EXP(-(1/DD127)*(AB127/CJ127)^DD127)-AV126)+(ATM_Conf!$C$5/AB314)*AV126*(AU126-AV126)-(ATM_Conf!$C$5*ATM_Conf!$C$9)/(AB314*ATM_Conf!$C$8)*(AC126-AB126)/(AB126+ATM_Conf!$C$10)</f>
        <v>#DIV/0!</v>
      </c>
      <c r="AW127" s="43" t="e">
        <f>AW126+(ATM_Conf!$C$5/ATM_Conf!$C$8)*(BQ127*EXP(-(1/DE127)*(AC127/CK127)^DE127)-AW126)+(ATM_Conf!$C$5/AC314)*AW126*(AV126-AW126)-(ATM_Conf!$C$5*ATM_Conf!$C$9)/(AC314*ATM_Conf!$C$8)*(AD126-AC126)/(AC126+ATM_Conf!$C$10)</f>
        <v>#DIV/0!</v>
      </c>
      <c r="AX127" s="43" t="e">
        <f>AX126+(ATM_Conf!$C$5/ATM_Conf!$C$8)*(BR127*EXP(-(1/DF127)*(AD127/CL127)^DF127)-AX126)+(ATM_Conf!$C$5/AD314)*AX126*(Nodes!BG126-AX126)-(ATM_Conf!$C$5*ATM_Conf!$C$9)/(AD314*ATM_Conf!$C$8)*(Nodes!BU126-AD126)/(AD126+ATM_Conf!$C$10)</f>
        <v>#DIV/0!</v>
      </c>
      <c r="AY127" s="43" t="e">
        <f>AY126+(ATM_Conf!$C$5/ATM_Conf!$C$8)*(BS127*EXP(-(1/DG127)*(AE127/CM127)^DG127)-AY126)+(ATM_Conf!$C$5/AE314)*AY126*(Nodes!BF126-AY126)</f>
        <v>#DIV/0!</v>
      </c>
      <c r="AZ127" s="43" t="e">
        <f>AZ126+(ATM_Conf!$C$5/ATM_Conf!$C$8)*(BT127*EXP(-(1/DH127)*(AF127/CN127)^DH127)-AZ126)-(ATM_Conf!$C$5*ATM_Conf!$C$9)/(AF314*ATM_Conf!$C$8)*(Nodes!BV126-AF126)/(AF126+ATM_Conf!$C$10)</f>
        <v>#DIV/0!</v>
      </c>
      <c r="BA127" s="43" t="e">
        <f>BA126+(ATM_Conf!$C$5/ATM_Conf!$C$8)*(BU127*EXP(-(1/DI127)*(AG127/CO127)^DI127)-BA126)+(ATM_Conf!$C$5/AG314)*BA126*(Nodes!BI126-BA126)-(ATM_Conf!$C$5*ATM_Conf!$C$9)/(AG314*ATM_Conf!$C$8)*(Nodes!BW126-AG126)/(AG126+ATM_Conf!$C$10)</f>
        <v>#DIV/0!</v>
      </c>
      <c r="BB127" s="43" t="e">
        <f>BB126+(ATM_Conf!$C$5/ATM_Conf!$C$8)*(BV127*EXP(-(1/DJ127)*(AH127/CP127)^DJ127)-BB126)+(ATM_Conf!$C$5/AH314)*BB126*(Nodes!BJ126-BB126)-(ATM_Conf!$C$5*ATM_Conf!$C$9)/(AH314*ATM_Conf!$C$8)*(AI126-AH126)/(AH126+ATM_Conf!$C$10)</f>
        <v>#DIV/0!</v>
      </c>
      <c r="BC127" s="43" t="e">
        <f>BC126+(ATM_Conf!$C$5/ATM_Conf!$C$8)*(BW127*EXP(-(1/DK127)*(AI127/CQ127)^DK127)-BC126)+(ATM_Conf!$C$5/AI314)*BC126*(BB126-BC126)-(ATM_Conf!$C$5*ATM_Conf!$C$9)/(AI314*ATM_Conf!$C$8)*(AJ126-AI126)/(AI126+ATM_Conf!$C$10)</f>
        <v>#DIV/0!</v>
      </c>
      <c r="BD127" s="43" t="e">
        <f>BD126+(ATM_Conf!$C$5/ATM_Conf!$C$8)*(BX127*EXP(-(1/DL127)*(AJ127/CR127)^DL127)-BD126)+(ATM_Conf!$C$5/AJ314)*BD126*(BC126-BD126)-(ATM_Conf!$C$5*ATM_Conf!$C$9)/(AJ314*ATM_Conf!$C$8)*(Nodes!BX126-AJ126)/(AJ126+ATM_Conf!$C$10)</f>
        <v>#DIV/0!</v>
      </c>
      <c r="BE127" s="43" t="e">
        <f>BE126+(ATM_Conf!$C$5/ATM_Conf!$C$8)*(BY127*EXP(-(1/DM127)*(AK127/CS127)^DM127)-BE126)+(ATM_Conf!$C$5/AK314)*BE126*(Nodes!BK126-BE126)-(ATM_Conf!$C$5*ATM_Conf!$C$9)/(AK314*ATM_Conf!$C$8)*(Nodes!BY126-AK126)/(AK126+ATM_Conf!$C$10)</f>
        <v>#DIV/0!</v>
      </c>
      <c r="BF127" s="43" t="e">
        <f>BF126+(ATM_Conf!$C$5/ATM_Conf!$C$8)*(BZ127*EXP(-(1/DN127)*(AL127/CT127)^DN127)-BF126)+(ATM_Conf!$C$5/AL314)*BF126*(BE126-BF126)-(ATM_Conf!$C$5*ATM_Conf!$C$9)/(AL314*ATM_Conf!$C$8)*(AM126-AL126)/(AL126+ATM_Conf!$C$10)</f>
        <v>#DIV/0!</v>
      </c>
      <c r="BG127" s="43" t="e">
        <f>BG126+(ATM_Conf!$C$5/ATM_Conf!$C$8)*(CA127*EXP(-(1/DO127)*(AM127/CU127)^DO127)-BG126)+(ATM_Conf!$C$5/AM314)*BG126*(Nodes!BM126-BG126)-(ATM_Conf!$C$5*ATM_Conf!$C$9)/(AM314*ATM_Conf!$C$8)*(Nodes!CA126-AM126)/(AM126+ATM_Conf!$C$10)</f>
        <v>#DIV/0!</v>
      </c>
      <c r="BH127" s="43" t="e">
        <f>BH126+(ATM_Conf!$C$5/ATM_Conf!$C$8)*(CB127*EXP(-(1/DP127)*(AN127/CV127)^DP127)-BH126)+(ATM_Conf!$C$5/AN314)*BH126*(BG126-BH126)-(ATM_Conf!$C$5*ATM_Conf!$C$9)/(AN314*ATM_Conf!$C$8)*(AO126-AN126)/(AN126+ATM_Conf!$C$10)</f>
        <v>#DIV/0!</v>
      </c>
      <c r="BI127" s="43" t="e">
        <f>BI126+(ATM_Conf!$C$5/ATM_Conf!$C$8)*(CC127*EXP(-(1/DQ127)*(AO127/CW127)^DQ127)-BI126)+(ATM_Conf!$C$5/AO314)*BI126*(BH126-BI126)</f>
        <v>#DIV/0!</v>
      </c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53"/>
      <c r="CY127" s="53"/>
      <c r="CZ127" s="53"/>
      <c r="DA127" s="53"/>
      <c r="DB127" s="53"/>
      <c r="DC127" s="53"/>
      <c r="DD127" s="53"/>
      <c r="DE127" s="53"/>
      <c r="DF127" s="53"/>
      <c r="DG127" s="53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  <c r="DR127" s="43">
        <f t="shared" si="73"/>
        <v>0</v>
      </c>
      <c r="DS127" s="43">
        <f t="shared" si="72"/>
        <v>0</v>
      </c>
      <c r="DT127" s="43">
        <f t="shared" si="72"/>
        <v>0</v>
      </c>
      <c r="DU127" s="43">
        <f t="shared" si="72"/>
        <v>0</v>
      </c>
      <c r="DV127" s="43">
        <f t="shared" si="72"/>
        <v>0</v>
      </c>
      <c r="DW127" s="43">
        <f t="shared" si="72"/>
        <v>0</v>
      </c>
      <c r="DX127" s="43">
        <f t="shared" si="72"/>
        <v>0</v>
      </c>
      <c r="DY127" s="43">
        <f t="shared" si="72"/>
        <v>0</v>
      </c>
      <c r="DZ127" s="43">
        <f t="shared" si="72"/>
        <v>0</v>
      </c>
      <c r="EA127" s="43">
        <f t="shared" si="72"/>
        <v>0</v>
      </c>
      <c r="EB127" s="43">
        <f t="shared" si="72"/>
        <v>0</v>
      </c>
      <c r="EC127" s="43">
        <f t="shared" si="72"/>
        <v>0</v>
      </c>
      <c r="ED127" s="43">
        <f t="shared" si="72"/>
        <v>0</v>
      </c>
      <c r="EE127" s="43">
        <f t="shared" si="72"/>
        <v>0</v>
      </c>
      <c r="EF127" s="43">
        <f t="shared" si="72"/>
        <v>0</v>
      </c>
      <c r="EG127" s="43">
        <f t="shared" si="72"/>
        <v>0</v>
      </c>
      <c r="EH127" s="43">
        <f t="shared" si="72"/>
        <v>0</v>
      </c>
      <c r="EI127" s="43">
        <f t="shared" si="72"/>
        <v>0</v>
      </c>
      <c r="EJ127" s="43">
        <f t="shared" si="72"/>
        <v>0</v>
      </c>
      <c r="EK127" s="43">
        <f t="shared" si="72"/>
        <v>0</v>
      </c>
      <c r="EL127" s="47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47"/>
      <c r="FA127" s="47"/>
      <c r="FB127" s="47"/>
      <c r="FC127" s="47"/>
      <c r="FD127" s="47"/>
      <c r="FE127" s="47"/>
    </row>
    <row r="128" spans="1:161" ht="14.25" x14ac:dyDescent="0.15">
      <c r="A128" s="46"/>
      <c r="B128" s="43" t="e">
        <f t="shared" si="39"/>
        <v>#DIV/0!</v>
      </c>
      <c r="C128" s="43" t="e">
        <f t="shared" si="40"/>
        <v>#DIV/0!</v>
      </c>
      <c r="D128" s="43" t="e">
        <f t="shared" si="41"/>
        <v>#DIV/0!</v>
      </c>
      <c r="E128" s="43" t="e">
        <f t="shared" si="42"/>
        <v>#DIV/0!</v>
      </c>
      <c r="F128" s="43" t="e">
        <f t="shared" si="43"/>
        <v>#DIV/0!</v>
      </c>
      <c r="G128" s="43" t="e">
        <f t="shared" si="44"/>
        <v>#DIV/0!</v>
      </c>
      <c r="H128" s="43" t="e">
        <f t="shared" si="45"/>
        <v>#DIV/0!</v>
      </c>
      <c r="I128" s="43" t="e">
        <f t="shared" si="46"/>
        <v>#DIV/0!</v>
      </c>
      <c r="J128" s="43" t="e">
        <f t="shared" si="47"/>
        <v>#DIV/0!</v>
      </c>
      <c r="K128" s="43" t="e">
        <f t="shared" si="48"/>
        <v>#DIV/0!</v>
      </c>
      <c r="L128" s="43" t="e">
        <f t="shared" si="49"/>
        <v>#DIV/0!</v>
      </c>
      <c r="M128" s="43" t="e">
        <f t="shared" si="50"/>
        <v>#DIV/0!</v>
      </c>
      <c r="N128" s="43" t="e">
        <f t="shared" si="51"/>
        <v>#DIV/0!</v>
      </c>
      <c r="O128" s="43" t="e">
        <f t="shared" si="52"/>
        <v>#DIV/0!</v>
      </c>
      <c r="P128" s="43" t="e">
        <f t="shared" si="53"/>
        <v>#DIV/0!</v>
      </c>
      <c r="Q128" s="43" t="e">
        <f t="shared" si="54"/>
        <v>#DIV/0!</v>
      </c>
      <c r="R128" s="43" t="e">
        <f t="shared" si="55"/>
        <v>#DIV/0!</v>
      </c>
      <c r="S128" s="43" t="e">
        <f t="shared" si="56"/>
        <v>#DIV/0!</v>
      </c>
      <c r="T128" s="43" t="e">
        <f t="shared" si="57"/>
        <v>#DIV/0!</v>
      </c>
      <c r="U128" s="43" t="e">
        <f t="shared" si="58"/>
        <v>#DIV/0!</v>
      </c>
      <c r="V128" s="53" t="e">
        <f>V127+ATM_Conf!$C$5*(B127)/(B315*V315)</f>
        <v>#DIV/0!</v>
      </c>
      <c r="W128" s="53" t="e">
        <f>W127+ATM_Conf!$C$5*(C127-B127)/(C315*W315)</f>
        <v>#DIV/0!</v>
      </c>
      <c r="X128" s="53" t="e">
        <f>X127+ATM_Conf!$C$5*(D127-C127)/(D315*X315)</f>
        <v>#DIV/0!</v>
      </c>
      <c r="Y128" s="53" t="e">
        <f>Y127+ATM_Conf!$C$5*(E127-D127)/(E315*Y315)</f>
        <v>#DIV/0!</v>
      </c>
      <c r="Z128" s="53" t="e">
        <f>Z127+ATM_Conf!$C$5*(F127-E127)/(F315*Z315)</f>
        <v>#DIV/0!</v>
      </c>
      <c r="AA128" s="53" t="e">
        <f>AA127+ATM_Conf!$C$5*(G127-F127)/(G315*AA315)</f>
        <v>#DIV/0!</v>
      </c>
      <c r="AB128" s="53" t="e">
        <f>AB127+ATM_Conf!$C$5*(H127-G127)/(H315*AB315)</f>
        <v>#DIV/0!</v>
      </c>
      <c r="AC128" s="53" t="e">
        <f>AC127+ATM_Conf!$C$5*(I127-H127)/(I315*AC315)</f>
        <v>#DIV/0!</v>
      </c>
      <c r="AD128" s="53" t="e">
        <f>AD127+ATM_Conf!$C$5*(J127-I127)/(J315*AD315)</f>
        <v>#DIV/0!</v>
      </c>
      <c r="AE128" s="53" t="e">
        <f>AE127+ATM_Conf!$C$5*(K127-J127)/(K315*AE315)</f>
        <v>#DIV/0!</v>
      </c>
      <c r="AF128" s="53" t="e">
        <f>AF127+ATM_Conf!$C$5*(L127)/(L315*AF315)</f>
        <v>#DIV/0!</v>
      </c>
      <c r="AG128" s="53" t="e">
        <f>AG127+ATM_Conf!$C$5*(M127-L127)/(M315*AG315)</f>
        <v>#DIV/0!</v>
      </c>
      <c r="AH128" s="53" t="e">
        <f>AH127+ATM_Conf!$C$5*(N127-M127)/(N315*AH315)</f>
        <v>#DIV/0!</v>
      </c>
      <c r="AI128" s="53" t="e">
        <f>AI127+ATM_Conf!$C$5*(O127-N127)/(O315*AI315)</f>
        <v>#DIV/0!</v>
      </c>
      <c r="AJ128" s="53" t="e">
        <f>AJ127+ATM_Conf!$C$5*(P127-O127)/(P315*AJ315)</f>
        <v>#DIV/0!</v>
      </c>
      <c r="AK128" s="53" t="e">
        <f>AK127+ATM_Conf!$C$5*(Q127-P127)/(Q315*AK315)</f>
        <v>#DIV/0!</v>
      </c>
      <c r="AL128" s="53" t="e">
        <f>AL127+ATM_Conf!$C$5*(R127-Q127)/(R315*AL315)</f>
        <v>#DIV/0!</v>
      </c>
      <c r="AM128" s="53" t="e">
        <f>AM127+ATM_Conf!$C$5*(S127-R127)/(S315*AM315)</f>
        <v>#DIV/0!</v>
      </c>
      <c r="AN128" s="53" t="e">
        <f>AN127+ATM_Conf!$C$5*(T127-S127)/(T315*AN315)</f>
        <v>#DIV/0!</v>
      </c>
      <c r="AO128" s="53" t="e">
        <f>AO127+ATM_Conf!$C$5*(U127-T127)/(U315*AO315)</f>
        <v>#DIV/0!</v>
      </c>
      <c r="AP128" s="43" t="e">
        <f>AP127+(ATM_Conf!$C$5/ATM_Conf!$C$8)*(BJ128*EXP(-(1/CX128)*(V128/CD128)^CX128)-AP127)-(ATM_Conf!$C$5*ATM_Conf!$C$9)/(V315*ATM_Conf!$C$8)*(Nodes!BO127-V127)/(V127+ATM_Conf!$C$10)</f>
        <v>#DIV/0!</v>
      </c>
      <c r="AQ128" s="43" t="e">
        <f>AQ127+(ATM_Conf!$C$5/ATM_Conf!$C$8)*(BK128*EXP(-(1/CY128)*(W128/CE128)^CY128)-AQ127)+(ATM_Conf!$C$5/W315)*AQ127*(AP127-AQ127)-(ATM_Conf!$C$5*ATM_Conf!$C$9)/(W315*ATM_Conf!$C$8)*(X127-W127)/(W127+ATM_Conf!$C$10)</f>
        <v>#DIV/0!</v>
      </c>
      <c r="AR128" s="43" t="e">
        <f>AR127+(ATM_Conf!$C$5/ATM_Conf!$C$8)*(BL128*EXP(-(1/CZ128)*(X128/CF128)^CZ128)-AR127)+(ATM_Conf!$C$5/X315)*AR127*(Nodes!BC127-AR127)-(ATM_Conf!$C$5*ATM_Conf!$C$9)/(X315*ATM_Conf!$C$8)*(Nodes!BQ127-X127)/(X127+ATM_Conf!$C$10)</f>
        <v>#DIV/0!</v>
      </c>
      <c r="AS128" s="43" t="e">
        <f>AS127+(ATM_Conf!$C$5/ATM_Conf!$C$8)*(BM128*EXP(-(1/DA128)*(Y128/CG128)^DA128)-AS127)+(ATM_Conf!$C$5/Y315)*AS127*(AR127-AS127)-(ATM_Conf!$C$5*ATM_Conf!$C$9)/(Y315*ATM_Conf!$C$8)*(Z127-Y127)/(Y127+ATM_Conf!$C$10)</f>
        <v>#DIV/0!</v>
      </c>
      <c r="AT128" s="43" t="e">
        <f>AT127+(ATM_Conf!$C$5/ATM_Conf!$C$8)*(BN128*EXP(-(1/DB128)*(Z128/CH128)^DB128)-AT127)+(ATM_Conf!$C$5/Z315)*AT127*(Nodes!BE127-AT127)-(ATM_Conf!$C$5*ATM_Conf!$C$9)/(Z315*ATM_Conf!$C$8)*(Nodes!BS127-Z127)/(Z127+ATM_Conf!$C$10)</f>
        <v>#DIV/0!</v>
      </c>
      <c r="AU128" s="43" t="e">
        <f>AU127+(ATM_Conf!$C$5/ATM_Conf!$C$8)*(BO128*EXP(-(1/DC128)*(AA128/CI128)^DC128)-AU127)+(ATM_Conf!$C$5/AA315)*AU127*(Nodes!BF127-AU127)-(ATM_Conf!$C$5*ATM_Conf!$C$9)/(AA315*ATM_Conf!$C$8)*(Nodes!BV127-AA127)/(AA127+ATM_Conf!$C$10)</f>
        <v>#DIV/0!</v>
      </c>
      <c r="AV128" s="43" t="e">
        <f>AV127+(ATM_Conf!$C$5/ATM_Conf!$C$8)*(BP128*EXP(-(1/DD128)*(AB128/CJ128)^DD128)-AV127)+(ATM_Conf!$C$5/AB315)*AV127*(AU127-AV127)-(ATM_Conf!$C$5*ATM_Conf!$C$9)/(AB315*ATM_Conf!$C$8)*(AC127-AB127)/(AB127+ATM_Conf!$C$10)</f>
        <v>#DIV/0!</v>
      </c>
      <c r="AW128" s="43" t="e">
        <f>AW127+(ATM_Conf!$C$5/ATM_Conf!$C$8)*(BQ128*EXP(-(1/DE128)*(AC128/CK128)^DE128)-AW127)+(ATM_Conf!$C$5/AC315)*AW127*(AV127-AW127)-(ATM_Conf!$C$5*ATM_Conf!$C$9)/(AC315*ATM_Conf!$C$8)*(AD127-AC127)/(AC127+ATM_Conf!$C$10)</f>
        <v>#DIV/0!</v>
      </c>
      <c r="AX128" s="43" t="e">
        <f>AX127+(ATM_Conf!$C$5/ATM_Conf!$C$8)*(BR128*EXP(-(1/DF128)*(AD128/CL128)^DF128)-AX127)+(ATM_Conf!$C$5/AD315)*AX127*(Nodes!BG127-AX127)-(ATM_Conf!$C$5*ATM_Conf!$C$9)/(AD315*ATM_Conf!$C$8)*(Nodes!BU127-AD127)/(AD127+ATM_Conf!$C$10)</f>
        <v>#DIV/0!</v>
      </c>
      <c r="AY128" s="43" t="e">
        <f>AY127+(ATM_Conf!$C$5/ATM_Conf!$C$8)*(BS128*EXP(-(1/DG128)*(AE128/CM128)^DG128)-AY127)+(ATM_Conf!$C$5/AE315)*AY127*(Nodes!BF127-AY127)</f>
        <v>#DIV/0!</v>
      </c>
      <c r="AZ128" s="43" t="e">
        <f>AZ127+(ATM_Conf!$C$5/ATM_Conf!$C$8)*(BT128*EXP(-(1/DH128)*(AF128/CN128)^DH128)-AZ127)-(ATM_Conf!$C$5*ATM_Conf!$C$9)/(AF315*ATM_Conf!$C$8)*(Nodes!BV127-AF127)/(AF127+ATM_Conf!$C$10)</f>
        <v>#DIV/0!</v>
      </c>
      <c r="BA128" s="43" t="e">
        <f>BA127+(ATM_Conf!$C$5/ATM_Conf!$C$8)*(BU128*EXP(-(1/DI128)*(AG128/CO128)^DI128)-BA127)+(ATM_Conf!$C$5/AG315)*BA127*(Nodes!BI127-BA127)-(ATM_Conf!$C$5*ATM_Conf!$C$9)/(AG315*ATM_Conf!$C$8)*(Nodes!BW127-AG127)/(AG127+ATM_Conf!$C$10)</f>
        <v>#DIV/0!</v>
      </c>
      <c r="BB128" s="43" t="e">
        <f>BB127+(ATM_Conf!$C$5/ATM_Conf!$C$8)*(BV128*EXP(-(1/DJ128)*(AH128/CP128)^DJ128)-BB127)+(ATM_Conf!$C$5/AH315)*BB127*(Nodes!BJ127-BB127)-(ATM_Conf!$C$5*ATM_Conf!$C$9)/(AH315*ATM_Conf!$C$8)*(AI127-AH127)/(AH127+ATM_Conf!$C$10)</f>
        <v>#DIV/0!</v>
      </c>
      <c r="BC128" s="43" t="e">
        <f>BC127+(ATM_Conf!$C$5/ATM_Conf!$C$8)*(BW128*EXP(-(1/DK128)*(AI128/CQ128)^DK128)-BC127)+(ATM_Conf!$C$5/AI315)*BC127*(BB127-BC127)-(ATM_Conf!$C$5*ATM_Conf!$C$9)/(AI315*ATM_Conf!$C$8)*(AJ127-AI127)/(AI127+ATM_Conf!$C$10)</f>
        <v>#DIV/0!</v>
      </c>
      <c r="BD128" s="43" t="e">
        <f>BD127+(ATM_Conf!$C$5/ATM_Conf!$C$8)*(BX128*EXP(-(1/DL128)*(AJ128/CR128)^DL128)-BD127)+(ATM_Conf!$C$5/AJ315)*BD127*(BC127-BD127)-(ATM_Conf!$C$5*ATM_Conf!$C$9)/(AJ315*ATM_Conf!$C$8)*(Nodes!BX127-AJ127)/(AJ127+ATM_Conf!$C$10)</f>
        <v>#DIV/0!</v>
      </c>
      <c r="BE128" s="43" t="e">
        <f>BE127+(ATM_Conf!$C$5/ATM_Conf!$C$8)*(BY128*EXP(-(1/DM128)*(AK128/CS128)^DM128)-BE127)+(ATM_Conf!$C$5/AK315)*BE127*(Nodes!BK127-BE127)-(ATM_Conf!$C$5*ATM_Conf!$C$9)/(AK315*ATM_Conf!$C$8)*(Nodes!BY127-AK127)/(AK127+ATM_Conf!$C$10)</f>
        <v>#DIV/0!</v>
      </c>
      <c r="BF128" s="43" t="e">
        <f>BF127+(ATM_Conf!$C$5/ATM_Conf!$C$8)*(BZ128*EXP(-(1/DN128)*(AL128/CT128)^DN128)-BF127)+(ATM_Conf!$C$5/AL315)*BF127*(BE127-BF127)-(ATM_Conf!$C$5*ATM_Conf!$C$9)/(AL315*ATM_Conf!$C$8)*(AM127-AL127)/(AL127+ATM_Conf!$C$10)</f>
        <v>#DIV/0!</v>
      </c>
      <c r="BG128" s="43" t="e">
        <f>BG127+(ATM_Conf!$C$5/ATM_Conf!$C$8)*(CA128*EXP(-(1/DO128)*(AM128/CU128)^DO128)-BG127)+(ATM_Conf!$C$5/AM315)*BG127*(Nodes!BM127-BG127)-(ATM_Conf!$C$5*ATM_Conf!$C$9)/(AM315*ATM_Conf!$C$8)*(Nodes!CA127-AM127)/(AM127+ATM_Conf!$C$10)</f>
        <v>#DIV/0!</v>
      </c>
      <c r="BH128" s="43" t="e">
        <f>BH127+(ATM_Conf!$C$5/ATM_Conf!$C$8)*(CB128*EXP(-(1/DP128)*(AN128/CV128)^DP128)-BH127)+(ATM_Conf!$C$5/AN315)*BH127*(BG127-BH127)-(ATM_Conf!$C$5*ATM_Conf!$C$9)/(AN315*ATM_Conf!$C$8)*(AO127-AN127)/(AN127+ATM_Conf!$C$10)</f>
        <v>#DIV/0!</v>
      </c>
      <c r="BI128" s="43" t="e">
        <f>BI127+(ATM_Conf!$C$5/ATM_Conf!$C$8)*(CC128*EXP(-(1/DQ128)*(AO128/CW128)^DQ128)-BI127)+(ATM_Conf!$C$5/AO315)*BI127*(BH127-BI127)</f>
        <v>#DIV/0!</v>
      </c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53"/>
      <c r="CY128" s="53"/>
      <c r="CZ128" s="53"/>
      <c r="DA128" s="53"/>
      <c r="DB128" s="53"/>
      <c r="DC128" s="53"/>
      <c r="DD128" s="53"/>
      <c r="DE128" s="53"/>
      <c r="DF128" s="53"/>
      <c r="DG128" s="53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  <c r="DR128" s="43">
        <f t="shared" si="73"/>
        <v>0</v>
      </c>
      <c r="DS128" s="43">
        <f t="shared" si="72"/>
        <v>0</v>
      </c>
      <c r="DT128" s="43">
        <f t="shared" si="72"/>
        <v>0</v>
      </c>
      <c r="DU128" s="43">
        <f t="shared" si="72"/>
        <v>0</v>
      </c>
      <c r="DV128" s="43">
        <f t="shared" si="72"/>
        <v>0</v>
      </c>
      <c r="DW128" s="43">
        <f t="shared" si="72"/>
        <v>0</v>
      </c>
      <c r="DX128" s="43">
        <f t="shared" si="72"/>
        <v>0</v>
      </c>
      <c r="DY128" s="43">
        <f t="shared" si="72"/>
        <v>0</v>
      </c>
      <c r="DZ128" s="43">
        <f t="shared" si="72"/>
        <v>0</v>
      </c>
      <c r="EA128" s="43">
        <f t="shared" si="72"/>
        <v>0</v>
      </c>
      <c r="EB128" s="43">
        <f t="shared" si="72"/>
        <v>0</v>
      </c>
      <c r="EC128" s="43">
        <f t="shared" si="72"/>
        <v>0</v>
      </c>
      <c r="ED128" s="43">
        <f t="shared" si="72"/>
        <v>0</v>
      </c>
      <c r="EE128" s="43">
        <f t="shared" si="72"/>
        <v>0</v>
      </c>
      <c r="EF128" s="43">
        <f t="shared" si="72"/>
        <v>0</v>
      </c>
      <c r="EG128" s="43">
        <f t="shared" si="72"/>
        <v>0</v>
      </c>
      <c r="EH128" s="43">
        <f t="shared" si="72"/>
        <v>0</v>
      </c>
      <c r="EI128" s="43">
        <f t="shared" si="72"/>
        <v>0</v>
      </c>
      <c r="EJ128" s="43">
        <f t="shared" si="72"/>
        <v>0</v>
      </c>
      <c r="EK128" s="43">
        <f t="shared" si="72"/>
        <v>0</v>
      </c>
      <c r="EL128" s="47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47"/>
      <c r="FA128" s="47"/>
      <c r="FB128" s="47"/>
      <c r="FC128" s="47"/>
      <c r="FD128" s="47"/>
      <c r="FE128" s="47"/>
    </row>
    <row r="129" spans="1:161" ht="14.25" x14ac:dyDescent="0.15">
      <c r="A129" s="46"/>
      <c r="B129" s="43" t="e">
        <f t="shared" si="39"/>
        <v>#DIV/0!</v>
      </c>
      <c r="C129" s="43" t="e">
        <f t="shared" si="40"/>
        <v>#DIV/0!</v>
      </c>
      <c r="D129" s="43" t="e">
        <f t="shared" si="41"/>
        <v>#DIV/0!</v>
      </c>
      <c r="E129" s="43" t="e">
        <f t="shared" si="42"/>
        <v>#DIV/0!</v>
      </c>
      <c r="F129" s="43" t="e">
        <f t="shared" si="43"/>
        <v>#DIV/0!</v>
      </c>
      <c r="G129" s="43" t="e">
        <f t="shared" si="44"/>
        <v>#DIV/0!</v>
      </c>
      <c r="H129" s="43" t="e">
        <f t="shared" si="45"/>
        <v>#DIV/0!</v>
      </c>
      <c r="I129" s="43" t="e">
        <f t="shared" si="46"/>
        <v>#DIV/0!</v>
      </c>
      <c r="J129" s="43" t="e">
        <f t="shared" si="47"/>
        <v>#DIV/0!</v>
      </c>
      <c r="K129" s="43" t="e">
        <f t="shared" si="48"/>
        <v>#DIV/0!</v>
      </c>
      <c r="L129" s="43" t="e">
        <f t="shared" si="49"/>
        <v>#DIV/0!</v>
      </c>
      <c r="M129" s="43" t="e">
        <f t="shared" si="50"/>
        <v>#DIV/0!</v>
      </c>
      <c r="N129" s="43" t="e">
        <f t="shared" si="51"/>
        <v>#DIV/0!</v>
      </c>
      <c r="O129" s="43" t="e">
        <f t="shared" si="52"/>
        <v>#DIV/0!</v>
      </c>
      <c r="P129" s="43" t="e">
        <f t="shared" si="53"/>
        <v>#DIV/0!</v>
      </c>
      <c r="Q129" s="43" t="e">
        <f t="shared" si="54"/>
        <v>#DIV/0!</v>
      </c>
      <c r="R129" s="43" t="e">
        <f t="shared" si="55"/>
        <v>#DIV/0!</v>
      </c>
      <c r="S129" s="43" t="e">
        <f t="shared" si="56"/>
        <v>#DIV/0!</v>
      </c>
      <c r="T129" s="43" t="e">
        <f t="shared" si="57"/>
        <v>#DIV/0!</v>
      </c>
      <c r="U129" s="43" t="e">
        <f t="shared" si="58"/>
        <v>#DIV/0!</v>
      </c>
      <c r="V129" s="53" t="e">
        <f>V128+ATM_Conf!$C$5*(B128)/(B316*V316)</f>
        <v>#DIV/0!</v>
      </c>
      <c r="W129" s="53" t="e">
        <f>W128+ATM_Conf!$C$5*(C128-B128)/(C316*W316)</f>
        <v>#DIV/0!</v>
      </c>
      <c r="X129" s="53" t="e">
        <f>X128+ATM_Conf!$C$5*(D128-C128)/(D316*X316)</f>
        <v>#DIV/0!</v>
      </c>
      <c r="Y129" s="53" t="e">
        <f>Y128+ATM_Conf!$C$5*(E128-D128)/(E316*Y316)</f>
        <v>#DIV/0!</v>
      </c>
      <c r="Z129" s="53" t="e">
        <f>Z128+ATM_Conf!$C$5*(F128-E128)/(F316*Z316)</f>
        <v>#DIV/0!</v>
      </c>
      <c r="AA129" s="53" t="e">
        <f>AA128+ATM_Conf!$C$5*(G128-F128)/(G316*AA316)</f>
        <v>#DIV/0!</v>
      </c>
      <c r="AB129" s="53" t="e">
        <f>AB128+ATM_Conf!$C$5*(H128-G128)/(H316*AB316)</f>
        <v>#DIV/0!</v>
      </c>
      <c r="AC129" s="53" t="e">
        <f>AC128+ATM_Conf!$C$5*(I128-H128)/(I316*AC316)</f>
        <v>#DIV/0!</v>
      </c>
      <c r="AD129" s="53" t="e">
        <f>AD128+ATM_Conf!$C$5*(J128-I128)/(J316*AD316)</f>
        <v>#DIV/0!</v>
      </c>
      <c r="AE129" s="53" t="e">
        <f>AE128+ATM_Conf!$C$5*(K128-J128)/(K316*AE316)</f>
        <v>#DIV/0!</v>
      </c>
      <c r="AF129" s="53" t="e">
        <f>AF128+ATM_Conf!$C$5*(L128)/(L316*AF316)</f>
        <v>#DIV/0!</v>
      </c>
      <c r="AG129" s="53" t="e">
        <f>AG128+ATM_Conf!$C$5*(M128-L128)/(M316*AG316)</f>
        <v>#DIV/0!</v>
      </c>
      <c r="AH129" s="53" t="e">
        <f>AH128+ATM_Conf!$C$5*(N128-M128)/(N316*AH316)</f>
        <v>#DIV/0!</v>
      </c>
      <c r="AI129" s="53" t="e">
        <f>AI128+ATM_Conf!$C$5*(O128-N128)/(O316*AI316)</f>
        <v>#DIV/0!</v>
      </c>
      <c r="AJ129" s="53" t="e">
        <f>AJ128+ATM_Conf!$C$5*(P128-O128)/(P316*AJ316)</f>
        <v>#DIV/0!</v>
      </c>
      <c r="AK129" s="53" t="e">
        <f>AK128+ATM_Conf!$C$5*(Q128-P128)/(Q316*AK316)</f>
        <v>#DIV/0!</v>
      </c>
      <c r="AL129" s="53" t="e">
        <f>AL128+ATM_Conf!$C$5*(R128-Q128)/(R316*AL316)</f>
        <v>#DIV/0!</v>
      </c>
      <c r="AM129" s="53" t="e">
        <f>AM128+ATM_Conf!$C$5*(S128-R128)/(S316*AM316)</f>
        <v>#DIV/0!</v>
      </c>
      <c r="AN129" s="53" t="e">
        <f>AN128+ATM_Conf!$C$5*(T128-S128)/(T316*AN316)</f>
        <v>#DIV/0!</v>
      </c>
      <c r="AO129" s="53" t="e">
        <f>AO128+ATM_Conf!$C$5*(U128-T128)/(U316*AO316)</f>
        <v>#DIV/0!</v>
      </c>
      <c r="AP129" s="43" t="e">
        <f>AP128+(ATM_Conf!$C$5/ATM_Conf!$C$8)*(BJ129*EXP(-(1/CX129)*(V129/CD129)^CX129)-AP128)-(ATM_Conf!$C$5*ATM_Conf!$C$9)/(V316*ATM_Conf!$C$8)*(Nodes!BO128-V128)/(V128+ATM_Conf!$C$10)</f>
        <v>#DIV/0!</v>
      </c>
      <c r="AQ129" s="43" t="e">
        <f>AQ128+(ATM_Conf!$C$5/ATM_Conf!$C$8)*(BK129*EXP(-(1/CY129)*(W129/CE129)^CY129)-AQ128)+(ATM_Conf!$C$5/W316)*AQ128*(AP128-AQ128)-(ATM_Conf!$C$5*ATM_Conf!$C$9)/(W316*ATM_Conf!$C$8)*(X128-W128)/(W128+ATM_Conf!$C$10)</f>
        <v>#DIV/0!</v>
      </c>
      <c r="AR129" s="43" t="e">
        <f>AR128+(ATM_Conf!$C$5/ATM_Conf!$C$8)*(BL129*EXP(-(1/CZ129)*(X129/CF129)^CZ129)-AR128)+(ATM_Conf!$C$5/X316)*AR128*(Nodes!BC128-AR128)-(ATM_Conf!$C$5*ATM_Conf!$C$9)/(X316*ATM_Conf!$C$8)*(Nodes!BQ128-X128)/(X128+ATM_Conf!$C$10)</f>
        <v>#DIV/0!</v>
      </c>
      <c r="AS129" s="43" t="e">
        <f>AS128+(ATM_Conf!$C$5/ATM_Conf!$C$8)*(BM129*EXP(-(1/DA129)*(Y129/CG129)^DA129)-AS128)+(ATM_Conf!$C$5/Y316)*AS128*(AR128-AS128)-(ATM_Conf!$C$5*ATM_Conf!$C$9)/(Y316*ATM_Conf!$C$8)*(Z128-Y128)/(Y128+ATM_Conf!$C$10)</f>
        <v>#DIV/0!</v>
      </c>
      <c r="AT129" s="43" t="e">
        <f>AT128+(ATM_Conf!$C$5/ATM_Conf!$C$8)*(BN129*EXP(-(1/DB129)*(Z129/CH129)^DB129)-AT128)+(ATM_Conf!$C$5/Z316)*AT128*(Nodes!BE128-AT128)-(ATM_Conf!$C$5*ATM_Conf!$C$9)/(Z316*ATM_Conf!$C$8)*(Nodes!BS128-Z128)/(Z128+ATM_Conf!$C$10)</f>
        <v>#DIV/0!</v>
      </c>
      <c r="AU129" s="43" t="e">
        <f>AU128+(ATM_Conf!$C$5/ATM_Conf!$C$8)*(BO129*EXP(-(1/DC129)*(AA129/CI129)^DC129)-AU128)+(ATM_Conf!$C$5/AA316)*AU128*(Nodes!BF128-AU128)-(ATM_Conf!$C$5*ATM_Conf!$C$9)/(AA316*ATM_Conf!$C$8)*(Nodes!BV128-AA128)/(AA128+ATM_Conf!$C$10)</f>
        <v>#DIV/0!</v>
      </c>
      <c r="AV129" s="43" t="e">
        <f>AV128+(ATM_Conf!$C$5/ATM_Conf!$C$8)*(BP129*EXP(-(1/DD129)*(AB129/CJ129)^DD129)-AV128)+(ATM_Conf!$C$5/AB316)*AV128*(AU128-AV128)-(ATM_Conf!$C$5*ATM_Conf!$C$9)/(AB316*ATM_Conf!$C$8)*(AC128-AB128)/(AB128+ATM_Conf!$C$10)</f>
        <v>#DIV/0!</v>
      </c>
      <c r="AW129" s="43" t="e">
        <f>AW128+(ATM_Conf!$C$5/ATM_Conf!$C$8)*(BQ129*EXP(-(1/DE129)*(AC129/CK129)^DE129)-AW128)+(ATM_Conf!$C$5/AC316)*AW128*(AV128-AW128)-(ATM_Conf!$C$5*ATM_Conf!$C$9)/(AC316*ATM_Conf!$C$8)*(AD128-AC128)/(AC128+ATM_Conf!$C$10)</f>
        <v>#DIV/0!</v>
      </c>
      <c r="AX129" s="43" t="e">
        <f>AX128+(ATM_Conf!$C$5/ATM_Conf!$C$8)*(BR129*EXP(-(1/DF129)*(AD129/CL129)^DF129)-AX128)+(ATM_Conf!$C$5/AD316)*AX128*(Nodes!BG128-AX128)-(ATM_Conf!$C$5*ATM_Conf!$C$9)/(AD316*ATM_Conf!$C$8)*(Nodes!BU128-AD128)/(AD128+ATM_Conf!$C$10)</f>
        <v>#DIV/0!</v>
      </c>
      <c r="AY129" s="43" t="e">
        <f>AY128+(ATM_Conf!$C$5/ATM_Conf!$C$8)*(BS129*EXP(-(1/DG129)*(AE129/CM129)^DG129)-AY128)+(ATM_Conf!$C$5/AE316)*AY128*(Nodes!BF128-AY128)</f>
        <v>#DIV/0!</v>
      </c>
      <c r="AZ129" s="43" t="e">
        <f>AZ128+(ATM_Conf!$C$5/ATM_Conf!$C$8)*(BT129*EXP(-(1/DH129)*(AF129/CN129)^DH129)-AZ128)-(ATM_Conf!$C$5*ATM_Conf!$C$9)/(AF316*ATM_Conf!$C$8)*(Nodes!BV128-AF128)/(AF128+ATM_Conf!$C$10)</f>
        <v>#DIV/0!</v>
      </c>
      <c r="BA129" s="43" t="e">
        <f>BA128+(ATM_Conf!$C$5/ATM_Conf!$C$8)*(BU129*EXP(-(1/DI129)*(AG129/CO129)^DI129)-BA128)+(ATM_Conf!$C$5/AG316)*BA128*(Nodes!BI128-BA128)-(ATM_Conf!$C$5*ATM_Conf!$C$9)/(AG316*ATM_Conf!$C$8)*(Nodes!BW128-AG128)/(AG128+ATM_Conf!$C$10)</f>
        <v>#DIV/0!</v>
      </c>
      <c r="BB129" s="43" t="e">
        <f>BB128+(ATM_Conf!$C$5/ATM_Conf!$C$8)*(BV129*EXP(-(1/DJ129)*(AH129/CP129)^DJ129)-BB128)+(ATM_Conf!$C$5/AH316)*BB128*(Nodes!BJ128-BB128)-(ATM_Conf!$C$5*ATM_Conf!$C$9)/(AH316*ATM_Conf!$C$8)*(AI128-AH128)/(AH128+ATM_Conf!$C$10)</f>
        <v>#DIV/0!</v>
      </c>
      <c r="BC129" s="43" t="e">
        <f>BC128+(ATM_Conf!$C$5/ATM_Conf!$C$8)*(BW129*EXP(-(1/DK129)*(AI129/CQ129)^DK129)-BC128)+(ATM_Conf!$C$5/AI316)*BC128*(BB128-BC128)-(ATM_Conf!$C$5*ATM_Conf!$C$9)/(AI316*ATM_Conf!$C$8)*(AJ128-AI128)/(AI128+ATM_Conf!$C$10)</f>
        <v>#DIV/0!</v>
      </c>
      <c r="BD129" s="43" t="e">
        <f>BD128+(ATM_Conf!$C$5/ATM_Conf!$C$8)*(BX129*EXP(-(1/DL129)*(AJ129/CR129)^DL129)-BD128)+(ATM_Conf!$C$5/AJ316)*BD128*(BC128-BD128)-(ATM_Conf!$C$5*ATM_Conf!$C$9)/(AJ316*ATM_Conf!$C$8)*(Nodes!BX128-AJ128)/(AJ128+ATM_Conf!$C$10)</f>
        <v>#DIV/0!</v>
      </c>
      <c r="BE129" s="43" t="e">
        <f>BE128+(ATM_Conf!$C$5/ATM_Conf!$C$8)*(BY129*EXP(-(1/DM129)*(AK129/CS129)^DM129)-BE128)+(ATM_Conf!$C$5/AK316)*BE128*(Nodes!BK128-BE128)-(ATM_Conf!$C$5*ATM_Conf!$C$9)/(AK316*ATM_Conf!$C$8)*(Nodes!BY128-AK128)/(AK128+ATM_Conf!$C$10)</f>
        <v>#DIV/0!</v>
      </c>
      <c r="BF129" s="43" t="e">
        <f>BF128+(ATM_Conf!$C$5/ATM_Conf!$C$8)*(BZ129*EXP(-(1/DN129)*(AL129/CT129)^DN129)-BF128)+(ATM_Conf!$C$5/AL316)*BF128*(BE128-BF128)-(ATM_Conf!$C$5*ATM_Conf!$C$9)/(AL316*ATM_Conf!$C$8)*(AM128-AL128)/(AL128+ATM_Conf!$C$10)</f>
        <v>#DIV/0!</v>
      </c>
      <c r="BG129" s="43" t="e">
        <f>BG128+(ATM_Conf!$C$5/ATM_Conf!$C$8)*(CA129*EXP(-(1/DO129)*(AM129/CU129)^DO129)-BG128)+(ATM_Conf!$C$5/AM316)*BG128*(Nodes!BM128-BG128)-(ATM_Conf!$C$5*ATM_Conf!$C$9)/(AM316*ATM_Conf!$C$8)*(Nodes!CA128-AM128)/(AM128+ATM_Conf!$C$10)</f>
        <v>#DIV/0!</v>
      </c>
      <c r="BH129" s="43" t="e">
        <f>BH128+(ATM_Conf!$C$5/ATM_Conf!$C$8)*(CB129*EXP(-(1/DP129)*(AN129/CV129)^DP129)-BH128)+(ATM_Conf!$C$5/AN316)*BH128*(BG128-BH128)-(ATM_Conf!$C$5*ATM_Conf!$C$9)/(AN316*ATM_Conf!$C$8)*(AO128-AN128)/(AN128+ATM_Conf!$C$10)</f>
        <v>#DIV/0!</v>
      </c>
      <c r="BI129" s="43" t="e">
        <f>BI128+(ATM_Conf!$C$5/ATM_Conf!$C$8)*(CC129*EXP(-(1/DQ129)*(AO129/CW129)^DQ129)-BI128)+(ATM_Conf!$C$5/AO316)*BI128*(BH128-BI128)</f>
        <v>#DIV/0!</v>
      </c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53"/>
      <c r="CY129" s="53"/>
      <c r="CZ129" s="53"/>
      <c r="DA129" s="53"/>
      <c r="DB129" s="53"/>
      <c r="DC129" s="53"/>
      <c r="DD129" s="53"/>
      <c r="DE129" s="53"/>
      <c r="DF129" s="53"/>
      <c r="DG129" s="53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  <c r="DR129" s="43">
        <f t="shared" si="73"/>
        <v>0</v>
      </c>
      <c r="DS129" s="43">
        <f t="shared" si="72"/>
        <v>0</v>
      </c>
      <c r="DT129" s="43">
        <f t="shared" si="72"/>
        <v>0</v>
      </c>
      <c r="DU129" s="43">
        <f t="shared" si="72"/>
        <v>0</v>
      </c>
      <c r="DV129" s="43">
        <f t="shared" si="72"/>
        <v>0</v>
      </c>
      <c r="DW129" s="43">
        <f t="shared" si="72"/>
        <v>0</v>
      </c>
      <c r="DX129" s="43">
        <f t="shared" si="72"/>
        <v>0</v>
      </c>
      <c r="DY129" s="43">
        <f t="shared" si="72"/>
        <v>0</v>
      </c>
      <c r="DZ129" s="43">
        <f t="shared" si="72"/>
        <v>0</v>
      </c>
      <c r="EA129" s="43">
        <f t="shared" si="72"/>
        <v>0</v>
      </c>
      <c r="EB129" s="43">
        <f t="shared" si="72"/>
        <v>0</v>
      </c>
      <c r="EC129" s="43">
        <f t="shared" si="72"/>
        <v>0</v>
      </c>
      <c r="ED129" s="43">
        <f t="shared" si="72"/>
        <v>0</v>
      </c>
      <c r="EE129" s="43">
        <f t="shared" si="72"/>
        <v>0</v>
      </c>
      <c r="EF129" s="43">
        <f t="shared" si="72"/>
        <v>0</v>
      </c>
      <c r="EG129" s="43">
        <f t="shared" si="72"/>
        <v>0</v>
      </c>
      <c r="EH129" s="43">
        <f t="shared" si="72"/>
        <v>0</v>
      </c>
      <c r="EI129" s="43">
        <f t="shared" si="72"/>
        <v>0</v>
      </c>
      <c r="EJ129" s="43">
        <f t="shared" si="72"/>
        <v>0</v>
      </c>
      <c r="EK129" s="43">
        <f t="shared" si="72"/>
        <v>0</v>
      </c>
      <c r="EL129" s="47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47"/>
      <c r="FA129" s="47"/>
      <c r="FB129" s="47"/>
      <c r="FC129" s="47"/>
      <c r="FD129" s="47"/>
      <c r="FE129" s="47"/>
    </row>
    <row r="130" spans="1:161" ht="14.25" x14ac:dyDescent="0.15">
      <c r="A130" s="46"/>
      <c r="B130" s="43" t="e">
        <f t="shared" si="39"/>
        <v>#DIV/0!</v>
      </c>
      <c r="C130" s="43" t="e">
        <f t="shared" si="40"/>
        <v>#DIV/0!</v>
      </c>
      <c r="D130" s="43" t="e">
        <f t="shared" si="41"/>
        <v>#DIV/0!</v>
      </c>
      <c r="E130" s="43" t="e">
        <f t="shared" si="42"/>
        <v>#DIV/0!</v>
      </c>
      <c r="F130" s="43" t="e">
        <f t="shared" si="43"/>
        <v>#DIV/0!</v>
      </c>
      <c r="G130" s="43" t="e">
        <f t="shared" si="44"/>
        <v>#DIV/0!</v>
      </c>
      <c r="H130" s="43" t="e">
        <f t="shared" si="45"/>
        <v>#DIV/0!</v>
      </c>
      <c r="I130" s="43" t="e">
        <f t="shared" si="46"/>
        <v>#DIV/0!</v>
      </c>
      <c r="J130" s="43" t="e">
        <f t="shared" si="47"/>
        <v>#DIV/0!</v>
      </c>
      <c r="K130" s="43" t="e">
        <f t="shared" si="48"/>
        <v>#DIV/0!</v>
      </c>
      <c r="L130" s="43" t="e">
        <f t="shared" si="49"/>
        <v>#DIV/0!</v>
      </c>
      <c r="M130" s="43" t="e">
        <f t="shared" si="50"/>
        <v>#DIV/0!</v>
      </c>
      <c r="N130" s="43" t="e">
        <f t="shared" si="51"/>
        <v>#DIV/0!</v>
      </c>
      <c r="O130" s="43" t="e">
        <f t="shared" si="52"/>
        <v>#DIV/0!</v>
      </c>
      <c r="P130" s="43" t="e">
        <f t="shared" si="53"/>
        <v>#DIV/0!</v>
      </c>
      <c r="Q130" s="43" t="e">
        <f t="shared" si="54"/>
        <v>#DIV/0!</v>
      </c>
      <c r="R130" s="43" t="e">
        <f t="shared" si="55"/>
        <v>#DIV/0!</v>
      </c>
      <c r="S130" s="43" t="e">
        <f t="shared" si="56"/>
        <v>#DIV/0!</v>
      </c>
      <c r="T130" s="43" t="e">
        <f t="shared" si="57"/>
        <v>#DIV/0!</v>
      </c>
      <c r="U130" s="43" t="e">
        <f t="shared" si="58"/>
        <v>#DIV/0!</v>
      </c>
      <c r="V130" s="53" t="e">
        <f>V129+ATM_Conf!$C$5*(B129)/(B317*V317)</f>
        <v>#DIV/0!</v>
      </c>
      <c r="W130" s="53" t="e">
        <f>W129+ATM_Conf!$C$5*(C129-B129)/(C317*W317)</f>
        <v>#DIV/0!</v>
      </c>
      <c r="X130" s="53" t="e">
        <f>X129+ATM_Conf!$C$5*(D129-C129)/(D317*X317)</f>
        <v>#DIV/0!</v>
      </c>
      <c r="Y130" s="53" t="e">
        <f>Y129+ATM_Conf!$C$5*(E129-D129)/(E317*Y317)</f>
        <v>#DIV/0!</v>
      </c>
      <c r="Z130" s="53" t="e">
        <f>Z129+ATM_Conf!$C$5*(F129-E129)/(F317*Z317)</f>
        <v>#DIV/0!</v>
      </c>
      <c r="AA130" s="53" t="e">
        <f>AA129+ATM_Conf!$C$5*(G129-F129)/(G317*AA317)</f>
        <v>#DIV/0!</v>
      </c>
      <c r="AB130" s="53" t="e">
        <f>AB129+ATM_Conf!$C$5*(H129-G129)/(H317*AB317)</f>
        <v>#DIV/0!</v>
      </c>
      <c r="AC130" s="53" t="e">
        <f>AC129+ATM_Conf!$C$5*(I129-H129)/(I317*AC317)</f>
        <v>#DIV/0!</v>
      </c>
      <c r="AD130" s="53" t="e">
        <f>AD129+ATM_Conf!$C$5*(J129-I129)/(J317*AD317)</f>
        <v>#DIV/0!</v>
      </c>
      <c r="AE130" s="53" t="e">
        <f>AE129+ATM_Conf!$C$5*(K129-J129)/(K317*AE317)</f>
        <v>#DIV/0!</v>
      </c>
      <c r="AF130" s="53" t="e">
        <f>AF129+ATM_Conf!$C$5*(L129)/(L317*AF317)</f>
        <v>#DIV/0!</v>
      </c>
      <c r="AG130" s="53" t="e">
        <f>AG129+ATM_Conf!$C$5*(M129-L129)/(M317*AG317)</f>
        <v>#DIV/0!</v>
      </c>
      <c r="AH130" s="53" t="e">
        <f>AH129+ATM_Conf!$C$5*(N129-M129)/(N317*AH317)</f>
        <v>#DIV/0!</v>
      </c>
      <c r="AI130" s="53" t="e">
        <f>AI129+ATM_Conf!$C$5*(O129-N129)/(O317*AI317)</f>
        <v>#DIV/0!</v>
      </c>
      <c r="AJ130" s="53" t="e">
        <f>AJ129+ATM_Conf!$C$5*(P129-O129)/(P317*AJ317)</f>
        <v>#DIV/0!</v>
      </c>
      <c r="AK130" s="53" t="e">
        <f>AK129+ATM_Conf!$C$5*(Q129-P129)/(Q317*AK317)</f>
        <v>#DIV/0!</v>
      </c>
      <c r="AL130" s="53" t="e">
        <f>AL129+ATM_Conf!$C$5*(R129-Q129)/(R317*AL317)</f>
        <v>#DIV/0!</v>
      </c>
      <c r="AM130" s="53" t="e">
        <f>AM129+ATM_Conf!$C$5*(S129-R129)/(S317*AM317)</f>
        <v>#DIV/0!</v>
      </c>
      <c r="AN130" s="53" t="e">
        <f>AN129+ATM_Conf!$C$5*(T129-S129)/(T317*AN317)</f>
        <v>#DIV/0!</v>
      </c>
      <c r="AO130" s="53" t="e">
        <f>AO129+ATM_Conf!$C$5*(U129-T129)/(U317*AO317)</f>
        <v>#DIV/0!</v>
      </c>
      <c r="AP130" s="43" t="e">
        <f>AP129+(ATM_Conf!$C$5/ATM_Conf!$C$8)*(BJ130*EXP(-(1/CX130)*(V130/CD130)^CX130)-AP129)-(ATM_Conf!$C$5*ATM_Conf!$C$9)/(V317*ATM_Conf!$C$8)*(Nodes!BO129-V129)/(V129+ATM_Conf!$C$10)</f>
        <v>#DIV/0!</v>
      </c>
      <c r="AQ130" s="43" t="e">
        <f>AQ129+(ATM_Conf!$C$5/ATM_Conf!$C$8)*(BK130*EXP(-(1/CY130)*(W130/CE130)^CY130)-AQ129)+(ATM_Conf!$C$5/W317)*AQ129*(AP129-AQ129)-(ATM_Conf!$C$5*ATM_Conf!$C$9)/(W317*ATM_Conf!$C$8)*(X129-W129)/(W129+ATM_Conf!$C$10)</f>
        <v>#DIV/0!</v>
      </c>
      <c r="AR130" s="43" t="e">
        <f>AR129+(ATM_Conf!$C$5/ATM_Conf!$C$8)*(BL130*EXP(-(1/CZ130)*(X130/CF130)^CZ130)-AR129)+(ATM_Conf!$C$5/X317)*AR129*(Nodes!BC129-AR129)-(ATM_Conf!$C$5*ATM_Conf!$C$9)/(X317*ATM_Conf!$C$8)*(Nodes!BQ129-X129)/(X129+ATM_Conf!$C$10)</f>
        <v>#DIV/0!</v>
      </c>
      <c r="AS130" s="43" t="e">
        <f>AS129+(ATM_Conf!$C$5/ATM_Conf!$C$8)*(BM130*EXP(-(1/DA130)*(Y130/CG130)^DA130)-AS129)+(ATM_Conf!$C$5/Y317)*AS129*(AR129-AS129)-(ATM_Conf!$C$5*ATM_Conf!$C$9)/(Y317*ATM_Conf!$C$8)*(Z129-Y129)/(Y129+ATM_Conf!$C$10)</f>
        <v>#DIV/0!</v>
      </c>
      <c r="AT130" s="43" t="e">
        <f>AT129+(ATM_Conf!$C$5/ATM_Conf!$C$8)*(BN130*EXP(-(1/DB130)*(Z130/CH130)^DB130)-AT129)+(ATM_Conf!$C$5/Z317)*AT129*(Nodes!BE129-AT129)-(ATM_Conf!$C$5*ATM_Conf!$C$9)/(Z317*ATM_Conf!$C$8)*(Nodes!BS129-Z129)/(Z129+ATM_Conf!$C$10)</f>
        <v>#DIV/0!</v>
      </c>
      <c r="AU130" s="43" t="e">
        <f>AU129+(ATM_Conf!$C$5/ATM_Conf!$C$8)*(BO130*EXP(-(1/DC130)*(AA130/CI130)^DC130)-AU129)+(ATM_Conf!$C$5/AA317)*AU129*(Nodes!BF129-AU129)-(ATM_Conf!$C$5*ATM_Conf!$C$9)/(AA317*ATM_Conf!$C$8)*(Nodes!BV129-AA129)/(AA129+ATM_Conf!$C$10)</f>
        <v>#DIV/0!</v>
      </c>
      <c r="AV130" s="43" t="e">
        <f>AV129+(ATM_Conf!$C$5/ATM_Conf!$C$8)*(BP130*EXP(-(1/DD130)*(AB130/CJ130)^DD130)-AV129)+(ATM_Conf!$C$5/AB317)*AV129*(AU129-AV129)-(ATM_Conf!$C$5*ATM_Conf!$C$9)/(AB317*ATM_Conf!$C$8)*(AC129-AB129)/(AB129+ATM_Conf!$C$10)</f>
        <v>#DIV/0!</v>
      </c>
      <c r="AW130" s="43" t="e">
        <f>AW129+(ATM_Conf!$C$5/ATM_Conf!$C$8)*(BQ130*EXP(-(1/DE130)*(AC130/CK130)^DE130)-AW129)+(ATM_Conf!$C$5/AC317)*AW129*(AV129-AW129)-(ATM_Conf!$C$5*ATM_Conf!$C$9)/(AC317*ATM_Conf!$C$8)*(AD129-AC129)/(AC129+ATM_Conf!$C$10)</f>
        <v>#DIV/0!</v>
      </c>
      <c r="AX130" s="43" t="e">
        <f>AX129+(ATM_Conf!$C$5/ATM_Conf!$C$8)*(BR130*EXP(-(1/DF130)*(AD130/CL130)^DF130)-AX129)+(ATM_Conf!$C$5/AD317)*AX129*(Nodes!BG129-AX129)-(ATM_Conf!$C$5*ATM_Conf!$C$9)/(AD317*ATM_Conf!$C$8)*(Nodes!BU129-AD129)/(AD129+ATM_Conf!$C$10)</f>
        <v>#DIV/0!</v>
      </c>
      <c r="AY130" s="43" t="e">
        <f>AY129+(ATM_Conf!$C$5/ATM_Conf!$C$8)*(BS130*EXP(-(1/DG130)*(AE130/CM130)^DG130)-AY129)+(ATM_Conf!$C$5/AE317)*AY129*(Nodes!BF129-AY129)</f>
        <v>#DIV/0!</v>
      </c>
      <c r="AZ130" s="43" t="e">
        <f>AZ129+(ATM_Conf!$C$5/ATM_Conf!$C$8)*(BT130*EXP(-(1/DH130)*(AF130/CN130)^DH130)-AZ129)-(ATM_Conf!$C$5*ATM_Conf!$C$9)/(AF317*ATM_Conf!$C$8)*(Nodes!BV129-AF129)/(AF129+ATM_Conf!$C$10)</f>
        <v>#DIV/0!</v>
      </c>
      <c r="BA130" s="43" t="e">
        <f>BA129+(ATM_Conf!$C$5/ATM_Conf!$C$8)*(BU130*EXP(-(1/DI130)*(AG130/CO130)^DI130)-BA129)+(ATM_Conf!$C$5/AG317)*BA129*(Nodes!BI129-BA129)-(ATM_Conf!$C$5*ATM_Conf!$C$9)/(AG317*ATM_Conf!$C$8)*(Nodes!BW129-AG129)/(AG129+ATM_Conf!$C$10)</f>
        <v>#DIV/0!</v>
      </c>
      <c r="BB130" s="43" t="e">
        <f>BB129+(ATM_Conf!$C$5/ATM_Conf!$C$8)*(BV130*EXP(-(1/DJ130)*(AH130/CP130)^DJ130)-BB129)+(ATM_Conf!$C$5/AH317)*BB129*(Nodes!BJ129-BB129)-(ATM_Conf!$C$5*ATM_Conf!$C$9)/(AH317*ATM_Conf!$C$8)*(AI129-AH129)/(AH129+ATM_Conf!$C$10)</f>
        <v>#DIV/0!</v>
      </c>
      <c r="BC130" s="43" t="e">
        <f>BC129+(ATM_Conf!$C$5/ATM_Conf!$C$8)*(BW130*EXP(-(1/DK130)*(AI130/CQ130)^DK130)-BC129)+(ATM_Conf!$C$5/AI317)*BC129*(BB129-BC129)-(ATM_Conf!$C$5*ATM_Conf!$C$9)/(AI317*ATM_Conf!$C$8)*(AJ129-AI129)/(AI129+ATM_Conf!$C$10)</f>
        <v>#DIV/0!</v>
      </c>
      <c r="BD130" s="43" t="e">
        <f>BD129+(ATM_Conf!$C$5/ATM_Conf!$C$8)*(BX130*EXP(-(1/DL130)*(AJ130/CR130)^DL130)-BD129)+(ATM_Conf!$C$5/AJ317)*BD129*(BC129-BD129)-(ATM_Conf!$C$5*ATM_Conf!$C$9)/(AJ317*ATM_Conf!$C$8)*(Nodes!BX129-AJ129)/(AJ129+ATM_Conf!$C$10)</f>
        <v>#DIV/0!</v>
      </c>
      <c r="BE130" s="43" t="e">
        <f>BE129+(ATM_Conf!$C$5/ATM_Conf!$C$8)*(BY130*EXP(-(1/DM130)*(AK130/CS130)^DM130)-BE129)+(ATM_Conf!$C$5/AK317)*BE129*(Nodes!BK129-BE129)-(ATM_Conf!$C$5*ATM_Conf!$C$9)/(AK317*ATM_Conf!$C$8)*(Nodes!BY129-AK129)/(AK129+ATM_Conf!$C$10)</f>
        <v>#DIV/0!</v>
      </c>
      <c r="BF130" s="43" t="e">
        <f>BF129+(ATM_Conf!$C$5/ATM_Conf!$C$8)*(BZ130*EXP(-(1/DN130)*(AL130/CT130)^DN130)-BF129)+(ATM_Conf!$C$5/AL317)*BF129*(BE129-BF129)-(ATM_Conf!$C$5*ATM_Conf!$C$9)/(AL317*ATM_Conf!$C$8)*(AM129-AL129)/(AL129+ATM_Conf!$C$10)</f>
        <v>#DIV/0!</v>
      </c>
      <c r="BG130" s="43" t="e">
        <f>BG129+(ATM_Conf!$C$5/ATM_Conf!$C$8)*(CA130*EXP(-(1/DO130)*(AM130/CU130)^DO130)-BG129)+(ATM_Conf!$C$5/AM317)*BG129*(Nodes!BM129-BG129)-(ATM_Conf!$C$5*ATM_Conf!$C$9)/(AM317*ATM_Conf!$C$8)*(Nodes!CA129-AM129)/(AM129+ATM_Conf!$C$10)</f>
        <v>#DIV/0!</v>
      </c>
      <c r="BH130" s="43" t="e">
        <f>BH129+(ATM_Conf!$C$5/ATM_Conf!$C$8)*(CB130*EXP(-(1/DP130)*(AN130/CV130)^DP130)-BH129)+(ATM_Conf!$C$5/AN317)*BH129*(BG129-BH129)-(ATM_Conf!$C$5*ATM_Conf!$C$9)/(AN317*ATM_Conf!$C$8)*(AO129-AN129)/(AN129+ATM_Conf!$C$10)</f>
        <v>#DIV/0!</v>
      </c>
      <c r="BI130" s="43" t="e">
        <f>BI129+(ATM_Conf!$C$5/ATM_Conf!$C$8)*(CC130*EXP(-(1/DQ130)*(AO130/CW130)^DQ130)-BI129)+(ATM_Conf!$C$5/AO317)*BI129*(BH129-BI129)</f>
        <v>#DIV/0!</v>
      </c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53"/>
      <c r="CY130" s="53"/>
      <c r="CZ130" s="53"/>
      <c r="DA130" s="53"/>
      <c r="DB130" s="53"/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43">
        <f t="shared" si="73"/>
        <v>0</v>
      </c>
      <c r="DS130" s="43">
        <f t="shared" si="72"/>
        <v>0</v>
      </c>
      <c r="DT130" s="43">
        <f t="shared" si="72"/>
        <v>0</v>
      </c>
      <c r="DU130" s="43">
        <f t="shared" si="72"/>
        <v>0</v>
      </c>
      <c r="DV130" s="43">
        <f t="shared" si="72"/>
        <v>0</v>
      </c>
      <c r="DW130" s="43">
        <f t="shared" si="72"/>
        <v>0</v>
      </c>
      <c r="DX130" s="43">
        <f t="shared" si="72"/>
        <v>0</v>
      </c>
      <c r="DY130" s="43">
        <f t="shared" si="72"/>
        <v>0</v>
      </c>
      <c r="DZ130" s="43">
        <f t="shared" si="72"/>
        <v>0</v>
      </c>
      <c r="EA130" s="43">
        <f t="shared" si="72"/>
        <v>0</v>
      </c>
      <c r="EB130" s="43">
        <f t="shared" si="72"/>
        <v>0</v>
      </c>
      <c r="EC130" s="43">
        <f t="shared" si="72"/>
        <v>0</v>
      </c>
      <c r="ED130" s="43">
        <f t="shared" si="72"/>
        <v>0</v>
      </c>
      <c r="EE130" s="43">
        <f t="shared" si="72"/>
        <v>0</v>
      </c>
      <c r="EF130" s="43">
        <f t="shared" si="72"/>
        <v>0</v>
      </c>
      <c r="EG130" s="43">
        <f t="shared" si="72"/>
        <v>0</v>
      </c>
      <c r="EH130" s="43">
        <f t="shared" si="72"/>
        <v>0</v>
      </c>
      <c r="EI130" s="43">
        <f t="shared" si="72"/>
        <v>0</v>
      </c>
      <c r="EJ130" s="43">
        <f t="shared" si="72"/>
        <v>0</v>
      </c>
      <c r="EK130" s="43">
        <f t="shared" si="72"/>
        <v>0</v>
      </c>
      <c r="EL130" s="47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47"/>
      <c r="FA130" s="47"/>
      <c r="FB130" s="47"/>
      <c r="FC130" s="47"/>
      <c r="FD130" s="47"/>
      <c r="FE130" s="47"/>
    </row>
    <row r="131" spans="1:161" ht="14.25" x14ac:dyDescent="0.15">
      <c r="A131" s="46"/>
      <c r="B131" s="43" t="e">
        <f t="shared" si="39"/>
        <v>#DIV/0!</v>
      </c>
      <c r="C131" s="43" t="e">
        <f t="shared" si="40"/>
        <v>#DIV/0!</v>
      </c>
      <c r="D131" s="43" t="e">
        <f t="shared" si="41"/>
        <v>#DIV/0!</v>
      </c>
      <c r="E131" s="43" t="e">
        <f t="shared" si="42"/>
        <v>#DIV/0!</v>
      </c>
      <c r="F131" s="43" t="e">
        <f t="shared" si="43"/>
        <v>#DIV/0!</v>
      </c>
      <c r="G131" s="43" t="e">
        <f t="shared" si="44"/>
        <v>#DIV/0!</v>
      </c>
      <c r="H131" s="43" t="e">
        <f t="shared" si="45"/>
        <v>#DIV/0!</v>
      </c>
      <c r="I131" s="43" t="e">
        <f t="shared" si="46"/>
        <v>#DIV/0!</v>
      </c>
      <c r="J131" s="43" t="e">
        <f t="shared" si="47"/>
        <v>#DIV/0!</v>
      </c>
      <c r="K131" s="43" t="e">
        <f t="shared" si="48"/>
        <v>#DIV/0!</v>
      </c>
      <c r="L131" s="43" t="e">
        <f t="shared" si="49"/>
        <v>#DIV/0!</v>
      </c>
      <c r="M131" s="43" t="e">
        <f t="shared" si="50"/>
        <v>#DIV/0!</v>
      </c>
      <c r="N131" s="43" t="e">
        <f t="shared" si="51"/>
        <v>#DIV/0!</v>
      </c>
      <c r="O131" s="43" t="e">
        <f t="shared" si="52"/>
        <v>#DIV/0!</v>
      </c>
      <c r="P131" s="43" t="e">
        <f t="shared" si="53"/>
        <v>#DIV/0!</v>
      </c>
      <c r="Q131" s="43" t="e">
        <f t="shared" si="54"/>
        <v>#DIV/0!</v>
      </c>
      <c r="R131" s="43" t="e">
        <f t="shared" si="55"/>
        <v>#DIV/0!</v>
      </c>
      <c r="S131" s="43" t="e">
        <f t="shared" si="56"/>
        <v>#DIV/0!</v>
      </c>
      <c r="T131" s="43" t="e">
        <f t="shared" si="57"/>
        <v>#DIV/0!</v>
      </c>
      <c r="U131" s="43" t="e">
        <f t="shared" si="58"/>
        <v>#DIV/0!</v>
      </c>
      <c r="V131" s="53" t="e">
        <f>V130+ATM_Conf!$C$5*(B130)/(B318*V318)</f>
        <v>#DIV/0!</v>
      </c>
      <c r="W131" s="53" t="e">
        <f>W130+ATM_Conf!$C$5*(C130-B130)/(C318*W318)</f>
        <v>#DIV/0!</v>
      </c>
      <c r="X131" s="53" t="e">
        <f>X130+ATM_Conf!$C$5*(D130-C130)/(D318*X318)</f>
        <v>#DIV/0!</v>
      </c>
      <c r="Y131" s="53" t="e">
        <f>Y130+ATM_Conf!$C$5*(E130-D130)/(E318*Y318)</f>
        <v>#DIV/0!</v>
      </c>
      <c r="Z131" s="53" t="e">
        <f>Z130+ATM_Conf!$C$5*(F130-E130)/(F318*Z318)</f>
        <v>#DIV/0!</v>
      </c>
      <c r="AA131" s="53" t="e">
        <f>AA130+ATM_Conf!$C$5*(G130-F130)/(G318*AA318)</f>
        <v>#DIV/0!</v>
      </c>
      <c r="AB131" s="53" t="e">
        <f>AB130+ATM_Conf!$C$5*(H130-G130)/(H318*AB318)</f>
        <v>#DIV/0!</v>
      </c>
      <c r="AC131" s="53" t="e">
        <f>AC130+ATM_Conf!$C$5*(I130-H130)/(I318*AC318)</f>
        <v>#DIV/0!</v>
      </c>
      <c r="AD131" s="53" t="e">
        <f>AD130+ATM_Conf!$C$5*(J130-I130)/(J318*AD318)</f>
        <v>#DIV/0!</v>
      </c>
      <c r="AE131" s="53" t="e">
        <f>AE130+ATM_Conf!$C$5*(K130-J130)/(K318*AE318)</f>
        <v>#DIV/0!</v>
      </c>
      <c r="AF131" s="53" t="e">
        <f>AF130+ATM_Conf!$C$5*(L130)/(L318*AF318)</f>
        <v>#DIV/0!</v>
      </c>
      <c r="AG131" s="53" t="e">
        <f>AG130+ATM_Conf!$C$5*(M130-L130)/(M318*AG318)</f>
        <v>#DIV/0!</v>
      </c>
      <c r="AH131" s="53" t="e">
        <f>AH130+ATM_Conf!$C$5*(N130-M130)/(N318*AH318)</f>
        <v>#DIV/0!</v>
      </c>
      <c r="AI131" s="53" t="e">
        <f>AI130+ATM_Conf!$C$5*(O130-N130)/(O318*AI318)</f>
        <v>#DIV/0!</v>
      </c>
      <c r="AJ131" s="53" t="e">
        <f>AJ130+ATM_Conf!$C$5*(P130-O130)/(P318*AJ318)</f>
        <v>#DIV/0!</v>
      </c>
      <c r="AK131" s="53" t="e">
        <f>AK130+ATM_Conf!$C$5*(Q130-P130)/(Q318*AK318)</f>
        <v>#DIV/0!</v>
      </c>
      <c r="AL131" s="53" t="e">
        <f>AL130+ATM_Conf!$C$5*(R130-Q130)/(R318*AL318)</f>
        <v>#DIV/0!</v>
      </c>
      <c r="AM131" s="53" t="e">
        <f>AM130+ATM_Conf!$C$5*(S130-R130)/(S318*AM318)</f>
        <v>#DIV/0!</v>
      </c>
      <c r="AN131" s="53" t="e">
        <f>AN130+ATM_Conf!$C$5*(T130-S130)/(T318*AN318)</f>
        <v>#DIV/0!</v>
      </c>
      <c r="AO131" s="53" t="e">
        <f>AO130+ATM_Conf!$C$5*(U130-T130)/(U318*AO318)</f>
        <v>#DIV/0!</v>
      </c>
      <c r="AP131" s="43" t="e">
        <f>AP130+(ATM_Conf!$C$5/ATM_Conf!$C$8)*(BJ131*EXP(-(1/CX131)*(V131/CD131)^CX131)-AP130)-(ATM_Conf!$C$5*ATM_Conf!$C$9)/(V318*ATM_Conf!$C$8)*(Nodes!BO130-V130)/(V130+ATM_Conf!$C$10)</f>
        <v>#DIV/0!</v>
      </c>
      <c r="AQ131" s="43" t="e">
        <f>AQ130+(ATM_Conf!$C$5/ATM_Conf!$C$8)*(BK131*EXP(-(1/CY131)*(W131/CE131)^CY131)-AQ130)+(ATM_Conf!$C$5/W318)*AQ130*(AP130-AQ130)-(ATM_Conf!$C$5*ATM_Conf!$C$9)/(W318*ATM_Conf!$C$8)*(X130-W130)/(W130+ATM_Conf!$C$10)</f>
        <v>#DIV/0!</v>
      </c>
      <c r="AR131" s="43" t="e">
        <f>AR130+(ATM_Conf!$C$5/ATM_Conf!$C$8)*(BL131*EXP(-(1/CZ131)*(X131/CF131)^CZ131)-AR130)+(ATM_Conf!$C$5/X318)*AR130*(Nodes!BC130-AR130)-(ATM_Conf!$C$5*ATM_Conf!$C$9)/(X318*ATM_Conf!$C$8)*(Nodes!BQ130-X130)/(X130+ATM_Conf!$C$10)</f>
        <v>#DIV/0!</v>
      </c>
      <c r="AS131" s="43" t="e">
        <f>AS130+(ATM_Conf!$C$5/ATM_Conf!$C$8)*(BM131*EXP(-(1/DA131)*(Y131/CG131)^DA131)-AS130)+(ATM_Conf!$C$5/Y318)*AS130*(AR130-AS130)-(ATM_Conf!$C$5*ATM_Conf!$C$9)/(Y318*ATM_Conf!$C$8)*(Z130-Y130)/(Y130+ATM_Conf!$C$10)</f>
        <v>#DIV/0!</v>
      </c>
      <c r="AT131" s="43" t="e">
        <f>AT130+(ATM_Conf!$C$5/ATM_Conf!$C$8)*(BN131*EXP(-(1/DB131)*(Z131/CH131)^DB131)-AT130)+(ATM_Conf!$C$5/Z318)*AT130*(Nodes!BE130-AT130)-(ATM_Conf!$C$5*ATM_Conf!$C$9)/(Z318*ATM_Conf!$C$8)*(Nodes!BS130-Z130)/(Z130+ATM_Conf!$C$10)</f>
        <v>#DIV/0!</v>
      </c>
      <c r="AU131" s="43" t="e">
        <f>AU130+(ATM_Conf!$C$5/ATM_Conf!$C$8)*(BO131*EXP(-(1/DC131)*(AA131/CI131)^DC131)-AU130)+(ATM_Conf!$C$5/AA318)*AU130*(Nodes!BF130-AU130)-(ATM_Conf!$C$5*ATM_Conf!$C$9)/(AA318*ATM_Conf!$C$8)*(Nodes!BV130-AA130)/(AA130+ATM_Conf!$C$10)</f>
        <v>#DIV/0!</v>
      </c>
      <c r="AV131" s="43" t="e">
        <f>AV130+(ATM_Conf!$C$5/ATM_Conf!$C$8)*(BP131*EXP(-(1/DD131)*(AB131/CJ131)^DD131)-AV130)+(ATM_Conf!$C$5/AB318)*AV130*(AU130-AV130)-(ATM_Conf!$C$5*ATM_Conf!$C$9)/(AB318*ATM_Conf!$C$8)*(AC130-AB130)/(AB130+ATM_Conf!$C$10)</f>
        <v>#DIV/0!</v>
      </c>
      <c r="AW131" s="43" t="e">
        <f>AW130+(ATM_Conf!$C$5/ATM_Conf!$C$8)*(BQ131*EXP(-(1/DE131)*(AC131/CK131)^DE131)-AW130)+(ATM_Conf!$C$5/AC318)*AW130*(AV130-AW130)-(ATM_Conf!$C$5*ATM_Conf!$C$9)/(AC318*ATM_Conf!$C$8)*(AD130-AC130)/(AC130+ATM_Conf!$C$10)</f>
        <v>#DIV/0!</v>
      </c>
      <c r="AX131" s="43" t="e">
        <f>AX130+(ATM_Conf!$C$5/ATM_Conf!$C$8)*(BR131*EXP(-(1/DF131)*(AD131/CL131)^DF131)-AX130)+(ATM_Conf!$C$5/AD318)*AX130*(Nodes!BG130-AX130)-(ATM_Conf!$C$5*ATM_Conf!$C$9)/(AD318*ATM_Conf!$C$8)*(Nodes!BU130-AD130)/(AD130+ATM_Conf!$C$10)</f>
        <v>#DIV/0!</v>
      </c>
      <c r="AY131" s="43" t="e">
        <f>AY130+(ATM_Conf!$C$5/ATM_Conf!$C$8)*(BS131*EXP(-(1/DG131)*(AE131/CM131)^DG131)-AY130)+(ATM_Conf!$C$5/AE318)*AY130*(Nodes!BF130-AY130)</f>
        <v>#DIV/0!</v>
      </c>
      <c r="AZ131" s="43" t="e">
        <f>AZ130+(ATM_Conf!$C$5/ATM_Conf!$C$8)*(BT131*EXP(-(1/DH131)*(AF131/CN131)^DH131)-AZ130)-(ATM_Conf!$C$5*ATM_Conf!$C$9)/(AF318*ATM_Conf!$C$8)*(Nodes!BV130-AF130)/(AF130+ATM_Conf!$C$10)</f>
        <v>#DIV/0!</v>
      </c>
      <c r="BA131" s="43" t="e">
        <f>BA130+(ATM_Conf!$C$5/ATM_Conf!$C$8)*(BU131*EXP(-(1/DI131)*(AG131/CO131)^DI131)-BA130)+(ATM_Conf!$C$5/AG318)*BA130*(Nodes!BI130-BA130)-(ATM_Conf!$C$5*ATM_Conf!$C$9)/(AG318*ATM_Conf!$C$8)*(Nodes!BW130-AG130)/(AG130+ATM_Conf!$C$10)</f>
        <v>#DIV/0!</v>
      </c>
      <c r="BB131" s="43" t="e">
        <f>BB130+(ATM_Conf!$C$5/ATM_Conf!$C$8)*(BV131*EXP(-(1/DJ131)*(AH131/CP131)^DJ131)-BB130)+(ATM_Conf!$C$5/AH318)*BB130*(Nodes!BJ130-BB130)-(ATM_Conf!$C$5*ATM_Conf!$C$9)/(AH318*ATM_Conf!$C$8)*(AI130-AH130)/(AH130+ATM_Conf!$C$10)</f>
        <v>#DIV/0!</v>
      </c>
      <c r="BC131" s="43" t="e">
        <f>BC130+(ATM_Conf!$C$5/ATM_Conf!$C$8)*(BW131*EXP(-(1/DK131)*(AI131/CQ131)^DK131)-BC130)+(ATM_Conf!$C$5/AI318)*BC130*(BB130-BC130)-(ATM_Conf!$C$5*ATM_Conf!$C$9)/(AI318*ATM_Conf!$C$8)*(AJ130-AI130)/(AI130+ATM_Conf!$C$10)</f>
        <v>#DIV/0!</v>
      </c>
      <c r="BD131" s="43" t="e">
        <f>BD130+(ATM_Conf!$C$5/ATM_Conf!$C$8)*(BX131*EXP(-(1/DL131)*(AJ131/CR131)^DL131)-BD130)+(ATM_Conf!$C$5/AJ318)*BD130*(BC130-BD130)-(ATM_Conf!$C$5*ATM_Conf!$C$9)/(AJ318*ATM_Conf!$C$8)*(Nodes!BX130-AJ130)/(AJ130+ATM_Conf!$C$10)</f>
        <v>#DIV/0!</v>
      </c>
      <c r="BE131" s="43" t="e">
        <f>BE130+(ATM_Conf!$C$5/ATM_Conf!$C$8)*(BY131*EXP(-(1/DM131)*(AK131/CS131)^DM131)-BE130)+(ATM_Conf!$C$5/AK318)*BE130*(Nodes!BK130-BE130)-(ATM_Conf!$C$5*ATM_Conf!$C$9)/(AK318*ATM_Conf!$C$8)*(Nodes!BY130-AK130)/(AK130+ATM_Conf!$C$10)</f>
        <v>#DIV/0!</v>
      </c>
      <c r="BF131" s="43" t="e">
        <f>BF130+(ATM_Conf!$C$5/ATM_Conf!$C$8)*(BZ131*EXP(-(1/DN131)*(AL131/CT131)^DN131)-BF130)+(ATM_Conf!$C$5/AL318)*BF130*(BE130-BF130)-(ATM_Conf!$C$5*ATM_Conf!$C$9)/(AL318*ATM_Conf!$C$8)*(AM130-AL130)/(AL130+ATM_Conf!$C$10)</f>
        <v>#DIV/0!</v>
      </c>
      <c r="BG131" s="43" t="e">
        <f>BG130+(ATM_Conf!$C$5/ATM_Conf!$C$8)*(CA131*EXP(-(1/DO131)*(AM131/CU131)^DO131)-BG130)+(ATM_Conf!$C$5/AM318)*BG130*(Nodes!BM130-BG130)-(ATM_Conf!$C$5*ATM_Conf!$C$9)/(AM318*ATM_Conf!$C$8)*(Nodes!CA130-AM130)/(AM130+ATM_Conf!$C$10)</f>
        <v>#DIV/0!</v>
      </c>
      <c r="BH131" s="43" t="e">
        <f>BH130+(ATM_Conf!$C$5/ATM_Conf!$C$8)*(CB131*EXP(-(1/DP131)*(AN131/CV131)^DP131)-BH130)+(ATM_Conf!$C$5/AN318)*BH130*(BG130-BH130)-(ATM_Conf!$C$5*ATM_Conf!$C$9)/(AN318*ATM_Conf!$C$8)*(AO130-AN130)/(AN130+ATM_Conf!$C$10)</f>
        <v>#DIV/0!</v>
      </c>
      <c r="BI131" s="43" t="e">
        <f>BI130+(ATM_Conf!$C$5/ATM_Conf!$C$8)*(CC131*EXP(-(1/DQ131)*(AO131/CW131)^DQ131)-BI130)+(ATM_Conf!$C$5/AO318)*BI130*(BH130-BI130)</f>
        <v>#DIV/0!</v>
      </c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53"/>
      <c r="CY131" s="53"/>
      <c r="CZ131" s="53"/>
      <c r="DA131" s="53"/>
      <c r="DB131" s="53"/>
      <c r="DC131" s="53"/>
      <c r="DD131" s="53"/>
      <c r="DE131" s="53"/>
      <c r="DF131" s="53"/>
      <c r="DG131" s="53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  <c r="DR131" s="43">
        <f t="shared" si="73"/>
        <v>0</v>
      </c>
      <c r="DS131" s="43">
        <f t="shared" si="72"/>
        <v>0</v>
      </c>
      <c r="DT131" s="43">
        <f t="shared" si="72"/>
        <v>0</v>
      </c>
      <c r="DU131" s="43">
        <f t="shared" si="72"/>
        <v>0</v>
      </c>
      <c r="DV131" s="43">
        <f t="shared" si="72"/>
        <v>0</v>
      </c>
      <c r="DW131" s="43">
        <f t="shared" si="72"/>
        <v>0</v>
      </c>
      <c r="DX131" s="43">
        <f t="shared" si="72"/>
        <v>0</v>
      </c>
      <c r="DY131" s="43">
        <f t="shared" si="72"/>
        <v>0</v>
      </c>
      <c r="DZ131" s="43">
        <f t="shared" si="72"/>
        <v>0</v>
      </c>
      <c r="EA131" s="43">
        <f t="shared" si="72"/>
        <v>0</v>
      </c>
      <c r="EB131" s="43">
        <f t="shared" si="72"/>
        <v>0</v>
      </c>
      <c r="EC131" s="43">
        <f t="shared" si="72"/>
        <v>0</v>
      </c>
      <c r="ED131" s="43">
        <f t="shared" si="72"/>
        <v>0</v>
      </c>
      <c r="EE131" s="43">
        <f t="shared" si="72"/>
        <v>0</v>
      </c>
      <c r="EF131" s="43">
        <f t="shared" si="72"/>
        <v>0</v>
      </c>
      <c r="EG131" s="43">
        <f t="shared" si="72"/>
        <v>0</v>
      </c>
      <c r="EH131" s="43">
        <f t="shared" si="72"/>
        <v>0</v>
      </c>
      <c r="EI131" s="43">
        <f t="shared" si="72"/>
        <v>0</v>
      </c>
      <c r="EJ131" s="43">
        <f t="shared" si="72"/>
        <v>0</v>
      </c>
      <c r="EK131" s="43">
        <f t="shared" si="72"/>
        <v>0</v>
      </c>
      <c r="EL131" s="47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47"/>
      <c r="FA131" s="47"/>
      <c r="FB131" s="47"/>
      <c r="FC131" s="47"/>
      <c r="FD131" s="47"/>
      <c r="FE131" s="47"/>
    </row>
    <row r="132" spans="1:161" ht="14.25" x14ac:dyDescent="0.15">
      <c r="A132" s="46"/>
      <c r="B132" s="43" t="e">
        <f t="shared" ref="B132:B182" si="74">V132*AP132</f>
        <v>#DIV/0!</v>
      </c>
      <c r="C132" s="43" t="e">
        <f t="shared" ref="C132:C182" si="75">W132*AQ132</f>
        <v>#DIV/0!</v>
      </c>
      <c r="D132" s="43" t="e">
        <f t="shared" ref="D132:D182" si="76">X132*AR132</f>
        <v>#DIV/0!</v>
      </c>
      <c r="E132" s="43" t="e">
        <f t="shared" ref="E132:E182" si="77">Y132*AS132</f>
        <v>#DIV/0!</v>
      </c>
      <c r="F132" s="43" t="e">
        <f t="shared" ref="F132:F182" si="78">Z132*AT132</f>
        <v>#DIV/0!</v>
      </c>
      <c r="G132" s="43" t="e">
        <f t="shared" ref="G132:G182" si="79">AA132*AU132</f>
        <v>#DIV/0!</v>
      </c>
      <c r="H132" s="43" t="e">
        <f t="shared" ref="H132:H182" si="80">AB132*AV132</f>
        <v>#DIV/0!</v>
      </c>
      <c r="I132" s="43" t="e">
        <f t="shared" ref="I132:I182" si="81">AC132*AW132</f>
        <v>#DIV/0!</v>
      </c>
      <c r="J132" s="43" t="e">
        <f t="shared" ref="J132:J182" si="82">AD132*AX132</f>
        <v>#DIV/0!</v>
      </c>
      <c r="K132" s="43" t="e">
        <f t="shared" ref="K132:K182" si="83">AE132*AY132</f>
        <v>#DIV/0!</v>
      </c>
      <c r="L132" s="43" t="e">
        <f t="shared" ref="L132:L182" si="84">AF132*AZ132</f>
        <v>#DIV/0!</v>
      </c>
      <c r="M132" s="43" t="e">
        <f t="shared" ref="M132:M182" si="85">AG132*BA132</f>
        <v>#DIV/0!</v>
      </c>
      <c r="N132" s="43" t="e">
        <f t="shared" ref="N132:N182" si="86">AH132*BB132</f>
        <v>#DIV/0!</v>
      </c>
      <c r="O132" s="43" t="e">
        <f t="shared" ref="O132:O182" si="87">AI132*BC132</f>
        <v>#DIV/0!</v>
      </c>
      <c r="P132" s="43" t="e">
        <f t="shared" ref="P132:P182" si="88">AJ132*BD132</f>
        <v>#DIV/0!</v>
      </c>
      <c r="Q132" s="43" t="e">
        <f t="shared" ref="Q132:Q182" si="89">AK132*BE132</f>
        <v>#DIV/0!</v>
      </c>
      <c r="R132" s="43" t="e">
        <f t="shared" ref="R132:R182" si="90">AL132*BF132</f>
        <v>#DIV/0!</v>
      </c>
      <c r="S132" s="43" t="e">
        <f t="shared" ref="S132:S182" si="91">AM132*BG132</f>
        <v>#DIV/0!</v>
      </c>
      <c r="T132" s="43" t="e">
        <f t="shared" ref="T132:T182" si="92">AN132*BH132</f>
        <v>#DIV/0!</v>
      </c>
      <c r="U132" s="43" t="e">
        <f t="shared" ref="U132:U182" si="93">AO132*BI132</f>
        <v>#DIV/0!</v>
      </c>
      <c r="V132" s="53" t="e">
        <f>V131+ATM_Conf!$C$5*(B131)/(B319*V319)</f>
        <v>#DIV/0!</v>
      </c>
      <c r="W132" s="53" t="e">
        <f>W131+ATM_Conf!$C$5*(C131-B131)/(C319*W319)</f>
        <v>#DIV/0!</v>
      </c>
      <c r="X132" s="53" t="e">
        <f>X131+ATM_Conf!$C$5*(D131-C131)/(D319*X319)</f>
        <v>#DIV/0!</v>
      </c>
      <c r="Y132" s="53" t="e">
        <f>Y131+ATM_Conf!$C$5*(E131-D131)/(E319*Y319)</f>
        <v>#DIV/0!</v>
      </c>
      <c r="Z132" s="53" t="e">
        <f>Z131+ATM_Conf!$C$5*(F131-E131)/(F319*Z319)</f>
        <v>#DIV/0!</v>
      </c>
      <c r="AA132" s="53" t="e">
        <f>AA131+ATM_Conf!$C$5*(G131-F131)/(G319*AA319)</f>
        <v>#DIV/0!</v>
      </c>
      <c r="AB132" s="53" t="e">
        <f>AB131+ATM_Conf!$C$5*(H131-G131)/(H319*AB319)</f>
        <v>#DIV/0!</v>
      </c>
      <c r="AC132" s="53" t="e">
        <f>AC131+ATM_Conf!$C$5*(I131-H131)/(I319*AC319)</f>
        <v>#DIV/0!</v>
      </c>
      <c r="AD132" s="53" t="e">
        <f>AD131+ATM_Conf!$C$5*(J131-I131)/(J319*AD319)</f>
        <v>#DIV/0!</v>
      </c>
      <c r="AE132" s="53" t="e">
        <f>AE131+ATM_Conf!$C$5*(K131-J131)/(K319*AE319)</f>
        <v>#DIV/0!</v>
      </c>
      <c r="AF132" s="53" t="e">
        <f>AF131+ATM_Conf!$C$5*(L131)/(L319*AF319)</f>
        <v>#DIV/0!</v>
      </c>
      <c r="AG132" s="53" t="e">
        <f>AG131+ATM_Conf!$C$5*(M131-L131)/(M319*AG319)</f>
        <v>#DIV/0!</v>
      </c>
      <c r="AH132" s="53" t="e">
        <f>AH131+ATM_Conf!$C$5*(N131-M131)/(N319*AH319)</f>
        <v>#DIV/0!</v>
      </c>
      <c r="AI132" s="53" t="e">
        <f>AI131+ATM_Conf!$C$5*(O131-N131)/(O319*AI319)</f>
        <v>#DIV/0!</v>
      </c>
      <c r="AJ132" s="53" t="e">
        <f>AJ131+ATM_Conf!$C$5*(P131-O131)/(P319*AJ319)</f>
        <v>#DIV/0!</v>
      </c>
      <c r="AK132" s="53" t="e">
        <f>AK131+ATM_Conf!$C$5*(Q131-P131)/(Q319*AK319)</f>
        <v>#DIV/0!</v>
      </c>
      <c r="AL132" s="53" t="e">
        <f>AL131+ATM_Conf!$C$5*(R131-Q131)/(R319*AL319)</f>
        <v>#DIV/0!</v>
      </c>
      <c r="AM132" s="53" t="e">
        <f>AM131+ATM_Conf!$C$5*(S131-R131)/(S319*AM319)</f>
        <v>#DIV/0!</v>
      </c>
      <c r="AN132" s="53" t="e">
        <f>AN131+ATM_Conf!$C$5*(T131-S131)/(T319*AN319)</f>
        <v>#DIV/0!</v>
      </c>
      <c r="AO132" s="53" t="e">
        <f>AO131+ATM_Conf!$C$5*(U131-T131)/(U319*AO319)</f>
        <v>#DIV/0!</v>
      </c>
      <c r="AP132" s="43" t="e">
        <f>AP131+(ATM_Conf!$C$5/ATM_Conf!$C$8)*(BJ132*EXP(-(1/CX132)*(V132/CD132)^CX132)-AP131)-(ATM_Conf!$C$5*ATM_Conf!$C$9)/(V319*ATM_Conf!$C$8)*(Nodes!BO131-V131)/(V131+ATM_Conf!$C$10)</f>
        <v>#DIV/0!</v>
      </c>
      <c r="AQ132" s="43" t="e">
        <f>AQ131+(ATM_Conf!$C$5/ATM_Conf!$C$8)*(BK132*EXP(-(1/CY132)*(W132/CE132)^CY132)-AQ131)+(ATM_Conf!$C$5/W319)*AQ131*(AP131-AQ131)-(ATM_Conf!$C$5*ATM_Conf!$C$9)/(W319*ATM_Conf!$C$8)*(X131-W131)/(W131+ATM_Conf!$C$10)</f>
        <v>#DIV/0!</v>
      </c>
      <c r="AR132" s="43" t="e">
        <f>AR131+(ATM_Conf!$C$5/ATM_Conf!$C$8)*(BL132*EXP(-(1/CZ132)*(X132/CF132)^CZ132)-AR131)+(ATM_Conf!$C$5/X319)*AR131*(Nodes!BC131-AR131)-(ATM_Conf!$C$5*ATM_Conf!$C$9)/(X319*ATM_Conf!$C$8)*(Nodes!BQ131-X131)/(X131+ATM_Conf!$C$10)</f>
        <v>#DIV/0!</v>
      </c>
      <c r="AS132" s="43" t="e">
        <f>AS131+(ATM_Conf!$C$5/ATM_Conf!$C$8)*(BM132*EXP(-(1/DA132)*(Y132/CG132)^DA132)-AS131)+(ATM_Conf!$C$5/Y319)*AS131*(AR131-AS131)-(ATM_Conf!$C$5*ATM_Conf!$C$9)/(Y319*ATM_Conf!$C$8)*(Z131-Y131)/(Y131+ATM_Conf!$C$10)</f>
        <v>#DIV/0!</v>
      </c>
      <c r="AT132" s="43" t="e">
        <f>AT131+(ATM_Conf!$C$5/ATM_Conf!$C$8)*(BN132*EXP(-(1/DB132)*(Z132/CH132)^DB132)-AT131)+(ATM_Conf!$C$5/Z319)*AT131*(Nodes!BE131-AT131)-(ATM_Conf!$C$5*ATM_Conf!$C$9)/(Z319*ATM_Conf!$C$8)*(Nodes!BS131-Z131)/(Z131+ATM_Conf!$C$10)</f>
        <v>#DIV/0!</v>
      </c>
      <c r="AU132" s="43" t="e">
        <f>AU131+(ATM_Conf!$C$5/ATM_Conf!$C$8)*(BO132*EXP(-(1/DC132)*(AA132/CI132)^DC132)-AU131)+(ATM_Conf!$C$5/AA319)*AU131*(Nodes!BF131-AU131)-(ATM_Conf!$C$5*ATM_Conf!$C$9)/(AA319*ATM_Conf!$C$8)*(Nodes!BV131-AA131)/(AA131+ATM_Conf!$C$10)</f>
        <v>#DIV/0!</v>
      </c>
      <c r="AV132" s="43" t="e">
        <f>AV131+(ATM_Conf!$C$5/ATM_Conf!$C$8)*(BP132*EXP(-(1/DD132)*(AB132/CJ132)^DD132)-AV131)+(ATM_Conf!$C$5/AB319)*AV131*(AU131-AV131)-(ATM_Conf!$C$5*ATM_Conf!$C$9)/(AB319*ATM_Conf!$C$8)*(AC131-AB131)/(AB131+ATM_Conf!$C$10)</f>
        <v>#DIV/0!</v>
      </c>
      <c r="AW132" s="43" t="e">
        <f>AW131+(ATM_Conf!$C$5/ATM_Conf!$C$8)*(BQ132*EXP(-(1/DE132)*(AC132/CK132)^DE132)-AW131)+(ATM_Conf!$C$5/AC319)*AW131*(AV131-AW131)-(ATM_Conf!$C$5*ATM_Conf!$C$9)/(AC319*ATM_Conf!$C$8)*(AD131-AC131)/(AC131+ATM_Conf!$C$10)</f>
        <v>#DIV/0!</v>
      </c>
      <c r="AX132" s="43" t="e">
        <f>AX131+(ATM_Conf!$C$5/ATM_Conf!$C$8)*(BR132*EXP(-(1/DF132)*(AD132/CL132)^DF132)-AX131)+(ATM_Conf!$C$5/AD319)*AX131*(Nodes!BG131-AX131)-(ATM_Conf!$C$5*ATM_Conf!$C$9)/(AD319*ATM_Conf!$C$8)*(Nodes!BU131-AD131)/(AD131+ATM_Conf!$C$10)</f>
        <v>#DIV/0!</v>
      </c>
      <c r="AY132" s="43" t="e">
        <f>AY131+(ATM_Conf!$C$5/ATM_Conf!$C$8)*(BS132*EXP(-(1/DG132)*(AE132/CM132)^DG132)-AY131)+(ATM_Conf!$C$5/AE319)*AY131*(Nodes!BF131-AY131)</f>
        <v>#DIV/0!</v>
      </c>
      <c r="AZ132" s="43" t="e">
        <f>AZ131+(ATM_Conf!$C$5/ATM_Conf!$C$8)*(BT132*EXP(-(1/DH132)*(AF132/CN132)^DH132)-AZ131)-(ATM_Conf!$C$5*ATM_Conf!$C$9)/(AF319*ATM_Conf!$C$8)*(Nodes!BV131-AF131)/(AF131+ATM_Conf!$C$10)</f>
        <v>#DIV/0!</v>
      </c>
      <c r="BA132" s="43" t="e">
        <f>BA131+(ATM_Conf!$C$5/ATM_Conf!$C$8)*(BU132*EXP(-(1/DI132)*(AG132/CO132)^DI132)-BA131)+(ATM_Conf!$C$5/AG319)*BA131*(Nodes!BI131-BA131)-(ATM_Conf!$C$5*ATM_Conf!$C$9)/(AG319*ATM_Conf!$C$8)*(Nodes!BW131-AG131)/(AG131+ATM_Conf!$C$10)</f>
        <v>#DIV/0!</v>
      </c>
      <c r="BB132" s="43" t="e">
        <f>BB131+(ATM_Conf!$C$5/ATM_Conf!$C$8)*(BV132*EXP(-(1/DJ132)*(AH132/CP132)^DJ132)-BB131)+(ATM_Conf!$C$5/AH319)*BB131*(Nodes!BJ131-BB131)-(ATM_Conf!$C$5*ATM_Conf!$C$9)/(AH319*ATM_Conf!$C$8)*(AI131-AH131)/(AH131+ATM_Conf!$C$10)</f>
        <v>#DIV/0!</v>
      </c>
      <c r="BC132" s="43" t="e">
        <f>BC131+(ATM_Conf!$C$5/ATM_Conf!$C$8)*(BW132*EXP(-(1/DK132)*(AI132/CQ132)^DK132)-BC131)+(ATM_Conf!$C$5/AI319)*BC131*(BB131-BC131)-(ATM_Conf!$C$5*ATM_Conf!$C$9)/(AI319*ATM_Conf!$C$8)*(AJ131-AI131)/(AI131+ATM_Conf!$C$10)</f>
        <v>#DIV/0!</v>
      </c>
      <c r="BD132" s="43" t="e">
        <f>BD131+(ATM_Conf!$C$5/ATM_Conf!$C$8)*(BX132*EXP(-(1/DL132)*(AJ132/CR132)^DL132)-BD131)+(ATM_Conf!$C$5/AJ319)*BD131*(BC131-BD131)-(ATM_Conf!$C$5*ATM_Conf!$C$9)/(AJ319*ATM_Conf!$C$8)*(Nodes!BX131-AJ131)/(AJ131+ATM_Conf!$C$10)</f>
        <v>#DIV/0!</v>
      </c>
      <c r="BE132" s="43" t="e">
        <f>BE131+(ATM_Conf!$C$5/ATM_Conf!$C$8)*(BY132*EXP(-(1/DM132)*(AK132/CS132)^DM132)-BE131)+(ATM_Conf!$C$5/AK319)*BE131*(Nodes!BK131-BE131)-(ATM_Conf!$C$5*ATM_Conf!$C$9)/(AK319*ATM_Conf!$C$8)*(Nodes!BY131-AK131)/(AK131+ATM_Conf!$C$10)</f>
        <v>#DIV/0!</v>
      </c>
      <c r="BF132" s="43" t="e">
        <f>BF131+(ATM_Conf!$C$5/ATM_Conf!$C$8)*(BZ132*EXP(-(1/DN132)*(AL132/CT132)^DN132)-BF131)+(ATM_Conf!$C$5/AL319)*BF131*(BE131-BF131)-(ATM_Conf!$C$5*ATM_Conf!$C$9)/(AL319*ATM_Conf!$C$8)*(AM131-AL131)/(AL131+ATM_Conf!$C$10)</f>
        <v>#DIV/0!</v>
      </c>
      <c r="BG132" s="43" t="e">
        <f>BG131+(ATM_Conf!$C$5/ATM_Conf!$C$8)*(CA132*EXP(-(1/DO132)*(AM132/CU132)^DO132)-BG131)+(ATM_Conf!$C$5/AM319)*BG131*(Nodes!BM131-BG131)-(ATM_Conf!$C$5*ATM_Conf!$C$9)/(AM319*ATM_Conf!$C$8)*(Nodes!CA131-AM131)/(AM131+ATM_Conf!$C$10)</f>
        <v>#DIV/0!</v>
      </c>
      <c r="BH132" s="43" t="e">
        <f>BH131+(ATM_Conf!$C$5/ATM_Conf!$C$8)*(CB132*EXP(-(1/DP132)*(AN132/CV132)^DP132)-BH131)+(ATM_Conf!$C$5/AN319)*BH131*(BG131-BH131)-(ATM_Conf!$C$5*ATM_Conf!$C$9)/(AN319*ATM_Conf!$C$8)*(AO131-AN131)/(AN131+ATM_Conf!$C$10)</f>
        <v>#DIV/0!</v>
      </c>
      <c r="BI132" s="43" t="e">
        <f>BI131+(ATM_Conf!$C$5/ATM_Conf!$C$8)*(CC132*EXP(-(1/DQ132)*(AO132/CW132)^DQ132)-BI131)+(ATM_Conf!$C$5/AO319)*BI131*(BH131-BI131)</f>
        <v>#DIV/0!</v>
      </c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53"/>
      <c r="CY132" s="53"/>
      <c r="CZ132" s="53"/>
      <c r="DA132" s="53"/>
      <c r="DB132" s="53"/>
      <c r="DC132" s="53"/>
      <c r="DD132" s="53"/>
      <c r="DE132" s="53"/>
      <c r="DF132" s="53"/>
      <c r="DG132" s="53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  <c r="DR132" s="43">
        <f t="shared" si="73"/>
        <v>0</v>
      </c>
      <c r="DS132" s="43">
        <f t="shared" si="72"/>
        <v>0</v>
      </c>
      <c r="DT132" s="43">
        <f t="shared" si="72"/>
        <v>0</v>
      </c>
      <c r="DU132" s="43">
        <f t="shared" si="72"/>
        <v>0</v>
      </c>
      <c r="DV132" s="43">
        <f t="shared" si="72"/>
        <v>0</v>
      </c>
      <c r="DW132" s="43">
        <f t="shared" si="72"/>
        <v>0</v>
      </c>
      <c r="DX132" s="43">
        <f t="shared" si="72"/>
        <v>0</v>
      </c>
      <c r="DY132" s="43">
        <f t="shared" si="72"/>
        <v>0</v>
      </c>
      <c r="DZ132" s="43">
        <f t="shared" si="72"/>
        <v>0</v>
      </c>
      <c r="EA132" s="43">
        <f t="shared" si="72"/>
        <v>0</v>
      </c>
      <c r="EB132" s="43">
        <f t="shared" si="72"/>
        <v>0</v>
      </c>
      <c r="EC132" s="43">
        <f t="shared" si="72"/>
        <v>0</v>
      </c>
      <c r="ED132" s="43">
        <f t="shared" si="72"/>
        <v>0</v>
      </c>
      <c r="EE132" s="43">
        <f t="shared" si="72"/>
        <v>0</v>
      </c>
      <c r="EF132" s="43">
        <f t="shared" si="72"/>
        <v>0</v>
      </c>
      <c r="EG132" s="43">
        <f t="shared" si="72"/>
        <v>0</v>
      </c>
      <c r="EH132" s="43">
        <f t="shared" si="72"/>
        <v>0</v>
      </c>
      <c r="EI132" s="43">
        <f t="shared" si="72"/>
        <v>0</v>
      </c>
      <c r="EJ132" s="43">
        <f t="shared" si="72"/>
        <v>0</v>
      </c>
      <c r="EK132" s="43">
        <f t="shared" si="72"/>
        <v>0</v>
      </c>
      <c r="EL132" s="47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47"/>
      <c r="FA132" s="47"/>
      <c r="FB132" s="47"/>
      <c r="FC132" s="47"/>
      <c r="FD132" s="47"/>
      <c r="FE132" s="47"/>
    </row>
    <row r="133" spans="1:161" ht="14.25" x14ac:dyDescent="0.15">
      <c r="A133" s="46"/>
      <c r="B133" s="43" t="e">
        <f t="shared" si="74"/>
        <v>#DIV/0!</v>
      </c>
      <c r="C133" s="43" t="e">
        <f t="shared" si="75"/>
        <v>#DIV/0!</v>
      </c>
      <c r="D133" s="43" t="e">
        <f t="shared" si="76"/>
        <v>#DIV/0!</v>
      </c>
      <c r="E133" s="43" t="e">
        <f t="shared" si="77"/>
        <v>#DIV/0!</v>
      </c>
      <c r="F133" s="43" t="e">
        <f t="shared" si="78"/>
        <v>#DIV/0!</v>
      </c>
      <c r="G133" s="43" t="e">
        <f t="shared" si="79"/>
        <v>#DIV/0!</v>
      </c>
      <c r="H133" s="43" t="e">
        <f t="shared" si="80"/>
        <v>#DIV/0!</v>
      </c>
      <c r="I133" s="43" t="e">
        <f t="shared" si="81"/>
        <v>#DIV/0!</v>
      </c>
      <c r="J133" s="43" t="e">
        <f t="shared" si="82"/>
        <v>#DIV/0!</v>
      </c>
      <c r="K133" s="43" t="e">
        <f t="shared" si="83"/>
        <v>#DIV/0!</v>
      </c>
      <c r="L133" s="43" t="e">
        <f t="shared" si="84"/>
        <v>#DIV/0!</v>
      </c>
      <c r="M133" s="43" t="e">
        <f t="shared" si="85"/>
        <v>#DIV/0!</v>
      </c>
      <c r="N133" s="43" t="e">
        <f t="shared" si="86"/>
        <v>#DIV/0!</v>
      </c>
      <c r="O133" s="43" t="e">
        <f t="shared" si="87"/>
        <v>#DIV/0!</v>
      </c>
      <c r="P133" s="43" t="e">
        <f t="shared" si="88"/>
        <v>#DIV/0!</v>
      </c>
      <c r="Q133" s="43" t="e">
        <f t="shared" si="89"/>
        <v>#DIV/0!</v>
      </c>
      <c r="R133" s="43" t="e">
        <f t="shared" si="90"/>
        <v>#DIV/0!</v>
      </c>
      <c r="S133" s="43" t="e">
        <f t="shared" si="91"/>
        <v>#DIV/0!</v>
      </c>
      <c r="T133" s="43" t="e">
        <f t="shared" si="92"/>
        <v>#DIV/0!</v>
      </c>
      <c r="U133" s="43" t="e">
        <f t="shared" si="93"/>
        <v>#DIV/0!</v>
      </c>
      <c r="V133" s="53" t="e">
        <f>V132+ATM_Conf!$C$5*(B132)/(B320*V320)</f>
        <v>#DIV/0!</v>
      </c>
      <c r="W133" s="53" t="e">
        <f>W132+ATM_Conf!$C$5*(C132-B132)/(C320*W320)</f>
        <v>#DIV/0!</v>
      </c>
      <c r="X133" s="53" t="e">
        <f>X132+ATM_Conf!$C$5*(D132-C132)/(D320*X320)</f>
        <v>#DIV/0!</v>
      </c>
      <c r="Y133" s="53" t="e">
        <f>Y132+ATM_Conf!$C$5*(E132-D132)/(E320*Y320)</f>
        <v>#DIV/0!</v>
      </c>
      <c r="Z133" s="53" t="e">
        <f>Z132+ATM_Conf!$C$5*(F132-E132)/(F320*Z320)</f>
        <v>#DIV/0!</v>
      </c>
      <c r="AA133" s="53" t="e">
        <f>AA132+ATM_Conf!$C$5*(G132-F132)/(G320*AA320)</f>
        <v>#DIV/0!</v>
      </c>
      <c r="AB133" s="53" t="e">
        <f>AB132+ATM_Conf!$C$5*(H132-G132)/(H320*AB320)</f>
        <v>#DIV/0!</v>
      </c>
      <c r="AC133" s="53" t="e">
        <f>AC132+ATM_Conf!$C$5*(I132-H132)/(I320*AC320)</f>
        <v>#DIV/0!</v>
      </c>
      <c r="AD133" s="53" t="e">
        <f>AD132+ATM_Conf!$C$5*(J132-I132)/(J320*AD320)</f>
        <v>#DIV/0!</v>
      </c>
      <c r="AE133" s="53" t="e">
        <f>AE132+ATM_Conf!$C$5*(K132-J132)/(K320*AE320)</f>
        <v>#DIV/0!</v>
      </c>
      <c r="AF133" s="53" t="e">
        <f>AF132+ATM_Conf!$C$5*(L132)/(L320*AF320)</f>
        <v>#DIV/0!</v>
      </c>
      <c r="AG133" s="53" t="e">
        <f>AG132+ATM_Conf!$C$5*(M132-L132)/(M320*AG320)</f>
        <v>#DIV/0!</v>
      </c>
      <c r="AH133" s="53" t="e">
        <f>AH132+ATM_Conf!$C$5*(N132-M132)/(N320*AH320)</f>
        <v>#DIV/0!</v>
      </c>
      <c r="AI133" s="53" t="e">
        <f>AI132+ATM_Conf!$C$5*(O132-N132)/(O320*AI320)</f>
        <v>#DIV/0!</v>
      </c>
      <c r="AJ133" s="53" t="e">
        <f>AJ132+ATM_Conf!$C$5*(P132-O132)/(P320*AJ320)</f>
        <v>#DIV/0!</v>
      </c>
      <c r="AK133" s="53" t="e">
        <f>AK132+ATM_Conf!$C$5*(Q132-P132)/(Q320*AK320)</f>
        <v>#DIV/0!</v>
      </c>
      <c r="AL133" s="53" t="e">
        <f>AL132+ATM_Conf!$C$5*(R132-Q132)/(R320*AL320)</f>
        <v>#DIV/0!</v>
      </c>
      <c r="AM133" s="53" t="e">
        <f>AM132+ATM_Conf!$C$5*(S132-R132)/(S320*AM320)</f>
        <v>#DIV/0!</v>
      </c>
      <c r="AN133" s="53" t="e">
        <f>AN132+ATM_Conf!$C$5*(T132-S132)/(T320*AN320)</f>
        <v>#DIV/0!</v>
      </c>
      <c r="AO133" s="53" t="e">
        <f>AO132+ATM_Conf!$C$5*(U132-T132)/(U320*AO320)</f>
        <v>#DIV/0!</v>
      </c>
      <c r="AP133" s="43" t="e">
        <f>AP132+(ATM_Conf!$C$5/ATM_Conf!$C$8)*(BJ133*EXP(-(1/CX133)*(V133/CD133)^CX133)-AP132)-(ATM_Conf!$C$5*ATM_Conf!$C$9)/(V320*ATM_Conf!$C$8)*(Nodes!BO132-V132)/(V132+ATM_Conf!$C$10)</f>
        <v>#DIV/0!</v>
      </c>
      <c r="AQ133" s="43" t="e">
        <f>AQ132+(ATM_Conf!$C$5/ATM_Conf!$C$8)*(BK133*EXP(-(1/CY133)*(W133/CE133)^CY133)-AQ132)+(ATM_Conf!$C$5/W320)*AQ132*(AP132-AQ132)-(ATM_Conf!$C$5*ATM_Conf!$C$9)/(W320*ATM_Conf!$C$8)*(X132-W132)/(W132+ATM_Conf!$C$10)</f>
        <v>#DIV/0!</v>
      </c>
      <c r="AR133" s="43" t="e">
        <f>AR132+(ATM_Conf!$C$5/ATM_Conf!$C$8)*(BL133*EXP(-(1/CZ133)*(X133/CF133)^CZ133)-AR132)+(ATM_Conf!$C$5/X320)*AR132*(Nodes!BC132-AR132)-(ATM_Conf!$C$5*ATM_Conf!$C$9)/(X320*ATM_Conf!$C$8)*(Nodes!BQ132-X132)/(X132+ATM_Conf!$C$10)</f>
        <v>#DIV/0!</v>
      </c>
      <c r="AS133" s="43" t="e">
        <f>AS132+(ATM_Conf!$C$5/ATM_Conf!$C$8)*(BM133*EXP(-(1/DA133)*(Y133/CG133)^DA133)-AS132)+(ATM_Conf!$C$5/Y320)*AS132*(AR132-AS132)-(ATM_Conf!$C$5*ATM_Conf!$C$9)/(Y320*ATM_Conf!$C$8)*(Z132-Y132)/(Y132+ATM_Conf!$C$10)</f>
        <v>#DIV/0!</v>
      </c>
      <c r="AT133" s="43" t="e">
        <f>AT132+(ATM_Conf!$C$5/ATM_Conf!$C$8)*(BN133*EXP(-(1/DB133)*(Z133/CH133)^DB133)-AT132)+(ATM_Conf!$C$5/Z320)*AT132*(Nodes!BE132-AT132)-(ATM_Conf!$C$5*ATM_Conf!$C$9)/(Z320*ATM_Conf!$C$8)*(Nodes!BS132-Z132)/(Z132+ATM_Conf!$C$10)</f>
        <v>#DIV/0!</v>
      </c>
      <c r="AU133" s="43" t="e">
        <f>AU132+(ATM_Conf!$C$5/ATM_Conf!$C$8)*(BO133*EXP(-(1/DC133)*(AA133/CI133)^DC133)-AU132)+(ATM_Conf!$C$5/AA320)*AU132*(Nodes!BF132-AU132)-(ATM_Conf!$C$5*ATM_Conf!$C$9)/(AA320*ATM_Conf!$C$8)*(Nodes!BV132-AA132)/(AA132+ATM_Conf!$C$10)</f>
        <v>#DIV/0!</v>
      </c>
      <c r="AV133" s="43" t="e">
        <f>AV132+(ATM_Conf!$C$5/ATM_Conf!$C$8)*(BP133*EXP(-(1/DD133)*(AB133/CJ133)^DD133)-AV132)+(ATM_Conf!$C$5/AB320)*AV132*(AU132-AV132)-(ATM_Conf!$C$5*ATM_Conf!$C$9)/(AB320*ATM_Conf!$C$8)*(AC132-AB132)/(AB132+ATM_Conf!$C$10)</f>
        <v>#DIV/0!</v>
      </c>
      <c r="AW133" s="43" t="e">
        <f>AW132+(ATM_Conf!$C$5/ATM_Conf!$C$8)*(BQ133*EXP(-(1/DE133)*(AC133/CK133)^DE133)-AW132)+(ATM_Conf!$C$5/AC320)*AW132*(AV132-AW132)-(ATM_Conf!$C$5*ATM_Conf!$C$9)/(AC320*ATM_Conf!$C$8)*(AD132-AC132)/(AC132+ATM_Conf!$C$10)</f>
        <v>#DIV/0!</v>
      </c>
      <c r="AX133" s="43" t="e">
        <f>AX132+(ATM_Conf!$C$5/ATM_Conf!$C$8)*(BR133*EXP(-(1/DF133)*(AD133/CL133)^DF133)-AX132)+(ATM_Conf!$C$5/AD320)*AX132*(Nodes!BG132-AX132)-(ATM_Conf!$C$5*ATM_Conf!$C$9)/(AD320*ATM_Conf!$C$8)*(Nodes!BU132-AD132)/(AD132+ATM_Conf!$C$10)</f>
        <v>#DIV/0!</v>
      </c>
      <c r="AY133" s="43" t="e">
        <f>AY132+(ATM_Conf!$C$5/ATM_Conf!$C$8)*(BS133*EXP(-(1/DG133)*(AE133/CM133)^DG133)-AY132)+(ATM_Conf!$C$5/AE320)*AY132*(Nodes!BF132-AY132)</f>
        <v>#DIV/0!</v>
      </c>
      <c r="AZ133" s="43" t="e">
        <f>AZ132+(ATM_Conf!$C$5/ATM_Conf!$C$8)*(BT133*EXP(-(1/DH133)*(AF133/CN133)^DH133)-AZ132)-(ATM_Conf!$C$5*ATM_Conf!$C$9)/(AF320*ATM_Conf!$C$8)*(Nodes!BV132-AF132)/(AF132+ATM_Conf!$C$10)</f>
        <v>#DIV/0!</v>
      </c>
      <c r="BA133" s="43" t="e">
        <f>BA132+(ATM_Conf!$C$5/ATM_Conf!$C$8)*(BU133*EXP(-(1/DI133)*(AG133/CO133)^DI133)-BA132)+(ATM_Conf!$C$5/AG320)*BA132*(Nodes!BI132-BA132)-(ATM_Conf!$C$5*ATM_Conf!$C$9)/(AG320*ATM_Conf!$C$8)*(Nodes!BW132-AG132)/(AG132+ATM_Conf!$C$10)</f>
        <v>#DIV/0!</v>
      </c>
      <c r="BB133" s="43" t="e">
        <f>BB132+(ATM_Conf!$C$5/ATM_Conf!$C$8)*(BV133*EXP(-(1/DJ133)*(AH133/CP133)^DJ133)-BB132)+(ATM_Conf!$C$5/AH320)*BB132*(Nodes!BJ132-BB132)-(ATM_Conf!$C$5*ATM_Conf!$C$9)/(AH320*ATM_Conf!$C$8)*(AI132-AH132)/(AH132+ATM_Conf!$C$10)</f>
        <v>#DIV/0!</v>
      </c>
      <c r="BC133" s="43" t="e">
        <f>BC132+(ATM_Conf!$C$5/ATM_Conf!$C$8)*(BW133*EXP(-(1/DK133)*(AI133/CQ133)^DK133)-BC132)+(ATM_Conf!$C$5/AI320)*BC132*(BB132-BC132)-(ATM_Conf!$C$5*ATM_Conf!$C$9)/(AI320*ATM_Conf!$C$8)*(AJ132-AI132)/(AI132+ATM_Conf!$C$10)</f>
        <v>#DIV/0!</v>
      </c>
      <c r="BD133" s="43" t="e">
        <f>BD132+(ATM_Conf!$C$5/ATM_Conf!$C$8)*(BX133*EXP(-(1/DL133)*(AJ133/CR133)^DL133)-BD132)+(ATM_Conf!$C$5/AJ320)*BD132*(BC132-BD132)-(ATM_Conf!$C$5*ATM_Conf!$C$9)/(AJ320*ATM_Conf!$C$8)*(Nodes!BX132-AJ132)/(AJ132+ATM_Conf!$C$10)</f>
        <v>#DIV/0!</v>
      </c>
      <c r="BE133" s="43" t="e">
        <f>BE132+(ATM_Conf!$C$5/ATM_Conf!$C$8)*(BY133*EXP(-(1/DM133)*(AK133/CS133)^DM133)-BE132)+(ATM_Conf!$C$5/AK320)*BE132*(Nodes!BK132-BE132)-(ATM_Conf!$C$5*ATM_Conf!$C$9)/(AK320*ATM_Conf!$C$8)*(Nodes!BY132-AK132)/(AK132+ATM_Conf!$C$10)</f>
        <v>#DIV/0!</v>
      </c>
      <c r="BF133" s="43" t="e">
        <f>BF132+(ATM_Conf!$C$5/ATM_Conf!$C$8)*(BZ133*EXP(-(1/DN133)*(AL133/CT133)^DN133)-BF132)+(ATM_Conf!$C$5/AL320)*BF132*(BE132-BF132)-(ATM_Conf!$C$5*ATM_Conf!$C$9)/(AL320*ATM_Conf!$C$8)*(AM132-AL132)/(AL132+ATM_Conf!$C$10)</f>
        <v>#DIV/0!</v>
      </c>
      <c r="BG133" s="43" t="e">
        <f>BG132+(ATM_Conf!$C$5/ATM_Conf!$C$8)*(CA133*EXP(-(1/DO133)*(AM133/CU133)^DO133)-BG132)+(ATM_Conf!$C$5/AM320)*BG132*(Nodes!BM132-BG132)-(ATM_Conf!$C$5*ATM_Conf!$C$9)/(AM320*ATM_Conf!$C$8)*(Nodes!CA132-AM132)/(AM132+ATM_Conf!$C$10)</f>
        <v>#DIV/0!</v>
      </c>
      <c r="BH133" s="43" t="e">
        <f>BH132+(ATM_Conf!$C$5/ATM_Conf!$C$8)*(CB133*EXP(-(1/DP133)*(AN133/CV133)^DP133)-BH132)+(ATM_Conf!$C$5/AN320)*BH132*(BG132-BH132)-(ATM_Conf!$C$5*ATM_Conf!$C$9)/(AN320*ATM_Conf!$C$8)*(AO132-AN132)/(AN132+ATM_Conf!$C$10)</f>
        <v>#DIV/0!</v>
      </c>
      <c r="BI133" s="43" t="e">
        <f>BI132+(ATM_Conf!$C$5/ATM_Conf!$C$8)*(CC133*EXP(-(1/DQ133)*(AO133/CW133)^DQ133)-BI132)+(ATM_Conf!$C$5/AO320)*BI132*(BH132-BI132)</f>
        <v>#DIV/0!</v>
      </c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53"/>
      <c r="CY133" s="53"/>
      <c r="CZ133" s="53"/>
      <c r="DA133" s="53"/>
      <c r="DB133" s="53"/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43">
        <f t="shared" si="73"/>
        <v>0</v>
      </c>
      <c r="DS133" s="43">
        <f t="shared" si="72"/>
        <v>0</v>
      </c>
      <c r="DT133" s="43">
        <f t="shared" si="72"/>
        <v>0</v>
      </c>
      <c r="DU133" s="43">
        <f t="shared" si="72"/>
        <v>0</v>
      </c>
      <c r="DV133" s="43">
        <f t="shared" si="72"/>
        <v>0</v>
      </c>
      <c r="DW133" s="43">
        <f t="shared" si="72"/>
        <v>0</v>
      </c>
      <c r="DX133" s="43">
        <f t="shared" si="72"/>
        <v>0</v>
      </c>
      <c r="DY133" s="43">
        <f t="shared" si="72"/>
        <v>0</v>
      </c>
      <c r="DZ133" s="43">
        <f t="shared" si="72"/>
        <v>0</v>
      </c>
      <c r="EA133" s="43">
        <f t="shared" si="72"/>
        <v>0</v>
      </c>
      <c r="EB133" s="43">
        <f t="shared" si="72"/>
        <v>0</v>
      </c>
      <c r="EC133" s="43">
        <f t="shared" si="72"/>
        <v>0</v>
      </c>
      <c r="ED133" s="43">
        <f t="shared" si="72"/>
        <v>0</v>
      </c>
      <c r="EE133" s="43">
        <f t="shared" si="72"/>
        <v>0</v>
      </c>
      <c r="EF133" s="43">
        <f t="shared" si="72"/>
        <v>0</v>
      </c>
      <c r="EG133" s="43">
        <f t="shared" si="72"/>
        <v>0</v>
      </c>
      <c r="EH133" s="43">
        <f t="shared" si="72"/>
        <v>0</v>
      </c>
      <c r="EI133" s="43">
        <f t="shared" si="72"/>
        <v>0</v>
      </c>
      <c r="EJ133" s="43">
        <f t="shared" si="72"/>
        <v>0</v>
      </c>
      <c r="EK133" s="43">
        <f t="shared" si="72"/>
        <v>0</v>
      </c>
      <c r="EL133" s="47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47"/>
      <c r="FA133" s="47"/>
      <c r="FB133" s="47"/>
      <c r="FC133" s="47"/>
      <c r="FD133" s="47"/>
      <c r="FE133" s="47"/>
    </row>
    <row r="134" spans="1:161" ht="14.25" x14ac:dyDescent="0.15">
      <c r="A134" s="46"/>
      <c r="B134" s="43" t="e">
        <f t="shared" si="74"/>
        <v>#DIV/0!</v>
      </c>
      <c r="C134" s="43" t="e">
        <f t="shared" si="75"/>
        <v>#DIV/0!</v>
      </c>
      <c r="D134" s="43" t="e">
        <f t="shared" si="76"/>
        <v>#DIV/0!</v>
      </c>
      <c r="E134" s="43" t="e">
        <f t="shared" si="77"/>
        <v>#DIV/0!</v>
      </c>
      <c r="F134" s="43" t="e">
        <f t="shared" si="78"/>
        <v>#DIV/0!</v>
      </c>
      <c r="G134" s="43" t="e">
        <f t="shared" si="79"/>
        <v>#DIV/0!</v>
      </c>
      <c r="H134" s="43" t="e">
        <f t="shared" si="80"/>
        <v>#DIV/0!</v>
      </c>
      <c r="I134" s="43" t="e">
        <f t="shared" si="81"/>
        <v>#DIV/0!</v>
      </c>
      <c r="J134" s="43" t="e">
        <f t="shared" si="82"/>
        <v>#DIV/0!</v>
      </c>
      <c r="K134" s="43" t="e">
        <f t="shared" si="83"/>
        <v>#DIV/0!</v>
      </c>
      <c r="L134" s="43" t="e">
        <f t="shared" si="84"/>
        <v>#DIV/0!</v>
      </c>
      <c r="M134" s="43" t="e">
        <f t="shared" si="85"/>
        <v>#DIV/0!</v>
      </c>
      <c r="N134" s="43" t="e">
        <f t="shared" si="86"/>
        <v>#DIV/0!</v>
      </c>
      <c r="O134" s="43" t="e">
        <f t="shared" si="87"/>
        <v>#DIV/0!</v>
      </c>
      <c r="P134" s="43" t="e">
        <f t="shared" si="88"/>
        <v>#DIV/0!</v>
      </c>
      <c r="Q134" s="43" t="e">
        <f t="shared" si="89"/>
        <v>#DIV/0!</v>
      </c>
      <c r="R134" s="43" t="e">
        <f t="shared" si="90"/>
        <v>#DIV/0!</v>
      </c>
      <c r="S134" s="43" t="e">
        <f t="shared" si="91"/>
        <v>#DIV/0!</v>
      </c>
      <c r="T134" s="43" t="e">
        <f t="shared" si="92"/>
        <v>#DIV/0!</v>
      </c>
      <c r="U134" s="43" t="e">
        <f t="shared" si="93"/>
        <v>#DIV/0!</v>
      </c>
      <c r="V134" s="53" t="e">
        <f>V133+ATM_Conf!$C$5*(B133)/(B321*V321)</f>
        <v>#DIV/0!</v>
      </c>
      <c r="W134" s="53" t="e">
        <f>W133+ATM_Conf!$C$5*(C133-B133)/(C321*W321)</f>
        <v>#DIV/0!</v>
      </c>
      <c r="X134" s="53" t="e">
        <f>X133+ATM_Conf!$C$5*(D133-C133)/(D321*X321)</f>
        <v>#DIV/0!</v>
      </c>
      <c r="Y134" s="53" t="e">
        <f>Y133+ATM_Conf!$C$5*(E133-D133)/(E321*Y321)</f>
        <v>#DIV/0!</v>
      </c>
      <c r="Z134" s="53" t="e">
        <f>Z133+ATM_Conf!$C$5*(F133-E133)/(F321*Z321)</f>
        <v>#DIV/0!</v>
      </c>
      <c r="AA134" s="53" t="e">
        <f>AA133+ATM_Conf!$C$5*(G133-F133)/(G321*AA321)</f>
        <v>#DIV/0!</v>
      </c>
      <c r="AB134" s="53" t="e">
        <f>AB133+ATM_Conf!$C$5*(H133-G133)/(H321*AB321)</f>
        <v>#DIV/0!</v>
      </c>
      <c r="AC134" s="53" t="e">
        <f>AC133+ATM_Conf!$C$5*(I133-H133)/(I321*AC321)</f>
        <v>#DIV/0!</v>
      </c>
      <c r="AD134" s="53" t="e">
        <f>AD133+ATM_Conf!$C$5*(J133-I133)/(J321*AD321)</f>
        <v>#DIV/0!</v>
      </c>
      <c r="AE134" s="53" t="e">
        <f>AE133+ATM_Conf!$C$5*(K133-J133)/(K321*AE321)</f>
        <v>#DIV/0!</v>
      </c>
      <c r="AF134" s="53" t="e">
        <f>AF133+ATM_Conf!$C$5*(L133)/(L321*AF321)</f>
        <v>#DIV/0!</v>
      </c>
      <c r="AG134" s="53" t="e">
        <f>AG133+ATM_Conf!$C$5*(M133-L133)/(M321*AG321)</f>
        <v>#DIV/0!</v>
      </c>
      <c r="AH134" s="53" t="e">
        <f>AH133+ATM_Conf!$C$5*(N133-M133)/(N321*AH321)</f>
        <v>#DIV/0!</v>
      </c>
      <c r="AI134" s="53" t="e">
        <f>AI133+ATM_Conf!$C$5*(O133-N133)/(O321*AI321)</f>
        <v>#DIV/0!</v>
      </c>
      <c r="AJ134" s="53" t="e">
        <f>AJ133+ATM_Conf!$C$5*(P133-O133)/(P321*AJ321)</f>
        <v>#DIV/0!</v>
      </c>
      <c r="AK134" s="53" t="e">
        <f>AK133+ATM_Conf!$C$5*(Q133-P133)/(Q321*AK321)</f>
        <v>#DIV/0!</v>
      </c>
      <c r="AL134" s="53" t="e">
        <f>AL133+ATM_Conf!$C$5*(R133-Q133)/(R321*AL321)</f>
        <v>#DIV/0!</v>
      </c>
      <c r="AM134" s="53" t="e">
        <f>AM133+ATM_Conf!$C$5*(S133-R133)/(S321*AM321)</f>
        <v>#DIV/0!</v>
      </c>
      <c r="AN134" s="53" t="e">
        <f>AN133+ATM_Conf!$C$5*(T133-S133)/(T321*AN321)</f>
        <v>#DIV/0!</v>
      </c>
      <c r="AO134" s="53" t="e">
        <f>AO133+ATM_Conf!$C$5*(U133-T133)/(U321*AO321)</f>
        <v>#DIV/0!</v>
      </c>
      <c r="AP134" s="43" t="e">
        <f>AP133+(ATM_Conf!$C$5/ATM_Conf!$C$8)*(BJ134*EXP(-(1/CX134)*(V134/CD134)^CX134)-AP133)-(ATM_Conf!$C$5*ATM_Conf!$C$9)/(V321*ATM_Conf!$C$8)*(Nodes!BO133-V133)/(V133+ATM_Conf!$C$10)</f>
        <v>#DIV/0!</v>
      </c>
      <c r="AQ134" s="43" t="e">
        <f>AQ133+(ATM_Conf!$C$5/ATM_Conf!$C$8)*(BK134*EXP(-(1/CY134)*(W134/CE134)^CY134)-AQ133)+(ATM_Conf!$C$5/W321)*AQ133*(AP133-AQ133)-(ATM_Conf!$C$5*ATM_Conf!$C$9)/(W321*ATM_Conf!$C$8)*(X133-W133)/(W133+ATM_Conf!$C$10)</f>
        <v>#DIV/0!</v>
      </c>
      <c r="AR134" s="43" t="e">
        <f>AR133+(ATM_Conf!$C$5/ATM_Conf!$C$8)*(BL134*EXP(-(1/CZ134)*(X134/CF134)^CZ134)-AR133)+(ATM_Conf!$C$5/X321)*AR133*(Nodes!BC133-AR133)-(ATM_Conf!$C$5*ATM_Conf!$C$9)/(X321*ATM_Conf!$C$8)*(Nodes!BQ133-X133)/(X133+ATM_Conf!$C$10)</f>
        <v>#DIV/0!</v>
      </c>
      <c r="AS134" s="43" t="e">
        <f>AS133+(ATM_Conf!$C$5/ATM_Conf!$C$8)*(BM134*EXP(-(1/DA134)*(Y134/CG134)^DA134)-AS133)+(ATM_Conf!$C$5/Y321)*AS133*(AR133-AS133)-(ATM_Conf!$C$5*ATM_Conf!$C$9)/(Y321*ATM_Conf!$C$8)*(Z133-Y133)/(Y133+ATM_Conf!$C$10)</f>
        <v>#DIV/0!</v>
      </c>
      <c r="AT134" s="43" t="e">
        <f>AT133+(ATM_Conf!$C$5/ATM_Conf!$C$8)*(BN134*EXP(-(1/DB134)*(Z134/CH134)^DB134)-AT133)+(ATM_Conf!$C$5/Z321)*AT133*(Nodes!BE133-AT133)-(ATM_Conf!$C$5*ATM_Conf!$C$9)/(Z321*ATM_Conf!$C$8)*(Nodes!BS133-Z133)/(Z133+ATM_Conf!$C$10)</f>
        <v>#DIV/0!</v>
      </c>
      <c r="AU134" s="43" t="e">
        <f>AU133+(ATM_Conf!$C$5/ATM_Conf!$C$8)*(BO134*EXP(-(1/DC134)*(AA134/CI134)^DC134)-AU133)+(ATM_Conf!$C$5/AA321)*AU133*(Nodes!BF133-AU133)-(ATM_Conf!$C$5*ATM_Conf!$C$9)/(AA321*ATM_Conf!$C$8)*(Nodes!BV133-AA133)/(AA133+ATM_Conf!$C$10)</f>
        <v>#DIV/0!</v>
      </c>
      <c r="AV134" s="43" t="e">
        <f>AV133+(ATM_Conf!$C$5/ATM_Conf!$C$8)*(BP134*EXP(-(1/DD134)*(AB134/CJ134)^DD134)-AV133)+(ATM_Conf!$C$5/AB321)*AV133*(AU133-AV133)-(ATM_Conf!$C$5*ATM_Conf!$C$9)/(AB321*ATM_Conf!$C$8)*(AC133-AB133)/(AB133+ATM_Conf!$C$10)</f>
        <v>#DIV/0!</v>
      </c>
      <c r="AW134" s="43" t="e">
        <f>AW133+(ATM_Conf!$C$5/ATM_Conf!$C$8)*(BQ134*EXP(-(1/DE134)*(AC134/CK134)^DE134)-AW133)+(ATM_Conf!$C$5/AC321)*AW133*(AV133-AW133)-(ATM_Conf!$C$5*ATM_Conf!$C$9)/(AC321*ATM_Conf!$C$8)*(AD133-AC133)/(AC133+ATM_Conf!$C$10)</f>
        <v>#DIV/0!</v>
      </c>
      <c r="AX134" s="43" t="e">
        <f>AX133+(ATM_Conf!$C$5/ATM_Conf!$C$8)*(BR134*EXP(-(1/DF134)*(AD134/CL134)^DF134)-AX133)+(ATM_Conf!$C$5/AD321)*AX133*(Nodes!BG133-AX133)-(ATM_Conf!$C$5*ATM_Conf!$C$9)/(AD321*ATM_Conf!$C$8)*(Nodes!BU133-AD133)/(AD133+ATM_Conf!$C$10)</f>
        <v>#DIV/0!</v>
      </c>
      <c r="AY134" s="43" t="e">
        <f>AY133+(ATM_Conf!$C$5/ATM_Conf!$C$8)*(BS134*EXP(-(1/DG134)*(AE134/CM134)^DG134)-AY133)+(ATM_Conf!$C$5/AE321)*AY133*(Nodes!BF133-AY133)</f>
        <v>#DIV/0!</v>
      </c>
      <c r="AZ134" s="43" t="e">
        <f>AZ133+(ATM_Conf!$C$5/ATM_Conf!$C$8)*(BT134*EXP(-(1/DH134)*(AF134/CN134)^DH134)-AZ133)-(ATM_Conf!$C$5*ATM_Conf!$C$9)/(AF321*ATM_Conf!$C$8)*(Nodes!BV133-AF133)/(AF133+ATM_Conf!$C$10)</f>
        <v>#DIV/0!</v>
      </c>
      <c r="BA134" s="43" t="e">
        <f>BA133+(ATM_Conf!$C$5/ATM_Conf!$C$8)*(BU134*EXP(-(1/DI134)*(AG134/CO134)^DI134)-BA133)+(ATM_Conf!$C$5/AG321)*BA133*(Nodes!BI133-BA133)-(ATM_Conf!$C$5*ATM_Conf!$C$9)/(AG321*ATM_Conf!$C$8)*(Nodes!BW133-AG133)/(AG133+ATM_Conf!$C$10)</f>
        <v>#DIV/0!</v>
      </c>
      <c r="BB134" s="43" t="e">
        <f>BB133+(ATM_Conf!$C$5/ATM_Conf!$C$8)*(BV134*EXP(-(1/DJ134)*(AH134/CP134)^DJ134)-BB133)+(ATM_Conf!$C$5/AH321)*BB133*(Nodes!BJ133-BB133)-(ATM_Conf!$C$5*ATM_Conf!$C$9)/(AH321*ATM_Conf!$C$8)*(AI133-AH133)/(AH133+ATM_Conf!$C$10)</f>
        <v>#DIV/0!</v>
      </c>
      <c r="BC134" s="43" t="e">
        <f>BC133+(ATM_Conf!$C$5/ATM_Conf!$C$8)*(BW134*EXP(-(1/DK134)*(AI134/CQ134)^DK134)-BC133)+(ATM_Conf!$C$5/AI321)*BC133*(BB133-BC133)-(ATM_Conf!$C$5*ATM_Conf!$C$9)/(AI321*ATM_Conf!$C$8)*(AJ133-AI133)/(AI133+ATM_Conf!$C$10)</f>
        <v>#DIV/0!</v>
      </c>
      <c r="BD134" s="43" t="e">
        <f>BD133+(ATM_Conf!$C$5/ATM_Conf!$C$8)*(BX134*EXP(-(1/DL134)*(AJ134/CR134)^DL134)-BD133)+(ATM_Conf!$C$5/AJ321)*BD133*(BC133-BD133)-(ATM_Conf!$C$5*ATM_Conf!$C$9)/(AJ321*ATM_Conf!$C$8)*(Nodes!BX133-AJ133)/(AJ133+ATM_Conf!$C$10)</f>
        <v>#DIV/0!</v>
      </c>
      <c r="BE134" s="43" t="e">
        <f>BE133+(ATM_Conf!$C$5/ATM_Conf!$C$8)*(BY134*EXP(-(1/DM134)*(AK134/CS134)^DM134)-BE133)+(ATM_Conf!$C$5/AK321)*BE133*(Nodes!BK133-BE133)-(ATM_Conf!$C$5*ATM_Conf!$C$9)/(AK321*ATM_Conf!$C$8)*(Nodes!BY133-AK133)/(AK133+ATM_Conf!$C$10)</f>
        <v>#DIV/0!</v>
      </c>
      <c r="BF134" s="43" t="e">
        <f>BF133+(ATM_Conf!$C$5/ATM_Conf!$C$8)*(BZ134*EXP(-(1/DN134)*(AL134/CT134)^DN134)-BF133)+(ATM_Conf!$C$5/AL321)*BF133*(BE133-BF133)-(ATM_Conf!$C$5*ATM_Conf!$C$9)/(AL321*ATM_Conf!$C$8)*(AM133-AL133)/(AL133+ATM_Conf!$C$10)</f>
        <v>#DIV/0!</v>
      </c>
      <c r="BG134" s="43" t="e">
        <f>BG133+(ATM_Conf!$C$5/ATM_Conf!$C$8)*(CA134*EXP(-(1/DO134)*(AM134/CU134)^DO134)-BG133)+(ATM_Conf!$C$5/AM321)*BG133*(Nodes!BM133-BG133)-(ATM_Conf!$C$5*ATM_Conf!$C$9)/(AM321*ATM_Conf!$C$8)*(Nodes!CA133-AM133)/(AM133+ATM_Conf!$C$10)</f>
        <v>#DIV/0!</v>
      </c>
      <c r="BH134" s="43" t="e">
        <f>BH133+(ATM_Conf!$C$5/ATM_Conf!$C$8)*(CB134*EXP(-(1/DP134)*(AN134/CV134)^DP134)-BH133)+(ATM_Conf!$C$5/AN321)*BH133*(BG133-BH133)-(ATM_Conf!$C$5*ATM_Conf!$C$9)/(AN321*ATM_Conf!$C$8)*(AO133-AN133)/(AN133+ATM_Conf!$C$10)</f>
        <v>#DIV/0!</v>
      </c>
      <c r="BI134" s="43" t="e">
        <f>BI133+(ATM_Conf!$C$5/ATM_Conf!$C$8)*(CC134*EXP(-(1/DQ134)*(AO134/CW134)^DQ134)-BI133)+(ATM_Conf!$C$5/AO321)*BI133*(BH133-BI133)</f>
        <v>#DIV/0!</v>
      </c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53"/>
      <c r="CY134" s="53"/>
      <c r="CZ134" s="53"/>
      <c r="DA134" s="53"/>
      <c r="DB134" s="53"/>
      <c r="DC134" s="53"/>
      <c r="DD134" s="53"/>
      <c r="DE134" s="53"/>
      <c r="DF134" s="53"/>
      <c r="DG134" s="53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  <c r="DR134" s="43">
        <f t="shared" si="73"/>
        <v>0</v>
      </c>
      <c r="DS134" s="43">
        <f t="shared" si="72"/>
        <v>0</v>
      </c>
      <c r="DT134" s="43">
        <f t="shared" si="72"/>
        <v>0</v>
      </c>
      <c r="DU134" s="43">
        <f t="shared" si="72"/>
        <v>0</v>
      </c>
      <c r="DV134" s="43">
        <f t="shared" si="72"/>
        <v>0</v>
      </c>
      <c r="DW134" s="43">
        <f t="shared" si="72"/>
        <v>0</v>
      </c>
      <c r="DX134" s="43">
        <f t="shared" si="72"/>
        <v>0</v>
      </c>
      <c r="DY134" s="43">
        <f t="shared" si="72"/>
        <v>0</v>
      </c>
      <c r="DZ134" s="43">
        <f t="shared" si="72"/>
        <v>0</v>
      </c>
      <c r="EA134" s="43">
        <f t="shared" si="72"/>
        <v>0</v>
      </c>
      <c r="EB134" s="43">
        <f t="shared" si="72"/>
        <v>0</v>
      </c>
      <c r="EC134" s="43">
        <f t="shared" si="72"/>
        <v>0</v>
      </c>
      <c r="ED134" s="43">
        <f t="shared" si="72"/>
        <v>0</v>
      </c>
      <c r="EE134" s="43">
        <f t="shared" si="72"/>
        <v>0</v>
      </c>
      <c r="EF134" s="43">
        <f t="shared" si="72"/>
        <v>0</v>
      </c>
      <c r="EG134" s="43">
        <f t="shared" si="72"/>
        <v>0</v>
      </c>
      <c r="EH134" s="43">
        <f t="shared" si="72"/>
        <v>0</v>
      </c>
      <c r="EI134" s="43">
        <f t="shared" si="72"/>
        <v>0</v>
      </c>
      <c r="EJ134" s="43">
        <f t="shared" si="72"/>
        <v>0</v>
      </c>
      <c r="EK134" s="43">
        <f t="shared" si="72"/>
        <v>0</v>
      </c>
      <c r="EL134" s="47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47"/>
      <c r="FA134" s="47"/>
      <c r="FB134" s="47"/>
      <c r="FC134" s="47"/>
      <c r="FD134" s="47"/>
      <c r="FE134" s="47"/>
    </row>
    <row r="135" spans="1:161" ht="14.25" x14ac:dyDescent="0.15">
      <c r="A135" s="46"/>
      <c r="B135" s="43" t="e">
        <f t="shared" si="74"/>
        <v>#DIV/0!</v>
      </c>
      <c r="C135" s="43" t="e">
        <f t="shared" si="75"/>
        <v>#DIV/0!</v>
      </c>
      <c r="D135" s="43" t="e">
        <f t="shared" si="76"/>
        <v>#DIV/0!</v>
      </c>
      <c r="E135" s="43" t="e">
        <f t="shared" si="77"/>
        <v>#DIV/0!</v>
      </c>
      <c r="F135" s="43" t="e">
        <f t="shared" si="78"/>
        <v>#DIV/0!</v>
      </c>
      <c r="G135" s="43" t="e">
        <f t="shared" si="79"/>
        <v>#DIV/0!</v>
      </c>
      <c r="H135" s="43" t="e">
        <f t="shared" si="80"/>
        <v>#DIV/0!</v>
      </c>
      <c r="I135" s="43" t="e">
        <f t="shared" si="81"/>
        <v>#DIV/0!</v>
      </c>
      <c r="J135" s="43" t="e">
        <f t="shared" si="82"/>
        <v>#DIV/0!</v>
      </c>
      <c r="K135" s="43" t="e">
        <f t="shared" si="83"/>
        <v>#DIV/0!</v>
      </c>
      <c r="L135" s="43" t="e">
        <f t="shared" si="84"/>
        <v>#DIV/0!</v>
      </c>
      <c r="M135" s="43" t="e">
        <f t="shared" si="85"/>
        <v>#DIV/0!</v>
      </c>
      <c r="N135" s="43" t="e">
        <f t="shared" si="86"/>
        <v>#DIV/0!</v>
      </c>
      <c r="O135" s="43" t="e">
        <f t="shared" si="87"/>
        <v>#DIV/0!</v>
      </c>
      <c r="P135" s="43" t="e">
        <f t="shared" si="88"/>
        <v>#DIV/0!</v>
      </c>
      <c r="Q135" s="43" t="e">
        <f t="shared" si="89"/>
        <v>#DIV/0!</v>
      </c>
      <c r="R135" s="43" t="e">
        <f t="shared" si="90"/>
        <v>#DIV/0!</v>
      </c>
      <c r="S135" s="43" t="e">
        <f t="shared" si="91"/>
        <v>#DIV/0!</v>
      </c>
      <c r="T135" s="43" t="e">
        <f t="shared" si="92"/>
        <v>#DIV/0!</v>
      </c>
      <c r="U135" s="43" t="e">
        <f t="shared" si="93"/>
        <v>#DIV/0!</v>
      </c>
      <c r="V135" s="53" t="e">
        <f>V134+ATM_Conf!$C$5*(B134)/(B322*V322)</f>
        <v>#DIV/0!</v>
      </c>
      <c r="W135" s="53" t="e">
        <f>W134+ATM_Conf!$C$5*(C134-B134)/(C322*W322)</f>
        <v>#DIV/0!</v>
      </c>
      <c r="X135" s="53" t="e">
        <f>X134+ATM_Conf!$C$5*(D134-C134)/(D322*X322)</f>
        <v>#DIV/0!</v>
      </c>
      <c r="Y135" s="53" t="e">
        <f>Y134+ATM_Conf!$C$5*(E134-D134)/(E322*Y322)</f>
        <v>#DIV/0!</v>
      </c>
      <c r="Z135" s="53" t="e">
        <f>Z134+ATM_Conf!$C$5*(F134-E134)/(F322*Z322)</f>
        <v>#DIV/0!</v>
      </c>
      <c r="AA135" s="53" t="e">
        <f>AA134+ATM_Conf!$C$5*(G134-F134)/(G322*AA322)</f>
        <v>#DIV/0!</v>
      </c>
      <c r="AB135" s="53" t="e">
        <f>AB134+ATM_Conf!$C$5*(H134-G134)/(H322*AB322)</f>
        <v>#DIV/0!</v>
      </c>
      <c r="AC135" s="53" t="e">
        <f>AC134+ATM_Conf!$C$5*(I134-H134)/(I322*AC322)</f>
        <v>#DIV/0!</v>
      </c>
      <c r="AD135" s="53" t="e">
        <f>AD134+ATM_Conf!$C$5*(J134-I134)/(J322*AD322)</f>
        <v>#DIV/0!</v>
      </c>
      <c r="AE135" s="53" t="e">
        <f>AE134+ATM_Conf!$C$5*(K134-J134)/(K322*AE322)</f>
        <v>#DIV/0!</v>
      </c>
      <c r="AF135" s="53" t="e">
        <f>AF134+ATM_Conf!$C$5*(L134)/(L322*AF322)</f>
        <v>#DIV/0!</v>
      </c>
      <c r="AG135" s="53" t="e">
        <f>AG134+ATM_Conf!$C$5*(M134-L134)/(M322*AG322)</f>
        <v>#DIV/0!</v>
      </c>
      <c r="AH135" s="53" t="e">
        <f>AH134+ATM_Conf!$C$5*(N134-M134)/(N322*AH322)</f>
        <v>#DIV/0!</v>
      </c>
      <c r="AI135" s="53" t="e">
        <f>AI134+ATM_Conf!$C$5*(O134-N134)/(O322*AI322)</f>
        <v>#DIV/0!</v>
      </c>
      <c r="AJ135" s="53" t="e">
        <f>AJ134+ATM_Conf!$C$5*(P134-O134)/(P322*AJ322)</f>
        <v>#DIV/0!</v>
      </c>
      <c r="AK135" s="53" t="e">
        <f>AK134+ATM_Conf!$C$5*(Q134-P134)/(Q322*AK322)</f>
        <v>#DIV/0!</v>
      </c>
      <c r="AL135" s="53" t="e">
        <f>AL134+ATM_Conf!$C$5*(R134-Q134)/(R322*AL322)</f>
        <v>#DIV/0!</v>
      </c>
      <c r="AM135" s="53" t="e">
        <f>AM134+ATM_Conf!$C$5*(S134-R134)/(S322*AM322)</f>
        <v>#DIV/0!</v>
      </c>
      <c r="AN135" s="53" t="e">
        <f>AN134+ATM_Conf!$C$5*(T134-S134)/(T322*AN322)</f>
        <v>#DIV/0!</v>
      </c>
      <c r="AO135" s="53" t="e">
        <f>AO134+ATM_Conf!$C$5*(U134-T134)/(U322*AO322)</f>
        <v>#DIV/0!</v>
      </c>
      <c r="AP135" s="43" t="e">
        <f>AP134+(ATM_Conf!$C$5/ATM_Conf!$C$8)*(BJ135*EXP(-(1/CX135)*(V135/CD135)^CX135)-AP134)-(ATM_Conf!$C$5*ATM_Conf!$C$9)/(V322*ATM_Conf!$C$8)*(Nodes!BO134-V134)/(V134+ATM_Conf!$C$10)</f>
        <v>#DIV/0!</v>
      </c>
      <c r="AQ135" s="43" t="e">
        <f>AQ134+(ATM_Conf!$C$5/ATM_Conf!$C$8)*(BK135*EXP(-(1/CY135)*(W135/CE135)^CY135)-AQ134)+(ATM_Conf!$C$5/W322)*AQ134*(AP134-AQ134)-(ATM_Conf!$C$5*ATM_Conf!$C$9)/(W322*ATM_Conf!$C$8)*(X134-W134)/(W134+ATM_Conf!$C$10)</f>
        <v>#DIV/0!</v>
      </c>
      <c r="AR135" s="43" t="e">
        <f>AR134+(ATM_Conf!$C$5/ATM_Conf!$C$8)*(BL135*EXP(-(1/CZ135)*(X135/CF135)^CZ135)-AR134)+(ATM_Conf!$C$5/X322)*AR134*(Nodes!BC134-AR134)-(ATM_Conf!$C$5*ATM_Conf!$C$9)/(X322*ATM_Conf!$C$8)*(Nodes!BQ134-X134)/(X134+ATM_Conf!$C$10)</f>
        <v>#DIV/0!</v>
      </c>
      <c r="AS135" s="43" t="e">
        <f>AS134+(ATM_Conf!$C$5/ATM_Conf!$C$8)*(BM135*EXP(-(1/DA135)*(Y135/CG135)^DA135)-AS134)+(ATM_Conf!$C$5/Y322)*AS134*(AR134-AS134)-(ATM_Conf!$C$5*ATM_Conf!$C$9)/(Y322*ATM_Conf!$C$8)*(Z134-Y134)/(Y134+ATM_Conf!$C$10)</f>
        <v>#DIV/0!</v>
      </c>
      <c r="AT135" s="43" t="e">
        <f>AT134+(ATM_Conf!$C$5/ATM_Conf!$C$8)*(BN135*EXP(-(1/DB135)*(Z135/CH135)^DB135)-AT134)+(ATM_Conf!$C$5/Z322)*AT134*(Nodes!BE134-AT134)-(ATM_Conf!$C$5*ATM_Conf!$C$9)/(Z322*ATM_Conf!$C$8)*(Nodes!BS134-Z134)/(Z134+ATM_Conf!$C$10)</f>
        <v>#DIV/0!</v>
      </c>
      <c r="AU135" s="43" t="e">
        <f>AU134+(ATM_Conf!$C$5/ATM_Conf!$C$8)*(BO135*EXP(-(1/DC135)*(AA135/CI135)^DC135)-AU134)+(ATM_Conf!$C$5/AA322)*AU134*(Nodes!BF134-AU134)-(ATM_Conf!$C$5*ATM_Conf!$C$9)/(AA322*ATM_Conf!$C$8)*(Nodes!BV134-AA134)/(AA134+ATM_Conf!$C$10)</f>
        <v>#DIV/0!</v>
      </c>
      <c r="AV135" s="43" t="e">
        <f>AV134+(ATM_Conf!$C$5/ATM_Conf!$C$8)*(BP135*EXP(-(1/DD135)*(AB135/CJ135)^DD135)-AV134)+(ATM_Conf!$C$5/AB322)*AV134*(AU134-AV134)-(ATM_Conf!$C$5*ATM_Conf!$C$9)/(AB322*ATM_Conf!$C$8)*(AC134-AB134)/(AB134+ATM_Conf!$C$10)</f>
        <v>#DIV/0!</v>
      </c>
      <c r="AW135" s="43" t="e">
        <f>AW134+(ATM_Conf!$C$5/ATM_Conf!$C$8)*(BQ135*EXP(-(1/DE135)*(AC135/CK135)^DE135)-AW134)+(ATM_Conf!$C$5/AC322)*AW134*(AV134-AW134)-(ATM_Conf!$C$5*ATM_Conf!$C$9)/(AC322*ATM_Conf!$C$8)*(AD134-AC134)/(AC134+ATM_Conf!$C$10)</f>
        <v>#DIV/0!</v>
      </c>
      <c r="AX135" s="43" t="e">
        <f>AX134+(ATM_Conf!$C$5/ATM_Conf!$C$8)*(BR135*EXP(-(1/DF135)*(AD135/CL135)^DF135)-AX134)+(ATM_Conf!$C$5/AD322)*AX134*(Nodes!BG134-AX134)-(ATM_Conf!$C$5*ATM_Conf!$C$9)/(AD322*ATM_Conf!$C$8)*(Nodes!BU134-AD134)/(AD134+ATM_Conf!$C$10)</f>
        <v>#DIV/0!</v>
      </c>
      <c r="AY135" s="43" t="e">
        <f>AY134+(ATM_Conf!$C$5/ATM_Conf!$C$8)*(BS135*EXP(-(1/DG135)*(AE135/CM135)^DG135)-AY134)+(ATM_Conf!$C$5/AE322)*AY134*(Nodes!BF134-AY134)</f>
        <v>#DIV/0!</v>
      </c>
      <c r="AZ135" s="43" t="e">
        <f>AZ134+(ATM_Conf!$C$5/ATM_Conf!$C$8)*(BT135*EXP(-(1/DH135)*(AF135/CN135)^DH135)-AZ134)-(ATM_Conf!$C$5*ATM_Conf!$C$9)/(AF322*ATM_Conf!$C$8)*(Nodes!BV134-AF134)/(AF134+ATM_Conf!$C$10)</f>
        <v>#DIV/0!</v>
      </c>
      <c r="BA135" s="43" t="e">
        <f>BA134+(ATM_Conf!$C$5/ATM_Conf!$C$8)*(BU135*EXP(-(1/DI135)*(AG135/CO135)^DI135)-BA134)+(ATM_Conf!$C$5/AG322)*BA134*(Nodes!BI134-BA134)-(ATM_Conf!$C$5*ATM_Conf!$C$9)/(AG322*ATM_Conf!$C$8)*(Nodes!BW134-AG134)/(AG134+ATM_Conf!$C$10)</f>
        <v>#DIV/0!</v>
      </c>
      <c r="BB135" s="43" t="e">
        <f>BB134+(ATM_Conf!$C$5/ATM_Conf!$C$8)*(BV135*EXP(-(1/DJ135)*(AH135/CP135)^DJ135)-BB134)+(ATM_Conf!$C$5/AH322)*BB134*(Nodes!BJ134-BB134)-(ATM_Conf!$C$5*ATM_Conf!$C$9)/(AH322*ATM_Conf!$C$8)*(AI134-AH134)/(AH134+ATM_Conf!$C$10)</f>
        <v>#DIV/0!</v>
      </c>
      <c r="BC135" s="43" t="e">
        <f>BC134+(ATM_Conf!$C$5/ATM_Conf!$C$8)*(BW135*EXP(-(1/DK135)*(AI135/CQ135)^DK135)-BC134)+(ATM_Conf!$C$5/AI322)*BC134*(BB134-BC134)-(ATM_Conf!$C$5*ATM_Conf!$C$9)/(AI322*ATM_Conf!$C$8)*(AJ134-AI134)/(AI134+ATM_Conf!$C$10)</f>
        <v>#DIV/0!</v>
      </c>
      <c r="BD135" s="43" t="e">
        <f>BD134+(ATM_Conf!$C$5/ATM_Conf!$C$8)*(BX135*EXP(-(1/DL135)*(AJ135/CR135)^DL135)-BD134)+(ATM_Conf!$C$5/AJ322)*BD134*(BC134-BD134)-(ATM_Conf!$C$5*ATM_Conf!$C$9)/(AJ322*ATM_Conf!$C$8)*(Nodes!BX134-AJ134)/(AJ134+ATM_Conf!$C$10)</f>
        <v>#DIV/0!</v>
      </c>
      <c r="BE135" s="43" t="e">
        <f>BE134+(ATM_Conf!$C$5/ATM_Conf!$C$8)*(BY135*EXP(-(1/DM135)*(AK135/CS135)^DM135)-BE134)+(ATM_Conf!$C$5/AK322)*BE134*(Nodes!BK134-BE134)-(ATM_Conf!$C$5*ATM_Conf!$C$9)/(AK322*ATM_Conf!$C$8)*(Nodes!BY134-AK134)/(AK134+ATM_Conf!$C$10)</f>
        <v>#DIV/0!</v>
      </c>
      <c r="BF135" s="43" t="e">
        <f>BF134+(ATM_Conf!$C$5/ATM_Conf!$C$8)*(BZ135*EXP(-(1/DN135)*(AL135/CT135)^DN135)-BF134)+(ATM_Conf!$C$5/AL322)*BF134*(BE134-BF134)-(ATM_Conf!$C$5*ATM_Conf!$C$9)/(AL322*ATM_Conf!$C$8)*(AM134-AL134)/(AL134+ATM_Conf!$C$10)</f>
        <v>#DIV/0!</v>
      </c>
      <c r="BG135" s="43" t="e">
        <f>BG134+(ATM_Conf!$C$5/ATM_Conf!$C$8)*(CA135*EXP(-(1/DO135)*(AM135/CU135)^DO135)-BG134)+(ATM_Conf!$C$5/AM322)*BG134*(Nodes!BM134-BG134)-(ATM_Conf!$C$5*ATM_Conf!$C$9)/(AM322*ATM_Conf!$C$8)*(Nodes!CA134-AM134)/(AM134+ATM_Conf!$C$10)</f>
        <v>#DIV/0!</v>
      </c>
      <c r="BH135" s="43" t="e">
        <f>BH134+(ATM_Conf!$C$5/ATM_Conf!$C$8)*(CB135*EXP(-(1/DP135)*(AN135/CV135)^DP135)-BH134)+(ATM_Conf!$C$5/AN322)*BH134*(BG134-BH134)-(ATM_Conf!$C$5*ATM_Conf!$C$9)/(AN322*ATM_Conf!$C$8)*(AO134-AN134)/(AN134+ATM_Conf!$C$10)</f>
        <v>#DIV/0!</v>
      </c>
      <c r="BI135" s="43" t="e">
        <f>BI134+(ATM_Conf!$C$5/ATM_Conf!$C$8)*(CC135*EXP(-(1/DQ135)*(AO135/CW135)^DQ135)-BI134)+(ATM_Conf!$C$5/AO322)*BI134*(BH134-BI134)</f>
        <v>#DIV/0!</v>
      </c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53"/>
      <c r="CY135" s="53"/>
      <c r="CZ135" s="53"/>
      <c r="DA135" s="53"/>
      <c r="DB135" s="53"/>
      <c r="DC135" s="53"/>
      <c r="DD135" s="53"/>
      <c r="DE135" s="53"/>
      <c r="DF135" s="53"/>
      <c r="DG135" s="53"/>
      <c r="DH135" s="53"/>
      <c r="DI135" s="53"/>
      <c r="DJ135" s="53"/>
      <c r="DK135" s="53"/>
      <c r="DL135" s="53"/>
      <c r="DM135" s="53"/>
      <c r="DN135" s="53"/>
      <c r="DO135" s="53"/>
      <c r="DP135" s="53"/>
      <c r="DQ135" s="53"/>
      <c r="DR135" s="62"/>
      <c r="DS135" s="62"/>
      <c r="DT135" s="62"/>
      <c r="DU135" s="62"/>
      <c r="DV135" s="62"/>
      <c r="DW135" s="62"/>
      <c r="DX135" s="62"/>
      <c r="DY135" s="62"/>
      <c r="DZ135" s="62"/>
      <c r="EA135" s="62"/>
      <c r="EB135" s="62"/>
      <c r="EC135" s="62"/>
      <c r="ED135" s="62"/>
      <c r="EE135" s="62"/>
      <c r="EF135" s="62"/>
      <c r="EG135" s="62"/>
      <c r="EH135" s="62"/>
      <c r="EI135" s="62"/>
      <c r="EJ135" s="62"/>
      <c r="EK135" s="62"/>
      <c r="EL135" s="47">
        <f>(DR135-DR123)^2</f>
        <v>0</v>
      </c>
      <c r="EM135" s="47">
        <f t="shared" ref="EM135:FE135" si="94">(DS135-DS123)^2</f>
        <v>0</v>
      </c>
      <c r="EN135" s="47">
        <f t="shared" si="94"/>
        <v>0</v>
      </c>
      <c r="EO135" s="47">
        <f t="shared" si="94"/>
        <v>0</v>
      </c>
      <c r="EP135" s="47">
        <f t="shared" si="94"/>
        <v>0</v>
      </c>
      <c r="EQ135" s="47">
        <f t="shared" si="94"/>
        <v>0</v>
      </c>
      <c r="ER135" s="47">
        <f t="shared" si="94"/>
        <v>0</v>
      </c>
      <c r="ES135" s="47">
        <f t="shared" si="94"/>
        <v>0</v>
      </c>
      <c r="ET135" s="47">
        <f t="shared" si="94"/>
        <v>0</v>
      </c>
      <c r="EU135" s="47">
        <f t="shared" si="94"/>
        <v>0</v>
      </c>
      <c r="EV135" s="47">
        <f t="shared" si="94"/>
        <v>0</v>
      </c>
      <c r="EW135" s="47">
        <f t="shared" si="94"/>
        <v>0</v>
      </c>
      <c r="EX135" s="47">
        <f t="shared" si="94"/>
        <v>0</v>
      </c>
      <c r="EY135" s="47">
        <f t="shared" si="94"/>
        <v>0</v>
      </c>
      <c r="EZ135" s="47">
        <f t="shared" si="94"/>
        <v>0</v>
      </c>
      <c r="FA135" s="47">
        <f t="shared" si="94"/>
        <v>0</v>
      </c>
      <c r="FB135" s="47">
        <f t="shared" si="94"/>
        <v>0</v>
      </c>
      <c r="FC135" s="47">
        <f t="shared" si="94"/>
        <v>0</v>
      </c>
      <c r="FD135" s="47">
        <f t="shared" si="94"/>
        <v>0</v>
      </c>
      <c r="FE135" s="47">
        <f t="shared" si="94"/>
        <v>0</v>
      </c>
    </row>
    <row r="136" spans="1:161" ht="14.25" x14ac:dyDescent="0.15">
      <c r="A136" s="46"/>
      <c r="B136" s="43" t="e">
        <f t="shared" si="74"/>
        <v>#DIV/0!</v>
      </c>
      <c r="C136" s="43" t="e">
        <f t="shared" si="75"/>
        <v>#DIV/0!</v>
      </c>
      <c r="D136" s="43" t="e">
        <f t="shared" si="76"/>
        <v>#DIV/0!</v>
      </c>
      <c r="E136" s="43" t="e">
        <f t="shared" si="77"/>
        <v>#DIV/0!</v>
      </c>
      <c r="F136" s="43" t="e">
        <f t="shared" si="78"/>
        <v>#DIV/0!</v>
      </c>
      <c r="G136" s="43" t="e">
        <f t="shared" si="79"/>
        <v>#DIV/0!</v>
      </c>
      <c r="H136" s="43" t="e">
        <f t="shared" si="80"/>
        <v>#DIV/0!</v>
      </c>
      <c r="I136" s="43" t="e">
        <f t="shared" si="81"/>
        <v>#DIV/0!</v>
      </c>
      <c r="J136" s="43" t="e">
        <f t="shared" si="82"/>
        <v>#DIV/0!</v>
      </c>
      <c r="K136" s="43" t="e">
        <f t="shared" si="83"/>
        <v>#DIV/0!</v>
      </c>
      <c r="L136" s="43" t="e">
        <f t="shared" si="84"/>
        <v>#DIV/0!</v>
      </c>
      <c r="M136" s="43" t="e">
        <f t="shared" si="85"/>
        <v>#DIV/0!</v>
      </c>
      <c r="N136" s="43" t="e">
        <f t="shared" si="86"/>
        <v>#DIV/0!</v>
      </c>
      <c r="O136" s="43" t="e">
        <f t="shared" si="87"/>
        <v>#DIV/0!</v>
      </c>
      <c r="P136" s="43" t="e">
        <f t="shared" si="88"/>
        <v>#DIV/0!</v>
      </c>
      <c r="Q136" s="43" t="e">
        <f t="shared" si="89"/>
        <v>#DIV/0!</v>
      </c>
      <c r="R136" s="43" t="e">
        <f t="shared" si="90"/>
        <v>#DIV/0!</v>
      </c>
      <c r="S136" s="43" t="e">
        <f t="shared" si="91"/>
        <v>#DIV/0!</v>
      </c>
      <c r="T136" s="43" t="e">
        <f t="shared" si="92"/>
        <v>#DIV/0!</v>
      </c>
      <c r="U136" s="43" t="e">
        <f t="shared" si="93"/>
        <v>#DIV/0!</v>
      </c>
      <c r="V136" s="53" t="e">
        <f>V135+ATM_Conf!$C$5*(B135)/(B323*V323)</f>
        <v>#DIV/0!</v>
      </c>
      <c r="W136" s="53" t="e">
        <f>W135+ATM_Conf!$C$5*(C135-B135)/(C323*W323)</f>
        <v>#DIV/0!</v>
      </c>
      <c r="X136" s="53" t="e">
        <f>X135+ATM_Conf!$C$5*(D135-C135)/(D323*X323)</f>
        <v>#DIV/0!</v>
      </c>
      <c r="Y136" s="53" t="e">
        <f>Y135+ATM_Conf!$C$5*(E135-D135)/(E323*Y323)</f>
        <v>#DIV/0!</v>
      </c>
      <c r="Z136" s="53" t="e">
        <f>Z135+ATM_Conf!$C$5*(F135-E135)/(F323*Z323)</f>
        <v>#DIV/0!</v>
      </c>
      <c r="AA136" s="53" t="e">
        <f>AA135+ATM_Conf!$C$5*(G135-F135)/(G323*AA323)</f>
        <v>#DIV/0!</v>
      </c>
      <c r="AB136" s="53" t="e">
        <f>AB135+ATM_Conf!$C$5*(H135-G135)/(H323*AB323)</f>
        <v>#DIV/0!</v>
      </c>
      <c r="AC136" s="53" t="e">
        <f>AC135+ATM_Conf!$C$5*(I135-H135)/(I323*AC323)</f>
        <v>#DIV/0!</v>
      </c>
      <c r="AD136" s="53" t="e">
        <f>AD135+ATM_Conf!$C$5*(J135-I135)/(J323*AD323)</f>
        <v>#DIV/0!</v>
      </c>
      <c r="AE136" s="53" t="e">
        <f>AE135+ATM_Conf!$C$5*(K135-J135)/(K323*AE323)</f>
        <v>#DIV/0!</v>
      </c>
      <c r="AF136" s="53" t="e">
        <f>AF135+ATM_Conf!$C$5*(L135)/(L323*AF323)</f>
        <v>#DIV/0!</v>
      </c>
      <c r="AG136" s="53" t="e">
        <f>AG135+ATM_Conf!$C$5*(M135-L135)/(M323*AG323)</f>
        <v>#DIV/0!</v>
      </c>
      <c r="AH136" s="53" t="e">
        <f>AH135+ATM_Conf!$C$5*(N135-M135)/(N323*AH323)</f>
        <v>#DIV/0!</v>
      </c>
      <c r="AI136" s="53" t="e">
        <f>AI135+ATM_Conf!$C$5*(O135-N135)/(O323*AI323)</f>
        <v>#DIV/0!</v>
      </c>
      <c r="AJ136" s="53" t="e">
        <f>AJ135+ATM_Conf!$C$5*(P135-O135)/(P323*AJ323)</f>
        <v>#DIV/0!</v>
      </c>
      <c r="AK136" s="53" t="e">
        <f>AK135+ATM_Conf!$C$5*(Q135-P135)/(Q323*AK323)</f>
        <v>#DIV/0!</v>
      </c>
      <c r="AL136" s="53" t="e">
        <f>AL135+ATM_Conf!$C$5*(R135-Q135)/(R323*AL323)</f>
        <v>#DIV/0!</v>
      </c>
      <c r="AM136" s="53" t="e">
        <f>AM135+ATM_Conf!$C$5*(S135-R135)/(S323*AM323)</f>
        <v>#DIV/0!</v>
      </c>
      <c r="AN136" s="53" t="e">
        <f>AN135+ATM_Conf!$C$5*(T135-S135)/(T323*AN323)</f>
        <v>#DIV/0!</v>
      </c>
      <c r="AO136" s="53" t="e">
        <f>AO135+ATM_Conf!$C$5*(U135-T135)/(U323*AO323)</f>
        <v>#DIV/0!</v>
      </c>
      <c r="AP136" s="43" t="e">
        <f>AP135+(ATM_Conf!$C$5/ATM_Conf!$C$8)*(BJ136*EXP(-(1/CX136)*(V136/CD136)^CX136)-AP135)-(ATM_Conf!$C$5*ATM_Conf!$C$9)/(V323*ATM_Conf!$C$8)*(Nodes!BO135-V135)/(V135+ATM_Conf!$C$10)</f>
        <v>#DIV/0!</v>
      </c>
      <c r="AQ136" s="43" t="e">
        <f>AQ135+(ATM_Conf!$C$5/ATM_Conf!$C$8)*(BK136*EXP(-(1/CY136)*(W136/CE136)^CY136)-AQ135)+(ATM_Conf!$C$5/W323)*AQ135*(AP135-AQ135)-(ATM_Conf!$C$5*ATM_Conf!$C$9)/(W323*ATM_Conf!$C$8)*(X135-W135)/(W135+ATM_Conf!$C$10)</f>
        <v>#DIV/0!</v>
      </c>
      <c r="AR136" s="43" t="e">
        <f>AR135+(ATM_Conf!$C$5/ATM_Conf!$C$8)*(BL136*EXP(-(1/CZ136)*(X136/CF136)^CZ136)-AR135)+(ATM_Conf!$C$5/X323)*AR135*(Nodes!BC135-AR135)-(ATM_Conf!$C$5*ATM_Conf!$C$9)/(X323*ATM_Conf!$C$8)*(Nodes!BQ135-X135)/(X135+ATM_Conf!$C$10)</f>
        <v>#DIV/0!</v>
      </c>
      <c r="AS136" s="43" t="e">
        <f>AS135+(ATM_Conf!$C$5/ATM_Conf!$C$8)*(BM136*EXP(-(1/DA136)*(Y136/CG136)^DA136)-AS135)+(ATM_Conf!$C$5/Y323)*AS135*(AR135-AS135)-(ATM_Conf!$C$5*ATM_Conf!$C$9)/(Y323*ATM_Conf!$C$8)*(Z135-Y135)/(Y135+ATM_Conf!$C$10)</f>
        <v>#DIV/0!</v>
      </c>
      <c r="AT136" s="43" t="e">
        <f>AT135+(ATM_Conf!$C$5/ATM_Conf!$C$8)*(BN136*EXP(-(1/DB136)*(Z136/CH136)^DB136)-AT135)+(ATM_Conf!$C$5/Z323)*AT135*(Nodes!BE135-AT135)-(ATM_Conf!$C$5*ATM_Conf!$C$9)/(Z323*ATM_Conf!$C$8)*(Nodes!BS135-Z135)/(Z135+ATM_Conf!$C$10)</f>
        <v>#DIV/0!</v>
      </c>
      <c r="AU136" s="43" t="e">
        <f>AU135+(ATM_Conf!$C$5/ATM_Conf!$C$8)*(BO136*EXP(-(1/DC136)*(AA136/CI136)^DC136)-AU135)+(ATM_Conf!$C$5/AA323)*AU135*(Nodes!BF135-AU135)-(ATM_Conf!$C$5*ATM_Conf!$C$9)/(AA323*ATM_Conf!$C$8)*(Nodes!BV135-AA135)/(AA135+ATM_Conf!$C$10)</f>
        <v>#DIV/0!</v>
      </c>
      <c r="AV136" s="43" t="e">
        <f>AV135+(ATM_Conf!$C$5/ATM_Conf!$C$8)*(BP136*EXP(-(1/DD136)*(AB136/CJ136)^DD136)-AV135)+(ATM_Conf!$C$5/AB323)*AV135*(AU135-AV135)-(ATM_Conf!$C$5*ATM_Conf!$C$9)/(AB323*ATM_Conf!$C$8)*(AC135-AB135)/(AB135+ATM_Conf!$C$10)</f>
        <v>#DIV/0!</v>
      </c>
      <c r="AW136" s="43" t="e">
        <f>AW135+(ATM_Conf!$C$5/ATM_Conf!$C$8)*(BQ136*EXP(-(1/DE136)*(AC136/CK136)^DE136)-AW135)+(ATM_Conf!$C$5/AC323)*AW135*(AV135-AW135)-(ATM_Conf!$C$5*ATM_Conf!$C$9)/(AC323*ATM_Conf!$C$8)*(AD135-AC135)/(AC135+ATM_Conf!$C$10)</f>
        <v>#DIV/0!</v>
      </c>
      <c r="AX136" s="43" t="e">
        <f>AX135+(ATM_Conf!$C$5/ATM_Conf!$C$8)*(BR136*EXP(-(1/DF136)*(AD136/CL136)^DF136)-AX135)+(ATM_Conf!$C$5/AD323)*AX135*(Nodes!BG135-AX135)-(ATM_Conf!$C$5*ATM_Conf!$C$9)/(AD323*ATM_Conf!$C$8)*(Nodes!BU135-AD135)/(AD135+ATM_Conf!$C$10)</f>
        <v>#DIV/0!</v>
      </c>
      <c r="AY136" s="43" t="e">
        <f>AY135+(ATM_Conf!$C$5/ATM_Conf!$C$8)*(BS136*EXP(-(1/DG136)*(AE136/CM136)^DG136)-AY135)+(ATM_Conf!$C$5/AE323)*AY135*(Nodes!BF135-AY135)</f>
        <v>#DIV/0!</v>
      </c>
      <c r="AZ136" s="43" t="e">
        <f>AZ135+(ATM_Conf!$C$5/ATM_Conf!$C$8)*(BT136*EXP(-(1/DH136)*(AF136/CN136)^DH136)-AZ135)-(ATM_Conf!$C$5*ATM_Conf!$C$9)/(AF323*ATM_Conf!$C$8)*(Nodes!BV135-AF135)/(AF135+ATM_Conf!$C$10)</f>
        <v>#DIV/0!</v>
      </c>
      <c r="BA136" s="43" t="e">
        <f>BA135+(ATM_Conf!$C$5/ATM_Conf!$C$8)*(BU136*EXP(-(1/DI136)*(AG136/CO136)^DI136)-BA135)+(ATM_Conf!$C$5/AG323)*BA135*(Nodes!BI135-BA135)-(ATM_Conf!$C$5*ATM_Conf!$C$9)/(AG323*ATM_Conf!$C$8)*(Nodes!BW135-AG135)/(AG135+ATM_Conf!$C$10)</f>
        <v>#DIV/0!</v>
      </c>
      <c r="BB136" s="43" t="e">
        <f>BB135+(ATM_Conf!$C$5/ATM_Conf!$C$8)*(BV136*EXP(-(1/DJ136)*(AH136/CP136)^DJ136)-BB135)+(ATM_Conf!$C$5/AH323)*BB135*(Nodes!BJ135-BB135)-(ATM_Conf!$C$5*ATM_Conf!$C$9)/(AH323*ATM_Conf!$C$8)*(AI135-AH135)/(AH135+ATM_Conf!$C$10)</f>
        <v>#DIV/0!</v>
      </c>
      <c r="BC136" s="43" t="e">
        <f>BC135+(ATM_Conf!$C$5/ATM_Conf!$C$8)*(BW136*EXP(-(1/DK136)*(AI136/CQ136)^DK136)-BC135)+(ATM_Conf!$C$5/AI323)*BC135*(BB135-BC135)-(ATM_Conf!$C$5*ATM_Conf!$C$9)/(AI323*ATM_Conf!$C$8)*(AJ135-AI135)/(AI135+ATM_Conf!$C$10)</f>
        <v>#DIV/0!</v>
      </c>
      <c r="BD136" s="43" t="e">
        <f>BD135+(ATM_Conf!$C$5/ATM_Conf!$C$8)*(BX136*EXP(-(1/DL136)*(AJ136/CR136)^DL136)-BD135)+(ATM_Conf!$C$5/AJ323)*BD135*(BC135-BD135)-(ATM_Conf!$C$5*ATM_Conf!$C$9)/(AJ323*ATM_Conf!$C$8)*(Nodes!BX135-AJ135)/(AJ135+ATM_Conf!$C$10)</f>
        <v>#DIV/0!</v>
      </c>
      <c r="BE136" s="43" t="e">
        <f>BE135+(ATM_Conf!$C$5/ATM_Conf!$C$8)*(BY136*EXP(-(1/DM136)*(AK136/CS136)^DM136)-BE135)+(ATM_Conf!$C$5/AK323)*BE135*(Nodes!BK135-BE135)-(ATM_Conf!$C$5*ATM_Conf!$C$9)/(AK323*ATM_Conf!$C$8)*(Nodes!BY135-AK135)/(AK135+ATM_Conf!$C$10)</f>
        <v>#DIV/0!</v>
      </c>
      <c r="BF136" s="43" t="e">
        <f>BF135+(ATM_Conf!$C$5/ATM_Conf!$C$8)*(BZ136*EXP(-(1/DN136)*(AL136/CT136)^DN136)-BF135)+(ATM_Conf!$C$5/AL323)*BF135*(BE135-BF135)-(ATM_Conf!$C$5*ATM_Conf!$C$9)/(AL323*ATM_Conf!$C$8)*(AM135-AL135)/(AL135+ATM_Conf!$C$10)</f>
        <v>#DIV/0!</v>
      </c>
      <c r="BG136" s="43" t="e">
        <f>BG135+(ATM_Conf!$C$5/ATM_Conf!$C$8)*(CA136*EXP(-(1/DO136)*(AM136/CU136)^DO136)-BG135)+(ATM_Conf!$C$5/AM323)*BG135*(Nodes!BM135-BG135)-(ATM_Conf!$C$5*ATM_Conf!$C$9)/(AM323*ATM_Conf!$C$8)*(Nodes!CA135-AM135)/(AM135+ATM_Conf!$C$10)</f>
        <v>#DIV/0!</v>
      </c>
      <c r="BH136" s="43" t="e">
        <f>BH135+(ATM_Conf!$C$5/ATM_Conf!$C$8)*(CB136*EXP(-(1/DP136)*(AN136/CV136)^DP136)-BH135)+(ATM_Conf!$C$5/AN323)*BH135*(BG135-BH135)-(ATM_Conf!$C$5*ATM_Conf!$C$9)/(AN323*ATM_Conf!$C$8)*(AO135-AN135)/(AN135+ATM_Conf!$C$10)</f>
        <v>#DIV/0!</v>
      </c>
      <c r="BI136" s="43" t="e">
        <f>BI135+(ATM_Conf!$C$5/ATM_Conf!$C$8)*(CC136*EXP(-(1/DQ136)*(AO136/CW136)^DQ136)-BI135)+(ATM_Conf!$C$5/AO323)*BI135*(BH135-BI135)</f>
        <v>#DIV/0!</v>
      </c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53"/>
      <c r="CY136" s="53"/>
      <c r="CZ136" s="53"/>
      <c r="DA136" s="53"/>
      <c r="DB136" s="53"/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43">
        <f>DR$135</f>
        <v>0</v>
      </c>
      <c r="DS136" s="43">
        <f t="shared" ref="DS136:EK146" si="95">DS$135</f>
        <v>0</v>
      </c>
      <c r="DT136" s="43">
        <f t="shared" si="95"/>
        <v>0</v>
      </c>
      <c r="DU136" s="43">
        <f t="shared" si="95"/>
        <v>0</v>
      </c>
      <c r="DV136" s="43">
        <f t="shared" si="95"/>
        <v>0</v>
      </c>
      <c r="DW136" s="43">
        <f t="shared" si="95"/>
        <v>0</v>
      </c>
      <c r="DX136" s="43">
        <f t="shared" si="95"/>
        <v>0</v>
      </c>
      <c r="DY136" s="43">
        <f t="shared" si="95"/>
        <v>0</v>
      </c>
      <c r="DZ136" s="43">
        <f t="shared" si="95"/>
        <v>0</v>
      </c>
      <c r="EA136" s="43">
        <f t="shared" si="95"/>
        <v>0</v>
      </c>
      <c r="EB136" s="43">
        <f t="shared" si="95"/>
        <v>0</v>
      </c>
      <c r="EC136" s="43">
        <f t="shared" si="95"/>
        <v>0</v>
      </c>
      <c r="ED136" s="43">
        <f t="shared" si="95"/>
        <v>0</v>
      </c>
      <c r="EE136" s="43">
        <f t="shared" si="95"/>
        <v>0</v>
      </c>
      <c r="EF136" s="43">
        <f t="shared" si="95"/>
        <v>0</v>
      </c>
      <c r="EG136" s="43">
        <f t="shared" si="95"/>
        <v>0</v>
      </c>
      <c r="EH136" s="43">
        <f t="shared" si="95"/>
        <v>0</v>
      </c>
      <c r="EI136" s="43">
        <f t="shared" si="95"/>
        <v>0</v>
      </c>
      <c r="EJ136" s="43">
        <f t="shared" si="95"/>
        <v>0</v>
      </c>
      <c r="EK136" s="43">
        <f t="shared" si="95"/>
        <v>0</v>
      </c>
      <c r="EL136" s="47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47"/>
      <c r="FA136" s="47"/>
      <c r="FB136" s="47"/>
      <c r="FC136" s="47"/>
      <c r="FD136" s="47"/>
      <c r="FE136" s="47"/>
    </row>
    <row r="137" spans="1:161" ht="14.25" x14ac:dyDescent="0.15">
      <c r="A137" s="46"/>
      <c r="B137" s="43" t="e">
        <f t="shared" si="74"/>
        <v>#DIV/0!</v>
      </c>
      <c r="C137" s="43" t="e">
        <f t="shared" si="75"/>
        <v>#DIV/0!</v>
      </c>
      <c r="D137" s="43" t="e">
        <f t="shared" si="76"/>
        <v>#DIV/0!</v>
      </c>
      <c r="E137" s="43" t="e">
        <f t="shared" si="77"/>
        <v>#DIV/0!</v>
      </c>
      <c r="F137" s="43" t="e">
        <f t="shared" si="78"/>
        <v>#DIV/0!</v>
      </c>
      <c r="G137" s="43" t="e">
        <f t="shared" si="79"/>
        <v>#DIV/0!</v>
      </c>
      <c r="H137" s="43" t="e">
        <f t="shared" si="80"/>
        <v>#DIV/0!</v>
      </c>
      <c r="I137" s="43" t="e">
        <f t="shared" si="81"/>
        <v>#DIV/0!</v>
      </c>
      <c r="J137" s="43" t="e">
        <f t="shared" si="82"/>
        <v>#DIV/0!</v>
      </c>
      <c r="K137" s="43" t="e">
        <f t="shared" si="83"/>
        <v>#DIV/0!</v>
      </c>
      <c r="L137" s="43" t="e">
        <f t="shared" si="84"/>
        <v>#DIV/0!</v>
      </c>
      <c r="M137" s="43" t="e">
        <f t="shared" si="85"/>
        <v>#DIV/0!</v>
      </c>
      <c r="N137" s="43" t="e">
        <f t="shared" si="86"/>
        <v>#DIV/0!</v>
      </c>
      <c r="O137" s="43" t="e">
        <f t="shared" si="87"/>
        <v>#DIV/0!</v>
      </c>
      <c r="P137" s="43" t="e">
        <f t="shared" si="88"/>
        <v>#DIV/0!</v>
      </c>
      <c r="Q137" s="43" t="e">
        <f t="shared" si="89"/>
        <v>#DIV/0!</v>
      </c>
      <c r="R137" s="43" t="e">
        <f t="shared" si="90"/>
        <v>#DIV/0!</v>
      </c>
      <c r="S137" s="43" t="e">
        <f t="shared" si="91"/>
        <v>#DIV/0!</v>
      </c>
      <c r="T137" s="43" t="e">
        <f t="shared" si="92"/>
        <v>#DIV/0!</v>
      </c>
      <c r="U137" s="43" t="e">
        <f t="shared" si="93"/>
        <v>#DIV/0!</v>
      </c>
      <c r="V137" s="53" t="e">
        <f>V136+ATM_Conf!$C$5*(B136)/(B324*V324)</f>
        <v>#DIV/0!</v>
      </c>
      <c r="W137" s="53" t="e">
        <f>W136+ATM_Conf!$C$5*(C136-B136)/(C324*W324)</f>
        <v>#DIV/0!</v>
      </c>
      <c r="X137" s="53" t="e">
        <f>X136+ATM_Conf!$C$5*(D136-C136)/(D324*X324)</f>
        <v>#DIV/0!</v>
      </c>
      <c r="Y137" s="53" t="e">
        <f>Y136+ATM_Conf!$C$5*(E136-D136)/(E324*Y324)</f>
        <v>#DIV/0!</v>
      </c>
      <c r="Z137" s="53" t="e">
        <f>Z136+ATM_Conf!$C$5*(F136-E136)/(F324*Z324)</f>
        <v>#DIV/0!</v>
      </c>
      <c r="AA137" s="53" t="e">
        <f>AA136+ATM_Conf!$C$5*(G136-F136)/(G324*AA324)</f>
        <v>#DIV/0!</v>
      </c>
      <c r="AB137" s="53" t="e">
        <f>AB136+ATM_Conf!$C$5*(H136-G136)/(H324*AB324)</f>
        <v>#DIV/0!</v>
      </c>
      <c r="AC137" s="53" t="e">
        <f>AC136+ATM_Conf!$C$5*(I136-H136)/(I324*AC324)</f>
        <v>#DIV/0!</v>
      </c>
      <c r="AD137" s="53" t="e">
        <f>AD136+ATM_Conf!$C$5*(J136-I136)/(J324*AD324)</f>
        <v>#DIV/0!</v>
      </c>
      <c r="AE137" s="53" t="e">
        <f>AE136+ATM_Conf!$C$5*(K136-J136)/(K324*AE324)</f>
        <v>#DIV/0!</v>
      </c>
      <c r="AF137" s="53" t="e">
        <f>AF136+ATM_Conf!$C$5*(L136)/(L324*AF324)</f>
        <v>#DIV/0!</v>
      </c>
      <c r="AG137" s="53" t="e">
        <f>AG136+ATM_Conf!$C$5*(M136-L136)/(M324*AG324)</f>
        <v>#DIV/0!</v>
      </c>
      <c r="AH137" s="53" t="e">
        <f>AH136+ATM_Conf!$C$5*(N136-M136)/(N324*AH324)</f>
        <v>#DIV/0!</v>
      </c>
      <c r="AI137" s="53" t="e">
        <f>AI136+ATM_Conf!$C$5*(O136-N136)/(O324*AI324)</f>
        <v>#DIV/0!</v>
      </c>
      <c r="AJ137" s="53" t="e">
        <f>AJ136+ATM_Conf!$C$5*(P136-O136)/(P324*AJ324)</f>
        <v>#DIV/0!</v>
      </c>
      <c r="AK137" s="53" t="e">
        <f>AK136+ATM_Conf!$C$5*(Q136-P136)/(Q324*AK324)</f>
        <v>#DIV/0!</v>
      </c>
      <c r="AL137" s="53" t="e">
        <f>AL136+ATM_Conf!$C$5*(R136-Q136)/(R324*AL324)</f>
        <v>#DIV/0!</v>
      </c>
      <c r="AM137" s="53" t="e">
        <f>AM136+ATM_Conf!$C$5*(S136-R136)/(S324*AM324)</f>
        <v>#DIV/0!</v>
      </c>
      <c r="AN137" s="53" t="e">
        <f>AN136+ATM_Conf!$C$5*(T136-S136)/(T324*AN324)</f>
        <v>#DIV/0!</v>
      </c>
      <c r="AO137" s="53" t="e">
        <f>AO136+ATM_Conf!$C$5*(U136-T136)/(U324*AO324)</f>
        <v>#DIV/0!</v>
      </c>
      <c r="AP137" s="43" t="e">
        <f>AP136+(ATM_Conf!$C$5/ATM_Conf!$C$8)*(BJ137*EXP(-(1/CX137)*(V137/CD137)^CX137)-AP136)-(ATM_Conf!$C$5*ATM_Conf!$C$9)/(V324*ATM_Conf!$C$8)*(Nodes!BO136-V136)/(V136+ATM_Conf!$C$10)</f>
        <v>#DIV/0!</v>
      </c>
      <c r="AQ137" s="43" t="e">
        <f>AQ136+(ATM_Conf!$C$5/ATM_Conf!$C$8)*(BK137*EXP(-(1/CY137)*(W137/CE137)^CY137)-AQ136)+(ATM_Conf!$C$5/W324)*AQ136*(AP136-AQ136)-(ATM_Conf!$C$5*ATM_Conf!$C$9)/(W324*ATM_Conf!$C$8)*(X136-W136)/(W136+ATM_Conf!$C$10)</f>
        <v>#DIV/0!</v>
      </c>
      <c r="AR137" s="43" t="e">
        <f>AR136+(ATM_Conf!$C$5/ATM_Conf!$C$8)*(BL137*EXP(-(1/CZ137)*(X137/CF137)^CZ137)-AR136)+(ATM_Conf!$C$5/X324)*AR136*(Nodes!BC136-AR136)-(ATM_Conf!$C$5*ATM_Conf!$C$9)/(X324*ATM_Conf!$C$8)*(Nodes!BQ136-X136)/(X136+ATM_Conf!$C$10)</f>
        <v>#DIV/0!</v>
      </c>
      <c r="AS137" s="43" t="e">
        <f>AS136+(ATM_Conf!$C$5/ATM_Conf!$C$8)*(BM137*EXP(-(1/DA137)*(Y137/CG137)^DA137)-AS136)+(ATM_Conf!$C$5/Y324)*AS136*(AR136-AS136)-(ATM_Conf!$C$5*ATM_Conf!$C$9)/(Y324*ATM_Conf!$C$8)*(Z136-Y136)/(Y136+ATM_Conf!$C$10)</f>
        <v>#DIV/0!</v>
      </c>
      <c r="AT137" s="43" t="e">
        <f>AT136+(ATM_Conf!$C$5/ATM_Conf!$C$8)*(BN137*EXP(-(1/DB137)*(Z137/CH137)^DB137)-AT136)+(ATM_Conf!$C$5/Z324)*AT136*(Nodes!BE136-AT136)-(ATM_Conf!$C$5*ATM_Conf!$C$9)/(Z324*ATM_Conf!$C$8)*(Nodes!BS136-Z136)/(Z136+ATM_Conf!$C$10)</f>
        <v>#DIV/0!</v>
      </c>
      <c r="AU137" s="43" t="e">
        <f>AU136+(ATM_Conf!$C$5/ATM_Conf!$C$8)*(BO137*EXP(-(1/DC137)*(AA137/CI137)^DC137)-AU136)+(ATM_Conf!$C$5/AA324)*AU136*(Nodes!BF136-AU136)-(ATM_Conf!$C$5*ATM_Conf!$C$9)/(AA324*ATM_Conf!$C$8)*(Nodes!BV136-AA136)/(AA136+ATM_Conf!$C$10)</f>
        <v>#DIV/0!</v>
      </c>
      <c r="AV137" s="43" t="e">
        <f>AV136+(ATM_Conf!$C$5/ATM_Conf!$C$8)*(BP137*EXP(-(1/DD137)*(AB137/CJ137)^DD137)-AV136)+(ATM_Conf!$C$5/AB324)*AV136*(AU136-AV136)-(ATM_Conf!$C$5*ATM_Conf!$C$9)/(AB324*ATM_Conf!$C$8)*(AC136-AB136)/(AB136+ATM_Conf!$C$10)</f>
        <v>#DIV/0!</v>
      </c>
      <c r="AW137" s="43" t="e">
        <f>AW136+(ATM_Conf!$C$5/ATM_Conf!$C$8)*(BQ137*EXP(-(1/DE137)*(AC137/CK137)^DE137)-AW136)+(ATM_Conf!$C$5/AC324)*AW136*(AV136-AW136)-(ATM_Conf!$C$5*ATM_Conf!$C$9)/(AC324*ATM_Conf!$C$8)*(AD136-AC136)/(AC136+ATM_Conf!$C$10)</f>
        <v>#DIV/0!</v>
      </c>
      <c r="AX137" s="43" t="e">
        <f>AX136+(ATM_Conf!$C$5/ATM_Conf!$C$8)*(BR137*EXP(-(1/DF137)*(AD137/CL137)^DF137)-AX136)+(ATM_Conf!$C$5/AD324)*AX136*(Nodes!BG136-AX136)-(ATM_Conf!$C$5*ATM_Conf!$C$9)/(AD324*ATM_Conf!$C$8)*(Nodes!BU136-AD136)/(AD136+ATM_Conf!$C$10)</f>
        <v>#DIV/0!</v>
      </c>
      <c r="AY137" s="43" t="e">
        <f>AY136+(ATM_Conf!$C$5/ATM_Conf!$C$8)*(BS137*EXP(-(1/DG137)*(AE137/CM137)^DG137)-AY136)+(ATM_Conf!$C$5/AE324)*AY136*(Nodes!BF136-AY136)</f>
        <v>#DIV/0!</v>
      </c>
      <c r="AZ137" s="43" t="e">
        <f>AZ136+(ATM_Conf!$C$5/ATM_Conf!$C$8)*(BT137*EXP(-(1/DH137)*(AF137/CN137)^DH137)-AZ136)-(ATM_Conf!$C$5*ATM_Conf!$C$9)/(AF324*ATM_Conf!$C$8)*(Nodes!BV136-AF136)/(AF136+ATM_Conf!$C$10)</f>
        <v>#DIV/0!</v>
      </c>
      <c r="BA137" s="43" t="e">
        <f>BA136+(ATM_Conf!$C$5/ATM_Conf!$C$8)*(BU137*EXP(-(1/DI137)*(AG137/CO137)^DI137)-BA136)+(ATM_Conf!$C$5/AG324)*BA136*(Nodes!BI136-BA136)-(ATM_Conf!$C$5*ATM_Conf!$C$9)/(AG324*ATM_Conf!$C$8)*(Nodes!BW136-AG136)/(AG136+ATM_Conf!$C$10)</f>
        <v>#DIV/0!</v>
      </c>
      <c r="BB137" s="43" t="e">
        <f>BB136+(ATM_Conf!$C$5/ATM_Conf!$C$8)*(BV137*EXP(-(1/DJ137)*(AH137/CP137)^DJ137)-BB136)+(ATM_Conf!$C$5/AH324)*BB136*(Nodes!BJ136-BB136)-(ATM_Conf!$C$5*ATM_Conf!$C$9)/(AH324*ATM_Conf!$C$8)*(AI136-AH136)/(AH136+ATM_Conf!$C$10)</f>
        <v>#DIV/0!</v>
      </c>
      <c r="BC137" s="43" t="e">
        <f>BC136+(ATM_Conf!$C$5/ATM_Conf!$C$8)*(BW137*EXP(-(1/DK137)*(AI137/CQ137)^DK137)-BC136)+(ATM_Conf!$C$5/AI324)*BC136*(BB136-BC136)-(ATM_Conf!$C$5*ATM_Conf!$C$9)/(AI324*ATM_Conf!$C$8)*(AJ136-AI136)/(AI136+ATM_Conf!$C$10)</f>
        <v>#DIV/0!</v>
      </c>
      <c r="BD137" s="43" t="e">
        <f>BD136+(ATM_Conf!$C$5/ATM_Conf!$C$8)*(BX137*EXP(-(1/DL137)*(AJ137/CR137)^DL137)-BD136)+(ATM_Conf!$C$5/AJ324)*BD136*(BC136-BD136)-(ATM_Conf!$C$5*ATM_Conf!$C$9)/(AJ324*ATM_Conf!$C$8)*(Nodes!BX136-AJ136)/(AJ136+ATM_Conf!$C$10)</f>
        <v>#DIV/0!</v>
      </c>
      <c r="BE137" s="43" t="e">
        <f>BE136+(ATM_Conf!$C$5/ATM_Conf!$C$8)*(BY137*EXP(-(1/DM137)*(AK137/CS137)^DM137)-BE136)+(ATM_Conf!$C$5/AK324)*BE136*(Nodes!BK136-BE136)-(ATM_Conf!$C$5*ATM_Conf!$C$9)/(AK324*ATM_Conf!$C$8)*(Nodes!BY136-AK136)/(AK136+ATM_Conf!$C$10)</f>
        <v>#DIV/0!</v>
      </c>
      <c r="BF137" s="43" t="e">
        <f>BF136+(ATM_Conf!$C$5/ATM_Conf!$C$8)*(BZ137*EXP(-(1/DN137)*(AL137/CT137)^DN137)-BF136)+(ATM_Conf!$C$5/AL324)*BF136*(BE136-BF136)-(ATM_Conf!$C$5*ATM_Conf!$C$9)/(AL324*ATM_Conf!$C$8)*(AM136-AL136)/(AL136+ATM_Conf!$C$10)</f>
        <v>#DIV/0!</v>
      </c>
      <c r="BG137" s="43" t="e">
        <f>BG136+(ATM_Conf!$C$5/ATM_Conf!$C$8)*(CA137*EXP(-(1/DO137)*(AM137/CU137)^DO137)-BG136)+(ATM_Conf!$C$5/AM324)*BG136*(Nodes!BM136-BG136)-(ATM_Conf!$C$5*ATM_Conf!$C$9)/(AM324*ATM_Conf!$C$8)*(Nodes!CA136-AM136)/(AM136+ATM_Conf!$C$10)</f>
        <v>#DIV/0!</v>
      </c>
      <c r="BH137" s="43" t="e">
        <f>BH136+(ATM_Conf!$C$5/ATM_Conf!$C$8)*(CB137*EXP(-(1/DP137)*(AN137/CV137)^DP137)-BH136)+(ATM_Conf!$C$5/AN324)*BH136*(BG136-BH136)-(ATM_Conf!$C$5*ATM_Conf!$C$9)/(AN324*ATM_Conf!$C$8)*(AO136-AN136)/(AN136+ATM_Conf!$C$10)</f>
        <v>#DIV/0!</v>
      </c>
      <c r="BI137" s="43" t="e">
        <f>BI136+(ATM_Conf!$C$5/ATM_Conf!$C$8)*(CC137*EXP(-(1/DQ137)*(AO137/CW137)^DQ137)-BI136)+(ATM_Conf!$C$5/AO324)*BI136*(BH136-BI136)</f>
        <v>#DIV/0!</v>
      </c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53"/>
      <c r="CY137" s="53"/>
      <c r="CZ137" s="53"/>
      <c r="DA137" s="53"/>
      <c r="DB137" s="53"/>
      <c r="DC137" s="53"/>
      <c r="DD137" s="53"/>
      <c r="DE137" s="53"/>
      <c r="DF137" s="53"/>
      <c r="DG137" s="53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  <c r="DR137" s="43">
        <f t="shared" ref="DR137:DR146" si="96">DR$135</f>
        <v>0</v>
      </c>
      <c r="DS137" s="43">
        <f t="shared" si="95"/>
        <v>0</v>
      </c>
      <c r="DT137" s="43">
        <f t="shared" si="95"/>
        <v>0</v>
      </c>
      <c r="DU137" s="43">
        <f t="shared" si="95"/>
        <v>0</v>
      </c>
      <c r="DV137" s="43">
        <f t="shared" si="95"/>
        <v>0</v>
      </c>
      <c r="DW137" s="43">
        <f t="shared" si="95"/>
        <v>0</v>
      </c>
      <c r="DX137" s="43">
        <f t="shared" si="95"/>
        <v>0</v>
      </c>
      <c r="DY137" s="43">
        <f t="shared" si="95"/>
        <v>0</v>
      </c>
      <c r="DZ137" s="43">
        <f t="shared" si="95"/>
        <v>0</v>
      </c>
      <c r="EA137" s="43">
        <f t="shared" si="95"/>
        <v>0</v>
      </c>
      <c r="EB137" s="43">
        <f t="shared" si="95"/>
        <v>0</v>
      </c>
      <c r="EC137" s="43">
        <f t="shared" si="95"/>
        <v>0</v>
      </c>
      <c r="ED137" s="43">
        <f t="shared" si="95"/>
        <v>0</v>
      </c>
      <c r="EE137" s="43">
        <f t="shared" si="95"/>
        <v>0</v>
      </c>
      <c r="EF137" s="43">
        <f t="shared" si="95"/>
        <v>0</v>
      </c>
      <c r="EG137" s="43">
        <f t="shared" si="95"/>
        <v>0</v>
      </c>
      <c r="EH137" s="43">
        <f t="shared" si="95"/>
        <v>0</v>
      </c>
      <c r="EI137" s="43">
        <f t="shared" si="95"/>
        <v>0</v>
      </c>
      <c r="EJ137" s="43">
        <f t="shared" si="95"/>
        <v>0</v>
      </c>
      <c r="EK137" s="43">
        <f t="shared" si="95"/>
        <v>0</v>
      </c>
      <c r="EL137" s="47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47"/>
      <c r="FA137" s="47"/>
      <c r="FB137" s="47"/>
      <c r="FC137" s="47"/>
      <c r="FD137" s="47"/>
      <c r="FE137" s="47"/>
    </row>
    <row r="138" spans="1:161" ht="14.25" x14ac:dyDescent="0.15">
      <c r="A138" s="46"/>
      <c r="B138" s="43" t="e">
        <f t="shared" si="74"/>
        <v>#DIV/0!</v>
      </c>
      <c r="C138" s="43" t="e">
        <f t="shared" si="75"/>
        <v>#DIV/0!</v>
      </c>
      <c r="D138" s="43" t="e">
        <f t="shared" si="76"/>
        <v>#DIV/0!</v>
      </c>
      <c r="E138" s="43" t="e">
        <f t="shared" si="77"/>
        <v>#DIV/0!</v>
      </c>
      <c r="F138" s="43" t="e">
        <f t="shared" si="78"/>
        <v>#DIV/0!</v>
      </c>
      <c r="G138" s="43" t="e">
        <f t="shared" si="79"/>
        <v>#DIV/0!</v>
      </c>
      <c r="H138" s="43" t="e">
        <f t="shared" si="80"/>
        <v>#DIV/0!</v>
      </c>
      <c r="I138" s="43" t="e">
        <f t="shared" si="81"/>
        <v>#DIV/0!</v>
      </c>
      <c r="J138" s="43" t="e">
        <f t="shared" si="82"/>
        <v>#DIV/0!</v>
      </c>
      <c r="K138" s="43" t="e">
        <f t="shared" si="83"/>
        <v>#DIV/0!</v>
      </c>
      <c r="L138" s="43" t="e">
        <f t="shared" si="84"/>
        <v>#DIV/0!</v>
      </c>
      <c r="M138" s="43" t="e">
        <f t="shared" si="85"/>
        <v>#DIV/0!</v>
      </c>
      <c r="N138" s="43" t="e">
        <f t="shared" si="86"/>
        <v>#DIV/0!</v>
      </c>
      <c r="O138" s="43" t="e">
        <f t="shared" si="87"/>
        <v>#DIV/0!</v>
      </c>
      <c r="P138" s="43" t="e">
        <f t="shared" si="88"/>
        <v>#DIV/0!</v>
      </c>
      <c r="Q138" s="43" t="e">
        <f t="shared" si="89"/>
        <v>#DIV/0!</v>
      </c>
      <c r="R138" s="43" t="e">
        <f t="shared" si="90"/>
        <v>#DIV/0!</v>
      </c>
      <c r="S138" s="43" t="e">
        <f t="shared" si="91"/>
        <v>#DIV/0!</v>
      </c>
      <c r="T138" s="43" t="e">
        <f t="shared" si="92"/>
        <v>#DIV/0!</v>
      </c>
      <c r="U138" s="43" t="e">
        <f t="shared" si="93"/>
        <v>#DIV/0!</v>
      </c>
      <c r="V138" s="53" t="e">
        <f>V137+ATM_Conf!$C$5*(B137)/(B325*V325)</f>
        <v>#DIV/0!</v>
      </c>
      <c r="W138" s="53" t="e">
        <f>W137+ATM_Conf!$C$5*(C137-B137)/(C325*W325)</f>
        <v>#DIV/0!</v>
      </c>
      <c r="X138" s="53" t="e">
        <f>X137+ATM_Conf!$C$5*(D137-C137)/(D325*X325)</f>
        <v>#DIV/0!</v>
      </c>
      <c r="Y138" s="53" t="e">
        <f>Y137+ATM_Conf!$C$5*(E137-D137)/(E325*Y325)</f>
        <v>#DIV/0!</v>
      </c>
      <c r="Z138" s="53" t="e">
        <f>Z137+ATM_Conf!$C$5*(F137-E137)/(F325*Z325)</f>
        <v>#DIV/0!</v>
      </c>
      <c r="AA138" s="53" t="e">
        <f>AA137+ATM_Conf!$C$5*(G137-F137)/(G325*AA325)</f>
        <v>#DIV/0!</v>
      </c>
      <c r="AB138" s="53" t="e">
        <f>AB137+ATM_Conf!$C$5*(H137-G137)/(H325*AB325)</f>
        <v>#DIV/0!</v>
      </c>
      <c r="AC138" s="53" t="e">
        <f>AC137+ATM_Conf!$C$5*(I137-H137)/(I325*AC325)</f>
        <v>#DIV/0!</v>
      </c>
      <c r="AD138" s="53" t="e">
        <f>AD137+ATM_Conf!$C$5*(J137-I137)/(J325*AD325)</f>
        <v>#DIV/0!</v>
      </c>
      <c r="AE138" s="53" t="e">
        <f>AE137+ATM_Conf!$C$5*(K137-J137)/(K325*AE325)</f>
        <v>#DIV/0!</v>
      </c>
      <c r="AF138" s="53" t="e">
        <f>AF137+ATM_Conf!$C$5*(L137)/(L325*AF325)</f>
        <v>#DIV/0!</v>
      </c>
      <c r="AG138" s="53" t="e">
        <f>AG137+ATM_Conf!$C$5*(M137-L137)/(M325*AG325)</f>
        <v>#DIV/0!</v>
      </c>
      <c r="AH138" s="53" t="e">
        <f>AH137+ATM_Conf!$C$5*(N137-M137)/(N325*AH325)</f>
        <v>#DIV/0!</v>
      </c>
      <c r="AI138" s="53" t="e">
        <f>AI137+ATM_Conf!$C$5*(O137-N137)/(O325*AI325)</f>
        <v>#DIV/0!</v>
      </c>
      <c r="AJ138" s="53" t="e">
        <f>AJ137+ATM_Conf!$C$5*(P137-O137)/(P325*AJ325)</f>
        <v>#DIV/0!</v>
      </c>
      <c r="AK138" s="53" t="e">
        <f>AK137+ATM_Conf!$C$5*(Q137-P137)/(Q325*AK325)</f>
        <v>#DIV/0!</v>
      </c>
      <c r="AL138" s="53" t="e">
        <f>AL137+ATM_Conf!$C$5*(R137-Q137)/(R325*AL325)</f>
        <v>#DIV/0!</v>
      </c>
      <c r="AM138" s="53" t="e">
        <f>AM137+ATM_Conf!$C$5*(S137-R137)/(S325*AM325)</f>
        <v>#DIV/0!</v>
      </c>
      <c r="AN138" s="53" t="e">
        <f>AN137+ATM_Conf!$C$5*(T137-S137)/(T325*AN325)</f>
        <v>#DIV/0!</v>
      </c>
      <c r="AO138" s="53" t="e">
        <f>AO137+ATM_Conf!$C$5*(U137-T137)/(U325*AO325)</f>
        <v>#DIV/0!</v>
      </c>
      <c r="AP138" s="43" t="e">
        <f>AP137+(ATM_Conf!$C$5/ATM_Conf!$C$8)*(BJ138*EXP(-(1/CX138)*(V138/CD138)^CX138)-AP137)-(ATM_Conf!$C$5*ATM_Conf!$C$9)/(V325*ATM_Conf!$C$8)*(Nodes!BO137-V137)/(V137+ATM_Conf!$C$10)</f>
        <v>#DIV/0!</v>
      </c>
      <c r="AQ138" s="43" t="e">
        <f>AQ137+(ATM_Conf!$C$5/ATM_Conf!$C$8)*(BK138*EXP(-(1/CY138)*(W138/CE138)^CY138)-AQ137)+(ATM_Conf!$C$5/W325)*AQ137*(AP137-AQ137)-(ATM_Conf!$C$5*ATM_Conf!$C$9)/(W325*ATM_Conf!$C$8)*(X137-W137)/(W137+ATM_Conf!$C$10)</f>
        <v>#DIV/0!</v>
      </c>
      <c r="AR138" s="43" t="e">
        <f>AR137+(ATM_Conf!$C$5/ATM_Conf!$C$8)*(BL138*EXP(-(1/CZ138)*(X138/CF138)^CZ138)-AR137)+(ATM_Conf!$C$5/X325)*AR137*(Nodes!BC137-AR137)-(ATM_Conf!$C$5*ATM_Conf!$C$9)/(X325*ATM_Conf!$C$8)*(Nodes!BQ137-X137)/(X137+ATM_Conf!$C$10)</f>
        <v>#DIV/0!</v>
      </c>
      <c r="AS138" s="43" t="e">
        <f>AS137+(ATM_Conf!$C$5/ATM_Conf!$C$8)*(BM138*EXP(-(1/DA138)*(Y138/CG138)^DA138)-AS137)+(ATM_Conf!$C$5/Y325)*AS137*(AR137-AS137)-(ATM_Conf!$C$5*ATM_Conf!$C$9)/(Y325*ATM_Conf!$C$8)*(Z137-Y137)/(Y137+ATM_Conf!$C$10)</f>
        <v>#DIV/0!</v>
      </c>
      <c r="AT138" s="43" t="e">
        <f>AT137+(ATM_Conf!$C$5/ATM_Conf!$C$8)*(BN138*EXP(-(1/DB138)*(Z138/CH138)^DB138)-AT137)+(ATM_Conf!$C$5/Z325)*AT137*(Nodes!BE137-AT137)-(ATM_Conf!$C$5*ATM_Conf!$C$9)/(Z325*ATM_Conf!$C$8)*(Nodes!BS137-Z137)/(Z137+ATM_Conf!$C$10)</f>
        <v>#DIV/0!</v>
      </c>
      <c r="AU138" s="43" t="e">
        <f>AU137+(ATM_Conf!$C$5/ATM_Conf!$C$8)*(BO138*EXP(-(1/DC138)*(AA138/CI138)^DC138)-AU137)+(ATM_Conf!$C$5/AA325)*AU137*(Nodes!BF137-AU137)-(ATM_Conf!$C$5*ATM_Conf!$C$9)/(AA325*ATM_Conf!$C$8)*(Nodes!BV137-AA137)/(AA137+ATM_Conf!$C$10)</f>
        <v>#DIV/0!</v>
      </c>
      <c r="AV138" s="43" t="e">
        <f>AV137+(ATM_Conf!$C$5/ATM_Conf!$C$8)*(BP138*EXP(-(1/DD138)*(AB138/CJ138)^DD138)-AV137)+(ATM_Conf!$C$5/AB325)*AV137*(AU137-AV137)-(ATM_Conf!$C$5*ATM_Conf!$C$9)/(AB325*ATM_Conf!$C$8)*(AC137-AB137)/(AB137+ATM_Conf!$C$10)</f>
        <v>#DIV/0!</v>
      </c>
      <c r="AW138" s="43" t="e">
        <f>AW137+(ATM_Conf!$C$5/ATM_Conf!$C$8)*(BQ138*EXP(-(1/DE138)*(AC138/CK138)^DE138)-AW137)+(ATM_Conf!$C$5/AC325)*AW137*(AV137-AW137)-(ATM_Conf!$C$5*ATM_Conf!$C$9)/(AC325*ATM_Conf!$C$8)*(AD137-AC137)/(AC137+ATM_Conf!$C$10)</f>
        <v>#DIV/0!</v>
      </c>
      <c r="AX138" s="43" t="e">
        <f>AX137+(ATM_Conf!$C$5/ATM_Conf!$C$8)*(BR138*EXP(-(1/DF138)*(AD138/CL138)^DF138)-AX137)+(ATM_Conf!$C$5/AD325)*AX137*(Nodes!BG137-AX137)-(ATM_Conf!$C$5*ATM_Conf!$C$9)/(AD325*ATM_Conf!$C$8)*(Nodes!BU137-AD137)/(AD137+ATM_Conf!$C$10)</f>
        <v>#DIV/0!</v>
      </c>
      <c r="AY138" s="43" t="e">
        <f>AY137+(ATM_Conf!$C$5/ATM_Conf!$C$8)*(BS138*EXP(-(1/DG138)*(AE138/CM138)^DG138)-AY137)+(ATM_Conf!$C$5/AE325)*AY137*(Nodes!BF137-AY137)</f>
        <v>#DIV/0!</v>
      </c>
      <c r="AZ138" s="43" t="e">
        <f>AZ137+(ATM_Conf!$C$5/ATM_Conf!$C$8)*(BT138*EXP(-(1/DH138)*(AF138/CN138)^DH138)-AZ137)-(ATM_Conf!$C$5*ATM_Conf!$C$9)/(AF325*ATM_Conf!$C$8)*(Nodes!BV137-AF137)/(AF137+ATM_Conf!$C$10)</f>
        <v>#DIV/0!</v>
      </c>
      <c r="BA138" s="43" t="e">
        <f>BA137+(ATM_Conf!$C$5/ATM_Conf!$C$8)*(BU138*EXP(-(1/DI138)*(AG138/CO138)^DI138)-BA137)+(ATM_Conf!$C$5/AG325)*BA137*(Nodes!BI137-BA137)-(ATM_Conf!$C$5*ATM_Conf!$C$9)/(AG325*ATM_Conf!$C$8)*(Nodes!BW137-AG137)/(AG137+ATM_Conf!$C$10)</f>
        <v>#DIV/0!</v>
      </c>
      <c r="BB138" s="43" t="e">
        <f>BB137+(ATM_Conf!$C$5/ATM_Conf!$C$8)*(BV138*EXP(-(1/DJ138)*(AH138/CP138)^DJ138)-BB137)+(ATM_Conf!$C$5/AH325)*BB137*(Nodes!BJ137-BB137)-(ATM_Conf!$C$5*ATM_Conf!$C$9)/(AH325*ATM_Conf!$C$8)*(AI137-AH137)/(AH137+ATM_Conf!$C$10)</f>
        <v>#DIV/0!</v>
      </c>
      <c r="BC138" s="43" t="e">
        <f>BC137+(ATM_Conf!$C$5/ATM_Conf!$C$8)*(BW138*EXP(-(1/DK138)*(AI138/CQ138)^DK138)-BC137)+(ATM_Conf!$C$5/AI325)*BC137*(BB137-BC137)-(ATM_Conf!$C$5*ATM_Conf!$C$9)/(AI325*ATM_Conf!$C$8)*(AJ137-AI137)/(AI137+ATM_Conf!$C$10)</f>
        <v>#DIV/0!</v>
      </c>
      <c r="BD138" s="43" t="e">
        <f>BD137+(ATM_Conf!$C$5/ATM_Conf!$C$8)*(BX138*EXP(-(1/DL138)*(AJ138/CR138)^DL138)-BD137)+(ATM_Conf!$C$5/AJ325)*BD137*(BC137-BD137)-(ATM_Conf!$C$5*ATM_Conf!$C$9)/(AJ325*ATM_Conf!$C$8)*(Nodes!BX137-AJ137)/(AJ137+ATM_Conf!$C$10)</f>
        <v>#DIV/0!</v>
      </c>
      <c r="BE138" s="43" t="e">
        <f>BE137+(ATM_Conf!$C$5/ATM_Conf!$C$8)*(BY138*EXP(-(1/DM138)*(AK138/CS138)^DM138)-BE137)+(ATM_Conf!$C$5/AK325)*BE137*(Nodes!BK137-BE137)-(ATM_Conf!$C$5*ATM_Conf!$C$9)/(AK325*ATM_Conf!$C$8)*(Nodes!BY137-AK137)/(AK137+ATM_Conf!$C$10)</f>
        <v>#DIV/0!</v>
      </c>
      <c r="BF138" s="43" t="e">
        <f>BF137+(ATM_Conf!$C$5/ATM_Conf!$C$8)*(BZ138*EXP(-(1/DN138)*(AL138/CT138)^DN138)-BF137)+(ATM_Conf!$C$5/AL325)*BF137*(BE137-BF137)-(ATM_Conf!$C$5*ATM_Conf!$C$9)/(AL325*ATM_Conf!$C$8)*(AM137-AL137)/(AL137+ATM_Conf!$C$10)</f>
        <v>#DIV/0!</v>
      </c>
      <c r="BG138" s="43" t="e">
        <f>BG137+(ATM_Conf!$C$5/ATM_Conf!$C$8)*(CA138*EXP(-(1/DO138)*(AM138/CU138)^DO138)-BG137)+(ATM_Conf!$C$5/AM325)*BG137*(Nodes!BM137-BG137)-(ATM_Conf!$C$5*ATM_Conf!$C$9)/(AM325*ATM_Conf!$C$8)*(Nodes!CA137-AM137)/(AM137+ATM_Conf!$C$10)</f>
        <v>#DIV/0!</v>
      </c>
      <c r="BH138" s="43" t="e">
        <f>BH137+(ATM_Conf!$C$5/ATM_Conf!$C$8)*(CB138*EXP(-(1/DP138)*(AN138/CV138)^DP138)-BH137)+(ATM_Conf!$C$5/AN325)*BH137*(BG137-BH137)-(ATM_Conf!$C$5*ATM_Conf!$C$9)/(AN325*ATM_Conf!$C$8)*(AO137-AN137)/(AN137+ATM_Conf!$C$10)</f>
        <v>#DIV/0!</v>
      </c>
      <c r="BI138" s="43" t="e">
        <f>BI137+(ATM_Conf!$C$5/ATM_Conf!$C$8)*(CC138*EXP(-(1/DQ138)*(AO138/CW138)^DQ138)-BI137)+(ATM_Conf!$C$5/AO325)*BI137*(BH137-BI137)</f>
        <v>#DIV/0!</v>
      </c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53"/>
      <c r="CY138" s="53"/>
      <c r="CZ138" s="53"/>
      <c r="DA138" s="53"/>
      <c r="DB138" s="53"/>
      <c r="DC138" s="53"/>
      <c r="DD138" s="53"/>
      <c r="DE138" s="53"/>
      <c r="DF138" s="53"/>
      <c r="DG138" s="53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  <c r="DR138" s="43">
        <f t="shared" si="96"/>
        <v>0</v>
      </c>
      <c r="DS138" s="43">
        <f t="shared" si="95"/>
        <v>0</v>
      </c>
      <c r="DT138" s="43">
        <f t="shared" si="95"/>
        <v>0</v>
      </c>
      <c r="DU138" s="43">
        <f t="shared" si="95"/>
        <v>0</v>
      </c>
      <c r="DV138" s="43">
        <f t="shared" si="95"/>
        <v>0</v>
      </c>
      <c r="DW138" s="43">
        <f t="shared" si="95"/>
        <v>0</v>
      </c>
      <c r="DX138" s="43">
        <f t="shared" si="95"/>
        <v>0</v>
      </c>
      <c r="DY138" s="43">
        <f t="shared" si="95"/>
        <v>0</v>
      </c>
      <c r="DZ138" s="43">
        <f t="shared" si="95"/>
        <v>0</v>
      </c>
      <c r="EA138" s="43">
        <f t="shared" si="95"/>
        <v>0</v>
      </c>
      <c r="EB138" s="43">
        <f t="shared" si="95"/>
        <v>0</v>
      </c>
      <c r="EC138" s="43">
        <f t="shared" si="95"/>
        <v>0</v>
      </c>
      <c r="ED138" s="43">
        <f t="shared" si="95"/>
        <v>0</v>
      </c>
      <c r="EE138" s="43">
        <f t="shared" si="95"/>
        <v>0</v>
      </c>
      <c r="EF138" s="43">
        <f t="shared" si="95"/>
        <v>0</v>
      </c>
      <c r="EG138" s="43">
        <f t="shared" si="95"/>
        <v>0</v>
      </c>
      <c r="EH138" s="43">
        <f t="shared" si="95"/>
        <v>0</v>
      </c>
      <c r="EI138" s="43">
        <f t="shared" si="95"/>
        <v>0</v>
      </c>
      <c r="EJ138" s="43">
        <f t="shared" si="95"/>
        <v>0</v>
      </c>
      <c r="EK138" s="43">
        <f t="shared" si="95"/>
        <v>0</v>
      </c>
      <c r="EL138" s="47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47"/>
      <c r="FA138" s="47"/>
      <c r="FB138" s="47"/>
      <c r="FC138" s="47"/>
      <c r="FD138" s="47"/>
      <c r="FE138" s="47"/>
    </row>
    <row r="139" spans="1:161" ht="14.25" x14ac:dyDescent="0.15">
      <c r="A139" s="46"/>
      <c r="B139" s="43" t="e">
        <f t="shared" si="74"/>
        <v>#DIV/0!</v>
      </c>
      <c r="C139" s="43" t="e">
        <f t="shared" si="75"/>
        <v>#DIV/0!</v>
      </c>
      <c r="D139" s="43" t="e">
        <f t="shared" si="76"/>
        <v>#DIV/0!</v>
      </c>
      <c r="E139" s="43" t="e">
        <f t="shared" si="77"/>
        <v>#DIV/0!</v>
      </c>
      <c r="F139" s="43" t="e">
        <f t="shared" si="78"/>
        <v>#DIV/0!</v>
      </c>
      <c r="G139" s="43" t="e">
        <f t="shared" si="79"/>
        <v>#DIV/0!</v>
      </c>
      <c r="H139" s="43" t="e">
        <f t="shared" si="80"/>
        <v>#DIV/0!</v>
      </c>
      <c r="I139" s="43" t="e">
        <f t="shared" si="81"/>
        <v>#DIV/0!</v>
      </c>
      <c r="J139" s="43" t="e">
        <f t="shared" si="82"/>
        <v>#DIV/0!</v>
      </c>
      <c r="K139" s="43" t="e">
        <f t="shared" si="83"/>
        <v>#DIV/0!</v>
      </c>
      <c r="L139" s="43" t="e">
        <f t="shared" si="84"/>
        <v>#DIV/0!</v>
      </c>
      <c r="M139" s="43" t="e">
        <f t="shared" si="85"/>
        <v>#DIV/0!</v>
      </c>
      <c r="N139" s="43" t="e">
        <f t="shared" si="86"/>
        <v>#DIV/0!</v>
      </c>
      <c r="O139" s="43" t="e">
        <f t="shared" si="87"/>
        <v>#DIV/0!</v>
      </c>
      <c r="P139" s="43" t="e">
        <f t="shared" si="88"/>
        <v>#DIV/0!</v>
      </c>
      <c r="Q139" s="43" t="e">
        <f t="shared" si="89"/>
        <v>#DIV/0!</v>
      </c>
      <c r="R139" s="43" t="e">
        <f t="shared" si="90"/>
        <v>#DIV/0!</v>
      </c>
      <c r="S139" s="43" t="e">
        <f t="shared" si="91"/>
        <v>#DIV/0!</v>
      </c>
      <c r="T139" s="43" t="e">
        <f t="shared" si="92"/>
        <v>#DIV/0!</v>
      </c>
      <c r="U139" s="43" t="e">
        <f t="shared" si="93"/>
        <v>#DIV/0!</v>
      </c>
      <c r="V139" s="53" t="e">
        <f>V138+ATM_Conf!$C$5*(B138)/(B326*V326)</f>
        <v>#DIV/0!</v>
      </c>
      <c r="W139" s="53" t="e">
        <f>W138+ATM_Conf!$C$5*(C138-B138)/(C326*W326)</f>
        <v>#DIV/0!</v>
      </c>
      <c r="X139" s="53" t="e">
        <f>X138+ATM_Conf!$C$5*(D138-C138)/(D326*X326)</f>
        <v>#DIV/0!</v>
      </c>
      <c r="Y139" s="53" t="e">
        <f>Y138+ATM_Conf!$C$5*(E138-D138)/(E326*Y326)</f>
        <v>#DIV/0!</v>
      </c>
      <c r="Z139" s="53" t="e">
        <f>Z138+ATM_Conf!$C$5*(F138-E138)/(F326*Z326)</f>
        <v>#DIV/0!</v>
      </c>
      <c r="AA139" s="53" t="e">
        <f>AA138+ATM_Conf!$C$5*(G138-F138)/(G326*AA326)</f>
        <v>#DIV/0!</v>
      </c>
      <c r="AB139" s="53" t="e">
        <f>AB138+ATM_Conf!$C$5*(H138-G138)/(H326*AB326)</f>
        <v>#DIV/0!</v>
      </c>
      <c r="AC139" s="53" t="e">
        <f>AC138+ATM_Conf!$C$5*(I138-H138)/(I326*AC326)</f>
        <v>#DIV/0!</v>
      </c>
      <c r="AD139" s="53" t="e">
        <f>AD138+ATM_Conf!$C$5*(J138-I138)/(J326*AD326)</f>
        <v>#DIV/0!</v>
      </c>
      <c r="AE139" s="53" t="e">
        <f>AE138+ATM_Conf!$C$5*(K138-J138)/(K326*AE326)</f>
        <v>#DIV/0!</v>
      </c>
      <c r="AF139" s="53" t="e">
        <f>AF138+ATM_Conf!$C$5*(L138)/(L326*AF326)</f>
        <v>#DIV/0!</v>
      </c>
      <c r="AG139" s="53" t="e">
        <f>AG138+ATM_Conf!$C$5*(M138-L138)/(M326*AG326)</f>
        <v>#DIV/0!</v>
      </c>
      <c r="AH139" s="53" t="e">
        <f>AH138+ATM_Conf!$C$5*(N138-M138)/(N326*AH326)</f>
        <v>#DIV/0!</v>
      </c>
      <c r="AI139" s="53" t="e">
        <f>AI138+ATM_Conf!$C$5*(O138-N138)/(O326*AI326)</f>
        <v>#DIV/0!</v>
      </c>
      <c r="AJ139" s="53" t="e">
        <f>AJ138+ATM_Conf!$C$5*(P138-O138)/(P326*AJ326)</f>
        <v>#DIV/0!</v>
      </c>
      <c r="AK139" s="53" t="e">
        <f>AK138+ATM_Conf!$C$5*(Q138-P138)/(Q326*AK326)</f>
        <v>#DIV/0!</v>
      </c>
      <c r="AL139" s="53" t="e">
        <f>AL138+ATM_Conf!$C$5*(R138-Q138)/(R326*AL326)</f>
        <v>#DIV/0!</v>
      </c>
      <c r="AM139" s="53" t="e">
        <f>AM138+ATM_Conf!$C$5*(S138-R138)/(S326*AM326)</f>
        <v>#DIV/0!</v>
      </c>
      <c r="AN139" s="53" t="e">
        <f>AN138+ATM_Conf!$C$5*(T138-S138)/(T326*AN326)</f>
        <v>#DIV/0!</v>
      </c>
      <c r="AO139" s="53" t="e">
        <f>AO138+ATM_Conf!$C$5*(U138-T138)/(U326*AO326)</f>
        <v>#DIV/0!</v>
      </c>
      <c r="AP139" s="43" t="e">
        <f>AP138+(ATM_Conf!$C$5/ATM_Conf!$C$8)*(BJ139*EXP(-(1/CX139)*(V139/CD139)^CX139)-AP138)-(ATM_Conf!$C$5*ATM_Conf!$C$9)/(V326*ATM_Conf!$C$8)*(Nodes!BO138-V138)/(V138+ATM_Conf!$C$10)</f>
        <v>#DIV/0!</v>
      </c>
      <c r="AQ139" s="43" t="e">
        <f>AQ138+(ATM_Conf!$C$5/ATM_Conf!$C$8)*(BK139*EXP(-(1/CY139)*(W139/CE139)^CY139)-AQ138)+(ATM_Conf!$C$5/W326)*AQ138*(AP138-AQ138)-(ATM_Conf!$C$5*ATM_Conf!$C$9)/(W326*ATM_Conf!$C$8)*(X138-W138)/(W138+ATM_Conf!$C$10)</f>
        <v>#DIV/0!</v>
      </c>
      <c r="AR139" s="43" t="e">
        <f>AR138+(ATM_Conf!$C$5/ATM_Conf!$C$8)*(BL139*EXP(-(1/CZ139)*(X139/CF139)^CZ139)-AR138)+(ATM_Conf!$C$5/X326)*AR138*(Nodes!BC138-AR138)-(ATM_Conf!$C$5*ATM_Conf!$C$9)/(X326*ATM_Conf!$C$8)*(Nodes!BQ138-X138)/(X138+ATM_Conf!$C$10)</f>
        <v>#DIV/0!</v>
      </c>
      <c r="AS139" s="43" t="e">
        <f>AS138+(ATM_Conf!$C$5/ATM_Conf!$C$8)*(BM139*EXP(-(1/DA139)*(Y139/CG139)^DA139)-AS138)+(ATM_Conf!$C$5/Y326)*AS138*(AR138-AS138)-(ATM_Conf!$C$5*ATM_Conf!$C$9)/(Y326*ATM_Conf!$C$8)*(Z138-Y138)/(Y138+ATM_Conf!$C$10)</f>
        <v>#DIV/0!</v>
      </c>
      <c r="AT139" s="43" t="e">
        <f>AT138+(ATM_Conf!$C$5/ATM_Conf!$C$8)*(BN139*EXP(-(1/DB139)*(Z139/CH139)^DB139)-AT138)+(ATM_Conf!$C$5/Z326)*AT138*(Nodes!BE138-AT138)-(ATM_Conf!$C$5*ATM_Conf!$C$9)/(Z326*ATM_Conf!$C$8)*(Nodes!BS138-Z138)/(Z138+ATM_Conf!$C$10)</f>
        <v>#DIV/0!</v>
      </c>
      <c r="AU139" s="43" t="e">
        <f>AU138+(ATM_Conf!$C$5/ATM_Conf!$C$8)*(BO139*EXP(-(1/DC139)*(AA139/CI139)^DC139)-AU138)+(ATM_Conf!$C$5/AA326)*AU138*(Nodes!BF138-AU138)-(ATM_Conf!$C$5*ATM_Conf!$C$9)/(AA326*ATM_Conf!$C$8)*(Nodes!BV138-AA138)/(AA138+ATM_Conf!$C$10)</f>
        <v>#DIV/0!</v>
      </c>
      <c r="AV139" s="43" t="e">
        <f>AV138+(ATM_Conf!$C$5/ATM_Conf!$C$8)*(BP139*EXP(-(1/DD139)*(AB139/CJ139)^DD139)-AV138)+(ATM_Conf!$C$5/AB326)*AV138*(AU138-AV138)-(ATM_Conf!$C$5*ATM_Conf!$C$9)/(AB326*ATM_Conf!$C$8)*(AC138-AB138)/(AB138+ATM_Conf!$C$10)</f>
        <v>#DIV/0!</v>
      </c>
      <c r="AW139" s="43" t="e">
        <f>AW138+(ATM_Conf!$C$5/ATM_Conf!$C$8)*(BQ139*EXP(-(1/DE139)*(AC139/CK139)^DE139)-AW138)+(ATM_Conf!$C$5/AC326)*AW138*(AV138-AW138)-(ATM_Conf!$C$5*ATM_Conf!$C$9)/(AC326*ATM_Conf!$C$8)*(AD138-AC138)/(AC138+ATM_Conf!$C$10)</f>
        <v>#DIV/0!</v>
      </c>
      <c r="AX139" s="43" t="e">
        <f>AX138+(ATM_Conf!$C$5/ATM_Conf!$C$8)*(BR139*EXP(-(1/DF139)*(AD139/CL139)^DF139)-AX138)+(ATM_Conf!$C$5/AD326)*AX138*(Nodes!BG138-AX138)-(ATM_Conf!$C$5*ATM_Conf!$C$9)/(AD326*ATM_Conf!$C$8)*(Nodes!BU138-AD138)/(AD138+ATM_Conf!$C$10)</f>
        <v>#DIV/0!</v>
      </c>
      <c r="AY139" s="43" t="e">
        <f>AY138+(ATM_Conf!$C$5/ATM_Conf!$C$8)*(BS139*EXP(-(1/DG139)*(AE139/CM139)^DG139)-AY138)+(ATM_Conf!$C$5/AE326)*AY138*(Nodes!BF138-AY138)</f>
        <v>#DIV/0!</v>
      </c>
      <c r="AZ139" s="43" t="e">
        <f>AZ138+(ATM_Conf!$C$5/ATM_Conf!$C$8)*(BT139*EXP(-(1/DH139)*(AF139/CN139)^DH139)-AZ138)-(ATM_Conf!$C$5*ATM_Conf!$C$9)/(AF326*ATM_Conf!$C$8)*(Nodes!BV138-AF138)/(AF138+ATM_Conf!$C$10)</f>
        <v>#DIV/0!</v>
      </c>
      <c r="BA139" s="43" t="e">
        <f>BA138+(ATM_Conf!$C$5/ATM_Conf!$C$8)*(BU139*EXP(-(1/DI139)*(AG139/CO139)^DI139)-BA138)+(ATM_Conf!$C$5/AG326)*BA138*(Nodes!BI138-BA138)-(ATM_Conf!$C$5*ATM_Conf!$C$9)/(AG326*ATM_Conf!$C$8)*(Nodes!BW138-AG138)/(AG138+ATM_Conf!$C$10)</f>
        <v>#DIV/0!</v>
      </c>
      <c r="BB139" s="43" t="e">
        <f>BB138+(ATM_Conf!$C$5/ATM_Conf!$C$8)*(BV139*EXP(-(1/DJ139)*(AH139/CP139)^DJ139)-BB138)+(ATM_Conf!$C$5/AH326)*BB138*(Nodes!BJ138-BB138)-(ATM_Conf!$C$5*ATM_Conf!$C$9)/(AH326*ATM_Conf!$C$8)*(AI138-AH138)/(AH138+ATM_Conf!$C$10)</f>
        <v>#DIV/0!</v>
      </c>
      <c r="BC139" s="43" t="e">
        <f>BC138+(ATM_Conf!$C$5/ATM_Conf!$C$8)*(BW139*EXP(-(1/DK139)*(AI139/CQ139)^DK139)-BC138)+(ATM_Conf!$C$5/AI326)*BC138*(BB138-BC138)-(ATM_Conf!$C$5*ATM_Conf!$C$9)/(AI326*ATM_Conf!$C$8)*(AJ138-AI138)/(AI138+ATM_Conf!$C$10)</f>
        <v>#DIV/0!</v>
      </c>
      <c r="BD139" s="43" t="e">
        <f>BD138+(ATM_Conf!$C$5/ATM_Conf!$C$8)*(BX139*EXP(-(1/DL139)*(AJ139/CR139)^DL139)-BD138)+(ATM_Conf!$C$5/AJ326)*BD138*(BC138-BD138)-(ATM_Conf!$C$5*ATM_Conf!$C$9)/(AJ326*ATM_Conf!$C$8)*(Nodes!BX138-AJ138)/(AJ138+ATM_Conf!$C$10)</f>
        <v>#DIV/0!</v>
      </c>
      <c r="BE139" s="43" t="e">
        <f>BE138+(ATM_Conf!$C$5/ATM_Conf!$C$8)*(BY139*EXP(-(1/DM139)*(AK139/CS139)^DM139)-BE138)+(ATM_Conf!$C$5/AK326)*BE138*(Nodes!BK138-BE138)-(ATM_Conf!$C$5*ATM_Conf!$C$9)/(AK326*ATM_Conf!$C$8)*(Nodes!BY138-AK138)/(AK138+ATM_Conf!$C$10)</f>
        <v>#DIV/0!</v>
      </c>
      <c r="BF139" s="43" t="e">
        <f>BF138+(ATM_Conf!$C$5/ATM_Conf!$C$8)*(BZ139*EXP(-(1/DN139)*(AL139/CT139)^DN139)-BF138)+(ATM_Conf!$C$5/AL326)*BF138*(BE138-BF138)-(ATM_Conf!$C$5*ATM_Conf!$C$9)/(AL326*ATM_Conf!$C$8)*(AM138-AL138)/(AL138+ATM_Conf!$C$10)</f>
        <v>#DIV/0!</v>
      </c>
      <c r="BG139" s="43" t="e">
        <f>BG138+(ATM_Conf!$C$5/ATM_Conf!$C$8)*(CA139*EXP(-(1/DO139)*(AM139/CU139)^DO139)-BG138)+(ATM_Conf!$C$5/AM326)*BG138*(Nodes!BM138-BG138)-(ATM_Conf!$C$5*ATM_Conf!$C$9)/(AM326*ATM_Conf!$C$8)*(Nodes!CA138-AM138)/(AM138+ATM_Conf!$C$10)</f>
        <v>#DIV/0!</v>
      </c>
      <c r="BH139" s="43" t="e">
        <f>BH138+(ATM_Conf!$C$5/ATM_Conf!$C$8)*(CB139*EXP(-(1/DP139)*(AN139/CV139)^DP139)-BH138)+(ATM_Conf!$C$5/AN326)*BH138*(BG138-BH138)-(ATM_Conf!$C$5*ATM_Conf!$C$9)/(AN326*ATM_Conf!$C$8)*(AO138-AN138)/(AN138+ATM_Conf!$C$10)</f>
        <v>#DIV/0!</v>
      </c>
      <c r="BI139" s="43" t="e">
        <f>BI138+(ATM_Conf!$C$5/ATM_Conf!$C$8)*(CC139*EXP(-(1/DQ139)*(AO139/CW139)^DQ139)-BI138)+(ATM_Conf!$C$5/AO326)*BI138*(BH138-BI138)</f>
        <v>#DIV/0!</v>
      </c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53"/>
      <c r="CY139" s="53"/>
      <c r="CZ139" s="53"/>
      <c r="DA139" s="53"/>
      <c r="DB139" s="53"/>
      <c r="DC139" s="53"/>
      <c r="DD139" s="53"/>
      <c r="DE139" s="53"/>
      <c r="DF139" s="53"/>
      <c r="DG139" s="53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  <c r="DR139" s="43">
        <f t="shared" si="96"/>
        <v>0</v>
      </c>
      <c r="DS139" s="43">
        <f t="shared" si="95"/>
        <v>0</v>
      </c>
      <c r="DT139" s="43">
        <f t="shared" si="95"/>
        <v>0</v>
      </c>
      <c r="DU139" s="43">
        <f t="shared" si="95"/>
        <v>0</v>
      </c>
      <c r="DV139" s="43">
        <f t="shared" si="95"/>
        <v>0</v>
      </c>
      <c r="DW139" s="43">
        <f t="shared" si="95"/>
        <v>0</v>
      </c>
      <c r="DX139" s="43">
        <f t="shared" si="95"/>
        <v>0</v>
      </c>
      <c r="DY139" s="43">
        <f t="shared" si="95"/>
        <v>0</v>
      </c>
      <c r="DZ139" s="43">
        <f t="shared" si="95"/>
        <v>0</v>
      </c>
      <c r="EA139" s="43">
        <f t="shared" si="95"/>
        <v>0</v>
      </c>
      <c r="EB139" s="43">
        <f t="shared" si="95"/>
        <v>0</v>
      </c>
      <c r="EC139" s="43">
        <f t="shared" si="95"/>
        <v>0</v>
      </c>
      <c r="ED139" s="43">
        <f t="shared" si="95"/>
        <v>0</v>
      </c>
      <c r="EE139" s="43">
        <f t="shared" si="95"/>
        <v>0</v>
      </c>
      <c r="EF139" s="43">
        <f t="shared" si="95"/>
        <v>0</v>
      </c>
      <c r="EG139" s="43">
        <f t="shared" si="95"/>
        <v>0</v>
      </c>
      <c r="EH139" s="43">
        <f t="shared" si="95"/>
        <v>0</v>
      </c>
      <c r="EI139" s="43">
        <f t="shared" si="95"/>
        <v>0</v>
      </c>
      <c r="EJ139" s="43">
        <f t="shared" si="95"/>
        <v>0</v>
      </c>
      <c r="EK139" s="43">
        <f t="shared" si="95"/>
        <v>0</v>
      </c>
      <c r="EL139" s="47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47"/>
      <c r="FA139" s="47"/>
      <c r="FB139" s="47"/>
      <c r="FC139" s="47"/>
      <c r="FD139" s="47"/>
      <c r="FE139" s="47"/>
    </row>
    <row r="140" spans="1:161" ht="14.25" x14ac:dyDescent="0.15">
      <c r="A140" s="46"/>
      <c r="B140" s="43" t="e">
        <f t="shared" si="74"/>
        <v>#DIV/0!</v>
      </c>
      <c r="C140" s="43" t="e">
        <f t="shared" si="75"/>
        <v>#DIV/0!</v>
      </c>
      <c r="D140" s="43" t="e">
        <f t="shared" si="76"/>
        <v>#DIV/0!</v>
      </c>
      <c r="E140" s="43" t="e">
        <f t="shared" si="77"/>
        <v>#DIV/0!</v>
      </c>
      <c r="F140" s="43" t="e">
        <f t="shared" si="78"/>
        <v>#DIV/0!</v>
      </c>
      <c r="G140" s="43" t="e">
        <f t="shared" si="79"/>
        <v>#DIV/0!</v>
      </c>
      <c r="H140" s="43" t="e">
        <f t="shared" si="80"/>
        <v>#DIV/0!</v>
      </c>
      <c r="I140" s="43" t="e">
        <f t="shared" si="81"/>
        <v>#DIV/0!</v>
      </c>
      <c r="J140" s="43" t="e">
        <f t="shared" si="82"/>
        <v>#DIV/0!</v>
      </c>
      <c r="K140" s="43" t="e">
        <f t="shared" si="83"/>
        <v>#DIV/0!</v>
      </c>
      <c r="L140" s="43" t="e">
        <f t="shared" si="84"/>
        <v>#DIV/0!</v>
      </c>
      <c r="M140" s="43" t="e">
        <f t="shared" si="85"/>
        <v>#DIV/0!</v>
      </c>
      <c r="N140" s="43" t="e">
        <f t="shared" si="86"/>
        <v>#DIV/0!</v>
      </c>
      <c r="O140" s="43" t="e">
        <f t="shared" si="87"/>
        <v>#DIV/0!</v>
      </c>
      <c r="P140" s="43" t="e">
        <f t="shared" si="88"/>
        <v>#DIV/0!</v>
      </c>
      <c r="Q140" s="43" t="e">
        <f t="shared" si="89"/>
        <v>#DIV/0!</v>
      </c>
      <c r="R140" s="43" t="e">
        <f t="shared" si="90"/>
        <v>#DIV/0!</v>
      </c>
      <c r="S140" s="43" t="e">
        <f t="shared" si="91"/>
        <v>#DIV/0!</v>
      </c>
      <c r="T140" s="43" t="e">
        <f t="shared" si="92"/>
        <v>#DIV/0!</v>
      </c>
      <c r="U140" s="43" t="e">
        <f t="shared" si="93"/>
        <v>#DIV/0!</v>
      </c>
      <c r="V140" s="53" t="e">
        <f>V139+ATM_Conf!$C$5*(B139)/(B327*V327)</f>
        <v>#DIV/0!</v>
      </c>
      <c r="W140" s="53" t="e">
        <f>W139+ATM_Conf!$C$5*(C139-B139)/(C327*W327)</f>
        <v>#DIV/0!</v>
      </c>
      <c r="X140" s="53" t="e">
        <f>X139+ATM_Conf!$C$5*(D139-C139)/(D327*X327)</f>
        <v>#DIV/0!</v>
      </c>
      <c r="Y140" s="53" t="e">
        <f>Y139+ATM_Conf!$C$5*(E139-D139)/(E327*Y327)</f>
        <v>#DIV/0!</v>
      </c>
      <c r="Z140" s="53" t="e">
        <f>Z139+ATM_Conf!$C$5*(F139-E139)/(F327*Z327)</f>
        <v>#DIV/0!</v>
      </c>
      <c r="AA140" s="53" t="e">
        <f>AA139+ATM_Conf!$C$5*(G139-F139)/(G327*AA327)</f>
        <v>#DIV/0!</v>
      </c>
      <c r="AB140" s="53" t="e">
        <f>AB139+ATM_Conf!$C$5*(H139-G139)/(H327*AB327)</f>
        <v>#DIV/0!</v>
      </c>
      <c r="AC140" s="53" t="e">
        <f>AC139+ATM_Conf!$C$5*(I139-H139)/(I327*AC327)</f>
        <v>#DIV/0!</v>
      </c>
      <c r="AD140" s="53" t="e">
        <f>AD139+ATM_Conf!$C$5*(J139-I139)/(J327*AD327)</f>
        <v>#DIV/0!</v>
      </c>
      <c r="AE140" s="53" t="e">
        <f>AE139+ATM_Conf!$C$5*(K139-J139)/(K327*AE327)</f>
        <v>#DIV/0!</v>
      </c>
      <c r="AF140" s="53" t="e">
        <f>AF139+ATM_Conf!$C$5*(L139)/(L327*AF327)</f>
        <v>#DIV/0!</v>
      </c>
      <c r="AG140" s="53" t="e">
        <f>AG139+ATM_Conf!$C$5*(M139-L139)/(M327*AG327)</f>
        <v>#DIV/0!</v>
      </c>
      <c r="AH140" s="53" t="e">
        <f>AH139+ATM_Conf!$C$5*(N139-M139)/(N327*AH327)</f>
        <v>#DIV/0!</v>
      </c>
      <c r="AI140" s="53" t="e">
        <f>AI139+ATM_Conf!$C$5*(O139-N139)/(O327*AI327)</f>
        <v>#DIV/0!</v>
      </c>
      <c r="AJ140" s="53" t="e">
        <f>AJ139+ATM_Conf!$C$5*(P139-O139)/(P327*AJ327)</f>
        <v>#DIV/0!</v>
      </c>
      <c r="AK140" s="53" t="e">
        <f>AK139+ATM_Conf!$C$5*(Q139-P139)/(Q327*AK327)</f>
        <v>#DIV/0!</v>
      </c>
      <c r="AL140" s="53" t="e">
        <f>AL139+ATM_Conf!$C$5*(R139-Q139)/(R327*AL327)</f>
        <v>#DIV/0!</v>
      </c>
      <c r="AM140" s="53" t="e">
        <f>AM139+ATM_Conf!$C$5*(S139-R139)/(S327*AM327)</f>
        <v>#DIV/0!</v>
      </c>
      <c r="AN140" s="53" t="e">
        <f>AN139+ATM_Conf!$C$5*(T139-S139)/(T327*AN327)</f>
        <v>#DIV/0!</v>
      </c>
      <c r="AO140" s="53" t="e">
        <f>AO139+ATM_Conf!$C$5*(U139-T139)/(U327*AO327)</f>
        <v>#DIV/0!</v>
      </c>
      <c r="AP140" s="43" t="e">
        <f>AP139+(ATM_Conf!$C$5/ATM_Conf!$C$8)*(BJ140*EXP(-(1/CX140)*(V140/CD140)^CX140)-AP139)-(ATM_Conf!$C$5*ATM_Conf!$C$9)/(V327*ATM_Conf!$C$8)*(Nodes!BO139-V139)/(V139+ATM_Conf!$C$10)</f>
        <v>#DIV/0!</v>
      </c>
      <c r="AQ140" s="43" t="e">
        <f>AQ139+(ATM_Conf!$C$5/ATM_Conf!$C$8)*(BK140*EXP(-(1/CY140)*(W140/CE140)^CY140)-AQ139)+(ATM_Conf!$C$5/W327)*AQ139*(AP139-AQ139)-(ATM_Conf!$C$5*ATM_Conf!$C$9)/(W327*ATM_Conf!$C$8)*(X139-W139)/(W139+ATM_Conf!$C$10)</f>
        <v>#DIV/0!</v>
      </c>
      <c r="AR140" s="43" t="e">
        <f>AR139+(ATM_Conf!$C$5/ATM_Conf!$C$8)*(BL140*EXP(-(1/CZ140)*(X140/CF140)^CZ140)-AR139)+(ATM_Conf!$C$5/X327)*AR139*(Nodes!BC139-AR139)-(ATM_Conf!$C$5*ATM_Conf!$C$9)/(X327*ATM_Conf!$C$8)*(Nodes!BQ139-X139)/(X139+ATM_Conf!$C$10)</f>
        <v>#DIV/0!</v>
      </c>
      <c r="AS140" s="43" t="e">
        <f>AS139+(ATM_Conf!$C$5/ATM_Conf!$C$8)*(BM140*EXP(-(1/DA140)*(Y140/CG140)^DA140)-AS139)+(ATM_Conf!$C$5/Y327)*AS139*(AR139-AS139)-(ATM_Conf!$C$5*ATM_Conf!$C$9)/(Y327*ATM_Conf!$C$8)*(Z139-Y139)/(Y139+ATM_Conf!$C$10)</f>
        <v>#DIV/0!</v>
      </c>
      <c r="AT140" s="43" t="e">
        <f>AT139+(ATM_Conf!$C$5/ATM_Conf!$C$8)*(BN140*EXP(-(1/DB140)*(Z140/CH140)^DB140)-AT139)+(ATM_Conf!$C$5/Z327)*AT139*(Nodes!BE139-AT139)-(ATM_Conf!$C$5*ATM_Conf!$C$9)/(Z327*ATM_Conf!$C$8)*(Nodes!BS139-Z139)/(Z139+ATM_Conf!$C$10)</f>
        <v>#DIV/0!</v>
      </c>
      <c r="AU140" s="43" t="e">
        <f>AU139+(ATM_Conf!$C$5/ATM_Conf!$C$8)*(BO140*EXP(-(1/DC140)*(AA140/CI140)^DC140)-AU139)+(ATM_Conf!$C$5/AA327)*AU139*(Nodes!BF139-AU139)-(ATM_Conf!$C$5*ATM_Conf!$C$9)/(AA327*ATM_Conf!$C$8)*(Nodes!BV139-AA139)/(AA139+ATM_Conf!$C$10)</f>
        <v>#DIV/0!</v>
      </c>
      <c r="AV140" s="43" t="e">
        <f>AV139+(ATM_Conf!$C$5/ATM_Conf!$C$8)*(BP140*EXP(-(1/DD140)*(AB140/CJ140)^DD140)-AV139)+(ATM_Conf!$C$5/AB327)*AV139*(AU139-AV139)-(ATM_Conf!$C$5*ATM_Conf!$C$9)/(AB327*ATM_Conf!$C$8)*(AC139-AB139)/(AB139+ATM_Conf!$C$10)</f>
        <v>#DIV/0!</v>
      </c>
      <c r="AW140" s="43" t="e">
        <f>AW139+(ATM_Conf!$C$5/ATM_Conf!$C$8)*(BQ140*EXP(-(1/DE140)*(AC140/CK140)^DE140)-AW139)+(ATM_Conf!$C$5/AC327)*AW139*(AV139-AW139)-(ATM_Conf!$C$5*ATM_Conf!$C$9)/(AC327*ATM_Conf!$C$8)*(AD139-AC139)/(AC139+ATM_Conf!$C$10)</f>
        <v>#DIV/0!</v>
      </c>
      <c r="AX140" s="43" t="e">
        <f>AX139+(ATM_Conf!$C$5/ATM_Conf!$C$8)*(BR140*EXP(-(1/DF140)*(AD140/CL140)^DF140)-AX139)+(ATM_Conf!$C$5/AD327)*AX139*(Nodes!BG139-AX139)-(ATM_Conf!$C$5*ATM_Conf!$C$9)/(AD327*ATM_Conf!$C$8)*(Nodes!BU139-AD139)/(AD139+ATM_Conf!$C$10)</f>
        <v>#DIV/0!</v>
      </c>
      <c r="AY140" s="43" t="e">
        <f>AY139+(ATM_Conf!$C$5/ATM_Conf!$C$8)*(BS140*EXP(-(1/DG140)*(AE140/CM140)^DG140)-AY139)+(ATM_Conf!$C$5/AE327)*AY139*(Nodes!BF139-AY139)</f>
        <v>#DIV/0!</v>
      </c>
      <c r="AZ140" s="43" t="e">
        <f>AZ139+(ATM_Conf!$C$5/ATM_Conf!$C$8)*(BT140*EXP(-(1/DH140)*(AF140/CN140)^DH140)-AZ139)-(ATM_Conf!$C$5*ATM_Conf!$C$9)/(AF327*ATM_Conf!$C$8)*(Nodes!BV139-AF139)/(AF139+ATM_Conf!$C$10)</f>
        <v>#DIV/0!</v>
      </c>
      <c r="BA140" s="43" t="e">
        <f>BA139+(ATM_Conf!$C$5/ATM_Conf!$C$8)*(BU140*EXP(-(1/DI140)*(AG140/CO140)^DI140)-BA139)+(ATM_Conf!$C$5/AG327)*BA139*(Nodes!BI139-BA139)-(ATM_Conf!$C$5*ATM_Conf!$C$9)/(AG327*ATM_Conf!$C$8)*(Nodes!BW139-AG139)/(AG139+ATM_Conf!$C$10)</f>
        <v>#DIV/0!</v>
      </c>
      <c r="BB140" s="43" t="e">
        <f>BB139+(ATM_Conf!$C$5/ATM_Conf!$C$8)*(BV140*EXP(-(1/DJ140)*(AH140/CP140)^DJ140)-BB139)+(ATM_Conf!$C$5/AH327)*BB139*(Nodes!BJ139-BB139)-(ATM_Conf!$C$5*ATM_Conf!$C$9)/(AH327*ATM_Conf!$C$8)*(AI139-AH139)/(AH139+ATM_Conf!$C$10)</f>
        <v>#DIV/0!</v>
      </c>
      <c r="BC140" s="43" t="e">
        <f>BC139+(ATM_Conf!$C$5/ATM_Conf!$C$8)*(BW140*EXP(-(1/DK140)*(AI140/CQ140)^DK140)-BC139)+(ATM_Conf!$C$5/AI327)*BC139*(BB139-BC139)-(ATM_Conf!$C$5*ATM_Conf!$C$9)/(AI327*ATM_Conf!$C$8)*(AJ139-AI139)/(AI139+ATM_Conf!$C$10)</f>
        <v>#DIV/0!</v>
      </c>
      <c r="BD140" s="43" t="e">
        <f>BD139+(ATM_Conf!$C$5/ATM_Conf!$C$8)*(BX140*EXP(-(1/DL140)*(AJ140/CR140)^DL140)-BD139)+(ATM_Conf!$C$5/AJ327)*BD139*(BC139-BD139)-(ATM_Conf!$C$5*ATM_Conf!$C$9)/(AJ327*ATM_Conf!$C$8)*(Nodes!BX139-AJ139)/(AJ139+ATM_Conf!$C$10)</f>
        <v>#DIV/0!</v>
      </c>
      <c r="BE140" s="43" t="e">
        <f>BE139+(ATM_Conf!$C$5/ATM_Conf!$C$8)*(BY140*EXP(-(1/DM140)*(AK140/CS140)^DM140)-BE139)+(ATM_Conf!$C$5/AK327)*BE139*(Nodes!BK139-BE139)-(ATM_Conf!$C$5*ATM_Conf!$C$9)/(AK327*ATM_Conf!$C$8)*(Nodes!BY139-AK139)/(AK139+ATM_Conf!$C$10)</f>
        <v>#DIV/0!</v>
      </c>
      <c r="BF140" s="43" t="e">
        <f>BF139+(ATM_Conf!$C$5/ATM_Conf!$C$8)*(BZ140*EXP(-(1/DN140)*(AL140/CT140)^DN140)-BF139)+(ATM_Conf!$C$5/AL327)*BF139*(BE139-BF139)-(ATM_Conf!$C$5*ATM_Conf!$C$9)/(AL327*ATM_Conf!$C$8)*(AM139-AL139)/(AL139+ATM_Conf!$C$10)</f>
        <v>#DIV/0!</v>
      </c>
      <c r="BG140" s="43" t="e">
        <f>BG139+(ATM_Conf!$C$5/ATM_Conf!$C$8)*(CA140*EXP(-(1/DO140)*(AM140/CU140)^DO140)-BG139)+(ATM_Conf!$C$5/AM327)*BG139*(Nodes!BM139-BG139)-(ATM_Conf!$C$5*ATM_Conf!$C$9)/(AM327*ATM_Conf!$C$8)*(Nodes!CA139-AM139)/(AM139+ATM_Conf!$C$10)</f>
        <v>#DIV/0!</v>
      </c>
      <c r="BH140" s="43" t="e">
        <f>BH139+(ATM_Conf!$C$5/ATM_Conf!$C$8)*(CB140*EXP(-(1/DP140)*(AN140/CV140)^DP140)-BH139)+(ATM_Conf!$C$5/AN327)*BH139*(BG139-BH139)-(ATM_Conf!$C$5*ATM_Conf!$C$9)/(AN327*ATM_Conf!$C$8)*(AO139-AN139)/(AN139+ATM_Conf!$C$10)</f>
        <v>#DIV/0!</v>
      </c>
      <c r="BI140" s="43" t="e">
        <f>BI139+(ATM_Conf!$C$5/ATM_Conf!$C$8)*(CC140*EXP(-(1/DQ140)*(AO140/CW140)^DQ140)-BI139)+(ATM_Conf!$C$5/AO327)*BI139*(BH139-BI139)</f>
        <v>#DIV/0!</v>
      </c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53"/>
      <c r="CY140" s="53"/>
      <c r="CZ140" s="53"/>
      <c r="DA140" s="53"/>
      <c r="DB140" s="53"/>
      <c r="DC140" s="53"/>
      <c r="DD140" s="53"/>
      <c r="DE140" s="53"/>
      <c r="DF140" s="53"/>
      <c r="DG140" s="53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  <c r="DR140" s="43">
        <f t="shared" si="96"/>
        <v>0</v>
      </c>
      <c r="DS140" s="43">
        <f t="shared" si="95"/>
        <v>0</v>
      </c>
      <c r="DT140" s="43">
        <f t="shared" si="95"/>
        <v>0</v>
      </c>
      <c r="DU140" s="43">
        <f t="shared" si="95"/>
        <v>0</v>
      </c>
      <c r="DV140" s="43">
        <f t="shared" si="95"/>
        <v>0</v>
      </c>
      <c r="DW140" s="43">
        <f t="shared" si="95"/>
        <v>0</v>
      </c>
      <c r="DX140" s="43">
        <f t="shared" si="95"/>
        <v>0</v>
      </c>
      <c r="DY140" s="43">
        <f t="shared" si="95"/>
        <v>0</v>
      </c>
      <c r="DZ140" s="43">
        <f t="shared" si="95"/>
        <v>0</v>
      </c>
      <c r="EA140" s="43">
        <f t="shared" si="95"/>
        <v>0</v>
      </c>
      <c r="EB140" s="43">
        <f t="shared" si="95"/>
        <v>0</v>
      </c>
      <c r="EC140" s="43">
        <f t="shared" si="95"/>
        <v>0</v>
      </c>
      <c r="ED140" s="43">
        <f t="shared" si="95"/>
        <v>0</v>
      </c>
      <c r="EE140" s="43">
        <f t="shared" si="95"/>
        <v>0</v>
      </c>
      <c r="EF140" s="43">
        <f t="shared" si="95"/>
        <v>0</v>
      </c>
      <c r="EG140" s="43">
        <f t="shared" si="95"/>
        <v>0</v>
      </c>
      <c r="EH140" s="43">
        <f t="shared" si="95"/>
        <v>0</v>
      </c>
      <c r="EI140" s="43">
        <f t="shared" si="95"/>
        <v>0</v>
      </c>
      <c r="EJ140" s="43">
        <f t="shared" si="95"/>
        <v>0</v>
      </c>
      <c r="EK140" s="43">
        <f t="shared" si="95"/>
        <v>0</v>
      </c>
      <c r="EL140" s="47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47"/>
      <c r="FA140" s="47"/>
      <c r="FB140" s="47"/>
      <c r="FC140" s="47"/>
      <c r="FD140" s="47"/>
      <c r="FE140" s="47"/>
    </row>
    <row r="141" spans="1:161" ht="14.25" x14ac:dyDescent="0.15">
      <c r="A141" s="46"/>
      <c r="B141" s="43" t="e">
        <f t="shared" si="74"/>
        <v>#DIV/0!</v>
      </c>
      <c r="C141" s="43" t="e">
        <f t="shared" si="75"/>
        <v>#DIV/0!</v>
      </c>
      <c r="D141" s="43" t="e">
        <f t="shared" si="76"/>
        <v>#DIV/0!</v>
      </c>
      <c r="E141" s="43" t="e">
        <f t="shared" si="77"/>
        <v>#DIV/0!</v>
      </c>
      <c r="F141" s="43" t="e">
        <f t="shared" si="78"/>
        <v>#DIV/0!</v>
      </c>
      <c r="G141" s="43" t="e">
        <f t="shared" si="79"/>
        <v>#DIV/0!</v>
      </c>
      <c r="H141" s="43" t="e">
        <f t="shared" si="80"/>
        <v>#DIV/0!</v>
      </c>
      <c r="I141" s="43" t="e">
        <f t="shared" si="81"/>
        <v>#DIV/0!</v>
      </c>
      <c r="J141" s="43" t="e">
        <f t="shared" si="82"/>
        <v>#DIV/0!</v>
      </c>
      <c r="K141" s="43" t="e">
        <f t="shared" si="83"/>
        <v>#DIV/0!</v>
      </c>
      <c r="L141" s="43" t="e">
        <f t="shared" si="84"/>
        <v>#DIV/0!</v>
      </c>
      <c r="M141" s="43" t="e">
        <f t="shared" si="85"/>
        <v>#DIV/0!</v>
      </c>
      <c r="N141" s="43" t="e">
        <f t="shared" si="86"/>
        <v>#DIV/0!</v>
      </c>
      <c r="O141" s="43" t="e">
        <f t="shared" si="87"/>
        <v>#DIV/0!</v>
      </c>
      <c r="P141" s="43" t="e">
        <f t="shared" si="88"/>
        <v>#DIV/0!</v>
      </c>
      <c r="Q141" s="43" t="e">
        <f t="shared" si="89"/>
        <v>#DIV/0!</v>
      </c>
      <c r="R141" s="43" t="e">
        <f t="shared" si="90"/>
        <v>#DIV/0!</v>
      </c>
      <c r="S141" s="43" t="e">
        <f t="shared" si="91"/>
        <v>#DIV/0!</v>
      </c>
      <c r="T141" s="43" t="e">
        <f t="shared" si="92"/>
        <v>#DIV/0!</v>
      </c>
      <c r="U141" s="43" t="e">
        <f t="shared" si="93"/>
        <v>#DIV/0!</v>
      </c>
      <c r="V141" s="53" t="e">
        <f>V140+ATM_Conf!$C$5*(B140)/(B328*V328)</f>
        <v>#DIV/0!</v>
      </c>
      <c r="W141" s="53" t="e">
        <f>W140+ATM_Conf!$C$5*(C140-B140)/(C328*W328)</f>
        <v>#DIV/0!</v>
      </c>
      <c r="X141" s="53" t="e">
        <f>X140+ATM_Conf!$C$5*(D140-C140)/(D328*X328)</f>
        <v>#DIV/0!</v>
      </c>
      <c r="Y141" s="53" t="e">
        <f>Y140+ATM_Conf!$C$5*(E140-D140)/(E328*Y328)</f>
        <v>#DIV/0!</v>
      </c>
      <c r="Z141" s="53" t="e">
        <f>Z140+ATM_Conf!$C$5*(F140-E140)/(F328*Z328)</f>
        <v>#DIV/0!</v>
      </c>
      <c r="AA141" s="53" t="e">
        <f>AA140+ATM_Conf!$C$5*(G140-F140)/(G328*AA328)</f>
        <v>#DIV/0!</v>
      </c>
      <c r="AB141" s="53" t="e">
        <f>AB140+ATM_Conf!$C$5*(H140-G140)/(H328*AB328)</f>
        <v>#DIV/0!</v>
      </c>
      <c r="AC141" s="53" t="e">
        <f>AC140+ATM_Conf!$C$5*(I140-H140)/(I328*AC328)</f>
        <v>#DIV/0!</v>
      </c>
      <c r="AD141" s="53" t="e">
        <f>AD140+ATM_Conf!$C$5*(J140-I140)/(J328*AD328)</f>
        <v>#DIV/0!</v>
      </c>
      <c r="AE141" s="53" t="e">
        <f>AE140+ATM_Conf!$C$5*(K140-J140)/(K328*AE328)</f>
        <v>#DIV/0!</v>
      </c>
      <c r="AF141" s="53" t="e">
        <f>AF140+ATM_Conf!$C$5*(L140)/(L328*AF328)</f>
        <v>#DIV/0!</v>
      </c>
      <c r="AG141" s="53" t="e">
        <f>AG140+ATM_Conf!$C$5*(M140-L140)/(M328*AG328)</f>
        <v>#DIV/0!</v>
      </c>
      <c r="AH141" s="53" t="e">
        <f>AH140+ATM_Conf!$C$5*(N140-M140)/(N328*AH328)</f>
        <v>#DIV/0!</v>
      </c>
      <c r="AI141" s="53" t="e">
        <f>AI140+ATM_Conf!$C$5*(O140-N140)/(O328*AI328)</f>
        <v>#DIV/0!</v>
      </c>
      <c r="AJ141" s="53" t="e">
        <f>AJ140+ATM_Conf!$C$5*(P140-O140)/(P328*AJ328)</f>
        <v>#DIV/0!</v>
      </c>
      <c r="AK141" s="53" t="e">
        <f>AK140+ATM_Conf!$C$5*(Q140-P140)/(Q328*AK328)</f>
        <v>#DIV/0!</v>
      </c>
      <c r="AL141" s="53" t="e">
        <f>AL140+ATM_Conf!$C$5*(R140-Q140)/(R328*AL328)</f>
        <v>#DIV/0!</v>
      </c>
      <c r="AM141" s="53" t="e">
        <f>AM140+ATM_Conf!$C$5*(S140-R140)/(S328*AM328)</f>
        <v>#DIV/0!</v>
      </c>
      <c r="AN141" s="53" t="e">
        <f>AN140+ATM_Conf!$C$5*(T140-S140)/(T328*AN328)</f>
        <v>#DIV/0!</v>
      </c>
      <c r="AO141" s="53" t="e">
        <f>AO140+ATM_Conf!$C$5*(U140-T140)/(U328*AO328)</f>
        <v>#DIV/0!</v>
      </c>
      <c r="AP141" s="43" t="e">
        <f>AP140+(ATM_Conf!$C$5/ATM_Conf!$C$8)*(BJ141*EXP(-(1/CX141)*(V141/CD141)^CX141)-AP140)-(ATM_Conf!$C$5*ATM_Conf!$C$9)/(V328*ATM_Conf!$C$8)*(Nodes!BO140-V140)/(V140+ATM_Conf!$C$10)</f>
        <v>#DIV/0!</v>
      </c>
      <c r="AQ141" s="43" t="e">
        <f>AQ140+(ATM_Conf!$C$5/ATM_Conf!$C$8)*(BK141*EXP(-(1/CY141)*(W141/CE141)^CY141)-AQ140)+(ATM_Conf!$C$5/W328)*AQ140*(AP140-AQ140)-(ATM_Conf!$C$5*ATM_Conf!$C$9)/(W328*ATM_Conf!$C$8)*(X140-W140)/(W140+ATM_Conf!$C$10)</f>
        <v>#DIV/0!</v>
      </c>
      <c r="AR141" s="43" t="e">
        <f>AR140+(ATM_Conf!$C$5/ATM_Conf!$C$8)*(BL141*EXP(-(1/CZ141)*(X141/CF141)^CZ141)-AR140)+(ATM_Conf!$C$5/X328)*AR140*(Nodes!BC140-AR140)-(ATM_Conf!$C$5*ATM_Conf!$C$9)/(X328*ATM_Conf!$C$8)*(Nodes!BQ140-X140)/(X140+ATM_Conf!$C$10)</f>
        <v>#DIV/0!</v>
      </c>
      <c r="AS141" s="43" t="e">
        <f>AS140+(ATM_Conf!$C$5/ATM_Conf!$C$8)*(BM141*EXP(-(1/DA141)*(Y141/CG141)^DA141)-AS140)+(ATM_Conf!$C$5/Y328)*AS140*(AR140-AS140)-(ATM_Conf!$C$5*ATM_Conf!$C$9)/(Y328*ATM_Conf!$C$8)*(Z140-Y140)/(Y140+ATM_Conf!$C$10)</f>
        <v>#DIV/0!</v>
      </c>
      <c r="AT141" s="43" t="e">
        <f>AT140+(ATM_Conf!$C$5/ATM_Conf!$C$8)*(BN141*EXP(-(1/DB141)*(Z141/CH141)^DB141)-AT140)+(ATM_Conf!$C$5/Z328)*AT140*(Nodes!BE140-AT140)-(ATM_Conf!$C$5*ATM_Conf!$C$9)/(Z328*ATM_Conf!$C$8)*(Nodes!BS140-Z140)/(Z140+ATM_Conf!$C$10)</f>
        <v>#DIV/0!</v>
      </c>
      <c r="AU141" s="43" t="e">
        <f>AU140+(ATM_Conf!$C$5/ATM_Conf!$C$8)*(BO141*EXP(-(1/DC141)*(AA141/CI141)^DC141)-AU140)+(ATM_Conf!$C$5/AA328)*AU140*(Nodes!BF140-AU140)-(ATM_Conf!$C$5*ATM_Conf!$C$9)/(AA328*ATM_Conf!$C$8)*(Nodes!BV140-AA140)/(AA140+ATM_Conf!$C$10)</f>
        <v>#DIV/0!</v>
      </c>
      <c r="AV141" s="43" t="e">
        <f>AV140+(ATM_Conf!$C$5/ATM_Conf!$C$8)*(BP141*EXP(-(1/DD141)*(AB141/CJ141)^DD141)-AV140)+(ATM_Conf!$C$5/AB328)*AV140*(AU140-AV140)-(ATM_Conf!$C$5*ATM_Conf!$C$9)/(AB328*ATM_Conf!$C$8)*(AC140-AB140)/(AB140+ATM_Conf!$C$10)</f>
        <v>#DIV/0!</v>
      </c>
      <c r="AW141" s="43" t="e">
        <f>AW140+(ATM_Conf!$C$5/ATM_Conf!$C$8)*(BQ141*EXP(-(1/DE141)*(AC141/CK141)^DE141)-AW140)+(ATM_Conf!$C$5/AC328)*AW140*(AV140-AW140)-(ATM_Conf!$C$5*ATM_Conf!$C$9)/(AC328*ATM_Conf!$C$8)*(AD140-AC140)/(AC140+ATM_Conf!$C$10)</f>
        <v>#DIV/0!</v>
      </c>
      <c r="AX141" s="43" t="e">
        <f>AX140+(ATM_Conf!$C$5/ATM_Conf!$C$8)*(BR141*EXP(-(1/DF141)*(AD141/CL141)^DF141)-AX140)+(ATM_Conf!$C$5/AD328)*AX140*(Nodes!BG140-AX140)-(ATM_Conf!$C$5*ATM_Conf!$C$9)/(AD328*ATM_Conf!$C$8)*(Nodes!BU140-AD140)/(AD140+ATM_Conf!$C$10)</f>
        <v>#DIV/0!</v>
      </c>
      <c r="AY141" s="43" t="e">
        <f>AY140+(ATM_Conf!$C$5/ATM_Conf!$C$8)*(BS141*EXP(-(1/DG141)*(AE141/CM141)^DG141)-AY140)+(ATM_Conf!$C$5/AE328)*AY140*(Nodes!BF140-AY140)</f>
        <v>#DIV/0!</v>
      </c>
      <c r="AZ141" s="43" t="e">
        <f>AZ140+(ATM_Conf!$C$5/ATM_Conf!$C$8)*(BT141*EXP(-(1/DH141)*(AF141/CN141)^DH141)-AZ140)-(ATM_Conf!$C$5*ATM_Conf!$C$9)/(AF328*ATM_Conf!$C$8)*(Nodes!BV140-AF140)/(AF140+ATM_Conf!$C$10)</f>
        <v>#DIV/0!</v>
      </c>
      <c r="BA141" s="43" t="e">
        <f>BA140+(ATM_Conf!$C$5/ATM_Conf!$C$8)*(BU141*EXP(-(1/DI141)*(AG141/CO141)^DI141)-BA140)+(ATM_Conf!$C$5/AG328)*BA140*(Nodes!BI140-BA140)-(ATM_Conf!$C$5*ATM_Conf!$C$9)/(AG328*ATM_Conf!$C$8)*(Nodes!BW140-AG140)/(AG140+ATM_Conf!$C$10)</f>
        <v>#DIV/0!</v>
      </c>
      <c r="BB141" s="43" t="e">
        <f>BB140+(ATM_Conf!$C$5/ATM_Conf!$C$8)*(BV141*EXP(-(1/DJ141)*(AH141/CP141)^DJ141)-BB140)+(ATM_Conf!$C$5/AH328)*BB140*(Nodes!BJ140-BB140)-(ATM_Conf!$C$5*ATM_Conf!$C$9)/(AH328*ATM_Conf!$C$8)*(AI140-AH140)/(AH140+ATM_Conf!$C$10)</f>
        <v>#DIV/0!</v>
      </c>
      <c r="BC141" s="43" t="e">
        <f>BC140+(ATM_Conf!$C$5/ATM_Conf!$C$8)*(BW141*EXP(-(1/DK141)*(AI141/CQ141)^DK141)-BC140)+(ATM_Conf!$C$5/AI328)*BC140*(BB140-BC140)-(ATM_Conf!$C$5*ATM_Conf!$C$9)/(AI328*ATM_Conf!$C$8)*(AJ140-AI140)/(AI140+ATM_Conf!$C$10)</f>
        <v>#DIV/0!</v>
      </c>
      <c r="BD141" s="43" t="e">
        <f>BD140+(ATM_Conf!$C$5/ATM_Conf!$C$8)*(BX141*EXP(-(1/DL141)*(AJ141/CR141)^DL141)-BD140)+(ATM_Conf!$C$5/AJ328)*BD140*(BC140-BD140)-(ATM_Conf!$C$5*ATM_Conf!$C$9)/(AJ328*ATM_Conf!$C$8)*(Nodes!BX140-AJ140)/(AJ140+ATM_Conf!$C$10)</f>
        <v>#DIV/0!</v>
      </c>
      <c r="BE141" s="43" t="e">
        <f>BE140+(ATM_Conf!$C$5/ATM_Conf!$C$8)*(BY141*EXP(-(1/DM141)*(AK141/CS141)^DM141)-BE140)+(ATM_Conf!$C$5/AK328)*BE140*(Nodes!BK140-BE140)-(ATM_Conf!$C$5*ATM_Conf!$C$9)/(AK328*ATM_Conf!$C$8)*(Nodes!BY140-AK140)/(AK140+ATM_Conf!$C$10)</f>
        <v>#DIV/0!</v>
      </c>
      <c r="BF141" s="43" t="e">
        <f>BF140+(ATM_Conf!$C$5/ATM_Conf!$C$8)*(BZ141*EXP(-(1/DN141)*(AL141/CT141)^DN141)-BF140)+(ATM_Conf!$C$5/AL328)*BF140*(BE140-BF140)-(ATM_Conf!$C$5*ATM_Conf!$C$9)/(AL328*ATM_Conf!$C$8)*(AM140-AL140)/(AL140+ATM_Conf!$C$10)</f>
        <v>#DIV/0!</v>
      </c>
      <c r="BG141" s="43" t="e">
        <f>BG140+(ATM_Conf!$C$5/ATM_Conf!$C$8)*(CA141*EXP(-(1/DO141)*(AM141/CU141)^DO141)-BG140)+(ATM_Conf!$C$5/AM328)*BG140*(Nodes!BM140-BG140)-(ATM_Conf!$C$5*ATM_Conf!$C$9)/(AM328*ATM_Conf!$C$8)*(Nodes!CA140-AM140)/(AM140+ATM_Conf!$C$10)</f>
        <v>#DIV/0!</v>
      </c>
      <c r="BH141" s="43" t="e">
        <f>BH140+(ATM_Conf!$C$5/ATM_Conf!$C$8)*(CB141*EXP(-(1/DP141)*(AN141/CV141)^DP141)-BH140)+(ATM_Conf!$C$5/AN328)*BH140*(BG140-BH140)-(ATM_Conf!$C$5*ATM_Conf!$C$9)/(AN328*ATM_Conf!$C$8)*(AO140-AN140)/(AN140+ATM_Conf!$C$10)</f>
        <v>#DIV/0!</v>
      </c>
      <c r="BI141" s="43" t="e">
        <f>BI140+(ATM_Conf!$C$5/ATM_Conf!$C$8)*(CC141*EXP(-(1/DQ141)*(AO141/CW141)^DQ141)-BI140)+(ATM_Conf!$C$5/AO328)*BI140*(BH140-BI140)</f>
        <v>#DIV/0!</v>
      </c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53"/>
      <c r="CY141" s="53"/>
      <c r="CZ141" s="53"/>
      <c r="DA141" s="53"/>
      <c r="DB141" s="53"/>
      <c r="DC141" s="53"/>
      <c r="DD141" s="53"/>
      <c r="DE141" s="53"/>
      <c r="DF141" s="53"/>
      <c r="DG141" s="53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  <c r="DR141" s="43">
        <f t="shared" si="96"/>
        <v>0</v>
      </c>
      <c r="DS141" s="43">
        <f t="shared" si="95"/>
        <v>0</v>
      </c>
      <c r="DT141" s="43">
        <f t="shared" si="95"/>
        <v>0</v>
      </c>
      <c r="DU141" s="43">
        <f t="shared" si="95"/>
        <v>0</v>
      </c>
      <c r="DV141" s="43">
        <f t="shared" si="95"/>
        <v>0</v>
      </c>
      <c r="DW141" s="43">
        <f t="shared" si="95"/>
        <v>0</v>
      </c>
      <c r="DX141" s="43">
        <f t="shared" si="95"/>
        <v>0</v>
      </c>
      <c r="DY141" s="43">
        <f t="shared" si="95"/>
        <v>0</v>
      </c>
      <c r="DZ141" s="43">
        <f t="shared" si="95"/>
        <v>0</v>
      </c>
      <c r="EA141" s="43">
        <f t="shared" si="95"/>
        <v>0</v>
      </c>
      <c r="EB141" s="43">
        <f t="shared" si="95"/>
        <v>0</v>
      </c>
      <c r="EC141" s="43">
        <f t="shared" si="95"/>
        <v>0</v>
      </c>
      <c r="ED141" s="43">
        <f t="shared" si="95"/>
        <v>0</v>
      </c>
      <c r="EE141" s="43">
        <f t="shared" si="95"/>
        <v>0</v>
      </c>
      <c r="EF141" s="43">
        <f t="shared" si="95"/>
        <v>0</v>
      </c>
      <c r="EG141" s="43">
        <f t="shared" si="95"/>
        <v>0</v>
      </c>
      <c r="EH141" s="43">
        <f t="shared" si="95"/>
        <v>0</v>
      </c>
      <c r="EI141" s="43">
        <f t="shared" si="95"/>
        <v>0</v>
      </c>
      <c r="EJ141" s="43">
        <f t="shared" si="95"/>
        <v>0</v>
      </c>
      <c r="EK141" s="43">
        <f t="shared" si="95"/>
        <v>0</v>
      </c>
      <c r="EL141" s="47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47"/>
      <c r="FA141" s="47"/>
      <c r="FB141" s="47"/>
      <c r="FC141" s="47"/>
      <c r="FD141" s="47"/>
      <c r="FE141" s="47"/>
    </row>
    <row r="142" spans="1:161" ht="14.25" x14ac:dyDescent="0.15">
      <c r="A142" s="46"/>
      <c r="B142" s="43" t="e">
        <f t="shared" si="74"/>
        <v>#DIV/0!</v>
      </c>
      <c r="C142" s="43" t="e">
        <f t="shared" si="75"/>
        <v>#DIV/0!</v>
      </c>
      <c r="D142" s="43" t="e">
        <f t="shared" si="76"/>
        <v>#DIV/0!</v>
      </c>
      <c r="E142" s="43" t="e">
        <f t="shared" si="77"/>
        <v>#DIV/0!</v>
      </c>
      <c r="F142" s="43" t="e">
        <f t="shared" si="78"/>
        <v>#DIV/0!</v>
      </c>
      <c r="G142" s="43" t="e">
        <f t="shared" si="79"/>
        <v>#DIV/0!</v>
      </c>
      <c r="H142" s="43" t="e">
        <f t="shared" si="80"/>
        <v>#DIV/0!</v>
      </c>
      <c r="I142" s="43" t="e">
        <f t="shared" si="81"/>
        <v>#DIV/0!</v>
      </c>
      <c r="J142" s="43" t="e">
        <f t="shared" si="82"/>
        <v>#DIV/0!</v>
      </c>
      <c r="K142" s="43" t="e">
        <f t="shared" si="83"/>
        <v>#DIV/0!</v>
      </c>
      <c r="L142" s="43" t="e">
        <f t="shared" si="84"/>
        <v>#DIV/0!</v>
      </c>
      <c r="M142" s="43" t="e">
        <f t="shared" si="85"/>
        <v>#DIV/0!</v>
      </c>
      <c r="N142" s="43" t="e">
        <f t="shared" si="86"/>
        <v>#DIV/0!</v>
      </c>
      <c r="O142" s="43" t="e">
        <f t="shared" si="87"/>
        <v>#DIV/0!</v>
      </c>
      <c r="P142" s="43" t="e">
        <f t="shared" si="88"/>
        <v>#DIV/0!</v>
      </c>
      <c r="Q142" s="43" t="e">
        <f t="shared" si="89"/>
        <v>#DIV/0!</v>
      </c>
      <c r="R142" s="43" t="e">
        <f t="shared" si="90"/>
        <v>#DIV/0!</v>
      </c>
      <c r="S142" s="43" t="e">
        <f t="shared" si="91"/>
        <v>#DIV/0!</v>
      </c>
      <c r="T142" s="43" t="e">
        <f t="shared" si="92"/>
        <v>#DIV/0!</v>
      </c>
      <c r="U142" s="43" t="e">
        <f t="shared" si="93"/>
        <v>#DIV/0!</v>
      </c>
      <c r="V142" s="53" t="e">
        <f>V141+ATM_Conf!$C$5*(B141)/(B329*V329)</f>
        <v>#DIV/0!</v>
      </c>
      <c r="W142" s="53" t="e">
        <f>W141+ATM_Conf!$C$5*(C141-B141)/(C329*W329)</f>
        <v>#DIV/0!</v>
      </c>
      <c r="X142" s="53" t="e">
        <f>X141+ATM_Conf!$C$5*(D141-C141)/(D329*X329)</f>
        <v>#DIV/0!</v>
      </c>
      <c r="Y142" s="53" t="e">
        <f>Y141+ATM_Conf!$C$5*(E141-D141)/(E329*Y329)</f>
        <v>#DIV/0!</v>
      </c>
      <c r="Z142" s="53" t="e">
        <f>Z141+ATM_Conf!$C$5*(F141-E141)/(F329*Z329)</f>
        <v>#DIV/0!</v>
      </c>
      <c r="AA142" s="53" t="e">
        <f>AA141+ATM_Conf!$C$5*(G141-F141)/(G329*AA329)</f>
        <v>#DIV/0!</v>
      </c>
      <c r="AB142" s="53" t="e">
        <f>AB141+ATM_Conf!$C$5*(H141-G141)/(H329*AB329)</f>
        <v>#DIV/0!</v>
      </c>
      <c r="AC142" s="53" t="e">
        <f>AC141+ATM_Conf!$C$5*(I141-H141)/(I329*AC329)</f>
        <v>#DIV/0!</v>
      </c>
      <c r="AD142" s="53" t="e">
        <f>AD141+ATM_Conf!$C$5*(J141-I141)/(J329*AD329)</f>
        <v>#DIV/0!</v>
      </c>
      <c r="AE142" s="53" t="e">
        <f>AE141+ATM_Conf!$C$5*(K141-J141)/(K329*AE329)</f>
        <v>#DIV/0!</v>
      </c>
      <c r="AF142" s="53" t="e">
        <f>AF141+ATM_Conf!$C$5*(L141)/(L329*AF329)</f>
        <v>#DIV/0!</v>
      </c>
      <c r="AG142" s="53" t="e">
        <f>AG141+ATM_Conf!$C$5*(M141-L141)/(M329*AG329)</f>
        <v>#DIV/0!</v>
      </c>
      <c r="AH142" s="53" t="e">
        <f>AH141+ATM_Conf!$C$5*(N141-M141)/(N329*AH329)</f>
        <v>#DIV/0!</v>
      </c>
      <c r="AI142" s="53" t="e">
        <f>AI141+ATM_Conf!$C$5*(O141-N141)/(O329*AI329)</f>
        <v>#DIV/0!</v>
      </c>
      <c r="AJ142" s="53" t="e">
        <f>AJ141+ATM_Conf!$C$5*(P141-O141)/(P329*AJ329)</f>
        <v>#DIV/0!</v>
      </c>
      <c r="AK142" s="53" t="e">
        <f>AK141+ATM_Conf!$C$5*(Q141-P141)/(Q329*AK329)</f>
        <v>#DIV/0!</v>
      </c>
      <c r="AL142" s="53" t="e">
        <f>AL141+ATM_Conf!$C$5*(R141-Q141)/(R329*AL329)</f>
        <v>#DIV/0!</v>
      </c>
      <c r="AM142" s="53" t="e">
        <f>AM141+ATM_Conf!$C$5*(S141-R141)/(S329*AM329)</f>
        <v>#DIV/0!</v>
      </c>
      <c r="AN142" s="53" t="e">
        <f>AN141+ATM_Conf!$C$5*(T141-S141)/(T329*AN329)</f>
        <v>#DIV/0!</v>
      </c>
      <c r="AO142" s="53" t="e">
        <f>AO141+ATM_Conf!$C$5*(U141-T141)/(U329*AO329)</f>
        <v>#DIV/0!</v>
      </c>
      <c r="AP142" s="43" t="e">
        <f>AP141+(ATM_Conf!$C$5/ATM_Conf!$C$8)*(BJ142*EXP(-(1/CX142)*(V142/CD142)^CX142)-AP141)-(ATM_Conf!$C$5*ATM_Conf!$C$9)/(V329*ATM_Conf!$C$8)*(Nodes!BO141-V141)/(V141+ATM_Conf!$C$10)</f>
        <v>#DIV/0!</v>
      </c>
      <c r="AQ142" s="43" t="e">
        <f>AQ141+(ATM_Conf!$C$5/ATM_Conf!$C$8)*(BK142*EXP(-(1/CY142)*(W142/CE142)^CY142)-AQ141)+(ATM_Conf!$C$5/W329)*AQ141*(AP141-AQ141)-(ATM_Conf!$C$5*ATM_Conf!$C$9)/(W329*ATM_Conf!$C$8)*(X141-W141)/(W141+ATM_Conf!$C$10)</f>
        <v>#DIV/0!</v>
      </c>
      <c r="AR142" s="43" t="e">
        <f>AR141+(ATM_Conf!$C$5/ATM_Conf!$C$8)*(BL142*EXP(-(1/CZ142)*(X142/CF142)^CZ142)-AR141)+(ATM_Conf!$C$5/X329)*AR141*(Nodes!BC141-AR141)-(ATM_Conf!$C$5*ATM_Conf!$C$9)/(X329*ATM_Conf!$C$8)*(Nodes!BQ141-X141)/(X141+ATM_Conf!$C$10)</f>
        <v>#DIV/0!</v>
      </c>
      <c r="AS142" s="43" t="e">
        <f>AS141+(ATM_Conf!$C$5/ATM_Conf!$C$8)*(BM142*EXP(-(1/DA142)*(Y142/CG142)^DA142)-AS141)+(ATM_Conf!$C$5/Y329)*AS141*(AR141-AS141)-(ATM_Conf!$C$5*ATM_Conf!$C$9)/(Y329*ATM_Conf!$C$8)*(Z141-Y141)/(Y141+ATM_Conf!$C$10)</f>
        <v>#DIV/0!</v>
      </c>
      <c r="AT142" s="43" t="e">
        <f>AT141+(ATM_Conf!$C$5/ATM_Conf!$C$8)*(BN142*EXP(-(1/DB142)*(Z142/CH142)^DB142)-AT141)+(ATM_Conf!$C$5/Z329)*AT141*(Nodes!BE141-AT141)-(ATM_Conf!$C$5*ATM_Conf!$C$9)/(Z329*ATM_Conf!$C$8)*(Nodes!BS141-Z141)/(Z141+ATM_Conf!$C$10)</f>
        <v>#DIV/0!</v>
      </c>
      <c r="AU142" s="43" t="e">
        <f>AU141+(ATM_Conf!$C$5/ATM_Conf!$C$8)*(BO142*EXP(-(1/DC142)*(AA142/CI142)^DC142)-AU141)+(ATM_Conf!$C$5/AA329)*AU141*(Nodes!BF141-AU141)-(ATM_Conf!$C$5*ATM_Conf!$C$9)/(AA329*ATM_Conf!$C$8)*(Nodes!BV141-AA141)/(AA141+ATM_Conf!$C$10)</f>
        <v>#DIV/0!</v>
      </c>
      <c r="AV142" s="43" t="e">
        <f>AV141+(ATM_Conf!$C$5/ATM_Conf!$C$8)*(BP142*EXP(-(1/DD142)*(AB142/CJ142)^DD142)-AV141)+(ATM_Conf!$C$5/AB329)*AV141*(AU141-AV141)-(ATM_Conf!$C$5*ATM_Conf!$C$9)/(AB329*ATM_Conf!$C$8)*(AC141-AB141)/(AB141+ATM_Conf!$C$10)</f>
        <v>#DIV/0!</v>
      </c>
      <c r="AW142" s="43" t="e">
        <f>AW141+(ATM_Conf!$C$5/ATM_Conf!$C$8)*(BQ142*EXP(-(1/DE142)*(AC142/CK142)^DE142)-AW141)+(ATM_Conf!$C$5/AC329)*AW141*(AV141-AW141)-(ATM_Conf!$C$5*ATM_Conf!$C$9)/(AC329*ATM_Conf!$C$8)*(AD141-AC141)/(AC141+ATM_Conf!$C$10)</f>
        <v>#DIV/0!</v>
      </c>
      <c r="AX142" s="43" t="e">
        <f>AX141+(ATM_Conf!$C$5/ATM_Conf!$C$8)*(BR142*EXP(-(1/DF142)*(AD142/CL142)^DF142)-AX141)+(ATM_Conf!$C$5/AD329)*AX141*(Nodes!BG141-AX141)-(ATM_Conf!$C$5*ATM_Conf!$C$9)/(AD329*ATM_Conf!$C$8)*(Nodes!BU141-AD141)/(AD141+ATM_Conf!$C$10)</f>
        <v>#DIV/0!</v>
      </c>
      <c r="AY142" s="43" t="e">
        <f>AY141+(ATM_Conf!$C$5/ATM_Conf!$C$8)*(BS142*EXP(-(1/DG142)*(AE142/CM142)^DG142)-AY141)+(ATM_Conf!$C$5/AE329)*AY141*(Nodes!BF141-AY141)</f>
        <v>#DIV/0!</v>
      </c>
      <c r="AZ142" s="43" t="e">
        <f>AZ141+(ATM_Conf!$C$5/ATM_Conf!$C$8)*(BT142*EXP(-(1/DH142)*(AF142/CN142)^DH142)-AZ141)-(ATM_Conf!$C$5*ATM_Conf!$C$9)/(AF329*ATM_Conf!$C$8)*(Nodes!BV141-AF141)/(AF141+ATM_Conf!$C$10)</f>
        <v>#DIV/0!</v>
      </c>
      <c r="BA142" s="43" t="e">
        <f>BA141+(ATM_Conf!$C$5/ATM_Conf!$C$8)*(BU142*EXP(-(1/DI142)*(AG142/CO142)^DI142)-BA141)+(ATM_Conf!$C$5/AG329)*BA141*(Nodes!BI141-BA141)-(ATM_Conf!$C$5*ATM_Conf!$C$9)/(AG329*ATM_Conf!$C$8)*(Nodes!BW141-AG141)/(AG141+ATM_Conf!$C$10)</f>
        <v>#DIV/0!</v>
      </c>
      <c r="BB142" s="43" t="e">
        <f>BB141+(ATM_Conf!$C$5/ATM_Conf!$C$8)*(BV142*EXP(-(1/DJ142)*(AH142/CP142)^DJ142)-BB141)+(ATM_Conf!$C$5/AH329)*BB141*(Nodes!BJ141-BB141)-(ATM_Conf!$C$5*ATM_Conf!$C$9)/(AH329*ATM_Conf!$C$8)*(AI141-AH141)/(AH141+ATM_Conf!$C$10)</f>
        <v>#DIV/0!</v>
      </c>
      <c r="BC142" s="43" t="e">
        <f>BC141+(ATM_Conf!$C$5/ATM_Conf!$C$8)*(BW142*EXP(-(1/DK142)*(AI142/CQ142)^DK142)-BC141)+(ATM_Conf!$C$5/AI329)*BC141*(BB141-BC141)-(ATM_Conf!$C$5*ATM_Conf!$C$9)/(AI329*ATM_Conf!$C$8)*(AJ141-AI141)/(AI141+ATM_Conf!$C$10)</f>
        <v>#DIV/0!</v>
      </c>
      <c r="BD142" s="43" t="e">
        <f>BD141+(ATM_Conf!$C$5/ATM_Conf!$C$8)*(BX142*EXP(-(1/DL142)*(AJ142/CR142)^DL142)-BD141)+(ATM_Conf!$C$5/AJ329)*BD141*(BC141-BD141)-(ATM_Conf!$C$5*ATM_Conf!$C$9)/(AJ329*ATM_Conf!$C$8)*(Nodes!BX141-AJ141)/(AJ141+ATM_Conf!$C$10)</f>
        <v>#DIV/0!</v>
      </c>
      <c r="BE142" s="43" t="e">
        <f>BE141+(ATM_Conf!$C$5/ATM_Conf!$C$8)*(BY142*EXP(-(1/DM142)*(AK142/CS142)^DM142)-BE141)+(ATM_Conf!$C$5/AK329)*BE141*(Nodes!BK141-BE141)-(ATM_Conf!$C$5*ATM_Conf!$C$9)/(AK329*ATM_Conf!$C$8)*(Nodes!BY141-AK141)/(AK141+ATM_Conf!$C$10)</f>
        <v>#DIV/0!</v>
      </c>
      <c r="BF142" s="43" t="e">
        <f>BF141+(ATM_Conf!$C$5/ATM_Conf!$C$8)*(BZ142*EXP(-(1/DN142)*(AL142/CT142)^DN142)-BF141)+(ATM_Conf!$C$5/AL329)*BF141*(BE141-BF141)-(ATM_Conf!$C$5*ATM_Conf!$C$9)/(AL329*ATM_Conf!$C$8)*(AM141-AL141)/(AL141+ATM_Conf!$C$10)</f>
        <v>#DIV/0!</v>
      </c>
      <c r="BG142" s="43" t="e">
        <f>BG141+(ATM_Conf!$C$5/ATM_Conf!$C$8)*(CA142*EXP(-(1/DO142)*(AM142/CU142)^DO142)-BG141)+(ATM_Conf!$C$5/AM329)*BG141*(Nodes!BM141-BG141)-(ATM_Conf!$C$5*ATM_Conf!$C$9)/(AM329*ATM_Conf!$C$8)*(Nodes!CA141-AM141)/(AM141+ATM_Conf!$C$10)</f>
        <v>#DIV/0!</v>
      </c>
      <c r="BH142" s="43" t="e">
        <f>BH141+(ATM_Conf!$C$5/ATM_Conf!$C$8)*(CB142*EXP(-(1/DP142)*(AN142/CV142)^DP142)-BH141)+(ATM_Conf!$C$5/AN329)*BH141*(BG141-BH141)-(ATM_Conf!$C$5*ATM_Conf!$C$9)/(AN329*ATM_Conf!$C$8)*(AO141-AN141)/(AN141+ATM_Conf!$C$10)</f>
        <v>#DIV/0!</v>
      </c>
      <c r="BI142" s="43" t="e">
        <f>BI141+(ATM_Conf!$C$5/ATM_Conf!$C$8)*(CC142*EXP(-(1/DQ142)*(AO142/CW142)^DQ142)-BI141)+(ATM_Conf!$C$5/AO329)*BI141*(BH141-BI141)</f>
        <v>#DIV/0!</v>
      </c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53"/>
      <c r="CY142" s="53"/>
      <c r="CZ142" s="53"/>
      <c r="DA142" s="53"/>
      <c r="DB142" s="53"/>
      <c r="DC142" s="53"/>
      <c r="DD142" s="53"/>
      <c r="DE142" s="53"/>
      <c r="DF142" s="53"/>
      <c r="DG142" s="53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  <c r="DR142" s="43">
        <f t="shared" si="96"/>
        <v>0</v>
      </c>
      <c r="DS142" s="43">
        <f t="shared" si="95"/>
        <v>0</v>
      </c>
      <c r="DT142" s="43">
        <f t="shared" si="95"/>
        <v>0</v>
      </c>
      <c r="DU142" s="43">
        <f t="shared" si="95"/>
        <v>0</v>
      </c>
      <c r="DV142" s="43">
        <f t="shared" si="95"/>
        <v>0</v>
      </c>
      <c r="DW142" s="43">
        <f t="shared" si="95"/>
        <v>0</v>
      </c>
      <c r="DX142" s="43">
        <f t="shared" si="95"/>
        <v>0</v>
      </c>
      <c r="DY142" s="43">
        <f t="shared" si="95"/>
        <v>0</v>
      </c>
      <c r="DZ142" s="43">
        <f t="shared" si="95"/>
        <v>0</v>
      </c>
      <c r="EA142" s="43">
        <f t="shared" si="95"/>
        <v>0</v>
      </c>
      <c r="EB142" s="43">
        <f t="shared" si="95"/>
        <v>0</v>
      </c>
      <c r="EC142" s="43">
        <f t="shared" si="95"/>
        <v>0</v>
      </c>
      <c r="ED142" s="43">
        <f t="shared" si="95"/>
        <v>0</v>
      </c>
      <c r="EE142" s="43">
        <f t="shared" si="95"/>
        <v>0</v>
      </c>
      <c r="EF142" s="43">
        <f t="shared" si="95"/>
        <v>0</v>
      </c>
      <c r="EG142" s="43">
        <f t="shared" si="95"/>
        <v>0</v>
      </c>
      <c r="EH142" s="43">
        <f t="shared" si="95"/>
        <v>0</v>
      </c>
      <c r="EI142" s="43">
        <f t="shared" si="95"/>
        <v>0</v>
      </c>
      <c r="EJ142" s="43">
        <f t="shared" si="95"/>
        <v>0</v>
      </c>
      <c r="EK142" s="43">
        <f t="shared" si="95"/>
        <v>0</v>
      </c>
      <c r="EL142" s="47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47"/>
      <c r="FA142" s="47"/>
      <c r="FB142" s="47"/>
      <c r="FC142" s="47"/>
      <c r="FD142" s="47"/>
      <c r="FE142" s="47"/>
    </row>
    <row r="143" spans="1:161" ht="14.25" x14ac:dyDescent="0.15">
      <c r="A143" s="46"/>
      <c r="B143" s="43" t="e">
        <f t="shared" si="74"/>
        <v>#DIV/0!</v>
      </c>
      <c r="C143" s="43" t="e">
        <f t="shared" si="75"/>
        <v>#DIV/0!</v>
      </c>
      <c r="D143" s="43" t="e">
        <f t="shared" si="76"/>
        <v>#DIV/0!</v>
      </c>
      <c r="E143" s="43" t="e">
        <f t="shared" si="77"/>
        <v>#DIV/0!</v>
      </c>
      <c r="F143" s="43" t="e">
        <f t="shared" si="78"/>
        <v>#DIV/0!</v>
      </c>
      <c r="G143" s="43" t="e">
        <f t="shared" si="79"/>
        <v>#DIV/0!</v>
      </c>
      <c r="H143" s="43" t="e">
        <f t="shared" si="80"/>
        <v>#DIV/0!</v>
      </c>
      <c r="I143" s="43" t="e">
        <f t="shared" si="81"/>
        <v>#DIV/0!</v>
      </c>
      <c r="J143" s="43" t="e">
        <f t="shared" si="82"/>
        <v>#DIV/0!</v>
      </c>
      <c r="K143" s="43" t="e">
        <f t="shared" si="83"/>
        <v>#DIV/0!</v>
      </c>
      <c r="L143" s="43" t="e">
        <f t="shared" si="84"/>
        <v>#DIV/0!</v>
      </c>
      <c r="M143" s="43" t="e">
        <f t="shared" si="85"/>
        <v>#DIV/0!</v>
      </c>
      <c r="N143" s="43" t="e">
        <f t="shared" si="86"/>
        <v>#DIV/0!</v>
      </c>
      <c r="O143" s="43" t="e">
        <f t="shared" si="87"/>
        <v>#DIV/0!</v>
      </c>
      <c r="P143" s="43" t="e">
        <f t="shared" si="88"/>
        <v>#DIV/0!</v>
      </c>
      <c r="Q143" s="43" t="e">
        <f t="shared" si="89"/>
        <v>#DIV/0!</v>
      </c>
      <c r="R143" s="43" t="e">
        <f t="shared" si="90"/>
        <v>#DIV/0!</v>
      </c>
      <c r="S143" s="43" t="e">
        <f t="shared" si="91"/>
        <v>#DIV/0!</v>
      </c>
      <c r="T143" s="43" t="e">
        <f t="shared" si="92"/>
        <v>#DIV/0!</v>
      </c>
      <c r="U143" s="43" t="e">
        <f t="shared" si="93"/>
        <v>#DIV/0!</v>
      </c>
      <c r="V143" s="53" t="e">
        <f>V142+ATM_Conf!$C$5*(B142)/(B330*V330)</f>
        <v>#DIV/0!</v>
      </c>
      <c r="W143" s="53" t="e">
        <f>W142+ATM_Conf!$C$5*(C142-B142)/(C330*W330)</f>
        <v>#DIV/0!</v>
      </c>
      <c r="X143" s="53" t="e">
        <f>X142+ATM_Conf!$C$5*(D142-C142)/(D330*X330)</f>
        <v>#DIV/0!</v>
      </c>
      <c r="Y143" s="53" t="e">
        <f>Y142+ATM_Conf!$C$5*(E142-D142)/(E330*Y330)</f>
        <v>#DIV/0!</v>
      </c>
      <c r="Z143" s="53" t="e">
        <f>Z142+ATM_Conf!$C$5*(F142-E142)/(F330*Z330)</f>
        <v>#DIV/0!</v>
      </c>
      <c r="AA143" s="53" t="e">
        <f>AA142+ATM_Conf!$C$5*(G142-F142)/(G330*AA330)</f>
        <v>#DIV/0!</v>
      </c>
      <c r="AB143" s="53" t="e">
        <f>AB142+ATM_Conf!$C$5*(H142-G142)/(H330*AB330)</f>
        <v>#DIV/0!</v>
      </c>
      <c r="AC143" s="53" t="e">
        <f>AC142+ATM_Conf!$C$5*(I142-H142)/(I330*AC330)</f>
        <v>#DIV/0!</v>
      </c>
      <c r="AD143" s="53" t="e">
        <f>AD142+ATM_Conf!$C$5*(J142-I142)/(J330*AD330)</f>
        <v>#DIV/0!</v>
      </c>
      <c r="AE143" s="53" t="e">
        <f>AE142+ATM_Conf!$C$5*(K142-J142)/(K330*AE330)</f>
        <v>#DIV/0!</v>
      </c>
      <c r="AF143" s="53" t="e">
        <f>AF142+ATM_Conf!$C$5*(L142)/(L330*AF330)</f>
        <v>#DIV/0!</v>
      </c>
      <c r="AG143" s="53" t="e">
        <f>AG142+ATM_Conf!$C$5*(M142-L142)/(M330*AG330)</f>
        <v>#DIV/0!</v>
      </c>
      <c r="AH143" s="53" t="e">
        <f>AH142+ATM_Conf!$C$5*(N142-M142)/(N330*AH330)</f>
        <v>#DIV/0!</v>
      </c>
      <c r="AI143" s="53" t="e">
        <f>AI142+ATM_Conf!$C$5*(O142-N142)/(O330*AI330)</f>
        <v>#DIV/0!</v>
      </c>
      <c r="AJ143" s="53" t="e">
        <f>AJ142+ATM_Conf!$C$5*(P142-O142)/(P330*AJ330)</f>
        <v>#DIV/0!</v>
      </c>
      <c r="AK143" s="53" t="e">
        <f>AK142+ATM_Conf!$C$5*(Q142-P142)/(Q330*AK330)</f>
        <v>#DIV/0!</v>
      </c>
      <c r="AL143" s="53" t="e">
        <f>AL142+ATM_Conf!$C$5*(R142-Q142)/(R330*AL330)</f>
        <v>#DIV/0!</v>
      </c>
      <c r="AM143" s="53" t="e">
        <f>AM142+ATM_Conf!$C$5*(S142-R142)/(S330*AM330)</f>
        <v>#DIV/0!</v>
      </c>
      <c r="AN143" s="53" t="e">
        <f>AN142+ATM_Conf!$C$5*(T142-S142)/(T330*AN330)</f>
        <v>#DIV/0!</v>
      </c>
      <c r="AO143" s="53" t="e">
        <f>AO142+ATM_Conf!$C$5*(U142-T142)/(U330*AO330)</f>
        <v>#DIV/0!</v>
      </c>
      <c r="AP143" s="43" t="e">
        <f>AP142+(ATM_Conf!$C$5/ATM_Conf!$C$8)*(BJ143*EXP(-(1/CX143)*(V143/CD143)^CX143)-AP142)-(ATM_Conf!$C$5*ATM_Conf!$C$9)/(V330*ATM_Conf!$C$8)*(Nodes!BO142-V142)/(V142+ATM_Conf!$C$10)</f>
        <v>#DIV/0!</v>
      </c>
      <c r="AQ143" s="43" t="e">
        <f>AQ142+(ATM_Conf!$C$5/ATM_Conf!$C$8)*(BK143*EXP(-(1/CY143)*(W143/CE143)^CY143)-AQ142)+(ATM_Conf!$C$5/W330)*AQ142*(AP142-AQ142)-(ATM_Conf!$C$5*ATM_Conf!$C$9)/(W330*ATM_Conf!$C$8)*(X142-W142)/(W142+ATM_Conf!$C$10)</f>
        <v>#DIV/0!</v>
      </c>
      <c r="AR143" s="43" t="e">
        <f>AR142+(ATM_Conf!$C$5/ATM_Conf!$C$8)*(BL143*EXP(-(1/CZ143)*(X143/CF143)^CZ143)-AR142)+(ATM_Conf!$C$5/X330)*AR142*(Nodes!BC142-AR142)-(ATM_Conf!$C$5*ATM_Conf!$C$9)/(X330*ATM_Conf!$C$8)*(Nodes!BQ142-X142)/(X142+ATM_Conf!$C$10)</f>
        <v>#DIV/0!</v>
      </c>
      <c r="AS143" s="43" t="e">
        <f>AS142+(ATM_Conf!$C$5/ATM_Conf!$C$8)*(BM143*EXP(-(1/DA143)*(Y143/CG143)^DA143)-AS142)+(ATM_Conf!$C$5/Y330)*AS142*(AR142-AS142)-(ATM_Conf!$C$5*ATM_Conf!$C$9)/(Y330*ATM_Conf!$C$8)*(Z142-Y142)/(Y142+ATM_Conf!$C$10)</f>
        <v>#DIV/0!</v>
      </c>
      <c r="AT143" s="43" t="e">
        <f>AT142+(ATM_Conf!$C$5/ATM_Conf!$C$8)*(BN143*EXP(-(1/DB143)*(Z143/CH143)^DB143)-AT142)+(ATM_Conf!$C$5/Z330)*AT142*(Nodes!BE142-AT142)-(ATM_Conf!$C$5*ATM_Conf!$C$9)/(Z330*ATM_Conf!$C$8)*(Nodes!BS142-Z142)/(Z142+ATM_Conf!$C$10)</f>
        <v>#DIV/0!</v>
      </c>
      <c r="AU143" s="43" t="e">
        <f>AU142+(ATM_Conf!$C$5/ATM_Conf!$C$8)*(BO143*EXP(-(1/DC143)*(AA143/CI143)^DC143)-AU142)+(ATM_Conf!$C$5/AA330)*AU142*(Nodes!BF142-AU142)-(ATM_Conf!$C$5*ATM_Conf!$C$9)/(AA330*ATM_Conf!$C$8)*(Nodes!BV142-AA142)/(AA142+ATM_Conf!$C$10)</f>
        <v>#DIV/0!</v>
      </c>
      <c r="AV143" s="43" t="e">
        <f>AV142+(ATM_Conf!$C$5/ATM_Conf!$C$8)*(BP143*EXP(-(1/DD143)*(AB143/CJ143)^DD143)-AV142)+(ATM_Conf!$C$5/AB330)*AV142*(AU142-AV142)-(ATM_Conf!$C$5*ATM_Conf!$C$9)/(AB330*ATM_Conf!$C$8)*(AC142-AB142)/(AB142+ATM_Conf!$C$10)</f>
        <v>#DIV/0!</v>
      </c>
      <c r="AW143" s="43" t="e">
        <f>AW142+(ATM_Conf!$C$5/ATM_Conf!$C$8)*(BQ143*EXP(-(1/DE143)*(AC143/CK143)^DE143)-AW142)+(ATM_Conf!$C$5/AC330)*AW142*(AV142-AW142)-(ATM_Conf!$C$5*ATM_Conf!$C$9)/(AC330*ATM_Conf!$C$8)*(AD142-AC142)/(AC142+ATM_Conf!$C$10)</f>
        <v>#DIV/0!</v>
      </c>
      <c r="AX143" s="43" t="e">
        <f>AX142+(ATM_Conf!$C$5/ATM_Conf!$C$8)*(BR143*EXP(-(1/DF143)*(AD143/CL143)^DF143)-AX142)+(ATM_Conf!$C$5/AD330)*AX142*(Nodes!BG142-AX142)-(ATM_Conf!$C$5*ATM_Conf!$C$9)/(AD330*ATM_Conf!$C$8)*(Nodes!BU142-AD142)/(AD142+ATM_Conf!$C$10)</f>
        <v>#DIV/0!</v>
      </c>
      <c r="AY143" s="43" t="e">
        <f>AY142+(ATM_Conf!$C$5/ATM_Conf!$C$8)*(BS143*EXP(-(1/DG143)*(AE143/CM143)^DG143)-AY142)+(ATM_Conf!$C$5/AE330)*AY142*(Nodes!BF142-AY142)</f>
        <v>#DIV/0!</v>
      </c>
      <c r="AZ143" s="43" t="e">
        <f>AZ142+(ATM_Conf!$C$5/ATM_Conf!$C$8)*(BT143*EXP(-(1/DH143)*(AF143/CN143)^DH143)-AZ142)-(ATM_Conf!$C$5*ATM_Conf!$C$9)/(AF330*ATM_Conf!$C$8)*(Nodes!BV142-AF142)/(AF142+ATM_Conf!$C$10)</f>
        <v>#DIV/0!</v>
      </c>
      <c r="BA143" s="43" t="e">
        <f>BA142+(ATM_Conf!$C$5/ATM_Conf!$C$8)*(BU143*EXP(-(1/DI143)*(AG143/CO143)^DI143)-BA142)+(ATM_Conf!$C$5/AG330)*BA142*(Nodes!BI142-BA142)-(ATM_Conf!$C$5*ATM_Conf!$C$9)/(AG330*ATM_Conf!$C$8)*(Nodes!BW142-AG142)/(AG142+ATM_Conf!$C$10)</f>
        <v>#DIV/0!</v>
      </c>
      <c r="BB143" s="43" t="e">
        <f>BB142+(ATM_Conf!$C$5/ATM_Conf!$C$8)*(BV143*EXP(-(1/DJ143)*(AH143/CP143)^DJ143)-BB142)+(ATM_Conf!$C$5/AH330)*BB142*(Nodes!BJ142-BB142)-(ATM_Conf!$C$5*ATM_Conf!$C$9)/(AH330*ATM_Conf!$C$8)*(AI142-AH142)/(AH142+ATM_Conf!$C$10)</f>
        <v>#DIV/0!</v>
      </c>
      <c r="BC143" s="43" t="e">
        <f>BC142+(ATM_Conf!$C$5/ATM_Conf!$C$8)*(BW143*EXP(-(1/DK143)*(AI143/CQ143)^DK143)-BC142)+(ATM_Conf!$C$5/AI330)*BC142*(BB142-BC142)-(ATM_Conf!$C$5*ATM_Conf!$C$9)/(AI330*ATM_Conf!$C$8)*(AJ142-AI142)/(AI142+ATM_Conf!$C$10)</f>
        <v>#DIV/0!</v>
      </c>
      <c r="BD143" s="43" t="e">
        <f>BD142+(ATM_Conf!$C$5/ATM_Conf!$C$8)*(BX143*EXP(-(1/DL143)*(AJ143/CR143)^DL143)-BD142)+(ATM_Conf!$C$5/AJ330)*BD142*(BC142-BD142)-(ATM_Conf!$C$5*ATM_Conf!$C$9)/(AJ330*ATM_Conf!$C$8)*(Nodes!BX142-AJ142)/(AJ142+ATM_Conf!$C$10)</f>
        <v>#DIV/0!</v>
      </c>
      <c r="BE143" s="43" t="e">
        <f>BE142+(ATM_Conf!$C$5/ATM_Conf!$C$8)*(BY143*EXP(-(1/DM143)*(AK143/CS143)^DM143)-BE142)+(ATM_Conf!$C$5/AK330)*BE142*(Nodes!BK142-BE142)-(ATM_Conf!$C$5*ATM_Conf!$C$9)/(AK330*ATM_Conf!$C$8)*(Nodes!BY142-AK142)/(AK142+ATM_Conf!$C$10)</f>
        <v>#DIV/0!</v>
      </c>
      <c r="BF143" s="43" t="e">
        <f>BF142+(ATM_Conf!$C$5/ATM_Conf!$C$8)*(BZ143*EXP(-(1/DN143)*(AL143/CT143)^DN143)-BF142)+(ATM_Conf!$C$5/AL330)*BF142*(BE142-BF142)-(ATM_Conf!$C$5*ATM_Conf!$C$9)/(AL330*ATM_Conf!$C$8)*(AM142-AL142)/(AL142+ATM_Conf!$C$10)</f>
        <v>#DIV/0!</v>
      </c>
      <c r="BG143" s="43" t="e">
        <f>BG142+(ATM_Conf!$C$5/ATM_Conf!$C$8)*(CA143*EXP(-(1/DO143)*(AM143/CU143)^DO143)-BG142)+(ATM_Conf!$C$5/AM330)*BG142*(Nodes!BM142-BG142)-(ATM_Conf!$C$5*ATM_Conf!$C$9)/(AM330*ATM_Conf!$C$8)*(Nodes!CA142-AM142)/(AM142+ATM_Conf!$C$10)</f>
        <v>#DIV/0!</v>
      </c>
      <c r="BH143" s="43" t="e">
        <f>BH142+(ATM_Conf!$C$5/ATM_Conf!$C$8)*(CB143*EXP(-(1/DP143)*(AN143/CV143)^DP143)-BH142)+(ATM_Conf!$C$5/AN330)*BH142*(BG142-BH142)-(ATM_Conf!$C$5*ATM_Conf!$C$9)/(AN330*ATM_Conf!$C$8)*(AO142-AN142)/(AN142+ATM_Conf!$C$10)</f>
        <v>#DIV/0!</v>
      </c>
      <c r="BI143" s="43" t="e">
        <f>BI142+(ATM_Conf!$C$5/ATM_Conf!$C$8)*(CC143*EXP(-(1/DQ143)*(AO143/CW143)^DQ143)-BI142)+(ATM_Conf!$C$5/AO330)*BI142*(BH142-BI142)</f>
        <v>#DIV/0!</v>
      </c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53"/>
      <c r="CY143" s="53"/>
      <c r="CZ143" s="53"/>
      <c r="DA143" s="53"/>
      <c r="DB143" s="53"/>
      <c r="DC143" s="53"/>
      <c r="DD143" s="53"/>
      <c r="DE143" s="53"/>
      <c r="DF143" s="53"/>
      <c r="DG143" s="53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  <c r="DR143" s="43">
        <f t="shared" si="96"/>
        <v>0</v>
      </c>
      <c r="DS143" s="43">
        <f t="shared" si="95"/>
        <v>0</v>
      </c>
      <c r="DT143" s="43">
        <f t="shared" si="95"/>
        <v>0</v>
      </c>
      <c r="DU143" s="43">
        <f t="shared" si="95"/>
        <v>0</v>
      </c>
      <c r="DV143" s="43">
        <f t="shared" si="95"/>
        <v>0</v>
      </c>
      <c r="DW143" s="43">
        <f t="shared" si="95"/>
        <v>0</v>
      </c>
      <c r="DX143" s="43">
        <f t="shared" si="95"/>
        <v>0</v>
      </c>
      <c r="DY143" s="43">
        <f t="shared" si="95"/>
        <v>0</v>
      </c>
      <c r="DZ143" s="43">
        <f t="shared" si="95"/>
        <v>0</v>
      </c>
      <c r="EA143" s="43">
        <f t="shared" si="95"/>
        <v>0</v>
      </c>
      <c r="EB143" s="43">
        <f t="shared" si="95"/>
        <v>0</v>
      </c>
      <c r="EC143" s="43">
        <f t="shared" si="95"/>
        <v>0</v>
      </c>
      <c r="ED143" s="43">
        <f t="shared" si="95"/>
        <v>0</v>
      </c>
      <c r="EE143" s="43">
        <f t="shared" si="95"/>
        <v>0</v>
      </c>
      <c r="EF143" s="43">
        <f t="shared" si="95"/>
        <v>0</v>
      </c>
      <c r="EG143" s="43">
        <f t="shared" si="95"/>
        <v>0</v>
      </c>
      <c r="EH143" s="43">
        <f t="shared" si="95"/>
        <v>0</v>
      </c>
      <c r="EI143" s="43">
        <f t="shared" si="95"/>
        <v>0</v>
      </c>
      <c r="EJ143" s="43">
        <f t="shared" si="95"/>
        <v>0</v>
      </c>
      <c r="EK143" s="43">
        <f t="shared" si="95"/>
        <v>0</v>
      </c>
      <c r="EL143" s="47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47"/>
      <c r="FA143" s="47"/>
      <c r="FB143" s="47"/>
      <c r="FC143" s="47"/>
      <c r="FD143" s="47"/>
      <c r="FE143" s="47"/>
    </row>
    <row r="144" spans="1:161" ht="14.25" x14ac:dyDescent="0.15">
      <c r="A144" s="46"/>
      <c r="B144" s="43" t="e">
        <f t="shared" si="74"/>
        <v>#DIV/0!</v>
      </c>
      <c r="C144" s="43" t="e">
        <f t="shared" si="75"/>
        <v>#DIV/0!</v>
      </c>
      <c r="D144" s="43" t="e">
        <f t="shared" si="76"/>
        <v>#DIV/0!</v>
      </c>
      <c r="E144" s="43" t="e">
        <f t="shared" si="77"/>
        <v>#DIV/0!</v>
      </c>
      <c r="F144" s="43" t="e">
        <f t="shared" si="78"/>
        <v>#DIV/0!</v>
      </c>
      <c r="G144" s="43" t="e">
        <f t="shared" si="79"/>
        <v>#DIV/0!</v>
      </c>
      <c r="H144" s="43" t="e">
        <f t="shared" si="80"/>
        <v>#DIV/0!</v>
      </c>
      <c r="I144" s="43" t="e">
        <f t="shared" si="81"/>
        <v>#DIV/0!</v>
      </c>
      <c r="J144" s="43" t="e">
        <f t="shared" si="82"/>
        <v>#DIV/0!</v>
      </c>
      <c r="K144" s="43" t="e">
        <f t="shared" si="83"/>
        <v>#DIV/0!</v>
      </c>
      <c r="L144" s="43" t="e">
        <f t="shared" si="84"/>
        <v>#DIV/0!</v>
      </c>
      <c r="M144" s="43" t="e">
        <f t="shared" si="85"/>
        <v>#DIV/0!</v>
      </c>
      <c r="N144" s="43" t="e">
        <f t="shared" si="86"/>
        <v>#DIV/0!</v>
      </c>
      <c r="O144" s="43" t="e">
        <f t="shared" si="87"/>
        <v>#DIV/0!</v>
      </c>
      <c r="P144" s="43" t="e">
        <f t="shared" si="88"/>
        <v>#DIV/0!</v>
      </c>
      <c r="Q144" s="43" t="e">
        <f t="shared" si="89"/>
        <v>#DIV/0!</v>
      </c>
      <c r="R144" s="43" t="e">
        <f t="shared" si="90"/>
        <v>#DIV/0!</v>
      </c>
      <c r="S144" s="43" t="e">
        <f t="shared" si="91"/>
        <v>#DIV/0!</v>
      </c>
      <c r="T144" s="43" t="e">
        <f t="shared" si="92"/>
        <v>#DIV/0!</v>
      </c>
      <c r="U144" s="43" t="e">
        <f t="shared" si="93"/>
        <v>#DIV/0!</v>
      </c>
      <c r="V144" s="53" t="e">
        <f>V143+ATM_Conf!$C$5*(B143)/(B331*V331)</f>
        <v>#DIV/0!</v>
      </c>
      <c r="W144" s="53" t="e">
        <f>W143+ATM_Conf!$C$5*(C143-B143)/(C331*W331)</f>
        <v>#DIV/0!</v>
      </c>
      <c r="X144" s="53" t="e">
        <f>X143+ATM_Conf!$C$5*(D143-C143)/(D331*X331)</f>
        <v>#DIV/0!</v>
      </c>
      <c r="Y144" s="53" t="e">
        <f>Y143+ATM_Conf!$C$5*(E143-D143)/(E331*Y331)</f>
        <v>#DIV/0!</v>
      </c>
      <c r="Z144" s="53" t="e">
        <f>Z143+ATM_Conf!$C$5*(F143-E143)/(F331*Z331)</f>
        <v>#DIV/0!</v>
      </c>
      <c r="AA144" s="53" t="e">
        <f>AA143+ATM_Conf!$C$5*(G143-F143)/(G331*AA331)</f>
        <v>#DIV/0!</v>
      </c>
      <c r="AB144" s="53" t="e">
        <f>AB143+ATM_Conf!$C$5*(H143-G143)/(H331*AB331)</f>
        <v>#DIV/0!</v>
      </c>
      <c r="AC144" s="53" t="e">
        <f>AC143+ATM_Conf!$C$5*(I143-H143)/(I331*AC331)</f>
        <v>#DIV/0!</v>
      </c>
      <c r="AD144" s="53" t="e">
        <f>AD143+ATM_Conf!$C$5*(J143-I143)/(J331*AD331)</f>
        <v>#DIV/0!</v>
      </c>
      <c r="AE144" s="53" t="e">
        <f>AE143+ATM_Conf!$C$5*(K143-J143)/(K331*AE331)</f>
        <v>#DIV/0!</v>
      </c>
      <c r="AF144" s="53" t="e">
        <f>AF143+ATM_Conf!$C$5*(L143)/(L331*AF331)</f>
        <v>#DIV/0!</v>
      </c>
      <c r="AG144" s="53" t="e">
        <f>AG143+ATM_Conf!$C$5*(M143-L143)/(M331*AG331)</f>
        <v>#DIV/0!</v>
      </c>
      <c r="AH144" s="53" t="e">
        <f>AH143+ATM_Conf!$C$5*(N143-M143)/(N331*AH331)</f>
        <v>#DIV/0!</v>
      </c>
      <c r="AI144" s="53" t="e">
        <f>AI143+ATM_Conf!$C$5*(O143-N143)/(O331*AI331)</f>
        <v>#DIV/0!</v>
      </c>
      <c r="AJ144" s="53" t="e">
        <f>AJ143+ATM_Conf!$C$5*(P143-O143)/(P331*AJ331)</f>
        <v>#DIV/0!</v>
      </c>
      <c r="AK144" s="53" t="e">
        <f>AK143+ATM_Conf!$C$5*(Q143-P143)/(Q331*AK331)</f>
        <v>#DIV/0!</v>
      </c>
      <c r="AL144" s="53" t="e">
        <f>AL143+ATM_Conf!$C$5*(R143-Q143)/(R331*AL331)</f>
        <v>#DIV/0!</v>
      </c>
      <c r="AM144" s="53" t="e">
        <f>AM143+ATM_Conf!$C$5*(S143-R143)/(S331*AM331)</f>
        <v>#DIV/0!</v>
      </c>
      <c r="AN144" s="53" t="e">
        <f>AN143+ATM_Conf!$C$5*(T143-S143)/(T331*AN331)</f>
        <v>#DIV/0!</v>
      </c>
      <c r="AO144" s="53" t="e">
        <f>AO143+ATM_Conf!$C$5*(U143-T143)/(U331*AO331)</f>
        <v>#DIV/0!</v>
      </c>
      <c r="AP144" s="43" t="e">
        <f>AP143+(ATM_Conf!$C$5/ATM_Conf!$C$8)*(BJ144*EXP(-(1/CX144)*(V144/CD144)^CX144)-AP143)-(ATM_Conf!$C$5*ATM_Conf!$C$9)/(V331*ATM_Conf!$C$8)*(Nodes!BO143-V143)/(V143+ATM_Conf!$C$10)</f>
        <v>#DIV/0!</v>
      </c>
      <c r="AQ144" s="43" t="e">
        <f>AQ143+(ATM_Conf!$C$5/ATM_Conf!$C$8)*(BK144*EXP(-(1/CY144)*(W144/CE144)^CY144)-AQ143)+(ATM_Conf!$C$5/W331)*AQ143*(AP143-AQ143)-(ATM_Conf!$C$5*ATM_Conf!$C$9)/(W331*ATM_Conf!$C$8)*(X143-W143)/(W143+ATM_Conf!$C$10)</f>
        <v>#DIV/0!</v>
      </c>
      <c r="AR144" s="43" t="e">
        <f>AR143+(ATM_Conf!$C$5/ATM_Conf!$C$8)*(BL144*EXP(-(1/CZ144)*(X144/CF144)^CZ144)-AR143)+(ATM_Conf!$C$5/X331)*AR143*(Nodes!BC143-AR143)-(ATM_Conf!$C$5*ATM_Conf!$C$9)/(X331*ATM_Conf!$C$8)*(Nodes!BQ143-X143)/(X143+ATM_Conf!$C$10)</f>
        <v>#DIV/0!</v>
      </c>
      <c r="AS144" s="43" t="e">
        <f>AS143+(ATM_Conf!$C$5/ATM_Conf!$C$8)*(BM144*EXP(-(1/DA144)*(Y144/CG144)^DA144)-AS143)+(ATM_Conf!$C$5/Y331)*AS143*(AR143-AS143)-(ATM_Conf!$C$5*ATM_Conf!$C$9)/(Y331*ATM_Conf!$C$8)*(Z143-Y143)/(Y143+ATM_Conf!$C$10)</f>
        <v>#DIV/0!</v>
      </c>
      <c r="AT144" s="43" t="e">
        <f>AT143+(ATM_Conf!$C$5/ATM_Conf!$C$8)*(BN144*EXP(-(1/DB144)*(Z144/CH144)^DB144)-AT143)+(ATM_Conf!$C$5/Z331)*AT143*(Nodes!BE143-AT143)-(ATM_Conf!$C$5*ATM_Conf!$C$9)/(Z331*ATM_Conf!$C$8)*(Nodes!BS143-Z143)/(Z143+ATM_Conf!$C$10)</f>
        <v>#DIV/0!</v>
      </c>
      <c r="AU144" s="43" t="e">
        <f>AU143+(ATM_Conf!$C$5/ATM_Conf!$C$8)*(BO144*EXP(-(1/DC144)*(AA144/CI144)^DC144)-AU143)+(ATM_Conf!$C$5/AA331)*AU143*(Nodes!BF143-AU143)-(ATM_Conf!$C$5*ATM_Conf!$C$9)/(AA331*ATM_Conf!$C$8)*(Nodes!BV143-AA143)/(AA143+ATM_Conf!$C$10)</f>
        <v>#DIV/0!</v>
      </c>
      <c r="AV144" s="43" t="e">
        <f>AV143+(ATM_Conf!$C$5/ATM_Conf!$C$8)*(BP144*EXP(-(1/DD144)*(AB144/CJ144)^DD144)-AV143)+(ATM_Conf!$C$5/AB331)*AV143*(AU143-AV143)-(ATM_Conf!$C$5*ATM_Conf!$C$9)/(AB331*ATM_Conf!$C$8)*(AC143-AB143)/(AB143+ATM_Conf!$C$10)</f>
        <v>#DIV/0!</v>
      </c>
      <c r="AW144" s="43" t="e">
        <f>AW143+(ATM_Conf!$C$5/ATM_Conf!$C$8)*(BQ144*EXP(-(1/DE144)*(AC144/CK144)^DE144)-AW143)+(ATM_Conf!$C$5/AC331)*AW143*(AV143-AW143)-(ATM_Conf!$C$5*ATM_Conf!$C$9)/(AC331*ATM_Conf!$C$8)*(AD143-AC143)/(AC143+ATM_Conf!$C$10)</f>
        <v>#DIV/0!</v>
      </c>
      <c r="AX144" s="43" t="e">
        <f>AX143+(ATM_Conf!$C$5/ATM_Conf!$C$8)*(BR144*EXP(-(1/DF144)*(AD144/CL144)^DF144)-AX143)+(ATM_Conf!$C$5/AD331)*AX143*(Nodes!BG143-AX143)-(ATM_Conf!$C$5*ATM_Conf!$C$9)/(AD331*ATM_Conf!$C$8)*(Nodes!BU143-AD143)/(AD143+ATM_Conf!$C$10)</f>
        <v>#DIV/0!</v>
      </c>
      <c r="AY144" s="43" t="e">
        <f>AY143+(ATM_Conf!$C$5/ATM_Conf!$C$8)*(BS144*EXP(-(1/DG144)*(AE144/CM144)^DG144)-AY143)+(ATM_Conf!$C$5/AE331)*AY143*(Nodes!BF143-AY143)</f>
        <v>#DIV/0!</v>
      </c>
      <c r="AZ144" s="43" t="e">
        <f>AZ143+(ATM_Conf!$C$5/ATM_Conf!$C$8)*(BT144*EXP(-(1/DH144)*(AF144/CN144)^DH144)-AZ143)-(ATM_Conf!$C$5*ATM_Conf!$C$9)/(AF331*ATM_Conf!$C$8)*(Nodes!BV143-AF143)/(AF143+ATM_Conf!$C$10)</f>
        <v>#DIV/0!</v>
      </c>
      <c r="BA144" s="43" t="e">
        <f>BA143+(ATM_Conf!$C$5/ATM_Conf!$C$8)*(BU144*EXP(-(1/DI144)*(AG144/CO144)^DI144)-BA143)+(ATM_Conf!$C$5/AG331)*BA143*(Nodes!BI143-BA143)-(ATM_Conf!$C$5*ATM_Conf!$C$9)/(AG331*ATM_Conf!$C$8)*(Nodes!BW143-AG143)/(AG143+ATM_Conf!$C$10)</f>
        <v>#DIV/0!</v>
      </c>
      <c r="BB144" s="43" t="e">
        <f>BB143+(ATM_Conf!$C$5/ATM_Conf!$C$8)*(BV144*EXP(-(1/DJ144)*(AH144/CP144)^DJ144)-BB143)+(ATM_Conf!$C$5/AH331)*BB143*(Nodes!BJ143-BB143)-(ATM_Conf!$C$5*ATM_Conf!$C$9)/(AH331*ATM_Conf!$C$8)*(AI143-AH143)/(AH143+ATM_Conf!$C$10)</f>
        <v>#DIV/0!</v>
      </c>
      <c r="BC144" s="43" t="e">
        <f>BC143+(ATM_Conf!$C$5/ATM_Conf!$C$8)*(BW144*EXP(-(1/DK144)*(AI144/CQ144)^DK144)-BC143)+(ATM_Conf!$C$5/AI331)*BC143*(BB143-BC143)-(ATM_Conf!$C$5*ATM_Conf!$C$9)/(AI331*ATM_Conf!$C$8)*(AJ143-AI143)/(AI143+ATM_Conf!$C$10)</f>
        <v>#DIV/0!</v>
      </c>
      <c r="BD144" s="43" t="e">
        <f>BD143+(ATM_Conf!$C$5/ATM_Conf!$C$8)*(BX144*EXP(-(1/DL144)*(AJ144/CR144)^DL144)-BD143)+(ATM_Conf!$C$5/AJ331)*BD143*(BC143-BD143)-(ATM_Conf!$C$5*ATM_Conf!$C$9)/(AJ331*ATM_Conf!$C$8)*(Nodes!BX143-AJ143)/(AJ143+ATM_Conf!$C$10)</f>
        <v>#DIV/0!</v>
      </c>
      <c r="BE144" s="43" t="e">
        <f>BE143+(ATM_Conf!$C$5/ATM_Conf!$C$8)*(BY144*EXP(-(1/DM144)*(AK144/CS144)^DM144)-BE143)+(ATM_Conf!$C$5/AK331)*BE143*(Nodes!BK143-BE143)-(ATM_Conf!$C$5*ATM_Conf!$C$9)/(AK331*ATM_Conf!$C$8)*(Nodes!BY143-AK143)/(AK143+ATM_Conf!$C$10)</f>
        <v>#DIV/0!</v>
      </c>
      <c r="BF144" s="43" t="e">
        <f>BF143+(ATM_Conf!$C$5/ATM_Conf!$C$8)*(BZ144*EXP(-(1/DN144)*(AL144/CT144)^DN144)-BF143)+(ATM_Conf!$C$5/AL331)*BF143*(BE143-BF143)-(ATM_Conf!$C$5*ATM_Conf!$C$9)/(AL331*ATM_Conf!$C$8)*(AM143-AL143)/(AL143+ATM_Conf!$C$10)</f>
        <v>#DIV/0!</v>
      </c>
      <c r="BG144" s="43" t="e">
        <f>BG143+(ATM_Conf!$C$5/ATM_Conf!$C$8)*(CA144*EXP(-(1/DO144)*(AM144/CU144)^DO144)-BG143)+(ATM_Conf!$C$5/AM331)*BG143*(Nodes!BM143-BG143)-(ATM_Conf!$C$5*ATM_Conf!$C$9)/(AM331*ATM_Conf!$C$8)*(Nodes!CA143-AM143)/(AM143+ATM_Conf!$C$10)</f>
        <v>#DIV/0!</v>
      </c>
      <c r="BH144" s="43" t="e">
        <f>BH143+(ATM_Conf!$C$5/ATM_Conf!$C$8)*(CB144*EXP(-(1/DP144)*(AN144/CV144)^DP144)-BH143)+(ATM_Conf!$C$5/AN331)*BH143*(BG143-BH143)-(ATM_Conf!$C$5*ATM_Conf!$C$9)/(AN331*ATM_Conf!$C$8)*(AO143-AN143)/(AN143+ATM_Conf!$C$10)</f>
        <v>#DIV/0!</v>
      </c>
      <c r="BI144" s="43" t="e">
        <f>BI143+(ATM_Conf!$C$5/ATM_Conf!$C$8)*(CC144*EXP(-(1/DQ144)*(AO144/CW144)^DQ144)-BI143)+(ATM_Conf!$C$5/AO331)*BI143*(BH143-BI143)</f>
        <v>#DIV/0!</v>
      </c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53"/>
      <c r="CY144" s="53"/>
      <c r="CZ144" s="53"/>
      <c r="DA144" s="53"/>
      <c r="DB144" s="53"/>
      <c r="DC144" s="53"/>
      <c r="DD144" s="53"/>
      <c r="DE144" s="53"/>
      <c r="DF144" s="53"/>
      <c r="DG144" s="53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  <c r="DR144" s="43">
        <f t="shared" si="96"/>
        <v>0</v>
      </c>
      <c r="DS144" s="43">
        <f t="shared" si="95"/>
        <v>0</v>
      </c>
      <c r="DT144" s="43">
        <f t="shared" si="95"/>
        <v>0</v>
      </c>
      <c r="DU144" s="43">
        <f t="shared" si="95"/>
        <v>0</v>
      </c>
      <c r="DV144" s="43">
        <f t="shared" si="95"/>
        <v>0</v>
      </c>
      <c r="DW144" s="43">
        <f t="shared" si="95"/>
        <v>0</v>
      </c>
      <c r="DX144" s="43">
        <f t="shared" si="95"/>
        <v>0</v>
      </c>
      <c r="DY144" s="43">
        <f t="shared" si="95"/>
        <v>0</v>
      </c>
      <c r="DZ144" s="43">
        <f t="shared" si="95"/>
        <v>0</v>
      </c>
      <c r="EA144" s="43">
        <f t="shared" si="95"/>
        <v>0</v>
      </c>
      <c r="EB144" s="43">
        <f t="shared" si="95"/>
        <v>0</v>
      </c>
      <c r="EC144" s="43">
        <f t="shared" si="95"/>
        <v>0</v>
      </c>
      <c r="ED144" s="43">
        <f t="shared" si="95"/>
        <v>0</v>
      </c>
      <c r="EE144" s="43">
        <f t="shared" si="95"/>
        <v>0</v>
      </c>
      <c r="EF144" s="43">
        <f t="shared" si="95"/>
        <v>0</v>
      </c>
      <c r="EG144" s="43">
        <f t="shared" si="95"/>
        <v>0</v>
      </c>
      <c r="EH144" s="43">
        <f t="shared" si="95"/>
        <v>0</v>
      </c>
      <c r="EI144" s="43">
        <f t="shared" si="95"/>
        <v>0</v>
      </c>
      <c r="EJ144" s="43">
        <f t="shared" si="95"/>
        <v>0</v>
      </c>
      <c r="EK144" s="43">
        <f t="shared" si="95"/>
        <v>0</v>
      </c>
      <c r="EL144" s="47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47"/>
      <c r="FA144" s="47"/>
      <c r="FB144" s="47"/>
      <c r="FC144" s="47"/>
      <c r="FD144" s="47"/>
      <c r="FE144" s="47"/>
    </row>
    <row r="145" spans="1:161" ht="14.25" x14ac:dyDescent="0.15">
      <c r="A145" s="46"/>
      <c r="B145" s="43" t="e">
        <f t="shared" si="74"/>
        <v>#DIV/0!</v>
      </c>
      <c r="C145" s="43" t="e">
        <f t="shared" si="75"/>
        <v>#DIV/0!</v>
      </c>
      <c r="D145" s="43" t="e">
        <f t="shared" si="76"/>
        <v>#DIV/0!</v>
      </c>
      <c r="E145" s="43" t="e">
        <f t="shared" si="77"/>
        <v>#DIV/0!</v>
      </c>
      <c r="F145" s="43" t="e">
        <f t="shared" si="78"/>
        <v>#DIV/0!</v>
      </c>
      <c r="G145" s="43" t="e">
        <f t="shared" si="79"/>
        <v>#DIV/0!</v>
      </c>
      <c r="H145" s="43" t="e">
        <f t="shared" si="80"/>
        <v>#DIV/0!</v>
      </c>
      <c r="I145" s="43" t="e">
        <f t="shared" si="81"/>
        <v>#DIV/0!</v>
      </c>
      <c r="J145" s="43" t="e">
        <f t="shared" si="82"/>
        <v>#DIV/0!</v>
      </c>
      <c r="K145" s="43" t="e">
        <f t="shared" si="83"/>
        <v>#DIV/0!</v>
      </c>
      <c r="L145" s="43" t="e">
        <f t="shared" si="84"/>
        <v>#DIV/0!</v>
      </c>
      <c r="M145" s="43" t="e">
        <f t="shared" si="85"/>
        <v>#DIV/0!</v>
      </c>
      <c r="N145" s="43" t="e">
        <f t="shared" si="86"/>
        <v>#DIV/0!</v>
      </c>
      <c r="O145" s="43" t="e">
        <f t="shared" si="87"/>
        <v>#DIV/0!</v>
      </c>
      <c r="P145" s="43" t="e">
        <f t="shared" si="88"/>
        <v>#DIV/0!</v>
      </c>
      <c r="Q145" s="43" t="e">
        <f t="shared" si="89"/>
        <v>#DIV/0!</v>
      </c>
      <c r="R145" s="43" t="e">
        <f t="shared" si="90"/>
        <v>#DIV/0!</v>
      </c>
      <c r="S145" s="43" t="e">
        <f t="shared" si="91"/>
        <v>#DIV/0!</v>
      </c>
      <c r="T145" s="43" t="e">
        <f t="shared" si="92"/>
        <v>#DIV/0!</v>
      </c>
      <c r="U145" s="43" t="e">
        <f t="shared" si="93"/>
        <v>#DIV/0!</v>
      </c>
      <c r="V145" s="53" t="e">
        <f>V144+ATM_Conf!$C$5*(B144)/(B332*V332)</f>
        <v>#DIV/0!</v>
      </c>
      <c r="W145" s="53" t="e">
        <f>W144+ATM_Conf!$C$5*(C144-B144)/(C332*W332)</f>
        <v>#DIV/0!</v>
      </c>
      <c r="X145" s="53" t="e">
        <f>X144+ATM_Conf!$C$5*(D144-C144)/(D332*X332)</f>
        <v>#DIV/0!</v>
      </c>
      <c r="Y145" s="53" t="e">
        <f>Y144+ATM_Conf!$C$5*(E144-D144)/(E332*Y332)</f>
        <v>#DIV/0!</v>
      </c>
      <c r="Z145" s="53" t="e">
        <f>Z144+ATM_Conf!$C$5*(F144-E144)/(F332*Z332)</f>
        <v>#DIV/0!</v>
      </c>
      <c r="AA145" s="53" t="e">
        <f>AA144+ATM_Conf!$C$5*(G144-F144)/(G332*AA332)</f>
        <v>#DIV/0!</v>
      </c>
      <c r="AB145" s="53" t="e">
        <f>AB144+ATM_Conf!$C$5*(H144-G144)/(H332*AB332)</f>
        <v>#DIV/0!</v>
      </c>
      <c r="AC145" s="53" t="e">
        <f>AC144+ATM_Conf!$C$5*(I144-H144)/(I332*AC332)</f>
        <v>#DIV/0!</v>
      </c>
      <c r="AD145" s="53" t="e">
        <f>AD144+ATM_Conf!$C$5*(J144-I144)/(J332*AD332)</f>
        <v>#DIV/0!</v>
      </c>
      <c r="AE145" s="53" t="e">
        <f>AE144+ATM_Conf!$C$5*(K144-J144)/(K332*AE332)</f>
        <v>#DIV/0!</v>
      </c>
      <c r="AF145" s="53" t="e">
        <f>AF144+ATM_Conf!$C$5*(L144)/(L332*AF332)</f>
        <v>#DIV/0!</v>
      </c>
      <c r="AG145" s="53" t="e">
        <f>AG144+ATM_Conf!$C$5*(M144-L144)/(M332*AG332)</f>
        <v>#DIV/0!</v>
      </c>
      <c r="AH145" s="53" t="e">
        <f>AH144+ATM_Conf!$C$5*(N144-M144)/(N332*AH332)</f>
        <v>#DIV/0!</v>
      </c>
      <c r="AI145" s="53" t="e">
        <f>AI144+ATM_Conf!$C$5*(O144-N144)/(O332*AI332)</f>
        <v>#DIV/0!</v>
      </c>
      <c r="AJ145" s="53" t="e">
        <f>AJ144+ATM_Conf!$C$5*(P144-O144)/(P332*AJ332)</f>
        <v>#DIV/0!</v>
      </c>
      <c r="AK145" s="53" t="e">
        <f>AK144+ATM_Conf!$C$5*(Q144-P144)/(Q332*AK332)</f>
        <v>#DIV/0!</v>
      </c>
      <c r="AL145" s="53" t="e">
        <f>AL144+ATM_Conf!$C$5*(R144-Q144)/(R332*AL332)</f>
        <v>#DIV/0!</v>
      </c>
      <c r="AM145" s="53" t="e">
        <f>AM144+ATM_Conf!$C$5*(S144-R144)/(S332*AM332)</f>
        <v>#DIV/0!</v>
      </c>
      <c r="AN145" s="53" t="e">
        <f>AN144+ATM_Conf!$C$5*(T144-S144)/(T332*AN332)</f>
        <v>#DIV/0!</v>
      </c>
      <c r="AO145" s="53" t="e">
        <f>AO144+ATM_Conf!$C$5*(U144-T144)/(U332*AO332)</f>
        <v>#DIV/0!</v>
      </c>
      <c r="AP145" s="43" t="e">
        <f>AP144+(ATM_Conf!$C$5/ATM_Conf!$C$8)*(BJ145*EXP(-(1/CX145)*(V145/CD145)^CX145)-AP144)-(ATM_Conf!$C$5*ATM_Conf!$C$9)/(V332*ATM_Conf!$C$8)*(Nodes!BO144-V144)/(V144+ATM_Conf!$C$10)</f>
        <v>#DIV/0!</v>
      </c>
      <c r="AQ145" s="43" t="e">
        <f>AQ144+(ATM_Conf!$C$5/ATM_Conf!$C$8)*(BK145*EXP(-(1/CY145)*(W145/CE145)^CY145)-AQ144)+(ATM_Conf!$C$5/W332)*AQ144*(AP144-AQ144)-(ATM_Conf!$C$5*ATM_Conf!$C$9)/(W332*ATM_Conf!$C$8)*(X144-W144)/(W144+ATM_Conf!$C$10)</f>
        <v>#DIV/0!</v>
      </c>
      <c r="AR145" s="43" t="e">
        <f>AR144+(ATM_Conf!$C$5/ATM_Conf!$C$8)*(BL145*EXP(-(1/CZ145)*(X145/CF145)^CZ145)-AR144)+(ATM_Conf!$C$5/X332)*AR144*(Nodes!BC144-AR144)-(ATM_Conf!$C$5*ATM_Conf!$C$9)/(X332*ATM_Conf!$C$8)*(Nodes!BQ144-X144)/(X144+ATM_Conf!$C$10)</f>
        <v>#DIV/0!</v>
      </c>
      <c r="AS145" s="43" t="e">
        <f>AS144+(ATM_Conf!$C$5/ATM_Conf!$C$8)*(BM145*EXP(-(1/DA145)*(Y145/CG145)^DA145)-AS144)+(ATM_Conf!$C$5/Y332)*AS144*(AR144-AS144)-(ATM_Conf!$C$5*ATM_Conf!$C$9)/(Y332*ATM_Conf!$C$8)*(Z144-Y144)/(Y144+ATM_Conf!$C$10)</f>
        <v>#DIV/0!</v>
      </c>
      <c r="AT145" s="43" t="e">
        <f>AT144+(ATM_Conf!$C$5/ATM_Conf!$C$8)*(BN145*EXP(-(1/DB145)*(Z145/CH145)^DB145)-AT144)+(ATM_Conf!$C$5/Z332)*AT144*(Nodes!BE144-AT144)-(ATM_Conf!$C$5*ATM_Conf!$C$9)/(Z332*ATM_Conf!$C$8)*(Nodes!BS144-Z144)/(Z144+ATM_Conf!$C$10)</f>
        <v>#DIV/0!</v>
      </c>
      <c r="AU145" s="43" t="e">
        <f>AU144+(ATM_Conf!$C$5/ATM_Conf!$C$8)*(BO145*EXP(-(1/DC145)*(AA145/CI145)^DC145)-AU144)+(ATM_Conf!$C$5/AA332)*AU144*(Nodes!BF144-AU144)-(ATM_Conf!$C$5*ATM_Conf!$C$9)/(AA332*ATM_Conf!$C$8)*(Nodes!BV144-AA144)/(AA144+ATM_Conf!$C$10)</f>
        <v>#DIV/0!</v>
      </c>
      <c r="AV145" s="43" t="e">
        <f>AV144+(ATM_Conf!$C$5/ATM_Conf!$C$8)*(BP145*EXP(-(1/DD145)*(AB145/CJ145)^DD145)-AV144)+(ATM_Conf!$C$5/AB332)*AV144*(AU144-AV144)-(ATM_Conf!$C$5*ATM_Conf!$C$9)/(AB332*ATM_Conf!$C$8)*(AC144-AB144)/(AB144+ATM_Conf!$C$10)</f>
        <v>#DIV/0!</v>
      </c>
      <c r="AW145" s="43" t="e">
        <f>AW144+(ATM_Conf!$C$5/ATM_Conf!$C$8)*(BQ145*EXP(-(1/DE145)*(AC145/CK145)^DE145)-AW144)+(ATM_Conf!$C$5/AC332)*AW144*(AV144-AW144)-(ATM_Conf!$C$5*ATM_Conf!$C$9)/(AC332*ATM_Conf!$C$8)*(AD144-AC144)/(AC144+ATM_Conf!$C$10)</f>
        <v>#DIV/0!</v>
      </c>
      <c r="AX145" s="43" t="e">
        <f>AX144+(ATM_Conf!$C$5/ATM_Conf!$C$8)*(BR145*EXP(-(1/DF145)*(AD145/CL145)^DF145)-AX144)+(ATM_Conf!$C$5/AD332)*AX144*(Nodes!BG144-AX144)-(ATM_Conf!$C$5*ATM_Conf!$C$9)/(AD332*ATM_Conf!$C$8)*(Nodes!BU144-AD144)/(AD144+ATM_Conf!$C$10)</f>
        <v>#DIV/0!</v>
      </c>
      <c r="AY145" s="43" t="e">
        <f>AY144+(ATM_Conf!$C$5/ATM_Conf!$C$8)*(BS145*EXP(-(1/DG145)*(AE145/CM145)^DG145)-AY144)+(ATM_Conf!$C$5/AE332)*AY144*(Nodes!BF144-AY144)</f>
        <v>#DIV/0!</v>
      </c>
      <c r="AZ145" s="43" t="e">
        <f>AZ144+(ATM_Conf!$C$5/ATM_Conf!$C$8)*(BT145*EXP(-(1/DH145)*(AF145/CN145)^DH145)-AZ144)-(ATM_Conf!$C$5*ATM_Conf!$C$9)/(AF332*ATM_Conf!$C$8)*(Nodes!BV144-AF144)/(AF144+ATM_Conf!$C$10)</f>
        <v>#DIV/0!</v>
      </c>
      <c r="BA145" s="43" t="e">
        <f>BA144+(ATM_Conf!$C$5/ATM_Conf!$C$8)*(BU145*EXP(-(1/DI145)*(AG145/CO145)^DI145)-BA144)+(ATM_Conf!$C$5/AG332)*BA144*(Nodes!BI144-BA144)-(ATM_Conf!$C$5*ATM_Conf!$C$9)/(AG332*ATM_Conf!$C$8)*(Nodes!BW144-AG144)/(AG144+ATM_Conf!$C$10)</f>
        <v>#DIV/0!</v>
      </c>
      <c r="BB145" s="43" t="e">
        <f>BB144+(ATM_Conf!$C$5/ATM_Conf!$C$8)*(BV145*EXP(-(1/DJ145)*(AH145/CP145)^DJ145)-BB144)+(ATM_Conf!$C$5/AH332)*BB144*(Nodes!BJ144-BB144)-(ATM_Conf!$C$5*ATM_Conf!$C$9)/(AH332*ATM_Conf!$C$8)*(AI144-AH144)/(AH144+ATM_Conf!$C$10)</f>
        <v>#DIV/0!</v>
      </c>
      <c r="BC145" s="43" t="e">
        <f>BC144+(ATM_Conf!$C$5/ATM_Conf!$C$8)*(BW145*EXP(-(1/DK145)*(AI145/CQ145)^DK145)-BC144)+(ATM_Conf!$C$5/AI332)*BC144*(BB144-BC144)-(ATM_Conf!$C$5*ATM_Conf!$C$9)/(AI332*ATM_Conf!$C$8)*(AJ144-AI144)/(AI144+ATM_Conf!$C$10)</f>
        <v>#DIV/0!</v>
      </c>
      <c r="BD145" s="43" t="e">
        <f>BD144+(ATM_Conf!$C$5/ATM_Conf!$C$8)*(BX145*EXP(-(1/DL145)*(AJ145/CR145)^DL145)-BD144)+(ATM_Conf!$C$5/AJ332)*BD144*(BC144-BD144)-(ATM_Conf!$C$5*ATM_Conf!$C$9)/(AJ332*ATM_Conf!$C$8)*(Nodes!BX144-AJ144)/(AJ144+ATM_Conf!$C$10)</f>
        <v>#DIV/0!</v>
      </c>
      <c r="BE145" s="43" t="e">
        <f>BE144+(ATM_Conf!$C$5/ATM_Conf!$C$8)*(BY145*EXP(-(1/DM145)*(AK145/CS145)^DM145)-BE144)+(ATM_Conf!$C$5/AK332)*BE144*(Nodes!BK144-BE144)-(ATM_Conf!$C$5*ATM_Conf!$C$9)/(AK332*ATM_Conf!$C$8)*(Nodes!BY144-AK144)/(AK144+ATM_Conf!$C$10)</f>
        <v>#DIV/0!</v>
      </c>
      <c r="BF145" s="43" t="e">
        <f>BF144+(ATM_Conf!$C$5/ATM_Conf!$C$8)*(BZ145*EXP(-(1/DN145)*(AL145/CT145)^DN145)-BF144)+(ATM_Conf!$C$5/AL332)*BF144*(BE144-BF144)-(ATM_Conf!$C$5*ATM_Conf!$C$9)/(AL332*ATM_Conf!$C$8)*(AM144-AL144)/(AL144+ATM_Conf!$C$10)</f>
        <v>#DIV/0!</v>
      </c>
      <c r="BG145" s="43" t="e">
        <f>BG144+(ATM_Conf!$C$5/ATM_Conf!$C$8)*(CA145*EXP(-(1/DO145)*(AM145/CU145)^DO145)-BG144)+(ATM_Conf!$C$5/AM332)*BG144*(Nodes!BM144-BG144)-(ATM_Conf!$C$5*ATM_Conf!$C$9)/(AM332*ATM_Conf!$C$8)*(Nodes!CA144-AM144)/(AM144+ATM_Conf!$C$10)</f>
        <v>#DIV/0!</v>
      </c>
      <c r="BH145" s="43" t="e">
        <f>BH144+(ATM_Conf!$C$5/ATM_Conf!$C$8)*(CB145*EXP(-(1/DP145)*(AN145/CV145)^DP145)-BH144)+(ATM_Conf!$C$5/AN332)*BH144*(BG144-BH144)-(ATM_Conf!$C$5*ATM_Conf!$C$9)/(AN332*ATM_Conf!$C$8)*(AO144-AN144)/(AN144+ATM_Conf!$C$10)</f>
        <v>#DIV/0!</v>
      </c>
      <c r="BI145" s="43" t="e">
        <f>BI144+(ATM_Conf!$C$5/ATM_Conf!$C$8)*(CC145*EXP(-(1/DQ145)*(AO145/CW145)^DQ145)-BI144)+(ATM_Conf!$C$5/AO332)*BI144*(BH144-BI144)</f>
        <v>#DIV/0!</v>
      </c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53"/>
      <c r="CY145" s="53"/>
      <c r="CZ145" s="53"/>
      <c r="DA145" s="53"/>
      <c r="DB145" s="53"/>
      <c r="DC145" s="53"/>
      <c r="DD145" s="53"/>
      <c r="DE145" s="53"/>
      <c r="DF145" s="53"/>
      <c r="DG145" s="53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  <c r="DR145" s="43">
        <f t="shared" si="96"/>
        <v>0</v>
      </c>
      <c r="DS145" s="43">
        <f t="shared" si="95"/>
        <v>0</v>
      </c>
      <c r="DT145" s="43">
        <f t="shared" si="95"/>
        <v>0</v>
      </c>
      <c r="DU145" s="43">
        <f t="shared" si="95"/>
        <v>0</v>
      </c>
      <c r="DV145" s="43">
        <f t="shared" si="95"/>
        <v>0</v>
      </c>
      <c r="DW145" s="43">
        <f t="shared" si="95"/>
        <v>0</v>
      </c>
      <c r="DX145" s="43">
        <f t="shared" si="95"/>
        <v>0</v>
      </c>
      <c r="DY145" s="43">
        <f t="shared" si="95"/>
        <v>0</v>
      </c>
      <c r="DZ145" s="43">
        <f t="shared" si="95"/>
        <v>0</v>
      </c>
      <c r="EA145" s="43">
        <f t="shared" si="95"/>
        <v>0</v>
      </c>
      <c r="EB145" s="43">
        <f t="shared" si="95"/>
        <v>0</v>
      </c>
      <c r="EC145" s="43">
        <f t="shared" si="95"/>
        <v>0</v>
      </c>
      <c r="ED145" s="43">
        <f t="shared" si="95"/>
        <v>0</v>
      </c>
      <c r="EE145" s="43">
        <f t="shared" si="95"/>
        <v>0</v>
      </c>
      <c r="EF145" s="43">
        <f t="shared" si="95"/>
        <v>0</v>
      </c>
      <c r="EG145" s="43">
        <f t="shared" si="95"/>
        <v>0</v>
      </c>
      <c r="EH145" s="43">
        <f t="shared" si="95"/>
        <v>0</v>
      </c>
      <c r="EI145" s="43">
        <f t="shared" si="95"/>
        <v>0</v>
      </c>
      <c r="EJ145" s="43">
        <f t="shared" si="95"/>
        <v>0</v>
      </c>
      <c r="EK145" s="43">
        <f t="shared" si="95"/>
        <v>0</v>
      </c>
      <c r="EL145" s="47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47"/>
      <c r="FA145" s="47"/>
      <c r="FB145" s="47"/>
      <c r="FC145" s="47"/>
      <c r="FD145" s="47"/>
      <c r="FE145" s="47"/>
    </row>
    <row r="146" spans="1:161" ht="14.25" x14ac:dyDescent="0.15">
      <c r="A146" s="46"/>
      <c r="B146" s="43" t="e">
        <f t="shared" si="74"/>
        <v>#DIV/0!</v>
      </c>
      <c r="C146" s="43" t="e">
        <f t="shared" si="75"/>
        <v>#DIV/0!</v>
      </c>
      <c r="D146" s="43" t="e">
        <f t="shared" si="76"/>
        <v>#DIV/0!</v>
      </c>
      <c r="E146" s="43" t="e">
        <f t="shared" si="77"/>
        <v>#DIV/0!</v>
      </c>
      <c r="F146" s="43" t="e">
        <f t="shared" si="78"/>
        <v>#DIV/0!</v>
      </c>
      <c r="G146" s="43" t="e">
        <f t="shared" si="79"/>
        <v>#DIV/0!</v>
      </c>
      <c r="H146" s="43" t="e">
        <f t="shared" si="80"/>
        <v>#DIV/0!</v>
      </c>
      <c r="I146" s="43" t="e">
        <f t="shared" si="81"/>
        <v>#DIV/0!</v>
      </c>
      <c r="J146" s="43" t="e">
        <f t="shared" si="82"/>
        <v>#DIV/0!</v>
      </c>
      <c r="K146" s="43" t="e">
        <f t="shared" si="83"/>
        <v>#DIV/0!</v>
      </c>
      <c r="L146" s="43" t="e">
        <f t="shared" si="84"/>
        <v>#DIV/0!</v>
      </c>
      <c r="M146" s="43" t="e">
        <f t="shared" si="85"/>
        <v>#DIV/0!</v>
      </c>
      <c r="N146" s="43" t="e">
        <f t="shared" si="86"/>
        <v>#DIV/0!</v>
      </c>
      <c r="O146" s="43" t="e">
        <f t="shared" si="87"/>
        <v>#DIV/0!</v>
      </c>
      <c r="P146" s="43" t="e">
        <f t="shared" si="88"/>
        <v>#DIV/0!</v>
      </c>
      <c r="Q146" s="43" t="e">
        <f t="shared" si="89"/>
        <v>#DIV/0!</v>
      </c>
      <c r="R146" s="43" t="e">
        <f t="shared" si="90"/>
        <v>#DIV/0!</v>
      </c>
      <c r="S146" s="43" t="e">
        <f t="shared" si="91"/>
        <v>#DIV/0!</v>
      </c>
      <c r="T146" s="43" t="e">
        <f t="shared" si="92"/>
        <v>#DIV/0!</v>
      </c>
      <c r="U146" s="43" t="e">
        <f t="shared" si="93"/>
        <v>#DIV/0!</v>
      </c>
      <c r="V146" s="53" t="e">
        <f>V145+ATM_Conf!$C$5*(B145)/(B333*V333)</f>
        <v>#DIV/0!</v>
      </c>
      <c r="W146" s="53" t="e">
        <f>W145+ATM_Conf!$C$5*(C145-B145)/(C333*W333)</f>
        <v>#DIV/0!</v>
      </c>
      <c r="X146" s="53" t="e">
        <f>X145+ATM_Conf!$C$5*(D145-C145)/(D333*X333)</f>
        <v>#DIV/0!</v>
      </c>
      <c r="Y146" s="53" t="e">
        <f>Y145+ATM_Conf!$C$5*(E145-D145)/(E333*Y333)</f>
        <v>#DIV/0!</v>
      </c>
      <c r="Z146" s="53" t="e">
        <f>Z145+ATM_Conf!$C$5*(F145-E145)/(F333*Z333)</f>
        <v>#DIV/0!</v>
      </c>
      <c r="AA146" s="53" t="e">
        <f>AA145+ATM_Conf!$C$5*(G145-F145)/(G333*AA333)</f>
        <v>#DIV/0!</v>
      </c>
      <c r="AB146" s="53" t="e">
        <f>AB145+ATM_Conf!$C$5*(H145-G145)/(H333*AB333)</f>
        <v>#DIV/0!</v>
      </c>
      <c r="AC146" s="53" t="e">
        <f>AC145+ATM_Conf!$C$5*(I145-H145)/(I333*AC333)</f>
        <v>#DIV/0!</v>
      </c>
      <c r="AD146" s="53" t="e">
        <f>AD145+ATM_Conf!$C$5*(J145-I145)/(J333*AD333)</f>
        <v>#DIV/0!</v>
      </c>
      <c r="AE146" s="53" t="e">
        <f>AE145+ATM_Conf!$C$5*(K145-J145)/(K333*AE333)</f>
        <v>#DIV/0!</v>
      </c>
      <c r="AF146" s="53" t="e">
        <f>AF145+ATM_Conf!$C$5*(L145)/(L333*AF333)</f>
        <v>#DIV/0!</v>
      </c>
      <c r="AG146" s="53" t="e">
        <f>AG145+ATM_Conf!$C$5*(M145-L145)/(M333*AG333)</f>
        <v>#DIV/0!</v>
      </c>
      <c r="AH146" s="53" t="e">
        <f>AH145+ATM_Conf!$C$5*(N145-M145)/(N333*AH333)</f>
        <v>#DIV/0!</v>
      </c>
      <c r="AI146" s="53" t="e">
        <f>AI145+ATM_Conf!$C$5*(O145-N145)/(O333*AI333)</f>
        <v>#DIV/0!</v>
      </c>
      <c r="AJ146" s="53" t="e">
        <f>AJ145+ATM_Conf!$C$5*(P145-O145)/(P333*AJ333)</f>
        <v>#DIV/0!</v>
      </c>
      <c r="AK146" s="53" t="e">
        <f>AK145+ATM_Conf!$C$5*(Q145-P145)/(Q333*AK333)</f>
        <v>#DIV/0!</v>
      </c>
      <c r="AL146" s="53" t="e">
        <f>AL145+ATM_Conf!$C$5*(R145-Q145)/(R333*AL333)</f>
        <v>#DIV/0!</v>
      </c>
      <c r="AM146" s="53" t="e">
        <f>AM145+ATM_Conf!$C$5*(S145-R145)/(S333*AM333)</f>
        <v>#DIV/0!</v>
      </c>
      <c r="AN146" s="53" t="e">
        <f>AN145+ATM_Conf!$C$5*(T145-S145)/(T333*AN333)</f>
        <v>#DIV/0!</v>
      </c>
      <c r="AO146" s="53" t="e">
        <f>AO145+ATM_Conf!$C$5*(U145-T145)/(U333*AO333)</f>
        <v>#DIV/0!</v>
      </c>
      <c r="AP146" s="43" t="e">
        <f>AP145+(ATM_Conf!$C$5/ATM_Conf!$C$8)*(BJ146*EXP(-(1/CX146)*(V146/CD146)^CX146)-AP145)-(ATM_Conf!$C$5*ATM_Conf!$C$9)/(V333*ATM_Conf!$C$8)*(Nodes!BO145-V145)/(V145+ATM_Conf!$C$10)</f>
        <v>#DIV/0!</v>
      </c>
      <c r="AQ146" s="43" t="e">
        <f>AQ145+(ATM_Conf!$C$5/ATM_Conf!$C$8)*(BK146*EXP(-(1/CY146)*(W146/CE146)^CY146)-AQ145)+(ATM_Conf!$C$5/W333)*AQ145*(AP145-AQ145)-(ATM_Conf!$C$5*ATM_Conf!$C$9)/(W333*ATM_Conf!$C$8)*(X145-W145)/(W145+ATM_Conf!$C$10)</f>
        <v>#DIV/0!</v>
      </c>
      <c r="AR146" s="43" t="e">
        <f>AR145+(ATM_Conf!$C$5/ATM_Conf!$C$8)*(BL146*EXP(-(1/CZ146)*(X146/CF146)^CZ146)-AR145)+(ATM_Conf!$C$5/X333)*AR145*(Nodes!BC145-AR145)-(ATM_Conf!$C$5*ATM_Conf!$C$9)/(X333*ATM_Conf!$C$8)*(Nodes!BQ145-X145)/(X145+ATM_Conf!$C$10)</f>
        <v>#DIV/0!</v>
      </c>
      <c r="AS146" s="43" t="e">
        <f>AS145+(ATM_Conf!$C$5/ATM_Conf!$C$8)*(BM146*EXP(-(1/DA146)*(Y146/CG146)^DA146)-AS145)+(ATM_Conf!$C$5/Y333)*AS145*(AR145-AS145)-(ATM_Conf!$C$5*ATM_Conf!$C$9)/(Y333*ATM_Conf!$C$8)*(Z145-Y145)/(Y145+ATM_Conf!$C$10)</f>
        <v>#DIV/0!</v>
      </c>
      <c r="AT146" s="43" t="e">
        <f>AT145+(ATM_Conf!$C$5/ATM_Conf!$C$8)*(BN146*EXP(-(1/DB146)*(Z146/CH146)^DB146)-AT145)+(ATM_Conf!$C$5/Z333)*AT145*(Nodes!BE145-AT145)-(ATM_Conf!$C$5*ATM_Conf!$C$9)/(Z333*ATM_Conf!$C$8)*(Nodes!BS145-Z145)/(Z145+ATM_Conf!$C$10)</f>
        <v>#DIV/0!</v>
      </c>
      <c r="AU146" s="43" t="e">
        <f>AU145+(ATM_Conf!$C$5/ATM_Conf!$C$8)*(BO146*EXP(-(1/DC146)*(AA146/CI146)^DC146)-AU145)+(ATM_Conf!$C$5/AA333)*AU145*(Nodes!BF145-AU145)-(ATM_Conf!$C$5*ATM_Conf!$C$9)/(AA333*ATM_Conf!$C$8)*(Nodes!BV145-AA145)/(AA145+ATM_Conf!$C$10)</f>
        <v>#DIV/0!</v>
      </c>
      <c r="AV146" s="43" t="e">
        <f>AV145+(ATM_Conf!$C$5/ATM_Conf!$C$8)*(BP146*EXP(-(1/DD146)*(AB146/CJ146)^DD146)-AV145)+(ATM_Conf!$C$5/AB333)*AV145*(AU145-AV145)-(ATM_Conf!$C$5*ATM_Conf!$C$9)/(AB333*ATM_Conf!$C$8)*(AC145-AB145)/(AB145+ATM_Conf!$C$10)</f>
        <v>#DIV/0!</v>
      </c>
      <c r="AW146" s="43" t="e">
        <f>AW145+(ATM_Conf!$C$5/ATM_Conf!$C$8)*(BQ146*EXP(-(1/DE146)*(AC146/CK146)^DE146)-AW145)+(ATM_Conf!$C$5/AC333)*AW145*(AV145-AW145)-(ATM_Conf!$C$5*ATM_Conf!$C$9)/(AC333*ATM_Conf!$C$8)*(AD145-AC145)/(AC145+ATM_Conf!$C$10)</f>
        <v>#DIV/0!</v>
      </c>
      <c r="AX146" s="43" t="e">
        <f>AX145+(ATM_Conf!$C$5/ATM_Conf!$C$8)*(BR146*EXP(-(1/DF146)*(AD146/CL146)^DF146)-AX145)+(ATM_Conf!$C$5/AD333)*AX145*(Nodes!BG145-AX145)-(ATM_Conf!$C$5*ATM_Conf!$C$9)/(AD333*ATM_Conf!$C$8)*(Nodes!BU145-AD145)/(AD145+ATM_Conf!$C$10)</f>
        <v>#DIV/0!</v>
      </c>
      <c r="AY146" s="43" t="e">
        <f>AY145+(ATM_Conf!$C$5/ATM_Conf!$C$8)*(BS146*EXP(-(1/DG146)*(AE146/CM146)^DG146)-AY145)+(ATM_Conf!$C$5/AE333)*AY145*(Nodes!BF145-AY145)</f>
        <v>#DIV/0!</v>
      </c>
      <c r="AZ146" s="43" t="e">
        <f>AZ145+(ATM_Conf!$C$5/ATM_Conf!$C$8)*(BT146*EXP(-(1/DH146)*(AF146/CN146)^DH146)-AZ145)-(ATM_Conf!$C$5*ATM_Conf!$C$9)/(AF333*ATM_Conf!$C$8)*(Nodes!BV145-AF145)/(AF145+ATM_Conf!$C$10)</f>
        <v>#DIV/0!</v>
      </c>
      <c r="BA146" s="43" t="e">
        <f>BA145+(ATM_Conf!$C$5/ATM_Conf!$C$8)*(BU146*EXP(-(1/DI146)*(AG146/CO146)^DI146)-BA145)+(ATM_Conf!$C$5/AG333)*BA145*(Nodes!BI145-BA145)-(ATM_Conf!$C$5*ATM_Conf!$C$9)/(AG333*ATM_Conf!$C$8)*(Nodes!BW145-AG145)/(AG145+ATM_Conf!$C$10)</f>
        <v>#DIV/0!</v>
      </c>
      <c r="BB146" s="43" t="e">
        <f>BB145+(ATM_Conf!$C$5/ATM_Conf!$C$8)*(BV146*EXP(-(1/DJ146)*(AH146/CP146)^DJ146)-BB145)+(ATM_Conf!$C$5/AH333)*BB145*(Nodes!BJ145-BB145)-(ATM_Conf!$C$5*ATM_Conf!$C$9)/(AH333*ATM_Conf!$C$8)*(AI145-AH145)/(AH145+ATM_Conf!$C$10)</f>
        <v>#DIV/0!</v>
      </c>
      <c r="BC146" s="43" t="e">
        <f>BC145+(ATM_Conf!$C$5/ATM_Conf!$C$8)*(BW146*EXP(-(1/DK146)*(AI146/CQ146)^DK146)-BC145)+(ATM_Conf!$C$5/AI333)*BC145*(BB145-BC145)-(ATM_Conf!$C$5*ATM_Conf!$C$9)/(AI333*ATM_Conf!$C$8)*(AJ145-AI145)/(AI145+ATM_Conf!$C$10)</f>
        <v>#DIV/0!</v>
      </c>
      <c r="BD146" s="43" t="e">
        <f>BD145+(ATM_Conf!$C$5/ATM_Conf!$C$8)*(BX146*EXP(-(1/DL146)*(AJ146/CR146)^DL146)-BD145)+(ATM_Conf!$C$5/AJ333)*BD145*(BC145-BD145)-(ATM_Conf!$C$5*ATM_Conf!$C$9)/(AJ333*ATM_Conf!$C$8)*(Nodes!BX145-AJ145)/(AJ145+ATM_Conf!$C$10)</f>
        <v>#DIV/0!</v>
      </c>
      <c r="BE146" s="43" t="e">
        <f>BE145+(ATM_Conf!$C$5/ATM_Conf!$C$8)*(BY146*EXP(-(1/DM146)*(AK146/CS146)^DM146)-BE145)+(ATM_Conf!$C$5/AK333)*BE145*(Nodes!BK145-BE145)-(ATM_Conf!$C$5*ATM_Conf!$C$9)/(AK333*ATM_Conf!$C$8)*(Nodes!BY145-AK145)/(AK145+ATM_Conf!$C$10)</f>
        <v>#DIV/0!</v>
      </c>
      <c r="BF146" s="43" t="e">
        <f>BF145+(ATM_Conf!$C$5/ATM_Conf!$C$8)*(BZ146*EXP(-(1/DN146)*(AL146/CT146)^DN146)-BF145)+(ATM_Conf!$C$5/AL333)*BF145*(BE145-BF145)-(ATM_Conf!$C$5*ATM_Conf!$C$9)/(AL333*ATM_Conf!$C$8)*(AM145-AL145)/(AL145+ATM_Conf!$C$10)</f>
        <v>#DIV/0!</v>
      </c>
      <c r="BG146" s="43" t="e">
        <f>BG145+(ATM_Conf!$C$5/ATM_Conf!$C$8)*(CA146*EXP(-(1/DO146)*(AM146/CU146)^DO146)-BG145)+(ATM_Conf!$C$5/AM333)*BG145*(Nodes!BM145-BG145)-(ATM_Conf!$C$5*ATM_Conf!$C$9)/(AM333*ATM_Conf!$C$8)*(Nodes!CA145-AM145)/(AM145+ATM_Conf!$C$10)</f>
        <v>#DIV/0!</v>
      </c>
      <c r="BH146" s="43" t="e">
        <f>BH145+(ATM_Conf!$C$5/ATM_Conf!$C$8)*(CB146*EXP(-(1/DP146)*(AN146/CV146)^DP146)-BH145)+(ATM_Conf!$C$5/AN333)*BH145*(BG145-BH145)-(ATM_Conf!$C$5*ATM_Conf!$C$9)/(AN333*ATM_Conf!$C$8)*(AO145-AN145)/(AN145+ATM_Conf!$C$10)</f>
        <v>#DIV/0!</v>
      </c>
      <c r="BI146" s="43" t="e">
        <f>BI145+(ATM_Conf!$C$5/ATM_Conf!$C$8)*(CC146*EXP(-(1/DQ146)*(AO146/CW146)^DQ146)-BI145)+(ATM_Conf!$C$5/AO333)*BI145*(BH145-BI145)</f>
        <v>#DIV/0!</v>
      </c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53"/>
      <c r="CY146" s="53"/>
      <c r="CZ146" s="53"/>
      <c r="DA146" s="53"/>
      <c r="DB146" s="53"/>
      <c r="DC146" s="53"/>
      <c r="DD146" s="53"/>
      <c r="DE146" s="53"/>
      <c r="DF146" s="53"/>
      <c r="DG146" s="53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  <c r="DR146" s="43">
        <f t="shared" si="96"/>
        <v>0</v>
      </c>
      <c r="DS146" s="43">
        <f t="shared" si="95"/>
        <v>0</v>
      </c>
      <c r="DT146" s="43">
        <f t="shared" si="95"/>
        <v>0</v>
      </c>
      <c r="DU146" s="43">
        <f t="shared" si="95"/>
        <v>0</v>
      </c>
      <c r="DV146" s="43">
        <f t="shared" si="95"/>
        <v>0</v>
      </c>
      <c r="DW146" s="43">
        <f t="shared" si="95"/>
        <v>0</v>
      </c>
      <c r="DX146" s="43">
        <f t="shared" si="95"/>
        <v>0</v>
      </c>
      <c r="DY146" s="43">
        <f t="shared" si="95"/>
        <v>0</v>
      </c>
      <c r="DZ146" s="43">
        <f t="shared" si="95"/>
        <v>0</v>
      </c>
      <c r="EA146" s="43">
        <f t="shared" si="95"/>
        <v>0</v>
      </c>
      <c r="EB146" s="43">
        <f t="shared" si="95"/>
        <v>0</v>
      </c>
      <c r="EC146" s="43">
        <f t="shared" si="95"/>
        <v>0</v>
      </c>
      <c r="ED146" s="43">
        <f t="shared" si="95"/>
        <v>0</v>
      </c>
      <c r="EE146" s="43">
        <f t="shared" si="95"/>
        <v>0</v>
      </c>
      <c r="EF146" s="43">
        <f t="shared" si="95"/>
        <v>0</v>
      </c>
      <c r="EG146" s="43">
        <f t="shared" si="95"/>
        <v>0</v>
      </c>
      <c r="EH146" s="43">
        <f t="shared" si="95"/>
        <v>0</v>
      </c>
      <c r="EI146" s="43">
        <f t="shared" si="95"/>
        <v>0</v>
      </c>
      <c r="EJ146" s="43">
        <f t="shared" si="95"/>
        <v>0</v>
      </c>
      <c r="EK146" s="43">
        <f t="shared" si="95"/>
        <v>0</v>
      </c>
      <c r="EL146" s="47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47"/>
      <c r="FA146" s="47"/>
      <c r="FB146" s="47"/>
      <c r="FC146" s="47"/>
      <c r="FD146" s="47"/>
      <c r="FE146" s="47"/>
    </row>
    <row r="147" spans="1:161" ht="14.25" x14ac:dyDescent="0.15">
      <c r="A147" s="46"/>
      <c r="B147" s="43" t="e">
        <f t="shared" si="74"/>
        <v>#DIV/0!</v>
      </c>
      <c r="C147" s="43" t="e">
        <f t="shared" si="75"/>
        <v>#DIV/0!</v>
      </c>
      <c r="D147" s="43" t="e">
        <f t="shared" si="76"/>
        <v>#DIV/0!</v>
      </c>
      <c r="E147" s="43" t="e">
        <f t="shared" si="77"/>
        <v>#DIV/0!</v>
      </c>
      <c r="F147" s="43" t="e">
        <f t="shared" si="78"/>
        <v>#DIV/0!</v>
      </c>
      <c r="G147" s="43" t="e">
        <f t="shared" si="79"/>
        <v>#DIV/0!</v>
      </c>
      <c r="H147" s="43" t="e">
        <f t="shared" si="80"/>
        <v>#DIV/0!</v>
      </c>
      <c r="I147" s="43" t="e">
        <f t="shared" si="81"/>
        <v>#DIV/0!</v>
      </c>
      <c r="J147" s="43" t="e">
        <f t="shared" si="82"/>
        <v>#DIV/0!</v>
      </c>
      <c r="K147" s="43" t="e">
        <f t="shared" si="83"/>
        <v>#DIV/0!</v>
      </c>
      <c r="L147" s="43" t="e">
        <f t="shared" si="84"/>
        <v>#DIV/0!</v>
      </c>
      <c r="M147" s="43" t="e">
        <f t="shared" si="85"/>
        <v>#DIV/0!</v>
      </c>
      <c r="N147" s="43" t="e">
        <f t="shared" si="86"/>
        <v>#DIV/0!</v>
      </c>
      <c r="O147" s="43" t="e">
        <f t="shared" si="87"/>
        <v>#DIV/0!</v>
      </c>
      <c r="P147" s="43" t="e">
        <f t="shared" si="88"/>
        <v>#DIV/0!</v>
      </c>
      <c r="Q147" s="43" t="e">
        <f t="shared" si="89"/>
        <v>#DIV/0!</v>
      </c>
      <c r="R147" s="43" t="e">
        <f t="shared" si="90"/>
        <v>#DIV/0!</v>
      </c>
      <c r="S147" s="43" t="e">
        <f t="shared" si="91"/>
        <v>#DIV/0!</v>
      </c>
      <c r="T147" s="43" t="e">
        <f t="shared" si="92"/>
        <v>#DIV/0!</v>
      </c>
      <c r="U147" s="43" t="e">
        <f t="shared" si="93"/>
        <v>#DIV/0!</v>
      </c>
      <c r="V147" s="53" t="e">
        <f>V146+ATM_Conf!$C$5*(B146)/(B334*V334)</f>
        <v>#DIV/0!</v>
      </c>
      <c r="W147" s="53" t="e">
        <f>W146+ATM_Conf!$C$5*(C146-B146)/(C334*W334)</f>
        <v>#DIV/0!</v>
      </c>
      <c r="X147" s="53" t="e">
        <f>X146+ATM_Conf!$C$5*(D146-C146)/(D334*X334)</f>
        <v>#DIV/0!</v>
      </c>
      <c r="Y147" s="53" t="e">
        <f>Y146+ATM_Conf!$C$5*(E146-D146)/(E334*Y334)</f>
        <v>#DIV/0!</v>
      </c>
      <c r="Z147" s="53" t="e">
        <f>Z146+ATM_Conf!$C$5*(F146-E146)/(F334*Z334)</f>
        <v>#DIV/0!</v>
      </c>
      <c r="AA147" s="53" t="e">
        <f>AA146+ATM_Conf!$C$5*(G146-F146)/(G334*AA334)</f>
        <v>#DIV/0!</v>
      </c>
      <c r="AB147" s="53" t="e">
        <f>AB146+ATM_Conf!$C$5*(H146-G146)/(H334*AB334)</f>
        <v>#DIV/0!</v>
      </c>
      <c r="AC147" s="53" t="e">
        <f>AC146+ATM_Conf!$C$5*(I146-H146)/(I334*AC334)</f>
        <v>#DIV/0!</v>
      </c>
      <c r="AD147" s="53" t="e">
        <f>AD146+ATM_Conf!$C$5*(J146-I146)/(J334*AD334)</f>
        <v>#DIV/0!</v>
      </c>
      <c r="AE147" s="53" t="e">
        <f>AE146+ATM_Conf!$C$5*(K146-J146)/(K334*AE334)</f>
        <v>#DIV/0!</v>
      </c>
      <c r="AF147" s="53" t="e">
        <f>AF146+ATM_Conf!$C$5*(L146)/(L334*AF334)</f>
        <v>#DIV/0!</v>
      </c>
      <c r="AG147" s="53" t="e">
        <f>AG146+ATM_Conf!$C$5*(M146-L146)/(M334*AG334)</f>
        <v>#DIV/0!</v>
      </c>
      <c r="AH147" s="53" t="e">
        <f>AH146+ATM_Conf!$C$5*(N146-M146)/(N334*AH334)</f>
        <v>#DIV/0!</v>
      </c>
      <c r="AI147" s="53" t="e">
        <f>AI146+ATM_Conf!$C$5*(O146-N146)/(O334*AI334)</f>
        <v>#DIV/0!</v>
      </c>
      <c r="AJ147" s="53" t="e">
        <f>AJ146+ATM_Conf!$C$5*(P146-O146)/(P334*AJ334)</f>
        <v>#DIV/0!</v>
      </c>
      <c r="AK147" s="53" t="e">
        <f>AK146+ATM_Conf!$C$5*(Q146-P146)/(Q334*AK334)</f>
        <v>#DIV/0!</v>
      </c>
      <c r="AL147" s="53" t="e">
        <f>AL146+ATM_Conf!$C$5*(R146-Q146)/(R334*AL334)</f>
        <v>#DIV/0!</v>
      </c>
      <c r="AM147" s="53" t="e">
        <f>AM146+ATM_Conf!$C$5*(S146-R146)/(S334*AM334)</f>
        <v>#DIV/0!</v>
      </c>
      <c r="AN147" s="53" t="e">
        <f>AN146+ATM_Conf!$C$5*(T146-S146)/(T334*AN334)</f>
        <v>#DIV/0!</v>
      </c>
      <c r="AO147" s="53" t="e">
        <f>AO146+ATM_Conf!$C$5*(U146-T146)/(U334*AO334)</f>
        <v>#DIV/0!</v>
      </c>
      <c r="AP147" s="43" t="e">
        <f>AP146+(ATM_Conf!$C$5/ATM_Conf!$C$8)*(BJ147*EXP(-(1/CX147)*(V147/CD147)^CX147)-AP146)-(ATM_Conf!$C$5*ATM_Conf!$C$9)/(V334*ATM_Conf!$C$8)*(Nodes!BO146-V146)/(V146+ATM_Conf!$C$10)</f>
        <v>#DIV/0!</v>
      </c>
      <c r="AQ147" s="43" t="e">
        <f>AQ146+(ATM_Conf!$C$5/ATM_Conf!$C$8)*(BK147*EXP(-(1/CY147)*(W147/CE147)^CY147)-AQ146)+(ATM_Conf!$C$5/W334)*AQ146*(AP146-AQ146)-(ATM_Conf!$C$5*ATM_Conf!$C$9)/(W334*ATM_Conf!$C$8)*(X146-W146)/(W146+ATM_Conf!$C$10)</f>
        <v>#DIV/0!</v>
      </c>
      <c r="AR147" s="43" t="e">
        <f>AR146+(ATM_Conf!$C$5/ATM_Conf!$C$8)*(BL147*EXP(-(1/CZ147)*(X147/CF147)^CZ147)-AR146)+(ATM_Conf!$C$5/X334)*AR146*(Nodes!BC146-AR146)-(ATM_Conf!$C$5*ATM_Conf!$C$9)/(X334*ATM_Conf!$C$8)*(Nodes!BQ146-X146)/(X146+ATM_Conf!$C$10)</f>
        <v>#DIV/0!</v>
      </c>
      <c r="AS147" s="43" t="e">
        <f>AS146+(ATM_Conf!$C$5/ATM_Conf!$C$8)*(BM147*EXP(-(1/DA147)*(Y147/CG147)^DA147)-AS146)+(ATM_Conf!$C$5/Y334)*AS146*(AR146-AS146)-(ATM_Conf!$C$5*ATM_Conf!$C$9)/(Y334*ATM_Conf!$C$8)*(Z146-Y146)/(Y146+ATM_Conf!$C$10)</f>
        <v>#DIV/0!</v>
      </c>
      <c r="AT147" s="43" t="e">
        <f>AT146+(ATM_Conf!$C$5/ATM_Conf!$C$8)*(BN147*EXP(-(1/DB147)*(Z147/CH147)^DB147)-AT146)+(ATM_Conf!$C$5/Z334)*AT146*(Nodes!BE146-AT146)-(ATM_Conf!$C$5*ATM_Conf!$C$9)/(Z334*ATM_Conf!$C$8)*(Nodes!BS146-Z146)/(Z146+ATM_Conf!$C$10)</f>
        <v>#DIV/0!</v>
      </c>
      <c r="AU147" s="43" t="e">
        <f>AU146+(ATM_Conf!$C$5/ATM_Conf!$C$8)*(BO147*EXP(-(1/DC147)*(AA147/CI147)^DC147)-AU146)+(ATM_Conf!$C$5/AA334)*AU146*(Nodes!BF146-AU146)-(ATM_Conf!$C$5*ATM_Conf!$C$9)/(AA334*ATM_Conf!$C$8)*(Nodes!BV146-AA146)/(AA146+ATM_Conf!$C$10)</f>
        <v>#DIV/0!</v>
      </c>
      <c r="AV147" s="43" t="e">
        <f>AV146+(ATM_Conf!$C$5/ATM_Conf!$C$8)*(BP147*EXP(-(1/DD147)*(AB147/CJ147)^DD147)-AV146)+(ATM_Conf!$C$5/AB334)*AV146*(AU146-AV146)-(ATM_Conf!$C$5*ATM_Conf!$C$9)/(AB334*ATM_Conf!$C$8)*(AC146-AB146)/(AB146+ATM_Conf!$C$10)</f>
        <v>#DIV/0!</v>
      </c>
      <c r="AW147" s="43" t="e">
        <f>AW146+(ATM_Conf!$C$5/ATM_Conf!$C$8)*(BQ147*EXP(-(1/DE147)*(AC147/CK147)^DE147)-AW146)+(ATM_Conf!$C$5/AC334)*AW146*(AV146-AW146)-(ATM_Conf!$C$5*ATM_Conf!$C$9)/(AC334*ATM_Conf!$C$8)*(AD146-AC146)/(AC146+ATM_Conf!$C$10)</f>
        <v>#DIV/0!</v>
      </c>
      <c r="AX147" s="43" t="e">
        <f>AX146+(ATM_Conf!$C$5/ATM_Conf!$C$8)*(BR147*EXP(-(1/DF147)*(AD147/CL147)^DF147)-AX146)+(ATM_Conf!$C$5/AD334)*AX146*(Nodes!BG146-AX146)-(ATM_Conf!$C$5*ATM_Conf!$C$9)/(AD334*ATM_Conf!$C$8)*(Nodes!BU146-AD146)/(AD146+ATM_Conf!$C$10)</f>
        <v>#DIV/0!</v>
      </c>
      <c r="AY147" s="43" t="e">
        <f>AY146+(ATM_Conf!$C$5/ATM_Conf!$C$8)*(BS147*EXP(-(1/DG147)*(AE147/CM147)^DG147)-AY146)+(ATM_Conf!$C$5/AE334)*AY146*(Nodes!BF146-AY146)</f>
        <v>#DIV/0!</v>
      </c>
      <c r="AZ147" s="43" t="e">
        <f>AZ146+(ATM_Conf!$C$5/ATM_Conf!$C$8)*(BT147*EXP(-(1/DH147)*(AF147/CN147)^DH147)-AZ146)-(ATM_Conf!$C$5*ATM_Conf!$C$9)/(AF334*ATM_Conf!$C$8)*(Nodes!BV146-AF146)/(AF146+ATM_Conf!$C$10)</f>
        <v>#DIV/0!</v>
      </c>
      <c r="BA147" s="43" t="e">
        <f>BA146+(ATM_Conf!$C$5/ATM_Conf!$C$8)*(BU147*EXP(-(1/DI147)*(AG147/CO147)^DI147)-BA146)+(ATM_Conf!$C$5/AG334)*BA146*(Nodes!BI146-BA146)-(ATM_Conf!$C$5*ATM_Conf!$C$9)/(AG334*ATM_Conf!$C$8)*(Nodes!BW146-AG146)/(AG146+ATM_Conf!$C$10)</f>
        <v>#DIV/0!</v>
      </c>
      <c r="BB147" s="43" t="e">
        <f>BB146+(ATM_Conf!$C$5/ATM_Conf!$C$8)*(BV147*EXP(-(1/DJ147)*(AH147/CP147)^DJ147)-BB146)+(ATM_Conf!$C$5/AH334)*BB146*(Nodes!BJ146-BB146)-(ATM_Conf!$C$5*ATM_Conf!$C$9)/(AH334*ATM_Conf!$C$8)*(AI146-AH146)/(AH146+ATM_Conf!$C$10)</f>
        <v>#DIV/0!</v>
      </c>
      <c r="BC147" s="43" t="e">
        <f>BC146+(ATM_Conf!$C$5/ATM_Conf!$C$8)*(BW147*EXP(-(1/DK147)*(AI147/CQ147)^DK147)-BC146)+(ATM_Conf!$C$5/AI334)*BC146*(BB146-BC146)-(ATM_Conf!$C$5*ATM_Conf!$C$9)/(AI334*ATM_Conf!$C$8)*(AJ146-AI146)/(AI146+ATM_Conf!$C$10)</f>
        <v>#DIV/0!</v>
      </c>
      <c r="BD147" s="43" t="e">
        <f>BD146+(ATM_Conf!$C$5/ATM_Conf!$C$8)*(BX147*EXP(-(1/DL147)*(AJ147/CR147)^DL147)-BD146)+(ATM_Conf!$C$5/AJ334)*BD146*(BC146-BD146)-(ATM_Conf!$C$5*ATM_Conf!$C$9)/(AJ334*ATM_Conf!$C$8)*(Nodes!BX146-AJ146)/(AJ146+ATM_Conf!$C$10)</f>
        <v>#DIV/0!</v>
      </c>
      <c r="BE147" s="43" t="e">
        <f>BE146+(ATM_Conf!$C$5/ATM_Conf!$C$8)*(BY147*EXP(-(1/DM147)*(AK147/CS147)^DM147)-BE146)+(ATM_Conf!$C$5/AK334)*BE146*(Nodes!BK146-BE146)-(ATM_Conf!$C$5*ATM_Conf!$C$9)/(AK334*ATM_Conf!$C$8)*(Nodes!BY146-AK146)/(AK146+ATM_Conf!$C$10)</f>
        <v>#DIV/0!</v>
      </c>
      <c r="BF147" s="43" t="e">
        <f>BF146+(ATM_Conf!$C$5/ATM_Conf!$C$8)*(BZ147*EXP(-(1/DN147)*(AL147/CT147)^DN147)-BF146)+(ATM_Conf!$C$5/AL334)*BF146*(BE146-BF146)-(ATM_Conf!$C$5*ATM_Conf!$C$9)/(AL334*ATM_Conf!$C$8)*(AM146-AL146)/(AL146+ATM_Conf!$C$10)</f>
        <v>#DIV/0!</v>
      </c>
      <c r="BG147" s="43" t="e">
        <f>BG146+(ATM_Conf!$C$5/ATM_Conf!$C$8)*(CA147*EXP(-(1/DO147)*(AM147/CU147)^DO147)-BG146)+(ATM_Conf!$C$5/AM334)*BG146*(Nodes!BM146-BG146)-(ATM_Conf!$C$5*ATM_Conf!$C$9)/(AM334*ATM_Conf!$C$8)*(Nodes!CA146-AM146)/(AM146+ATM_Conf!$C$10)</f>
        <v>#DIV/0!</v>
      </c>
      <c r="BH147" s="43" t="e">
        <f>BH146+(ATM_Conf!$C$5/ATM_Conf!$C$8)*(CB147*EXP(-(1/DP147)*(AN147/CV147)^DP147)-BH146)+(ATM_Conf!$C$5/AN334)*BH146*(BG146-BH146)-(ATM_Conf!$C$5*ATM_Conf!$C$9)/(AN334*ATM_Conf!$C$8)*(AO146-AN146)/(AN146+ATM_Conf!$C$10)</f>
        <v>#DIV/0!</v>
      </c>
      <c r="BI147" s="43" t="e">
        <f>BI146+(ATM_Conf!$C$5/ATM_Conf!$C$8)*(CC147*EXP(-(1/DQ147)*(AO147/CW147)^DQ147)-BI146)+(ATM_Conf!$C$5/AO334)*BI146*(BH146-BI146)</f>
        <v>#DIV/0!</v>
      </c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53"/>
      <c r="CY147" s="53"/>
      <c r="CZ147" s="53"/>
      <c r="DA147" s="53"/>
      <c r="DB147" s="53"/>
      <c r="DC147" s="53"/>
      <c r="DD147" s="53"/>
      <c r="DE147" s="53"/>
      <c r="DF147" s="53"/>
      <c r="DG147" s="53"/>
      <c r="DH147" s="53"/>
      <c r="DI147" s="53"/>
      <c r="DJ147" s="53"/>
      <c r="DK147" s="53"/>
      <c r="DL147" s="53"/>
      <c r="DM147" s="53"/>
      <c r="DN147" s="53"/>
      <c r="DO147" s="53"/>
      <c r="DP147" s="53"/>
      <c r="DQ147" s="53"/>
      <c r="DR147" s="62"/>
      <c r="DS147" s="62"/>
      <c r="DT147" s="62"/>
      <c r="DU147" s="62"/>
      <c r="DV147" s="62"/>
      <c r="DW147" s="62"/>
      <c r="DX147" s="62"/>
      <c r="DY147" s="62"/>
      <c r="DZ147" s="62"/>
      <c r="EA147" s="62"/>
      <c r="EB147" s="62"/>
      <c r="EC147" s="62"/>
      <c r="ED147" s="62"/>
      <c r="EE147" s="62"/>
      <c r="EF147" s="62"/>
      <c r="EG147" s="62"/>
      <c r="EH147" s="62"/>
      <c r="EI147" s="62"/>
      <c r="EJ147" s="62"/>
      <c r="EK147" s="62"/>
      <c r="EL147" s="47">
        <f>(DR147-DR135)^2</f>
        <v>0</v>
      </c>
      <c r="EM147" s="47">
        <f t="shared" ref="EM147:FE147" si="97">(DS147-DS135)^2</f>
        <v>0</v>
      </c>
      <c r="EN147" s="47">
        <f t="shared" si="97"/>
        <v>0</v>
      </c>
      <c r="EO147" s="47">
        <f t="shared" si="97"/>
        <v>0</v>
      </c>
      <c r="EP147" s="47">
        <f t="shared" si="97"/>
        <v>0</v>
      </c>
      <c r="EQ147" s="47">
        <f t="shared" si="97"/>
        <v>0</v>
      </c>
      <c r="ER147" s="47">
        <f t="shared" si="97"/>
        <v>0</v>
      </c>
      <c r="ES147" s="47">
        <f t="shared" si="97"/>
        <v>0</v>
      </c>
      <c r="ET147" s="47">
        <f t="shared" si="97"/>
        <v>0</v>
      </c>
      <c r="EU147" s="47">
        <f t="shared" si="97"/>
        <v>0</v>
      </c>
      <c r="EV147" s="47">
        <f t="shared" si="97"/>
        <v>0</v>
      </c>
      <c r="EW147" s="47">
        <f t="shared" si="97"/>
        <v>0</v>
      </c>
      <c r="EX147" s="47">
        <f t="shared" si="97"/>
        <v>0</v>
      </c>
      <c r="EY147" s="47">
        <f t="shared" si="97"/>
        <v>0</v>
      </c>
      <c r="EZ147" s="47">
        <f t="shared" si="97"/>
        <v>0</v>
      </c>
      <c r="FA147" s="47">
        <f t="shared" si="97"/>
        <v>0</v>
      </c>
      <c r="FB147" s="47">
        <f t="shared" si="97"/>
        <v>0</v>
      </c>
      <c r="FC147" s="47">
        <f t="shared" si="97"/>
        <v>0</v>
      </c>
      <c r="FD147" s="47">
        <f t="shared" si="97"/>
        <v>0</v>
      </c>
      <c r="FE147" s="47">
        <f t="shared" si="97"/>
        <v>0</v>
      </c>
    </row>
    <row r="148" spans="1:161" ht="14.25" x14ac:dyDescent="0.15">
      <c r="A148" s="46"/>
      <c r="B148" s="43" t="e">
        <f t="shared" si="74"/>
        <v>#DIV/0!</v>
      </c>
      <c r="C148" s="43" t="e">
        <f t="shared" si="75"/>
        <v>#DIV/0!</v>
      </c>
      <c r="D148" s="43" t="e">
        <f t="shared" si="76"/>
        <v>#DIV/0!</v>
      </c>
      <c r="E148" s="43" t="e">
        <f t="shared" si="77"/>
        <v>#DIV/0!</v>
      </c>
      <c r="F148" s="43" t="e">
        <f t="shared" si="78"/>
        <v>#DIV/0!</v>
      </c>
      <c r="G148" s="43" t="e">
        <f t="shared" si="79"/>
        <v>#DIV/0!</v>
      </c>
      <c r="H148" s="43" t="e">
        <f t="shared" si="80"/>
        <v>#DIV/0!</v>
      </c>
      <c r="I148" s="43" t="e">
        <f t="shared" si="81"/>
        <v>#DIV/0!</v>
      </c>
      <c r="J148" s="43" t="e">
        <f t="shared" si="82"/>
        <v>#DIV/0!</v>
      </c>
      <c r="K148" s="43" t="e">
        <f t="shared" si="83"/>
        <v>#DIV/0!</v>
      </c>
      <c r="L148" s="43" t="e">
        <f t="shared" si="84"/>
        <v>#DIV/0!</v>
      </c>
      <c r="M148" s="43" t="e">
        <f t="shared" si="85"/>
        <v>#DIV/0!</v>
      </c>
      <c r="N148" s="43" t="e">
        <f t="shared" si="86"/>
        <v>#DIV/0!</v>
      </c>
      <c r="O148" s="43" t="e">
        <f t="shared" si="87"/>
        <v>#DIV/0!</v>
      </c>
      <c r="P148" s="43" t="e">
        <f t="shared" si="88"/>
        <v>#DIV/0!</v>
      </c>
      <c r="Q148" s="43" t="e">
        <f t="shared" si="89"/>
        <v>#DIV/0!</v>
      </c>
      <c r="R148" s="43" t="e">
        <f t="shared" si="90"/>
        <v>#DIV/0!</v>
      </c>
      <c r="S148" s="43" t="e">
        <f t="shared" si="91"/>
        <v>#DIV/0!</v>
      </c>
      <c r="T148" s="43" t="e">
        <f t="shared" si="92"/>
        <v>#DIV/0!</v>
      </c>
      <c r="U148" s="43" t="e">
        <f t="shared" si="93"/>
        <v>#DIV/0!</v>
      </c>
      <c r="V148" s="53" t="e">
        <f>V147+ATM_Conf!$C$5*(B147)/(B335*V335)</f>
        <v>#DIV/0!</v>
      </c>
      <c r="W148" s="53" t="e">
        <f>W147+ATM_Conf!$C$5*(C147-B147)/(C335*W335)</f>
        <v>#DIV/0!</v>
      </c>
      <c r="X148" s="53" t="e">
        <f>X147+ATM_Conf!$C$5*(D147-C147)/(D335*X335)</f>
        <v>#DIV/0!</v>
      </c>
      <c r="Y148" s="53" t="e">
        <f>Y147+ATM_Conf!$C$5*(E147-D147)/(E335*Y335)</f>
        <v>#DIV/0!</v>
      </c>
      <c r="Z148" s="53" t="e">
        <f>Z147+ATM_Conf!$C$5*(F147-E147)/(F335*Z335)</f>
        <v>#DIV/0!</v>
      </c>
      <c r="AA148" s="53" t="e">
        <f>AA147+ATM_Conf!$C$5*(G147-F147)/(G335*AA335)</f>
        <v>#DIV/0!</v>
      </c>
      <c r="AB148" s="53" t="e">
        <f>AB147+ATM_Conf!$C$5*(H147-G147)/(H335*AB335)</f>
        <v>#DIV/0!</v>
      </c>
      <c r="AC148" s="53" t="e">
        <f>AC147+ATM_Conf!$C$5*(I147-H147)/(I335*AC335)</f>
        <v>#DIV/0!</v>
      </c>
      <c r="AD148" s="53" t="e">
        <f>AD147+ATM_Conf!$C$5*(J147-I147)/(J335*AD335)</f>
        <v>#DIV/0!</v>
      </c>
      <c r="AE148" s="53" t="e">
        <f>AE147+ATM_Conf!$C$5*(K147-J147)/(K335*AE335)</f>
        <v>#DIV/0!</v>
      </c>
      <c r="AF148" s="53" t="e">
        <f>AF147+ATM_Conf!$C$5*(L147)/(L335*AF335)</f>
        <v>#DIV/0!</v>
      </c>
      <c r="AG148" s="53" t="e">
        <f>AG147+ATM_Conf!$C$5*(M147-L147)/(M335*AG335)</f>
        <v>#DIV/0!</v>
      </c>
      <c r="AH148" s="53" t="e">
        <f>AH147+ATM_Conf!$C$5*(N147-M147)/(N335*AH335)</f>
        <v>#DIV/0!</v>
      </c>
      <c r="AI148" s="53" t="e">
        <f>AI147+ATM_Conf!$C$5*(O147-N147)/(O335*AI335)</f>
        <v>#DIV/0!</v>
      </c>
      <c r="AJ148" s="53" t="e">
        <f>AJ147+ATM_Conf!$C$5*(P147-O147)/(P335*AJ335)</f>
        <v>#DIV/0!</v>
      </c>
      <c r="AK148" s="53" t="e">
        <f>AK147+ATM_Conf!$C$5*(Q147-P147)/(Q335*AK335)</f>
        <v>#DIV/0!</v>
      </c>
      <c r="AL148" s="53" t="e">
        <f>AL147+ATM_Conf!$C$5*(R147-Q147)/(R335*AL335)</f>
        <v>#DIV/0!</v>
      </c>
      <c r="AM148" s="53" t="e">
        <f>AM147+ATM_Conf!$C$5*(S147-R147)/(S335*AM335)</f>
        <v>#DIV/0!</v>
      </c>
      <c r="AN148" s="53" t="e">
        <f>AN147+ATM_Conf!$C$5*(T147-S147)/(T335*AN335)</f>
        <v>#DIV/0!</v>
      </c>
      <c r="AO148" s="53" t="e">
        <f>AO147+ATM_Conf!$C$5*(U147-T147)/(U335*AO335)</f>
        <v>#DIV/0!</v>
      </c>
      <c r="AP148" s="43" t="e">
        <f>AP147+(ATM_Conf!$C$5/ATM_Conf!$C$8)*(BJ148*EXP(-(1/CX148)*(V148/CD148)^CX148)-AP147)-(ATM_Conf!$C$5*ATM_Conf!$C$9)/(V335*ATM_Conf!$C$8)*(Nodes!BO147-V147)/(V147+ATM_Conf!$C$10)</f>
        <v>#DIV/0!</v>
      </c>
      <c r="AQ148" s="43" t="e">
        <f>AQ147+(ATM_Conf!$C$5/ATM_Conf!$C$8)*(BK148*EXP(-(1/CY148)*(W148/CE148)^CY148)-AQ147)+(ATM_Conf!$C$5/W335)*AQ147*(AP147-AQ147)-(ATM_Conf!$C$5*ATM_Conf!$C$9)/(W335*ATM_Conf!$C$8)*(X147-W147)/(W147+ATM_Conf!$C$10)</f>
        <v>#DIV/0!</v>
      </c>
      <c r="AR148" s="43" t="e">
        <f>AR147+(ATM_Conf!$C$5/ATM_Conf!$C$8)*(BL148*EXP(-(1/CZ148)*(X148/CF148)^CZ148)-AR147)+(ATM_Conf!$C$5/X335)*AR147*(Nodes!BC147-AR147)-(ATM_Conf!$C$5*ATM_Conf!$C$9)/(X335*ATM_Conf!$C$8)*(Nodes!BQ147-X147)/(X147+ATM_Conf!$C$10)</f>
        <v>#DIV/0!</v>
      </c>
      <c r="AS148" s="43" t="e">
        <f>AS147+(ATM_Conf!$C$5/ATM_Conf!$C$8)*(BM148*EXP(-(1/DA148)*(Y148/CG148)^DA148)-AS147)+(ATM_Conf!$C$5/Y335)*AS147*(AR147-AS147)-(ATM_Conf!$C$5*ATM_Conf!$C$9)/(Y335*ATM_Conf!$C$8)*(Z147-Y147)/(Y147+ATM_Conf!$C$10)</f>
        <v>#DIV/0!</v>
      </c>
      <c r="AT148" s="43" t="e">
        <f>AT147+(ATM_Conf!$C$5/ATM_Conf!$C$8)*(BN148*EXP(-(1/DB148)*(Z148/CH148)^DB148)-AT147)+(ATM_Conf!$C$5/Z335)*AT147*(Nodes!BE147-AT147)-(ATM_Conf!$C$5*ATM_Conf!$C$9)/(Z335*ATM_Conf!$C$8)*(Nodes!BS147-Z147)/(Z147+ATM_Conf!$C$10)</f>
        <v>#DIV/0!</v>
      </c>
      <c r="AU148" s="43" t="e">
        <f>AU147+(ATM_Conf!$C$5/ATM_Conf!$C$8)*(BO148*EXP(-(1/DC148)*(AA148/CI148)^DC148)-AU147)+(ATM_Conf!$C$5/AA335)*AU147*(Nodes!BF147-AU147)-(ATM_Conf!$C$5*ATM_Conf!$C$9)/(AA335*ATM_Conf!$C$8)*(Nodes!BV147-AA147)/(AA147+ATM_Conf!$C$10)</f>
        <v>#DIV/0!</v>
      </c>
      <c r="AV148" s="43" t="e">
        <f>AV147+(ATM_Conf!$C$5/ATM_Conf!$C$8)*(BP148*EXP(-(1/DD148)*(AB148/CJ148)^DD148)-AV147)+(ATM_Conf!$C$5/AB335)*AV147*(AU147-AV147)-(ATM_Conf!$C$5*ATM_Conf!$C$9)/(AB335*ATM_Conf!$C$8)*(AC147-AB147)/(AB147+ATM_Conf!$C$10)</f>
        <v>#DIV/0!</v>
      </c>
      <c r="AW148" s="43" t="e">
        <f>AW147+(ATM_Conf!$C$5/ATM_Conf!$C$8)*(BQ148*EXP(-(1/DE148)*(AC148/CK148)^DE148)-AW147)+(ATM_Conf!$C$5/AC335)*AW147*(AV147-AW147)-(ATM_Conf!$C$5*ATM_Conf!$C$9)/(AC335*ATM_Conf!$C$8)*(AD147-AC147)/(AC147+ATM_Conf!$C$10)</f>
        <v>#DIV/0!</v>
      </c>
      <c r="AX148" s="43" t="e">
        <f>AX147+(ATM_Conf!$C$5/ATM_Conf!$C$8)*(BR148*EXP(-(1/DF148)*(AD148/CL148)^DF148)-AX147)+(ATM_Conf!$C$5/AD335)*AX147*(Nodes!BG147-AX147)-(ATM_Conf!$C$5*ATM_Conf!$C$9)/(AD335*ATM_Conf!$C$8)*(Nodes!BU147-AD147)/(AD147+ATM_Conf!$C$10)</f>
        <v>#DIV/0!</v>
      </c>
      <c r="AY148" s="43" t="e">
        <f>AY147+(ATM_Conf!$C$5/ATM_Conf!$C$8)*(BS148*EXP(-(1/DG148)*(AE148/CM148)^DG148)-AY147)+(ATM_Conf!$C$5/AE335)*AY147*(Nodes!BF147-AY147)</f>
        <v>#DIV/0!</v>
      </c>
      <c r="AZ148" s="43" t="e">
        <f>AZ147+(ATM_Conf!$C$5/ATM_Conf!$C$8)*(BT148*EXP(-(1/DH148)*(AF148/CN148)^DH148)-AZ147)-(ATM_Conf!$C$5*ATM_Conf!$C$9)/(AF335*ATM_Conf!$C$8)*(Nodes!BV147-AF147)/(AF147+ATM_Conf!$C$10)</f>
        <v>#DIV/0!</v>
      </c>
      <c r="BA148" s="43" t="e">
        <f>BA147+(ATM_Conf!$C$5/ATM_Conf!$C$8)*(BU148*EXP(-(1/DI148)*(AG148/CO148)^DI148)-BA147)+(ATM_Conf!$C$5/AG335)*BA147*(Nodes!BI147-BA147)-(ATM_Conf!$C$5*ATM_Conf!$C$9)/(AG335*ATM_Conf!$C$8)*(Nodes!BW147-AG147)/(AG147+ATM_Conf!$C$10)</f>
        <v>#DIV/0!</v>
      </c>
      <c r="BB148" s="43" t="e">
        <f>BB147+(ATM_Conf!$C$5/ATM_Conf!$C$8)*(BV148*EXP(-(1/DJ148)*(AH148/CP148)^DJ148)-BB147)+(ATM_Conf!$C$5/AH335)*BB147*(Nodes!BJ147-BB147)-(ATM_Conf!$C$5*ATM_Conf!$C$9)/(AH335*ATM_Conf!$C$8)*(AI147-AH147)/(AH147+ATM_Conf!$C$10)</f>
        <v>#DIV/0!</v>
      </c>
      <c r="BC148" s="43" t="e">
        <f>BC147+(ATM_Conf!$C$5/ATM_Conf!$C$8)*(BW148*EXP(-(1/DK148)*(AI148/CQ148)^DK148)-BC147)+(ATM_Conf!$C$5/AI335)*BC147*(BB147-BC147)-(ATM_Conf!$C$5*ATM_Conf!$C$9)/(AI335*ATM_Conf!$C$8)*(AJ147-AI147)/(AI147+ATM_Conf!$C$10)</f>
        <v>#DIV/0!</v>
      </c>
      <c r="BD148" s="43" t="e">
        <f>BD147+(ATM_Conf!$C$5/ATM_Conf!$C$8)*(BX148*EXP(-(1/DL148)*(AJ148/CR148)^DL148)-BD147)+(ATM_Conf!$C$5/AJ335)*BD147*(BC147-BD147)-(ATM_Conf!$C$5*ATM_Conf!$C$9)/(AJ335*ATM_Conf!$C$8)*(Nodes!BX147-AJ147)/(AJ147+ATM_Conf!$C$10)</f>
        <v>#DIV/0!</v>
      </c>
      <c r="BE148" s="43" t="e">
        <f>BE147+(ATM_Conf!$C$5/ATM_Conf!$C$8)*(BY148*EXP(-(1/DM148)*(AK148/CS148)^DM148)-BE147)+(ATM_Conf!$C$5/AK335)*BE147*(Nodes!BK147-BE147)-(ATM_Conf!$C$5*ATM_Conf!$C$9)/(AK335*ATM_Conf!$C$8)*(Nodes!BY147-AK147)/(AK147+ATM_Conf!$C$10)</f>
        <v>#DIV/0!</v>
      </c>
      <c r="BF148" s="43" t="e">
        <f>BF147+(ATM_Conf!$C$5/ATM_Conf!$C$8)*(BZ148*EXP(-(1/DN148)*(AL148/CT148)^DN148)-BF147)+(ATM_Conf!$C$5/AL335)*BF147*(BE147-BF147)-(ATM_Conf!$C$5*ATM_Conf!$C$9)/(AL335*ATM_Conf!$C$8)*(AM147-AL147)/(AL147+ATM_Conf!$C$10)</f>
        <v>#DIV/0!</v>
      </c>
      <c r="BG148" s="43" t="e">
        <f>BG147+(ATM_Conf!$C$5/ATM_Conf!$C$8)*(CA148*EXP(-(1/DO148)*(AM148/CU148)^DO148)-BG147)+(ATM_Conf!$C$5/AM335)*BG147*(Nodes!BM147-BG147)-(ATM_Conf!$C$5*ATM_Conf!$C$9)/(AM335*ATM_Conf!$C$8)*(Nodes!CA147-AM147)/(AM147+ATM_Conf!$C$10)</f>
        <v>#DIV/0!</v>
      </c>
      <c r="BH148" s="43" t="e">
        <f>BH147+(ATM_Conf!$C$5/ATM_Conf!$C$8)*(CB148*EXP(-(1/DP148)*(AN148/CV148)^DP148)-BH147)+(ATM_Conf!$C$5/AN335)*BH147*(BG147-BH147)-(ATM_Conf!$C$5*ATM_Conf!$C$9)/(AN335*ATM_Conf!$C$8)*(AO147-AN147)/(AN147+ATM_Conf!$C$10)</f>
        <v>#DIV/0!</v>
      </c>
      <c r="BI148" s="43" t="e">
        <f>BI147+(ATM_Conf!$C$5/ATM_Conf!$C$8)*(CC148*EXP(-(1/DQ148)*(AO148/CW148)^DQ148)-BI147)+(ATM_Conf!$C$5/AO335)*BI147*(BH147-BI147)</f>
        <v>#DIV/0!</v>
      </c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53"/>
      <c r="CY148" s="53"/>
      <c r="CZ148" s="53"/>
      <c r="DA148" s="53"/>
      <c r="DB148" s="53"/>
      <c r="DC148" s="53"/>
      <c r="DD148" s="53"/>
      <c r="DE148" s="53"/>
      <c r="DF148" s="53"/>
      <c r="DG148" s="53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  <c r="DR148" s="43">
        <f>DR$147</f>
        <v>0</v>
      </c>
      <c r="DS148" s="43">
        <f t="shared" ref="DS148:EK158" si="98">DS$147</f>
        <v>0</v>
      </c>
      <c r="DT148" s="43">
        <f t="shared" si="98"/>
        <v>0</v>
      </c>
      <c r="DU148" s="43">
        <f t="shared" si="98"/>
        <v>0</v>
      </c>
      <c r="DV148" s="43">
        <f t="shared" si="98"/>
        <v>0</v>
      </c>
      <c r="DW148" s="43">
        <f t="shared" si="98"/>
        <v>0</v>
      </c>
      <c r="DX148" s="43">
        <f t="shared" si="98"/>
        <v>0</v>
      </c>
      <c r="DY148" s="43">
        <f t="shared" si="98"/>
        <v>0</v>
      </c>
      <c r="DZ148" s="43">
        <f t="shared" si="98"/>
        <v>0</v>
      </c>
      <c r="EA148" s="43">
        <f t="shared" si="98"/>
        <v>0</v>
      </c>
      <c r="EB148" s="43">
        <f t="shared" si="98"/>
        <v>0</v>
      </c>
      <c r="EC148" s="43">
        <f t="shared" si="98"/>
        <v>0</v>
      </c>
      <c r="ED148" s="43">
        <f t="shared" si="98"/>
        <v>0</v>
      </c>
      <c r="EE148" s="43">
        <f t="shared" si="98"/>
        <v>0</v>
      </c>
      <c r="EF148" s="43">
        <f t="shared" si="98"/>
        <v>0</v>
      </c>
      <c r="EG148" s="43">
        <f t="shared" si="98"/>
        <v>0</v>
      </c>
      <c r="EH148" s="43">
        <f t="shared" si="98"/>
        <v>0</v>
      </c>
      <c r="EI148" s="43">
        <f t="shared" si="98"/>
        <v>0</v>
      </c>
      <c r="EJ148" s="43">
        <f t="shared" si="98"/>
        <v>0</v>
      </c>
      <c r="EK148" s="43">
        <f t="shared" si="98"/>
        <v>0</v>
      </c>
      <c r="EL148" s="47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47"/>
      <c r="FA148" s="47"/>
      <c r="FB148" s="47"/>
      <c r="FC148" s="47"/>
      <c r="FD148" s="47"/>
      <c r="FE148" s="47"/>
    </row>
    <row r="149" spans="1:161" ht="14.25" x14ac:dyDescent="0.15">
      <c r="A149" s="46"/>
      <c r="B149" s="43" t="e">
        <f t="shared" si="74"/>
        <v>#DIV/0!</v>
      </c>
      <c r="C149" s="43" t="e">
        <f t="shared" si="75"/>
        <v>#DIV/0!</v>
      </c>
      <c r="D149" s="43" t="e">
        <f t="shared" si="76"/>
        <v>#DIV/0!</v>
      </c>
      <c r="E149" s="43" t="e">
        <f t="shared" si="77"/>
        <v>#DIV/0!</v>
      </c>
      <c r="F149" s="43" t="e">
        <f t="shared" si="78"/>
        <v>#DIV/0!</v>
      </c>
      <c r="G149" s="43" t="e">
        <f t="shared" si="79"/>
        <v>#DIV/0!</v>
      </c>
      <c r="H149" s="43" t="e">
        <f t="shared" si="80"/>
        <v>#DIV/0!</v>
      </c>
      <c r="I149" s="43" t="e">
        <f t="shared" si="81"/>
        <v>#DIV/0!</v>
      </c>
      <c r="J149" s="43" t="e">
        <f t="shared" si="82"/>
        <v>#DIV/0!</v>
      </c>
      <c r="K149" s="43" t="e">
        <f t="shared" si="83"/>
        <v>#DIV/0!</v>
      </c>
      <c r="L149" s="43" t="e">
        <f t="shared" si="84"/>
        <v>#DIV/0!</v>
      </c>
      <c r="M149" s="43" t="e">
        <f t="shared" si="85"/>
        <v>#DIV/0!</v>
      </c>
      <c r="N149" s="43" t="e">
        <f t="shared" si="86"/>
        <v>#DIV/0!</v>
      </c>
      <c r="O149" s="43" t="e">
        <f t="shared" si="87"/>
        <v>#DIV/0!</v>
      </c>
      <c r="P149" s="43" t="e">
        <f t="shared" si="88"/>
        <v>#DIV/0!</v>
      </c>
      <c r="Q149" s="43" t="e">
        <f t="shared" si="89"/>
        <v>#DIV/0!</v>
      </c>
      <c r="R149" s="43" t="e">
        <f t="shared" si="90"/>
        <v>#DIV/0!</v>
      </c>
      <c r="S149" s="43" t="e">
        <f t="shared" si="91"/>
        <v>#DIV/0!</v>
      </c>
      <c r="T149" s="43" t="e">
        <f t="shared" si="92"/>
        <v>#DIV/0!</v>
      </c>
      <c r="U149" s="43" t="e">
        <f t="shared" si="93"/>
        <v>#DIV/0!</v>
      </c>
      <c r="V149" s="53" t="e">
        <f>V148+ATM_Conf!$C$5*(B148)/(B336*V336)</f>
        <v>#DIV/0!</v>
      </c>
      <c r="W149" s="53" t="e">
        <f>W148+ATM_Conf!$C$5*(C148-B148)/(C336*W336)</f>
        <v>#DIV/0!</v>
      </c>
      <c r="X149" s="53" t="e">
        <f>X148+ATM_Conf!$C$5*(D148-C148)/(D336*X336)</f>
        <v>#DIV/0!</v>
      </c>
      <c r="Y149" s="53" t="e">
        <f>Y148+ATM_Conf!$C$5*(E148-D148)/(E336*Y336)</f>
        <v>#DIV/0!</v>
      </c>
      <c r="Z149" s="53" t="e">
        <f>Z148+ATM_Conf!$C$5*(F148-E148)/(F336*Z336)</f>
        <v>#DIV/0!</v>
      </c>
      <c r="AA149" s="53" t="e">
        <f>AA148+ATM_Conf!$C$5*(G148-F148)/(G336*AA336)</f>
        <v>#DIV/0!</v>
      </c>
      <c r="AB149" s="53" t="e">
        <f>AB148+ATM_Conf!$C$5*(H148-G148)/(H336*AB336)</f>
        <v>#DIV/0!</v>
      </c>
      <c r="AC149" s="53" t="e">
        <f>AC148+ATM_Conf!$C$5*(I148-H148)/(I336*AC336)</f>
        <v>#DIV/0!</v>
      </c>
      <c r="AD149" s="53" t="e">
        <f>AD148+ATM_Conf!$C$5*(J148-I148)/(J336*AD336)</f>
        <v>#DIV/0!</v>
      </c>
      <c r="AE149" s="53" t="e">
        <f>AE148+ATM_Conf!$C$5*(K148-J148)/(K336*AE336)</f>
        <v>#DIV/0!</v>
      </c>
      <c r="AF149" s="53" t="e">
        <f>AF148+ATM_Conf!$C$5*(L148)/(L336*AF336)</f>
        <v>#DIV/0!</v>
      </c>
      <c r="AG149" s="53" t="e">
        <f>AG148+ATM_Conf!$C$5*(M148-L148)/(M336*AG336)</f>
        <v>#DIV/0!</v>
      </c>
      <c r="AH149" s="53" t="e">
        <f>AH148+ATM_Conf!$C$5*(N148-M148)/(N336*AH336)</f>
        <v>#DIV/0!</v>
      </c>
      <c r="AI149" s="53" t="e">
        <f>AI148+ATM_Conf!$C$5*(O148-N148)/(O336*AI336)</f>
        <v>#DIV/0!</v>
      </c>
      <c r="AJ149" s="53" t="e">
        <f>AJ148+ATM_Conf!$C$5*(P148-O148)/(P336*AJ336)</f>
        <v>#DIV/0!</v>
      </c>
      <c r="AK149" s="53" t="e">
        <f>AK148+ATM_Conf!$C$5*(Q148-P148)/(Q336*AK336)</f>
        <v>#DIV/0!</v>
      </c>
      <c r="AL149" s="53" t="e">
        <f>AL148+ATM_Conf!$C$5*(R148-Q148)/(R336*AL336)</f>
        <v>#DIV/0!</v>
      </c>
      <c r="AM149" s="53" t="e">
        <f>AM148+ATM_Conf!$C$5*(S148-R148)/(S336*AM336)</f>
        <v>#DIV/0!</v>
      </c>
      <c r="AN149" s="53" t="e">
        <f>AN148+ATM_Conf!$C$5*(T148-S148)/(T336*AN336)</f>
        <v>#DIV/0!</v>
      </c>
      <c r="AO149" s="53" t="e">
        <f>AO148+ATM_Conf!$C$5*(U148-T148)/(U336*AO336)</f>
        <v>#DIV/0!</v>
      </c>
      <c r="AP149" s="43" t="e">
        <f>AP148+(ATM_Conf!$C$5/ATM_Conf!$C$8)*(BJ149*EXP(-(1/CX149)*(V149/CD149)^CX149)-AP148)-(ATM_Conf!$C$5*ATM_Conf!$C$9)/(V336*ATM_Conf!$C$8)*(Nodes!BO148-V148)/(V148+ATM_Conf!$C$10)</f>
        <v>#DIV/0!</v>
      </c>
      <c r="AQ149" s="43" t="e">
        <f>AQ148+(ATM_Conf!$C$5/ATM_Conf!$C$8)*(BK149*EXP(-(1/CY149)*(W149/CE149)^CY149)-AQ148)+(ATM_Conf!$C$5/W336)*AQ148*(AP148-AQ148)-(ATM_Conf!$C$5*ATM_Conf!$C$9)/(W336*ATM_Conf!$C$8)*(X148-W148)/(W148+ATM_Conf!$C$10)</f>
        <v>#DIV/0!</v>
      </c>
      <c r="AR149" s="43" t="e">
        <f>AR148+(ATM_Conf!$C$5/ATM_Conf!$C$8)*(BL149*EXP(-(1/CZ149)*(X149/CF149)^CZ149)-AR148)+(ATM_Conf!$C$5/X336)*AR148*(Nodes!BC148-AR148)-(ATM_Conf!$C$5*ATM_Conf!$C$9)/(X336*ATM_Conf!$C$8)*(Nodes!BQ148-X148)/(X148+ATM_Conf!$C$10)</f>
        <v>#DIV/0!</v>
      </c>
      <c r="AS149" s="43" t="e">
        <f>AS148+(ATM_Conf!$C$5/ATM_Conf!$C$8)*(BM149*EXP(-(1/DA149)*(Y149/CG149)^DA149)-AS148)+(ATM_Conf!$C$5/Y336)*AS148*(AR148-AS148)-(ATM_Conf!$C$5*ATM_Conf!$C$9)/(Y336*ATM_Conf!$C$8)*(Z148-Y148)/(Y148+ATM_Conf!$C$10)</f>
        <v>#DIV/0!</v>
      </c>
      <c r="AT149" s="43" t="e">
        <f>AT148+(ATM_Conf!$C$5/ATM_Conf!$C$8)*(BN149*EXP(-(1/DB149)*(Z149/CH149)^DB149)-AT148)+(ATM_Conf!$C$5/Z336)*AT148*(Nodes!BE148-AT148)-(ATM_Conf!$C$5*ATM_Conf!$C$9)/(Z336*ATM_Conf!$C$8)*(Nodes!BS148-Z148)/(Z148+ATM_Conf!$C$10)</f>
        <v>#DIV/0!</v>
      </c>
      <c r="AU149" s="43" t="e">
        <f>AU148+(ATM_Conf!$C$5/ATM_Conf!$C$8)*(BO149*EXP(-(1/DC149)*(AA149/CI149)^DC149)-AU148)+(ATM_Conf!$C$5/AA336)*AU148*(Nodes!BF148-AU148)-(ATM_Conf!$C$5*ATM_Conf!$C$9)/(AA336*ATM_Conf!$C$8)*(Nodes!BV148-AA148)/(AA148+ATM_Conf!$C$10)</f>
        <v>#DIV/0!</v>
      </c>
      <c r="AV149" s="43" t="e">
        <f>AV148+(ATM_Conf!$C$5/ATM_Conf!$C$8)*(BP149*EXP(-(1/DD149)*(AB149/CJ149)^DD149)-AV148)+(ATM_Conf!$C$5/AB336)*AV148*(AU148-AV148)-(ATM_Conf!$C$5*ATM_Conf!$C$9)/(AB336*ATM_Conf!$C$8)*(AC148-AB148)/(AB148+ATM_Conf!$C$10)</f>
        <v>#DIV/0!</v>
      </c>
      <c r="AW149" s="43" t="e">
        <f>AW148+(ATM_Conf!$C$5/ATM_Conf!$C$8)*(BQ149*EXP(-(1/DE149)*(AC149/CK149)^DE149)-AW148)+(ATM_Conf!$C$5/AC336)*AW148*(AV148-AW148)-(ATM_Conf!$C$5*ATM_Conf!$C$9)/(AC336*ATM_Conf!$C$8)*(AD148-AC148)/(AC148+ATM_Conf!$C$10)</f>
        <v>#DIV/0!</v>
      </c>
      <c r="AX149" s="43" t="e">
        <f>AX148+(ATM_Conf!$C$5/ATM_Conf!$C$8)*(BR149*EXP(-(1/DF149)*(AD149/CL149)^DF149)-AX148)+(ATM_Conf!$C$5/AD336)*AX148*(Nodes!BG148-AX148)-(ATM_Conf!$C$5*ATM_Conf!$C$9)/(AD336*ATM_Conf!$C$8)*(Nodes!BU148-AD148)/(AD148+ATM_Conf!$C$10)</f>
        <v>#DIV/0!</v>
      </c>
      <c r="AY149" s="43" t="e">
        <f>AY148+(ATM_Conf!$C$5/ATM_Conf!$C$8)*(BS149*EXP(-(1/DG149)*(AE149/CM149)^DG149)-AY148)+(ATM_Conf!$C$5/AE336)*AY148*(Nodes!BF148-AY148)</f>
        <v>#DIV/0!</v>
      </c>
      <c r="AZ149" s="43" t="e">
        <f>AZ148+(ATM_Conf!$C$5/ATM_Conf!$C$8)*(BT149*EXP(-(1/DH149)*(AF149/CN149)^DH149)-AZ148)-(ATM_Conf!$C$5*ATM_Conf!$C$9)/(AF336*ATM_Conf!$C$8)*(Nodes!BV148-AF148)/(AF148+ATM_Conf!$C$10)</f>
        <v>#DIV/0!</v>
      </c>
      <c r="BA149" s="43" t="e">
        <f>BA148+(ATM_Conf!$C$5/ATM_Conf!$C$8)*(BU149*EXP(-(1/DI149)*(AG149/CO149)^DI149)-BA148)+(ATM_Conf!$C$5/AG336)*BA148*(Nodes!BI148-BA148)-(ATM_Conf!$C$5*ATM_Conf!$C$9)/(AG336*ATM_Conf!$C$8)*(Nodes!BW148-AG148)/(AG148+ATM_Conf!$C$10)</f>
        <v>#DIV/0!</v>
      </c>
      <c r="BB149" s="43" t="e">
        <f>BB148+(ATM_Conf!$C$5/ATM_Conf!$C$8)*(BV149*EXP(-(1/DJ149)*(AH149/CP149)^DJ149)-BB148)+(ATM_Conf!$C$5/AH336)*BB148*(Nodes!BJ148-BB148)-(ATM_Conf!$C$5*ATM_Conf!$C$9)/(AH336*ATM_Conf!$C$8)*(AI148-AH148)/(AH148+ATM_Conf!$C$10)</f>
        <v>#DIV/0!</v>
      </c>
      <c r="BC149" s="43" t="e">
        <f>BC148+(ATM_Conf!$C$5/ATM_Conf!$C$8)*(BW149*EXP(-(1/DK149)*(AI149/CQ149)^DK149)-BC148)+(ATM_Conf!$C$5/AI336)*BC148*(BB148-BC148)-(ATM_Conf!$C$5*ATM_Conf!$C$9)/(AI336*ATM_Conf!$C$8)*(AJ148-AI148)/(AI148+ATM_Conf!$C$10)</f>
        <v>#DIV/0!</v>
      </c>
      <c r="BD149" s="43" t="e">
        <f>BD148+(ATM_Conf!$C$5/ATM_Conf!$C$8)*(BX149*EXP(-(1/DL149)*(AJ149/CR149)^DL149)-BD148)+(ATM_Conf!$C$5/AJ336)*BD148*(BC148-BD148)-(ATM_Conf!$C$5*ATM_Conf!$C$9)/(AJ336*ATM_Conf!$C$8)*(Nodes!BX148-AJ148)/(AJ148+ATM_Conf!$C$10)</f>
        <v>#DIV/0!</v>
      </c>
      <c r="BE149" s="43" t="e">
        <f>BE148+(ATM_Conf!$C$5/ATM_Conf!$C$8)*(BY149*EXP(-(1/DM149)*(AK149/CS149)^DM149)-BE148)+(ATM_Conf!$C$5/AK336)*BE148*(Nodes!BK148-BE148)-(ATM_Conf!$C$5*ATM_Conf!$C$9)/(AK336*ATM_Conf!$C$8)*(Nodes!BY148-AK148)/(AK148+ATM_Conf!$C$10)</f>
        <v>#DIV/0!</v>
      </c>
      <c r="BF149" s="43" t="e">
        <f>BF148+(ATM_Conf!$C$5/ATM_Conf!$C$8)*(BZ149*EXP(-(1/DN149)*(AL149/CT149)^DN149)-BF148)+(ATM_Conf!$C$5/AL336)*BF148*(BE148-BF148)-(ATM_Conf!$C$5*ATM_Conf!$C$9)/(AL336*ATM_Conf!$C$8)*(AM148-AL148)/(AL148+ATM_Conf!$C$10)</f>
        <v>#DIV/0!</v>
      </c>
      <c r="BG149" s="43" t="e">
        <f>BG148+(ATM_Conf!$C$5/ATM_Conf!$C$8)*(CA149*EXP(-(1/DO149)*(AM149/CU149)^DO149)-BG148)+(ATM_Conf!$C$5/AM336)*BG148*(Nodes!BM148-BG148)-(ATM_Conf!$C$5*ATM_Conf!$C$9)/(AM336*ATM_Conf!$C$8)*(Nodes!CA148-AM148)/(AM148+ATM_Conf!$C$10)</f>
        <v>#DIV/0!</v>
      </c>
      <c r="BH149" s="43" t="e">
        <f>BH148+(ATM_Conf!$C$5/ATM_Conf!$C$8)*(CB149*EXP(-(1/DP149)*(AN149/CV149)^DP149)-BH148)+(ATM_Conf!$C$5/AN336)*BH148*(BG148-BH148)-(ATM_Conf!$C$5*ATM_Conf!$C$9)/(AN336*ATM_Conf!$C$8)*(AO148-AN148)/(AN148+ATM_Conf!$C$10)</f>
        <v>#DIV/0!</v>
      </c>
      <c r="BI149" s="43" t="e">
        <f>BI148+(ATM_Conf!$C$5/ATM_Conf!$C$8)*(CC149*EXP(-(1/DQ149)*(AO149/CW149)^DQ149)-BI148)+(ATM_Conf!$C$5/AO336)*BI148*(BH148-BI148)</f>
        <v>#DIV/0!</v>
      </c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53"/>
      <c r="CY149" s="53"/>
      <c r="CZ149" s="53"/>
      <c r="DA149" s="53"/>
      <c r="DB149" s="53"/>
      <c r="DC149" s="53"/>
      <c r="DD149" s="53"/>
      <c r="DE149" s="53"/>
      <c r="DF149" s="53"/>
      <c r="DG149" s="53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  <c r="DR149" s="43">
        <f t="shared" ref="DR149:DR158" si="99">DR$147</f>
        <v>0</v>
      </c>
      <c r="DS149" s="43">
        <f t="shared" si="98"/>
        <v>0</v>
      </c>
      <c r="DT149" s="43">
        <f t="shared" si="98"/>
        <v>0</v>
      </c>
      <c r="DU149" s="43">
        <f t="shared" si="98"/>
        <v>0</v>
      </c>
      <c r="DV149" s="43">
        <f t="shared" si="98"/>
        <v>0</v>
      </c>
      <c r="DW149" s="43">
        <f t="shared" si="98"/>
        <v>0</v>
      </c>
      <c r="DX149" s="43">
        <f t="shared" si="98"/>
        <v>0</v>
      </c>
      <c r="DY149" s="43">
        <f t="shared" si="98"/>
        <v>0</v>
      </c>
      <c r="DZ149" s="43">
        <f t="shared" si="98"/>
        <v>0</v>
      </c>
      <c r="EA149" s="43">
        <f t="shared" si="98"/>
        <v>0</v>
      </c>
      <c r="EB149" s="43">
        <f t="shared" si="98"/>
        <v>0</v>
      </c>
      <c r="EC149" s="43">
        <f t="shared" si="98"/>
        <v>0</v>
      </c>
      <c r="ED149" s="43">
        <f t="shared" si="98"/>
        <v>0</v>
      </c>
      <c r="EE149" s="43">
        <f t="shared" si="98"/>
        <v>0</v>
      </c>
      <c r="EF149" s="43">
        <f t="shared" si="98"/>
        <v>0</v>
      </c>
      <c r="EG149" s="43">
        <f t="shared" si="98"/>
        <v>0</v>
      </c>
      <c r="EH149" s="43">
        <f t="shared" si="98"/>
        <v>0</v>
      </c>
      <c r="EI149" s="43">
        <f t="shared" si="98"/>
        <v>0</v>
      </c>
      <c r="EJ149" s="43">
        <f t="shared" si="98"/>
        <v>0</v>
      </c>
      <c r="EK149" s="43">
        <f t="shared" si="98"/>
        <v>0</v>
      </c>
      <c r="EL149" s="47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47"/>
      <c r="FA149" s="47"/>
      <c r="FB149" s="47"/>
      <c r="FC149" s="47"/>
      <c r="FD149" s="47"/>
      <c r="FE149" s="47"/>
    </row>
    <row r="150" spans="1:161" ht="14.25" x14ac:dyDescent="0.15">
      <c r="A150" s="46"/>
      <c r="B150" s="43" t="e">
        <f t="shared" si="74"/>
        <v>#DIV/0!</v>
      </c>
      <c r="C150" s="43" t="e">
        <f t="shared" si="75"/>
        <v>#DIV/0!</v>
      </c>
      <c r="D150" s="43" t="e">
        <f t="shared" si="76"/>
        <v>#DIV/0!</v>
      </c>
      <c r="E150" s="43" t="e">
        <f t="shared" si="77"/>
        <v>#DIV/0!</v>
      </c>
      <c r="F150" s="43" t="e">
        <f t="shared" si="78"/>
        <v>#DIV/0!</v>
      </c>
      <c r="G150" s="43" t="e">
        <f t="shared" si="79"/>
        <v>#DIV/0!</v>
      </c>
      <c r="H150" s="43" t="e">
        <f t="shared" si="80"/>
        <v>#DIV/0!</v>
      </c>
      <c r="I150" s="43" t="e">
        <f t="shared" si="81"/>
        <v>#DIV/0!</v>
      </c>
      <c r="J150" s="43" t="e">
        <f t="shared" si="82"/>
        <v>#DIV/0!</v>
      </c>
      <c r="K150" s="43" t="e">
        <f t="shared" si="83"/>
        <v>#DIV/0!</v>
      </c>
      <c r="L150" s="43" t="e">
        <f t="shared" si="84"/>
        <v>#DIV/0!</v>
      </c>
      <c r="M150" s="43" t="e">
        <f t="shared" si="85"/>
        <v>#DIV/0!</v>
      </c>
      <c r="N150" s="43" t="e">
        <f t="shared" si="86"/>
        <v>#DIV/0!</v>
      </c>
      <c r="O150" s="43" t="e">
        <f t="shared" si="87"/>
        <v>#DIV/0!</v>
      </c>
      <c r="P150" s="43" t="e">
        <f t="shared" si="88"/>
        <v>#DIV/0!</v>
      </c>
      <c r="Q150" s="43" t="e">
        <f t="shared" si="89"/>
        <v>#DIV/0!</v>
      </c>
      <c r="R150" s="43" t="e">
        <f t="shared" si="90"/>
        <v>#DIV/0!</v>
      </c>
      <c r="S150" s="43" t="e">
        <f t="shared" si="91"/>
        <v>#DIV/0!</v>
      </c>
      <c r="T150" s="43" t="e">
        <f t="shared" si="92"/>
        <v>#DIV/0!</v>
      </c>
      <c r="U150" s="43" t="e">
        <f t="shared" si="93"/>
        <v>#DIV/0!</v>
      </c>
      <c r="V150" s="53" t="e">
        <f>V149+ATM_Conf!$C$5*(B149)/(B337*V337)</f>
        <v>#DIV/0!</v>
      </c>
      <c r="W150" s="53" t="e">
        <f>W149+ATM_Conf!$C$5*(C149-B149)/(C337*W337)</f>
        <v>#DIV/0!</v>
      </c>
      <c r="X150" s="53" t="e">
        <f>X149+ATM_Conf!$C$5*(D149-C149)/(D337*X337)</f>
        <v>#DIV/0!</v>
      </c>
      <c r="Y150" s="53" t="e">
        <f>Y149+ATM_Conf!$C$5*(E149-D149)/(E337*Y337)</f>
        <v>#DIV/0!</v>
      </c>
      <c r="Z150" s="53" t="e">
        <f>Z149+ATM_Conf!$C$5*(F149-E149)/(F337*Z337)</f>
        <v>#DIV/0!</v>
      </c>
      <c r="AA150" s="53" t="e">
        <f>AA149+ATM_Conf!$C$5*(G149-F149)/(G337*AA337)</f>
        <v>#DIV/0!</v>
      </c>
      <c r="AB150" s="53" t="e">
        <f>AB149+ATM_Conf!$C$5*(H149-G149)/(H337*AB337)</f>
        <v>#DIV/0!</v>
      </c>
      <c r="AC150" s="53" t="e">
        <f>AC149+ATM_Conf!$C$5*(I149-H149)/(I337*AC337)</f>
        <v>#DIV/0!</v>
      </c>
      <c r="AD150" s="53" t="e">
        <f>AD149+ATM_Conf!$C$5*(J149-I149)/(J337*AD337)</f>
        <v>#DIV/0!</v>
      </c>
      <c r="AE150" s="53" t="e">
        <f>AE149+ATM_Conf!$C$5*(K149-J149)/(K337*AE337)</f>
        <v>#DIV/0!</v>
      </c>
      <c r="AF150" s="53" t="e">
        <f>AF149+ATM_Conf!$C$5*(L149)/(L337*AF337)</f>
        <v>#DIV/0!</v>
      </c>
      <c r="AG150" s="53" t="e">
        <f>AG149+ATM_Conf!$C$5*(M149-L149)/(M337*AG337)</f>
        <v>#DIV/0!</v>
      </c>
      <c r="AH150" s="53" t="e">
        <f>AH149+ATM_Conf!$C$5*(N149-M149)/(N337*AH337)</f>
        <v>#DIV/0!</v>
      </c>
      <c r="AI150" s="53" t="e">
        <f>AI149+ATM_Conf!$C$5*(O149-N149)/(O337*AI337)</f>
        <v>#DIV/0!</v>
      </c>
      <c r="AJ150" s="53" t="e">
        <f>AJ149+ATM_Conf!$C$5*(P149-O149)/(P337*AJ337)</f>
        <v>#DIV/0!</v>
      </c>
      <c r="AK150" s="53" t="e">
        <f>AK149+ATM_Conf!$C$5*(Q149-P149)/(Q337*AK337)</f>
        <v>#DIV/0!</v>
      </c>
      <c r="AL150" s="53" t="e">
        <f>AL149+ATM_Conf!$C$5*(R149-Q149)/(R337*AL337)</f>
        <v>#DIV/0!</v>
      </c>
      <c r="AM150" s="53" t="e">
        <f>AM149+ATM_Conf!$C$5*(S149-R149)/(S337*AM337)</f>
        <v>#DIV/0!</v>
      </c>
      <c r="AN150" s="53" t="e">
        <f>AN149+ATM_Conf!$C$5*(T149-S149)/(T337*AN337)</f>
        <v>#DIV/0!</v>
      </c>
      <c r="AO150" s="53" t="e">
        <f>AO149+ATM_Conf!$C$5*(U149-T149)/(U337*AO337)</f>
        <v>#DIV/0!</v>
      </c>
      <c r="AP150" s="43" t="e">
        <f>AP149+(ATM_Conf!$C$5/ATM_Conf!$C$8)*(BJ150*EXP(-(1/CX150)*(V150/CD150)^CX150)-AP149)-(ATM_Conf!$C$5*ATM_Conf!$C$9)/(V337*ATM_Conf!$C$8)*(Nodes!BO149-V149)/(V149+ATM_Conf!$C$10)</f>
        <v>#DIV/0!</v>
      </c>
      <c r="AQ150" s="43" t="e">
        <f>AQ149+(ATM_Conf!$C$5/ATM_Conf!$C$8)*(BK150*EXP(-(1/CY150)*(W150/CE150)^CY150)-AQ149)+(ATM_Conf!$C$5/W337)*AQ149*(AP149-AQ149)-(ATM_Conf!$C$5*ATM_Conf!$C$9)/(W337*ATM_Conf!$C$8)*(X149-W149)/(W149+ATM_Conf!$C$10)</f>
        <v>#DIV/0!</v>
      </c>
      <c r="AR150" s="43" t="e">
        <f>AR149+(ATM_Conf!$C$5/ATM_Conf!$C$8)*(BL150*EXP(-(1/CZ150)*(X150/CF150)^CZ150)-AR149)+(ATM_Conf!$C$5/X337)*AR149*(Nodes!BC149-AR149)-(ATM_Conf!$C$5*ATM_Conf!$C$9)/(X337*ATM_Conf!$C$8)*(Nodes!BQ149-X149)/(X149+ATM_Conf!$C$10)</f>
        <v>#DIV/0!</v>
      </c>
      <c r="AS150" s="43" t="e">
        <f>AS149+(ATM_Conf!$C$5/ATM_Conf!$C$8)*(BM150*EXP(-(1/DA150)*(Y150/CG150)^DA150)-AS149)+(ATM_Conf!$C$5/Y337)*AS149*(AR149-AS149)-(ATM_Conf!$C$5*ATM_Conf!$C$9)/(Y337*ATM_Conf!$C$8)*(Z149-Y149)/(Y149+ATM_Conf!$C$10)</f>
        <v>#DIV/0!</v>
      </c>
      <c r="AT150" s="43" t="e">
        <f>AT149+(ATM_Conf!$C$5/ATM_Conf!$C$8)*(BN150*EXP(-(1/DB150)*(Z150/CH150)^DB150)-AT149)+(ATM_Conf!$C$5/Z337)*AT149*(Nodes!BE149-AT149)-(ATM_Conf!$C$5*ATM_Conf!$C$9)/(Z337*ATM_Conf!$C$8)*(Nodes!BS149-Z149)/(Z149+ATM_Conf!$C$10)</f>
        <v>#DIV/0!</v>
      </c>
      <c r="AU150" s="43" t="e">
        <f>AU149+(ATM_Conf!$C$5/ATM_Conf!$C$8)*(BO150*EXP(-(1/DC150)*(AA150/CI150)^DC150)-AU149)+(ATM_Conf!$C$5/AA337)*AU149*(Nodes!BF149-AU149)-(ATM_Conf!$C$5*ATM_Conf!$C$9)/(AA337*ATM_Conf!$C$8)*(Nodes!BV149-AA149)/(AA149+ATM_Conf!$C$10)</f>
        <v>#DIV/0!</v>
      </c>
      <c r="AV150" s="43" t="e">
        <f>AV149+(ATM_Conf!$C$5/ATM_Conf!$C$8)*(BP150*EXP(-(1/DD150)*(AB150/CJ150)^DD150)-AV149)+(ATM_Conf!$C$5/AB337)*AV149*(AU149-AV149)-(ATM_Conf!$C$5*ATM_Conf!$C$9)/(AB337*ATM_Conf!$C$8)*(AC149-AB149)/(AB149+ATM_Conf!$C$10)</f>
        <v>#DIV/0!</v>
      </c>
      <c r="AW150" s="43" t="e">
        <f>AW149+(ATM_Conf!$C$5/ATM_Conf!$C$8)*(BQ150*EXP(-(1/DE150)*(AC150/CK150)^DE150)-AW149)+(ATM_Conf!$C$5/AC337)*AW149*(AV149-AW149)-(ATM_Conf!$C$5*ATM_Conf!$C$9)/(AC337*ATM_Conf!$C$8)*(AD149-AC149)/(AC149+ATM_Conf!$C$10)</f>
        <v>#DIV/0!</v>
      </c>
      <c r="AX150" s="43" t="e">
        <f>AX149+(ATM_Conf!$C$5/ATM_Conf!$C$8)*(BR150*EXP(-(1/DF150)*(AD150/CL150)^DF150)-AX149)+(ATM_Conf!$C$5/AD337)*AX149*(Nodes!BG149-AX149)-(ATM_Conf!$C$5*ATM_Conf!$C$9)/(AD337*ATM_Conf!$C$8)*(Nodes!BU149-AD149)/(AD149+ATM_Conf!$C$10)</f>
        <v>#DIV/0!</v>
      </c>
      <c r="AY150" s="43" t="e">
        <f>AY149+(ATM_Conf!$C$5/ATM_Conf!$C$8)*(BS150*EXP(-(1/DG150)*(AE150/CM150)^DG150)-AY149)+(ATM_Conf!$C$5/AE337)*AY149*(Nodes!BF149-AY149)</f>
        <v>#DIV/0!</v>
      </c>
      <c r="AZ150" s="43" t="e">
        <f>AZ149+(ATM_Conf!$C$5/ATM_Conf!$C$8)*(BT150*EXP(-(1/DH150)*(AF150/CN150)^DH150)-AZ149)-(ATM_Conf!$C$5*ATM_Conf!$C$9)/(AF337*ATM_Conf!$C$8)*(Nodes!BV149-AF149)/(AF149+ATM_Conf!$C$10)</f>
        <v>#DIV/0!</v>
      </c>
      <c r="BA150" s="43" t="e">
        <f>BA149+(ATM_Conf!$C$5/ATM_Conf!$C$8)*(BU150*EXP(-(1/DI150)*(AG150/CO150)^DI150)-BA149)+(ATM_Conf!$C$5/AG337)*BA149*(Nodes!BI149-BA149)-(ATM_Conf!$C$5*ATM_Conf!$C$9)/(AG337*ATM_Conf!$C$8)*(Nodes!BW149-AG149)/(AG149+ATM_Conf!$C$10)</f>
        <v>#DIV/0!</v>
      </c>
      <c r="BB150" s="43" t="e">
        <f>BB149+(ATM_Conf!$C$5/ATM_Conf!$C$8)*(BV150*EXP(-(1/DJ150)*(AH150/CP150)^DJ150)-BB149)+(ATM_Conf!$C$5/AH337)*BB149*(Nodes!BJ149-BB149)-(ATM_Conf!$C$5*ATM_Conf!$C$9)/(AH337*ATM_Conf!$C$8)*(AI149-AH149)/(AH149+ATM_Conf!$C$10)</f>
        <v>#DIV/0!</v>
      </c>
      <c r="BC150" s="43" t="e">
        <f>BC149+(ATM_Conf!$C$5/ATM_Conf!$C$8)*(BW150*EXP(-(1/DK150)*(AI150/CQ150)^DK150)-BC149)+(ATM_Conf!$C$5/AI337)*BC149*(BB149-BC149)-(ATM_Conf!$C$5*ATM_Conf!$C$9)/(AI337*ATM_Conf!$C$8)*(AJ149-AI149)/(AI149+ATM_Conf!$C$10)</f>
        <v>#DIV/0!</v>
      </c>
      <c r="BD150" s="43" t="e">
        <f>BD149+(ATM_Conf!$C$5/ATM_Conf!$C$8)*(BX150*EXP(-(1/DL150)*(AJ150/CR150)^DL150)-BD149)+(ATM_Conf!$C$5/AJ337)*BD149*(BC149-BD149)-(ATM_Conf!$C$5*ATM_Conf!$C$9)/(AJ337*ATM_Conf!$C$8)*(Nodes!BX149-AJ149)/(AJ149+ATM_Conf!$C$10)</f>
        <v>#DIV/0!</v>
      </c>
      <c r="BE150" s="43" t="e">
        <f>BE149+(ATM_Conf!$C$5/ATM_Conf!$C$8)*(BY150*EXP(-(1/DM150)*(AK150/CS150)^DM150)-BE149)+(ATM_Conf!$C$5/AK337)*BE149*(Nodes!BK149-BE149)-(ATM_Conf!$C$5*ATM_Conf!$C$9)/(AK337*ATM_Conf!$C$8)*(Nodes!BY149-AK149)/(AK149+ATM_Conf!$C$10)</f>
        <v>#DIV/0!</v>
      </c>
      <c r="BF150" s="43" t="e">
        <f>BF149+(ATM_Conf!$C$5/ATM_Conf!$C$8)*(BZ150*EXP(-(1/DN150)*(AL150/CT150)^DN150)-BF149)+(ATM_Conf!$C$5/AL337)*BF149*(BE149-BF149)-(ATM_Conf!$C$5*ATM_Conf!$C$9)/(AL337*ATM_Conf!$C$8)*(AM149-AL149)/(AL149+ATM_Conf!$C$10)</f>
        <v>#DIV/0!</v>
      </c>
      <c r="BG150" s="43" t="e">
        <f>BG149+(ATM_Conf!$C$5/ATM_Conf!$C$8)*(CA150*EXP(-(1/DO150)*(AM150/CU150)^DO150)-BG149)+(ATM_Conf!$C$5/AM337)*BG149*(Nodes!BM149-BG149)-(ATM_Conf!$C$5*ATM_Conf!$C$9)/(AM337*ATM_Conf!$C$8)*(Nodes!CA149-AM149)/(AM149+ATM_Conf!$C$10)</f>
        <v>#DIV/0!</v>
      </c>
      <c r="BH150" s="43" t="e">
        <f>BH149+(ATM_Conf!$C$5/ATM_Conf!$C$8)*(CB150*EXP(-(1/DP150)*(AN150/CV150)^DP150)-BH149)+(ATM_Conf!$C$5/AN337)*BH149*(BG149-BH149)-(ATM_Conf!$C$5*ATM_Conf!$C$9)/(AN337*ATM_Conf!$C$8)*(AO149-AN149)/(AN149+ATM_Conf!$C$10)</f>
        <v>#DIV/0!</v>
      </c>
      <c r="BI150" s="43" t="e">
        <f>BI149+(ATM_Conf!$C$5/ATM_Conf!$C$8)*(CC150*EXP(-(1/DQ150)*(AO150/CW150)^DQ150)-BI149)+(ATM_Conf!$C$5/AO337)*BI149*(BH149-BI149)</f>
        <v>#DIV/0!</v>
      </c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53"/>
      <c r="CY150" s="53"/>
      <c r="CZ150" s="53"/>
      <c r="DA150" s="53"/>
      <c r="DB150" s="53"/>
      <c r="DC150" s="53"/>
      <c r="DD150" s="53"/>
      <c r="DE150" s="53"/>
      <c r="DF150" s="53"/>
      <c r="DG150" s="53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  <c r="DR150" s="43">
        <f t="shared" si="99"/>
        <v>0</v>
      </c>
      <c r="DS150" s="43">
        <f t="shared" si="98"/>
        <v>0</v>
      </c>
      <c r="DT150" s="43">
        <f t="shared" si="98"/>
        <v>0</v>
      </c>
      <c r="DU150" s="43">
        <f t="shared" si="98"/>
        <v>0</v>
      </c>
      <c r="DV150" s="43">
        <f t="shared" si="98"/>
        <v>0</v>
      </c>
      <c r="DW150" s="43">
        <f t="shared" si="98"/>
        <v>0</v>
      </c>
      <c r="DX150" s="43">
        <f t="shared" si="98"/>
        <v>0</v>
      </c>
      <c r="DY150" s="43">
        <f t="shared" si="98"/>
        <v>0</v>
      </c>
      <c r="DZ150" s="43">
        <f t="shared" si="98"/>
        <v>0</v>
      </c>
      <c r="EA150" s="43">
        <f t="shared" si="98"/>
        <v>0</v>
      </c>
      <c r="EB150" s="43">
        <f t="shared" si="98"/>
        <v>0</v>
      </c>
      <c r="EC150" s="43">
        <f t="shared" si="98"/>
        <v>0</v>
      </c>
      <c r="ED150" s="43">
        <f t="shared" si="98"/>
        <v>0</v>
      </c>
      <c r="EE150" s="43">
        <f t="shared" si="98"/>
        <v>0</v>
      </c>
      <c r="EF150" s="43">
        <f t="shared" si="98"/>
        <v>0</v>
      </c>
      <c r="EG150" s="43">
        <f t="shared" si="98"/>
        <v>0</v>
      </c>
      <c r="EH150" s="43">
        <f t="shared" si="98"/>
        <v>0</v>
      </c>
      <c r="EI150" s="43">
        <f t="shared" si="98"/>
        <v>0</v>
      </c>
      <c r="EJ150" s="43">
        <f t="shared" si="98"/>
        <v>0</v>
      </c>
      <c r="EK150" s="43">
        <f t="shared" si="98"/>
        <v>0</v>
      </c>
      <c r="EL150" s="47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47"/>
      <c r="FA150" s="47"/>
      <c r="FB150" s="47"/>
      <c r="FC150" s="47"/>
      <c r="FD150" s="47"/>
      <c r="FE150" s="47"/>
    </row>
    <row r="151" spans="1:161" ht="14.25" x14ac:dyDescent="0.15">
      <c r="A151" s="46"/>
      <c r="B151" s="43" t="e">
        <f t="shared" si="74"/>
        <v>#DIV/0!</v>
      </c>
      <c r="C151" s="43" t="e">
        <f t="shared" si="75"/>
        <v>#DIV/0!</v>
      </c>
      <c r="D151" s="43" t="e">
        <f t="shared" si="76"/>
        <v>#DIV/0!</v>
      </c>
      <c r="E151" s="43" t="e">
        <f t="shared" si="77"/>
        <v>#DIV/0!</v>
      </c>
      <c r="F151" s="43" t="e">
        <f t="shared" si="78"/>
        <v>#DIV/0!</v>
      </c>
      <c r="G151" s="43" t="e">
        <f t="shared" si="79"/>
        <v>#DIV/0!</v>
      </c>
      <c r="H151" s="43" t="e">
        <f t="shared" si="80"/>
        <v>#DIV/0!</v>
      </c>
      <c r="I151" s="43" t="e">
        <f t="shared" si="81"/>
        <v>#DIV/0!</v>
      </c>
      <c r="J151" s="43" t="e">
        <f t="shared" si="82"/>
        <v>#DIV/0!</v>
      </c>
      <c r="K151" s="43" t="e">
        <f t="shared" si="83"/>
        <v>#DIV/0!</v>
      </c>
      <c r="L151" s="43" t="e">
        <f t="shared" si="84"/>
        <v>#DIV/0!</v>
      </c>
      <c r="M151" s="43" t="e">
        <f t="shared" si="85"/>
        <v>#DIV/0!</v>
      </c>
      <c r="N151" s="43" t="e">
        <f t="shared" si="86"/>
        <v>#DIV/0!</v>
      </c>
      <c r="O151" s="43" t="e">
        <f t="shared" si="87"/>
        <v>#DIV/0!</v>
      </c>
      <c r="P151" s="43" t="e">
        <f t="shared" si="88"/>
        <v>#DIV/0!</v>
      </c>
      <c r="Q151" s="43" t="e">
        <f t="shared" si="89"/>
        <v>#DIV/0!</v>
      </c>
      <c r="R151" s="43" t="e">
        <f t="shared" si="90"/>
        <v>#DIV/0!</v>
      </c>
      <c r="S151" s="43" t="e">
        <f t="shared" si="91"/>
        <v>#DIV/0!</v>
      </c>
      <c r="T151" s="43" t="e">
        <f t="shared" si="92"/>
        <v>#DIV/0!</v>
      </c>
      <c r="U151" s="43" t="e">
        <f t="shared" si="93"/>
        <v>#DIV/0!</v>
      </c>
      <c r="V151" s="53" t="e">
        <f>V150+ATM_Conf!$C$5*(B150)/(B338*V338)</f>
        <v>#DIV/0!</v>
      </c>
      <c r="W151" s="53" t="e">
        <f>W150+ATM_Conf!$C$5*(C150-B150)/(C338*W338)</f>
        <v>#DIV/0!</v>
      </c>
      <c r="X151" s="53" t="e">
        <f>X150+ATM_Conf!$C$5*(D150-C150)/(D338*X338)</f>
        <v>#DIV/0!</v>
      </c>
      <c r="Y151" s="53" t="e">
        <f>Y150+ATM_Conf!$C$5*(E150-D150)/(E338*Y338)</f>
        <v>#DIV/0!</v>
      </c>
      <c r="Z151" s="53" t="e">
        <f>Z150+ATM_Conf!$C$5*(F150-E150)/(F338*Z338)</f>
        <v>#DIV/0!</v>
      </c>
      <c r="AA151" s="53" t="e">
        <f>AA150+ATM_Conf!$C$5*(G150-F150)/(G338*AA338)</f>
        <v>#DIV/0!</v>
      </c>
      <c r="AB151" s="53" t="e">
        <f>AB150+ATM_Conf!$C$5*(H150-G150)/(H338*AB338)</f>
        <v>#DIV/0!</v>
      </c>
      <c r="AC151" s="53" t="e">
        <f>AC150+ATM_Conf!$C$5*(I150-H150)/(I338*AC338)</f>
        <v>#DIV/0!</v>
      </c>
      <c r="AD151" s="53" t="e">
        <f>AD150+ATM_Conf!$C$5*(J150-I150)/(J338*AD338)</f>
        <v>#DIV/0!</v>
      </c>
      <c r="AE151" s="53" t="e">
        <f>AE150+ATM_Conf!$C$5*(K150-J150)/(K338*AE338)</f>
        <v>#DIV/0!</v>
      </c>
      <c r="AF151" s="53" t="e">
        <f>AF150+ATM_Conf!$C$5*(L150)/(L338*AF338)</f>
        <v>#DIV/0!</v>
      </c>
      <c r="AG151" s="53" t="e">
        <f>AG150+ATM_Conf!$C$5*(M150-L150)/(M338*AG338)</f>
        <v>#DIV/0!</v>
      </c>
      <c r="AH151" s="53" t="e">
        <f>AH150+ATM_Conf!$C$5*(N150-M150)/(N338*AH338)</f>
        <v>#DIV/0!</v>
      </c>
      <c r="AI151" s="53" t="e">
        <f>AI150+ATM_Conf!$C$5*(O150-N150)/(O338*AI338)</f>
        <v>#DIV/0!</v>
      </c>
      <c r="AJ151" s="53" t="e">
        <f>AJ150+ATM_Conf!$C$5*(P150-O150)/(P338*AJ338)</f>
        <v>#DIV/0!</v>
      </c>
      <c r="AK151" s="53" t="e">
        <f>AK150+ATM_Conf!$C$5*(Q150-P150)/(Q338*AK338)</f>
        <v>#DIV/0!</v>
      </c>
      <c r="AL151" s="53" t="e">
        <f>AL150+ATM_Conf!$C$5*(R150-Q150)/(R338*AL338)</f>
        <v>#DIV/0!</v>
      </c>
      <c r="AM151" s="53" t="e">
        <f>AM150+ATM_Conf!$C$5*(S150-R150)/(S338*AM338)</f>
        <v>#DIV/0!</v>
      </c>
      <c r="AN151" s="53" t="e">
        <f>AN150+ATM_Conf!$C$5*(T150-S150)/(T338*AN338)</f>
        <v>#DIV/0!</v>
      </c>
      <c r="AO151" s="53" t="e">
        <f>AO150+ATM_Conf!$C$5*(U150-T150)/(U338*AO338)</f>
        <v>#DIV/0!</v>
      </c>
      <c r="AP151" s="43" t="e">
        <f>AP150+(ATM_Conf!$C$5/ATM_Conf!$C$8)*(BJ151*EXP(-(1/CX151)*(V151/CD151)^CX151)-AP150)-(ATM_Conf!$C$5*ATM_Conf!$C$9)/(V338*ATM_Conf!$C$8)*(Nodes!BO150-V150)/(V150+ATM_Conf!$C$10)</f>
        <v>#DIV/0!</v>
      </c>
      <c r="AQ151" s="43" t="e">
        <f>AQ150+(ATM_Conf!$C$5/ATM_Conf!$C$8)*(BK151*EXP(-(1/CY151)*(W151/CE151)^CY151)-AQ150)+(ATM_Conf!$C$5/W338)*AQ150*(AP150-AQ150)-(ATM_Conf!$C$5*ATM_Conf!$C$9)/(W338*ATM_Conf!$C$8)*(X150-W150)/(W150+ATM_Conf!$C$10)</f>
        <v>#DIV/0!</v>
      </c>
      <c r="AR151" s="43" t="e">
        <f>AR150+(ATM_Conf!$C$5/ATM_Conf!$C$8)*(BL151*EXP(-(1/CZ151)*(X151/CF151)^CZ151)-AR150)+(ATM_Conf!$C$5/X338)*AR150*(Nodes!BC150-AR150)-(ATM_Conf!$C$5*ATM_Conf!$C$9)/(X338*ATM_Conf!$C$8)*(Nodes!BQ150-X150)/(X150+ATM_Conf!$C$10)</f>
        <v>#DIV/0!</v>
      </c>
      <c r="AS151" s="43" t="e">
        <f>AS150+(ATM_Conf!$C$5/ATM_Conf!$C$8)*(BM151*EXP(-(1/DA151)*(Y151/CG151)^DA151)-AS150)+(ATM_Conf!$C$5/Y338)*AS150*(AR150-AS150)-(ATM_Conf!$C$5*ATM_Conf!$C$9)/(Y338*ATM_Conf!$C$8)*(Z150-Y150)/(Y150+ATM_Conf!$C$10)</f>
        <v>#DIV/0!</v>
      </c>
      <c r="AT151" s="43" t="e">
        <f>AT150+(ATM_Conf!$C$5/ATM_Conf!$C$8)*(BN151*EXP(-(1/DB151)*(Z151/CH151)^DB151)-AT150)+(ATM_Conf!$C$5/Z338)*AT150*(Nodes!BE150-AT150)-(ATM_Conf!$C$5*ATM_Conf!$C$9)/(Z338*ATM_Conf!$C$8)*(Nodes!BS150-Z150)/(Z150+ATM_Conf!$C$10)</f>
        <v>#DIV/0!</v>
      </c>
      <c r="AU151" s="43" t="e">
        <f>AU150+(ATM_Conf!$C$5/ATM_Conf!$C$8)*(BO151*EXP(-(1/DC151)*(AA151/CI151)^DC151)-AU150)+(ATM_Conf!$C$5/AA338)*AU150*(Nodes!BF150-AU150)-(ATM_Conf!$C$5*ATM_Conf!$C$9)/(AA338*ATM_Conf!$C$8)*(Nodes!BV150-AA150)/(AA150+ATM_Conf!$C$10)</f>
        <v>#DIV/0!</v>
      </c>
      <c r="AV151" s="43" t="e">
        <f>AV150+(ATM_Conf!$C$5/ATM_Conf!$C$8)*(BP151*EXP(-(1/DD151)*(AB151/CJ151)^DD151)-AV150)+(ATM_Conf!$C$5/AB338)*AV150*(AU150-AV150)-(ATM_Conf!$C$5*ATM_Conf!$C$9)/(AB338*ATM_Conf!$C$8)*(AC150-AB150)/(AB150+ATM_Conf!$C$10)</f>
        <v>#DIV/0!</v>
      </c>
      <c r="AW151" s="43" t="e">
        <f>AW150+(ATM_Conf!$C$5/ATM_Conf!$C$8)*(BQ151*EXP(-(1/DE151)*(AC151/CK151)^DE151)-AW150)+(ATM_Conf!$C$5/AC338)*AW150*(AV150-AW150)-(ATM_Conf!$C$5*ATM_Conf!$C$9)/(AC338*ATM_Conf!$C$8)*(AD150-AC150)/(AC150+ATM_Conf!$C$10)</f>
        <v>#DIV/0!</v>
      </c>
      <c r="AX151" s="43" t="e">
        <f>AX150+(ATM_Conf!$C$5/ATM_Conf!$C$8)*(BR151*EXP(-(1/DF151)*(AD151/CL151)^DF151)-AX150)+(ATM_Conf!$C$5/AD338)*AX150*(Nodes!BG150-AX150)-(ATM_Conf!$C$5*ATM_Conf!$C$9)/(AD338*ATM_Conf!$C$8)*(Nodes!BU150-AD150)/(AD150+ATM_Conf!$C$10)</f>
        <v>#DIV/0!</v>
      </c>
      <c r="AY151" s="43" t="e">
        <f>AY150+(ATM_Conf!$C$5/ATM_Conf!$C$8)*(BS151*EXP(-(1/DG151)*(AE151/CM151)^DG151)-AY150)+(ATM_Conf!$C$5/AE338)*AY150*(Nodes!BF150-AY150)</f>
        <v>#DIV/0!</v>
      </c>
      <c r="AZ151" s="43" t="e">
        <f>AZ150+(ATM_Conf!$C$5/ATM_Conf!$C$8)*(BT151*EXP(-(1/DH151)*(AF151/CN151)^DH151)-AZ150)-(ATM_Conf!$C$5*ATM_Conf!$C$9)/(AF338*ATM_Conf!$C$8)*(Nodes!BV150-AF150)/(AF150+ATM_Conf!$C$10)</f>
        <v>#DIV/0!</v>
      </c>
      <c r="BA151" s="43" t="e">
        <f>BA150+(ATM_Conf!$C$5/ATM_Conf!$C$8)*(BU151*EXP(-(1/DI151)*(AG151/CO151)^DI151)-BA150)+(ATM_Conf!$C$5/AG338)*BA150*(Nodes!BI150-BA150)-(ATM_Conf!$C$5*ATM_Conf!$C$9)/(AG338*ATM_Conf!$C$8)*(Nodes!BW150-AG150)/(AG150+ATM_Conf!$C$10)</f>
        <v>#DIV/0!</v>
      </c>
      <c r="BB151" s="43" t="e">
        <f>BB150+(ATM_Conf!$C$5/ATM_Conf!$C$8)*(BV151*EXP(-(1/DJ151)*(AH151/CP151)^DJ151)-BB150)+(ATM_Conf!$C$5/AH338)*BB150*(Nodes!BJ150-BB150)-(ATM_Conf!$C$5*ATM_Conf!$C$9)/(AH338*ATM_Conf!$C$8)*(AI150-AH150)/(AH150+ATM_Conf!$C$10)</f>
        <v>#DIV/0!</v>
      </c>
      <c r="BC151" s="43" t="e">
        <f>BC150+(ATM_Conf!$C$5/ATM_Conf!$C$8)*(BW151*EXP(-(1/DK151)*(AI151/CQ151)^DK151)-BC150)+(ATM_Conf!$C$5/AI338)*BC150*(BB150-BC150)-(ATM_Conf!$C$5*ATM_Conf!$C$9)/(AI338*ATM_Conf!$C$8)*(AJ150-AI150)/(AI150+ATM_Conf!$C$10)</f>
        <v>#DIV/0!</v>
      </c>
      <c r="BD151" s="43" t="e">
        <f>BD150+(ATM_Conf!$C$5/ATM_Conf!$C$8)*(BX151*EXP(-(1/DL151)*(AJ151/CR151)^DL151)-BD150)+(ATM_Conf!$C$5/AJ338)*BD150*(BC150-BD150)-(ATM_Conf!$C$5*ATM_Conf!$C$9)/(AJ338*ATM_Conf!$C$8)*(Nodes!BX150-AJ150)/(AJ150+ATM_Conf!$C$10)</f>
        <v>#DIV/0!</v>
      </c>
      <c r="BE151" s="43" t="e">
        <f>BE150+(ATM_Conf!$C$5/ATM_Conf!$C$8)*(BY151*EXP(-(1/DM151)*(AK151/CS151)^DM151)-BE150)+(ATM_Conf!$C$5/AK338)*BE150*(Nodes!BK150-BE150)-(ATM_Conf!$C$5*ATM_Conf!$C$9)/(AK338*ATM_Conf!$C$8)*(Nodes!BY150-AK150)/(AK150+ATM_Conf!$C$10)</f>
        <v>#DIV/0!</v>
      </c>
      <c r="BF151" s="43" t="e">
        <f>BF150+(ATM_Conf!$C$5/ATM_Conf!$C$8)*(BZ151*EXP(-(1/DN151)*(AL151/CT151)^DN151)-BF150)+(ATM_Conf!$C$5/AL338)*BF150*(BE150-BF150)-(ATM_Conf!$C$5*ATM_Conf!$C$9)/(AL338*ATM_Conf!$C$8)*(AM150-AL150)/(AL150+ATM_Conf!$C$10)</f>
        <v>#DIV/0!</v>
      </c>
      <c r="BG151" s="43" t="e">
        <f>BG150+(ATM_Conf!$C$5/ATM_Conf!$C$8)*(CA151*EXP(-(1/DO151)*(AM151/CU151)^DO151)-BG150)+(ATM_Conf!$C$5/AM338)*BG150*(Nodes!BM150-BG150)-(ATM_Conf!$C$5*ATM_Conf!$C$9)/(AM338*ATM_Conf!$C$8)*(Nodes!CA150-AM150)/(AM150+ATM_Conf!$C$10)</f>
        <v>#DIV/0!</v>
      </c>
      <c r="BH151" s="43" t="e">
        <f>BH150+(ATM_Conf!$C$5/ATM_Conf!$C$8)*(CB151*EXP(-(1/DP151)*(AN151/CV151)^DP151)-BH150)+(ATM_Conf!$C$5/AN338)*BH150*(BG150-BH150)-(ATM_Conf!$C$5*ATM_Conf!$C$9)/(AN338*ATM_Conf!$C$8)*(AO150-AN150)/(AN150+ATM_Conf!$C$10)</f>
        <v>#DIV/0!</v>
      </c>
      <c r="BI151" s="43" t="e">
        <f>BI150+(ATM_Conf!$C$5/ATM_Conf!$C$8)*(CC151*EXP(-(1/DQ151)*(AO151/CW151)^DQ151)-BI150)+(ATM_Conf!$C$5/AO338)*BI150*(BH150-BI150)</f>
        <v>#DIV/0!</v>
      </c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53"/>
      <c r="CY151" s="53"/>
      <c r="CZ151" s="53"/>
      <c r="DA151" s="53"/>
      <c r="DB151" s="53"/>
      <c r="DC151" s="53"/>
      <c r="DD151" s="53"/>
      <c r="DE151" s="53"/>
      <c r="DF151" s="53"/>
      <c r="DG151" s="53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  <c r="DR151" s="43">
        <f t="shared" si="99"/>
        <v>0</v>
      </c>
      <c r="DS151" s="43">
        <f t="shared" si="98"/>
        <v>0</v>
      </c>
      <c r="DT151" s="43">
        <f t="shared" si="98"/>
        <v>0</v>
      </c>
      <c r="DU151" s="43">
        <f t="shared" si="98"/>
        <v>0</v>
      </c>
      <c r="DV151" s="43">
        <f t="shared" si="98"/>
        <v>0</v>
      </c>
      <c r="DW151" s="43">
        <f t="shared" si="98"/>
        <v>0</v>
      </c>
      <c r="DX151" s="43">
        <f t="shared" si="98"/>
        <v>0</v>
      </c>
      <c r="DY151" s="43">
        <f t="shared" si="98"/>
        <v>0</v>
      </c>
      <c r="DZ151" s="43">
        <f t="shared" si="98"/>
        <v>0</v>
      </c>
      <c r="EA151" s="43">
        <f t="shared" si="98"/>
        <v>0</v>
      </c>
      <c r="EB151" s="43">
        <f t="shared" si="98"/>
        <v>0</v>
      </c>
      <c r="EC151" s="43">
        <f t="shared" si="98"/>
        <v>0</v>
      </c>
      <c r="ED151" s="43">
        <f t="shared" si="98"/>
        <v>0</v>
      </c>
      <c r="EE151" s="43">
        <f t="shared" si="98"/>
        <v>0</v>
      </c>
      <c r="EF151" s="43">
        <f t="shared" si="98"/>
        <v>0</v>
      </c>
      <c r="EG151" s="43">
        <f t="shared" si="98"/>
        <v>0</v>
      </c>
      <c r="EH151" s="43">
        <f t="shared" si="98"/>
        <v>0</v>
      </c>
      <c r="EI151" s="43">
        <f t="shared" si="98"/>
        <v>0</v>
      </c>
      <c r="EJ151" s="43">
        <f t="shared" si="98"/>
        <v>0</v>
      </c>
      <c r="EK151" s="43">
        <f t="shared" si="98"/>
        <v>0</v>
      </c>
      <c r="EL151" s="47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47"/>
      <c r="FA151" s="47"/>
      <c r="FB151" s="47"/>
      <c r="FC151" s="47"/>
      <c r="FD151" s="47"/>
      <c r="FE151" s="47"/>
    </row>
    <row r="152" spans="1:161" ht="14.25" x14ac:dyDescent="0.15">
      <c r="A152" s="46"/>
      <c r="B152" s="43" t="e">
        <f t="shared" si="74"/>
        <v>#DIV/0!</v>
      </c>
      <c r="C152" s="43" t="e">
        <f t="shared" si="75"/>
        <v>#DIV/0!</v>
      </c>
      <c r="D152" s="43" t="e">
        <f t="shared" si="76"/>
        <v>#DIV/0!</v>
      </c>
      <c r="E152" s="43" t="e">
        <f t="shared" si="77"/>
        <v>#DIV/0!</v>
      </c>
      <c r="F152" s="43" t="e">
        <f t="shared" si="78"/>
        <v>#DIV/0!</v>
      </c>
      <c r="G152" s="43" t="e">
        <f t="shared" si="79"/>
        <v>#DIV/0!</v>
      </c>
      <c r="H152" s="43" t="e">
        <f t="shared" si="80"/>
        <v>#DIV/0!</v>
      </c>
      <c r="I152" s="43" t="e">
        <f t="shared" si="81"/>
        <v>#DIV/0!</v>
      </c>
      <c r="J152" s="43" t="e">
        <f t="shared" si="82"/>
        <v>#DIV/0!</v>
      </c>
      <c r="K152" s="43" t="e">
        <f t="shared" si="83"/>
        <v>#DIV/0!</v>
      </c>
      <c r="L152" s="43" t="e">
        <f t="shared" si="84"/>
        <v>#DIV/0!</v>
      </c>
      <c r="M152" s="43" t="e">
        <f t="shared" si="85"/>
        <v>#DIV/0!</v>
      </c>
      <c r="N152" s="43" t="e">
        <f t="shared" si="86"/>
        <v>#DIV/0!</v>
      </c>
      <c r="O152" s="43" t="e">
        <f t="shared" si="87"/>
        <v>#DIV/0!</v>
      </c>
      <c r="P152" s="43" t="e">
        <f t="shared" si="88"/>
        <v>#DIV/0!</v>
      </c>
      <c r="Q152" s="43" t="e">
        <f t="shared" si="89"/>
        <v>#DIV/0!</v>
      </c>
      <c r="R152" s="43" t="e">
        <f t="shared" si="90"/>
        <v>#DIV/0!</v>
      </c>
      <c r="S152" s="43" t="e">
        <f t="shared" si="91"/>
        <v>#DIV/0!</v>
      </c>
      <c r="T152" s="43" t="e">
        <f t="shared" si="92"/>
        <v>#DIV/0!</v>
      </c>
      <c r="U152" s="43" t="e">
        <f t="shared" si="93"/>
        <v>#DIV/0!</v>
      </c>
      <c r="V152" s="53" t="e">
        <f>V151+ATM_Conf!$C$5*(B151)/(B339*V339)</f>
        <v>#DIV/0!</v>
      </c>
      <c r="W152" s="53" t="e">
        <f>W151+ATM_Conf!$C$5*(C151-B151)/(C339*W339)</f>
        <v>#DIV/0!</v>
      </c>
      <c r="X152" s="53" t="e">
        <f>X151+ATM_Conf!$C$5*(D151-C151)/(D339*X339)</f>
        <v>#DIV/0!</v>
      </c>
      <c r="Y152" s="53" t="e">
        <f>Y151+ATM_Conf!$C$5*(E151-D151)/(E339*Y339)</f>
        <v>#DIV/0!</v>
      </c>
      <c r="Z152" s="53" t="e">
        <f>Z151+ATM_Conf!$C$5*(F151-E151)/(F339*Z339)</f>
        <v>#DIV/0!</v>
      </c>
      <c r="AA152" s="53" t="e">
        <f>AA151+ATM_Conf!$C$5*(G151-F151)/(G339*AA339)</f>
        <v>#DIV/0!</v>
      </c>
      <c r="AB152" s="53" t="e">
        <f>AB151+ATM_Conf!$C$5*(H151-G151)/(H339*AB339)</f>
        <v>#DIV/0!</v>
      </c>
      <c r="AC152" s="53" t="e">
        <f>AC151+ATM_Conf!$C$5*(I151-H151)/(I339*AC339)</f>
        <v>#DIV/0!</v>
      </c>
      <c r="AD152" s="53" t="e">
        <f>AD151+ATM_Conf!$C$5*(J151-I151)/(J339*AD339)</f>
        <v>#DIV/0!</v>
      </c>
      <c r="AE152" s="53" t="e">
        <f>AE151+ATM_Conf!$C$5*(K151-J151)/(K339*AE339)</f>
        <v>#DIV/0!</v>
      </c>
      <c r="AF152" s="53" t="e">
        <f>AF151+ATM_Conf!$C$5*(L151)/(L339*AF339)</f>
        <v>#DIV/0!</v>
      </c>
      <c r="AG152" s="53" t="e">
        <f>AG151+ATM_Conf!$C$5*(M151-L151)/(M339*AG339)</f>
        <v>#DIV/0!</v>
      </c>
      <c r="AH152" s="53" t="e">
        <f>AH151+ATM_Conf!$C$5*(N151-M151)/(N339*AH339)</f>
        <v>#DIV/0!</v>
      </c>
      <c r="AI152" s="53" t="e">
        <f>AI151+ATM_Conf!$C$5*(O151-N151)/(O339*AI339)</f>
        <v>#DIV/0!</v>
      </c>
      <c r="AJ152" s="53" t="e">
        <f>AJ151+ATM_Conf!$C$5*(P151-O151)/(P339*AJ339)</f>
        <v>#DIV/0!</v>
      </c>
      <c r="AK152" s="53" t="e">
        <f>AK151+ATM_Conf!$C$5*(Q151-P151)/(Q339*AK339)</f>
        <v>#DIV/0!</v>
      </c>
      <c r="AL152" s="53" t="e">
        <f>AL151+ATM_Conf!$C$5*(R151-Q151)/(R339*AL339)</f>
        <v>#DIV/0!</v>
      </c>
      <c r="AM152" s="53" t="e">
        <f>AM151+ATM_Conf!$C$5*(S151-R151)/(S339*AM339)</f>
        <v>#DIV/0!</v>
      </c>
      <c r="AN152" s="53" t="e">
        <f>AN151+ATM_Conf!$C$5*(T151-S151)/(T339*AN339)</f>
        <v>#DIV/0!</v>
      </c>
      <c r="AO152" s="53" t="e">
        <f>AO151+ATM_Conf!$C$5*(U151-T151)/(U339*AO339)</f>
        <v>#DIV/0!</v>
      </c>
      <c r="AP152" s="43" t="e">
        <f>AP151+(ATM_Conf!$C$5/ATM_Conf!$C$8)*(BJ152*EXP(-(1/CX152)*(V152/CD152)^CX152)-AP151)-(ATM_Conf!$C$5*ATM_Conf!$C$9)/(V339*ATM_Conf!$C$8)*(Nodes!BO151-V151)/(V151+ATM_Conf!$C$10)</f>
        <v>#DIV/0!</v>
      </c>
      <c r="AQ152" s="43" t="e">
        <f>AQ151+(ATM_Conf!$C$5/ATM_Conf!$C$8)*(BK152*EXP(-(1/CY152)*(W152/CE152)^CY152)-AQ151)+(ATM_Conf!$C$5/W339)*AQ151*(AP151-AQ151)-(ATM_Conf!$C$5*ATM_Conf!$C$9)/(W339*ATM_Conf!$C$8)*(X151-W151)/(W151+ATM_Conf!$C$10)</f>
        <v>#DIV/0!</v>
      </c>
      <c r="AR152" s="43" t="e">
        <f>AR151+(ATM_Conf!$C$5/ATM_Conf!$C$8)*(BL152*EXP(-(1/CZ152)*(X152/CF152)^CZ152)-AR151)+(ATM_Conf!$C$5/X339)*AR151*(Nodes!BC151-AR151)-(ATM_Conf!$C$5*ATM_Conf!$C$9)/(X339*ATM_Conf!$C$8)*(Nodes!BQ151-X151)/(X151+ATM_Conf!$C$10)</f>
        <v>#DIV/0!</v>
      </c>
      <c r="AS152" s="43" t="e">
        <f>AS151+(ATM_Conf!$C$5/ATM_Conf!$C$8)*(BM152*EXP(-(1/DA152)*(Y152/CG152)^DA152)-AS151)+(ATM_Conf!$C$5/Y339)*AS151*(AR151-AS151)-(ATM_Conf!$C$5*ATM_Conf!$C$9)/(Y339*ATM_Conf!$C$8)*(Z151-Y151)/(Y151+ATM_Conf!$C$10)</f>
        <v>#DIV/0!</v>
      </c>
      <c r="AT152" s="43" t="e">
        <f>AT151+(ATM_Conf!$C$5/ATM_Conf!$C$8)*(BN152*EXP(-(1/DB152)*(Z152/CH152)^DB152)-AT151)+(ATM_Conf!$C$5/Z339)*AT151*(Nodes!BE151-AT151)-(ATM_Conf!$C$5*ATM_Conf!$C$9)/(Z339*ATM_Conf!$C$8)*(Nodes!BS151-Z151)/(Z151+ATM_Conf!$C$10)</f>
        <v>#DIV/0!</v>
      </c>
      <c r="AU152" s="43" t="e">
        <f>AU151+(ATM_Conf!$C$5/ATM_Conf!$C$8)*(BO152*EXP(-(1/DC152)*(AA152/CI152)^DC152)-AU151)+(ATM_Conf!$C$5/AA339)*AU151*(Nodes!BF151-AU151)-(ATM_Conf!$C$5*ATM_Conf!$C$9)/(AA339*ATM_Conf!$C$8)*(Nodes!BV151-AA151)/(AA151+ATM_Conf!$C$10)</f>
        <v>#DIV/0!</v>
      </c>
      <c r="AV152" s="43" t="e">
        <f>AV151+(ATM_Conf!$C$5/ATM_Conf!$C$8)*(BP152*EXP(-(1/DD152)*(AB152/CJ152)^DD152)-AV151)+(ATM_Conf!$C$5/AB339)*AV151*(AU151-AV151)-(ATM_Conf!$C$5*ATM_Conf!$C$9)/(AB339*ATM_Conf!$C$8)*(AC151-AB151)/(AB151+ATM_Conf!$C$10)</f>
        <v>#DIV/0!</v>
      </c>
      <c r="AW152" s="43" t="e">
        <f>AW151+(ATM_Conf!$C$5/ATM_Conf!$C$8)*(BQ152*EXP(-(1/DE152)*(AC152/CK152)^DE152)-AW151)+(ATM_Conf!$C$5/AC339)*AW151*(AV151-AW151)-(ATM_Conf!$C$5*ATM_Conf!$C$9)/(AC339*ATM_Conf!$C$8)*(AD151-AC151)/(AC151+ATM_Conf!$C$10)</f>
        <v>#DIV/0!</v>
      </c>
      <c r="AX152" s="43" t="e">
        <f>AX151+(ATM_Conf!$C$5/ATM_Conf!$C$8)*(BR152*EXP(-(1/DF152)*(AD152/CL152)^DF152)-AX151)+(ATM_Conf!$C$5/AD339)*AX151*(Nodes!BG151-AX151)-(ATM_Conf!$C$5*ATM_Conf!$C$9)/(AD339*ATM_Conf!$C$8)*(Nodes!BU151-AD151)/(AD151+ATM_Conf!$C$10)</f>
        <v>#DIV/0!</v>
      </c>
      <c r="AY152" s="43" t="e">
        <f>AY151+(ATM_Conf!$C$5/ATM_Conf!$C$8)*(BS152*EXP(-(1/DG152)*(AE152/CM152)^DG152)-AY151)+(ATM_Conf!$C$5/AE339)*AY151*(Nodes!BF151-AY151)</f>
        <v>#DIV/0!</v>
      </c>
      <c r="AZ152" s="43" t="e">
        <f>AZ151+(ATM_Conf!$C$5/ATM_Conf!$C$8)*(BT152*EXP(-(1/DH152)*(AF152/CN152)^DH152)-AZ151)-(ATM_Conf!$C$5*ATM_Conf!$C$9)/(AF339*ATM_Conf!$C$8)*(Nodes!BV151-AF151)/(AF151+ATM_Conf!$C$10)</f>
        <v>#DIV/0!</v>
      </c>
      <c r="BA152" s="43" t="e">
        <f>BA151+(ATM_Conf!$C$5/ATM_Conf!$C$8)*(BU152*EXP(-(1/DI152)*(AG152/CO152)^DI152)-BA151)+(ATM_Conf!$C$5/AG339)*BA151*(Nodes!BI151-BA151)-(ATM_Conf!$C$5*ATM_Conf!$C$9)/(AG339*ATM_Conf!$C$8)*(Nodes!BW151-AG151)/(AG151+ATM_Conf!$C$10)</f>
        <v>#DIV/0!</v>
      </c>
      <c r="BB152" s="43" t="e">
        <f>BB151+(ATM_Conf!$C$5/ATM_Conf!$C$8)*(BV152*EXP(-(1/DJ152)*(AH152/CP152)^DJ152)-BB151)+(ATM_Conf!$C$5/AH339)*BB151*(Nodes!BJ151-BB151)-(ATM_Conf!$C$5*ATM_Conf!$C$9)/(AH339*ATM_Conf!$C$8)*(AI151-AH151)/(AH151+ATM_Conf!$C$10)</f>
        <v>#DIV/0!</v>
      </c>
      <c r="BC152" s="43" t="e">
        <f>BC151+(ATM_Conf!$C$5/ATM_Conf!$C$8)*(BW152*EXP(-(1/DK152)*(AI152/CQ152)^DK152)-BC151)+(ATM_Conf!$C$5/AI339)*BC151*(BB151-BC151)-(ATM_Conf!$C$5*ATM_Conf!$C$9)/(AI339*ATM_Conf!$C$8)*(AJ151-AI151)/(AI151+ATM_Conf!$C$10)</f>
        <v>#DIV/0!</v>
      </c>
      <c r="BD152" s="43" t="e">
        <f>BD151+(ATM_Conf!$C$5/ATM_Conf!$C$8)*(BX152*EXP(-(1/DL152)*(AJ152/CR152)^DL152)-BD151)+(ATM_Conf!$C$5/AJ339)*BD151*(BC151-BD151)-(ATM_Conf!$C$5*ATM_Conf!$C$9)/(AJ339*ATM_Conf!$C$8)*(Nodes!BX151-AJ151)/(AJ151+ATM_Conf!$C$10)</f>
        <v>#DIV/0!</v>
      </c>
      <c r="BE152" s="43" t="e">
        <f>BE151+(ATM_Conf!$C$5/ATM_Conf!$C$8)*(BY152*EXP(-(1/DM152)*(AK152/CS152)^DM152)-BE151)+(ATM_Conf!$C$5/AK339)*BE151*(Nodes!BK151-BE151)-(ATM_Conf!$C$5*ATM_Conf!$C$9)/(AK339*ATM_Conf!$C$8)*(Nodes!BY151-AK151)/(AK151+ATM_Conf!$C$10)</f>
        <v>#DIV/0!</v>
      </c>
      <c r="BF152" s="43" t="e">
        <f>BF151+(ATM_Conf!$C$5/ATM_Conf!$C$8)*(BZ152*EXP(-(1/DN152)*(AL152/CT152)^DN152)-BF151)+(ATM_Conf!$C$5/AL339)*BF151*(BE151-BF151)-(ATM_Conf!$C$5*ATM_Conf!$C$9)/(AL339*ATM_Conf!$C$8)*(AM151-AL151)/(AL151+ATM_Conf!$C$10)</f>
        <v>#DIV/0!</v>
      </c>
      <c r="BG152" s="43" t="e">
        <f>BG151+(ATM_Conf!$C$5/ATM_Conf!$C$8)*(CA152*EXP(-(1/DO152)*(AM152/CU152)^DO152)-BG151)+(ATM_Conf!$C$5/AM339)*BG151*(Nodes!BM151-BG151)-(ATM_Conf!$C$5*ATM_Conf!$C$9)/(AM339*ATM_Conf!$C$8)*(Nodes!CA151-AM151)/(AM151+ATM_Conf!$C$10)</f>
        <v>#DIV/0!</v>
      </c>
      <c r="BH152" s="43" t="e">
        <f>BH151+(ATM_Conf!$C$5/ATM_Conf!$C$8)*(CB152*EXP(-(1/DP152)*(AN152/CV152)^DP152)-BH151)+(ATM_Conf!$C$5/AN339)*BH151*(BG151-BH151)-(ATM_Conf!$C$5*ATM_Conf!$C$9)/(AN339*ATM_Conf!$C$8)*(AO151-AN151)/(AN151+ATM_Conf!$C$10)</f>
        <v>#DIV/0!</v>
      </c>
      <c r="BI152" s="43" t="e">
        <f>BI151+(ATM_Conf!$C$5/ATM_Conf!$C$8)*(CC152*EXP(-(1/DQ152)*(AO152/CW152)^DQ152)-BI151)+(ATM_Conf!$C$5/AO339)*BI151*(BH151-BI151)</f>
        <v>#DIV/0!</v>
      </c>
      <c r="BJ152" s="53"/>
      <c r="BK152" s="53"/>
      <c r="BL152" s="53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/>
      <c r="BW152" s="53"/>
      <c r="BX152" s="53"/>
      <c r="BY152" s="53"/>
      <c r="BZ152" s="53"/>
      <c r="CA152" s="53"/>
      <c r="CB152" s="53"/>
      <c r="CC152" s="53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53"/>
      <c r="CY152" s="53"/>
      <c r="CZ152" s="53"/>
      <c r="DA152" s="53"/>
      <c r="DB152" s="53"/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  <c r="DR152" s="43">
        <f t="shared" si="99"/>
        <v>0</v>
      </c>
      <c r="DS152" s="43">
        <f t="shared" si="98"/>
        <v>0</v>
      </c>
      <c r="DT152" s="43">
        <f t="shared" si="98"/>
        <v>0</v>
      </c>
      <c r="DU152" s="43">
        <f t="shared" si="98"/>
        <v>0</v>
      </c>
      <c r="DV152" s="43">
        <f t="shared" si="98"/>
        <v>0</v>
      </c>
      <c r="DW152" s="43">
        <f t="shared" si="98"/>
        <v>0</v>
      </c>
      <c r="DX152" s="43">
        <f t="shared" si="98"/>
        <v>0</v>
      </c>
      <c r="DY152" s="43">
        <f t="shared" si="98"/>
        <v>0</v>
      </c>
      <c r="DZ152" s="43">
        <f t="shared" si="98"/>
        <v>0</v>
      </c>
      <c r="EA152" s="43">
        <f t="shared" si="98"/>
        <v>0</v>
      </c>
      <c r="EB152" s="43">
        <f t="shared" si="98"/>
        <v>0</v>
      </c>
      <c r="EC152" s="43">
        <f t="shared" si="98"/>
        <v>0</v>
      </c>
      <c r="ED152" s="43">
        <f t="shared" si="98"/>
        <v>0</v>
      </c>
      <c r="EE152" s="43">
        <f t="shared" si="98"/>
        <v>0</v>
      </c>
      <c r="EF152" s="43">
        <f t="shared" si="98"/>
        <v>0</v>
      </c>
      <c r="EG152" s="43">
        <f t="shared" si="98"/>
        <v>0</v>
      </c>
      <c r="EH152" s="43">
        <f t="shared" si="98"/>
        <v>0</v>
      </c>
      <c r="EI152" s="43">
        <f t="shared" si="98"/>
        <v>0</v>
      </c>
      <c r="EJ152" s="43">
        <f t="shared" si="98"/>
        <v>0</v>
      </c>
      <c r="EK152" s="43">
        <f t="shared" si="98"/>
        <v>0</v>
      </c>
      <c r="EL152" s="47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47"/>
      <c r="FA152" s="47"/>
      <c r="FB152" s="47"/>
      <c r="FC152" s="47"/>
      <c r="FD152" s="47"/>
      <c r="FE152" s="47"/>
    </row>
    <row r="153" spans="1:161" ht="14.25" x14ac:dyDescent="0.15">
      <c r="A153" s="46"/>
      <c r="B153" s="43" t="e">
        <f t="shared" si="74"/>
        <v>#DIV/0!</v>
      </c>
      <c r="C153" s="43" t="e">
        <f t="shared" si="75"/>
        <v>#DIV/0!</v>
      </c>
      <c r="D153" s="43" t="e">
        <f t="shared" si="76"/>
        <v>#DIV/0!</v>
      </c>
      <c r="E153" s="43" t="e">
        <f t="shared" si="77"/>
        <v>#DIV/0!</v>
      </c>
      <c r="F153" s="43" t="e">
        <f t="shared" si="78"/>
        <v>#DIV/0!</v>
      </c>
      <c r="G153" s="43" t="e">
        <f t="shared" si="79"/>
        <v>#DIV/0!</v>
      </c>
      <c r="H153" s="43" t="e">
        <f t="shared" si="80"/>
        <v>#DIV/0!</v>
      </c>
      <c r="I153" s="43" t="e">
        <f t="shared" si="81"/>
        <v>#DIV/0!</v>
      </c>
      <c r="J153" s="43" t="e">
        <f t="shared" si="82"/>
        <v>#DIV/0!</v>
      </c>
      <c r="K153" s="43" t="e">
        <f t="shared" si="83"/>
        <v>#DIV/0!</v>
      </c>
      <c r="L153" s="43" t="e">
        <f t="shared" si="84"/>
        <v>#DIV/0!</v>
      </c>
      <c r="M153" s="43" t="e">
        <f t="shared" si="85"/>
        <v>#DIV/0!</v>
      </c>
      <c r="N153" s="43" t="e">
        <f t="shared" si="86"/>
        <v>#DIV/0!</v>
      </c>
      <c r="O153" s="43" t="e">
        <f t="shared" si="87"/>
        <v>#DIV/0!</v>
      </c>
      <c r="P153" s="43" t="e">
        <f t="shared" si="88"/>
        <v>#DIV/0!</v>
      </c>
      <c r="Q153" s="43" t="e">
        <f t="shared" si="89"/>
        <v>#DIV/0!</v>
      </c>
      <c r="R153" s="43" t="e">
        <f t="shared" si="90"/>
        <v>#DIV/0!</v>
      </c>
      <c r="S153" s="43" t="e">
        <f t="shared" si="91"/>
        <v>#DIV/0!</v>
      </c>
      <c r="T153" s="43" t="e">
        <f t="shared" si="92"/>
        <v>#DIV/0!</v>
      </c>
      <c r="U153" s="43" t="e">
        <f t="shared" si="93"/>
        <v>#DIV/0!</v>
      </c>
      <c r="V153" s="53" t="e">
        <f>V152+ATM_Conf!$C$5*(B152)/(B340*V340)</f>
        <v>#DIV/0!</v>
      </c>
      <c r="W153" s="53" t="e">
        <f>W152+ATM_Conf!$C$5*(C152-B152)/(C340*W340)</f>
        <v>#DIV/0!</v>
      </c>
      <c r="X153" s="53" t="e">
        <f>X152+ATM_Conf!$C$5*(D152-C152)/(D340*X340)</f>
        <v>#DIV/0!</v>
      </c>
      <c r="Y153" s="53" t="e">
        <f>Y152+ATM_Conf!$C$5*(E152-D152)/(E340*Y340)</f>
        <v>#DIV/0!</v>
      </c>
      <c r="Z153" s="53" t="e">
        <f>Z152+ATM_Conf!$C$5*(F152-E152)/(F340*Z340)</f>
        <v>#DIV/0!</v>
      </c>
      <c r="AA153" s="53" t="e">
        <f>AA152+ATM_Conf!$C$5*(G152-F152)/(G340*AA340)</f>
        <v>#DIV/0!</v>
      </c>
      <c r="AB153" s="53" t="e">
        <f>AB152+ATM_Conf!$C$5*(H152-G152)/(H340*AB340)</f>
        <v>#DIV/0!</v>
      </c>
      <c r="AC153" s="53" t="e">
        <f>AC152+ATM_Conf!$C$5*(I152-H152)/(I340*AC340)</f>
        <v>#DIV/0!</v>
      </c>
      <c r="AD153" s="53" t="e">
        <f>AD152+ATM_Conf!$C$5*(J152-I152)/(J340*AD340)</f>
        <v>#DIV/0!</v>
      </c>
      <c r="AE153" s="53" t="e">
        <f>AE152+ATM_Conf!$C$5*(K152-J152)/(K340*AE340)</f>
        <v>#DIV/0!</v>
      </c>
      <c r="AF153" s="53" t="e">
        <f>AF152+ATM_Conf!$C$5*(L152)/(L340*AF340)</f>
        <v>#DIV/0!</v>
      </c>
      <c r="AG153" s="53" t="e">
        <f>AG152+ATM_Conf!$C$5*(M152-L152)/(M340*AG340)</f>
        <v>#DIV/0!</v>
      </c>
      <c r="AH153" s="53" t="e">
        <f>AH152+ATM_Conf!$C$5*(N152-M152)/(N340*AH340)</f>
        <v>#DIV/0!</v>
      </c>
      <c r="AI153" s="53" t="e">
        <f>AI152+ATM_Conf!$C$5*(O152-N152)/(O340*AI340)</f>
        <v>#DIV/0!</v>
      </c>
      <c r="AJ153" s="53" t="e">
        <f>AJ152+ATM_Conf!$C$5*(P152-O152)/(P340*AJ340)</f>
        <v>#DIV/0!</v>
      </c>
      <c r="AK153" s="53" t="e">
        <f>AK152+ATM_Conf!$C$5*(Q152-P152)/(Q340*AK340)</f>
        <v>#DIV/0!</v>
      </c>
      <c r="AL153" s="53" t="e">
        <f>AL152+ATM_Conf!$C$5*(R152-Q152)/(R340*AL340)</f>
        <v>#DIV/0!</v>
      </c>
      <c r="AM153" s="53" t="e">
        <f>AM152+ATM_Conf!$C$5*(S152-R152)/(S340*AM340)</f>
        <v>#DIV/0!</v>
      </c>
      <c r="AN153" s="53" t="e">
        <f>AN152+ATM_Conf!$C$5*(T152-S152)/(T340*AN340)</f>
        <v>#DIV/0!</v>
      </c>
      <c r="AO153" s="53" t="e">
        <f>AO152+ATM_Conf!$C$5*(U152-T152)/(U340*AO340)</f>
        <v>#DIV/0!</v>
      </c>
      <c r="AP153" s="43" t="e">
        <f>AP152+(ATM_Conf!$C$5/ATM_Conf!$C$8)*(BJ153*EXP(-(1/CX153)*(V153/CD153)^CX153)-AP152)-(ATM_Conf!$C$5*ATM_Conf!$C$9)/(V340*ATM_Conf!$C$8)*(Nodes!BO152-V152)/(V152+ATM_Conf!$C$10)</f>
        <v>#DIV/0!</v>
      </c>
      <c r="AQ153" s="43" t="e">
        <f>AQ152+(ATM_Conf!$C$5/ATM_Conf!$C$8)*(BK153*EXP(-(1/CY153)*(W153/CE153)^CY153)-AQ152)+(ATM_Conf!$C$5/W340)*AQ152*(AP152-AQ152)-(ATM_Conf!$C$5*ATM_Conf!$C$9)/(W340*ATM_Conf!$C$8)*(X152-W152)/(W152+ATM_Conf!$C$10)</f>
        <v>#DIV/0!</v>
      </c>
      <c r="AR153" s="43" t="e">
        <f>AR152+(ATM_Conf!$C$5/ATM_Conf!$C$8)*(BL153*EXP(-(1/CZ153)*(X153/CF153)^CZ153)-AR152)+(ATM_Conf!$C$5/X340)*AR152*(Nodes!BC152-AR152)-(ATM_Conf!$C$5*ATM_Conf!$C$9)/(X340*ATM_Conf!$C$8)*(Nodes!BQ152-X152)/(X152+ATM_Conf!$C$10)</f>
        <v>#DIV/0!</v>
      </c>
      <c r="AS153" s="43" t="e">
        <f>AS152+(ATM_Conf!$C$5/ATM_Conf!$C$8)*(BM153*EXP(-(1/DA153)*(Y153/CG153)^DA153)-AS152)+(ATM_Conf!$C$5/Y340)*AS152*(AR152-AS152)-(ATM_Conf!$C$5*ATM_Conf!$C$9)/(Y340*ATM_Conf!$C$8)*(Z152-Y152)/(Y152+ATM_Conf!$C$10)</f>
        <v>#DIV/0!</v>
      </c>
      <c r="AT153" s="43" t="e">
        <f>AT152+(ATM_Conf!$C$5/ATM_Conf!$C$8)*(BN153*EXP(-(1/DB153)*(Z153/CH153)^DB153)-AT152)+(ATM_Conf!$C$5/Z340)*AT152*(Nodes!BE152-AT152)-(ATM_Conf!$C$5*ATM_Conf!$C$9)/(Z340*ATM_Conf!$C$8)*(Nodes!BS152-Z152)/(Z152+ATM_Conf!$C$10)</f>
        <v>#DIV/0!</v>
      </c>
      <c r="AU153" s="43" t="e">
        <f>AU152+(ATM_Conf!$C$5/ATM_Conf!$C$8)*(BO153*EXP(-(1/DC153)*(AA153/CI153)^DC153)-AU152)+(ATM_Conf!$C$5/AA340)*AU152*(Nodes!BF152-AU152)-(ATM_Conf!$C$5*ATM_Conf!$C$9)/(AA340*ATM_Conf!$C$8)*(Nodes!BV152-AA152)/(AA152+ATM_Conf!$C$10)</f>
        <v>#DIV/0!</v>
      </c>
      <c r="AV153" s="43" t="e">
        <f>AV152+(ATM_Conf!$C$5/ATM_Conf!$C$8)*(BP153*EXP(-(1/DD153)*(AB153/CJ153)^DD153)-AV152)+(ATM_Conf!$C$5/AB340)*AV152*(AU152-AV152)-(ATM_Conf!$C$5*ATM_Conf!$C$9)/(AB340*ATM_Conf!$C$8)*(AC152-AB152)/(AB152+ATM_Conf!$C$10)</f>
        <v>#DIV/0!</v>
      </c>
      <c r="AW153" s="43" t="e">
        <f>AW152+(ATM_Conf!$C$5/ATM_Conf!$C$8)*(BQ153*EXP(-(1/DE153)*(AC153/CK153)^DE153)-AW152)+(ATM_Conf!$C$5/AC340)*AW152*(AV152-AW152)-(ATM_Conf!$C$5*ATM_Conf!$C$9)/(AC340*ATM_Conf!$C$8)*(AD152-AC152)/(AC152+ATM_Conf!$C$10)</f>
        <v>#DIV/0!</v>
      </c>
      <c r="AX153" s="43" t="e">
        <f>AX152+(ATM_Conf!$C$5/ATM_Conf!$C$8)*(BR153*EXP(-(1/DF153)*(AD153/CL153)^DF153)-AX152)+(ATM_Conf!$C$5/AD340)*AX152*(Nodes!BG152-AX152)-(ATM_Conf!$C$5*ATM_Conf!$C$9)/(AD340*ATM_Conf!$C$8)*(Nodes!BU152-AD152)/(AD152+ATM_Conf!$C$10)</f>
        <v>#DIV/0!</v>
      </c>
      <c r="AY153" s="43" t="e">
        <f>AY152+(ATM_Conf!$C$5/ATM_Conf!$C$8)*(BS153*EXP(-(1/DG153)*(AE153/CM153)^DG153)-AY152)+(ATM_Conf!$C$5/AE340)*AY152*(Nodes!BF152-AY152)</f>
        <v>#DIV/0!</v>
      </c>
      <c r="AZ153" s="43" t="e">
        <f>AZ152+(ATM_Conf!$C$5/ATM_Conf!$C$8)*(BT153*EXP(-(1/DH153)*(AF153/CN153)^DH153)-AZ152)-(ATM_Conf!$C$5*ATM_Conf!$C$9)/(AF340*ATM_Conf!$C$8)*(Nodes!BV152-AF152)/(AF152+ATM_Conf!$C$10)</f>
        <v>#DIV/0!</v>
      </c>
      <c r="BA153" s="43" t="e">
        <f>BA152+(ATM_Conf!$C$5/ATM_Conf!$C$8)*(BU153*EXP(-(1/DI153)*(AG153/CO153)^DI153)-BA152)+(ATM_Conf!$C$5/AG340)*BA152*(Nodes!BI152-BA152)-(ATM_Conf!$C$5*ATM_Conf!$C$9)/(AG340*ATM_Conf!$C$8)*(Nodes!BW152-AG152)/(AG152+ATM_Conf!$C$10)</f>
        <v>#DIV/0!</v>
      </c>
      <c r="BB153" s="43" t="e">
        <f>BB152+(ATM_Conf!$C$5/ATM_Conf!$C$8)*(BV153*EXP(-(1/DJ153)*(AH153/CP153)^DJ153)-BB152)+(ATM_Conf!$C$5/AH340)*BB152*(Nodes!BJ152-BB152)-(ATM_Conf!$C$5*ATM_Conf!$C$9)/(AH340*ATM_Conf!$C$8)*(AI152-AH152)/(AH152+ATM_Conf!$C$10)</f>
        <v>#DIV/0!</v>
      </c>
      <c r="BC153" s="43" t="e">
        <f>BC152+(ATM_Conf!$C$5/ATM_Conf!$C$8)*(BW153*EXP(-(1/DK153)*(AI153/CQ153)^DK153)-BC152)+(ATM_Conf!$C$5/AI340)*BC152*(BB152-BC152)-(ATM_Conf!$C$5*ATM_Conf!$C$9)/(AI340*ATM_Conf!$C$8)*(AJ152-AI152)/(AI152+ATM_Conf!$C$10)</f>
        <v>#DIV/0!</v>
      </c>
      <c r="BD153" s="43" t="e">
        <f>BD152+(ATM_Conf!$C$5/ATM_Conf!$C$8)*(BX153*EXP(-(1/DL153)*(AJ153/CR153)^DL153)-BD152)+(ATM_Conf!$C$5/AJ340)*BD152*(BC152-BD152)-(ATM_Conf!$C$5*ATM_Conf!$C$9)/(AJ340*ATM_Conf!$C$8)*(Nodes!BX152-AJ152)/(AJ152+ATM_Conf!$C$10)</f>
        <v>#DIV/0!</v>
      </c>
      <c r="BE153" s="43" t="e">
        <f>BE152+(ATM_Conf!$C$5/ATM_Conf!$C$8)*(BY153*EXP(-(1/DM153)*(AK153/CS153)^DM153)-BE152)+(ATM_Conf!$C$5/AK340)*BE152*(Nodes!BK152-BE152)-(ATM_Conf!$C$5*ATM_Conf!$C$9)/(AK340*ATM_Conf!$C$8)*(Nodes!BY152-AK152)/(AK152+ATM_Conf!$C$10)</f>
        <v>#DIV/0!</v>
      </c>
      <c r="BF153" s="43" t="e">
        <f>BF152+(ATM_Conf!$C$5/ATM_Conf!$C$8)*(BZ153*EXP(-(1/DN153)*(AL153/CT153)^DN153)-BF152)+(ATM_Conf!$C$5/AL340)*BF152*(BE152-BF152)-(ATM_Conf!$C$5*ATM_Conf!$C$9)/(AL340*ATM_Conf!$C$8)*(AM152-AL152)/(AL152+ATM_Conf!$C$10)</f>
        <v>#DIV/0!</v>
      </c>
      <c r="BG153" s="43" t="e">
        <f>BG152+(ATM_Conf!$C$5/ATM_Conf!$C$8)*(CA153*EXP(-(1/DO153)*(AM153/CU153)^DO153)-BG152)+(ATM_Conf!$C$5/AM340)*BG152*(Nodes!BM152-BG152)-(ATM_Conf!$C$5*ATM_Conf!$C$9)/(AM340*ATM_Conf!$C$8)*(Nodes!CA152-AM152)/(AM152+ATM_Conf!$C$10)</f>
        <v>#DIV/0!</v>
      </c>
      <c r="BH153" s="43" t="e">
        <f>BH152+(ATM_Conf!$C$5/ATM_Conf!$C$8)*(CB153*EXP(-(1/DP153)*(AN153/CV153)^DP153)-BH152)+(ATM_Conf!$C$5/AN340)*BH152*(BG152-BH152)-(ATM_Conf!$C$5*ATM_Conf!$C$9)/(AN340*ATM_Conf!$C$8)*(AO152-AN152)/(AN152+ATM_Conf!$C$10)</f>
        <v>#DIV/0!</v>
      </c>
      <c r="BI153" s="43" t="e">
        <f>BI152+(ATM_Conf!$C$5/ATM_Conf!$C$8)*(CC153*EXP(-(1/DQ153)*(AO153/CW153)^DQ153)-BI152)+(ATM_Conf!$C$5/AO340)*BI152*(BH152-BI152)</f>
        <v>#DIV/0!</v>
      </c>
      <c r="BJ153" s="53"/>
      <c r="BK153" s="53"/>
      <c r="BL153" s="53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/>
      <c r="BW153" s="53"/>
      <c r="BX153" s="53"/>
      <c r="BY153" s="53"/>
      <c r="BZ153" s="53"/>
      <c r="CA153" s="53"/>
      <c r="CB153" s="53"/>
      <c r="CC153" s="5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53"/>
      <c r="CY153" s="53"/>
      <c r="CZ153" s="53"/>
      <c r="DA153" s="53"/>
      <c r="DB153" s="53"/>
      <c r="DC153" s="53"/>
      <c r="DD153" s="53"/>
      <c r="DE153" s="53"/>
      <c r="DF153" s="53"/>
      <c r="DG153" s="53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  <c r="DR153" s="43">
        <f t="shared" si="99"/>
        <v>0</v>
      </c>
      <c r="DS153" s="43">
        <f t="shared" si="98"/>
        <v>0</v>
      </c>
      <c r="DT153" s="43">
        <f t="shared" si="98"/>
        <v>0</v>
      </c>
      <c r="DU153" s="43">
        <f t="shared" si="98"/>
        <v>0</v>
      </c>
      <c r="DV153" s="43">
        <f t="shared" si="98"/>
        <v>0</v>
      </c>
      <c r="DW153" s="43">
        <f t="shared" si="98"/>
        <v>0</v>
      </c>
      <c r="DX153" s="43">
        <f t="shared" si="98"/>
        <v>0</v>
      </c>
      <c r="DY153" s="43">
        <f t="shared" si="98"/>
        <v>0</v>
      </c>
      <c r="DZ153" s="43">
        <f t="shared" si="98"/>
        <v>0</v>
      </c>
      <c r="EA153" s="43">
        <f t="shared" si="98"/>
        <v>0</v>
      </c>
      <c r="EB153" s="43">
        <f t="shared" si="98"/>
        <v>0</v>
      </c>
      <c r="EC153" s="43">
        <f t="shared" si="98"/>
        <v>0</v>
      </c>
      <c r="ED153" s="43">
        <f t="shared" si="98"/>
        <v>0</v>
      </c>
      <c r="EE153" s="43">
        <f t="shared" si="98"/>
        <v>0</v>
      </c>
      <c r="EF153" s="43">
        <f t="shared" si="98"/>
        <v>0</v>
      </c>
      <c r="EG153" s="43">
        <f t="shared" si="98"/>
        <v>0</v>
      </c>
      <c r="EH153" s="43">
        <f t="shared" si="98"/>
        <v>0</v>
      </c>
      <c r="EI153" s="43">
        <f t="shared" si="98"/>
        <v>0</v>
      </c>
      <c r="EJ153" s="43">
        <f t="shared" si="98"/>
        <v>0</v>
      </c>
      <c r="EK153" s="43">
        <f t="shared" si="98"/>
        <v>0</v>
      </c>
      <c r="EL153" s="47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47"/>
      <c r="FA153" s="47"/>
      <c r="FB153" s="47"/>
      <c r="FC153" s="47"/>
      <c r="FD153" s="47"/>
      <c r="FE153" s="47"/>
    </row>
    <row r="154" spans="1:161" ht="14.25" x14ac:dyDescent="0.15">
      <c r="A154" s="46"/>
      <c r="B154" s="43" t="e">
        <f t="shared" si="74"/>
        <v>#DIV/0!</v>
      </c>
      <c r="C154" s="43" t="e">
        <f t="shared" si="75"/>
        <v>#DIV/0!</v>
      </c>
      <c r="D154" s="43" t="e">
        <f t="shared" si="76"/>
        <v>#DIV/0!</v>
      </c>
      <c r="E154" s="43" t="e">
        <f t="shared" si="77"/>
        <v>#DIV/0!</v>
      </c>
      <c r="F154" s="43" t="e">
        <f t="shared" si="78"/>
        <v>#DIV/0!</v>
      </c>
      <c r="G154" s="43" t="e">
        <f t="shared" si="79"/>
        <v>#DIV/0!</v>
      </c>
      <c r="H154" s="43" t="e">
        <f t="shared" si="80"/>
        <v>#DIV/0!</v>
      </c>
      <c r="I154" s="43" t="e">
        <f t="shared" si="81"/>
        <v>#DIV/0!</v>
      </c>
      <c r="J154" s="43" t="e">
        <f t="shared" si="82"/>
        <v>#DIV/0!</v>
      </c>
      <c r="K154" s="43" t="e">
        <f t="shared" si="83"/>
        <v>#DIV/0!</v>
      </c>
      <c r="L154" s="43" t="e">
        <f t="shared" si="84"/>
        <v>#DIV/0!</v>
      </c>
      <c r="M154" s="43" t="e">
        <f t="shared" si="85"/>
        <v>#DIV/0!</v>
      </c>
      <c r="N154" s="43" t="e">
        <f t="shared" si="86"/>
        <v>#DIV/0!</v>
      </c>
      <c r="O154" s="43" t="e">
        <f t="shared" si="87"/>
        <v>#DIV/0!</v>
      </c>
      <c r="P154" s="43" t="e">
        <f t="shared" si="88"/>
        <v>#DIV/0!</v>
      </c>
      <c r="Q154" s="43" t="e">
        <f t="shared" si="89"/>
        <v>#DIV/0!</v>
      </c>
      <c r="R154" s="43" t="e">
        <f t="shared" si="90"/>
        <v>#DIV/0!</v>
      </c>
      <c r="S154" s="43" t="e">
        <f t="shared" si="91"/>
        <v>#DIV/0!</v>
      </c>
      <c r="T154" s="43" t="e">
        <f t="shared" si="92"/>
        <v>#DIV/0!</v>
      </c>
      <c r="U154" s="43" t="e">
        <f t="shared" si="93"/>
        <v>#DIV/0!</v>
      </c>
      <c r="V154" s="53" t="e">
        <f>V153+ATM_Conf!$C$5*(B153)/(B341*V341)</f>
        <v>#DIV/0!</v>
      </c>
      <c r="W154" s="53" t="e">
        <f>W153+ATM_Conf!$C$5*(C153-B153)/(C341*W341)</f>
        <v>#DIV/0!</v>
      </c>
      <c r="X154" s="53" t="e">
        <f>X153+ATM_Conf!$C$5*(D153-C153)/(D341*X341)</f>
        <v>#DIV/0!</v>
      </c>
      <c r="Y154" s="53" t="e">
        <f>Y153+ATM_Conf!$C$5*(E153-D153)/(E341*Y341)</f>
        <v>#DIV/0!</v>
      </c>
      <c r="Z154" s="53" t="e">
        <f>Z153+ATM_Conf!$C$5*(F153-E153)/(F341*Z341)</f>
        <v>#DIV/0!</v>
      </c>
      <c r="AA154" s="53" t="e">
        <f>AA153+ATM_Conf!$C$5*(G153-F153)/(G341*AA341)</f>
        <v>#DIV/0!</v>
      </c>
      <c r="AB154" s="53" t="e">
        <f>AB153+ATM_Conf!$C$5*(H153-G153)/(H341*AB341)</f>
        <v>#DIV/0!</v>
      </c>
      <c r="AC154" s="53" t="e">
        <f>AC153+ATM_Conf!$C$5*(I153-H153)/(I341*AC341)</f>
        <v>#DIV/0!</v>
      </c>
      <c r="AD154" s="53" t="e">
        <f>AD153+ATM_Conf!$C$5*(J153-I153)/(J341*AD341)</f>
        <v>#DIV/0!</v>
      </c>
      <c r="AE154" s="53" t="e">
        <f>AE153+ATM_Conf!$C$5*(K153-J153)/(K341*AE341)</f>
        <v>#DIV/0!</v>
      </c>
      <c r="AF154" s="53" t="e">
        <f>AF153+ATM_Conf!$C$5*(L153)/(L341*AF341)</f>
        <v>#DIV/0!</v>
      </c>
      <c r="AG154" s="53" t="e">
        <f>AG153+ATM_Conf!$C$5*(M153-L153)/(M341*AG341)</f>
        <v>#DIV/0!</v>
      </c>
      <c r="AH154" s="53" t="e">
        <f>AH153+ATM_Conf!$C$5*(N153-M153)/(N341*AH341)</f>
        <v>#DIV/0!</v>
      </c>
      <c r="AI154" s="53" t="e">
        <f>AI153+ATM_Conf!$C$5*(O153-N153)/(O341*AI341)</f>
        <v>#DIV/0!</v>
      </c>
      <c r="AJ154" s="53" t="e">
        <f>AJ153+ATM_Conf!$C$5*(P153-O153)/(P341*AJ341)</f>
        <v>#DIV/0!</v>
      </c>
      <c r="AK154" s="53" t="e">
        <f>AK153+ATM_Conf!$C$5*(Q153-P153)/(Q341*AK341)</f>
        <v>#DIV/0!</v>
      </c>
      <c r="AL154" s="53" t="e">
        <f>AL153+ATM_Conf!$C$5*(R153-Q153)/(R341*AL341)</f>
        <v>#DIV/0!</v>
      </c>
      <c r="AM154" s="53" t="e">
        <f>AM153+ATM_Conf!$C$5*(S153-R153)/(S341*AM341)</f>
        <v>#DIV/0!</v>
      </c>
      <c r="AN154" s="53" t="e">
        <f>AN153+ATM_Conf!$C$5*(T153-S153)/(T341*AN341)</f>
        <v>#DIV/0!</v>
      </c>
      <c r="AO154" s="53" t="e">
        <f>AO153+ATM_Conf!$C$5*(U153-T153)/(U341*AO341)</f>
        <v>#DIV/0!</v>
      </c>
      <c r="AP154" s="43" t="e">
        <f>AP153+(ATM_Conf!$C$5/ATM_Conf!$C$8)*(BJ154*EXP(-(1/CX154)*(V154/CD154)^CX154)-AP153)-(ATM_Conf!$C$5*ATM_Conf!$C$9)/(V341*ATM_Conf!$C$8)*(Nodes!BO153-V153)/(V153+ATM_Conf!$C$10)</f>
        <v>#DIV/0!</v>
      </c>
      <c r="AQ154" s="43" t="e">
        <f>AQ153+(ATM_Conf!$C$5/ATM_Conf!$C$8)*(BK154*EXP(-(1/CY154)*(W154/CE154)^CY154)-AQ153)+(ATM_Conf!$C$5/W341)*AQ153*(AP153-AQ153)-(ATM_Conf!$C$5*ATM_Conf!$C$9)/(W341*ATM_Conf!$C$8)*(X153-W153)/(W153+ATM_Conf!$C$10)</f>
        <v>#DIV/0!</v>
      </c>
      <c r="AR154" s="43" t="e">
        <f>AR153+(ATM_Conf!$C$5/ATM_Conf!$C$8)*(BL154*EXP(-(1/CZ154)*(X154/CF154)^CZ154)-AR153)+(ATM_Conf!$C$5/X341)*AR153*(Nodes!BC153-AR153)-(ATM_Conf!$C$5*ATM_Conf!$C$9)/(X341*ATM_Conf!$C$8)*(Nodes!BQ153-X153)/(X153+ATM_Conf!$C$10)</f>
        <v>#DIV/0!</v>
      </c>
      <c r="AS154" s="43" t="e">
        <f>AS153+(ATM_Conf!$C$5/ATM_Conf!$C$8)*(BM154*EXP(-(1/DA154)*(Y154/CG154)^DA154)-AS153)+(ATM_Conf!$C$5/Y341)*AS153*(AR153-AS153)-(ATM_Conf!$C$5*ATM_Conf!$C$9)/(Y341*ATM_Conf!$C$8)*(Z153-Y153)/(Y153+ATM_Conf!$C$10)</f>
        <v>#DIV/0!</v>
      </c>
      <c r="AT154" s="43" t="e">
        <f>AT153+(ATM_Conf!$C$5/ATM_Conf!$C$8)*(BN154*EXP(-(1/DB154)*(Z154/CH154)^DB154)-AT153)+(ATM_Conf!$C$5/Z341)*AT153*(Nodes!BE153-AT153)-(ATM_Conf!$C$5*ATM_Conf!$C$9)/(Z341*ATM_Conf!$C$8)*(Nodes!BS153-Z153)/(Z153+ATM_Conf!$C$10)</f>
        <v>#DIV/0!</v>
      </c>
      <c r="AU154" s="43" t="e">
        <f>AU153+(ATM_Conf!$C$5/ATM_Conf!$C$8)*(BO154*EXP(-(1/DC154)*(AA154/CI154)^DC154)-AU153)+(ATM_Conf!$C$5/AA341)*AU153*(Nodes!BF153-AU153)-(ATM_Conf!$C$5*ATM_Conf!$C$9)/(AA341*ATM_Conf!$C$8)*(Nodes!BV153-AA153)/(AA153+ATM_Conf!$C$10)</f>
        <v>#DIV/0!</v>
      </c>
      <c r="AV154" s="43" t="e">
        <f>AV153+(ATM_Conf!$C$5/ATM_Conf!$C$8)*(BP154*EXP(-(1/DD154)*(AB154/CJ154)^DD154)-AV153)+(ATM_Conf!$C$5/AB341)*AV153*(AU153-AV153)-(ATM_Conf!$C$5*ATM_Conf!$C$9)/(AB341*ATM_Conf!$C$8)*(AC153-AB153)/(AB153+ATM_Conf!$C$10)</f>
        <v>#DIV/0!</v>
      </c>
      <c r="AW154" s="43" t="e">
        <f>AW153+(ATM_Conf!$C$5/ATM_Conf!$C$8)*(BQ154*EXP(-(1/DE154)*(AC154/CK154)^DE154)-AW153)+(ATM_Conf!$C$5/AC341)*AW153*(AV153-AW153)-(ATM_Conf!$C$5*ATM_Conf!$C$9)/(AC341*ATM_Conf!$C$8)*(AD153-AC153)/(AC153+ATM_Conf!$C$10)</f>
        <v>#DIV/0!</v>
      </c>
      <c r="AX154" s="43" t="e">
        <f>AX153+(ATM_Conf!$C$5/ATM_Conf!$C$8)*(BR154*EXP(-(1/DF154)*(AD154/CL154)^DF154)-AX153)+(ATM_Conf!$C$5/AD341)*AX153*(Nodes!BG153-AX153)-(ATM_Conf!$C$5*ATM_Conf!$C$9)/(AD341*ATM_Conf!$C$8)*(Nodes!BU153-AD153)/(AD153+ATM_Conf!$C$10)</f>
        <v>#DIV/0!</v>
      </c>
      <c r="AY154" s="43" t="e">
        <f>AY153+(ATM_Conf!$C$5/ATM_Conf!$C$8)*(BS154*EXP(-(1/DG154)*(AE154/CM154)^DG154)-AY153)+(ATM_Conf!$C$5/AE341)*AY153*(Nodes!BF153-AY153)</f>
        <v>#DIV/0!</v>
      </c>
      <c r="AZ154" s="43" t="e">
        <f>AZ153+(ATM_Conf!$C$5/ATM_Conf!$C$8)*(BT154*EXP(-(1/DH154)*(AF154/CN154)^DH154)-AZ153)-(ATM_Conf!$C$5*ATM_Conf!$C$9)/(AF341*ATM_Conf!$C$8)*(Nodes!BV153-AF153)/(AF153+ATM_Conf!$C$10)</f>
        <v>#DIV/0!</v>
      </c>
      <c r="BA154" s="43" t="e">
        <f>BA153+(ATM_Conf!$C$5/ATM_Conf!$C$8)*(BU154*EXP(-(1/DI154)*(AG154/CO154)^DI154)-BA153)+(ATM_Conf!$C$5/AG341)*BA153*(Nodes!BI153-BA153)-(ATM_Conf!$C$5*ATM_Conf!$C$9)/(AG341*ATM_Conf!$C$8)*(Nodes!BW153-AG153)/(AG153+ATM_Conf!$C$10)</f>
        <v>#DIV/0!</v>
      </c>
      <c r="BB154" s="43" t="e">
        <f>BB153+(ATM_Conf!$C$5/ATM_Conf!$C$8)*(BV154*EXP(-(1/DJ154)*(AH154/CP154)^DJ154)-BB153)+(ATM_Conf!$C$5/AH341)*BB153*(Nodes!BJ153-BB153)-(ATM_Conf!$C$5*ATM_Conf!$C$9)/(AH341*ATM_Conf!$C$8)*(AI153-AH153)/(AH153+ATM_Conf!$C$10)</f>
        <v>#DIV/0!</v>
      </c>
      <c r="BC154" s="43" t="e">
        <f>BC153+(ATM_Conf!$C$5/ATM_Conf!$C$8)*(BW154*EXP(-(1/DK154)*(AI154/CQ154)^DK154)-BC153)+(ATM_Conf!$C$5/AI341)*BC153*(BB153-BC153)-(ATM_Conf!$C$5*ATM_Conf!$C$9)/(AI341*ATM_Conf!$C$8)*(AJ153-AI153)/(AI153+ATM_Conf!$C$10)</f>
        <v>#DIV/0!</v>
      </c>
      <c r="BD154" s="43" t="e">
        <f>BD153+(ATM_Conf!$C$5/ATM_Conf!$C$8)*(BX154*EXP(-(1/DL154)*(AJ154/CR154)^DL154)-BD153)+(ATM_Conf!$C$5/AJ341)*BD153*(BC153-BD153)-(ATM_Conf!$C$5*ATM_Conf!$C$9)/(AJ341*ATM_Conf!$C$8)*(Nodes!BX153-AJ153)/(AJ153+ATM_Conf!$C$10)</f>
        <v>#DIV/0!</v>
      </c>
      <c r="BE154" s="43" t="e">
        <f>BE153+(ATM_Conf!$C$5/ATM_Conf!$C$8)*(BY154*EXP(-(1/DM154)*(AK154/CS154)^DM154)-BE153)+(ATM_Conf!$C$5/AK341)*BE153*(Nodes!BK153-BE153)-(ATM_Conf!$C$5*ATM_Conf!$C$9)/(AK341*ATM_Conf!$C$8)*(Nodes!BY153-AK153)/(AK153+ATM_Conf!$C$10)</f>
        <v>#DIV/0!</v>
      </c>
      <c r="BF154" s="43" t="e">
        <f>BF153+(ATM_Conf!$C$5/ATM_Conf!$C$8)*(BZ154*EXP(-(1/DN154)*(AL154/CT154)^DN154)-BF153)+(ATM_Conf!$C$5/AL341)*BF153*(BE153-BF153)-(ATM_Conf!$C$5*ATM_Conf!$C$9)/(AL341*ATM_Conf!$C$8)*(AM153-AL153)/(AL153+ATM_Conf!$C$10)</f>
        <v>#DIV/0!</v>
      </c>
      <c r="BG154" s="43" t="e">
        <f>BG153+(ATM_Conf!$C$5/ATM_Conf!$C$8)*(CA154*EXP(-(1/DO154)*(AM154/CU154)^DO154)-BG153)+(ATM_Conf!$C$5/AM341)*BG153*(Nodes!BM153-BG153)-(ATM_Conf!$C$5*ATM_Conf!$C$9)/(AM341*ATM_Conf!$C$8)*(Nodes!CA153-AM153)/(AM153+ATM_Conf!$C$10)</f>
        <v>#DIV/0!</v>
      </c>
      <c r="BH154" s="43" t="e">
        <f>BH153+(ATM_Conf!$C$5/ATM_Conf!$C$8)*(CB154*EXP(-(1/DP154)*(AN154/CV154)^DP154)-BH153)+(ATM_Conf!$C$5/AN341)*BH153*(BG153-BH153)-(ATM_Conf!$C$5*ATM_Conf!$C$9)/(AN341*ATM_Conf!$C$8)*(AO153-AN153)/(AN153+ATM_Conf!$C$10)</f>
        <v>#DIV/0!</v>
      </c>
      <c r="BI154" s="43" t="e">
        <f>BI153+(ATM_Conf!$C$5/ATM_Conf!$C$8)*(CC154*EXP(-(1/DQ154)*(AO154/CW154)^DQ154)-BI153)+(ATM_Conf!$C$5/AO341)*BI153*(BH153-BI153)</f>
        <v>#DIV/0!</v>
      </c>
      <c r="BJ154" s="53"/>
      <c r="BK154" s="53"/>
      <c r="BL154" s="53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/>
      <c r="BW154" s="53"/>
      <c r="BX154" s="53"/>
      <c r="BY154" s="53"/>
      <c r="BZ154" s="53"/>
      <c r="CA154" s="53"/>
      <c r="CB154" s="53"/>
      <c r="CC154" s="5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53"/>
      <c r="CY154" s="53"/>
      <c r="CZ154" s="53"/>
      <c r="DA154" s="53"/>
      <c r="DB154" s="53"/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  <c r="DR154" s="43">
        <f t="shared" si="99"/>
        <v>0</v>
      </c>
      <c r="DS154" s="43">
        <f t="shared" si="98"/>
        <v>0</v>
      </c>
      <c r="DT154" s="43">
        <f t="shared" si="98"/>
        <v>0</v>
      </c>
      <c r="DU154" s="43">
        <f t="shared" si="98"/>
        <v>0</v>
      </c>
      <c r="DV154" s="43">
        <f t="shared" si="98"/>
        <v>0</v>
      </c>
      <c r="DW154" s="43">
        <f t="shared" si="98"/>
        <v>0</v>
      </c>
      <c r="DX154" s="43">
        <f t="shared" si="98"/>
        <v>0</v>
      </c>
      <c r="DY154" s="43">
        <f t="shared" si="98"/>
        <v>0</v>
      </c>
      <c r="DZ154" s="43">
        <f t="shared" si="98"/>
        <v>0</v>
      </c>
      <c r="EA154" s="43">
        <f t="shared" si="98"/>
        <v>0</v>
      </c>
      <c r="EB154" s="43">
        <f t="shared" si="98"/>
        <v>0</v>
      </c>
      <c r="EC154" s="43">
        <f t="shared" si="98"/>
        <v>0</v>
      </c>
      <c r="ED154" s="43">
        <f t="shared" si="98"/>
        <v>0</v>
      </c>
      <c r="EE154" s="43">
        <f t="shared" si="98"/>
        <v>0</v>
      </c>
      <c r="EF154" s="43">
        <f t="shared" si="98"/>
        <v>0</v>
      </c>
      <c r="EG154" s="43">
        <f t="shared" si="98"/>
        <v>0</v>
      </c>
      <c r="EH154" s="43">
        <f t="shared" si="98"/>
        <v>0</v>
      </c>
      <c r="EI154" s="43">
        <f t="shared" si="98"/>
        <v>0</v>
      </c>
      <c r="EJ154" s="43">
        <f t="shared" si="98"/>
        <v>0</v>
      </c>
      <c r="EK154" s="43">
        <f t="shared" si="98"/>
        <v>0</v>
      </c>
      <c r="EL154" s="47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47"/>
      <c r="FA154" s="47"/>
      <c r="FB154" s="47"/>
      <c r="FC154" s="47"/>
      <c r="FD154" s="47"/>
      <c r="FE154" s="47"/>
    </row>
    <row r="155" spans="1:161" ht="14.25" x14ac:dyDescent="0.15">
      <c r="A155" s="46"/>
      <c r="B155" s="43" t="e">
        <f t="shared" si="74"/>
        <v>#DIV/0!</v>
      </c>
      <c r="C155" s="43" t="e">
        <f t="shared" si="75"/>
        <v>#DIV/0!</v>
      </c>
      <c r="D155" s="43" t="e">
        <f t="shared" si="76"/>
        <v>#DIV/0!</v>
      </c>
      <c r="E155" s="43" t="e">
        <f t="shared" si="77"/>
        <v>#DIV/0!</v>
      </c>
      <c r="F155" s="43" t="e">
        <f t="shared" si="78"/>
        <v>#DIV/0!</v>
      </c>
      <c r="G155" s="43" t="e">
        <f t="shared" si="79"/>
        <v>#DIV/0!</v>
      </c>
      <c r="H155" s="43" t="e">
        <f t="shared" si="80"/>
        <v>#DIV/0!</v>
      </c>
      <c r="I155" s="43" t="e">
        <f t="shared" si="81"/>
        <v>#DIV/0!</v>
      </c>
      <c r="J155" s="43" t="e">
        <f t="shared" si="82"/>
        <v>#DIV/0!</v>
      </c>
      <c r="K155" s="43" t="e">
        <f t="shared" si="83"/>
        <v>#DIV/0!</v>
      </c>
      <c r="L155" s="43" t="e">
        <f t="shared" si="84"/>
        <v>#DIV/0!</v>
      </c>
      <c r="M155" s="43" t="e">
        <f t="shared" si="85"/>
        <v>#DIV/0!</v>
      </c>
      <c r="N155" s="43" t="e">
        <f t="shared" si="86"/>
        <v>#DIV/0!</v>
      </c>
      <c r="O155" s="43" t="e">
        <f t="shared" si="87"/>
        <v>#DIV/0!</v>
      </c>
      <c r="P155" s="43" t="e">
        <f t="shared" si="88"/>
        <v>#DIV/0!</v>
      </c>
      <c r="Q155" s="43" t="e">
        <f t="shared" si="89"/>
        <v>#DIV/0!</v>
      </c>
      <c r="R155" s="43" t="e">
        <f t="shared" si="90"/>
        <v>#DIV/0!</v>
      </c>
      <c r="S155" s="43" t="e">
        <f t="shared" si="91"/>
        <v>#DIV/0!</v>
      </c>
      <c r="T155" s="43" t="e">
        <f t="shared" si="92"/>
        <v>#DIV/0!</v>
      </c>
      <c r="U155" s="43" t="e">
        <f t="shared" si="93"/>
        <v>#DIV/0!</v>
      </c>
      <c r="V155" s="53" t="e">
        <f>V154+ATM_Conf!$C$5*(B154)/(B342*V342)</f>
        <v>#DIV/0!</v>
      </c>
      <c r="W155" s="53" t="e">
        <f>W154+ATM_Conf!$C$5*(C154-B154)/(C342*W342)</f>
        <v>#DIV/0!</v>
      </c>
      <c r="X155" s="53" t="e">
        <f>X154+ATM_Conf!$C$5*(D154-C154)/(D342*X342)</f>
        <v>#DIV/0!</v>
      </c>
      <c r="Y155" s="53" t="e">
        <f>Y154+ATM_Conf!$C$5*(E154-D154)/(E342*Y342)</f>
        <v>#DIV/0!</v>
      </c>
      <c r="Z155" s="53" t="e">
        <f>Z154+ATM_Conf!$C$5*(F154-E154)/(F342*Z342)</f>
        <v>#DIV/0!</v>
      </c>
      <c r="AA155" s="53" t="e">
        <f>AA154+ATM_Conf!$C$5*(G154-F154)/(G342*AA342)</f>
        <v>#DIV/0!</v>
      </c>
      <c r="AB155" s="53" t="e">
        <f>AB154+ATM_Conf!$C$5*(H154-G154)/(H342*AB342)</f>
        <v>#DIV/0!</v>
      </c>
      <c r="AC155" s="53" t="e">
        <f>AC154+ATM_Conf!$C$5*(I154-H154)/(I342*AC342)</f>
        <v>#DIV/0!</v>
      </c>
      <c r="AD155" s="53" t="e">
        <f>AD154+ATM_Conf!$C$5*(J154-I154)/(J342*AD342)</f>
        <v>#DIV/0!</v>
      </c>
      <c r="AE155" s="53" t="e">
        <f>AE154+ATM_Conf!$C$5*(K154-J154)/(K342*AE342)</f>
        <v>#DIV/0!</v>
      </c>
      <c r="AF155" s="53" t="e">
        <f>AF154+ATM_Conf!$C$5*(L154)/(L342*AF342)</f>
        <v>#DIV/0!</v>
      </c>
      <c r="AG155" s="53" t="e">
        <f>AG154+ATM_Conf!$C$5*(M154-L154)/(M342*AG342)</f>
        <v>#DIV/0!</v>
      </c>
      <c r="AH155" s="53" t="e">
        <f>AH154+ATM_Conf!$C$5*(N154-M154)/(N342*AH342)</f>
        <v>#DIV/0!</v>
      </c>
      <c r="AI155" s="53" t="e">
        <f>AI154+ATM_Conf!$C$5*(O154-N154)/(O342*AI342)</f>
        <v>#DIV/0!</v>
      </c>
      <c r="AJ155" s="53" t="e">
        <f>AJ154+ATM_Conf!$C$5*(P154-O154)/(P342*AJ342)</f>
        <v>#DIV/0!</v>
      </c>
      <c r="AK155" s="53" t="e">
        <f>AK154+ATM_Conf!$C$5*(Q154-P154)/(Q342*AK342)</f>
        <v>#DIV/0!</v>
      </c>
      <c r="AL155" s="53" t="e">
        <f>AL154+ATM_Conf!$C$5*(R154-Q154)/(R342*AL342)</f>
        <v>#DIV/0!</v>
      </c>
      <c r="AM155" s="53" t="e">
        <f>AM154+ATM_Conf!$C$5*(S154-R154)/(S342*AM342)</f>
        <v>#DIV/0!</v>
      </c>
      <c r="AN155" s="53" t="e">
        <f>AN154+ATM_Conf!$C$5*(T154-S154)/(T342*AN342)</f>
        <v>#DIV/0!</v>
      </c>
      <c r="AO155" s="53" t="e">
        <f>AO154+ATM_Conf!$C$5*(U154-T154)/(U342*AO342)</f>
        <v>#DIV/0!</v>
      </c>
      <c r="AP155" s="43" t="e">
        <f>AP154+(ATM_Conf!$C$5/ATM_Conf!$C$8)*(BJ155*EXP(-(1/CX155)*(V155/CD155)^CX155)-AP154)-(ATM_Conf!$C$5*ATM_Conf!$C$9)/(V342*ATM_Conf!$C$8)*(Nodes!BO154-V154)/(V154+ATM_Conf!$C$10)</f>
        <v>#DIV/0!</v>
      </c>
      <c r="AQ155" s="43" t="e">
        <f>AQ154+(ATM_Conf!$C$5/ATM_Conf!$C$8)*(BK155*EXP(-(1/CY155)*(W155/CE155)^CY155)-AQ154)+(ATM_Conf!$C$5/W342)*AQ154*(AP154-AQ154)-(ATM_Conf!$C$5*ATM_Conf!$C$9)/(W342*ATM_Conf!$C$8)*(X154-W154)/(W154+ATM_Conf!$C$10)</f>
        <v>#DIV/0!</v>
      </c>
      <c r="AR155" s="43" t="e">
        <f>AR154+(ATM_Conf!$C$5/ATM_Conf!$C$8)*(BL155*EXP(-(1/CZ155)*(X155/CF155)^CZ155)-AR154)+(ATM_Conf!$C$5/X342)*AR154*(Nodes!BC154-AR154)-(ATM_Conf!$C$5*ATM_Conf!$C$9)/(X342*ATM_Conf!$C$8)*(Nodes!BQ154-X154)/(X154+ATM_Conf!$C$10)</f>
        <v>#DIV/0!</v>
      </c>
      <c r="AS155" s="43" t="e">
        <f>AS154+(ATM_Conf!$C$5/ATM_Conf!$C$8)*(BM155*EXP(-(1/DA155)*(Y155/CG155)^DA155)-AS154)+(ATM_Conf!$C$5/Y342)*AS154*(AR154-AS154)-(ATM_Conf!$C$5*ATM_Conf!$C$9)/(Y342*ATM_Conf!$C$8)*(Z154-Y154)/(Y154+ATM_Conf!$C$10)</f>
        <v>#DIV/0!</v>
      </c>
      <c r="AT155" s="43" t="e">
        <f>AT154+(ATM_Conf!$C$5/ATM_Conf!$C$8)*(BN155*EXP(-(1/DB155)*(Z155/CH155)^DB155)-AT154)+(ATM_Conf!$C$5/Z342)*AT154*(Nodes!BE154-AT154)-(ATM_Conf!$C$5*ATM_Conf!$C$9)/(Z342*ATM_Conf!$C$8)*(Nodes!BS154-Z154)/(Z154+ATM_Conf!$C$10)</f>
        <v>#DIV/0!</v>
      </c>
      <c r="AU155" s="43" t="e">
        <f>AU154+(ATM_Conf!$C$5/ATM_Conf!$C$8)*(BO155*EXP(-(1/DC155)*(AA155/CI155)^DC155)-AU154)+(ATM_Conf!$C$5/AA342)*AU154*(Nodes!BF154-AU154)-(ATM_Conf!$C$5*ATM_Conf!$C$9)/(AA342*ATM_Conf!$C$8)*(Nodes!BV154-AA154)/(AA154+ATM_Conf!$C$10)</f>
        <v>#DIV/0!</v>
      </c>
      <c r="AV155" s="43" t="e">
        <f>AV154+(ATM_Conf!$C$5/ATM_Conf!$C$8)*(BP155*EXP(-(1/DD155)*(AB155/CJ155)^DD155)-AV154)+(ATM_Conf!$C$5/AB342)*AV154*(AU154-AV154)-(ATM_Conf!$C$5*ATM_Conf!$C$9)/(AB342*ATM_Conf!$C$8)*(AC154-AB154)/(AB154+ATM_Conf!$C$10)</f>
        <v>#DIV/0!</v>
      </c>
      <c r="AW155" s="43" t="e">
        <f>AW154+(ATM_Conf!$C$5/ATM_Conf!$C$8)*(BQ155*EXP(-(1/DE155)*(AC155/CK155)^DE155)-AW154)+(ATM_Conf!$C$5/AC342)*AW154*(AV154-AW154)-(ATM_Conf!$C$5*ATM_Conf!$C$9)/(AC342*ATM_Conf!$C$8)*(AD154-AC154)/(AC154+ATM_Conf!$C$10)</f>
        <v>#DIV/0!</v>
      </c>
      <c r="AX155" s="43" t="e">
        <f>AX154+(ATM_Conf!$C$5/ATM_Conf!$C$8)*(BR155*EXP(-(1/DF155)*(AD155/CL155)^DF155)-AX154)+(ATM_Conf!$C$5/AD342)*AX154*(Nodes!BG154-AX154)-(ATM_Conf!$C$5*ATM_Conf!$C$9)/(AD342*ATM_Conf!$C$8)*(Nodes!BU154-AD154)/(AD154+ATM_Conf!$C$10)</f>
        <v>#DIV/0!</v>
      </c>
      <c r="AY155" s="43" t="e">
        <f>AY154+(ATM_Conf!$C$5/ATM_Conf!$C$8)*(BS155*EXP(-(1/DG155)*(AE155/CM155)^DG155)-AY154)+(ATM_Conf!$C$5/AE342)*AY154*(Nodes!BF154-AY154)</f>
        <v>#DIV/0!</v>
      </c>
      <c r="AZ155" s="43" t="e">
        <f>AZ154+(ATM_Conf!$C$5/ATM_Conf!$C$8)*(BT155*EXP(-(1/DH155)*(AF155/CN155)^DH155)-AZ154)-(ATM_Conf!$C$5*ATM_Conf!$C$9)/(AF342*ATM_Conf!$C$8)*(Nodes!BV154-AF154)/(AF154+ATM_Conf!$C$10)</f>
        <v>#DIV/0!</v>
      </c>
      <c r="BA155" s="43" t="e">
        <f>BA154+(ATM_Conf!$C$5/ATM_Conf!$C$8)*(BU155*EXP(-(1/DI155)*(AG155/CO155)^DI155)-BA154)+(ATM_Conf!$C$5/AG342)*BA154*(Nodes!BI154-BA154)-(ATM_Conf!$C$5*ATM_Conf!$C$9)/(AG342*ATM_Conf!$C$8)*(Nodes!BW154-AG154)/(AG154+ATM_Conf!$C$10)</f>
        <v>#DIV/0!</v>
      </c>
      <c r="BB155" s="43" t="e">
        <f>BB154+(ATM_Conf!$C$5/ATM_Conf!$C$8)*(BV155*EXP(-(1/DJ155)*(AH155/CP155)^DJ155)-BB154)+(ATM_Conf!$C$5/AH342)*BB154*(Nodes!BJ154-BB154)-(ATM_Conf!$C$5*ATM_Conf!$C$9)/(AH342*ATM_Conf!$C$8)*(AI154-AH154)/(AH154+ATM_Conf!$C$10)</f>
        <v>#DIV/0!</v>
      </c>
      <c r="BC155" s="43" t="e">
        <f>BC154+(ATM_Conf!$C$5/ATM_Conf!$C$8)*(BW155*EXP(-(1/DK155)*(AI155/CQ155)^DK155)-BC154)+(ATM_Conf!$C$5/AI342)*BC154*(BB154-BC154)-(ATM_Conf!$C$5*ATM_Conf!$C$9)/(AI342*ATM_Conf!$C$8)*(AJ154-AI154)/(AI154+ATM_Conf!$C$10)</f>
        <v>#DIV/0!</v>
      </c>
      <c r="BD155" s="43" t="e">
        <f>BD154+(ATM_Conf!$C$5/ATM_Conf!$C$8)*(BX155*EXP(-(1/DL155)*(AJ155/CR155)^DL155)-BD154)+(ATM_Conf!$C$5/AJ342)*BD154*(BC154-BD154)-(ATM_Conf!$C$5*ATM_Conf!$C$9)/(AJ342*ATM_Conf!$C$8)*(Nodes!BX154-AJ154)/(AJ154+ATM_Conf!$C$10)</f>
        <v>#DIV/0!</v>
      </c>
      <c r="BE155" s="43" t="e">
        <f>BE154+(ATM_Conf!$C$5/ATM_Conf!$C$8)*(BY155*EXP(-(1/DM155)*(AK155/CS155)^DM155)-BE154)+(ATM_Conf!$C$5/AK342)*BE154*(Nodes!BK154-BE154)-(ATM_Conf!$C$5*ATM_Conf!$C$9)/(AK342*ATM_Conf!$C$8)*(Nodes!BY154-AK154)/(AK154+ATM_Conf!$C$10)</f>
        <v>#DIV/0!</v>
      </c>
      <c r="BF155" s="43" t="e">
        <f>BF154+(ATM_Conf!$C$5/ATM_Conf!$C$8)*(BZ155*EXP(-(1/DN155)*(AL155/CT155)^DN155)-BF154)+(ATM_Conf!$C$5/AL342)*BF154*(BE154-BF154)-(ATM_Conf!$C$5*ATM_Conf!$C$9)/(AL342*ATM_Conf!$C$8)*(AM154-AL154)/(AL154+ATM_Conf!$C$10)</f>
        <v>#DIV/0!</v>
      </c>
      <c r="BG155" s="43" t="e">
        <f>BG154+(ATM_Conf!$C$5/ATM_Conf!$C$8)*(CA155*EXP(-(1/DO155)*(AM155/CU155)^DO155)-BG154)+(ATM_Conf!$C$5/AM342)*BG154*(Nodes!BM154-BG154)-(ATM_Conf!$C$5*ATM_Conf!$C$9)/(AM342*ATM_Conf!$C$8)*(Nodes!CA154-AM154)/(AM154+ATM_Conf!$C$10)</f>
        <v>#DIV/0!</v>
      </c>
      <c r="BH155" s="43" t="e">
        <f>BH154+(ATM_Conf!$C$5/ATM_Conf!$C$8)*(CB155*EXP(-(1/DP155)*(AN155/CV155)^DP155)-BH154)+(ATM_Conf!$C$5/AN342)*BH154*(BG154-BH154)-(ATM_Conf!$C$5*ATM_Conf!$C$9)/(AN342*ATM_Conf!$C$8)*(AO154-AN154)/(AN154+ATM_Conf!$C$10)</f>
        <v>#DIV/0!</v>
      </c>
      <c r="BI155" s="43" t="e">
        <f>BI154+(ATM_Conf!$C$5/ATM_Conf!$C$8)*(CC155*EXP(-(1/DQ155)*(AO155/CW155)^DQ155)-BI154)+(ATM_Conf!$C$5/AO342)*BI154*(BH154-BI154)</f>
        <v>#DIV/0!</v>
      </c>
      <c r="BJ155" s="53"/>
      <c r="BK155" s="53"/>
      <c r="BL155" s="53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/>
      <c r="BW155" s="53"/>
      <c r="BX155" s="53"/>
      <c r="BY155" s="53"/>
      <c r="BZ155" s="53"/>
      <c r="CA155" s="53"/>
      <c r="CB155" s="53"/>
      <c r="CC155" s="5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53"/>
      <c r="CY155" s="53"/>
      <c r="CZ155" s="53"/>
      <c r="DA155" s="53"/>
      <c r="DB155" s="53"/>
      <c r="DC155" s="53"/>
      <c r="DD155" s="53"/>
      <c r="DE155" s="53"/>
      <c r="DF155" s="53"/>
      <c r="DG155" s="53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  <c r="DR155" s="43">
        <f t="shared" si="99"/>
        <v>0</v>
      </c>
      <c r="DS155" s="43">
        <f t="shared" si="98"/>
        <v>0</v>
      </c>
      <c r="DT155" s="43">
        <f t="shared" si="98"/>
        <v>0</v>
      </c>
      <c r="DU155" s="43">
        <f t="shared" si="98"/>
        <v>0</v>
      </c>
      <c r="DV155" s="43">
        <f t="shared" si="98"/>
        <v>0</v>
      </c>
      <c r="DW155" s="43">
        <f t="shared" si="98"/>
        <v>0</v>
      </c>
      <c r="DX155" s="43">
        <f t="shared" si="98"/>
        <v>0</v>
      </c>
      <c r="DY155" s="43">
        <f t="shared" si="98"/>
        <v>0</v>
      </c>
      <c r="DZ155" s="43">
        <f t="shared" si="98"/>
        <v>0</v>
      </c>
      <c r="EA155" s="43">
        <f t="shared" si="98"/>
        <v>0</v>
      </c>
      <c r="EB155" s="43">
        <f t="shared" si="98"/>
        <v>0</v>
      </c>
      <c r="EC155" s="43">
        <f t="shared" si="98"/>
        <v>0</v>
      </c>
      <c r="ED155" s="43">
        <f t="shared" si="98"/>
        <v>0</v>
      </c>
      <c r="EE155" s="43">
        <f t="shared" si="98"/>
        <v>0</v>
      </c>
      <c r="EF155" s="43">
        <f t="shared" si="98"/>
        <v>0</v>
      </c>
      <c r="EG155" s="43">
        <f t="shared" si="98"/>
        <v>0</v>
      </c>
      <c r="EH155" s="43">
        <f t="shared" si="98"/>
        <v>0</v>
      </c>
      <c r="EI155" s="43">
        <f t="shared" si="98"/>
        <v>0</v>
      </c>
      <c r="EJ155" s="43">
        <f t="shared" si="98"/>
        <v>0</v>
      </c>
      <c r="EK155" s="43">
        <f t="shared" si="98"/>
        <v>0</v>
      </c>
      <c r="EL155" s="47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47"/>
      <c r="FA155" s="47"/>
      <c r="FB155" s="47"/>
      <c r="FC155" s="47"/>
      <c r="FD155" s="47"/>
      <c r="FE155" s="47"/>
    </row>
    <row r="156" spans="1:161" ht="14.25" x14ac:dyDescent="0.15">
      <c r="A156" s="46"/>
      <c r="B156" s="43" t="e">
        <f t="shared" si="74"/>
        <v>#DIV/0!</v>
      </c>
      <c r="C156" s="43" t="e">
        <f t="shared" si="75"/>
        <v>#DIV/0!</v>
      </c>
      <c r="D156" s="43" t="e">
        <f t="shared" si="76"/>
        <v>#DIV/0!</v>
      </c>
      <c r="E156" s="43" t="e">
        <f t="shared" si="77"/>
        <v>#DIV/0!</v>
      </c>
      <c r="F156" s="43" t="e">
        <f t="shared" si="78"/>
        <v>#DIV/0!</v>
      </c>
      <c r="G156" s="43" t="e">
        <f t="shared" si="79"/>
        <v>#DIV/0!</v>
      </c>
      <c r="H156" s="43" t="e">
        <f t="shared" si="80"/>
        <v>#DIV/0!</v>
      </c>
      <c r="I156" s="43" t="e">
        <f t="shared" si="81"/>
        <v>#DIV/0!</v>
      </c>
      <c r="J156" s="43" t="e">
        <f t="shared" si="82"/>
        <v>#DIV/0!</v>
      </c>
      <c r="K156" s="43" t="e">
        <f t="shared" si="83"/>
        <v>#DIV/0!</v>
      </c>
      <c r="L156" s="43" t="e">
        <f t="shared" si="84"/>
        <v>#DIV/0!</v>
      </c>
      <c r="M156" s="43" t="e">
        <f t="shared" si="85"/>
        <v>#DIV/0!</v>
      </c>
      <c r="N156" s="43" t="e">
        <f t="shared" si="86"/>
        <v>#DIV/0!</v>
      </c>
      <c r="O156" s="43" t="e">
        <f t="shared" si="87"/>
        <v>#DIV/0!</v>
      </c>
      <c r="P156" s="43" t="e">
        <f t="shared" si="88"/>
        <v>#DIV/0!</v>
      </c>
      <c r="Q156" s="43" t="e">
        <f t="shared" si="89"/>
        <v>#DIV/0!</v>
      </c>
      <c r="R156" s="43" t="e">
        <f t="shared" si="90"/>
        <v>#DIV/0!</v>
      </c>
      <c r="S156" s="43" t="e">
        <f t="shared" si="91"/>
        <v>#DIV/0!</v>
      </c>
      <c r="T156" s="43" t="e">
        <f t="shared" si="92"/>
        <v>#DIV/0!</v>
      </c>
      <c r="U156" s="43" t="e">
        <f t="shared" si="93"/>
        <v>#DIV/0!</v>
      </c>
      <c r="V156" s="53" t="e">
        <f>V155+ATM_Conf!$C$5*(B155)/(B343*V343)</f>
        <v>#DIV/0!</v>
      </c>
      <c r="W156" s="53" t="e">
        <f>W155+ATM_Conf!$C$5*(C155-B155)/(C343*W343)</f>
        <v>#DIV/0!</v>
      </c>
      <c r="X156" s="53" t="e">
        <f>X155+ATM_Conf!$C$5*(D155-C155)/(D343*X343)</f>
        <v>#DIV/0!</v>
      </c>
      <c r="Y156" s="53" t="e">
        <f>Y155+ATM_Conf!$C$5*(E155-D155)/(E343*Y343)</f>
        <v>#DIV/0!</v>
      </c>
      <c r="Z156" s="53" t="e">
        <f>Z155+ATM_Conf!$C$5*(F155-E155)/(F343*Z343)</f>
        <v>#DIV/0!</v>
      </c>
      <c r="AA156" s="53" t="e">
        <f>AA155+ATM_Conf!$C$5*(G155-F155)/(G343*AA343)</f>
        <v>#DIV/0!</v>
      </c>
      <c r="AB156" s="53" t="e">
        <f>AB155+ATM_Conf!$C$5*(H155-G155)/(H343*AB343)</f>
        <v>#DIV/0!</v>
      </c>
      <c r="AC156" s="53" t="e">
        <f>AC155+ATM_Conf!$C$5*(I155-H155)/(I343*AC343)</f>
        <v>#DIV/0!</v>
      </c>
      <c r="AD156" s="53" t="e">
        <f>AD155+ATM_Conf!$C$5*(J155-I155)/(J343*AD343)</f>
        <v>#DIV/0!</v>
      </c>
      <c r="AE156" s="53" t="e">
        <f>AE155+ATM_Conf!$C$5*(K155-J155)/(K343*AE343)</f>
        <v>#DIV/0!</v>
      </c>
      <c r="AF156" s="53" t="e">
        <f>AF155+ATM_Conf!$C$5*(L155)/(L343*AF343)</f>
        <v>#DIV/0!</v>
      </c>
      <c r="AG156" s="53" t="e">
        <f>AG155+ATM_Conf!$C$5*(M155-L155)/(M343*AG343)</f>
        <v>#DIV/0!</v>
      </c>
      <c r="AH156" s="53" t="e">
        <f>AH155+ATM_Conf!$C$5*(N155-M155)/(N343*AH343)</f>
        <v>#DIV/0!</v>
      </c>
      <c r="AI156" s="53" t="e">
        <f>AI155+ATM_Conf!$C$5*(O155-N155)/(O343*AI343)</f>
        <v>#DIV/0!</v>
      </c>
      <c r="AJ156" s="53" t="e">
        <f>AJ155+ATM_Conf!$C$5*(P155-O155)/(P343*AJ343)</f>
        <v>#DIV/0!</v>
      </c>
      <c r="AK156" s="53" t="e">
        <f>AK155+ATM_Conf!$C$5*(Q155-P155)/(Q343*AK343)</f>
        <v>#DIV/0!</v>
      </c>
      <c r="AL156" s="53" t="e">
        <f>AL155+ATM_Conf!$C$5*(R155-Q155)/(R343*AL343)</f>
        <v>#DIV/0!</v>
      </c>
      <c r="AM156" s="53" t="e">
        <f>AM155+ATM_Conf!$C$5*(S155-R155)/(S343*AM343)</f>
        <v>#DIV/0!</v>
      </c>
      <c r="AN156" s="53" t="e">
        <f>AN155+ATM_Conf!$C$5*(T155-S155)/(T343*AN343)</f>
        <v>#DIV/0!</v>
      </c>
      <c r="AO156" s="53" t="e">
        <f>AO155+ATM_Conf!$C$5*(U155-T155)/(U343*AO343)</f>
        <v>#DIV/0!</v>
      </c>
      <c r="AP156" s="43" t="e">
        <f>AP155+(ATM_Conf!$C$5/ATM_Conf!$C$8)*(BJ156*EXP(-(1/CX156)*(V156/CD156)^CX156)-AP155)-(ATM_Conf!$C$5*ATM_Conf!$C$9)/(V343*ATM_Conf!$C$8)*(Nodes!BO155-V155)/(V155+ATM_Conf!$C$10)</f>
        <v>#DIV/0!</v>
      </c>
      <c r="AQ156" s="43" t="e">
        <f>AQ155+(ATM_Conf!$C$5/ATM_Conf!$C$8)*(BK156*EXP(-(1/CY156)*(W156/CE156)^CY156)-AQ155)+(ATM_Conf!$C$5/W343)*AQ155*(AP155-AQ155)-(ATM_Conf!$C$5*ATM_Conf!$C$9)/(W343*ATM_Conf!$C$8)*(X155-W155)/(W155+ATM_Conf!$C$10)</f>
        <v>#DIV/0!</v>
      </c>
      <c r="AR156" s="43" t="e">
        <f>AR155+(ATM_Conf!$C$5/ATM_Conf!$C$8)*(BL156*EXP(-(1/CZ156)*(X156/CF156)^CZ156)-AR155)+(ATM_Conf!$C$5/X343)*AR155*(Nodes!BC155-AR155)-(ATM_Conf!$C$5*ATM_Conf!$C$9)/(X343*ATM_Conf!$C$8)*(Nodes!BQ155-X155)/(X155+ATM_Conf!$C$10)</f>
        <v>#DIV/0!</v>
      </c>
      <c r="AS156" s="43" t="e">
        <f>AS155+(ATM_Conf!$C$5/ATM_Conf!$C$8)*(BM156*EXP(-(1/DA156)*(Y156/CG156)^DA156)-AS155)+(ATM_Conf!$C$5/Y343)*AS155*(AR155-AS155)-(ATM_Conf!$C$5*ATM_Conf!$C$9)/(Y343*ATM_Conf!$C$8)*(Z155-Y155)/(Y155+ATM_Conf!$C$10)</f>
        <v>#DIV/0!</v>
      </c>
      <c r="AT156" s="43" t="e">
        <f>AT155+(ATM_Conf!$C$5/ATM_Conf!$C$8)*(BN156*EXP(-(1/DB156)*(Z156/CH156)^DB156)-AT155)+(ATM_Conf!$C$5/Z343)*AT155*(Nodes!BE155-AT155)-(ATM_Conf!$C$5*ATM_Conf!$C$9)/(Z343*ATM_Conf!$C$8)*(Nodes!BS155-Z155)/(Z155+ATM_Conf!$C$10)</f>
        <v>#DIV/0!</v>
      </c>
      <c r="AU156" s="43" t="e">
        <f>AU155+(ATM_Conf!$C$5/ATM_Conf!$C$8)*(BO156*EXP(-(1/DC156)*(AA156/CI156)^DC156)-AU155)+(ATM_Conf!$C$5/AA343)*AU155*(Nodes!BF155-AU155)-(ATM_Conf!$C$5*ATM_Conf!$C$9)/(AA343*ATM_Conf!$C$8)*(Nodes!BV155-AA155)/(AA155+ATM_Conf!$C$10)</f>
        <v>#DIV/0!</v>
      </c>
      <c r="AV156" s="43" t="e">
        <f>AV155+(ATM_Conf!$C$5/ATM_Conf!$C$8)*(BP156*EXP(-(1/DD156)*(AB156/CJ156)^DD156)-AV155)+(ATM_Conf!$C$5/AB343)*AV155*(AU155-AV155)-(ATM_Conf!$C$5*ATM_Conf!$C$9)/(AB343*ATM_Conf!$C$8)*(AC155-AB155)/(AB155+ATM_Conf!$C$10)</f>
        <v>#DIV/0!</v>
      </c>
      <c r="AW156" s="43" t="e">
        <f>AW155+(ATM_Conf!$C$5/ATM_Conf!$C$8)*(BQ156*EXP(-(1/DE156)*(AC156/CK156)^DE156)-AW155)+(ATM_Conf!$C$5/AC343)*AW155*(AV155-AW155)-(ATM_Conf!$C$5*ATM_Conf!$C$9)/(AC343*ATM_Conf!$C$8)*(AD155-AC155)/(AC155+ATM_Conf!$C$10)</f>
        <v>#DIV/0!</v>
      </c>
      <c r="AX156" s="43" t="e">
        <f>AX155+(ATM_Conf!$C$5/ATM_Conf!$C$8)*(BR156*EXP(-(1/DF156)*(AD156/CL156)^DF156)-AX155)+(ATM_Conf!$C$5/AD343)*AX155*(Nodes!BG155-AX155)-(ATM_Conf!$C$5*ATM_Conf!$C$9)/(AD343*ATM_Conf!$C$8)*(Nodes!BU155-AD155)/(AD155+ATM_Conf!$C$10)</f>
        <v>#DIV/0!</v>
      </c>
      <c r="AY156" s="43" t="e">
        <f>AY155+(ATM_Conf!$C$5/ATM_Conf!$C$8)*(BS156*EXP(-(1/DG156)*(AE156/CM156)^DG156)-AY155)+(ATM_Conf!$C$5/AE343)*AY155*(Nodes!BF155-AY155)</f>
        <v>#DIV/0!</v>
      </c>
      <c r="AZ156" s="43" t="e">
        <f>AZ155+(ATM_Conf!$C$5/ATM_Conf!$C$8)*(BT156*EXP(-(1/DH156)*(AF156/CN156)^DH156)-AZ155)-(ATM_Conf!$C$5*ATM_Conf!$C$9)/(AF343*ATM_Conf!$C$8)*(Nodes!BV155-AF155)/(AF155+ATM_Conf!$C$10)</f>
        <v>#DIV/0!</v>
      </c>
      <c r="BA156" s="43" t="e">
        <f>BA155+(ATM_Conf!$C$5/ATM_Conf!$C$8)*(BU156*EXP(-(1/DI156)*(AG156/CO156)^DI156)-BA155)+(ATM_Conf!$C$5/AG343)*BA155*(Nodes!BI155-BA155)-(ATM_Conf!$C$5*ATM_Conf!$C$9)/(AG343*ATM_Conf!$C$8)*(Nodes!BW155-AG155)/(AG155+ATM_Conf!$C$10)</f>
        <v>#DIV/0!</v>
      </c>
      <c r="BB156" s="43" t="e">
        <f>BB155+(ATM_Conf!$C$5/ATM_Conf!$C$8)*(BV156*EXP(-(1/DJ156)*(AH156/CP156)^DJ156)-BB155)+(ATM_Conf!$C$5/AH343)*BB155*(Nodes!BJ155-BB155)-(ATM_Conf!$C$5*ATM_Conf!$C$9)/(AH343*ATM_Conf!$C$8)*(AI155-AH155)/(AH155+ATM_Conf!$C$10)</f>
        <v>#DIV/0!</v>
      </c>
      <c r="BC156" s="43" t="e">
        <f>BC155+(ATM_Conf!$C$5/ATM_Conf!$C$8)*(BW156*EXP(-(1/DK156)*(AI156/CQ156)^DK156)-BC155)+(ATM_Conf!$C$5/AI343)*BC155*(BB155-BC155)-(ATM_Conf!$C$5*ATM_Conf!$C$9)/(AI343*ATM_Conf!$C$8)*(AJ155-AI155)/(AI155+ATM_Conf!$C$10)</f>
        <v>#DIV/0!</v>
      </c>
      <c r="BD156" s="43" t="e">
        <f>BD155+(ATM_Conf!$C$5/ATM_Conf!$C$8)*(BX156*EXP(-(1/DL156)*(AJ156/CR156)^DL156)-BD155)+(ATM_Conf!$C$5/AJ343)*BD155*(BC155-BD155)-(ATM_Conf!$C$5*ATM_Conf!$C$9)/(AJ343*ATM_Conf!$C$8)*(Nodes!BX155-AJ155)/(AJ155+ATM_Conf!$C$10)</f>
        <v>#DIV/0!</v>
      </c>
      <c r="BE156" s="43" t="e">
        <f>BE155+(ATM_Conf!$C$5/ATM_Conf!$C$8)*(BY156*EXP(-(1/DM156)*(AK156/CS156)^DM156)-BE155)+(ATM_Conf!$C$5/AK343)*BE155*(Nodes!BK155-BE155)-(ATM_Conf!$C$5*ATM_Conf!$C$9)/(AK343*ATM_Conf!$C$8)*(Nodes!BY155-AK155)/(AK155+ATM_Conf!$C$10)</f>
        <v>#DIV/0!</v>
      </c>
      <c r="BF156" s="43" t="e">
        <f>BF155+(ATM_Conf!$C$5/ATM_Conf!$C$8)*(BZ156*EXP(-(1/DN156)*(AL156/CT156)^DN156)-BF155)+(ATM_Conf!$C$5/AL343)*BF155*(BE155-BF155)-(ATM_Conf!$C$5*ATM_Conf!$C$9)/(AL343*ATM_Conf!$C$8)*(AM155-AL155)/(AL155+ATM_Conf!$C$10)</f>
        <v>#DIV/0!</v>
      </c>
      <c r="BG156" s="43" t="e">
        <f>BG155+(ATM_Conf!$C$5/ATM_Conf!$C$8)*(CA156*EXP(-(1/DO156)*(AM156/CU156)^DO156)-BG155)+(ATM_Conf!$C$5/AM343)*BG155*(Nodes!BM155-BG155)-(ATM_Conf!$C$5*ATM_Conf!$C$9)/(AM343*ATM_Conf!$C$8)*(Nodes!CA155-AM155)/(AM155+ATM_Conf!$C$10)</f>
        <v>#DIV/0!</v>
      </c>
      <c r="BH156" s="43" t="e">
        <f>BH155+(ATM_Conf!$C$5/ATM_Conf!$C$8)*(CB156*EXP(-(1/DP156)*(AN156/CV156)^DP156)-BH155)+(ATM_Conf!$C$5/AN343)*BH155*(BG155-BH155)-(ATM_Conf!$C$5*ATM_Conf!$C$9)/(AN343*ATM_Conf!$C$8)*(AO155-AN155)/(AN155+ATM_Conf!$C$10)</f>
        <v>#DIV/0!</v>
      </c>
      <c r="BI156" s="43" t="e">
        <f>BI155+(ATM_Conf!$C$5/ATM_Conf!$C$8)*(CC156*EXP(-(1/DQ156)*(AO156/CW156)^DQ156)-BI155)+(ATM_Conf!$C$5/AO343)*BI155*(BH155-BI155)</f>
        <v>#DIV/0!</v>
      </c>
      <c r="BJ156" s="53"/>
      <c r="BK156" s="53"/>
      <c r="BL156" s="53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/>
      <c r="BW156" s="53"/>
      <c r="BX156" s="53"/>
      <c r="BY156" s="53"/>
      <c r="BZ156" s="53"/>
      <c r="CA156" s="53"/>
      <c r="CB156" s="53"/>
      <c r="CC156" s="5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53"/>
      <c r="CY156" s="53"/>
      <c r="CZ156" s="53"/>
      <c r="DA156" s="53"/>
      <c r="DB156" s="53"/>
      <c r="DC156" s="53"/>
      <c r="DD156" s="53"/>
      <c r="DE156" s="53"/>
      <c r="DF156" s="53"/>
      <c r="DG156" s="53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  <c r="DR156" s="43">
        <f t="shared" si="99"/>
        <v>0</v>
      </c>
      <c r="DS156" s="43">
        <f t="shared" si="98"/>
        <v>0</v>
      </c>
      <c r="DT156" s="43">
        <f t="shared" si="98"/>
        <v>0</v>
      </c>
      <c r="DU156" s="43">
        <f t="shared" si="98"/>
        <v>0</v>
      </c>
      <c r="DV156" s="43">
        <f t="shared" si="98"/>
        <v>0</v>
      </c>
      <c r="DW156" s="43">
        <f t="shared" si="98"/>
        <v>0</v>
      </c>
      <c r="DX156" s="43">
        <f t="shared" si="98"/>
        <v>0</v>
      </c>
      <c r="DY156" s="43">
        <f t="shared" si="98"/>
        <v>0</v>
      </c>
      <c r="DZ156" s="43">
        <f t="shared" si="98"/>
        <v>0</v>
      </c>
      <c r="EA156" s="43">
        <f t="shared" si="98"/>
        <v>0</v>
      </c>
      <c r="EB156" s="43">
        <f t="shared" si="98"/>
        <v>0</v>
      </c>
      <c r="EC156" s="43">
        <f t="shared" si="98"/>
        <v>0</v>
      </c>
      <c r="ED156" s="43">
        <f t="shared" si="98"/>
        <v>0</v>
      </c>
      <c r="EE156" s="43">
        <f t="shared" si="98"/>
        <v>0</v>
      </c>
      <c r="EF156" s="43">
        <f t="shared" si="98"/>
        <v>0</v>
      </c>
      <c r="EG156" s="43">
        <f t="shared" si="98"/>
        <v>0</v>
      </c>
      <c r="EH156" s="43">
        <f t="shared" si="98"/>
        <v>0</v>
      </c>
      <c r="EI156" s="43">
        <f t="shared" si="98"/>
        <v>0</v>
      </c>
      <c r="EJ156" s="43">
        <f t="shared" si="98"/>
        <v>0</v>
      </c>
      <c r="EK156" s="43">
        <f t="shared" si="98"/>
        <v>0</v>
      </c>
      <c r="EL156" s="47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47"/>
      <c r="FA156" s="47"/>
      <c r="FB156" s="47"/>
      <c r="FC156" s="47"/>
      <c r="FD156" s="47"/>
      <c r="FE156" s="47"/>
    </row>
    <row r="157" spans="1:161" ht="14.25" x14ac:dyDescent="0.15">
      <c r="A157" s="46"/>
      <c r="B157" s="43" t="e">
        <f t="shared" si="74"/>
        <v>#DIV/0!</v>
      </c>
      <c r="C157" s="43" t="e">
        <f t="shared" si="75"/>
        <v>#DIV/0!</v>
      </c>
      <c r="D157" s="43" t="e">
        <f t="shared" si="76"/>
        <v>#DIV/0!</v>
      </c>
      <c r="E157" s="43" t="e">
        <f t="shared" si="77"/>
        <v>#DIV/0!</v>
      </c>
      <c r="F157" s="43" t="e">
        <f t="shared" si="78"/>
        <v>#DIV/0!</v>
      </c>
      <c r="G157" s="43" t="e">
        <f t="shared" si="79"/>
        <v>#DIV/0!</v>
      </c>
      <c r="H157" s="43" t="e">
        <f t="shared" si="80"/>
        <v>#DIV/0!</v>
      </c>
      <c r="I157" s="43" t="e">
        <f t="shared" si="81"/>
        <v>#DIV/0!</v>
      </c>
      <c r="J157" s="43" t="e">
        <f t="shared" si="82"/>
        <v>#DIV/0!</v>
      </c>
      <c r="K157" s="43" t="e">
        <f t="shared" si="83"/>
        <v>#DIV/0!</v>
      </c>
      <c r="L157" s="43" t="e">
        <f t="shared" si="84"/>
        <v>#DIV/0!</v>
      </c>
      <c r="M157" s="43" t="e">
        <f t="shared" si="85"/>
        <v>#DIV/0!</v>
      </c>
      <c r="N157" s="43" t="e">
        <f t="shared" si="86"/>
        <v>#DIV/0!</v>
      </c>
      <c r="O157" s="43" t="e">
        <f t="shared" si="87"/>
        <v>#DIV/0!</v>
      </c>
      <c r="P157" s="43" t="e">
        <f t="shared" si="88"/>
        <v>#DIV/0!</v>
      </c>
      <c r="Q157" s="43" t="e">
        <f t="shared" si="89"/>
        <v>#DIV/0!</v>
      </c>
      <c r="R157" s="43" t="e">
        <f t="shared" si="90"/>
        <v>#DIV/0!</v>
      </c>
      <c r="S157" s="43" t="e">
        <f t="shared" si="91"/>
        <v>#DIV/0!</v>
      </c>
      <c r="T157" s="43" t="e">
        <f t="shared" si="92"/>
        <v>#DIV/0!</v>
      </c>
      <c r="U157" s="43" t="e">
        <f t="shared" si="93"/>
        <v>#DIV/0!</v>
      </c>
      <c r="V157" s="53" t="e">
        <f>V156+ATM_Conf!$C$5*(B156)/(B344*V344)</f>
        <v>#DIV/0!</v>
      </c>
      <c r="W157" s="53" t="e">
        <f>W156+ATM_Conf!$C$5*(C156-B156)/(C344*W344)</f>
        <v>#DIV/0!</v>
      </c>
      <c r="X157" s="53" t="e">
        <f>X156+ATM_Conf!$C$5*(D156-C156)/(D344*X344)</f>
        <v>#DIV/0!</v>
      </c>
      <c r="Y157" s="53" t="e">
        <f>Y156+ATM_Conf!$C$5*(E156-D156)/(E344*Y344)</f>
        <v>#DIV/0!</v>
      </c>
      <c r="Z157" s="53" t="e">
        <f>Z156+ATM_Conf!$C$5*(F156-E156)/(F344*Z344)</f>
        <v>#DIV/0!</v>
      </c>
      <c r="AA157" s="53" t="e">
        <f>AA156+ATM_Conf!$C$5*(G156-F156)/(G344*AA344)</f>
        <v>#DIV/0!</v>
      </c>
      <c r="AB157" s="53" t="e">
        <f>AB156+ATM_Conf!$C$5*(H156-G156)/(H344*AB344)</f>
        <v>#DIV/0!</v>
      </c>
      <c r="AC157" s="53" t="e">
        <f>AC156+ATM_Conf!$C$5*(I156-H156)/(I344*AC344)</f>
        <v>#DIV/0!</v>
      </c>
      <c r="AD157" s="53" t="e">
        <f>AD156+ATM_Conf!$C$5*(J156-I156)/(J344*AD344)</f>
        <v>#DIV/0!</v>
      </c>
      <c r="AE157" s="53" t="e">
        <f>AE156+ATM_Conf!$C$5*(K156-J156)/(K344*AE344)</f>
        <v>#DIV/0!</v>
      </c>
      <c r="AF157" s="53" t="e">
        <f>AF156+ATM_Conf!$C$5*(L156)/(L344*AF344)</f>
        <v>#DIV/0!</v>
      </c>
      <c r="AG157" s="53" t="e">
        <f>AG156+ATM_Conf!$C$5*(M156-L156)/(M344*AG344)</f>
        <v>#DIV/0!</v>
      </c>
      <c r="AH157" s="53" t="e">
        <f>AH156+ATM_Conf!$C$5*(N156-M156)/(N344*AH344)</f>
        <v>#DIV/0!</v>
      </c>
      <c r="AI157" s="53" t="e">
        <f>AI156+ATM_Conf!$C$5*(O156-N156)/(O344*AI344)</f>
        <v>#DIV/0!</v>
      </c>
      <c r="AJ157" s="53" t="e">
        <f>AJ156+ATM_Conf!$C$5*(P156-O156)/(P344*AJ344)</f>
        <v>#DIV/0!</v>
      </c>
      <c r="AK157" s="53" t="e">
        <f>AK156+ATM_Conf!$C$5*(Q156-P156)/(Q344*AK344)</f>
        <v>#DIV/0!</v>
      </c>
      <c r="AL157" s="53" t="e">
        <f>AL156+ATM_Conf!$C$5*(R156-Q156)/(R344*AL344)</f>
        <v>#DIV/0!</v>
      </c>
      <c r="AM157" s="53" t="e">
        <f>AM156+ATM_Conf!$C$5*(S156-R156)/(S344*AM344)</f>
        <v>#DIV/0!</v>
      </c>
      <c r="AN157" s="53" t="e">
        <f>AN156+ATM_Conf!$C$5*(T156-S156)/(T344*AN344)</f>
        <v>#DIV/0!</v>
      </c>
      <c r="AO157" s="53" t="e">
        <f>AO156+ATM_Conf!$C$5*(U156-T156)/(U344*AO344)</f>
        <v>#DIV/0!</v>
      </c>
      <c r="AP157" s="43" t="e">
        <f>AP156+(ATM_Conf!$C$5/ATM_Conf!$C$8)*(BJ157*EXP(-(1/CX157)*(V157/CD157)^CX157)-AP156)-(ATM_Conf!$C$5*ATM_Conf!$C$9)/(V344*ATM_Conf!$C$8)*(Nodes!BO156-V156)/(V156+ATM_Conf!$C$10)</f>
        <v>#DIV/0!</v>
      </c>
      <c r="AQ157" s="43" t="e">
        <f>AQ156+(ATM_Conf!$C$5/ATM_Conf!$C$8)*(BK157*EXP(-(1/CY157)*(W157/CE157)^CY157)-AQ156)+(ATM_Conf!$C$5/W344)*AQ156*(AP156-AQ156)-(ATM_Conf!$C$5*ATM_Conf!$C$9)/(W344*ATM_Conf!$C$8)*(X156-W156)/(W156+ATM_Conf!$C$10)</f>
        <v>#DIV/0!</v>
      </c>
      <c r="AR157" s="43" t="e">
        <f>AR156+(ATM_Conf!$C$5/ATM_Conf!$C$8)*(BL157*EXP(-(1/CZ157)*(X157/CF157)^CZ157)-AR156)+(ATM_Conf!$C$5/X344)*AR156*(Nodes!BC156-AR156)-(ATM_Conf!$C$5*ATM_Conf!$C$9)/(X344*ATM_Conf!$C$8)*(Nodes!BQ156-X156)/(X156+ATM_Conf!$C$10)</f>
        <v>#DIV/0!</v>
      </c>
      <c r="AS157" s="43" t="e">
        <f>AS156+(ATM_Conf!$C$5/ATM_Conf!$C$8)*(BM157*EXP(-(1/DA157)*(Y157/CG157)^DA157)-AS156)+(ATM_Conf!$C$5/Y344)*AS156*(AR156-AS156)-(ATM_Conf!$C$5*ATM_Conf!$C$9)/(Y344*ATM_Conf!$C$8)*(Z156-Y156)/(Y156+ATM_Conf!$C$10)</f>
        <v>#DIV/0!</v>
      </c>
      <c r="AT157" s="43" t="e">
        <f>AT156+(ATM_Conf!$C$5/ATM_Conf!$C$8)*(BN157*EXP(-(1/DB157)*(Z157/CH157)^DB157)-AT156)+(ATM_Conf!$C$5/Z344)*AT156*(Nodes!BE156-AT156)-(ATM_Conf!$C$5*ATM_Conf!$C$9)/(Z344*ATM_Conf!$C$8)*(Nodes!BS156-Z156)/(Z156+ATM_Conf!$C$10)</f>
        <v>#DIV/0!</v>
      </c>
      <c r="AU157" s="43" t="e">
        <f>AU156+(ATM_Conf!$C$5/ATM_Conf!$C$8)*(BO157*EXP(-(1/DC157)*(AA157/CI157)^DC157)-AU156)+(ATM_Conf!$C$5/AA344)*AU156*(Nodes!BF156-AU156)-(ATM_Conf!$C$5*ATM_Conf!$C$9)/(AA344*ATM_Conf!$C$8)*(Nodes!BV156-AA156)/(AA156+ATM_Conf!$C$10)</f>
        <v>#DIV/0!</v>
      </c>
      <c r="AV157" s="43" t="e">
        <f>AV156+(ATM_Conf!$C$5/ATM_Conf!$C$8)*(BP157*EXP(-(1/DD157)*(AB157/CJ157)^DD157)-AV156)+(ATM_Conf!$C$5/AB344)*AV156*(AU156-AV156)-(ATM_Conf!$C$5*ATM_Conf!$C$9)/(AB344*ATM_Conf!$C$8)*(AC156-AB156)/(AB156+ATM_Conf!$C$10)</f>
        <v>#DIV/0!</v>
      </c>
      <c r="AW157" s="43" t="e">
        <f>AW156+(ATM_Conf!$C$5/ATM_Conf!$C$8)*(BQ157*EXP(-(1/DE157)*(AC157/CK157)^DE157)-AW156)+(ATM_Conf!$C$5/AC344)*AW156*(AV156-AW156)-(ATM_Conf!$C$5*ATM_Conf!$C$9)/(AC344*ATM_Conf!$C$8)*(AD156-AC156)/(AC156+ATM_Conf!$C$10)</f>
        <v>#DIV/0!</v>
      </c>
      <c r="AX157" s="43" t="e">
        <f>AX156+(ATM_Conf!$C$5/ATM_Conf!$C$8)*(BR157*EXP(-(1/DF157)*(AD157/CL157)^DF157)-AX156)+(ATM_Conf!$C$5/AD344)*AX156*(Nodes!BG156-AX156)-(ATM_Conf!$C$5*ATM_Conf!$C$9)/(AD344*ATM_Conf!$C$8)*(Nodes!BU156-AD156)/(AD156+ATM_Conf!$C$10)</f>
        <v>#DIV/0!</v>
      </c>
      <c r="AY157" s="43" t="e">
        <f>AY156+(ATM_Conf!$C$5/ATM_Conf!$C$8)*(BS157*EXP(-(1/DG157)*(AE157/CM157)^DG157)-AY156)+(ATM_Conf!$C$5/AE344)*AY156*(Nodes!BF156-AY156)</f>
        <v>#DIV/0!</v>
      </c>
      <c r="AZ157" s="43" t="e">
        <f>AZ156+(ATM_Conf!$C$5/ATM_Conf!$C$8)*(BT157*EXP(-(1/DH157)*(AF157/CN157)^DH157)-AZ156)-(ATM_Conf!$C$5*ATM_Conf!$C$9)/(AF344*ATM_Conf!$C$8)*(Nodes!BV156-AF156)/(AF156+ATM_Conf!$C$10)</f>
        <v>#DIV/0!</v>
      </c>
      <c r="BA157" s="43" t="e">
        <f>BA156+(ATM_Conf!$C$5/ATM_Conf!$C$8)*(BU157*EXP(-(1/DI157)*(AG157/CO157)^DI157)-BA156)+(ATM_Conf!$C$5/AG344)*BA156*(Nodes!BI156-BA156)-(ATM_Conf!$C$5*ATM_Conf!$C$9)/(AG344*ATM_Conf!$C$8)*(Nodes!BW156-AG156)/(AG156+ATM_Conf!$C$10)</f>
        <v>#DIV/0!</v>
      </c>
      <c r="BB157" s="43" t="e">
        <f>BB156+(ATM_Conf!$C$5/ATM_Conf!$C$8)*(BV157*EXP(-(1/DJ157)*(AH157/CP157)^DJ157)-BB156)+(ATM_Conf!$C$5/AH344)*BB156*(Nodes!BJ156-BB156)-(ATM_Conf!$C$5*ATM_Conf!$C$9)/(AH344*ATM_Conf!$C$8)*(AI156-AH156)/(AH156+ATM_Conf!$C$10)</f>
        <v>#DIV/0!</v>
      </c>
      <c r="BC157" s="43" t="e">
        <f>BC156+(ATM_Conf!$C$5/ATM_Conf!$C$8)*(BW157*EXP(-(1/DK157)*(AI157/CQ157)^DK157)-BC156)+(ATM_Conf!$C$5/AI344)*BC156*(BB156-BC156)-(ATM_Conf!$C$5*ATM_Conf!$C$9)/(AI344*ATM_Conf!$C$8)*(AJ156-AI156)/(AI156+ATM_Conf!$C$10)</f>
        <v>#DIV/0!</v>
      </c>
      <c r="BD157" s="43" t="e">
        <f>BD156+(ATM_Conf!$C$5/ATM_Conf!$C$8)*(BX157*EXP(-(1/DL157)*(AJ157/CR157)^DL157)-BD156)+(ATM_Conf!$C$5/AJ344)*BD156*(BC156-BD156)-(ATM_Conf!$C$5*ATM_Conf!$C$9)/(AJ344*ATM_Conf!$C$8)*(Nodes!BX156-AJ156)/(AJ156+ATM_Conf!$C$10)</f>
        <v>#DIV/0!</v>
      </c>
      <c r="BE157" s="43" t="e">
        <f>BE156+(ATM_Conf!$C$5/ATM_Conf!$C$8)*(BY157*EXP(-(1/DM157)*(AK157/CS157)^DM157)-BE156)+(ATM_Conf!$C$5/AK344)*BE156*(Nodes!BK156-BE156)-(ATM_Conf!$C$5*ATM_Conf!$C$9)/(AK344*ATM_Conf!$C$8)*(Nodes!BY156-AK156)/(AK156+ATM_Conf!$C$10)</f>
        <v>#DIV/0!</v>
      </c>
      <c r="BF157" s="43" t="e">
        <f>BF156+(ATM_Conf!$C$5/ATM_Conf!$C$8)*(BZ157*EXP(-(1/DN157)*(AL157/CT157)^DN157)-BF156)+(ATM_Conf!$C$5/AL344)*BF156*(BE156-BF156)-(ATM_Conf!$C$5*ATM_Conf!$C$9)/(AL344*ATM_Conf!$C$8)*(AM156-AL156)/(AL156+ATM_Conf!$C$10)</f>
        <v>#DIV/0!</v>
      </c>
      <c r="BG157" s="43" t="e">
        <f>BG156+(ATM_Conf!$C$5/ATM_Conf!$C$8)*(CA157*EXP(-(1/DO157)*(AM157/CU157)^DO157)-BG156)+(ATM_Conf!$C$5/AM344)*BG156*(Nodes!BM156-BG156)-(ATM_Conf!$C$5*ATM_Conf!$C$9)/(AM344*ATM_Conf!$C$8)*(Nodes!CA156-AM156)/(AM156+ATM_Conf!$C$10)</f>
        <v>#DIV/0!</v>
      </c>
      <c r="BH157" s="43" t="e">
        <f>BH156+(ATM_Conf!$C$5/ATM_Conf!$C$8)*(CB157*EXP(-(1/DP157)*(AN157/CV157)^DP157)-BH156)+(ATM_Conf!$C$5/AN344)*BH156*(BG156-BH156)-(ATM_Conf!$C$5*ATM_Conf!$C$9)/(AN344*ATM_Conf!$C$8)*(AO156-AN156)/(AN156+ATM_Conf!$C$10)</f>
        <v>#DIV/0!</v>
      </c>
      <c r="BI157" s="43" t="e">
        <f>BI156+(ATM_Conf!$C$5/ATM_Conf!$C$8)*(CC157*EXP(-(1/DQ157)*(AO157/CW157)^DQ157)-BI156)+(ATM_Conf!$C$5/AO344)*BI156*(BH156-BI156)</f>
        <v>#DIV/0!</v>
      </c>
      <c r="BJ157" s="53"/>
      <c r="BK157" s="53"/>
      <c r="BL157" s="53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/>
      <c r="BW157" s="53"/>
      <c r="BX157" s="53"/>
      <c r="BY157" s="53"/>
      <c r="BZ157" s="53"/>
      <c r="CA157" s="53"/>
      <c r="CB157" s="53"/>
      <c r="CC157" s="5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53"/>
      <c r="CY157" s="53"/>
      <c r="CZ157" s="53"/>
      <c r="DA157" s="53"/>
      <c r="DB157" s="53"/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43">
        <f t="shared" si="99"/>
        <v>0</v>
      </c>
      <c r="DS157" s="43">
        <f t="shared" si="98"/>
        <v>0</v>
      </c>
      <c r="DT157" s="43">
        <f t="shared" si="98"/>
        <v>0</v>
      </c>
      <c r="DU157" s="43">
        <f t="shared" si="98"/>
        <v>0</v>
      </c>
      <c r="DV157" s="43">
        <f t="shared" si="98"/>
        <v>0</v>
      </c>
      <c r="DW157" s="43">
        <f t="shared" si="98"/>
        <v>0</v>
      </c>
      <c r="DX157" s="43">
        <f t="shared" si="98"/>
        <v>0</v>
      </c>
      <c r="DY157" s="43">
        <f t="shared" si="98"/>
        <v>0</v>
      </c>
      <c r="DZ157" s="43">
        <f t="shared" si="98"/>
        <v>0</v>
      </c>
      <c r="EA157" s="43">
        <f t="shared" si="98"/>
        <v>0</v>
      </c>
      <c r="EB157" s="43">
        <f t="shared" si="98"/>
        <v>0</v>
      </c>
      <c r="EC157" s="43">
        <f t="shared" si="98"/>
        <v>0</v>
      </c>
      <c r="ED157" s="43">
        <f t="shared" si="98"/>
        <v>0</v>
      </c>
      <c r="EE157" s="43">
        <f t="shared" si="98"/>
        <v>0</v>
      </c>
      <c r="EF157" s="43">
        <f t="shared" si="98"/>
        <v>0</v>
      </c>
      <c r="EG157" s="43">
        <f t="shared" si="98"/>
        <v>0</v>
      </c>
      <c r="EH157" s="43">
        <f t="shared" si="98"/>
        <v>0</v>
      </c>
      <c r="EI157" s="43">
        <f t="shared" si="98"/>
        <v>0</v>
      </c>
      <c r="EJ157" s="43">
        <f t="shared" si="98"/>
        <v>0</v>
      </c>
      <c r="EK157" s="43">
        <f t="shared" si="98"/>
        <v>0</v>
      </c>
      <c r="EL157" s="47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47"/>
      <c r="FA157" s="47"/>
      <c r="FB157" s="47"/>
      <c r="FC157" s="47"/>
      <c r="FD157" s="47"/>
      <c r="FE157" s="47"/>
    </row>
    <row r="158" spans="1:161" ht="14.25" x14ac:dyDescent="0.15">
      <c r="A158" s="46"/>
      <c r="B158" s="43" t="e">
        <f t="shared" si="74"/>
        <v>#DIV/0!</v>
      </c>
      <c r="C158" s="43" t="e">
        <f t="shared" si="75"/>
        <v>#DIV/0!</v>
      </c>
      <c r="D158" s="43" t="e">
        <f t="shared" si="76"/>
        <v>#DIV/0!</v>
      </c>
      <c r="E158" s="43" t="e">
        <f t="shared" si="77"/>
        <v>#DIV/0!</v>
      </c>
      <c r="F158" s="43" t="e">
        <f t="shared" si="78"/>
        <v>#DIV/0!</v>
      </c>
      <c r="G158" s="43" t="e">
        <f t="shared" si="79"/>
        <v>#DIV/0!</v>
      </c>
      <c r="H158" s="43" t="e">
        <f t="shared" si="80"/>
        <v>#DIV/0!</v>
      </c>
      <c r="I158" s="43" t="e">
        <f t="shared" si="81"/>
        <v>#DIV/0!</v>
      </c>
      <c r="J158" s="43" t="e">
        <f t="shared" si="82"/>
        <v>#DIV/0!</v>
      </c>
      <c r="K158" s="43" t="e">
        <f t="shared" si="83"/>
        <v>#DIV/0!</v>
      </c>
      <c r="L158" s="43" t="e">
        <f t="shared" si="84"/>
        <v>#DIV/0!</v>
      </c>
      <c r="M158" s="43" t="e">
        <f t="shared" si="85"/>
        <v>#DIV/0!</v>
      </c>
      <c r="N158" s="43" t="e">
        <f t="shared" si="86"/>
        <v>#DIV/0!</v>
      </c>
      <c r="O158" s="43" t="e">
        <f t="shared" si="87"/>
        <v>#DIV/0!</v>
      </c>
      <c r="P158" s="43" t="e">
        <f t="shared" si="88"/>
        <v>#DIV/0!</v>
      </c>
      <c r="Q158" s="43" t="e">
        <f t="shared" si="89"/>
        <v>#DIV/0!</v>
      </c>
      <c r="R158" s="43" t="e">
        <f t="shared" si="90"/>
        <v>#DIV/0!</v>
      </c>
      <c r="S158" s="43" t="e">
        <f t="shared" si="91"/>
        <v>#DIV/0!</v>
      </c>
      <c r="T158" s="43" t="e">
        <f t="shared" si="92"/>
        <v>#DIV/0!</v>
      </c>
      <c r="U158" s="43" t="e">
        <f t="shared" si="93"/>
        <v>#DIV/0!</v>
      </c>
      <c r="V158" s="53" t="e">
        <f>V157+ATM_Conf!$C$5*(B157)/(B345*V345)</f>
        <v>#DIV/0!</v>
      </c>
      <c r="W158" s="53" t="e">
        <f>W157+ATM_Conf!$C$5*(C157-B157)/(C345*W345)</f>
        <v>#DIV/0!</v>
      </c>
      <c r="X158" s="53" t="e">
        <f>X157+ATM_Conf!$C$5*(D157-C157)/(D345*X345)</f>
        <v>#DIV/0!</v>
      </c>
      <c r="Y158" s="53" t="e">
        <f>Y157+ATM_Conf!$C$5*(E157-D157)/(E345*Y345)</f>
        <v>#DIV/0!</v>
      </c>
      <c r="Z158" s="53" t="e">
        <f>Z157+ATM_Conf!$C$5*(F157-E157)/(F345*Z345)</f>
        <v>#DIV/0!</v>
      </c>
      <c r="AA158" s="53" t="e">
        <f>AA157+ATM_Conf!$C$5*(G157-F157)/(G345*AA345)</f>
        <v>#DIV/0!</v>
      </c>
      <c r="AB158" s="53" t="e">
        <f>AB157+ATM_Conf!$C$5*(H157-G157)/(H345*AB345)</f>
        <v>#DIV/0!</v>
      </c>
      <c r="AC158" s="53" t="e">
        <f>AC157+ATM_Conf!$C$5*(I157-H157)/(I345*AC345)</f>
        <v>#DIV/0!</v>
      </c>
      <c r="AD158" s="53" t="e">
        <f>AD157+ATM_Conf!$C$5*(J157-I157)/(J345*AD345)</f>
        <v>#DIV/0!</v>
      </c>
      <c r="AE158" s="53" t="e">
        <f>AE157+ATM_Conf!$C$5*(K157-J157)/(K345*AE345)</f>
        <v>#DIV/0!</v>
      </c>
      <c r="AF158" s="53" t="e">
        <f>AF157+ATM_Conf!$C$5*(L157)/(L345*AF345)</f>
        <v>#DIV/0!</v>
      </c>
      <c r="AG158" s="53" t="e">
        <f>AG157+ATM_Conf!$C$5*(M157-L157)/(M345*AG345)</f>
        <v>#DIV/0!</v>
      </c>
      <c r="AH158" s="53" t="e">
        <f>AH157+ATM_Conf!$C$5*(N157-M157)/(N345*AH345)</f>
        <v>#DIV/0!</v>
      </c>
      <c r="AI158" s="53" t="e">
        <f>AI157+ATM_Conf!$C$5*(O157-N157)/(O345*AI345)</f>
        <v>#DIV/0!</v>
      </c>
      <c r="AJ158" s="53" t="e">
        <f>AJ157+ATM_Conf!$C$5*(P157-O157)/(P345*AJ345)</f>
        <v>#DIV/0!</v>
      </c>
      <c r="AK158" s="53" t="e">
        <f>AK157+ATM_Conf!$C$5*(Q157-P157)/(Q345*AK345)</f>
        <v>#DIV/0!</v>
      </c>
      <c r="AL158" s="53" t="e">
        <f>AL157+ATM_Conf!$C$5*(R157-Q157)/(R345*AL345)</f>
        <v>#DIV/0!</v>
      </c>
      <c r="AM158" s="53" t="e">
        <f>AM157+ATM_Conf!$C$5*(S157-R157)/(S345*AM345)</f>
        <v>#DIV/0!</v>
      </c>
      <c r="AN158" s="53" t="e">
        <f>AN157+ATM_Conf!$C$5*(T157-S157)/(T345*AN345)</f>
        <v>#DIV/0!</v>
      </c>
      <c r="AO158" s="53" t="e">
        <f>AO157+ATM_Conf!$C$5*(U157-T157)/(U345*AO345)</f>
        <v>#DIV/0!</v>
      </c>
      <c r="AP158" s="43" t="e">
        <f>AP157+(ATM_Conf!$C$5/ATM_Conf!$C$8)*(BJ158*EXP(-(1/CX158)*(V158/CD158)^CX158)-AP157)-(ATM_Conf!$C$5*ATM_Conf!$C$9)/(V345*ATM_Conf!$C$8)*(Nodes!BO157-V157)/(V157+ATM_Conf!$C$10)</f>
        <v>#DIV/0!</v>
      </c>
      <c r="AQ158" s="43" t="e">
        <f>AQ157+(ATM_Conf!$C$5/ATM_Conf!$C$8)*(BK158*EXP(-(1/CY158)*(W158/CE158)^CY158)-AQ157)+(ATM_Conf!$C$5/W345)*AQ157*(AP157-AQ157)-(ATM_Conf!$C$5*ATM_Conf!$C$9)/(W345*ATM_Conf!$C$8)*(X157-W157)/(W157+ATM_Conf!$C$10)</f>
        <v>#DIV/0!</v>
      </c>
      <c r="AR158" s="43" t="e">
        <f>AR157+(ATM_Conf!$C$5/ATM_Conf!$C$8)*(BL158*EXP(-(1/CZ158)*(X158/CF158)^CZ158)-AR157)+(ATM_Conf!$C$5/X345)*AR157*(Nodes!BC157-AR157)-(ATM_Conf!$C$5*ATM_Conf!$C$9)/(X345*ATM_Conf!$C$8)*(Nodes!BQ157-X157)/(X157+ATM_Conf!$C$10)</f>
        <v>#DIV/0!</v>
      </c>
      <c r="AS158" s="43" t="e">
        <f>AS157+(ATM_Conf!$C$5/ATM_Conf!$C$8)*(BM158*EXP(-(1/DA158)*(Y158/CG158)^DA158)-AS157)+(ATM_Conf!$C$5/Y345)*AS157*(AR157-AS157)-(ATM_Conf!$C$5*ATM_Conf!$C$9)/(Y345*ATM_Conf!$C$8)*(Z157-Y157)/(Y157+ATM_Conf!$C$10)</f>
        <v>#DIV/0!</v>
      </c>
      <c r="AT158" s="43" t="e">
        <f>AT157+(ATM_Conf!$C$5/ATM_Conf!$C$8)*(BN158*EXP(-(1/DB158)*(Z158/CH158)^DB158)-AT157)+(ATM_Conf!$C$5/Z345)*AT157*(Nodes!BE157-AT157)-(ATM_Conf!$C$5*ATM_Conf!$C$9)/(Z345*ATM_Conf!$C$8)*(Nodes!BS157-Z157)/(Z157+ATM_Conf!$C$10)</f>
        <v>#DIV/0!</v>
      </c>
      <c r="AU158" s="43" t="e">
        <f>AU157+(ATM_Conf!$C$5/ATM_Conf!$C$8)*(BO158*EXP(-(1/DC158)*(AA158/CI158)^DC158)-AU157)+(ATM_Conf!$C$5/AA345)*AU157*(Nodes!BF157-AU157)-(ATM_Conf!$C$5*ATM_Conf!$C$9)/(AA345*ATM_Conf!$C$8)*(Nodes!BV157-AA157)/(AA157+ATM_Conf!$C$10)</f>
        <v>#DIV/0!</v>
      </c>
      <c r="AV158" s="43" t="e">
        <f>AV157+(ATM_Conf!$C$5/ATM_Conf!$C$8)*(BP158*EXP(-(1/DD158)*(AB158/CJ158)^DD158)-AV157)+(ATM_Conf!$C$5/AB345)*AV157*(AU157-AV157)-(ATM_Conf!$C$5*ATM_Conf!$C$9)/(AB345*ATM_Conf!$C$8)*(AC157-AB157)/(AB157+ATM_Conf!$C$10)</f>
        <v>#DIV/0!</v>
      </c>
      <c r="AW158" s="43" t="e">
        <f>AW157+(ATM_Conf!$C$5/ATM_Conf!$C$8)*(BQ158*EXP(-(1/DE158)*(AC158/CK158)^DE158)-AW157)+(ATM_Conf!$C$5/AC345)*AW157*(AV157-AW157)-(ATM_Conf!$C$5*ATM_Conf!$C$9)/(AC345*ATM_Conf!$C$8)*(AD157-AC157)/(AC157+ATM_Conf!$C$10)</f>
        <v>#DIV/0!</v>
      </c>
      <c r="AX158" s="43" t="e">
        <f>AX157+(ATM_Conf!$C$5/ATM_Conf!$C$8)*(BR158*EXP(-(1/DF158)*(AD158/CL158)^DF158)-AX157)+(ATM_Conf!$C$5/AD345)*AX157*(Nodes!BG157-AX157)-(ATM_Conf!$C$5*ATM_Conf!$C$9)/(AD345*ATM_Conf!$C$8)*(Nodes!BU157-AD157)/(AD157+ATM_Conf!$C$10)</f>
        <v>#DIV/0!</v>
      </c>
      <c r="AY158" s="43" t="e">
        <f>AY157+(ATM_Conf!$C$5/ATM_Conf!$C$8)*(BS158*EXP(-(1/DG158)*(AE158/CM158)^DG158)-AY157)+(ATM_Conf!$C$5/AE345)*AY157*(Nodes!BF157-AY157)</f>
        <v>#DIV/0!</v>
      </c>
      <c r="AZ158" s="43" t="e">
        <f>AZ157+(ATM_Conf!$C$5/ATM_Conf!$C$8)*(BT158*EXP(-(1/DH158)*(AF158/CN158)^DH158)-AZ157)-(ATM_Conf!$C$5*ATM_Conf!$C$9)/(AF345*ATM_Conf!$C$8)*(Nodes!BV157-AF157)/(AF157+ATM_Conf!$C$10)</f>
        <v>#DIV/0!</v>
      </c>
      <c r="BA158" s="43" t="e">
        <f>BA157+(ATM_Conf!$C$5/ATM_Conf!$C$8)*(BU158*EXP(-(1/DI158)*(AG158/CO158)^DI158)-BA157)+(ATM_Conf!$C$5/AG345)*BA157*(Nodes!BI157-BA157)-(ATM_Conf!$C$5*ATM_Conf!$C$9)/(AG345*ATM_Conf!$C$8)*(Nodes!BW157-AG157)/(AG157+ATM_Conf!$C$10)</f>
        <v>#DIV/0!</v>
      </c>
      <c r="BB158" s="43" t="e">
        <f>BB157+(ATM_Conf!$C$5/ATM_Conf!$C$8)*(BV158*EXP(-(1/DJ158)*(AH158/CP158)^DJ158)-BB157)+(ATM_Conf!$C$5/AH345)*BB157*(Nodes!BJ157-BB157)-(ATM_Conf!$C$5*ATM_Conf!$C$9)/(AH345*ATM_Conf!$C$8)*(AI157-AH157)/(AH157+ATM_Conf!$C$10)</f>
        <v>#DIV/0!</v>
      </c>
      <c r="BC158" s="43" t="e">
        <f>BC157+(ATM_Conf!$C$5/ATM_Conf!$C$8)*(BW158*EXP(-(1/DK158)*(AI158/CQ158)^DK158)-BC157)+(ATM_Conf!$C$5/AI345)*BC157*(BB157-BC157)-(ATM_Conf!$C$5*ATM_Conf!$C$9)/(AI345*ATM_Conf!$C$8)*(AJ157-AI157)/(AI157+ATM_Conf!$C$10)</f>
        <v>#DIV/0!</v>
      </c>
      <c r="BD158" s="43" t="e">
        <f>BD157+(ATM_Conf!$C$5/ATM_Conf!$C$8)*(BX158*EXP(-(1/DL158)*(AJ158/CR158)^DL158)-BD157)+(ATM_Conf!$C$5/AJ345)*BD157*(BC157-BD157)-(ATM_Conf!$C$5*ATM_Conf!$C$9)/(AJ345*ATM_Conf!$C$8)*(Nodes!BX157-AJ157)/(AJ157+ATM_Conf!$C$10)</f>
        <v>#DIV/0!</v>
      </c>
      <c r="BE158" s="43" t="e">
        <f>BE157+(ATM_Conf!$C$5/ATM_Conf!$C$8)*(BY158*EXP(-(1/DM158)*(AK158/CS158)^DM158)-BE157)+(ATM_Conf!$C$5/AK345)*BE157*(Nodes!BK157-BE157)-(ATM_Conf!$C$5*ATM_Conf!$C$9)/(AK345*ATM_Conf!$C$8)*(Nodes!BY157-AK157)/(AK157+ATM_Conf!$C$10)</f>
        <v>#DIV/0!</v>
      </c>
      <c r="BF158" s="43" t="e">
        <f>BF157+(ATM_Conf!$C$5/ATM_Conf!$C$8)*(BZ158*EXP(-(1/DN158)*(AL158/CT158)^DN158)-BF157)+(ATM_Conf!$C$5/AL345)*BF157*(BE157-BF157)-(ATM_Conf!$C$5*ATM_Conf!$C$9)/(AL345*ATM_Conf!$C$8)*(AM157-AL157)/(AL157+ATM_Conf!$C$10)</f>
        <v>#DIV/0!</v>
      </c>
      <c r="BG158" s="43" t="e">
        <f>BG157+(ATM_Conf!$C$5/ATM_Conf!$C$8)*(CA158*EXP(-(1/DO158)*(AM158/CU158)^DO158)-BG157)+(ATM_Conf!$C$5/AM345)*BG157*(Nodes!BM157-BG157)-(ATM_Conf!$C$5*ATM_Conf!$C$9)/(AM345*ATM_Conf!$C$8)*(Nodes!CA157-AM157)/(AM157+ATM_Conf!$C$10)</f>
        <v>#DIV/0!</v>
      </c>
      <c r="BH158" s="43" t="e">
        <f>BH157+(ATM_Conf!$C$5/ATM_Conf!$C$8)*(CB158*EXP(-(1/DP158)*(AN158/CV158)^DP158)-BH157)+(ATM_Conf!$C$5/AN345)*BH157*(BG157-BH157)-(ATM_Conf!$C$5*ATM_Conf!$C$9)/(AN345*ATM_Conf!$C$8)*(AO157-AN157)/(AN157+ATM_Conf!$C$10)</f>
        <v>#DIV/0!</v>
      </c>
      <c r="BI158" s="43" t="e">
        <f>BI157+(ATM_Conf!$C$5/ATM_Conf!$C$8)*(CC158*EXP(-(1/DQ158)*(AO158/CW158)^DQ158)-BI157)+(ATM_Conf!$C$5/AO345)*BI157*(BH157-BI157)</f>
        <v>#DIV/0!</v>
      </c>
      <c r="BJ158" s="53"/>
      <c r="BK158" s="53"/>
      <c r="BL158" s="53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/>
      <c r="BW158" s="53"/>
      <c r="BX158" s="53"/>
      <c r="BY158" s="53"/>
      <c r="BZ158" s="53"/>
      <c r="CA158" s="53"/>
      <c r="CB158" s="53"/>
      <c r="CC158" s="5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53"/>
      <c r="CY158" s="53"/>
      <c r="CZ158" s="53"/>
      <c r="DA158" s="53"/>
      <c r="DB158" s="53"/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43">
        <f t="shared" si="99"/>
        <v>0</v>
      </c>
      <c r="DS158" s="43">
        <f t="shared" si="98"/>
        <v>0</v>
      </c>
      <c r="DT158" s="43">
        <f t="shared" si="98"/>
        <v>0</v>
      </c>
      <c r="DU158" s="43">
        <f t="shared" si="98"/>
        <v>0</v>
      </c>
      <c r="DV158" s="43">
        <f t="shared" si="98"/>
        <v>0</v>
      </c>
      <c r="DW158" s="43">
        <f t="shared" si="98"/>
        <v>0</v>
      </c>
      <c r="DX158" s="43">
        <f t="shared" si="98"/>
        <v>0</v>
      </c>
      <c r="DY158" s="43">
        <f t="shared" si="98"/>
        <v>0</v>
      </c>
      <c r="DZ158" s="43">
        <f t="shared" si="98"/>
        <v>0</v>
      </c>
      <c r="EA158" s="43">
        <f t="shared" si="98"/>
        <v>0</v>
      </c>
      <c r="EB158" s="43">
        <f t="shared" si="98"/>
        <v>0</v>
      </c>
      <c r="EC158" s="43">
        <f t="shared" si="98"/>
        <v>0</v>
      </c>
      <c r="ED158" s="43">
        <f t="shared" si="98"/>
        <v>0</v>
      </c>
      <c r="EE158" s="43">
        <f t="shared" si="98"/>
        <v>0</v>
      </c>
      <c r="EF158" s="43">
        <f t="shared" si="98"/>
        <v>0</v>
      </c>
      <c r="EG158" s="43">
        <f t="shared" si="98"/>
        <v>0</v>
      </c>
      <c r="EH158" s="43">
        <f t="shared" si="98"/>
        <v>0</v>
      </c>
      <c r="EI158" s="43">
        <f t="shared" si="98"/>
        <v>0</v>
      </c>
      <c r="EJ158" s="43">
        <f t="shared" si="98"/>
        <v>0</v>
      </c>
      <c r="EK158" s="43">
        <f t="shared" si="98"/>
        <v>0</v>
      </c>
      <c r="EL158" s="47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47"/>
      <c r="FA158" s="47"/>
      <c r="FB158" s="47"/>
      <c r="FC158" s="47"/>
      <c r="FD158" s="47"/>
      <c r="FE158" s="47"/>
    </row>
    <row r="159" spans="1:161" ht="14.25" x14ac:dyDescent="0.15">
      <c r="A159" s="46"/>
      <c r="B159" s="43" t="e">
        <f t="shared" si="74"/>
        <v>#DIV/0!</v>
      </c>
      <c r="C159" s="43" t="e">
        <f t="shared" si="75"/>
        <v>#DIV/0!</v>
      </c>
      <c r="D159" s="43" t="e">
        <f t="shared" si="76"/>
        <v>#DIV/0!</v>
      </c>
      <c r="E159" s="43" t="e">
        <f t="shared" si="77"/>
        <v>#DIV/0!</v>
      </c>
      <c r="F159" s="43" t="e">
        <f t="shared" si="78"/>
        <v>#DIV/0!</v>
      </c>
      <c r="G159" s="43" t="e">
        <f t="shared" si="79"/>
        <v>#DIV/0!</v>
      </c>
      <c r="H159" s="43" t="e">
        <f t="shared" si="80"/>
        <v>#DIV/0!</v>
      </c>
      <c r="I159" s="43" t="e">
        <f t="shared" si="81"/>
        <v>#DIV/0!</v>
      </c>
      <c r="J159" s="43" t="e">
        <f t="shared" si="82"/>
        <v>#DIV/0!</v>
      </c>
      <c r="K159" s="43" t="e">
        <f t="shared" si="83"/>
        <v>#DIV/0!</v>
      </c>
      <c r="L159" s="43" t="e">
        <f t="shared" si="84"/>
        <v>#DIV/0!</v>
      </c>
      <c r="M159" s="43" t="e">
        <f t="shared" si="85"/>
        <v>#DIV/0!</v>
      </c>
      <c r="N159" s="43" t="e">
        <f t="shared" si="86"/>
        <v>#DIV/0!</v>
      </c>
      <c r="O159" s="43" t="e">
        <f t="shared" si="87"/>
        <v>#DIV/0!</v>
      </c>
      <c r="P159" s="43" t="e">
        <f t="shared" si="88"/>
        <v>#DIV/0!</v>
      </c>
      <c r="Q159" s="43" t="e">
        <f t="shared" si="89"/>
        <v>#DIV/0!</v>
      </c>
      <c r="R159" s="43" t="e">
        <f t="shared" si="90"/>
        <v>#DIV/0!</v>
      </c>
      <c r="S159" s="43" t="e">
        <f t="shared" si="91"/>
        <v>#DIV/0!</v>
      </c>
      <c r="T159" s="43" t="e">
        <f t="shared" si="92"/>
        <v>#DIV/0!</v>
      </c>
      <c r="U159" s="43" t="e">
        <f t="shared" si="93"/>
        <v>#DIV/0!</v>
      </c>
      <c r="V159" s="53" t="e">
        <f>V158+ATM_Conf!$C$5*(B158)/(B346*V346)</f>
        <v>#DIV/0!</v>
      </c>
      <c r="W159" s="53" t="e">
        <f>W158+ATM_Conf!$C$5*(C158-B158)/(C346*W346)</f>
        <v>#DIV/0!</v>
      </c>
      <c r="X159" s="53" t="e">
        <f>X158+ATM_Conf!$C$5*(D158-C158)/(D346*X346)</f>
        <v>#DIV/0!</v>
      </c>
      <c r="Y159" s="53" t="e">
        <f>Y158+ATM_Conf!$C$5*(E158-D158)/(E346*Y346)</f>
        <v>#DIV/0!</v>
      </c>
      <c r="Z159" s="53" t="e">
        <f>Z158+ATM_Conf!$C$5*(F158-E158)/(F346*Z346)</f>
        <v>#DIV/0!</v>
      </c>
      <c r="AA159" s="53" t="e">
        <f>AA158+ATM_Conf!$C$5*(G158-F158)/(G346*AA346)</f>
        <v>#DIV/0!</v>
      </c>
      <c r="AB159" s="53" t="e">
        <f>AB158+ATM_Conf!$C$5*(H158-G158)/(H346*AB346)</f>
        <v>#DIV/0!</v>
      </c>
      <c r="AC159" s="53" t="e">
        <f>AC158+ATM_Conf!$C$5*(I158-H158)/(I346*AC346)</f>
        <v>#DIV/0!</v>
      </c>
      <c r="AD159" s="53" t="e">
        <f>AD158+ATM_Conf!$C$5*(J158-I158)/(J346*AD346)</f>
        <v>#DIV/0!</v>
      </c>
      <c r="AE159" s="53" t="e">
        <f>AE158+ATM_Conf!$C$5*(K158-J158)/(K346*AE346)</f>
        <v>#DIV/0!</v>
      </c>
      <c r="AF159" s="53" t="e">
        <f>AF158+ATM_Conf!$C$5*(L158)/(L346*AF346)</f>
        <v>#DIV/0!</v>
      </c>
      <c r="AG159" s="53" t="e">
        <f>AG158+ATM_Conf!$C$5*(M158-L158)/(M346*AG346)</f>
        <v>#DIV/0!</v>
      </c>
      <c r="AH159" s="53" t="e">
        <f>AH158+ATM_Conf!$C$5*(N158-M158)/(N346*AH346)</f>
        <v>#DIV/0!</v>
      </c>
      <c r="AI159" s="53" t="e">
        <f>AI158+ATM_Conf!$C$5*(O158-N158)/(O346*AI346)</f>
        <v>#DIV/0!</v>
      </c>
      <c r="AJ159" s="53" t="e">
        <f>AJ158+ATM_Conf!$C$5*(P158-O158)/(P346*AJ346)</f>
        <v>#DIV/0!</v>
      </c>
      <c r="AK159" s="53" t="e">
        <f>AK158+ATM_Conf!$C$5*(Q158-P158)/(Q346*AK346)</f>
        <v>#DIV/0!</v>
      </c>
      <c r="AL159" s="53" t="e">
        <f>AL158+ATM_Conf!$C$5*(R158-Q158)/(R346*AL346)</f>
        <v>#DIV/0!</v>
      </c>
      <c r="AM159" s="53" t="e">
        <f>AM158+ATM_Conf!$C$5*(S158-R158)/(S346*AM346)</f>
        <v>#DIV/0!</v>
      </c>
      <c r="AN159" s="53" t="e">
        <f>AN158+ATM_Conf!$C$5*(T158-S158)/(T346*AN346)</f>
        <v>#DIV/0!</v>
      </c>
      <c r="AO159" s="53" t="e">
        <f>AO158+ATM_Conf!$C$5*(U158-T158)/(U346*AO346)</f>
        <v>#DIV/0!</v>
      </c>
      <c r="AP159" s="43" t="e">
        <f>AP158+(ATM_Conf!$C$5/ATM_Conf!$C$8)*(BJ159*EXP(-(1/CX159)*(V159/CD159)^CX159)-AP158)-(ATM_Conf!$C$5*ATM_Conf!$C$9)/(V346*ATM_Conf!$C$8)*(Nodes!BO158-V158)/(V158+ATM_Conf!$C$10)</f>
        <v>#DIV/0!</v>
      </c>
      <c r="AQ159" s="43" t="e">
        <f>AQ158+(ATM_Conf!$C$5/ATM_Conf!$C$8)*(BK159*EXP(-(1/CY159)*(W159/CE159)^CY159)-AQ158)+(ATM_Conf!$C$5/W346)*AQ158*(AP158-AQ158)-(ATM_Conf!$C$5*ATM_Conf!$C$9)/(W346*ATM_Conf!$C$8)*(X158-W158)/(W158+ATM_Conf!$C$10)</f>
        <v>#DIV/0!</v>
      </c>
      <c r="AR159" s="43" t="e">
        <f>AR158+(ATM_Conf!$C$5/ATM_Conf!$C$8)*(BL159*EXP(-(1/CZ159)*(X159/CF159)^CZ159)-AR158)+(ATM_Conf!$C$5/X346)*AR158*(Nodes!BC158-AR158)-(ATM_Conf!$C$5*ATM_Conf!$C$9)/(X346*ATM_Conf!$C$8)*(Nodes!BQ158-X158)/(X158+ATM_Conf!$C$10)</f>
        <v>#DIV/0!</v>
      </c>
      <c r="AS159" s="43" t="e">
        <f>AS158+(ATM_Conf!$C$5/ATM_Conf!$C$8)*(BM159*EXP(-(1/DA159)*(Y159/CG159)^DA159)-AS158)+(ATM_Conf!$C$5/Y346)*AS158*(AR158-AS158)-(ATM_Conf!$C$5*ATM_Conf!$C$9)/(Y346*ATM_Conf!$C$8)*(Z158-Y158)/(Y158+ATM_Conf!$C$10)</f>
        <v>#DIV/0!</v>
      </c>
      <c r="AT159" s="43" t="e">
        <f>AT158+(ATM_Conf!$C$5/ATM_Conf!$C$8)*(BN159*EXP(-(1/DB159)*(Z159/CH159)^DB159)-AT158)+(ATM_Conf!$C$5/Z346)*AT158*(Nodes!BE158-AT158)-(ATM_Conf!$C$5*ATM_Conf!$C$9)/(Z346*ATM_Conf!$C$8)*(Nodes!BS158-Z158)/(Z158+ATM_Conf!$C$10)</f>
        <v>#DIV/0!</v>
      </c>
      <c r="AU159" s="43" t="e">
        <f>AU158+(ATM_Conf!$C$5/ATM_Conf!$C$8)*(BO159*EXP(-(1/DC159)*(AA159/CI159)^DC159)-AU158)+(ATM_Conf!$C$5/AA346)*AU158*(Nodes!BF158-AU158)-(ATM_Conf!$C$5*ATM_Conf!$C$9)/(AA346*ATM_Conf!$C$8)*(Nodes!BV158-AA158)/(AA158+ATM_Conf!$C$10)</f>
        <v>#DIV/0!</v>
      </c>
      <c r="AV159" s="43" t="e">
        <f>AV158+(ATM_Conf!$C$5/ATM_Conf!$C$8)*(BP159*EXP(-(1/DD159)*(AB159/CJ159)^DD159)-AV158)+(ATM_Conf!$C$5/AB346)*AV158*(AU158-AV158)-(ATM_Conf!$C$5*ATM_Conf!$C$9)/(AB346*ATM_Conf!$C$8)*(AC158-AB158)/(AB158+ATM_Conf!$C$10)</f>
        <v>#DIV/0!</v>
      </c>
      <c r="AW159" s="43" t="e">
        <f>AW158+(ATM_Conf!$C$5/ATM_Conf!$C$8)*(BQ159*EXP(-(1/DE159)*(AC159/CK159)^DE159)-AW158)+(ATM_Conf!$C$5/AC346)*AW158*(AV158-AW158)-(ATM_Conf!$C$5*ATM_Conf!$C$9)/(AC346*ATM_Conf!$C$8)*(AD158-AC158)/(AC158+ATM_Conf!$C$10)</f>
        <v>#DIV/0!</v>
      </c>
      <c r="AX159" s="43" t="e">
        <f>AX158+(ATM_Conf!$C$5/ATM_Conf!$C$8)*(BR159*EXP(-(1/DF159)*(AD159/CL159)^DF159)-AX158)+(ATM_Conf!$C$5/AD346)*AX158*(Nodes!BG158-AX158)-(ATM_Conf!$C$5*ATM_Conf!$C$9)/(AD346*ATM_Conf!$C$8)*(Nodes!BU158-AD158)/(AD158+ATM_Conf!$C$10)</f>
        <v>#DIV/0!</v>
      </c>
      <c r="AY159" s="43" t="e">
        <f>AY158+(ATM_Conf!$C$5/ATM_Conf!$C$8)*(BS159*EXP(-(1/DG159)*(AE159/CM159)^DG159)-AY158)+(ATM_Conf!$C$5/AE346)*AY158*(Nodes!BF158-AY158)</f>
        <v>#DIV/0!</v>
      </c>
      <c r="AZ159" s="43" t="e">
        <f>AZ158+(ATM_Conf!$C$5/ATM_Conf!$C$8)*(BT159*EXP(-(1/DH159)*(AF159/CN159)^DH159)-AZ158)-(ATM_Conf!$C$5*ATM_Conf!$C$9)/(AF346*ATM_Conf!$C$8)*(Nodes!BV158-AF158)/(AF158+ATM_Conf!$C$10)</f>
        <v>#DIV/0!</v>
      </c>
      <c r="BA159" s="43" t="e">
        <f>BA158+(ATM_Conf!$C$5/ATM_Conf!$C$8)*(BU159*EXP(-(1/DI159)*(AG159/CO159)^DI159)-BA158)+(ATM_Conf!$C$5/AG346)*BA158*(Nodes!BI158-BA158)-(ATM_Conf!$C$5*ATM_Conf!$C$9)/(AG346*ATM_Conf!$C$8)*(Nodes!BW158-AG158)/(AG158+ATM_Conf!$C$10)</f>
        <v>#DIV/0!</v>
      </c>
      <c r="BB159" s="43" t="e">
        <f>BB158+(ATM_Conf!$C$5/ATM_Conf!$C$8)*(BV159*EXP(-(1/DJ159)*(AH159/CP159)^DJ159)-BB158)+(ATM_Conf!$C$5/AH346)*BB158*(Nodes!BJ158-BB158)-(ATM_Conf!$C$5*ATM_Conf!$C$9)/(AH346*ATM_Conf!$C$8)*(AI158-AH158)/(AH158+ATM_Conf!$C$10)</f>
        <v>#DIV/0!</v>
      </c>
      <c r="BC159" s="43" t="e">
        <f>BC158+(ATM_Conf!$C$5/ATM_Conf!$C$8)*(BW159*EXP(-(1/DK159)*(AI159/CQ159)^DK159)-BC158)+(ATM_Conf!$C$5/AI346)*BC158*(BB158-BC158)-(ATM_Conf!$C$5*ATM_Conf!$C$9)/(AI346*ATM_Conf!$C$8)*(AJ158-AI158)/(AI158+ATM_Conf!$C$10)</f>
        <v>#DIV/0!</v>
      </c>
      <c r="BD159" s="43" t="e">
        <f>BD158+(ATM_Conf!$C$5/ATM_Conf!$C$8)*(BX159*EXP(-(1/DL159)*(AJ159/CR159)^DL159)-BD158)+(ATM_Conf!$C$5/AJ346)*BD158*(BC158-BD158)-(ATM_Conf!$C$5*ATM_Conf!$C$9)/(AJ346*ATM_Conf!$C$8)*(Nodes!BX158-AJ158)/(AJ158+ATM_Conf!$C$10)</f>
        <v>#DIV/0!</v>
      </c>
      <c r="BE159" s="43" t="e">
        <f>BE158+(ATM_Conf!$C$5/ATM_Conf!$C$8)*(BY159*EXP(-(1/DM159)*(AK159/CS159)^DM159)-BE158)+(ATM_Conf!$C$5/AK346)*BE158*(Nodes!BK158-BE158)-(ATM_Conf!$C$5*ATM_Conf!$C$9)/(AK346*ATM_Conf!$C$8)*(Nodes!BY158-AK158)/(AK158+ATM_Conf!$C$10)</f>
        <v>#DIV/0!</v>
      </c>
      <c r="BF159" s="43" t="e">
        <f>BF158+(ATM_Conf!$C$5/ATM_Conf!$C$8)*(BZ159*EXP(-(1/DN159)*(AL159/CT159)^DN159)-BF158)+(ATM_Conf!$C$5/AL346)*BF158*(BE158-BF158)-(ATM_Conf!$C$5*ATM_Conf!$C$9)/(AL346*ATM_Conf!$C$8)*(AM158-AL158)/(AL158+ATM_Conf!$C$10)</f>
        <v>#DIV/0!</v>
      </c>
      <c r="BG159" s="43" t="e">
        <f>BG158+(ATM_Conf!$C$5/ATM_Conf!$C$8)*(CA159*EXP(-(1/DO159)*(AM159/CU159)^DO159)-BG158)+(ATM_Conf!$C$5/AM346)*BG158*(Nodes!BM158-BG158)-(ATM_Conf!$C$5*ATM_Conf!$C$9)/(AM346*ATM_Conf!$C$8)*(Nodes!CA158-AM158)/(AM158+ATM_Conf!$C$10)</f>
        <v>#DIV/0!</v>
      </c>
      <c r="BH159" s="43" t="e">
        <f>BH158+(ATM_Conf!$C$5/ATM_Conf!$C$8)*(CB159*EXP(-(1/DP159)*(AN159/CV159)^DP159)-BH158)+(ATM_Conf!$C$5/AN346)*BH158*(BG158-BH158)-(ATM_Conf!$C$5*ATM_Conf!$C$9)/(AN346*ATM_Conf!$C$8)*(AO158-AN158)/(AN158+ATM_Conf!$C$10)</f>
        <v>#DIV/0!</v>
      </c>
      <c r="BI159" s="43" t="e">
        <f>BI158+(ATM_Conf!$C$5/ATM_Conf!$C$8)*(CC159*EXP(-(1/DQ159)*(AO159/CW159)^DQ159)-BI158)+(ATM_Conf!$C$5/AO346)*BI158*(BH158-BI158)</f>
        <v>#DIV/0!</v>
      </c>
      <c r="BJ159" s="53"/>
      <c r="BK159" s="53"/>
      <c r="BL159" s="53"/>
      <c r="BM159" s="53"/>
      <c r="BN159" s="53"/>
      <c r="BO159" s="53"/>
      <c r="BP159" s="53"/>
      <c r="BQ159" s="53"/>
      <c r="BR159" s="53"/>
      <c r="BS159" s="53"/>
      <c r="BT159" s="53"/>
      <c r="BU159" s="53"/>
      <c r="BV159" s="53"/>
      <c r="BW159" s="53"/>
      <c r="BX159" s="53"/>
      <c r="BY159" s="53"/>
      <c r="BZ159" s="53"/>
      <c r="CA159" s="53"/>
      <c r="CB159" s="53"/>
      <c r="CC159" s="5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53"/>
      <c r="CY159" s="53"/>
      <c r="CZ159" s="53"/>
      <c r="DA159" s="53"/>
      <c r="DB159" s="53"/>
      <c r="DC159" s="53"/>
      <c r="DD159" s="53"/>
      <c r="DE159" s="53"/>
      <c r="DF159" s="53"/>
      <c r="DG159" s="53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62"/>
      <c r="DS159" s="62"/>
      <c r="DT159" s="62"/>
      <c r="DU159" s="62"/>
      <c r="DV159" s="62"/>
      <c r="DW159" s="62"/>
      <c r="DX159" s="62"/>
      <c r="DY159" s="62"/>
      <c r="DZ159" s="62"/>
      <c r="EA159" s="62"/>
      <c r="EB159" s="62"/>
      <c r="EC159" s="62"/>
      <c r="ED159" s="62"/>
      <c r="EE159" s="62"/>
      <c r="EF159" s="62"/>
      <c r="EG159" s="62"/>
      <c r="EH159" s="62"/>
      <c r="EI159" s="62"/>
      <c r="EJ159" s="62"/>
      <c r="EK159" s="62"/>
      <c r="EL159" s="47">
        <f>(DR159-DR147)^2</f>
        <v>0</v>
      </c>
      <c r="EM159" s="47">
        <f t="shared" ref="EM159:FE159" si="100">(DS159-DS147)^2</f>
        <v>0</v>
      </c>
      <c r="EN159" s="47">
        <f t="shared" si="100"/>
        <v>0</v>
      </c>
      <c r="EO159" s="47">
        <f t="shared" si="100"/>
        <v>0</v>
      </c>
      <c r="EP159" s="47">
        <f t="shared" si="100"/>
        <v>0</v>
      </c>
      <c r="EQ159" s="47">
        <f t="shared" si="100"/>
        <v>0</v>
      </c>
      <c r="ER159" s="47">
        <f t="shared" si="100"/>
        <v>0</v>
      </c>
      <c r="ES159" s="47">
        <f t="shared" si="100"/>
        <v>0</v>
      </c>
      <c r="ET159" s="47">
        <f t="shared" si="100"/>
        <v>0</v>
      </c>
      <c r="EU159" s="47">
        <f t="shared" si="100"/>
        <v>0</v>
      </c>
      <c r="EV159" s="47">
        <f t="shared" si="100"/>
        <v>0</v>
      </c>
      <c r="EW159" s="47">
        <f t="shared" si="100"/>
        <v>0</v>
      </c>
      <c r="EX159" s="47">
        <f t="shared" si="100"/>
        <v>0</v>
      </c>
      <c r="EY159" s="47">
        <f t="shared" si="100"/>
        <v>0</v>
      </c>
      <c r="EZ159" s="47">
        <f t="shared" si="100"/>
        <v>0</v>
      </c>
      <c r="FA159" s="47">
        <f t="shared" si="100"/>
        <v>0</v>
      </c>
      <c r="FB159" s="47">
        <f t="shared" si="100"/>
        <v>0</v>
      </c>
      <c r="FC159" s="47">
        <f t="shared" si="100"/>
        <v>0</v>
      </c>
      <c r="FD159" s="47">
        <f t="shared" si="100"/>
        <v>0</v>
      </c>
      <c r="FE159" s="47">
        <f t="shared" si="100"/>
        <v>0</v>
      </c>
    </row>
    <row r="160" spans="1:161" ht="14.25" x14ac:dyDescent="0.15">
      <c r="A160" s="46"/>
      <c r="B160" s="43" t="e">
        <f t="shared" si="74"/>
        <v>#DIV/0!</v>
      </c>
      <c r="C160" s="43" t="e">
        <f t="shared" si="75"/>
        <v>#DIV/0!</v>
      </c>
      <c r="D160" s="43" t="e">
        <f t="shared" si="76"/>
        <v>#DIV/0!</v>
      </c>
      <c r="E160" s="43" t="e">
        <f t="shared" si="77"/>
        <v>#DIV/0!</v>
      </c>
      <c r="F160" s="43" t="e">
        <f t="shared" si="78"/>
        <v>#DIV/0!</v>
      </c>
      <c r="G160" s="43" t="e">
        <f t="shared" si="79"/>
        <v>#DIV/0!</v>
      </c>
      <c r="H160" s="43" t="e">
        <f t="shared" si="80"/>
        <v>#DIV/0!</v>
      </c>
      <c r="I160" s="43" t="e">
        <f t="shared" si="81"/>
        <v>#DIV/0!</v>
      </c>
      <c r="J160" s="43" t="e">
        <f t="shared" si="82"/>
        <v>#DIV/0!</v>
      </c>
      <c r="K160" s="43" t="e">
        <f t="shared" si="83"/>
        <v>#DIV/0!</v>
      </c>
      <c r="L160" s="43" t="e">
        <f t="shared" si="84"/>
        <v>#DIV/0!</v>
      </c>
      <c r="M160" s="43" t="e">
        <f t="shared" si="85"/>
        <v>#DIV/0!</v>
      </c>
      <c r="N160" s="43" t="e">
        <f t="shared" si="86"/>
        <v>#DIV/0!</v>
      </c>
      <c r="O160" s="43" t="e">
        <f t="shared" si="87"/>
        <v>#DIV/0!</v>
      </c>
      <c r="P160" s="43" t="e">
        <f t="shared" si="88"/>
        <v>#DIV/0!</v>
      </c>
      <c r="Q160" s="43" t="e">
        <f t="shared" si="89"/>
        <v>#DIV/0!</v>
      </c>
      <c r="R160" s="43" t="e">
        <f t="shared" si="90"/>
        <v>#DIV/0!</v>
      </c>
      <c r="S160" s="43" t="e">
        <f t="shared" si="91"/>
        <v>#DIV/0!</v>
      </c>
      <c r="T160" s="43" t="e">
        <f t="shared" si="92"/>
        <v>#DIV/0!</v>
      </c>
      <c r="U160" s="43" t="e">
        <f t="shared" si="93"/>
        <v>#DIV/0!</v>
      </c>
      <c r="V160" s="53" t="e">
        <f>V159+ATM_Conf!$C$5*(B159)/(B347*V347)</f>
        <v>#DIV/0!</v>
      </c>
      <c r="W160" s="53" t="e">
        <f>W159+ATM_Conf!$C$5*(C159-B159)/(C347*W347)</f>
        <v>#DIV/0!</v>
      </c>
      <c r="X160" s="53" t="e">
        <f>X159+ATM_Conf!$C$5*(D159-C159)/(D347*X347)</f>
        <v>#DIV/0!</v>
      </c>
      <c r="Y160" s="53" t="e">
        <f>Y159+ATM_Conf!$C$5*(E159-D159)/(E347*Y347)</f>
        <v>#DIV/0!</v>
      </c>
      <c r="Z160" s="53" t="e">
        <f>Z159+ATM_Conf!$C$5*(F159-E159)/(F347*Z347)</f>
        <v>#DIV/0!</v>
      </c>
      <c r="AA160" s="53" t="e">
        <f>AA159+ATM_Conf!$C$5*(G159-F159)/(G347*AA347)</f>
        <v>#DIV/0!</v>
      </c>
      <c r="AB160" s="53" t="e">
        <f>AB159+ATM_Conf!$C$5*(H159-G159)/(H347*AB347)</f>
        <v>#DIV/0!</v>
      </c>
      <c r="AC160" s="53" t="e">
        <f>AC159+ATM_Conf!$C$5*(I159-H159)/(I347*AC347)</f>
        <v>#DIV/0!</v>
      </c>
      <c r="AD160" s="53" t="e">
        <f>AD159+ATM_Conf!$C$5*(J159-I159)/(J347*AD347)</f>
        <v>#DIV/0!</v>
      </c>
      <c r="AE160" s="53" t="e">
        <f>AE159+ATM_Conf!$C$5*(K159-J159)/(K347*AE347)</f>
        <v>#DIV/0!</v>
      </c>
      <c r="AF160" s="53" t="e">
        <f>AF159+ATM_Conf!$C$5*(L159)/(L347*AF347)</f>
        <v>#DIV/0!</v>
      </c>
      <c r="AG160" s="53" t="e">
        <f>AG159+ATM_Conf!$C$5*(M159-L159)/(M347*AG347)</f>
        <v>#DIV/0!</v>
      </c>
      <c r="AH160" s="53" t="e">
        <f>AH159+ATM_Conf!$C$5*(N159-M159)/(N347*AH347)</f>
        <v>#DIV/0!</v>
      </c>
      <c r="AI160" s="53" t="e">
        <f>AI159+ATM_Conf!$C$5*(O159-N159)/(O347*AI347)</f>
        <v>#DIV/0!</v>
      </c>
      <c r="AJ160" s="53" t="e">
        <f>AJ159+ATM_Conf!$C$5*(P159-O159)/(P347*AJ347)</f>
        <v>#DIV/0!</v>
      </c>
      <c r="AK160" s="53" t="e">
        <f>AK159+ATM_Conf!$C$5*(Q159-P159)/(Q347*AK347)</f>
        <v>#DIV/0!</v>
      </c>
      <c r="AL160" s="53" t="e">
        <f>AL159+ATM_Conf!$C$5*(R159-Q159)/(R347*AL347)</f>
        <v>#DIV/0!</v>
      </c>
      <c r="AM160" s="53" t="e">
        <f>AM159+ATM_Conf!$C$5*(S159-R159)/(S347*AM347)</f>
        <v>#DIV/0!</v>
      </c>
      <c r="AN160" s="53" t="e">
        <f>AN159+ATM_Conf!$C$5*(T159-S159)/(T347*AN347)</f>
        <v>#DIV/0!</v>
      </c>
      <c r="AO160" s="53" t="e">
        <f>AO159+ATM_Conf!$C$5*(U159-T159)/(U347*AO347)</f>
        <v>#DIV/0!</v>
      </c>
      <c r="AP160" s="43" t="e">
        <f>AP159+(ATM_Conf!$C$5/ATM_Conf!$C$8)*(BJ160*EXP(-(1/CX160)*(V160/CD160)^CX160)-AP159)-(ATM_Conf!$C$5*ATM_Conf!$C$9)/(V347*ATM_Conf!$C$8)*(Nodes!BO159-V159)/(V159+ATM_Conf!$C$10)</f>
        <v>#DIV/0!</v>
      </c>
      <c r="AQ160" s="43" t="e">
        <f>AQ159+(ATM_Conf!$C$5/ATM_Conf!$C$8)*(BK160*EXP(-(1/CY160)*(W160/CE160)^CY160)-AQ159)+(ATM_Conf!$C$5/W347)*AQ159*(AP159-AQ159)-(ATM_Conf!$C$5*ATM_Conf!$C$9)/(W347*ATM_Conf!$C$8)*(X159-W159)/(W159+ATM_Conf!$C$10)</f>
        <v>#DIV/0!</v>
      </c>
      <c r="AR160" s="43" t="e">
        <f>AR159+(ATM_Conf!$C$5/ATM_Conf!$C$8)*(BL160*EXP(-(1/CZ160)*(X160/CF160)^CZ160)-AR159)+(ATM_Conf!$C$5/X347)*AR159*(Nodes!BC159-AR159)-(ATM_Conf!$C$5*ATM_Conf!$C$9)/(X347*ATM_Conf!$C$8)*(Nodes!BQ159-X159)/(X159+ATM_Conf!$C$10)</f>
        <v>#DIV/0!</v>
      </c>
      <c r="AS160" s="43" t="e">
        <f>AS159+(ATM_Conf!$C$5/ATM_Conf!$C$8)*(BM160*EXP(-(1/DA160)*(Y160/CG160)^DA160)-AS159)+(ATM_Conf!$C$5/Y347)*AS159*(AR159-AS159)-(ATM_Conf!$C$5*ATM_Conf!$C$9)/(Y347*ATM_Conf!$C$8)*(Z159-Y159)/(Y159+ATM_Conf!$C$10)</f>
        <v>#DIV/0!</v>
      </c>
      <c r="AT160" s="43" t="e">
        <f>AT159+(ATM_Conf!$C$5/ATM_Conf!$C$8)*(BN160*EXP(-(1/DB160)*(Z160/CH160)^DB160)-AT159)+(ATM_Conf!$C$5/Z347)*AT159*(Nodes!BE159-AT159)-(ATM_Conf!$C$5*ATM_Conf!$C$9)/(Z347*ATM_Conf!$C$8)*(Nodes!BS159-Z159)/(Z159+ATM_Conf!$C$10)</f>
        <v>#DIV/0!</v>
      </c>
      <c r="AU160" s="43" t="e">
        <f>AU159+(ATM_Conf!$C$5/ATM_Conf!$C$8)*(BO160*EXP(-(1/DC160)*(AA160/CI160)^DC160)-AU159)+(ATM_Conf!$C$5/AA347)*AU159*(Nodes!BF159-AU159)-(ATM_Conf!$C$5*ATM_Conf!$C$9)/(AA347*ATM_Conf!$C$8)*(Nodes!BV159-AA159)/(AA159+ATM_Conf!$C$10)</f>
        <v>#DIV/0!</v>
      </c>
      <c r="AV160" s="43" t="e">
        <f>AV159+(ATM_Conf!$C$5/ATM_Conf!$C$8)*(BP160*EXP(-(1/DD160)*(AB160/CJ160)^DD160)-AV159)+(ATM_Conf!$C$5/AB347)*AV159*(AU159-AV159)-(ATM_Conf!$C$5*ATM_Conf!$C$9)/(AB347*ATM_Conf!$C$8)*(AC159-AB159)/(AB159+ATM_Conf!$C$10)</f>
        <v>#DIV/0!</v>
      </c>
      <c r="AW160" s="43" t="e">
        <f>AW159+(ATM_Conf!$C$5/ATM_Conf!$C$8)*(BQ160*EXP(-(1/DE160)*(AC160/CK160)^DE160)-AW159)+(ATM_Conf!$C$5/AC347)*AW159*(AV159-AW159)-(ATM_Conf!$C$5*ATM_Conf!$C$9)/(AC347*ATM_Conf!$C$8)*(AD159-AC159)/(AC159+ATM_Conf!$C$10)</f>
        <v>#DIV/0!</v>
      </c>
      <c r="AX160" s="43" t="e">
        <f>AX159+(ATM_Conf!$C$5/ATM_Conf!$C$8)*(BR160*EXP(-(1/DF160)*(AD160/CL160)^DF160)-AX159)+(ATM_Conf!$C$5/AD347)*AX159*(Nodes!BG159-AX159)-(ATM_Conf!$C$5*ATM_Conf!$C$9)/(AD347*ATM_Conf!$C$8)*(Nodes!BU159-AD159)/(AD159+ATM_Conf!$C$10)</f>
        <v>#DIV/0!</v>
      </c>
      <c r="AY160" s="43" t="e">
        <f>AY159+(ATM_Conf!$C$5/ATM_Conf!$C$8)*(BS160*EXP(-(1/DG160)*(AE160/CM160)^DG160)-AY159)+(ATM_Conf!$C$5/AE347)*AY159*(Nodes!BF159-AY159)</f>
        <v>#DIV/0!</v>
      </c>
      <c r="AZ160" s="43" t="e">
        <f>AZ159+(ATM_Conf!$C$5/ATM_Conf!$C$8)*(BT160*EXP(-(1/DH160)*(AF160/CN160)^DH160)-AZ159)-(ATM_Conf!$C$5*ATM_Conf!$C$9)/(AF347*ATM_Conf!$C$8)*(Nodes!BV159-AF159)/(AF159+ATM_Conf!$C$10)</f>
        <v>#DIV/0!</v>
      </c>
      <c r="BA160" s="43" t="e">
        <f>BA159+(ATM_Conf!$C$5/ATM_Conf!$C$8)*(BU160*EXP(-(1/DI160)*(AG160/CO160)^DI160)-BA159)+(ATM_Conf!$C$5/AG347)*BA159*(Nodes!BI159-BA159)-(ATM_Conf!$C$5*ATM_Conf!$C$9)/(AG347*ATM_Conf!$C$8)*(Nodes!BW159-AG159)/(AG159+ATM_Conf!$C$10)</f>
        <v>#DIV/0!</v>
      </c>
      <c r="BB160" s="43" t="e">
        <f>BB159+(ATM_Conf!$C$5/ATM_Conf!$C$8)*(BV160*EXP(-(1/DJ160)*(AH160/CP160)^DJ160)-BB159)+(ATM_Conf!$C$5/AH347)*BB159*(Nodes!BJ159-BB159)-(ATM_Conf!$C$5*ATM_Conf!$C$9)/(AH347*ATM_Conf!$C$8)*(AI159-AH159)/(AH159+ATM_Conf!$C$10)</f>
        <v>#DIV/0!</v>
      </c>
      <c r="BC160" s="43" t="e">
        <f>BC159+(ATM_Conf!$C$5/ATM_Conf!$C$8)*(BW160*EXP(-(1/DK160)*(AI160/CQ160)^DK160)-BC159)+(ATM_Conf!$C$5/AI347)*BC159*(BB159-BC159)-(ATM_Conf!$C$5*ATM_Conf!$C$9)/(AI347*ATM_Conf!$C$8)*(AJ159-AI159)/(AI159+ATM_Conf!$C$10)</f>
        <v>#DIV/0!</v>
      </c>
      <c r="BD160" s="43" t="e">
        <f>BD159+(ATM_Conf!$C$5/ATM_Conf!$C$8)*(BX160*EXP(-(1/DL160)*(AJ160/CR160)^DL160)-BD159)+(ATM_Conf!$C$5/AJ347)*BD159*(BC159-BD159)-(ATM_Conf!$C$5*ATM_Conf!$C$9)/(AJ347*ATM_Conf!$C$8)*(Nodes!BX159-AJ159)/(AJ159+ATM_Conf!$C$10)</f>
        <v>#DIV/0!</v>
      </c>
      <c r="BE160" s="43" t="e">
        <f>BE159+(ATM_Conf!$C$5/ATM_Conf!$C$8)*(BY160*EXP(-(1/DM160)*(AK160/CS160)^DM160)-BE159)+(ATM_Conf!$C$5/AK347)*BE159*(Nodes!BK159-BE159)-(ATM_Conf!$C$5*ATM_Conf!$C$9)/(AK347*ATM_Conf!$C$8)*(Nodes!BY159-AK159)/(AK159+ATM_Conf!$C$10)</f>
        <v>#DIV/0!</v>
      </c>
      <c r="BF160" s="43" t="e">
        <f>BF159+(ATM_Conf!$C$5/ATM_Conf!$C$8)*(BZ160*EXP(-(1/DN160)*(AL160/CT160)^DN160)-BF159)+(ATM_Conf!$C$5/AL347)*BF159*(BE159-BF159)-(ATM_Conf!$C$5*ATM_Conf!$C$9)/(AL347*ATM_Conf!$C$8)*(AM159-AL159)/(AL159+ATM_Conf!$C$10)</f>
        <v>#DIV/0!</v>
      </c>
      <c r="BG160" s="43" t="e">
        <f>BG159+(ATM_Conf!$C$5/ATM_Conf!$C$8)*(CA160*EXP(-(1/DO160)*(AM160/CU160)^DO160)-BG159)+(ATM_Conf!$C$5/AM347)*BG159*(Nodes!BM159-BG159)-(ATM_Conf!$C$5*ATM_Conf!$C$9)/(AM347*ATM_Conf!$C$8)*(Nodes!CA159-AM159)/(AM159+ATM_Conf!$C$10)</f>
        <v>#DIV/0!</v>
      </c>
      <c r="BH160" s="43" t="e">
        <f>BH159+(ATM_Conf!$C$5/ATM_Conf!$C$8)*(CB160*EXP(-(1/DP160)*(AN160/CV160)^DP160)-BH159)+(ATM_Conf!$C$5/AN347)*BH159*(BG159-BH159)-(ATM_Conf!$C$5*ATM_Conf!$C$9)/(AN347*ATM_Conf!$C$8)*(AO159-AN159)/(AN159+ATM_Conf!$C$10)</f>
        <v>#DIV/0!</v>
      </c>
      <c r="BI160" s="43" t="e">
        <f>BI159+(ATM_Conf!$C$5/ATM_Conf!$C$8)*(CC160*EXP(-(1/DQ160)*(AO160/CW160)^DQ160)-BI159)+(ATM_Conf!$C$5/AO347)*BI159*(BH159-BI159)</f>
        <v>#DIV/0!</v>
      </c>
      <c r="BJ160" s="53"/>
      <c r="BK160" s="53"/>
      <c r="BL160" s="53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/>
      <c r="BW160" s="53"/>
      <c r="BX160" s="53"/>
      <c r="BY160" s="53"/>
      <c r="BZ160" s="53"/>
      <c r="CA160" s="53"/>
      <c r="CB160" s="53"/>
      <c r="CC160" s="5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53"/>
      <c r="CY160" s="53"/>
      <c r="CZ160" s="53"/>
      <c r="DA160" s="53"/>
      <c r="DB160" s="53"/>
      <c r="DC160" s="53"/>
      <c r="DD160" s="53"/>
      <c r="DE160" s="53"/>
      <c r="DF160" s="53"/>
      <c r="DG160" s="53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  <c r="DR160" s="43">
        <f>DR$159</f>
        <v>0</v>
      </c>
      <c r="DS160" s="43">
        <f t="shared" ref="DS160:EK170" si="101">DS$159</f>
        <v>0</v>
      </c>
      <c r="DT160" s="43">
        <f t="shared" si="101"/>
        <v>0</v>
      </c>
      <c r="DU160" s="43">
        <f t="shared" si="101"/>
        <v>0</v>
      </c>
      <c r="DV160" s="43">
        <f t="shared" si="101"/>
        <v>0</v>
      </c>
      <c r="DW160" s="43">
        <f t="shared" si="101"/>
        <v>0</v>
      </c>
      <c r="DX160" s="43">
        <f t="shared" si="101"/>
        <v>0</v>
      </c>
      <c r="DY160" s="43">
        <f t="shared" si="101"/>
        <v>0</v>
      </c>
      <c r="DZ160" s="43">
        <f t="shared" si="101"/>
        <v>0</v>
      </c>
      <c r="EA160" s="43">
        <f t="shared" si="101"/>
        <v>0</v>
      </c>
      <c r="EB160" s="43">
        <f t="shared" si="101"/>
        <v>0</v>
      </c>
      <c r="EC160" s="43">
        <f t="shared" si="101"/>
        <v>0</v>
      </c>
      <c r="ED160" s="43">
        <f t="shared" si="101"/>
        <v>0</v>
      </c>
      <c r="EE160" s="43">
        <f t="shared" si="101"/>
        <v>0</v>
      </c>
      <c r="EF160" s="43">
        <f t="shared" si="101"/>
        <v>0</v>
      </c>
      <c r="EG160" s="43">
        <f t="shared" si="101"/>
        <v>0</v>
      </c>
      <c r="EH160" s="43">
        <f t="shared" si="101"/>
        <v>0</v>
      </c>
      <c r="EI160" s="43">
        <f t="shared" si="101"/>
        <v>0</v>
      </c>
      <c r="EJ160" s="43">
        <f t="shared" si="101"/>
        <v>0</v>
      </c>
      <c r="EK160" s="43">
        <f t="shared" si="101"/>
        <v>0</v>
      </c>
      <c r="EL160" s="47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47"/>
      <c r="FA160" s="47"/>
      <c r="FB160" s="47"/>
      <c r="FC160" s="47"/>
      <c r="FD160" s="47"/>
      <c r="FE160" s="47"/>
    </row>
    <row r="161" spans="1:161" ht="14.25" x14ac:dyDescent="0.15">
      <c r="A161" s="46"/>
      <c r="B161" s="43" t="e">
        <f t="shared" si="74"/>
        <v>#DIV/0!</v>
      </c>
      <c r="C161" s="43" t="e">
        <f t="shared" si="75"/>
        <v>#DIV/0!</v>
      </c>
      <c r="D161" s="43" t="e">
        <f t="shared" si="76"/>
        <v>#DIV/0!</v>
      </c>
      <c r="E161" s="43" t="e">
        <f t="shared" si="77"/>
        <v>#DIV/0!</v>
      </c>
      <c r="F161" s="43" t="e">
        <f t="shared" si="78"/>
        <v>#DIV/0!</v>
      </c>
      <c r="G161" s="43" t="e">
        <f t="shared" si="79"/>
        <v>#DIV/0!</v>
      </c>
      <c r="H161" s="43" t="e">
        <f t="shared" si="80"/>
        <v>#DIV/0!</v>
      </c>
      <c r="I161" s="43" t="e">
        <f t="shared" si="81"/>
        <v>#DIV/0!</v>
      </c>
      <c r="J161" s="43" t="e">
        <f t="shared" si="82"/>
        <v>#DIV/0!</v>
      </c>
      <c r="K161" s="43" t="e">
        <f t="shared" si="83"/>
        <v>#DIV/0!</v>
      </c>
      <c r="L161" s="43" t="e">
        <f t="shared" si="84"/>
        <v>#DIV/0!</v>
      </c>
      <c r="M161" s="43" t="e">
        <f t="shared" si="85"/>
        <v>#DIV/0!</v>
      </c>
      <c r="N161" s="43" t="e">
        <f t="shared" si="86"/>
        <v>#DIV/0!</v>
      </c>
      <c r="O161" s="43" t="e">
        <f t="shared" si="87"/>
        <v>#DIV/0!</v>
      </c>
      <c r="P161" s="43" t="e">
        <f t="shared" si="88"/>
        <v>#DIV/0!</v>
      </c>
      <c r="Q161" s="43" t="e">
        <f t="shared" si="89"/>
        <v>#DIV/0!</v>
      </c>
      <c r="R161" s="43" t="e">
        <f t="shared" si="90"/>
        <v>#DIV/0!</v>
      </c>
      <c r="S161" s="43" t="e">
        <f t="shared" si="91"/>
        <v>#DIV/0!</v>
      </c>
      <c r="T161" s="43" t="e">
        <f t="shared" si="92"/>
        <v>#DIV/0!</v>
      </c>
      <c r="U161" s="43" t="e">
        <f t="shared" si="93"/>
        <v>#DIV/0!</v>
      </c>
      <c r="V161" s="53" t="e">
        <f>V160+ATM_Conf!$C$5*(B160)/(B348*V348)</f>
        <v>#DIV/0!</v>
      </c>
      <c r="W161" s="53" t="e">
        <f>W160+ATM_Conf!$C$5*(C160-B160)/(C348*W348)</f>
        <v>#DIV/0!</v>
      </c>
      <c r="X161" s="53" t="e">
        <f>X160+ATM_Conf!$C$5*(D160-C160)/(D348*X348)</f>
        <v>#DIV/0!</v>
      </c>
      <c r="Y161" s="53" t="e">
        <f>Y160+ATM_Conf!$C$5*(E160-D160)/(E348*Y348)</f>
        <v>#DIV/0!</v>
      </c>
      <c r="Z161" s="53" t="e">
        <f>Z160+ATM_Conf!$C$5*(F160-E160)/(F348*Z348)</f>
        <v>#DIV/0!</v>
      </c>
      <c r="AA161" s="53" t="e">
        <f>AA160+ATM_Conf!$C$5*(G160-F160)/(G348*AA348)</f>
        <v>#DIV/0!</v>
      </c>
      <c r="AB161" s="53" t="e">
        <f>AB160+ATM_Conf!$C$5*(H160-G160)/(H348*AB348)</f>
        <v>#DIV/0!</v>
      </c>
      <c r="AC161" s="53" t="e">
        <f>AC160+ATM_Conf!$C$5*(I160-H160)/(I348*AC348)</f>
        <v>#DIV/0!</v>
      </c>
      <c r="AD161" s="53" t="e">
        <f>AD160+ATM_Conf!$C$5*(J160-I160)/(J348*AD348)</f>
        <v>#DIV/0!</v>
      </c>
      <c r="AE161" s="53" t="e">
        <f>AE160+ATM_Conf!$C$5*(K160-J160)/(K348*AE348)</f>
        <v>#DIV/0!</v>
      </c>
      <c r="AF161" s="53" t="e">
        <f>AF160+ATM_Conf!$C$5*(L160)/(L348*AF348)</f>
        <v>#DIV/0!</v>
      </c>
      <c r="AG161" s="53" t="e">
        <f>AG160+ATM_Conf!$C$5*(M160-L160)/(M348*AG348)</f>
        <v>#DIV/0!</v>
      </c>
      <c r="AH161" s="53" t="e">
        <f>AH160+ATM_Conf!$C$5*(N160-M160)/(N348*AH348)</f>
        <v>#DIV/0!</v>
      </c>
      <c r="AI161" s="53" t="e">
        <f>AI160+ATM_Conf!$C$5*(O160-N160)/(O348*AI348)</f>
        <v>#DIV/0!</v>
      </c>
      <c r="AJ161" s="53" t="e">
        <f>AJ160+ATM_Conf!$C$5*(P160-O160)/(P348*AJ348)</f>
        <v>#DIV/0!</v>
      </c>
      <c r="AK161" s="53" t="e">
        <f>AK160+ATM_Conf!$C$5*(Q160-P160)/(Q348*AK348)</f>
        <v>#DIV/0!</v>
      </c>
      <c r="AL161" s="53" t="e">
        <f>AL160+ATM_Conf!$C$5*(R160-Q160)/(R348*AL348)</f>
        <v>#DIV/0!</v>
      </c>
      <c r="AM161" s="53" t="e">
        <f>AM160+ATM_Conf!$C$5*(S160-R160)/(S348*AM348)</f>
        <v>#DIV/0!</v>
      </c>
      <c r="AN161" s="53" t="e">
        <f>AN160+ATM_Conf!$C$5*(T160-S160)/(T348*AN348)</f>
        <v>#DIV/0!</v>
      </c>
      <c r="AO161" s="53" t="e">
        <f>AO160+ATM_Conf!$C$5*(U160-T160)/(U348*AO348)</f>
        <v>#DIV/0!</v>
      </c>
      <c r="AP161" s="43" t="e">
        <f>AP160+(ATM_Conf!$C$5/ATM_Conf!$C$8)*(BJ161*EXP(-(1/CX161)*(V161/CD161)^CX161)-AP160)-(ATM_Conf!$C$5*ATM_Conf!$C$9)/(V348*ATM_Conf!$C$8)*(Nodes!BO160-V160)/(V160+ATM_Conf!$C$10)</f>
        <v>#DIV/0!</v>
      </c>
      <c r="AQ161" s="43" t="e">
        <f>AQ160+(ATM_Conf!$C$5/ATM_Conf!$C$8)*(BK161*EXP(-(1/CY161)*(W161/CE161)^CY161)-AQ160)+(ATM_Conf!$C$5/W348)*AQ160*(AP160-AQ160)-(ATM_Conf!$C$5*ATM_Conf!$C$9)/(W348*ATM_Conf!$C$8)*(X160-W160)/(W160+ATM_Conf!$C$10)</f>
        <v>#DIV/0!</v>
      </c>
      <c r="AR161" s="43" t="e">
        <f>AR160+(ATM_Conf!$C$5/ATM_Conf!$C$8)*(BL161*EXP(-(1/CZ161)*(X161/CF161)^CZ161)-AR160)+(ATM_Conf!$C$5/X348)*AR160*(Nodes!BC160-AR160)-(ATM_Conf!$C$5*ATM_Conf!$C$9)/(X348*ATM_Conf!$C$8)*(Nodes!BQ160-X160)/(X160+ATM_Conf!$C$10)</f>
        <v>#DIV/0!</v>
      </c>
      <c r="AS161" s="43" t="e">
        <f>AS160+(ATM_Conf!$C$5/ATM_Conf!$C$8)*(BM161*EXP(-(1/DA161)*(Y161/CG161)^DA161)-AS160)+(ATM_Conf!$C$5/Y348)*AS160*(AR160-AS160)-(ATM_Conf!$C$5*ATM_Conf!$C$9)/(Y348*ATM_Conf!$C$8)*(Z160-Y160)/(Y160+ATM_Conf!$C$10)</f>
        <v>#DIV/0!</v>
      </c>
      <c r="AT161" s="43" t="e">
        <f>AT160+(ATM_Conf!$C$5/ATM_Conf!$C$8)*(BN161*EXP(-(1/DB161)*(Z161/CH161)^DB161)-AT160)+(ATM_Conf!$C$5/Z348)*AT160*(Nodes!BE160-AT160)-(ATM_Conf!$C$5*ATM_Conf!$C$9)/(Z348*ATM_Conf!$C$8)*(Nodes!BS160-Z160)/(Z160+ATM_Conf!$C$10)</f>
        <v>#DIV/0!</v>
      </c>
      <c r="AU161" s="43" t="e">
        <f>AU160+(ATM_Conf!$C$5/ATM_Conf!$C$8)*(BO161*EXP(-(1/DC161)*(AA161/CI161)^DC161)-AU160)+(ATM_Conf!$C$5/AA348)*AU160*(Nodes!BF160-AU160)-(ATM_Conf!$C$5*ATM_Conf!$C$9)/(AA348*ATM_Conf!$C$8)*(Nodes!BV160-AA160)/(AA160+ATM_Conf!$C$10)</f>
        <v>#DIV/0!</v>
      </c>
      <c r="AV161" s="43" t="e">
        <f>AV160+(ATM_Conf!$C$5/ATM_Conf!$C$8)*(BP161*EXP(-(1/DD161)*(AB161/CJ161)^DD161)-AV160)+(ATM_Conf!$C$5/AB348)*AV160*(AU160-AV160)-(ATM_Conf!$C$5*ATM_Conf!$C$9)/(AB348*ATM_Conf!$C$8)*(AC160-AB160)/(AB160+ATM_Conf!$C$10)</f>
        <v>#DIV/0!</v>
      </c>
      <c r="AW161" s="43" t="e">
        <f>AW160+(ATM_Conf!$C$5/ATM_Conf!$C$8)*(BQ161*EXP(-(1/DE161)*(AC161/CK161)^DE161)-AW160)+(ATM_Conf!$C$5/AC348)*AW160*(AV160-AW160)-(ATM_Conf!$C$5*ATM_Conf!$C$9)/(AC348*ATM_Conf!$C$8)*(AD160-AC160)/(AC160+ATM_Conf!$C$10)</f>
        <v>#DIV/0!</v>
      </c>
      <c r="AX161" s="43" t="e">
        <f>AX160+(ATM_Conf!$C$5/ATM_Conf!$C$8)*(BR161*EXP(-(1/DF161)*(AD161/CL161)^DF161)-AX160)+(ATM_Conf!$C$5/AD348)*AX160*(Nodes!BG160-AX160)-(ATM_Conf!$C$5*ATM_Conf!$C$9)/(AD348*ATM_Conf!$C$8)*(Nodes!BU160-AD160)/(AD160+ATM_Conf!$C$10)</f>
        <v>#DIV/0!</v>
      </c>
      <c r="AY161" s="43" t="e">
        <f>AY160+(ATM_Conf!$C$5/ATM_Conf!$C$8)*(BS161*EXP(-(1/DG161)*(AE161/CM161)^DG161)-AY160)+(ATM_Conf!$C$5/AE348)*AY160*(Nodes!BF160-AY160)</f>
        <v>#DIV/0!</v>
      </c>
      <c r="AZ161" s="43" t="e">
        <f>AZ160+(ATM_Conf!$C$5/ATM_Conf!$C$8)*(BT161*EXP(-(1/DH161)*(AF161/CN161)^DH161)-AZ160)-(ATM_Conf!$C$5*ATM_Conf!$C$9)/(AF348*ATM_Conf!$C$8)*(Nodes!BV160-AF160)/(AF160+ATM_Conf!$C$10)</f>
        <v>#DIV/0!</v>
      </c>
      <c r="BA161" s="43" t="e">
        <f>BA160+(ATM_Conf!$C$5/ATM_Conf!$C$8)*(BU161*EXP(-(1/DI161)*(AG161/CO161)^DI161)-BA160)+(ATM_Conf!$C$5/AG348)*BA160*(Nodes!BI160-BA160)-(ATM_Conf!$C$5*ATM_Conf!$C$9)/(AG348*ATM_Conf!$C$8)*(Nodes!BW160-AG160)/(AG160+ATM_Conf!$C$10)</f>
        <v>#DIV/0!</v>
      </c>
      <c r="BB161" s="43" t="e">
        <f>BB160+(ATM_Conf!$C$5/ATM_Conf!$C$8)*(BV161*EXP(-(1/DJ161)*(AH161/CP161)^DJ161)-BB160)+(ATM_Conf!$C$5/AH348)*BB160*(Nodes!BJ160-BB160)-(ATM_Conf!$C$5*ATM_Conf!$C$9)/(AH348*ATM_Conf!$C$8)*(AI160-AH160)/(AH160+ATM_Conf!$C$10)</f>
        <v>#DIV/0!</v>
      </c>
      <c r="BC161" s="43" t="e">
        <f>BC160+(ATM_Conf!$C$5/ATM_Conf!$C$8)*(BW161*EXP(-(1/DK161)*(AI161/CQ161)^DK161)-BC160)+(ATM_Conf!$C$5/AI348)*BC160*(BB160-BC160)-(ATM_Conf!$C$5*ATM_Conf!$C$9)/(AI348*ATM_Conf!$C$8)*(AJ160-AI160)/(AI160+ATM_Conf!$C$10)</f>
        <v>#DIV/0!</v>
      </c>
      <c r="BD161" s="43" t="e">
        <f>BD160+(ATM_Conf!$C$5/ATM_Conf!$C$8)*(BX161*EXP(-(1/DL161)*(AJ161/CR161)^DL161)-BD160)+(ATM_Conf!$C$5/AJ348)*BD160*(BC160-BD160)-(ATM_Conf!$C$5*ATM_Conf!$C$9)/(AJ348*ATM_Conf!$C$8)*(Nodes!BX160-AJ160)/(AJ160+ATM_Conf!$C$10)</f>
        <v>#DIV/0!</v>
      </c>
      <c r="BE161" s="43" t="e">
        <f>BE160+(ATM_Conf!$C$5/ATM_Conf!$C$8)*(BY161*EXP(-(1/DM161)*(AK161/CS161)^DM161)-BE160)+(ATM_Conf!$C$5/AK348)*BE160*(Nodes!BK160-BE160)-(ATM_Conf!$C$5*ATM_Conf!$C$9)/(AK348*ATM_Conf!$C$8)*(Nodes!BY160-AK160)/(AK160+ATM_Conf!$C$10)</f>
        <v>#DIV/0!</v>
      </c>
      <c r="BF161" s="43" t="e">
        <f>BF160+(ATM_Conf!$C$5/ATM_Conf!$C$8)*(BZ161*EXP(-(1/DN161)*(AL161/CT161)^DN161)-BF160)+(ATM_Conf!$C$5/AL348)*BF160*(BE160-BF160)-(ATM_Conf!$C$5*ATM_Conf!$C$9)/(AL348*ATM_Conf!$C$8)*(AM160-AL160)/(AL160+ATM_Conf!$C$10)</f>
        <v>#DIV/0!</v>
      </c>
      <c r="BG161" s="43" t="e">
        <f>BG160+(ATM_Conf!$C$5/ATM_Conf!$C$8)*(CA161*EXP(-(1/DO161)*(AM161/CU161)^DO161)-BG160)+(ATM_Conf!$C$5/AM348)*BG160*(Nodes!BM160-BG160)-(ATM_Conf!$C$5*ATM_Conf!$C$9)/(AM348*ATM_Conf!$C$8)*(Nodes!CA160-AM160)/(AM160+ATM_Conf!$C$10)</f>
        <v>#DIV/0!</v>
      </c>
      <c r="BH161" s="43" t="e">
        <f>BH160+(ATM_Conf!$C$5/ATM_Conf!$C$8)*(CB161*EXP(-(1/DP161)*(AN161/CV161)^DP161)-BH160)+(ATM_Conf!$C$5/AN348)*BH160*(BG160-BH160)-(ATM_Conf!$C$5*ATM_Conf!$C$9)/(AN348*ATM_Conf!$C$8)*(AO160-AN160)/(AN160+ATM_Conf!$C$10)</f>
        <v>#DIV/0!</v>
      </c>
      <c r="BI161" s="43" t="e">
        <f>BI160+(ATM_Conf!$C$5/ATM_Conf!$C$8)*(CC161*EXP(-(1/DQ161)*(AO161/CW161)^DQ161)-BI160)+(ATM_Conf!$C$5/AO348)*BI160*(BH160-BI160)</f>
        <v>#DIV/0!</v>
      </c>
      <c r="BJ161" s="53"/>
      <c r="BK161" s="53"/>
      <c r="BL161" s="53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/>
      <c r="BW161" s="53"/>
      <c r="BX161" s="53"/>
      <c r="BY161" s="53"/>
      <c r="BZ161" s="53"/>
      <c r="CA161" s="53"/>
      <c r="CB161" s="53"/>
      <c r="CC161" s="5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53"/>
      <c r="CY161" s="53"/>
      <c r="CZ161" s="53"/>
      <c r="DA161" s="53"/>
      <c r="DB161" s="53"/>
      <c r="DC161" s="53"/>
      <c r="DD161" s="53"/>
      <c r="DE161" s="53"/>
      <c r="DF161" s="53"/>
      <c r="DG161" s="53"/>
      <c r="DH161" s="53"/>
      <c r="DI161" s="53"/>
      <c r="DJ161" s="53"/>
      <c r="DK161" s="53"/>
      <c r="DL161" s="53"/>
      <c r="DM161" s="53"/>
      <c r="DN161" s="53"/>
      <c r="DO161" s="53"/>
      <c r="DP161" s="53"/>
      <c r="DQ161" s="53"/>
      <c r="DR161" s="43">
        <f t="shared" ref="DR161:DR170" si="102">DR$159</f>
        <v>0</v>
      </c>
      <c r="DS161" s="43">
        <f t="shared" si="101"/>
        <v>0</v>
      </c>
      <c r="DT161" s="43">
        <f t="shared" si="101"/>
        <v>0</v>
      </c>
      <c r="DU161" s="43">
        <f t="shared" si="101"/>
        <v>0</v>
      </c>
      <c r="DV161" s="43">
        <f t="shared" si="101"/>
        <v>0</v>
      </c>
      <c r="DW161" s="43">
        <f t="shared" si="101"/>
        <v>0</v>
      </c>
      <c r="DX161" s="43">
        <f t="shared" si="101"/>
        <v>0</v>
      </c>
      <c r="DY161" s="43">
        <f t="shared" si="101"/>
        <v>0</v>
      </c>
      <c r="DZ161" s="43">
        <f t="shared" si="101"/>
        <v>0</v>
      </c>
      <c r="EA161" s="43">
        <f t="shared" si="101"/>
        <v>0</v>
      </c>
      <c r="EB161" s="43">
        <f t="shared" si="101"/>
        <v>0</v>
      </c>
      <c r="EC161" s="43">
        <f t="shared" si="101"/>
        <v>0</v>
      </c>
      <c r="ED161" s="43">
        <f t="shared" si="101"/>
        <v>0</v>
      </c>
      <c r="EE161" s="43">
        <f t="shared" si="101"/>
        <v>0</v>
      </c>
      <c r="EF161" s="43">
        <f t="shared" si="101"/>
        <v>0</v>
      </c>
      <c r="EG161" s="43">
        <f t="shared" si="101"/>
        <v>0</v>
      </c>
      <c r="EH161" s="43">
        <f t="shared" si="101"/>
        <v>0</v>
      </c>
      <c r="EI161" s="43">
        <f t="shared" si="101"/>
        <v>0</v>
      </c>
      <c r="EJ161" s="43">
        <f t="shared" si="101"/>
        <v>0</v>
      </c>
      <c r="EK161" s="43">
        <f t="shared" si="101"/>
        <v>0</v>
      </c>
      <c r="EL161" s="47"/>
      <c r="EM161" s="47"/>
      <c r="EN161" s="47"/>
      <c r="EO161" s="47"/>
      <c r="EP161" s="47"/>
      <c r="EQ161" s="47"/>
      <c r="ER161" s="47"/>
      <c r="ES161" s="47"/>
      <c r="ET161" s="47"/>
      <c r="EU161" s="47"/>
      <c r="EV161" s="47"/>
      <c r="EW161" s="47"/>
      <c r="EX161" s="47"/>
      <c r="EY161" s="47"/>
      <c r="EZ161" s="47"/>
      <c r="FA161" s="47"/>
      <c r="FB161" s="47"/>
      <c r="FC161" s="47"/>
      <c r="FD161" s="47"/>
      <c r="FE161" s="47"/>
    </row>
    <row r="162" spans="1:161" ht="14.25" x14ac:dyDescent="0.15">
      <c r="A162" s="46"/>
      <c r="B162" s="43" t="e">
        <f t="shared" si="74"/>
        <v>#DIV/0!</v>
      </c>
      <c r="C162" s="43" t="e">
        <f t="shared" si="75"/>
        <v>#DIV/0!</v>
      </c>
      <c r="D162" s="43" t="e">
        <f t="shared" si="76"/>
        <v>#DIV/0!</v>
      </c>
      <c r="E162" s="43" t="e">
        <f t="shared" si="77"/>
        <v>#DIV/0!</v>
      </c>
      <c r="F162" s="43" t="e">
        <f t="shared" si="78"/>
        <v>#DIV/0!</v>
      </c>
      <c r="G162" s="43" t="e">
        <f t="shared" si="79"/>
        <v>#DIV/0!</v>
      </c>
      <c r="H162" s="43" t="e">
        <f t="shared" si="80"/>
        <v>#DIV/0!</v>
      </c>
      <c r="I162" s="43" t="e">
        <f t="shared" si="81"/>
        <v>#DIV/0!</v>
      </c>
      <c r="J162" s="43" t="e">
        <f t="shared" si="82"/>
        <v>#DIV/0!</v>
      </c>
      <c r="K162" s="43" t="e">
        <f t="shared" si="83"/>
        <v>#DIV/0!</v>
      </c>
      <c r="L162" s="43" t="e">
        <f t="shared" si="84"/>
        <v>#DIV/0!</v>
      </c>
      <c r="M162" s="43" t="e">
        <f t="shared" si="85"/>
        <v>#DIV/0!</v>
      </c>
      <c r="N162" s="43" t="e">
        <f t="shared" si="86"/>
        <v>#DIV/0!</v>
      </c>
      <c r="O162" s="43" t="e">
        <f t="shared" si="87"/>
        <v>#DIV/0!</v>
      </c>
      <c r="P162" s="43" t="e">
        <f t="shared" si="88"/>
        <v>#DIV/0!</v>
      </c>
      <c r="Q162" s="43" t="e">
        <f t="shared" si="89"/>
        <v>#DIV/0!</v>
      </c>
      <c r="R162" s="43" t="e">
        <f t="shared" si="90"/>
        <v>#DIV/0!</v>
      </c>
      <c r="S162" s="43" t="e">
        <f t="shared" si="91"/>
        <v>#DIV/0!</v>
      </c>
      <c r="T162" s="43" t="e">
        <f t="shared" si="92"/>
        <v>#DIV/0!</v>
      </c>
      <c r="U162" s="43" t="e">
        <f t="shared" si="93"/>
        <v>#DIV/0!</v>
      </c>
      <c r="V162" s="53" t="e">
        <f>V161+ATM_Conf!$C$5*(B161)/(B349*V349)</f>
        <v>#DIV/0!</v>
      </c>
      <c r="W162" s="53" t="e">
        <f>W161+ATM_Conf!$C$5*(C161-B161)/(C349*W349)</f>
        <v>#DIV/0!</v>
      </c>
      <c r="X162" s="53" t="e">
        <f>X161+ATM_Conf!$C$5*(D161-C161)/(D349*X349)</f>
        <v>#DIV/0!</v>
      </c>
      <c r="Y162" s="53" t="e">
        <f>Y161+ATM_Conf!$C$5*(E161-D161)/(E349*Y349)</f>
        <v>#DIV/0!</v>
      </c>
      <c r="Z162" s="53" t="e">
        <f>Z161+ATM_Conf!$C$5*(F161-E161)/(F349*Z349)</f>
        <v>#DIV/0!</v>
      </c>
      <c r="AA162" s="53" t="e">
        <f>AA161+ATM_Conf!$C$5*(G161-F161)/(G349*AA349)</f>
        <v>#DIV/0!</v>
      </c>
      <c r="AB162" s="53" t="e">
        <f>AB161+ATM_Conf!$C$5*(H161-G161)/(H349*AB349)</f>
        <v>#DIV/0!</v>
      </c>
      <c r="AC162" s="53" t="e">
        <f>AC161+ATM_Conf!$C$5*(I161-H161)/(I349*AC349)</f>
        <v>#DIV/0!</v>
      </c>
      <c r="AD162" s="53" t="e">
        <f>AD161+ATM_Conf!$C$5*(J161-I161)/(J349*AD349)</f>
        <v>#DIV/0!</v>
      </c>
      <c r="AE162" s="53" t="e">
        <f>AE161+ATM_Conf!$C$5*(K161-J161)/(K349*AE349)</f>
        <v>#DIV/0!</v>
      </c>
      <c r="AF162" s="53" t="e">
        <f>AF161+ATM_Conf!$C$5*(L161)/(L349*AF349)</f>
        <v>#DIV/0!</v>
      </c>
      <c r="AG162" s="53" t="e">
        <f>AG161+ATM_Conf!$C$5*(M161-L161)/(M349*AG349)</f>
        <v>#DIV/0!</v>
      </c>
      <c r="AH162" s="53" t="e">
        <f>AH161+ATM_Conf!$C$5*(N161-M161)/(N349*AH349)</f>
        <v>#DIV/0!</v>
      </c>
      <c r="AI162" s="53" t="e">
        <f>AI161+ATM_Conf!$C$5*(O161-N161)/(O349*AI349)</f>
        <v>#DIV/0!</v>
      </c>
      <c r="AJ162" s="53" t="e">
        <f>AJ161+ATM_Conf!$C$5*(P161-O161)/(P349*AJ349)</f>
        <v>#DIV/0!</v>
      </c>
      <c r="AK162" s="53" t="e">
        <f>AK161+ATM_Conf!$C$5*(Q161-P161)/(Q349*AK349)</f>
        <v>#DIV/0!</v>
      </c>
      <c r="AL162" s="53" t="e">
        <f>AL161+ATM_Conf!$C$5*(R161-Q161)/(R349*AL349)</f>
        <v>#DIV/0!</v>
      </c>
      <c r="AM162" s="53" t="e">
        <f>AM161+ATM_Conf!$C$5*(S161-R161)/(S349*AM349)</f>
        <v>#DIV/0!</v>
      </c>
      <c r="AN162" s="53" t="e">
        <f>AN161+ATM_Conf!$C$5*(T161-S161)/(T349*AN349)</f>
        <v>#DIV/0!</v>
      </c>
      <c r="AO162" s="53" t="e">
        <f>AO161+ATM_Conf!$C$5*(U161-T161)/(U349*AO349)</f>
        <v>#DIV/0!</v>
      </c>
      <c r="AP162" s="43" t="e">
        <f>AP161+(ATM_Conf!$C$5/ATM_Conf!$C$8)*(BJ162*EXP(-(1/CX162)*(V162/CD162)^CX162)-AP161)-(ATM_Conf!$C$5*ATM_Conf!$C$9)/(V349*ATM_Conf!$C$8)*(Nodes!BO161-V161)/(V161+ATM_Conf!$C$10)</f>
        <v>#DIV/0!</v>
      </c>
      <c r="AQ162" s="43" t="e">
        <f>AQ161+(ATM_Conf!$C$5/ATM_Conf!$C$8)*(BK162*EXP(-(1/CY162)*(W162/CE162)^CY162)-AQ161)+(ATM_Conf!$C$5/W349)*AQ161*(AP161-AQ161)-(ATM_Conf!$C$5*ATM_Conf!$C$9)/(W349*ATM_Conf!$C$8)*(X161-W161)/(W161+ATM_Conf!$C$10)</f>
        <v>#DIV/0!</v>
      </c>
      <c r="AR162" s="43" t="e">
        <f>AR161+(ATM_Conf!$C$5/ATM_Conf!$C$8)*(BL162*EXP(-(1/CZ162)*(X162/CF162)^CZ162)-AR161)+(ATM_Conf!$C$5/X349)*AR161*(Nodes!BC161-AR161)-(ATM_Conf!$C$5*ATM_Conf!$C$9)/(X349*ATM_Conf!$C$8)*(Nodes!BQ161-X161)/(X161+ATM_Conf!$C$10)</f>
        <v>#DIV/0!</v>
      </c>
      <c r="AS162" s="43" t="e">
        <f>AS161+(ATM_Conf!$C$5/ATM_Conf!$C$8)*(BM162*EXP(-(1/DA162)*(Y162/CG162)^DA162)-AS161)+(ATM_Conf!$C$5/Y349)*AS161*(AR161-AS161)-(ATM_Conf!$C$5*ATM_Conf!$C$9)/(Y349*ATM_Conf!$C$8)*(Z161-Y161)/(Y161+ATM_Conf!$C$10)</f>
        <v>#DIV/0!</v>
      </c>
      <c r="AT162" s="43" t="e">
        <f>AT161+(ATM_Conf!$C$5/ATM_Conf!$C$8)*(BN162*EXP(-(1/DB162)*(Z162/CH162)^DB162)-AT161)+(ATM_Conf!$C$5/Z349)*AT161*(Nodes!BE161-AT161)-(ATM_Conf!$C$5*ATM_Conf!$C$9)/(Z349*ATM_Conf!$C$8)*(Nodes!BS161-Z161)/(Z161+ATM_Conf!$C$10)</f>
        <v>#DIV/0!</v>
      </c>
      <c r="AU162" s="43" t="e">
        <f>AU161+(ATM_Conf!$C$5/ATM_Conf!$C$8)*(BO162*EXP(-(1/DC162)*(AA162/CI162)^DC162)-AU161)+(ATM_Conf!$C$5/AA349)*AU161*(Nodes!BF161-AU161)-(ATM_Conf!$C$5*ATM_Conf!$C$9)/(AA349*ATM_Conf!$C$8)*(Nodes!BV161-AA161)/(AA161+ATM_Conf!$C$10)</f>
        <v>#DIV/0!</v>
      </c>
      <c r="AV162" s="43" t="e">
        <f>AV161+(ATM_Conf!$C$5/ATM_Conf!$C$8)*(BP162*EXP(-(1/DD162)*(AB162/CJ162)^DD162)-AV161)+(ATM_Conf!$C$5/AB349)*AV161*(AU161-AV161)-(ATM_Conf!$C$5*ATM_Conf!$C$9)/(AB349*ATM_Conf!$C$8)*(AC161-AB161)/(AB161+ATM_Conf!$C$10)</f>
        <v>#DIV/0!</v>
      </c>
      <c r="AW162" s="43" t="e">
        <f>AW161+(ATM_Conf!$C$5/ATM_Conf!$C$8)*(BQ162*EXP(-(1/DE162)*(AC162/CK162)^DE162)-AW161)+(ATM_Conf!$C$5/AC349)*AW161*(AV161-AW161)-(ATM_Conf!$C$5*ATM_Conf!$C$9)/(AC349*ATM_Conf!$C$8)*(AD161-AC161)/(AC161+ATM_Conf!$C$10)</f>
        <v>#DIV/0!</v>
      </c>
      <c r="AX162" s="43" t="e">
        <f>AX161+(ATM_Conf!$C$5/ATM_Conf!$C$8)*(BR162*EXP(-(1/DF162)*(AD162/CL162)^DF162)-AX161)+(ATM_Conf!$C$5/AD349)*AX161*(Nodes!BG161-AX161)-(ATM_Conf!$C$5*ATM_Conf!$C$9)/(AD349*ATM_Conf!$C$8)*(Nodes!BU161-AD161)/(AD161+ATM_Conf!$C$10)</f>
        <v>#DIV/0!</v>
      </c>
      <c r="AY162" s="43" t="e">
        <f>AY161+(ATM_Conf!$C$5/ATM_Conf!$C$8)*(BS162*EXP(-(1/DG162)*(AE162/CM162)^DG162)-AY161)+(ATM_Conf!$C$5/AE349)*AY161*(Nodes!BF161-AY161)</f>
        <v>#DIV/0!</v>
      </c>
      <c r="AZ162" s="43" t="e">
        <f>AZ161+(ATM_Conf!$C$5/ATM_Conf!$C$8)*(BT162*EXP(-(1/DH162)*(AF162/CN162)^DH162)-AZ161)-(ATM_Conf!$C$5*ATM_Conf!$C$9)/(AF349*ATM_Conf!$C$8)*(Nodes!BV161-AF161)/(AF161+ATM_Conf!$C$10)</f>
        <v>#DIV/0!</v>
      </c>
      <c r="BA162" s="43" t="e">
        <f>BA161+(ATM_Conf!$C$5/ATM_Conf!$C$8)*(BU162*EXP(-(1/DI162)*(AG162/CO162)^DI162)-BA161)+(ATM_Conf!$C$5/AG349)*BA161*(Nodes!BI161-BA161)-(ATM_Conf!$C$5*ATM_Conf!$C$9)/(AG349*ATM_Conf!$C$8)*(Nodes!BW161-AG161)/(AG161+ATM_Conf!$C$10)</f>
        <v>#DIV/0!</v>
      </c>
      <c r="BB162" s="43" t="e">
        <f>BB161+(ATM_Conf!$C$5/ATM_Conf!$C$8)*(BV162*EXP(-(1/DJ162)*(AH162/CP162)^DJ162)-BB161)+(ATM_Conf!$C$5/AH349)*BB161*(Nodes!BJ161-BB161)-(ATM_Conf!$C$5*ATM_Conf!$C$9)/(AH349*ATM_Conf!$C$8)*(AI161-AH161)/(AH161+ATM_Conf!$C$10)</f>
        <v>#DIV/0!</v>
      </c>
      <c r="BC162" s="43" t="e">
        <f>BC161+(ATM_Conf!$C$5/ATM_Conf!$C$8)*(BW162*EXP(-(1/DK162)*(AI162/CQ162)^DK162)-BC161)+(ATM_Conf!$C$5/AI349)*BC161*(BB161-BC161)-(ATM_Conf!$C$5*ATM_Conf!$C$9)/(AI349*ATM_Conf!$C$8)*(AJ161-AI161)/(AI161+ATM_Conf!$C$10)</f>
        <v>#DIV/0!</v>
      </c>
      <c r="BD162" s="43" t="e">
        <f>BD161+(ATM_Conf!$C$5/ATM_Conf!$C$8)*(BX162*EXP(-(1/DL162)*(AJ162/CR162)^DL162)-BD161)+(ATM_Conf!$C$5/AJ349)*BD161*(BC161-BD161)-(ATM_Conf!$C$5*ATM_Conf!$C$9)/(AJ349*ATM_Conf!$C$8)*(Nodes!BX161-AJ161)/(AJ161+ATM_Conf!$C$10)</f>
        <v>#DIV/0!</v>
      </c>
      <c r="BE162" s="43" t="e">
        <f>BE161+(ATM_Conf!$C$5/ATM_Conf!$C$8)*(BY162*EXP(-(1/DM162)*(AK162/CS162)^DM162)-BE161)+(ATM_Conf!$C$5/AK349)*BE161*(Nodes!BK161-BE161)-(ATM_Conf!$C$5*ATM_Conf!$C$9)/(AK349*ATM_Conf!$C$8)*(Nodes!BY161-AK161)/(AK161+ATM_Conf!$C$10)</f>
        <v>#DIV/0!</v>
      </c>
      <c r="BF162" s="43" t="e">
        <f>BF161+(ATM_Conf!$C$5/ATM_Conf!$C$8)*(BZ162*EXP(-(1/DN162)*(AL162/CT162)^DN162)-BF161)+(ATM_Conf!$C$5/AL349)*BF161*(BE161-BF161)-(ATM_Conf!$C$5*ATM_Conf!$C$9)/(AL349*ATM_Conf!$C$8)*(AM161-AL161)/(AL161+ATM_Conf!$C$10)</f>
        <v>#DIV/0!</v>
      </c>
      <c r="BG162" s="43" t="e">
        <f>BG161+(ATM_Conf!$C$5/ATM_Conf!$C$8)*(CA162*EXP(-(1/DO162)*(AM162/CU162)^DO162)-BG161)+(ATM_Conf!$C$5/AM349)*BG161*(Nodes!BM161-BG161)-(ATM_Conf!$C$5*ATM_Conf!$C$9)/(AM349*ATM_Conf!$C$8)*(Nodes!CA161-AM161)/(AM161+ATM_Conf!$C$10)</f>
        <v>#DIV/0!</v>
      </c>
      <c r="BH162" s="43" t="e">
        <f>BH161+(ATM_Conf!$C$5/ATM_Conf!$C$8)*(CB162*EXP(-(1/DP162)*(AN162/CV162)^DP162)-BH161)+(ATM_Conf!$C$5/AN349)*BH161*(BG161-BH161)-(ATM_Conf!$C$5*ATM_Conf!$C$9)/(AN349*ATM_Conf!$C$8)*(AO161-AN161)/(AN161+ATM_Conf!$C$10)</f>
        <v>#DIV/0!</v>
      </c>
      <c r="BI162" s="43" t="e">
        <f>BI161+(ATM_Conf!$C$5/ATM_Conf!$C$8)*(CC162*EXP(-(1/DQ162)*(AO162/CW162)^DQ162)-BI161)+(ATM_Conf!$C$5/AO349)*BI161*(BH161-BI161)</f>
        <v>#DIV/0!</v>
      </c>
      <c r="BJ162" s="53"/>
      <c r="BK162" s="53"/>
      <c r="BL162" s="53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/>
      <c r="BW162" s="53"/>
      <c r="BX162" s="53"/>
      <c r="BY162" s="53"/>
      <c r="BZ162" s="53"/>
      <c r="CA162" s="53"/>
      <c r="CB162" s="53"/>
      <c r="CC162" s="5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53"/>
      <c r="CY162" s="53"/>
      <c r="CZ162" s="53"/>
      <c r="DA162" s="53"/>
      <c r="DB162" s="53"/>
      <c r="DC162" s="53"/>
      <c r="DD162" s="53"/>
      <c r="DE162" s="53"/>
      <c r="DF162" s="53"/>
      <c r="DG162" s="53"/>
      <c r="DH162" s="53"/>
      <c r="DI162" s="53"/>
      <c r="DJ162" s="53"/>
      <c r="DK162" s="53"/>
      <c r="DL162" s="53"/>
      <c r="DM162" s="53"/>
      <c r="DN162" s="53"/>
      <c r="DO162" s="53"/>
      <c r="DP162" s="53"/>
      <c r="DQ162" s="53"/>
      <c r="DR162" s="43">
        <f t="shared" si="102"/>
        <v>0</v>
      </c>
      <c r="DS162" s="43">
        <f t="shared" si="101"/>
        <v>0</v>
      </c>
      <c r="DT162" s="43">
        <f t="shared" si="101"/>
        <v>0</v>
      </c>
      <c r="DU162" s="43">
        <f t="shared" si="101"/>
        <v>0</v>
      </c>
      <c r="DV162" s="43">
        <f t="shared" si="101"/>
        <v>0</v>
      </c>
      <c r="DW162" s="43">
        <f t="shared" si="101"/>
        <v>0</v>
      </c>
      <c r="DX162" s="43">
        <f t="shared" si="101"/>
        <v>0</v>
      </c>
      <c r="DY162" s="43">
        <f t="shared" si="101"/>
        <v>0</v>
      </c>
      <c r="DZ162" s="43">
        <f t="shared" si="101"/>
        <v>0</v>
      </c>
      <c r="EA162" s="43">
        <f t="shared" si="101"/>
        <v>0</v>
      </c>
      <c r="EB162" s="43">
        <f t="shared" si="101"/>
        <v>0</v>
      </c>
      <c r="EC162" s="43">
        <f t="shared" si="101"/>
        <v>0</v>
      </c>
      <c r="ED162" s="43">
        <f t="shared" si="101"/>
        <v>0</v>
      </c>
      <c r="EE162" s="43">
        <f t="shared" si="101"/>
        <v>0</v>
      </c>
      <c r="EF162" s="43">
        <f t="shared" si="101"/>
        <v>0</v>
      </c>
      <c r="EG162" s="43">
        <f t="shared" si="101"/>
        <v>0</v>
      </c>
      <c r="EH162" s="43">
        <f t="shared" si="101"/>
        <v>0</v>
      </c>
      <c r="EI162" s="43">
        <f t="shared" si="101"/>
        <v>0</v>
      </c>
      <c r="EJ162" s="43">
        <f t="shared" si="101"/>
        <v>0</v>
      </c>
      <c r="EK162" s="43">
        <f t="shared" si="101"/>
        <v>0</v>
      </c>
      <c r="EL162" s="47"/>
      <c r="EM162" s="47"/>
      <c r="EN162" s="47"/>
      <c r="EO162" s="47"/>
      <c r="EP162" s="47"/>
      <c r="EQ162" s="47"/>
      <c r="ER162" s="47"/>
      <c r="ES162" s="47"/>
      <c r="ET162" s="47"/>
      <c r="EU162" s="47"/>
      <c r="EV162" s="47"/>
      <c r="EW162" s="47"/>
      <c r="EX162" s="47"/>
      <c r="EY162" s="47"/>
      <c r="EZ162" s="47"/>
      <c r="FA162" s="47"/>
      <c r="FB162" s="47"/>
      <c r="FC162" s="47"/>
      <c r="FD162" s="47"/>
      <c r="FE162" s="47"/>
    </row>
    <row r="163" spans="1:161" ht="14.25" x14ac:dyDescent="0.15">
      <c r="A163" s="46"/>
      <c r="B163" s="43" t="e">
        <f t="shared" si="74"/>
        <v>#DIV/0!</v>
      </c>
      <c r="C163" s="43" t="e">
        <f t="shared" si="75"/>
        <v>#DIV/0!</v>
      </c>
      <c r="D163" s="43" t="e">
        <f t="shared" si="76"/>
        <v>#DIV/0!</v>
      </c>
      <c r="E163" s="43" t="e">
        <f t="shared" si="77"/>
        <v>#DIV/0!</v>
      </c>
      <c r="F163" s="43" t="e">
        <f t="shared" si="78"/>
        <v>#DIV/0!</v>
      </c>
      <c r="G163" s="43" t="e">
        <f t="shared" si="79"/>
        <v>#DIV/0!</v>
      </c>
      <c r="H163" s="43" t="e">
        <f t="shared" si="80"/>
        <v>#DIV/0!</v>
      </c>
      <c r="I163" s="43" t="e">
        <f t="shared" si="81"/>
        <v>#DIV/0!</v>
      </c>
      <c r="J163" s="43" t="e">
        <f t="shared" si="82"/>
        <v>#DIV/0!</v>
      </c>
      <c r="K163" s="43" t="e">
        <f t="shared" si="83"/>
        <v>#DIV/0!</v>
      </c>
      <c r="L163" s="43" t="e">
        <f t="shared" si="84"/>
        <v>#DIV/0!</v>
      </c>
      <c r="M163" s="43" t="e">
        <f t="shared" si="85"/>
        <v>#DIV/0!</v>
      </c>
      <c r="N163" s="43" t="e">
        <f t="shared" si="86"/>
        <v>#DIV/0!</v>
      </c>
      <c r="O163" s="43" t="e">
        <f t="shared" si="87"/>
        <v>#DIV/0!</v>
      </c>
      <c r="P163" s="43" t="e">
        <f t="shared" si="88"/>
        <v>#DIV/0!</v>
      </c>
      <c r="Q163" s="43" t="e">
        <f t="shared" si="89"/>
        <v>#DIV/0!</v>
      </c>
      <c r="R163" s="43" t="e">
        <f t="shared" si="90"/>
        <v>#DIV/0!</v>
      </c>
      <c r="S163" s="43" t="e">
        <f t="shared" si="91"/>
        <v>#DIV/0!</v>
      </c>
      <c r="T163" s="43" t="e">
        <f t="shared" si="92"/>
        <v>#DIV/0!</v>
      </c>
      <c r="U163" s="43" t="e">
        <f t="shared" si="93"/>
        <v>#DIV/0!</v>
      </c>
      <c r="V163" s="53" t="e">
        <f>V162+ATM_Conf!$C$5*(B162)/(B350*V350)</f>
        <v>#DIV/0!</v>
      </c>
      <c r="W163" s="53" t="e">
        <f>W162+ATM_Conf!$C$5*(C162-B162)/(C350*W350)</f>
        <v>#DIV/0!</v>
      </c>
      <c r="X163" s="53" t="e">
        <f>X162+ATM_Conf!$C$5*(D162-C162)/(D350*X350)</f>
        <v>#DIV/0!</v>
      </c>
      <c r="Y163" s="53" t="e">
        <f>Y162+ATM_Conf!$C$5*(E162-D162)/(E350*Y350)</f>
        <v>#DIV/0!</v>
      </c>
      <c r="Z163" s="53" t="e">
        <f>Z162+ATM_Conf!$C$5*(F162-E162)/(F350*Z350)</f>
        <v>#DIV/0!</v>
      </c>
      <c r="AA163" s="53" t="e">
        <f>AA162+ATM_Conf!$C$5*(G162-F162)/(G350*AA350)</f>
        <v>#DIV/0!</v>
      </c>
      <c r="AB163" s="53" t="e">
        <f>AB162+ATM_Conf!$C$5*(H162-G162)/(H350*AB350)</f>
        <v>#DIV/0!</v>
      </c>
      <c r="AC163" s="53" t="e">
        <f>AC162+ATM_Conf!$C$5*(I162-H162)/(I350*AC350)</f>
        <v>#DIV/0!</v>
      </c>
      <c r="AD163" s="53" t="e">
        <f>AD162+ATM_Conf!$C$5*(J162-I162)/(J350*AD350)</f>
        <v>#DIV/0!</v>
      </c>
      <c r="AE163" s="53" t="e">
        <f>AE162+ATM_Conf!$C$5*(K162-J162)/(K350*AE350)</f>
        <v>#DIV/0!</v>
      </c>
      <c r="AF163" s="53" t="e">
        <f>AF162+ATM_Conf!$C$5*(L162)/(L350*AF350)</f>
        <v>#DIV/0!</v>
      </c>
      <c r="AG163" s="53" t="e">
        <f>AG162+ATM_Conf!$C$5*(M162-L162)/(M350*AG350)</f>
        <v>#DIV/0!</v>
      </c>
      <c r="AH163" s="53" t="e">
        <f>AH162+ATM_Conf!$C$5*(N162-M162)/(N350*AH350)</f>
        <v>#DIV/0!</v>
      </c>
      <c r="AI163" s="53" t="e">
        <f>AI162+ATM_Conf!$C$5*(O162-N162)/(O350*AI350)</f>
        <v>#DIV/0!</v>
      </c>
      <c r="AJ163" s="53" t="e">
        <f>AJ162+ATM_Conf!$C$5*(P162-O162)/(P350*AJ350)</f>
        <v>#DIV/0!</v>
      </c>
      <c r="AK163" s="53" t="e">
        <f>AK162+ATM_Conf!$C$5*(Q162-P162)/(Q350*AK350)</f>
        <v>#DIV/0!</v>
      </c>
      <c r="AL163" s="53" t="e">
        <f>AL162+ATM_Conf!$C$5*(R162-Q162)/(R350*AL350)</f>
        <v>#DIV/0!</v>
      </c>
      <c r="AM163" s="53" t="e">
        <f>AM162+ATM_Conf!$C$5*(S162-R162)/(S350*AM350)</f>
        <v>#DIV/0!</v>
      </c>
      <c r="AN163" s="53" t="e">
        <f>AN162+ATM_Conf!$C$5*(T162-S162)/(T350*AN350)</f>
        <v>#DIV/0!</v>
      </c>
      <c r="AO163" s="53" t="e">
        <f>AO162+ATM_Conf!$C$5*(U162-T162)/(U350*AO350)</f>
        <v>#DIV/0!</v>
      </c>
      <c r="AP163" s="43" t="e">
        <f>AP162+(ATM_Conf!$C$5/ATM_Conf!$C$8)*(BJ163*EXP(-(1/CX163)*(V163/CD163)^CX163)-AP162)-(ATM_Conf!$C$5*ATM_Conf!$C$9)/(V350*ATM_Conf!$C$8)*(Nodes!BO162-V162)/(V162+ATM_Conf!$C$10)</f>
        <v>#DIV/0!</v>
      </c>
      <c r="AQ163" s="43" t="e">
        <f>AQ162+(ATM_Conf!$C$5/ATM_Conf!$C$8)*(BK163*EXP(-(1/CY163)*(W163/CE163)^CY163)-AQ162)+(ATM_Conf!$C$5/W350)*AQ162*(AP162-AQ162)-(ATM_Conf!$C$5*ATM_Conf!$C$9)/(W350*ATM_Conf!$C$8)*(X162-W162)/(W162+ATM_Conf!$C$10)</f>
        <v>#DIV/0!</v>
      </c>
      <c r="AR163" s="43" t="e">
        <f>AR162+(ATM_Conf!$C$5/ATM_Conf!$C$8)*(BL163*EXP(-(1/CZ163)*(X163/CF163)^CZ163)-AR162)+(ATM_Conf!$C$5/X350)*AR162*(Nodes!BC162-AR162)-(ATM_Conf!$C$5*ATM_Conf!$C$9)/(X350*ATM_Conf!$C$8)*(Nodes!BQ162-X162)/(X162+ATM_Conf!$C$10)</f>
        <v>#DIV/0!</v>
      </c>
      <c r="AS163" s="43" t="e">
        <f>AS162+(ATM_Conf!$C$5/ATM_Conf!$C$8)*(BM163*EXP(-(1/DA163)*(Y163/CG163)^DA163)-AS162)+(ATM_Conf!$C$5/Y350)*AS162*(AR162-AS162)-(ATM_Conf!$C$5*ATM_Conf!$C$9)/(Y350*ATM_Conf!$C$8)*(Z162-Y162)/(Y162+ATM_Conf!$C$10)</f>
        <v>#DIV/0!</v>
      </c>
      <c r="AT163" s="43" t="e">
        <f>AT162+(ATM_Conf!$C$5/ATM_Conf!$C$8)*(BN163*EXP(-(1/DB163)*(Z163/CH163)^DB163)-AT162)+(ATM_Conf!$C$5/Z350)*AT162*(Nodes!BE162-AT162)-(ATM_Conf!$C$5*ATM_Conf!$C$9)/(Z350*ATM_Conf!$C$8)*(Nodes!BS162-Z162)/(Z162+ATM_Conf!$C$10)</f>
        <v>#DIV/0!</v>
      </c>
      <c r="AU163" s="43" t="e">
        <f>AU162+(ATM_Conf!$C$5/ATM_Conf!$C$8)*(BO163*EXP(-(1/DC163)*(AA163/CI163)^DC163)-AU162)+(ATM_Conf!$C$5/AA350)*AU162*(Nodes!BF162-AU162)-(ATM_Conf!$C$5*ATM_Conf!$C$9)/(AA350*ATM_Conf!$C$8)*(Nodes!BV162-AA162)/(AA162+ATM_Conf!$C$10)</f>
        <v>#DIV/0!</v>
      </c>
      <c r="AV163" s="43" t="e">
        <f>AV162+(ATM_Conf!$C$5/ATM_Conf!$C$8)*(BP163*EXP(-(1/DD163)*(AB163/CJ163)^DD163)-AV162)+(ATM_Conf!$C$5/AB350)*AV162*(AU162-AV162)-(ATM_Conf!$C$5*ATM_Conf!$C$9)/(AB350*ATM_Conf!$C$8)*(AC162-AB162)/(AB162+ATM_Conf!$C$10)</f>
        <v>#DIV/0!</v>
      </c>
      <c r="AW163" s="43" t="e">
        <f>AW162+(ATM_Conf!$C$5/ATM_Conf!$C$8)*(BQ163*EXP(-(1/DE163)*(AC163/CK163)^DE163)-AW162)+(ATM_Conf!$C$5/AC350)*AW162*(AV162-AW162)-(ATM_Conf!$C$5*ATM_Conf!$C$9)/(AC350*ATM_Conf!$C$8)*(AD162-AC162)/(AC162+ATM_Conf!$C$10)</f>
        <v>#DIV/0!</v>
      </c>
      <c r="AX163" s="43" t="e">
        <f>AX162+(ATM_Conf!$C$5/ATM_Conf!$C$8)*(BR163*EXP(-(1/DF163)*(AD163/CL163)^DF163)-AX162)+(ATM_Conf!$C$5/AD350)*AX162*(Nodes!BG162-AX162)-(ATM_Conf!$C$5*ATM_Conf!$C$9)/(AD350*ATM_Conf!$C$8)*(Nodes!BU162-AD162)/(AD162+ATM_Conf!$C$10)</f>
        <v>#DIV/0!</v>
      </c>
      <c r="AY163" s="43" t="e">
        <f>AY162+(ATM_Conf!$C$5/ATM_Conf!$C$8)*(BS163*EXP(-(1/DG163)*(AE163/CM163)^DG163)-AY162)+(ATM_Conf!$C$5/AE350)*AY162*(Nodes!BF162-AY162)</f>
        <v>#DIV/0!</v>
      </c>
      <c r="AZ163" s="43" t="e">
        <f>AZ162+(ATM_Conf!$C$5/ATM_Conf!$C$8)*(BT163*EXP(-(1/DH163)*(AF163/CN163)^DH163)-AZ162)-(ATM_Conf!$C$5*ATM_Conf!$C$9)/(AF350*ATM_Conf!$C$8)*(Nodes!BV162-AF162)/(AF162+ATM_Conf!$C$10)</f>
        <v>#DIV/0!</v>
      </c>
      <c r="BA163" s="43" t="e">
        <f>BA162+(ATM_Conf!$C$5/ATM_Conf!$C$8)*(BU163*EXP(-(1/DI163)*(AG163/CO163)^DI163)-BA162)+(ATM_Conf!$C$5/AG350)*BA162*(Nodes!BI162-BA162)-(ATM_Conf!$C$5*ATM_Conf!$C$9)/(AG350*ATM_Conf!$C$8)*(Nodes!BW162-AG162)/(AG162+ATM_Conf!$C$10)</f>
        <v>#DIV/0!</v>
      </c>
      <c r="BB163" s="43" t="e">
        <f>BB162+(ATM_Conf!$C$5/ATM_Conf!$C$8)*(BV163*EXP(-(1/DJ163)*(AH163/CP163)^DJ163)-BB162)+(ATM_Conf!$C$5/AH350)*BB162*(Nodes!BJ162-BB162)-(ATM_Conf!$C$5*ATM_Conf!$C$9)/(AH350*ATM_Conf!$C$8)*(AI162-AH162)/(AH162+ATM_Conf!$C$10)</f>
        <v>#DIV/0!</v>
      </c>
      <c r="BC163" s="43" t="e">
        <f>BC162+(ATM_Conf!$C$5/ATM_Conf!$C$8)*(BW163*EXP(-(1/DK163)*(AI163/CQ163)^DK163)-BC162)+(ATM_Conf!$C$5/AI350)*BC162*(BB162-BC162)-(ATM_Conf!$C$5*ATM_Conf!$C$9)/(AI350*ATM_Conf!$C$8)*(AJ162-AI162)/(AI162+ATM_Conf!$C$10)</f>
        <v>#DIV/0!</v>
      </c>
      <c r="BD163" s="43" t="e">
        <f>BD162+(ATM_Conf!$C$5/ATM_Conf!$C$8)*(BX163*EXP(-(1/DL163)*(AJ163/CR163)^DL163)-BD162)+(ATM_Conf!$C$5/AJ350)*BD162*(BC162-BD162)-(ATM_Conf!$C$5*ATM_Conf!$C$9)/(AJ350*ATM_Conf!$C$8)*(Nodes!BX162-AJ162)/(AJ162+ATM_Conf!$C$10)</f>
        <v>#DIV/0!</v>
      </c>
      <c r="BE163" s="43" t="e">
        <f>BE162+(ATM_Conf!$C$5/ATM_Conf!$C$8)*(BY163*EXP(-(1/DM163)*(AK163/CS163)^DM163)-BE162)+(ATM_Conf!$C$5/AK350)*BE162*(Nodes!BK162-BE162)-(ATM_Conf!$C$5*ATM_Conf!$C$9)/(AK350*ATM_Conf!$C$8)*(Nodes!BY162-AK162)/(AK162+ATM_Conf!$C$10)</f>
        <v>#DIV/0!</v>
      </c>
      <c r="BF163" s="43" t="e">
        <f>BF162+(ATM_Conf!$C$5/ATM_Conf!$C$8)*(BZ163*EXP(-(1/DN163)*(AL163/CT163)^DN163)-BF162)+(ATM_Conf!$C$5/AL350)*BF162*(BE162-BF162)-(ATM_Conf!$C$5*ATM_Conf!$C$9)/(AL350*ATM_Conf!$C$8)*(AM162-AL162)/(AL162+ATM_Conf!$C$10)</f>
        <v>#DIV/0!</v>
      </c>
      <c r="BG163" s="43" t="e">
        <f>BG162+(ATM_Conf!$C$5/ATM_Conf!$C$8)*(CA163*EXP(-(1/DO163)*(AM163/CU163)^DO163)-BG162)+(ATM_Conf!$C$5/AM350)*BG162*(Nodes!BM162-BG162)-(ATM_Conf!$C$5*ATM_Conf!$C$9)/(AM350*ATM_Conf!$C$8)*(Nodes!CA162-AM162)/(AM162+ATM_Conf!$C$10)</f>
        <v>#DIV/0!</v>
      </c>
      <c r="BH163" s="43" t="e">
        <f>BH162+(ATM_Conf!$C$5/ATM_Conf!$C$8)*(CB163*EXP(-(1/DP163)*(AN163/CV163)^DP163)-BH162)+(ATM_Conf!$C$5/AN350)*BH162*(BG162-BH162)-(ATM_Conf!$C$5*ATM_Conf!$C$9)/(AN350*ATM_Conf!$C$8)*(AO162-AN162)/(AN162+ATM_Conf!$C$10)</f>
        <v>#DIV/0!</v>
      </c>
      <c r="BI163" s="43" t="e">
        <f>BI162+(ATM_Conf!$C$5/ATM_Conf!$C$8)*(CC163*EXP(-(1/DQ163)*(AO163/CW163)^DQ163)-BI162)+(ATM_Conf!$C$5/AO350)*BI162*(BH162-BI162)</f>
        <v>#DIV/0!</v>
      </c>
      <c r="BJ163" s="53"/>
      <c r="BK163" s="53"/>
      <c r="BL163" s="53"/>
      <c r="BM163" s="53"/>
      <c r="BN163" s="53"/>
      <c r="BO163" s="53"/>
      <c r="BP163" s="53"/>
      <c r="BQ163" s="53"/>
      <c r="BR163" s="53"/>
      <c r="BS163" s="53"/>
      <c r="BT163" s="53"/>
      <c r="BU163" s="53"/>
      <c r="BV163" s="53"/>
      <c r="BW163" s="53"/>
      <c r="BX163" s="53"/>
      <c r="BY163" s="53"/>
      <c r="BZ163" s="53"/>
      <c r="CA163" s="53"/>
      <c r="CB163" s="53"/>
      <c r="CC163" s="5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53"/>
      <c r="CY163" s="53"/>
      <c r="CZ163" s="53"/>
      <c r="DA163" s="53"/>
      <c r="DB163" s="53"/>
      <c r="DC163" s="53"/>
      <c r="DD163" s="53"/>
      <c r="DE163" s="53"/>
      <c r="DF163" s="53"/>
      <c r="DG163" s="53"/>
      <c r="DH163" s="53"/>
      <c r="DI163" s="53"/>
      <c r="DJ163" s="53"/>
      <c r="DK163" s="53"/>
      <c r="DL163" s="53"/>
      <c r="DM163" s="53"/>
      <c r="DN163" s="53"/>
      <c r="DO163" s="53"/>
      <c r="DP163" s="53"/>
      <c r="DQ163" s="53"/>
      <c r="DR163" s="43">
        <f t="shared" si="102"/>
        <v>0</v>
      </c>
      <c r="DS163" s="43">
        <f t="shared" si="101"/>
        <v>0</v>
      </c>
      <c r="DT163" s="43">
        <f t="shared" si="101"/>
        <v>0</v>
      </c>
      <c r="DU163" s="43">
        <f t="shared" si="101"/>
        <v>0</v>
      </c>
      <c r="DV163" s="43">
        <f t="shared" si="101"/>
        <v>0</v>
      </c>
      <c r="DW163" s="43">
        <f t="shared" si="101"/>
        <v>0</v>
      </c>
      <c r="DX163" s="43">
        <f t="shared" si="101"/>
        <v>0</v>
      </c>
      <c r="DY163" s="43">
        <f t="shared" si="101"/>
        <v>0</v>
      </c>
      <c r="DZ163" s="43">
        <f t="shared" si="101"/>
        <v>0</v>
      </c>
      <c r="EA163" s="43">
        <f t="shared" si="101"/>
        <v>0</v>
      </c>
      <c r="EB163" s="43">
        <f t="shared" si="101"/>
        <v>0</v>
      </c>
      <c r="EC163" s="43">
        <f t="shared" si="101"/>
        <v>0</v>
      </c>
      <c r="ED163" s="43">
        <f t="shared" si="101"/>
        <v>0</v>
      </c>
      <c r="EE163" s="43">
        <f t="shared" si="101"/>
        <v>0</v>
      </c>
      <c r="EF163" s="43">
        <f t="shared" si="101"/>
        <v>0</v>
      </c>
      <c r="EG163" s="43">
        <f t="shared" si="101"/>
        <v>0</v>
      </c>
      <c r="EH163" s="43">
        <f t="shared" si="101"/>
        <v>0</v>
      </c>
      <c r="EI163" s="43">
        <f t="shared" si="101"/>
        <v>0</v>
      </c>
      <c r="EJ163" s="43">
        <f t="shared" si="101"/>
        <v>0</v>
      </c>
      <c r="EK163" s="43">
        <f t="shared" si="101"/>
        <v>0</v>
      </c>
      <c r="EL163" s="47"/>
      <c r="EM163" s="47"/>
      <c r="EN163" s="47"/>
      <c r="EO163" s="47"/>
      <c r="EP163" s="47"/>
      <c r="EQ163" s="47"/>
      <c r="ER163" s="47"/>
      <c r="ES163" s="47"/>
      <c r="ET163" s="47"/>
      <c r="EU163" s="47"/>
      <c r="EV163" s="47"/>
      <c r="EW163" s="47"/>
      <c r="EX163" s="47"/>
      <c r="EY163" s="47"/>
      <c r="EZ163" s="47"/>
      <c r="FA163" s="47"/>
      <c r="FB163" s="47"/>
      <c r="FC163" s="47"/>
      <c r="FD163" s="47"/>
      <c r="FE163" s="47"/>
    </row>
    <row r="164" spans="1:161" ht="14.25" x14ac:dyDescent="0.15">
      <c r="A164" s="46"/>
      <c r="B164" s="43" t="e">
        <f t="shared" si="74"/>
        <v>#DIV/0!</v>
      </c>
      <c r="C164" s="43" t="e">
        <f t="shared" si="75"/>
        <v>#DIV/0!</v>
      </c>
      <c r="D164" s="43" t="e">
        <f t="shared" si="76"/>
        <v>#DIV/0!</v>
      </c>
      <c r="E164" s="43" t="e">
        <f t="shared" si="77"/>
        <v>#DIV/0!</v>
      </c>
      <c r="F164" s="43" t="e">
        <f t="shared" si="78"/>
        <v>#DIV/0!</v>
      </c>
      <c r="G164" s="43" t="e">
        <f t="shared" si="79"/>
        <v>#DIV/0!</v>
      </c>
      <c r="H164" s="43" t="e">
        <f t="shared" si="80"/>
        <v>#DIV/0!</v>
      </c>
      <c r="I164" s="43" t="e">
        <f t="shared" si="81"/>
        <v>#DIV/0!</v>
      </c>
      <c r="J164" s="43" t="e">
        <f t="shared" si="82"/>
        <v>#DIV/0!</v>
      </c>
      <c r="K164" s="43" t="e">
        <f t="shared" si="83"/>
        <v>#DIV/0!</v>
      </c>
      <c r="L164" s="43" t="e">
        <f t="shared" si="84"/>
        <v>#DIV/0!</v>
      </c>
      <c r="M164" s="43" t="e">
        <f t="shared" si="85"/>
        <v>#DIV/0!</v>
      </c>
      <c r="N164" s="43" t="e">
        <f t="shared" si="86"/>
        <v>#DIV/0!</v>
      </c>
      <c r="O164" s="43" t="e">
        <f t="shared" si="87"/>
        <v>#DIV/0!</v>
      </c>
      <c r="P164" s="43" t="e">
        <f t="shared" si="88"/>
        <v>#DIV/0!</v>
      </c>
      <c r="Q164" s="43" t="e">
        <f t="shared" si="89"/>
        <v>#DIV/0!</v>
      </c>
      <c r="R164" s="43" t="e">
        <f t="shared" si="90"/>
        <v>#DIV/0!</v>
      </c>
      <c r="S164" s="43" t="e">
        <f t="shared" si="91"/>
        <v>#DIV/0!</v>
      </c>
      <c r="T164" s="43" t="e">
        <f t="shared" si="92"/>
        <v>#DIV/0!</v>
      </c>
      <c r="U164" s="43" t="e">
        <f t="shared" si="93"/>
        <v>#DIV/0!</v>
      </c>
      <c r="V164" s="53" t="e">
        <f>V163+ATM_Conf!$C$5*(B163)/(B351*V351)</f>
        <v>#DIV/0!</v>
      </c>
      <c r="W164" s="53" t="e">
        <f>W163+ATM_Conf!$C$5*(C163-B163)/(C351*W351)</f>
        <v>#DIV/0!</v>
      </c>
      <c r="X164" s="53" t="e">
        <f>X163+ATM_Conf!$C$5*(D163-C163)/(D351*X351)</f>
        <v>#DIV/0!</v>
      </c>
      <c r="Y164" s="53" t="e">
        <f>Y163+ATM_Conf!$C$5*(E163-D163)/(E351*Y351)</f>
        <v>#DIV/0!</v>
      </c>
      <c r="Z164" s="53" t="e">
        <f>Z163+ATM_Conf!$C$5*(F163-E163)/(F351*Z351)</f>
        <v>#DIV/0!</v>
      </c>
      <c r="AA164" s="53" t="e">
        <f>AA163+ATM_Conf!$C$5*(G163-F163)/(G351*AA351)</f>
        <v>#DIV/0!</v>
      </c>
      <c r="AB164" s="53" t="e">
        <f>AB163+ATM_Conf!$C$5*(H163-G163)/(H351*AB351)</f>
        <v>#DIV/0!</v>
      </c>
      <c r="AC164" s="53" t="e">
        <f>AC163+ATM_Conf!$C$5*(I163-H163)/(I351*AC351)</f>
        <v>#DIV/0!</v>
      </c>
      <c r="AD164" s="53" t="e">
        <f>AD163+ATM_Conf!$C$5*(J163-I163)/(J351*AD351)</f>
        <v>#DIV/0!</v>
      </c>
      <c r="AE164" s="53" t="e">
        <f>AE163+ATM_Conf!$C$5*(K163-J163)/(K351*AE351)</f>
        <v>#DIV/0!</v>
      </c>
      <c r="AF164" s="53" t="e">
        <f>AF163+ATM_Conf!$C$5*(L163)/(L351*AF351)</f>
        <v>#DIV/0!</v>
      </c>
      <c r="AG164" s="53" t="e">
        <f>AG163+ATM_Conf!$C$5*(M163-L163)/(M351*AG351)</f>
        <v>#DIV/0!</v>
      </c>
      <c r="AH164" s="53" t="e">
        <f>AH163+ATM_Conf!$C$5*(N163-M163)/(N351*AH351)</f>
        <v>#DIV/0!</v>
      </c>
      <c r="AI164" s="53" t="e">
        <f>AI163+ATM_Conf!$C$5*(O163-N163)/(O351*AI351)</f>
        <v>#DIV/0!</v>
      </c>
      <c r="AJ164" s="53" t="e">
        <f>AJ163+ATM_Conf!$C$5*(P163-O163)/(P351*AJ351)</f>
        <v>#DIV/0!</v>
      </c>
      <c r="AK164" s="53" t="e">
        <f>AK163+ATM_Conf!$C$5*(Q163-P163)/(Q351*AK351)</f>
        <v>#DIV/0!</v>
      </c>
      <c r="AL164" s="53" t="e">
        <f>AL163+ATM_Conf!$C$5*(R163-Q163)/(R351*AL351)</f>
        <v>#DIV/0!</v>
      </c>
      <c r="AM164" s="53" t="e">
        <f>AM163+ATM_Conf!$C$5*(S163-R163)/(S351*AM351)</f>
        <v>#DIV/0!</v>
      </c>
      <c r="AN164" s="53" t="e">
        <f>AN163+ATM_Conf!$C$5*(T163-S163)/(T351*AN351)</f>
        <v>#DIV/0!</v>
      </c>
      <c r="AO164" s="53" t="e">
        <f>AO163+ATM_Conf!$C$5*(U163-T163)/(U351*AO351)</f>
        <v>#DIV/0!</v>
      </c>
      <c r="AP164" s="43" t="e">
        <f>AP163+(ATM_Conf!$C$5/ATM_Conf!$C$8)*(BJ164*EXP(-(1/CX164)*(V164/CD164)^CX164)-AP163)-(ATM_Conf!$C$5*ATM_Conf!$C$9)/(V351*ATM_Conf!$C$8)*(Nodes!BO163-V163)/(V163+ATM_Conf!$C$10)</f>
        <v>#DIV/0!</v>
      </c>
      <c r="AQ164" s="43" t="e">
        <f>AQ163+(ATM_Conf!$C$5/ATM_Conf!$C$8)*(BK164*EXP(-(1/CY164)*(W164/CE164)^CY164)-AQ163)+(ATM_Conf!$C$5/W351)*AQ163*(AP163-AQ163)-(ATM_Conf!$C$5*ATM_Conf!$C$9)/(W351*ATM_Conf!$C$8)*(X163-W163)/(W163+ATM_Conf!$C$10)</f>
        <v>#DIV/0!</v>
      </c>
      <c r="AR164" s="43" t="e">
        <f>AR163+(ATM_Conf!$C$5/ATM_Conf!$C$8)*(BL164*EXP(-(1/CZ164)*(X164/CF164)^CZ164)-AR163)+(ATM_Conf!$C$5/X351)*AR163*(Nodes!BC163-AR163)-(ATM_Conf!$C$5*ATM_Conf!$C$9)/(X351*ATM_Conf!$C$8)*(Nodes!BQ163-X163)/(X163+ATM_Conf!$C$10)</f>
        <v>#DIV/0!</v>
      </c>
      <c r="AS164" s="43" t="e">
        <f>AS163+(ATM_Conf!$C$5/ATM_Conf!$C$8)*(BM164*EXP(-(1/DA164)*(Y164/CG164)^DA164)-AS163)+(ATM_Conf!$C$5/Y351)*AS163*(AR163-AS163)-(ATM_Conf!$C$5*ATM_Conf!$C$9)/(Y351*ATM_Conf!$C$8)*(Z163-Y163)/(Y163+ATM_Conf!$C$10)</f>
        <v>#DIV/0!</v>
      </c>
      <c r="AT164" s="43" t="e">
        <f>AT163+(ATM_Conf!$C$5/ATM_Conf!$C$8)*(BN164*EXP(-(1/DB164)*(Z164/CH164)^DB164)-AT163)+(ATM_Conf!$C$5/Z351)*AT163*(Nodes!BE163-AT163)-(ATM_Conf!$C$5*ATM_Conf!$C$9)/(Z351*ATM_Conf!$C$8)*(Nodes!BS163-Z163)/(Z163+ATM_Conf!$C$10)</f>
        <v>#DIV/0!</v>
      </c>
      <c r="AU164" s="43" t="e">
        <f>AU163+(ATM_Conf!$C$5/ATM_Conf!$C$8)*(BO164*EXP(-(1/DC164)*(AA164/CI164)^DC164)-AU163)+(ATM_Conf!$C$5/AA351)*AU163*(Nodes!BF163-AU163)-(ATM_Conf!$C$5*ATM_Conf!$C$9)/(AA351*ATM_Conf!$C$8)*(Nodes!BV163-AA163)/(AA163+ATM_Conf!$C$10)</f>
        <v>#DIV/0!</v>
      </c>
      <c r="AV164" s="43" t="e">
        <f>AV163+(ATM_Conf!$C$5/ATM_Conf!$C$8)*(BP164*EXP(-(1/DD164)*(AB164/CJ164)^DD164)-AV163)+(ATM_Conf!$C$5/AB351)*AV163*(AU163-AV163)-(ATM_Conf!$C$5*ATM_Conf!$C$9)/(AB351*ATM_Conf!$C$8)*(AC163-AB163)/(AB163+ATM_Conf!$C$10)</f>
        <v>#DIV/0!</v>
      </c>
      <c r="AW164" s="43" t="e">
        <f>AW163+(ATM_Conf!$C$5/ATM_Conf!$C$8)*(BQ164*EXP(-(1/DE164)*(AC164/CK164)^DE164)-AW163)+(ATM_Conf!$C$5/AC351)*AW163*(AV163-AW163)-(ATM_Conf!$C$5*ATM_Conf!$C$9)/(AC351*ATM_Conf!$C$8)*(AD163-AC163)/(AC163+ATM_Conf!$C$10)</f>
        <v>#DIV/0!</v>
      </c>
      <c r="AX164" s="43" t="e">
        <f>AX163+(ATM_Conf!$C$5/ATM_Conf!$C$8)*(BR164*EXP(-(1/DF164)*(AD164/CL164)^DF164)-AX163)+(ATM_Conf!$C$5/AD351)*AX163*(Nodes!BG163-AX163)-(ATM_Conf!$C$5*ATM_Conf!$C$9)/(AD351*ATM_Conf!$C$8)*(Nodes!BU163-AD163)/(AD163+ATM_Conf!$C$10)</f>
        <v>#DIV/0!</v>
      </c>
      <c r="AY164" s="43" t="e">
        <f>AY163+(ATM_Conf!$C$5/ATM_Conf!$C$8)*(BS164*EXP(-(1/DG164)*(AE164/CM164)^DG164)-AY163)+(ATM_Conf!$C$5/AE351)*AY163*(Nodes!BF163-AY163)</f>
        <v>#DIV/0!</v>
      </c>
      <c r="AZ164" s="43" t="e">
        <f>AZ163+(ATM_Conf!$C$5/ATM_Conf!$C$8)*(BT164*EXP(-(1/DH164)*(AF164/CN164)^DH164)-AZ163)-(ATM_Conf!$C$5*ATM_Conf!$C$9)/(AF351*ATM_Conf!$C$8)*(Nodes!BV163-AF163)/(AF163+ATM_Conf!$C$10)</f>
        <v>#DIV/0!</v>
      </c>
      <c r="BA164" s="43" t="e">
        <f>BA163+(ATM_Conf!$C$5/ATM_Conf!$C$8)*(BU164*EXP(-(1/DI164)*(AG164/CO164)^DI164)-BA163)+(ATM_Conf!$C$5/AG351)*BA163*(Nodes!BI163-BA163)-(ATM_Conf!$C$5*ATM_Conf!$C$9)/(AG351*ATM_Conf!$C$8)*(Nodes!BW163-AG163)/(AG163+ATM_Conf!$C$10)</f>
        <v>#DIV/0!</v>
      </c>
      <c r="BB164" s="43" t="e">
        <f>BB163+(ATM_Conf!$C$5/ATM_Conf!$C$8)*(BV164*EXP(-(1/DJ164)*(AH164/CP164)^DJ164)-BB163)+(ATM_Conf!$C$5/AH351)*BB163*(Nodes!BJ163-BB163)-(ATM_Conf!$C$5*ATM_Conf!$C$9)/(AH351*ATM_Conf!$C$8)*(AI163-AH163)/(AH163+ATM_Conf!$C$10)</f>
        <v>#DIV/0!</v>
      </c>
      <c r="BC164" s="43" t="e">
        <f>BC163+(ATM_Conf!$C$5/ATM_Conf!$C$8)*(BW164*EXP(-(1/DK164)*(AI164/CQ164)^DK164)-BC163)+(ATM_Conf!$C$5/AI351)*BC163*(BB163-BC163)-(ATM_Conf!$C$5*ATM_Conf!$C$9)/(AI351*ATM_Conf!$C$8)*(AJ163-AI163)/(AI163+ATM_Conf!$C$10)</f>
        <v>#DIV/0!</v>
      </c>
      <c r="BD164" s="43" t="e">
        <f>BD163+(ATM_Conf!$C$5/ATM_Conf!$C$8)*(BX164*EXP(-(1/DL164)*(AJ164/CR164)^DL164)-BD163)+(ATM_Conf!$C$5/AJ351)*BD163*(BC163-BD163)-(ATM_Conf!$C$5*ATM_Conf!$C$9)/(AJ351*ATM_Conf!$C$8)*(Nodes!BX163-AJ163)/(AJ163+ATM_Conf!$C$10)</f>
        <v>#DIV/0!</v>
      </c>
      <c r="BE164" s="43" t="e">
        <f>BE163+(ATM_Conf!$C$5/ATM_Conf!$C$8)*(BY164*EXP(-(1/DM164)*(AK164/CS164)^DM164)-BE163)+(ATM_Conf!$C$5/AK351)*BE163*(Nodes!BK163-BE163)-(ATM_Conf!$C$5*ATM_Conf!$C$9)/(AK351*ATM_Conf!$C$8)*(Nodes!BY163-AK163)/(AK163+ATM_Conf!$C$10)</f>
        <v>#DIV/0!</v>
      </c>
      <c r="BF164" s="43" t="e">
        <f>BF163+(ATM_Conf!$C$5/ATM_Conf!$C$8)*(BZ164*EXP(-(1/DN164)*(AL164/CT164)^DN164)-BF163)+(ATM_Conf!$C$5/AL351)*BF163*(BE163-BF163)-(ATM_Conf!$C$5*ATM_Conf!$C$9)/(AL351*ATM_Conf!$C$8)*(AM163-AL163)/(AL163+ATM_Conf!$C$10)</f>
        <v>#DIV/0!</v>
      </c>
      <c r="BG164" s="43" t="e">
        <f>BG163+(ATM_Conf!$C$5/ATM_Conf!$C$8)*(CA164*EXP(-(1/DO164)*(AM164/CU164)^DO164)-BG163)+(ATM_Conf!$C$5/AM351)*BG163*(Nodes!BM163-BG163)-(ATM_Conf!$C$5*ATM_Conf!$C$9)/(AM351*ATM_Conf!$C$8)*(Nodes!CA163-AM163)/(AM163+ATM_Conf!$C$10)</f>
        <v>#DIV/0!</v>
      </c>
      <c r="BH164" s="43" t="e">
        <f>BH163+(ATM_Conf!$C$5/ATM_Conf!$C$8)*(CB164*EXP(-(1/DP164)*(AN164/CV164)^DP164)-BH163)+(ATM_Conf!$C$5/AN351)*BH163*(BG163-BH163)-(ATM_Conf!$C$5*ATM_Conf!$C$9)/(AN351*ATM_Conf!$C$8)*(AO163-AN163)/(AN163+ATM_Conf!$C$10)</f>
        <v>#DIV/0!</v>
      </c>
      <c r="BI164" s="43" t="e">
        <f>BI163+(ATM_Conf!$C$5/ATM_Conf!$C$8)*(CC164*EXP(-(1/DQ164)*(AO164/CW164)^DQ164)-BI163)+(ATM_Conf!$C$5/AO351)*BI163*(BH163-BI163)</f>
        <v>#DIV/0!</v>
      </c>
      <c r="BJ164" s="53"/>
      <c r="BK164" s="53"/>
      <c r="BL164" s="53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/>
      <c r="BW164" s="53"/>
      <c r="BX164" s="53"/>
      <c r="BY164" s="53"/>
      <c r="BZ164" s="53"/>
      <c r="CA164" s="53"/>
      <c r="CB164" s="53"/>
      <c r="CC164" s="5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53"/>
      <c r="CY164" s="53"/>
      <c r="CZ164" s="53"/>
      <c r="DA164" s="53"/>
      <c r="DB164" s="53"/>
      <c r="DC164" s="53"/>
      <c r="DD164" s="53"/>
      <c r="DE164" s="53"/>
      <c r="DF164" s="53"/>
      <c r="DG164" s="53"/>
      <c r="DH164" s="53"/>
      <c r="DI164" s="53"/>
      <c r="DJ164" s="53"/>
      <c r="DK164" s="53"/>
      <c r="DL164" s="53"/>
      <c r="DM164" s="53"/>
      <c r="DN164" s="53"/>
      <c r="DO164" s="53"/>
      <c r="DP164" s="53"/>
      <c r="DQ164" s="53"/>
      <c r="DR164" s="43">
        <f t="shared" si="102"/>
        <v>0</v>
      </c>
      <c r="DS164" s="43">
        <f t="shared" si="101"/>
        <v>0</v>
      </c>
      <c r="DT164" s="43">
        <f t="shared" si="101"/>
        <v>0</v>
      </c>
      <c r="DU164" s="43">
        <f t="shared" si="101"/>
        <v>0</v>
      </c>
      <c r="DV164" s="43">
        <f t="shared" si="101"/>
        <v>0</v>
      </c>
      <c r="DW164" s="43">
        <f t="shared" si="101"/>
        <v>0</v>
      </c>
      <c r="DX164" s="43">
        <f t="shared" si="101"/>
        <v>0</v>
      </c>
      <c r="DY164" s="43">
        <f t="shared" si="101"/>
        <v>0</v>
      </c>
      <c r="DZ164" s="43">
        <f t="shared" si="101"/>
        <v>0</v>
      </c>
      <c r="EA164" s="43">
        <f t="shared" si="101"/>
        <v>0</v>
      </c>
      <c r="EB164" s="43">
        <f t="shared" si="101"/>
        <v>0</v>
      </c>
      <c r="EC164" s="43">
        <f t="shared" si="101"/>
        <v>0</v>
      </c>
      <c r="ED164" s="43">
        <f t="shared" si="101"/>
        <v>0</v>
      </c>
      <c r="EE164" s="43">
        <f t="shared" si="101"/>
        <v>0</v>
      </c>
      <c r="EF164" s="43">
        <f t="shared" si="101"/>
        <v>0</v>
      </c>
      <c r="EG164" s="43">
        <f t="shared" si="101"/>
        <v>0</v>
      </c>
      <c r="EH164" s="43">
        <f t="shared" si="101"/>
        <v>0</v>
      </c>
      <c r="EI164" s="43">
        <f t="shared" si="101"/>
        <v>0</v>
      </c>
      <c r="EJ164" s="43">
        <f t="shared" si="101"/>
        <v>0</v>
      </c>
      <c r="EK164" s="43">
        <f t="shared" si="101"/>
        <v>0</v>
      </c>
      <c r="EL164" s="47"/>
      <c r="EM164" s="47"/>
      <c r="EN164" s="47"/>
      <c r="EO164" s="47"/>
      <c r="EP164" s="47"/>
      <c r="EQ164" s="47"/>
      <c r="ER164" s="47"/>
      <c r="ES164" s="47"/>
      <c r="ET164" s="47"/>
      <c r="EU164" s="47"/>
      <c r="EV164" s="47"/>
      <c r="EW164" s="47"/>
      <c r="EX164" s="47"/>
      <c r="EY164" s="47"/>
      <c r="EZ164" s="47"/>
      <c r="FA164" s="47"/>
      <c r="FB164" s="47"/>
      <c r="FC164" s="47"/>
      <c r="FD164" s="47"/>
      <c r="FE164" s="47"/>
    </row>
    <row r="165" spans="1:161" ht="14.25" x14ac:dyDescent="0.15">
      <c r="A165" s="46"/>
      <c r="B165" s="43" t="e">
        <f t="shared" si="74"/>
        <v>#DIV/0!</v>
      </c>
      <c r="C165" s="43" t="e">
        <f t="shared" si="75"/>
        <v>#DIV/0!</v>
      </c>
      <c r="D165" s="43" t="e">
        <f t="shared" si="76"/>
        <v>#DIV/0!</v>
      </c>
      <c r="E165" s="43" t="e">
        <f t="shared" si="77"/>
        <v>#DIV/0!</v>
      </c>
      <c r="F165" s="43" t="e">
        <f t="shared" si="78"/>
        <v>#DIV/0!</v>
      </c>
      <c r="G165" s="43" t="e">
        <f t="shared" si="79"/>
        <v>#DIV/0!</v>
      </c>
      <c r="H165" s="43" t="e">
        <f t="shared" si="80"/>
        <v>#DIV/0!</v>
      </c>
      <c r="I165" s="43" t="e">
        <f t="shared" si="81"/>
        <v>#DIV/0!</v>
      </c>
      <c r="J165" s="43" t="e">
        <f t="shared" si="82"/>
        <v>#DIV/0!</v>
      </c>
      <c r="K165" s="43" t="e">
        <f t="shared" si="83"/>
        <v>#DIV/0!</v>
      </c>
      <c r="L165" s="43" t="e">
        <f t="shared" si="84"/>
        <v>#DIV/0!</v>
      </c>
      <c r="M165" s="43" t="e">
        <f t="shared" si="85"/>
        <v>#DIV/0!</v>
      </c>
      <c r="N165" s="43" t="e">
        <f t="shared" si="86"/>
        <v>#DIV/0!</v>
      </c>
      <c r="O165" s="43" t="e">
        <f t="shared" si="87"/>
        <v>#DIV/0!</v>
      </c>
      <c r="P165" s="43" t="e">
        <f t="shared" si="88"/>
        <v>#DIV/0!</v>
      </c>
      <c r="Q165" s="43" t="e">
        <f t="shared" si="89"/>
        <v>#DIV/0!</v>
      </c>
      <c r="R165" s="43" t="e">
        <f t="shared" si="90"/>
        <v>#DIV/0!</v>
      </c>
      <c r="S165" s="43" t="e">
        <f t="shared" si="91"/>
        <v>#DIV/0!</v>
      </c>
      <c r="T165" s="43" t="e">
        <f t="shared" si="92"/>
        <v>#DIV/0!</v>
      </c>
      <c r="U165" s="43" t="e">
        <f t="shared" si="93"/>
        <v>#DIV/0!</v>
      </c>
      <c r="V165" s="53" t="e">
        <f>V164+ATM_Conf!$C$5*(B164)/(B352*V352)</f>
        <v>#DIV/0!</v>
      </c>
      <c r="W165" s="53" t="e">
        <f>W164+ATM_Conf!$C$5*(C164-B164)/(C352*W352)</f>
        <v>#DIV/0!</v>
      </c>
      <c r="X165" s="53" t="e">
        <f>X164+ATM_Conf!$C$5*(D164-C164)/(D352*X352)</f>
        <v>#DIV/0!</v>
      </c>
      <c r="Y165" s="53" t="e">
        <f>Y164+ATM_Conf!$C$5*(E164-D164)/(E352*Y352)</f>
        <v>#DIV/0!</v>
      </c>
      <c r="Z165" s="53" t="e">
        <f>Z164+ATM_Conf!$C$5*(F164-E164)/(F352*Z352)</f>
        <v>#DIV/0!</v>
      </c>
      <c r="AA165" s="53" t="e">
        <f>AA164+ATM_Conf!$C$5*(G164-F164)/(G352*AA352)</f>
        <v>#DIV/0!</v>
      </c>
      <c r="AB165" s="53" t="e">
        <f>AB164+ATM_Conf!$C$5*(H164-G164)/(H352*AB352)</f>
        <v>#DIV/0!</v>
      </c>
      <c r="AC165" s="53" t="e">
        <f>AC164+ATM_Conf!$C$5*(I164-H164)/(I352*AC352)</f>
        <v>#DIV/0!</v>
      </c>
      <c r="AD165" s="53" t="e">
        <f>AD164+ATM_Conf!$C$5*(J164-I164)/(J352*AD352)</f>
        <v>#DIV/0!</v>
      </c>
      <c r="AE165" s="53" t="e">
        <f>AE164+ATM_Conf!$C$5*(K164-J164)/(K352*AE352)</f>
        <v>#DIV/0!</v>
      </c>
      <c r="AF165" s="53" t="e">
        <f>AF164+ATM_Conf!$C$5*(L164)/(L352*AF352)</f>
        <v>#DIV/0!</v>
      </c>
      <c r="AG165" s="53" t="e">
        <f>AG164+ATM_Conf!$C$5*(M164-L164)/(M352*AG352)</f>
        <v>#DIV/0!</v>
      </c>
      <c r="AH165" s="53" t="e">
        <f>AH164+ATM_Conf!$C$5*(N164-M164)/(N352*AH352)</f>
        <v>#DIV/0!</v>
      </c>
      <c r="AI165" s="53" t="e">
        <f>AI164+ATM_Conf!$C$5*(O164-N164)/(O352*AI352)</f>
        <v>#DIV/0!</v>
      </c>
      <c r="AJ165" s="53" t="e">
        <f>AJ164+ATM_Conf!$C$5*(P164-O164)/(P352*AJ352)</f>
        <v>#DIV/0!</v>
      </c>
      <c r="AK165" s="53" t="e">
        <f>AK164+ATM_Conf!$C$5*(Q164-P164)/(Q352*AK352)</f>
        <v>#DIV/0!</v>
      </c>
      <c r="AL165" s="53" t="e">
        <f>AL164+ATM_Conf!$C$5*(R164-Q164)/(R352*AL352)</f>
        <v>#DIV/0!</v>
      </c>
      <c r="AM165" s="53" t="e">
        <f>AM164+ATM_Conf!$C$5*(S164-R164)/(S352*AM352)</f>
        <v>#DIV/0!</v>
      </c>
      <c r="AN165" s="53" t="e">
        <f>AN164+ATM_Conf!$C$5*(T164-S164)/(T352*AN352)</f>
        <v>#DIV/0!</v>
      </c>
      <c r="AO165" s="53" t="e">
        <f>AO164+ATM_Conf!$C$5*(U164-T164)/(U352*AO352)</f>
        <v>#DIV/0!</v>
      </c>
      <c r="AP165" s="43" t="e">
        <f>AP164+(ATM_Conf!$C$5/ATM_Conf!$C$8)*(BJ165*EXP(-(1/CX165)*(V165/CD165)^CX165)-AP164)-(ATM_Conf!$C$5*ATM_Conf!$C$9)/(V352*ATM_Conf!$C$8)*(Nodes!BO164-V164)/(V164+ATM_Conf!$C$10)</f>
        <v>#DIV/0!</v>
      </c>
      <c r="AQ165" s="43" t="e">
        <f>AQ164+(ATM_Conf!$C$5/ATM_Conf!$C$8)*(BK165*EXP(-(1/CY165)*(W165/CE165)^CY165)-AQ164)+(ATM_Conf!$C$5/W352)*AQ164*(AP164-AQ164)-(ATM_Conf!$C$5*ATM_Conf!$C$9)/(W352*ATM_Conf!$C$8)*(X164-W164)/(W164+ATM_Conf!$C$10)</f>
        <v>#DIV/0!</v>
      </c>
      <c r="AR165" s="43" t="e">
        <f>AR164+(ATM_Conf!$C$5/ATM_Conf!$C$8)*(BL165*EXP(-(1/CZ165)*(X165/CF165)^CZ165)-AR164)+(ATM_Conf!$C$5/X352)*AR164*(Nodes!BC164-AR164)-(ATM_Conf!$C$5*ATM_Conf!$C$9)/(X352*ATM_Conf!$C$8)*(Nodes!BQ164-X164)/(X164+ATM_Conf!$C$10)</f>
        <v>#DIV/0!</v>
      </c>
      <c r="AS165" s="43" t="e">
        <f>AS164+(ATM_Conf!$C$5/ATM_Conf!$C$8)*(BM165*EXP(-(1/DA165)*(Y165/CG165)^DA165)-AS164)+(ATM_Conf!$C$5/Y352)*AS164*(AR164-AS164)-(ATM_Conf!$C$5*ATM_Conf!$C$9)/(Y352*ATM_Conf!$C$8)*(Z164-Y164)/(Y164+ATM_Conf!$C$10)</f>
        <v>#DIV/0!</v>
      </c>
      <c r="AT165" s="43" t="e">
        <f>AT164+(ATM_Conf!$C$5/ATM_Conf!$C$8)*(BN165*EXP(-(1/DB165)*(Z165/CH165)^DB165)-AT164)+(ATM_Conf!$C$5/Z352)*AT164*(Nodes!BE164-AT164)-(ATM_Conf!$C$5*ATM_Conf!$C$9)/(Z352*ATM_Conf!$C$8)*(Nodes!BS164-Z164)/(Z164+ATM_Conf!$C$10)</f>
        <v>#DIV/0!</v>
      </c>
      <c r="AU165" s="43" t="e">
        <f>AU164+(ATM_Conf!$C$5/ATM_Conf!$C$8)*(BO165*EXP(-(1/DC165)*(AA165/CI165)^DC165)-AU164)+(ATM_Conf!$C$5/AA352)*AU164*(Nodes!BF164-AU164)-(ATM_Conf!$C$5*ATM_Conf!$C$9)/(AA352*ATM_Conf!$C$8)*(Nodes!BV164-AA164)/(AA164+ATM_Conf!$C$10)</f>
        <v>#DIV/0!</v>
      </c>
      <c r="AV165" s="43" t="e">
        <f>AV164+(ATM_Conf!$C$5/ATM_Conf!$C$8)*(BP165*EXP(-(1/DD165)*(AB165/CJ165)^DD165)-AV164)+(ATM_Conf!$C$5/AB352)*AV164*(AU164-AV164)-(ATM_Conf!$C$5*ATM_Conf!$C$9)/(AB352*ATM_Conf!$C$8)*(AC164-AB164)/(AB164+ATM_Conf!$C$10)</f>
        <v>#DIV/0!</v>
      </c>
      <c r="AW165" s="43" t="e">
        <f>AW164+(ATM_Conf!$C$5/ATM_Conf!$C$8)*(BQ165*EXP(-(1/DE165)*(AC165/CK165)^DE165)-AW164)+(ATM_Conf!$C$5/AC352)*AW164*(AV164-AW164)-(ATM_Conf!$C$5*ATM_Conf!$C$9)/(AC352*ATM_Conf!$C$8)*(AD164-AC164)/(AC164+ATM_Conf!$C$10)</f>
        <v>#DIV/0!</v>
      </c>
      <c r="AX165" s="43" t="e">
        <f>AX164+(ATM_Conf!$C$5/ATM_Conf!$C$8)*(BR165*EXP(-(1/DF165)*(AD165/CL165)^DF165)-AX164)+(ATM_Conf!$C$5/AD352)*AX164*(Nodes!BG164-AX164)-(ATM_Conf!$C$5*ATM_Conf!$C$9)/(AD352*ATM_Conf!$C$8)*(Nodes!BU164-AD164)/(AD164+ATM_Conf!$C$10)</f>
        <v>#DIV/0!</v>
      </c>
      <c r="AY165" s="43" t="e">
        <f>AY164+(ATM_Conf!$C$5/ATM_Conf!$C$8)*(BS165*EXP(-(1/DG165)*(AE165/CM165)^DG165)-AY164)+(ATM_Conf!$C$5/AE352)*AY164*(Nodes!BF164-AY164)</f>
        <v>#DIV/0!</v>
      </c>
      <c r="AZ165" s="43" t="e">
        <f>AZ164+(ATM_Conf!$C$5/ATM_Conf!$C$8)*(BT165*EXP(-(1/DH165)*(AF165/CN165)^DH165)-AZ164)-(ATM_Conf!$C$5*ATM_Conf!$C$9)/(AF352*ATM_Conf!$C$8)*(Nodes!BV164-AF164)/(AF164+ATM_Conf!$C$10)</f>
        <v>#DIV/0!</v>
      </c>
      <c r="BA165" s="43" t="e">
        <f>BA164+(ATM_Conf!$C$5/ATM_Conf!$C$8)*(BU165*EXP(-(1/DI165)*(AG165/CO165)^DI165)-BA164)+(ATM_Conf!$C$5/AG352)*BA164*(Nodes!BI164-BA164)-(ATM_Conf!$C$5*ATM_Conf!$C$9)/(AG352*ATM_Conf!$C$8)*(Nodes!BW164-AG164)/(AG164+ATM_Conf!$C$10)</f>
        <v>#DIV/0!</v>
      </c>
      <c r="BB165" s="43" t="e">
        <f>BB164+(ATM_Conf!$C$5/ATM_Conf!$C$8)*(BV165*EXP(-(1/DJ165)*(AH165/CP165)^DJ165)-BB164)+(ATM_Conf!$C$5/AH352)*BB164*(Nodes!BJ164-BB164)-(ATM_Conf!$C$5*ATM_Conf!$C$9)/(AH352*ATM_Conf!$C$8)*(AI164-AH164)/(AH164+ATM_Conf!$C$10)</f>
        <v>#DIV/0!</v>
      </c>
      <c r="BC165" s="43" t="e">
        <f>BC164+(ATM_Conf!$C$5/ATM_Conf!$C$8)*(BW165*EXP(-(1/DK165)*(AI165/CQ165)^DK165)-BC164)+(ATM_Conf!$C$5/AI352)*BC164*(BB164-BC164)-(ATM_Conf!$C$5*ATM_Conf!$C$9)/(AI352*ATM_Conf!$C$8)*(AJ164-AI164)/(AI164+ATM_Conf!$C$10)</f>
        <v>#DIV/0!</v>
      </c>
      <c r="BD165" s="43" t="e">
        <f>BD164+(ATM_Conf!$C$5/ATM_Conf!$C$8)*(BX165*EXP(-(1/DL165)*(AJ165/CR165)^DL165)-BD164)+(ATM_Conf!$C$5/AJ352)*BD164*(BC164-BD164)-(ATM_Conf!$C$5*ATM_Conf!$C$9)/(AJ352*ATM_Conf!$C$8)*(Nodes!BX164-AJ164)/(AJ164+ATM_Conf!$C$10)</f>
        <v>#DIV/0!</v>
      </c>
      <c r="BE165" s="43" t="e">
        <f>BE164+(ATM_Conf!$C$5/ATM_Conf!$C$8)*(BY165*EXP(-(1/DM165)*(AK165/CS165)^DM165)-BE164)+(ATM_Conf!$C$5/AK352)*BE164*(Nodes!BK164-BE164)-(ATM_Conf!$C$5*ATM_Conf!$C$9)/(AK352*ATM_Conf!$C$8)*(Nodes!BY164-AK164)/(AK164+ATM_Conf!$C$10)</f>
        <v>#DIV/0!</v>
      </c>
      <c r="BF165" s="43" t="e">
        <f>BF164+(ATM_Conf!$C$5/ATM_Conf!$C$8)*(BZ165*EXP(-(1/DN165)*(AL165/CT165)^DN165)-BF164)+(ATM_Conf!$C$5/AL352)*BF164*(BE164-BF164)-(ATM_Conf!$C$5*ATM_Conf!$C$9)/(AL352*ATM_Conf!$C$8)*(AM164-AL164)/(AL164+ATM_Conf!$C$10)</f>
        <v>#DIV/0!</v>
      </c>
      <c r="BG165" s="43" t="e">
        <f>BG164+(ATM_Conf!$C$5/ATM_Conf!$C$8)*(CA165*EXP(-(1/DO165)*(AM165/CU165)^DO165)-BG164)+(ATM_Conf!$C$5/AM352)*BG164*(Nodes!BM164-BG164)-(ATM_Conf!$C$5*ATM_Conf!$C$9)/(AM352*ATM_Conf!$C$8)*(Nodes!CA164-AM164)/(AM164+ATM_Conf!$C$10)</f>
        <v>#DIV/0!</v>
      </c>
      <c r="BH165" s="43" t="e">
        <f>BH164+(ATM_Conf!$C$5/ATM_Conf!$C$8)*(CB165*EXP(-(1/DP165)*(AN165/CV165)^DP165)-BH164)+(ATM_Conf!$C$5/AN352)*BH164*(BG164-BH164)-(ATM_Conf!$C$5*ATM_Conf!$C$9)/(AN352*ATM_Conf!$C$8)*(AO164-AN164)/(AN164+ATM_Conf!$C$10)</f>
        <v>#DIV/0!</v>
      </c>
      <c r="BI165" s="43" t="e">
        <f>BI164+(ATM_Conf!$C$5/ATM_Conf!$C$8)*(CC165*EXP(-(1/DQ165)*(AO165/CW165)^DQ165)-BI164)+(ATM_Conf!$C$5/AO352)*BI164*(BH164-BI164)</f>
        <v>#DIV/0!</v>
      </c>
      <c r="BJ165" s="53"/>
      <c r="BK165" s="53"/>
      <c r="BL165" s="53"/>
      <c r="BM165" s="53"/>
      <c r="BN165" s="53"/>
      <c r="BO165" s="53"/>
      <c r="BP165" s="53"/>
      <c r="BQ165" s="53"/>
      <c r="BR165" s="53"/>
      <c r="BS165" s="53"/>
      <c r="BT165" s="53"/>
      <c r="BU165" s="53"/>
      <c r="BV165" s="53"/>
      <c r="BW165" s="53"/>
      <c r="BX165" s="53"/>
      <c r="BY165" s="53"/>
      <c r="BZ165" s="53"/>
      <c r="CA165" s="53"/>
      <c r="CB165" s="53"/>
      <c r="CC165" s="5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53"/>
      <c r="CY165" s="53"/>
      <c r="CZ165" s="53"/>
      <c r="DA165" s="53"/>
      <c r="DB165" s="53"/>
      <c r="DC165" s="53"/>
      <c r="DD165" s="53"/>
      <c r="DE165" s="53"/>
      <c r="DF165" s="53"/>
      <c r="DG165" s="53"/>
      <c r="DH165" s="53"/>
      <c r="DI165" s="53"/>
      <c r="DJ165" s="53"/>
      <c r="DK165" s="53"/>
      <c r="DL165" s="53"/>
      <c r="DM165" s="53"/>
      <c r="DN165" s="53"/>
      <c r="DO165" s="53"/>
      <c r="DP165" s="53"/>
      <c r="DQ165" s="53"/>
      <c r="DR165" s="43">
        <f t="shared" si="102"/>
        <v>0</v>
      </c>
      <c r="DS165" s="43">
        <f t="shared" si="101"/>
        <v>0</v>
      </c>
      <c r="DT165" s="43">
        <f t="shared" si="101"/>
        <v>0</v>
      </c>
      <c r="DU165" s="43">
        <f t="shared" si="101"/>
        <v>0</v>
      </c>
      <c r="DV165" s="43">
        <f t="shared" si="101"/>
        <v>0</v>
      </c>
      <c r="DW165" s="43">
        <f t="shared" si="101"/>
        <v>0</v>
      </c>
      <c r="DX165" s="43">
        <f t="shared" si="101"/>
        <v>0</v>
      </c>
      <c r="DY165" s="43">
        <f t="shared" si="101"/>
        <v>0</v>
      </c>
      <c r="DZ165" s="43">
        <f t="shared" si="101"/>
        <v>0</v>
      </c>
      <c r="EA165" s="43">
        <f t="shared" si="101"/>
        <v>0</v>
      </c>
      <c r="EB165" s="43">
        <f t="shared" si="101"/>
        <v>0</v>
      </c>
      <c r="EC165" s="43">
        <f t="shared" si="101"/>
        <v>0</v>
      </c>
      <c r="ED165" s="43">
        <f t="shared" si="101"/>
        <v>0</v>
      </c>
      <c r="EE165" s="43">
        <f t="shared" si="101"/>
        <v>0</v>
      </c>
      <c r="EF165" s="43">
        <f t="shared" si="101"/>
        <v>0</v>
      </c>
      <c r="EG165" s="43">
        <f t="shared" si="101"/>
        <v>0</v>
      </c>
      <c r="EH165" s="43">
        <f t="shared" si="101"/>
        <v>0</v>
      </c>
      <c r="EI165" s="43">
        <f t="shared" si="101"/>
        <v>0</v>
      </c>
      <c r="EJ165" s="43">
        <f t="shared" si="101"/>
        <v>0</v>
      </c>
      <c r="EK165" s="43">
        <f t="shared" si="101"/>
        <v>0</v>
      </c>
      <c r="EL165" s="47"/>
      <c r="EM165" s="47"/>
      <c r="EN165" s="47"/>
      <c r="EO165" s="47"/>
      <c r="EP165" s="47"/>
      <c r="EQ165" s="47"/>
      <c r="ER165" s="47"/>
      <c r="ES165" s="47"/>
      <c r="ET165" s="47"/>
      <c r="EU165" s="47"/>
      <c r="EV165" s="47"/>
      <c r="EW165" s="47"/>
      <c r="EX165" s="47"/>
      <c r="EY165" s="47"/>
      <c r="EZ165" s="47"/>
      <c r="FA165" s="47"/>
      <c r="FB165" s="47"/>
      <c r="FC165" s="47"/>
      <c r="FD165" s="47"/>
      <c r="FE165" s="47"/>
    </row>
    <row r="166" spans="1:161" ht="14.25" x14ac:dyDescent="0.15">
      <c r="A166" s="46"/>
      <c r="B166" s="43" t="e">
        <f t="shared" si="74"/>
        <v>#DIV/0!</v>
      </c>
      <c r="C166" s="43" t="e">
        <f t="shared" si="75"/>
        <v>#DIV/0!</v>
      </c>
      <c r="D166" s="43" t="e">
        <f t="shared" si="76"/>
        <v>#DIV/0!</v>
      </c>
      <c r="E166" s="43" t="e">
        <f t="shared" si="77"/>
        <v>#DIV/0!</v>
      </c>
      <c r="F166" s="43" t="e">
        <f t="shared" si="78"/>
        <v>#DIV/0!</v>
      </c>
      <c r="G166" s="43" t="e">
        <f t="shared" si="79"/>
        <v>#DIV/0!</v>
      </c>
      <c r="H166" s="43" t="e">
        <f t="shared" si="80"/>
        <v>#DIV/0!</v>
      </c>
      <c r="I166" s="43" t="e">
        <f t="shared" si="81"/>
        <v>#DIV/0!</v>
      </c>
      <c r="J166" s="43" t="e">
        <f t="shared" si="82"/>
        <v>#DIV/0!</v>
      </c>
      <c r="K166" s="43" t="e">
        <f t="shared" si="83"/>
        <v>#DIV/0!</v>
      </c>
      <c r="L166" s="43" t="e">
        <f t="shared" si="84"/>
        <v>#DIV/0!</v>
      </c>
      <c r="M166" s="43" t="e">
        <f t="shared" si="85"/>
        <v>#DIV/0!</v>
      </c>
      <c r="N166" s="43" t="e">
        <f t="shared" si="86"/>
        <v>#DIV/0!</v>
      </c>
      <c r="O166" s="43" t="e">
        <f t="shared" si="87"/>
        <v>#DIV/0!</v>
      </c>
      <c r="P166" s="43" t="e">
        <f t="shared" si="88"/>
        <v>#DIV/0!</v>
      </c>
      <c r="Q166" s="43" t="e">
        <f t="shared" si="89"/>
        <v>#DIV/0!</v>
      </c>
      <c r="R166" s="43" t="e">
        <f t="shared" si="90"/>
        <v>#DIV/0!</v>
      </c>
      <c r="S166" s="43" t="e">
        <f t="shared" si="91"/>
        <v>#DIV/0!</v>
      </c>
      <c r="T166" s="43" t="e">
        <f t="shared" si="92"/>
        <v>#DIV/0!</v>
      </c>
      <c r="U166" s="43" t="e">
        <f t="shared" si="93"/>
        <v>#DIV/0!</v>
      </c>
      <c r="V166" s="53" t="e">
        <f>V165+ATM_Conf!$C$5*(B165)/(B353*V353)</f>
        <v>#DIV/0!</v>
      </c>
      <c r="W166" s="53" t="e">
        <f>W165+ATM_Conf!$C$5*(C165-B165)/(C353*W353)</f>
        <v>#DIV/0!</v>
      </c>
      <c r="X166" s="53" t="e">
        <f>X165+ATM_Conf!$C$5*(D165-C165)/(D353*X353)</f>
        <v>#DIV/0!</v>
      </c>
      <c r="Y166" s="53" t="e">
        <f>Y165+ATM_Conf!$C$5*(E165-D165)/(E353*Y353)</f>
        <v>#DIV/0!</v>
      </c>
      <c r="Z166" s="53" t="e">
        <f>Z165+ATM_Conf!$C$5*(F165-E165)/(F353*Z353)</f>
        <v>#DIV/0!</v>
      </c>
      <c r="AA166" s="53" t="e">
        <f>AA165+ATM_Conf!$C$5*(G165-F165)/(G353*AA353)</f>
        <v>#DIV/0!</v>
      </c>
      <c r="AB166" s="53" t="e">
        <f>AB165+ATM_Conf!$C$5*(H165-G165)/(H353*AB353)</f>
        <v>#DIV/0!</v>
      </c>
      <c r="AC166" s="53" t="e">
        <f>AC165+ATM_Conf!$C$5*(I165-H165)/(I353*AC353)</f>
        <v>#DIV/0!</v>
      </c>
      <c r="AD166" s="53" t="e">
        <f>AD165+ATM_Conf!$C$5*(J165-I165)/(J353*AD353)</f>
        <v>#DIV/0!</v>
      </c>
      <c r="AE166" s="53" t="e">
        <f>AE165+ATM_Conf!$C$5*(K165-J165)/(K353*AE353)</f>
        <v>#DIV/0!</v>
      </c>
      <c r="AF166" s="53" t="e">
        <f>AF165+ATM_Conf!$C$5*(L165)/(L353*AF353)</f>
        <v>#DIV/0!</v>
      </c>
      <c r="AG166" s="53" t="e">
        <f>AG165+ATM_Conf!$C$5*(M165-L165)/(M353*AG353)</f>
        <v>#DIV/0!</v>
      </c>
      <c r="AH166" s="53" t="e">
        <f>AH165+ATM_Conf!$C$5*(N165-M165)/(N353*AH353)</f>
        <v>#DIV/0!</v>
      </c>
      <c r="AI166" s="53" t="e">
        <f>AI165+ATM_Conf!$C$5*(O165-N165)/(O353*AI353)</f>
        <v>#DIV/0!</v>
      </c>
      <c r="AJ166" s="53" t="e">
        <f>AJ165+ATM_Conf!$C$5*(P165-O165)/(P353*AJ353)</f>
        <v>#DIV/0!</v>
      </c>
      <c r="AK166" s="53" t="e">
        <f>AK165+ATM_Conf!$C$5*(Q165-P165)/(Q353*AK353)</f>
        <v>#DIV/0!</v>
      </c>
      <c r="AL166" s="53" t="e">
        <f>AL165+ATM_Conf!$C$5*(R165-Q165)/(R353*AL353)</f>
        <v>#DIV/0!</v>
      </c>
      <c r="AM166" s="53" t="e">
        <f>AM165+ATM_Conf!$C$5*(S165-R165)/(S353*AM353)</f>
        <v>#DIV/0!</v>
      </c>
      <c r="AN166" s="53" t="e">
        <f>AN165+ATM_Conf!$C$5*(T165-S165)/(T353*AN353)</f>
        <v>#DIV/0!</v>
      </c>
      <c r="AO166" s="53" t="e">
        <f>AO165+ATM_Conf!$C$5*(U165-T165)/(U353*AO353)</f>
        <v>#DIV/0!</v>
      </c>
      <c r="AP166" s="43" t="e">
        <f>AP165+(ATM_Conf!$C$5/ATM_Conf!$C$8)*(BJ166*EXP(-(1/CX166)*(V166/CD166)^CX166)-AP165)-(ATM_Conf!$C$5*ATM_Conf!$C$9)/(V353*ATM_Conf!$C$8)*(Nodes!BO165-V165)/(V165+ATM_Conf!$C$10)</f>
        <v>#DIV/0!</v>
      </c>
      <c r="AQ166" s="43" t="e">
        <f>AQ165+(ATM_Conf!$C$5/ATM_Conf!$C$8)*(BK166*EXP(-(1/CY166)*(W166/CE166)^CY166)-AQ165)+(ATM_Conf!$C$5/W353)*AQ165*(AP165-AQ165)-(ATM_Conf!$C$5*ATM_Conf!$C$9)/(W353*ATM_Conf!$C$8)*(X165-W165)/(W165+ATM_Conf!$C$10)</f>
        <v>#DIV/0!</v>
      </c>
      <c r="AR166" s="43" t="e">
        <f>AR165+(ATM_Conf!$C$5/ATM_Conf!$C$8)*(BL166*EXP(-(1/CZ166)*(X166/CF166)^CZ166)-AR165)+(ATM_Conf!$C$5/X353)*AR165*(Nodes!BC165-AR165)-(ATM_Conf!$C$5*ATM_Conf!$C$9)/(X353*ATM_Conf!$C$8)*(Nodes!BQ165-X165)/(X165+ATM_Conf!$C$10)</f>
        <v>#DIV/0!</v>
      </c>
      <c r="AS166" s="43" t="e">
        <f>AS165+(ATM_Conf!$C$5/ATM_Conf!$C$8)*(BM166*EXP(-(1/DA166)*(Y166/CG166)^DA166)-AS165)+(ATM_Conf!$C$5/Y353)*AS165*(AR165-AS165)-(ATM_Conf!$C$5*ATM_Conf!$C$9)/(Y353*ATM_Conf!$C$8)*(Z165-Y165)/(Y165+ATM_Conf!$C$10)</f>
        <v>#DIV/0!</v>
      </c>
      <c r="AT166" s="43" t="e">
        <f>AT165+(ATM_Conf!$C$5/ATM_Conf!$C$8)*(BN166*EXP(-(1/DB166)*(Z166/CH166)^DB166)-AT165)+(ATM_Conf!$C$5/Z353)*AT165*(Nodes!BE165-AT165)-(ATM_Conf!$C$5*ATM_Conf!$C$9)/(Z353*ATM_Conf!$C$8)*(Nodes!BS165-Z165)/(Z165+ATM_Conf!$C$10)</f>
        <v>#DIV/0!</v>
      </c>
      <c r="AU166" s="43" t="e">
        <f>AU165+(ATM_Conf!$C$5/ATM_Conf!$C$8)*(BO166*EXP(-(1/DC166)*(AA166/CI166)^DC166)-AU165)+(ATM_Conf!$C$5/AA353)*AU165*(Nodes!BF165-AU165)-(ATM_Conf!$C$5*ATM_Conf!$C$9)/(AA353*ATM_Conf!$C$8)*(Nodes!BV165-AA165)/(AA165+ATM_Conf!$C$10)</f>
        <v>#DIV/0!</v>
      </c>
      <c r="AV166" s="43" t="e">
        <f>AV165+(ATM_Conf!$C$5/ATM_Conf!$C$8)*(BP166*EXP(-(1/DD166)*(AB166/CJ166)^DD166)-AV165)+(ATM_Conf!$C$5/AB353)*AV165*(AU165-AV165)-(ATM_Conf!$C$5*ATM_Conf!$C$9)/(AB353*ATM_Conf!$C$8)*(AC165-AB165)/(AB165+ATM_Conf!$C$10)</f>
        <v>#DIV/0!</v>
      </c>
      <c r="AW166" s="43" t="e">
        <f>AW165+(ATM_Conf!$C$5/ATM_Conf!$C$8)*(BQ166*EXP(-(1/DE166)*(AC166/CK166)^DE166)-AW165)+(ATM_Conf!$C$5/AC353)*AW165*(AV165-AW165)-(ATM_Conf!$C$5*ATM_Conf!$C$9)/(AC353*ATM_Conf!$C$8)*(AD165-AC165)/(AC165+ATM_Conf!$C$10)</f>
        <v>#DIV/0!</v>
      </c>
      <c r="AX166" s="43" t="e">
        <f>AX165+(ATM_Conf!$C$5/ATM_Conf!$C$8)*(BR166*EXP(-(1/DF166)*(AD166/CL166)^DF166)-AX165)+(ATM_Conf!$C$5/AD353)*AX165*(Nodes!BG165-AX165)-(ATM_Conf!$C$5*ATM_Conf!$C$9)/(AD353*ATM_Conf!$C$8)*(Nodes!BU165-AD165)/(AD165+ATM_Conf!$C$10)</f>
        <v>#DIV/0!</v>
      </c>
      <c r="AY166" s="43" t="e">
        <f>AY165+(ATM_Conf!$C$5/ATM_Conf!$C$8)*(BS166*EXP(-(1/DG166)*(AE166/CM166)^DG166)-AY165)+(ATM_Conf!$C$5/AE353)*AY165*(Nodes!BF165-AY165)</f>
        <v>#DIV/0!</v>
      </c>
      <c r="AZ166" s="43" t="e">
        <f>AZ165+(ATM_Conf!$C$5/ATM_Conf!$C$8)*(BT166*EXP(-(1/DH166)*(AF166/CN166)^DH166)-AZ165)-(ATM_Conf!$C$5*ATM_Conf!$C$9)/(AF353*ATM_Conf!$C$8)*(Nodes!BV165-AF165)/(AF165+ATM_Conf!$C$10)</f>
        <v>#DIV/0!</v>
      </c>
      <c r="BA166" s="43" t="e">
        <f>BA165+(ATM_Conf!$C$5/ATM_Conf!$C$8)*(BU166*EXP(-(1/DI166)*(AG166/CO166)^DI166)-BA165)+(ATM_Conf!$C$5/AG353)*BA165*(Nodes!BI165-BA165)-(ATM_Conf!$C$5*ATM_Conf!$C$9)/(AG353*ATM_Conf!$C$8)*(Nodes!BW165-AG165)/(AG165+ATM_Conf!$C$10)</f>
        <v>#DIV/0!</v>
      </c>
      <c r="BB166" s="43" t="e">
        <f>BB165+(ATM_Conf!$C$5/ATM_Conf!$C$8)*(BV166*EXP(-(1/DJ166)*(AH166/CP166)^DJ166)-BB165)+(ATM_Conf!$C$5/AH353)*BB165*(Nodes!BJ165-BB165)-(ATM_Conf!$C$5*ATM_Conf!$C$9)/(AH353*ATM_Conf!$C$8)*(AI165-AH165)/(AH165+ATM_Conf!$C$10)</f>
        <v>#DIV/0!</v>
      </c>
      <c r="BC166" s="43" t="e">
        <f>BC165+(ATM_Conf!$C$5/ATM_Conf!$C$8)*(BW166*EXP(-(1/DK166)*(AI166/CQ166)^DK166)-BC165)+(ATM_Conf!$C$5/AI353)*BC165*(BB165-BC165)-(ATM_Conf!$C$5*ATM_Conf!$C$9)/(AI353*ATM_Conf!$C$8)*(AJ165-AI165)/(AI165+ATM_Conf!$C$10)</f>
        <v>#DIV/0!</v>
      </c>
      <c r="BD166" s="43" t="e">
        <f>BD165+(ATM_Conf!$C$5/ATM_Conf!$C$8)*(BX166*EXP(-(1/DL166)*(AJ166/CR166)^DL166)-BD165)+(ATM_Conf!$C$5/AJ353)*BD165*(BC165-BD165)-(ATM_Conf!$C$5*ATM_Conf!$C$9)/(AJ353*ATM_Conf!$C$8)*(Nodes!BX165-AJ165)/(AJ165+ATM_Conf!$C$10)</f>
        <v>#DIV/0!</v>
      </c>
      <c r="BE166" s="43" t="e">
        <f>BE165+(ATM_Conf!$C$5/ATM_Conf!$C$8)*(BY166*EXP(-(1/DM166)*(AK166/CS166)^DM166)-BE165)+(ATM_Conf!$C$5/AK353)*BE165*(Nodes!BK165-BE165)-(ATM_Conf!$C$5*ATM_Conf!$C$9)/(AK353*ATM_Conf!$C$8)*(Nodes!BY165-AK165)/(AK165+ATM_Conf!$C$10)</f>
        <v>#DIV/0!</v>
      </c>
      <c r="BF166" s="43" t="e">
        <f>BF165+(ATM_Conf!$C$5/ATM_Conf!$C$8)*(BZ166*EXP(-(1/DN166)*(AL166/CT166)^DN166)-BF165)+(ATM_Conf!$C$5/AL353)*BF165*(BE165-BF165)-(ATM_Conf!$C$5*ATM_Conf!$C$9)/(AL353*ATM_Conf!$C$8)*(AM165-AL165)/(AL165+ATM_Conf!$C$10)</f>
        <v>#DIV/0!</v>
      </c>
      <c r="BG166" s="43" t="e">
        <f>BG165+(ATM_Conf!$C$5/ATM_Conf!$C$8)*(CA166*EXP(-(1/DO166)*(AM166/CU166)^DO166)-BG165)+(ATM_Conf!$C$5/AM353)*BG165*(Nodes!BM165-BG165)-(ATM_Conf!$C$5*ATM_Conf!$C$9)/(AM353*ATM_Conf!$C$8)*(Nodes!CA165-AM165)/(AM165+ATM_Conf!$C$10)</f>
        <v>#DIV/0!</v>
      </c>
      <c r="BH166" s="43" t="e">
        <f>BH165+(ATM_Conf!$C$5/ATM_Conf!$C$8)*(CB166*EXP(-(1/DP166)*(AN166/CV166)^DP166)-BH165)+(ATM_Conf!$C$5/AN353)*BH165*(BG165-BH165)-(ATM_Conf!$C$5*ATM_Conf!$C$9)/(AN353*ATM_Conf!$C$8)*(AO165-AN165)/(AN165+ATM_Conf!$C$10)</f>
        <v>#DIV/0!</v>
      </c>
      <c r="BI166" s="43" t="e">
        <f>BI165+(ATM_Conf!$C$5/ATM_Conf!$C$8)*(CC166*EXP(-(1/DQ166)*(AO166/CW166)^DQ166)-BI165)+(ATM_Conf!$C$5/AO353)*BI165*(BH165-BI165)</f>
        <v>#DIV/0!</v>
      </c>
      <c r="BJ166" s="53"/>
      <c r="BK166" s="53"/>
      <c r="BL166" s="53"/>
      <c r="BM166" s="53"/>
      <c r="BN166" s="53"/>
      <c r="BO166" s="53"/>
      <c r="BP166" s="53"/>
      <c r="BQ166" s="53"/>
      <c r="BR166" s="53"/>
      <c r="BS166" s="53"/>
      <c r="BT166" s="53"/>
      <c r="BU166" s="53"/>
      <c r="BV166" s="53"/>
      <c r="BW166" s="53"/>
      <c r="BX166" s="53"/>
      <c r="BY166" s="53"/>
      <c r="BZ166" s="53"/>
      <c r="CA166" s="53"/>
      <c r="CB166" s="53"/>
      <c r="CC166" s="5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53"/>
      <c r="CY166" s="53"/>
      <c r="CZ166" s="53"/>
      <c r="DA166" s="53"/>
      <c r="DB166" s="53"/>
      <c r="DC166" s="53"/>
      <c r="DD166" s="53"/>
      <c r="DE166" s="53"/>
      <c r="DF166" s="53"/>
      <c r="DG166" s="53"/>
      <c r="DH166" s="53"/>
      <c r="DI166" s="53"/>
      <c r="DJ166" s="53"/>
      <c r="DK166" s="53"/>
      <c r="DL166" s="53"/>
      <c r="DM166" s="53"/>
      <c r="DN166" s="53"/>
      <c r="DO166" s="53"/>
      <c r="DP166" s="53"/>
      <c r="DQ166" s="53"/>
      <c r="DR166" s="43">
        <f t="shared" si="102"/>
        <v>0</v>
      </c>
      <c r="DS166" s="43">
        <f t="shared" si="101"/>
        <v>0</v>
      </c>
      <c r="DT166" s="43">
        <f t="shared" si="101"/>
        <v>0</v>
      </c>
      <c r="DU166" s="43">
        <f t="shared" si="101"/>
        <v>0</v>
      </c>
      <c r="DV166" s="43">
        <f t="shared" si="101"/>
        <v>0</v>
      </c>
      <c r="DW166" s="43">
        <f t="shared" si="101"/>
        <v>0</v>
      </c>
      <c r="DX166" s="43">
        <f t="shared" si="101"/>
        <v>0</v>
      </c>
      <c r="DY166" s="43">
        <f t="shared" si="101"/>
        <v>0</v>
      </c>
      <c r="DZ166" s="43">
        <f t="shared" si="101"/>
        <v>0</v>
      </c>
      <c r="EA166" s="43">
        <f t="shared" si="101"/>
        <v>0</v>
      </c>
      <c r="EB166" s="43">
        <f t="shared" si="101"/>
        <v>0</v>
      </c>
      <c r="EC166" s="43">
        <f t="shared" si="101"/>
        <v>0</v>
      </c>
      <c r="ED166" s="43">
        <f t="shared" si="101"/>
        <v>0</v>
      </c>
      <c r="EE166" s="43">
        <f t="shared" si="101"/>
        <v>0</v>
      </c>
      <c r="EF166" s="43">
        <f t="shared" si="101"/>
        <v>0</v>
      </c>
      <c r="EG166" s="43">
        <f t="shared" si="101"/>
        <v>0</v>
      </c>
      <c r="EH166" s="43">
        <f t="shared" si="101"/>
        <v>0</v>
      </c>
      <c r="EI166" s="43">
        <f t="shared" si="101"/>
        <v>0</v>
      </c>
      <c r="EJ166" s="43">
        <f t="shared" si="101"/>
        <v>0</v>
      </c>
      <c r="EK166" s="43">
        <f t="shared" si="101"/>
        <v>0</v>
      </c>
      <c r="EL166" s="47"/>
      <c r="EM166" s="47"/>
      <c r="EN166" s="47"/>
      <c r="EO166" s="47"/>
      <c r="EP166" s="47"/>
      <c r="EQ166" s="47"/>
      <c r="ER166" s="47"/>
      <c r="ES166" s="47"/>
      <c r="ET166" s="47"/>
      <c r="EU166" s="47"/>
      <c r="EV166" s="47"/>
      <c r="EW166" s="47"/>
      <c r="EX166" s="47"/>
      <c r="EY166" s="47"/>
      <c r="EZ166" s="47"/>
      <c r="FA166" s="47"/>
      <c r="FB166" s="47"/>
      <c r="FC166" s="47"/>
      <c r="FD166" s="47"/>
      <c r="FE166" s="47"/>
    </row>
    <row r="167" spans="1:161" ht="14.25" x14ac:dyDescent="0.15">
      <c r="A167" s="46"/>
      <c r="B167" s="43" t="e">
        <f t="shared" si="74"/>
        <v>#DIV/0!</v>
      </c>
      <c r="C167" s="43" t="e">
        <f t="shared" si="75"/>
        <v>#DIV/0!</v>
      </c>
      <c r="D167" s="43" t="e">
        <f t="shared" si="76"/>
        <v>#DIV/0!</v>
      </c>
      <c r="E167" s="43" t="e">
        <f t="shared" si="77"/>
        <v>#DIV/0!</v>
      </c>
      <c r="F167" s="43" t="e">
        <f t="shared" si="78"/>
        <v>#DIV/0!</v>
      </c>
      <c r="G167" s="43" t="e">
        <f t="shared" si="79"/>
        <v>#DIV/0!</v>
      </c>
      <c r="H167" s="43" t="e">
        <f t="shared" si="80"/>
        <v>#DIV/0!</v>
      </c>
      <c r="I167" s="43" t="e">
        <f t="shared" si="81"/>
        <v>#DIV/0!</v>
      </c>
      <c r="J167" s="43" t="e">
        <f t="shared" si="82"/>
        <v>#DIV/0!</v>
      </c>
      <c r="K167" s="43" t="e">
        <f t="shared" si="83"/>
        <v>#DIV/0!</v>
      </c>
      <c r="L167" s="43" t="e">
        <f t="shared" si="84"/>
        <v>#DIV/0!</v>
      </c>
      <c r="M167" s="43" t="e">
        <f t="shared" si="85"/>
        <v>#DIV/0!</v>
      </c>
      <c r="N167" s="43" t="e">
        <f t="shared" si="86"/>
        <v>#DIV/0!</v>
      </c>
      <c r="O167" s="43" t="e">
        <f t="shared" si="87"/>
        <v>#DIV/0!</v>
      </c>
      <c r="P167" s="43" t="e">
        <f t="shared" si="88"/>
        <v>#DIV/0!</v>
      </c>
      <c r="Q167" s="43" t="e">
        <f t="shared" si="89"/>
        <v>#DIV/0!</v>
      </c>
      <c r="R167" s="43" t="e">
        <f t="shared" si="90"/>
        <v>#DIV/0!</v>
      </c>
      <c r="S167" s="43" t="e">
        <f t="shared" si="91"/>
        <v>#DIV/0!</v>
      </c>
      <c r="T167" s="43" t="e">
        <f t="shared" si="92"/>
        <v>#DIV/0!</v>
      </c>
      <c r="U167" s="43" t="e">
        <f t="shared" si="93"/>
        <v>#DIV/0!</v>
      </c>
      <c r="V167" s="53" t="e">
        <f>V166+ATM_Conf!$C$5*(B166)/(B354*V354)</f>
        <v>#DIV/0!</v>
      </c>
      <c r="W167" s="53" t="e">
        <f>W166+ATM_Conf!$C$5*(C166-B166)/(C354*W354)</f>
        <v>#DIV/0!</v>
      </c>
      <c r="X167" s="53" t="e">
        <f>X166+ATM_Conf!$C$5*(D166-C166)/(D354*X354)</f>
        <v>#DIV/0!</v>
      </c>
      <c r="Y167" s="53" t="e">
        <f>Y166+ATM_Conf!$C$5*(E166-D166)/(E354*Y354)</f>
        <v>#DIV/0!</v>
      </c>
      <c r="Z167" s="53" t="e">
        <f>Z166+ATM_Conf!$C$5*(F166-E166)/(F354*Z354)</f>
        <v>#DIV/0!</v>
      </c>
      <c r="AA167" s="53" t="e">
        <f>AA166+ATM_Conf!$C$5*(G166-F166)/(G354*AA354)</f>
        <v>#DIV/0!</v>
      </c>
      <c r="AB167" s="53" t="e">
        <f>AB166+ATM_Conf!$C$5*(H166-G166)/(H354*AB354)</f>
        <v>#DIV/0!</v>
      </c>
      <c r="AC167" s="53" t="e">
        <f>AC166+ATM_Conf!$C$5*(I166-H166)/(I354*AC354)</f>
        <v>#DIV/0!</v>
      </c>
      <c r="AD167" s="53" t="e">
        <f>AD166+ATM_Conf!$C$5*(J166-I166)/(J354*AD354)</f>
        <v>#DIV/0!</v>
      </c>
      <c r="AE167" s="53" t="e">
        <f>AE166+ATM_Conf!$C$5*(K166-J166)/(K354*AE354)</f>
        <v>#DIV/0!</v>
      </c>
      <c r="AF167" s="53" t="e">
        <f>AF166+ATM_Conf!$C$5*(L166)/(L354*AF354)</f>
        <v>#DIV/0!</v>
      </c>
      <c r="AG167" s="53" t="e">
        <f>AG166+ATM_Conf!$C$5*(M166-L166)/(M354*AG354)</f>
        <v>#DIV/0!</v>
      </c>
      <c r="AH167" s="53" t="e">
        <f>AH166+ATM_Conf!$C$5*(N166-M166)/(N354*AH354)</f>
        <v>#DIV/0!</v>
      </c>
      <c r="AI167" s="53" t="e">
        <f>AI166+ATM_Conf!$C$5*(O166-N166)/(O354*AI354)</f>
        <v>#DIV/0!</v>
      </c>
      <c r="AJ167" s="53" t="e">
        <f>AJ166+ATM_Conf!$C$5*(P166-O166)/(P354*AJ354)</f>
        <v>#DIV/0!</v>
      </c>
      <c r="AK167" s="53" t="e">
        <f>AK166+ATM_Conf!$C$5*(Q166-P166)/(Q354*AK354)</f>
        <v>#DIV/0!</v>
      </c>
      <c r="AL167" s="53" t="e">
        <f>AL166+ATM_Conf!$C$5*(R166-Q166)/(R354*AL354)</f>
        <v>#DIV/0!</v>
      </c>
      <c r="AM167" s="53" t="e">
        <f>AM166+ATM_Conf!$C$5*(S166-R166)/(S354*AM354)</f>
        <v>#DIV/0!</v>
      </c>
      <c r="AN167" s="53" t="e">
        <f>AN166+ATM_Conf!$C$5*(T166-S166)/(T354*AN354)</f>
        <v>#DIV/0!</v>
      </c>
      <c r="AO167" s="53" t="e">
        <f>AO166+ATM_Conf!$C$5*(U166-T166)/(U354*AO354)</f>
        <v>#DIV/0!</v>
      </c>
      <c r="AP167" s="43" t="e">
        <f>AP166+(ATM_Conf!$C$5/ATM_Conf!$C$8)*(BJ167*EXP(-(1/CX167)*(V167/CD167)^CX167)-AP166)-(ATM_Conf!$C$5*ATM_Conf!$C$9)/(V354*ATM_Conf!$C$8)*(Nodes!BO166-V166)/(V166+ATM_Conf!$C$10)</f>
        <v>#DIV/0!</v>
      </c>
      <c r="AQ167" s="43" t="e">
        <f>AQ166+(ATM_Conf!$C$5/ATM_Conf!$C$8)*(BK167*EXP(-(1/CY167)*(W167/CE167)^CY167)-AQ166)+(ATM_Conf!$C$5/W354)*AQ166*(AP166-AQ166)-(ATM_Conf!$C$5*ATM_Conf!$C$9)/(W354*ATM_Conf!$C$8)*(X166-W166)/(W166+ATM_Conf!$C$10)</f>
        <v>#DIV/0!</v>
      </c>
      <c r="AR167" s="43" t="e">
        <f>AR166+(ATM_Conf!$C$5/ATM_Conf!$C$8)*(BL167*EXP(-(1/CZ167)*(X167/CF167)^CZ167)-AR166)+(ATM_Conf!$C$5/X354)*AR166*(Nodes!BC166-AR166)-(ATM_Conf!$C$5*ATM_Conf!$C$9)/(X354*ATM_Conf!$C$8)*(Nodes!BQ166-X166)/(X166+ATM_Conf!$C$10)</f>
        <v>#DIV/0!</v>
      </c>
      <c r="AS167" s="43" t="e">
        <f>AS166+(ATM_Conf!$C$5/ATM_Conf!$C$8)*(BM167*EXP(-(1/DA167)*(Y167/CG167)^DA167)-AS166)+(ATM_Conf!$C$5/Y354)*AS166*(AR166-AS166)-(ATM_Conf!$C$5*ATM_Conf!$C$9)/(Y354*ATM_Conf!$C$8)*(Z166-Y166)/(Y166+ATM_Conf!$C$10)</f>
        <v>#DIV/0!</v>
      </c>
      <c r="AT167" s="43" t="e">
        <f>AT166+(ATM_Conf!$C$5/ATM_Conf!$C$8)*(BN167*EXP(-(1/DB167)*(Z167/CH167)^DB167)-AT166)+(ATM_Conf!$C$5/Z354)*AT166*(Nodes!BE166-AT166)-(ATM_Conf!$C$5*ATM_Conf!$C$9)/(Z354*ATM_Conf!$C$8)*(Nodes!BS166-Z166)/(Z166+ATM_Conf!$C$10)</f>
        <v>#DIV/0!</v>
      </c>
      <c r="AU167" s="43" t="e">
        <f>AU166+(ATM_Conf!$C$5/ATM_Conf!$C$8)*(BO167*EXP(-(1/DC167)*(AA167/CI167)^DC167)-AU166)+(ATM_Conf!$C$5/AA354)*AU166*(Nodes!BF166-AU166)-(ATM_Conf!$C$5*ATM_Conf!$C$9)/(AA354*ATM_Conf!$C$8)*(Nodes!BV166-AA166)/(AA166+ATM_Conf!$C$10)</f>
        <v>#DIV/0!</v>
      </c>
      <c r="AV167" s="43" t="e">
        <f>AV166+(ATM_Conf!$C$5/ATM_Conf!$C$8)*(BP167*EXP(-(1/DD167)*(AB167/CJ167)^DD167)-AV166)+(ATM_Conf!$C$5/AB354)*AV166*(AU166-AV166)-(ATM_Conf!$C$5*ATM_Conf!$C$9)/(AB354*ATM_Conf!$C$8)*(AC166-AB166)/(AB166+ATM_Conf!$C$10)</f>
        <v>#DIV/0!</v>
      </c>
      <c r="AW167" s="43" t="e">
        <f>AW166+(ATM_Conf!$C$5/ATM_Conf!$C$8)*(BQ167*EXP(-(1/DE167)*(AC167/CK167)^DE167)-AW166)+(ATM_Conf!$C$5/AC354)*AW166*(AV166-AW166)-(ATM_Conf!$C$5*ATM_Conf!$C$9)/(AC354*ATM_Conf!$C$8)*(AD166-AC166)/(AC166+ATM_Conf!$C$10)</f>
        <v>#DIV/0!</v>
      </c>
      <c r="AX167" s="43" t="e">
        <f>AX166+(ATM_Conf!$C$5/ATM_Conf!$C$8)*(BR167*EXP(-(1/DF167)*(AD167/CL167)^DF167)-AX166)+(ATM_Conf!$C$5/AD354)*AX166*(Nodes!BG166-AX166)-(ATM_Conf!$C$5*ATM_Conf!$C$9)/(AD354*ATM_Conf!$C$8)*(Nodes!BU166-AD166)/(AD166+ATM_Conf!$C$10)</f>
        <v>#DIV/0!</v>
      </c>
      <c r="AY167" s="43" t="e">
        <f>AY166+(ATM_Conf!$C$5/ATM_Conf!$C$8)*(BS167*EXP(-(1/DG167)*(AE167/CM167)^DG167)-AY166)+(ATM_Conf!$C$5/AE354)*AY166*(Nodes!BF166-AY166)</f>
        <v>#DIV/0!</v>
      </c>
      <c r="AZ167" s="43" t="e">
        <f>AZ166+(ATM_Conf!$C$5/ATM_Conf!$C$8)*(BT167*EXP(-(1/DH167)*(AF167/CN167)^DH167)-AZ166)-(ATM_Conf!$C$5*ATM_Conf!$C$9)/(AF354*ATM_Conf!$C$8)*(Nodes!BV166-AF166)/(AF166+ATM_Conf!$C$10)</f>
        <v>#DIV/0!</v>
      </c>
      <c r="BA167" s="43" t="e">
        <f>BA166+(ATM_Conf!$C$5/ATM_Conf!$C$8)*(BU167*EXP(-(1/DI167)*(AG167/CO167)^DI167)-BA166)+(ATM_Conf!$C$5/AG354)*BA166*(Nodes!BI166-BA166)-(ATM_Conf!$C$5*ATM_Conf!$C$9)/(AG354*ATM_Conf!$C$8)*(Nodes!BW166-AG166)/(AG166+ATM_Conf!$C$10)</f>
        <v>#DIV/0!</v>
      </c>
      <c r="BB167" s="43" t="e">
        <f>BB166+(ATM_Conf!$C$5/ATM_Conf!$C$8)*(BV167*EXP(-(1/DJ167)*(AH167/CP167)^DJ167)-BB166)+(ATM_Conf!$C$5/AH354)*BB166*(Nodes!BJ166-BB166)-(ATM_Conf!$C$5*ATM_Conf!$C$9)/(AH354*ATM_Conf!$C$8)*(AI166-AH166)/(AH166+ATM_Conf!$C$10)</f>
        <v>#DIV/0!</v>
      </c>
      <c r="BC167" s="43" t="e">
        <f>BC166+(ATM_Conf!$C$5/ATM_Conf!$C$8)*(BW167*EXP(-(1/DK167)*(AI167/CQ167)^DK167)-BC166)+(ATM_Conf!$C$5/AI354)*BC166*(BB166-BC166)-(ATM_Conf!$C$5*ATM_Conf!$C$9)/(AI354*ATM_Conf!$C$8)*(AJ166-AI166)/(AI166+ATM_Conf!$C$10)</f>
        <v>#DIV/0!</v>
      </c>
      <c r="BD167" s="43" t="e">
        <f>BD166+(ATM_Conf!$C$5/ATM_Conf!$C$8)*(BX167*EXP(-(1/DL167)*(AJ167/CR167)^DL167)-BD166)+(ATM_Conf!$C$5/AJ354)*BD166*(BC166-BD166)-(ATM_Conf!$C$5*ATM_Conf!$C$9)/(AJ354*ATM_Conf!$C$8)*(Nodes!BX166-AJ166)/(AJ166+ATM_Conf!$C$10)</f>
        <v>#DIV/0!</v>
      </c>
      <c r="BE167" s="43" t="e">
        <f>BE166+(ATM_Conf!$C$5/ATM_Conf!$C$8)*(BY167*EXP(-(1/DM167)*(AK167/CS167)^DM167)-BE166)+(ATM_Conf!$C$5/AK354)*BE166*(Nodes!BK166-BE166)-(ATM_Conf!$C$5*ATM_Conf!$C$9)/(AK354*ATM_Conf!$C$8)*(Nodes!BY166-AK166)/(AK166+ATM_Conf!$C$10)</f>
        <v>#DIV/0!</v>
      </c>
      <c r="BF167" s="43" t="e">
        <f>BF166+(ATM_Conf!$C$5/ATM_Conf!$C$8)*(BZ167*EXP(-(1/DN167)*(AL167/CT167)^DN167)-BF166)+(ATM_Conf!$C$5/AL354)*BF166*(BE166-BF166)-(ATM_Conf!$C$5*ATM_Conf!$C$9)/(AL354*ATM_Conf!$C$8)*(AM166-AL166)/(AL166+ATM_Conf!$C$10)</f>
        <v>#DIV/0!</v>
      </c>
      <c r="BG167" s="43" t="e">
        <f>BG166+(ATM_Conf!$C$5/ATM_Conf!$C$8)*(CA167*EXP(-(1/DO167)*(AM167/CU167)^DO167)-BG166)+(ATM_Conf!$C$5/AM354)*BG166*(Nodes!BM166-BG166)-(ATM_Conf!$C$5*ATM_Conf!$C$9)/(AM354*ATM_Conf!$C$8)*(Nodes!CA166-AM166)/(AM166+ATM_Conf!$C$10)</f>
        <v>#DIV/0!</v>
      </c>
      <c r="BH167" s="43" t="e">
        <f>BH166+(ATM_Conf!$C$5/ATM_Conf!$C$8)*(CB167*EXP(-(1/DP167)*(AN167/CV167)^DP167)-BH166)+(ATM_Conf!$C$5/AN354)*BH166*(BG166-BH166)-(ATM_Conf!$C$5*ATM_Conf!$C$9)/(AN354*ATM_Conf!$C$8)*(AO166-AN166)/(AN166+ATM_Conf!$C$10)</f>
        <v>#DIV/0!</v>
      </c>
      <c r="BI167" s="43" t="e">
        <f>BI166+(ATM_Conf!$C$5/ATM_Conf!$C$8)*(CC167*EXP(-(1/DQ167)*(AO167/CW167)^DQ167)-BI166)+(ATM_Conf!$C$5/AO354)*BI166*(BH166-BI166)</f>
        <v>#DIV/0!</v>
      </c>
      <c r="BJ167" s="53"/>
      <c r="BK167" s="53"/>
      <c r="BL167" s="53"/>
      <c r="BM167" s="53"/>
      <c r="BN167" s="53"/>
      <c r="BO167" s="53"/>
      <c r="BP167" s="53"/>
      <c r="BQ167" s="53"/>
      <c r="BR167" s="53"/>
      <c r="BS167" s="53"/>
      <c r="BT167" s="53"/>
      <c r="BU167" s="53"/>
      <c r="BV167" s="53"/>
      <c r="BW167" s="53"/>
      <c r="BX167" s="53"/>
      <c r="BY167" s="53"/>
      <c r="BZ167" s="53"/>
      <c r="CA167" s="53"/>
      <c r="CB167" s="53"/>
      <c r="CC167" s="5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53"/>
      <c r="CY167" s="53"/>
      <c r="CZ167" s="53"/>
      <c r="DA167" s="53"/>
      <c r="DB167" s="53"/>
      <c r="DC167" s="53"/>
      <c r="DD167" s="53"/>
      <c r="DE167" s="53"/>
      <c r="DF167" s="53"/>
      <c r="DG167" s="53"/>
      <c r="DH167" s="53"/>
      <c r="DI167" s="53"/>
      <c r="DJ167" s="53"/>
      <c r="DK167" s="53"/>
      <c r="DL167" s="53"/>
      <c r="DM167" s="53"/>
      <c r="DN167" s="53"/>
      <c r="DO167" s="53"/>
      <c r="DP167" s="53"/>
      <c r="DQ167" s="53"/>
      <c r="DR167" s="43">
        <f t="shared" si="102"/>
        <v>0</v>
      </c>
      <c r="DS167" s="43">
        <f t="shared" si="101"/>
        <v>0</v>
      </c>
      <c r="DT167" s="43">
        <f t="shared" si="101"/>
        <v>0</v>
      </c>
      <c r="DU167" s="43">
        <f t="shared" si="101"/>
        <v>0</v>
      </c>
      <c r="DV167" s="43">
        <f t="shared" si="101"/>
        <v>0</v>
      </c>
      <c r="DW167" s="43">
        <f t="shared" si="101"/>
        <v>0</v>
      </c>
      <c r="DX167" s="43">
        <f t="shared" si="101"/>
        <v>0</v>
      </c>
      <c r="DY167" s="43">
        <f t="shared" si="101"/>
        <v>0</v>
      </c>
      <c r="DZ167" s="43">
        <f t="shared" si="101"/>
        <v>0</v>
      </c>
      <c r="EA167" s="43">
        <f t="shared" si="101"/>
        <v>0</v>
      </c>
      <c r="EB167" s="43">
        <f t="shared" si="101"/>
        <v>0</v>
      </c>
      <c r="EC167" s="43">
        <f t="shared" si="101"/>
        <v>0</v>
      </c>
      <c r="ED167" s="43">
        <f t="shared" si="101"/>
        <v>0</v>
      </c>
      <c r="EE167" s="43">
        <f t="shared" si="101"/>
        <v>0</v>
      </c>
      <c r="EF167" s="43">
        <f t="shared" si="101"/>
        <v>0</v>
      </c>
      <c r="EG167" s="43">
        <f t="shared" si="101"/>
        <v>0</v>
      </c>
      <c r="EH167" s="43">
        <f t="shared" si="101"/>
        <v>0</v>
      </c>
      <c r="EI167" s="43">
        <f t="shared" si="101"/>
        <v>0</v>
      </c>
      <c r="EJ167" s="43">
        <f t="shared" si="101"/>
        <v>0</v>
      </c>
      <c r="EK167" s="43">
        <f t="shared" si="101"/>
        <v>0</v>
      </c>
      <c r="EL167" s="47"/>
      <c r="EM167" s="47"/>
      <c r="EN167" s="47"/>
      <c r="EO167" s="47"/>
      <c r="EP167" s="47"/>
      <c r="EQ167" s="47"/>
      <c r="ER167" s="47"/>
      <c r="ES167" s="47"/>
      <c r="ET167" s="47"/>
      <c r="EU167" s="47"/>
      <c r="EV167" s="47"/>
      <c r="EW167" s="47"/>
      <c r="EX167" s="47"/>
      <c r="EY167" s="47"/>
      <c r="EZ167" s="47"/>
      <c r="FA167" s="47"/>
      <c r="FB167" s="47"/>
      <c r="FC167" s="47"/>
      <c r="FD167" s="47"/>
      <c r="FE167" s="47"/>
    </row>
    <row r="168" spans="1:161" ht="14.25" x14ac:dyDescent="0.15">
      <c r="A168" s="46"/>
      <c r="B168" s="43" t="e">
        <f t="shared" si="74"/>
        <v>#DIV/0!</v>
      </c>
      <c r="C168" s="43" t="e">
        <f t="shared" si="75"/>
        <v>#DIV/0!</v>
      </c>
      <c r="D168" s="43" t="e">
        <f t="shared" si="76"/>
        <v>#DIV/0!</v>
      </c>
      <c r="E168" s="43" t="e">
        <f t="shared" si="77"/>
        <v>#DIV/0!</v>
      </c>
      <c r="F168" s="43" t="e">
        <f t="shared" si="78"/>
        <v>#DIV/0!</v>
      </c>
      <c r="G168" s="43" t="e">
        <f t="shared" si="79"/>
        <v>#DIV/0!</v>
      </c>
      <c r="H168" s="43" t="e">
        <f t="shared" si="80"/>
        <v>#DIV/0!</v>
      </c>
      <c r="I168" s="43" t="e">
        <f t="shared" si="81"/>
        <v>#DIV/0!</v>
      </c>
      <c r="J168" s="43" t="e">
        <f t="shared" si="82"/>
        <v>#DIV/0!</v>
      </c>
      <c r="K168" s="43" t="e">
        <f t="shared" si="83"/>
        <v>#DIV/0!</v>
      </c>
      <c r="L168" s="43" t="e">
        <f t="shared" si="84"/>
        <v>#DIV/0!</v>
      </c>
      <c r="M168" s="43" t="e">
        <f t="shared" si="85"/>
        <v>#DIV/0!</v>
      </c>
      <c r="N168" s="43" t="e">
        <f t="shared" si="86"/>
        <v>#DIV/0!</v>
      </c>
      <c r="O168" s="43" t="e">
        <f t="shared" si="87"/>
        <v>#DIV/0!</v>
      </c>
      <c r="P168" s="43" t="e">
        <f t="shared" si="88"/>
        <v>#DIV/0!</v>
      </c>
      <c r="Q168" s="43" t="e">
        <f t="shared" si="89"/>
        <v>#DIV/0!</v>
      </c>
      <c r="R168" s="43" t="e">
        <f t="shared" si="90"/>
        <v>#DIV/0!</v>
      </c>
      <c r="S168" s="43" t="e">
        <f t="shared" si="91"/>
        <v>#DIV/0!</v>
      </c>
      <c r="T168" s="43" t="e">
        <f t="shared" si="92"/>
        <v>#DIV/0!</v>
      </c>
      <c r="U168" s="43" t="e">
        <f t="shared" si="93"/>
        <v>#DIV/0!</v>
      </c>
      <c r="V168" s="53" t="e">
        <f>V167+ATM_Conf!$C$5*(B167)/(B355*V355)</f>
        <v>#DIV/0!</v>
      </c>
      <c r="W168" s="53" t="e">
        <f>W167+ATM_Conf!$C$5*(C167-B167)/(C355*W355)</f>
        <v>#DIV/0!</v>
      </c>
      <c r="X168" s="53" t="e">
        <f>X167+ATM_Conf!$C$5*(D167-C167)/(D355*X355)</f>
        <v>#DIV/0!</v>
      </c>
      <c r="Y168" s="53" t="e">
        <f>Y167+ATM_Conf!$C$5*(E167-D167)/(E355*Y355)</f>
        <v>#DIV/0!</v>
      </c>
      <c r="Z168" s="53" t="e">
        <f>Z167+ATM_Conf!$C$5*(F167-E167)/(F355*Z355)</f>
        <v>#DIV/0!</v>
      </c>
      <c r="AA168" s="53" t="e">
        <f>AA167+ATM_Conf!$C$5*(G167-F167)/(G355*AA355)</f>
        <v>#DIV/0!</v>
      </c>
      <c r="AB168" s="53" t="e">
        <f>AB167+ATM_Conf!$C$5*(H167-G167)/(H355*AB355)</f>
        <v>#DIV/0!</v>
      </c>
      <c r="AC168" s="53" t="e">
        <f>AC167+ATM_Conf!$C$5*(I167-H167)/(I355*AC355)</f>
        <v>#DIV/0!</v>
      </c>
      <c r="AD168" s="53" t="e">
        <f>AD167+ATM_Conf!$C$5*(J167-I167)/(J355*AD355)</f>
        <v>#DIV/0!</v>
      </c>
      <c r="AE168" s="53" t="e">
        <f>AE167+ATM_Conf!$C$5*(K167-J167)/(K355*AE355)</f>
        <v>#DIV/0!</v>
      </c>
      <c r="AF168" s="53" t="e">
        <f>AF167+ATM_Conf!$C$5*(L167)/(L355*AF355)</f>
        <v>#DIV/0!</v>
      </c>
      <c r="AG168" s="53" t="e">
        <f>AG167+ATM_Conf!$C$5*(M167-L167)/(M355*AG355)</f>
        <v>#DIV/0!</v>
      </c>
      <c r="AH168" s="53" t="e">
        <f>AH167+ATM_Conf!$C$5*(N167-M167)/(N355*AH355)</f>
        <v>#DIV/0!</v>
      </c>
      <c r="AI168" s="53" t="e">
        <f>AI167+ATM_Conf!$C$5*(O167-N167)/(O355*AI355)</f>
        <v>#DIV/0!</v>
      </c>
      <c r="AJ168" s="53" t="e">
        <f>AJ167+ATM_Conf!$C$5*(P167-O167)/(P355*AJ355)</f>
        <v>#DIV/0!</v>
      </c>
      <c r="AK168" s="53" t="e">
        <f>AK167+ATM_Conf!$C$5*(Q167-P167)/(Q355*AK355)</f>
        <v>#DIV/0!</v>
      </c>
      <c r="AL168" s="53" t="e">
        <f>AL167+ATM_Conf!$C$5*(R167-Q167)/(R355*AL355)</f>
        <v>#DIV/0!</v>
      </c>
      <c r="AM168" s="53" t="e">
        <f>AM167+ATM_Conf!$C$5*(S167-R167)/(S355*AM355)</f>
        <v>#DIV/0!</v>
      </c>
      <c r="AN168" s="53" t="e">
        <f>AN167+ATM_Conf!$C$5*(T167-S167)/(T355*AN355)</f>
        <v>#DIV/0!</v>
      </c>
      <c r="AO168" s="53" t="e">
        <f>AO167+ATM_Conf!$C$5*(U167-T167)/(U355*AO355)</f>
        <v>#DIV/0!</v>
      </c>
      <c r="AP168" s="43" t="e">
        <f>AP167+(ATM_Conf!$C$5/ATM_Conf!$C$8)*(BJ168*EXP(-(1/CX168)*(V168/CD168)^CX168)-AP167)-(ATM_Conf!$C$5*ATM_Conf!$C$9)/(V355*ATM_Conf!$C$8)*(Nodes!BO167-V167)/(V167+ATM_Conf!$C$10)</f>
        <v>#DIV/0!</v>
      </c>
      <c r="AQ168" s="43" t="e">
        <f>AQ167+(ATM_Conf!$C$5/ATM_Conf!$C$8)*(BK168*EXP(-(1/CY168)*(W168/CE168)^CY168)-AQ167)+(ATM_Conf!$C$5/W355)*AQ167*(AP167-AQ167)-(ATM_Conf!$C$5*ATM_Conf!$C$9)/(W355*ATM_Conf!$C$8)*(X167-W167)/(W167+ATM_Conf!$C$10)</f>
        <v>#DIV/0!</v>
      </c>
      <c r="AR168" s="43" t="e">
        <f>AR167+(ATM_Conf!$C$5/ATM_Conf!$C$8)*(BL168*EXP(-(1/CZ168)*(X168/CF168)^CZ168)-AR167)+(ATM_Conf!$C$5/X355)*AR167*(Nodes!BC167-AR167)-(ATM_Conf!$C$5*ATM_Conf!$C$9)/(X355*ATM_Conf!$C$8)*(Nodes!BQ167-X167)/(X167+ATM_Conf!$C$10)</f>
        <v>#DIV/0!</v>
      </c>
      <c r="AS168" s="43" t="e">
        <f>AS167+(ATM_Conf!$C$5/ATM_Conf!$C$8)*(BM168*EXP(-(1/DA168)*(Y168/CG168)^DA168)-AS167)+(ATM_Conf!$C$5/Y355)*AS167*(AR167-AS167)-(ATM_Conf!$C$5*ATM_Conf!$C$9)/(Y355*ATM_Conf!$C$8)*(Z167-Y167)/(Y167+ATM_Conf!$C$10)</f>
        <v>#DIV/0!</v>
      </c>
      <c r="AT168" s="43" t="e">
        <f>AT167+(ATM_Conf!$C$5/ATM_Conf!$C$8)*(BN168*EXP(-(1/DB168)*(Z168/CH168)^DB168)-AT167)+(ATM_Conf!$C$5/Z355)*AT167*(Nodes!BE167-AT167)-(ATM_Conf!$C$5*ATM_Conf!$C$9)/(Z355*ATM_Conf!$C$8)*(Nodes!BS167-Z167)/(Z167+ATM_Conf!$C$10)</f>
        <v>#DIV/0!</v>
      </c>
      <c r="AU168" s="43" t="e">
        <f>AU167+(ATM_Conf!$C$5/ATM_Conf!$C$8)*(BO168*EXP(-(1/DC168)*(AA168/CI168)^DC168)-AU167)+(ATM_Conf!$C$5/AA355)*AU167*(Nodes!BF167-AU167)-(ATM_Conf!$C$5*ATM_Conf!$C$9)/(AA355*ATM_Conf!$C$8)*(Nodes!BV167-AA167)/(AA167+ATM_Conf!$C$10)</f>
        <v>#DIV/0!</v>
      </c>
      <c r="AV168" s="43" t="e">
        <f>AV167+(ATM_Conf!$C$5/ATM_Conf!$C$8)*(BP168*EXP(-(1/DD168)*(AB168/CJ168)^DD168)-AV167)+(ATM_Conf!$C$5/AB355)*AV167*(AU167-AV167)-(ATM_Conf!$C$5*ATM_Conf!$C$9)/(AB355*ATM_Conf!$C$8)*(AC167-AB167)/(AB167+ATM_Conf!$C$10)</f>
        <v>#DIV/0!</v>
      </c>
      <c r="AW168" s="43" t="e">
        <f>AW167+(ATM_Conf!$C$5/ATM_Conf!$C$8)*(BQ168*EXP(-(1/DE168)*(AC168/CK168)^DE168)-AW167)+(ATM_Conf!$C$5/AC355)*AW167*(AV167-AW167)-(ATM_Conf!$C$5*ATM_Conf!$C$9)/(AC355*ATM_Conf!$C$8)*(AD167-AC167)/(AC167+ATM_Conf!$C$10)</f>
        <v>#DIV/0!</v>
      </c>
      <c r="AX168" s="43" t="e">
        <f>AX167+(ATM_Conf!$C$5/ATM_Conf!$C$8)*(BR168*EXP(-(1/DF168)*(AD168/CL168)^DF168)-AX167)+(ATM_Conf!$C$5/AD355)*AX167*(Nodes!BG167-AX167)-(ATM_Conf!$C$5*ATM_Conf!$C$9)/(AD355*ATM_Conf!$C$8)*(Nodes!BU167-AD167)/(AD167+ATM_Conf!$C$10)</f>
        <v>#DIV/0!</v>
      </c>
      <c r="AY168" s="43" t="e">
        <f>AY167+(ATM_Conf!$C$5/ATM_Conf!$C$8)*(BS168*EXP(-(1/DG168)*(AE168/CM168)^DG168)-AY167)+(ATM_Conf!$C$5/AE355)*AY167*(Nodes!BF167-AY167)</f>
        <v>#DIV/0!</v>
      </c>
      <c r="AZ168" s="43" t="e">
        <f>AZ167+(ATM_Conf!$C$5/ATM_Conf!$C$8)*(BT168*EXP(-(1/DH168)*(AF168/CN168)^DH168)-AZ167)-(ATM_Conf!$C$5*ATM_Conf!$C$9)/(AF355*ATM_Conf!$C$8)*(Nodes!BV167-AF167)/(AF167+ATM_Conf!$C$10)</f>
        <v>#DIV/0!</v>
      </c>
      <c r="BA168" s="43" t="e">
        <f>BA167+(ATM_Conf!$C$5/ATM_Conf!$C$8)*(BU168*EXP(-(1/DI168)*(AG168/CO168)^DI168)-BA167)+(ATM_Conf!$C$5/AG355)*BA167*(Nodes!BI167-BA167)-(ATM_Conf!$C$5*ATM_Conf!$C$9)/(AG355*ATM_Conf!$C$8)*(Nodes!BW167-AG167)/(AG167+ATM_Conf!$C$10)</f>
        <v>#DIV/0!</v>
      </c>
      <c r="BB168" s="43" t="e">
        <f>BB167+(ATM_Conf!$C$5/ATM_Conf!$C$8)*(BV168*EXP(-(1/DJ168)*(AH168/CP168)^DJ168)-BB167)+(ATM_Conf!$C$5/AH355)*BB167*(Nodes!BJ167-BB167)-(ATM_Conf!$C$5*ATM_Conf!$C$9)/(AH355*ATM_Conf!$C$8)*(AI167-AH167)/(AH167+ATM_Conf!$C$10)</f>
        <v>#DIV/0!</v>
      </c>
      <c r="BC168" s="43" t="e">
        <f>BC167+(ATM_Conf!$C$5/ATM_Conf!$C$8)*(BW168*EXP(-(1/DK168)*(AI168/CQ168)^DK168)-BC167)+(ATM_Conf!$C$5/AI355)*BC167*(BB167-BC167)-(ATM_Conf!$C$5*ATM_Conf!$C$9)/(AI355*ATM_Conf!$C$8)*(AJ167-AI167)/(AI167+ATM_Conf!$C$10)</f>
        <v>#DIV/0!</v>
      </c>
      <c r="BD168" s="43" t="e">
        <f>BD167+(ATM_Conf!$C$5/ATM_Conf!$C$8)*(BX168*EXP(-(1/DL168)*(AJ168/CR168)^DL168)-BD167)+(ATM_Conf!$C$5/AJ355)*BD167*(BC167-BD167)-(ATM_Conf!$C$5*ATM_Conf!$C$9)/(AJ355*ATM_Conf!$C$8)*(Nodes!BX167-AJ167)/(AJ167+ATM_Conf!$C$10)</f>
        <v>#DIV/0!</v>
      </c>
      <c r="BE168" s="43" t="e">
        <f>BE167+(ATM_Conf!$C$5/ATM_Conf!$C$8)*(BY168*EXP(-(1/DM168)*(AK168/CS168)^DM168)-BE167)+(ATM_Conf!$C$5/AK355)*BE167*(Nodes!BK167-BE167)-(ATM_Conf!$C$5*ATM_Conf!$C$9)/(AK355*ATM_Conf!$C$8)*(Nodes!BY167-AK167)/(AK167+ATM_Conf!$C$10)</f>
        <v>#DIV/0!</v>
      </c>
      <c r="BF168" s="43" t="e">
        <f>BF167+(ATM_Conf!$C$5/ATM_Conf!$C$8)*(BZ168*EXP(-(1/DN168)*(AL168/CT168)^DN168)-BF167)+(ATM_Conf!$C$5/AL355)*BF167*(BE167-BF167)-(ATM_Conf!$C$5*ATM_Conf!$C$9)/(AL355*ATM_Conf!$C$8)*(AM167-AL167)/(AL167+ATM_Conf!$C$10)</f>
        <v>#DIV/0!</v>
      </c>
      <c r="BG168" s="43" t="e">
        <f>BG167+(ATM_Conf!$C$5/ATM_Conf!$C$8)*(CA168*EXP(-(1/DO168)*(AM168/CU168)^DO168)-BG167)+(ATM_Conf!$C$5/AM355)*BG167*(Nodes!BM167-BG167)-(ATM_Conf!$C$5*ATM_Conf!$C$9)/(AM355*ATM_Conf!$C$8)*(Nodes!CA167-AM167)/(AM167+ATM_Conf!$C$10)</f>
        <v>#DIV/0!</v>
      </c>
      <c r="BH168" s="43" t="e">
        <f>BH167+(ATM_Conf!$C$5/ATM_Conf!$C$8)*(CB168*EXP(-(1/DP168)*(AN168/CV168)^DP168)-BH167)+(ATM_Conf!$C$5/AN355)*BH167*(BG167-BH167)-(ATM_Conf!$C$5*ATM_Conf!$C$9)/(AN355*ATM_Conf!$C$8)*(AO167-AN167)/(AN167+ATM_Conf!$C$10)</f>
        <v>#DIV/0!</v>
      </c>
      <c r="BI168" s="43" t="e">
        <f>BI167+(ATM_Conf!$C$5/ATM_Conf!$C$8)*(CC168*EXP(-(1/DQ168)*(AO168/CW168)^DQ168)-BI167)+(ATM_Conf!$C$5/AO355)*BI167*(BH167-BI167)</f>
        <v>#DIV/0!</v>
      </c>
      <c r="BJ168" s="53"/>
      <c r="BK168" s="53"/>
      <c r="BL168" s="53"/>
      <c r="BM168" s="53"/>
      <c r="BN168" s="53"/>
      <c r="BO168" s="53"/>
      <c r="BP168" s="53"/>
      <c r="BQ168" s="53"/>
      <c r="BR168" s="53"/>
      <c r="BS168" s="53"/>
      <c r="BT168" s="53"/>
      <c r="BU168" s="53"/>
      <c r="BV168" s="53"/>
      <c r="BW168" s="53"/>
      <c r="BX168" s="53"/>
      <c r="BY168" s="53"/>
      <c r="BZ168" s="53"/>
      <c r="CA168" s="53"/>
      <c r="CB168" s="53"/>
      <c r="CC168" s="5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53"/>
      <c r="CY168" s="53"/>
      <c r="CZ168" s="53"/>
      <c r="DA168" s="53"/>
      <c r="DB168" s="53"/>
      <c r="DC168" s="53"/>
      <c r="DD168" s="53"/>
      <c r="DE168" s="53"/>
      <c r="DF168" s="53"/>
      <c r="DG168" s="53"/>
      <c r="DH168" s="53"/>
      <c r="DI168" s="53"/>
      <c r="DJ168" s="53"/>
      <c r="DK168" s="53"/>
      <c r="DL168" s="53"/>
      <c r="DM168" s="53"/>
      <c r="DN168" s="53"/>
      <c r="DO168" s="53"/>
      <c r="DP168" s="53"/>
      <c r="DQ168" s="53"/>
      <c r="DR168" s="43">
        <f t="shared" si="102"/>
        <v>0</v>
      </c>
      <c r="DS168" s="43">
        <f t="shared" si="101"/>
        <v>0</v>
      </c>
      <c r="DT168" s="43">
        <f t="shared" si="101"/>
        <v>0</v>
      </c>
      <c r="DU168" s="43">
        <f t="shared" si="101"/>
        <v>0</v>
      </c>
      <c r="DV168" s="43">
        <f t="shared" si="101"/>
        <v>0</v>
      </c>
      <c r="DW168" s="43">
        <f t="shared" si="101"/>
        <v>0</v>
      </c>
      <c r="DX168" s="43">
        <f t="shared" si="101"/>
        <v>0</v>
      </c>
      <c r="DY168" s="43">
        <f t="shared" si="101"/>
        <v>0</v>
      </c>
      <c r="DZ168" s="43">
        <f t="shared" si="101"/>
        <v>0</v>
      </c>
      <c r="EA168" s="43">
        <f t="shared" si="101"/>
        <v>0</v>
      </c>
      <c r="EB168" s="43">
        <f t="shared" si="101"/>
        <v>0</v>
      </c>
      <c r="EC168" s="43">
        <f t="shared" si="101"/>
        <v>0</v>
      </c>
      <c r="ED168" s="43">
        <f t="shared" si="101"/>
        <v>0</v>
      </c>
      <c r="EE168" s="43">
        <f t="shared" si="101"/>
        <v>0</v>
      </c>
      <c r="EF168" s="43">
        <f t="shared" si="101"/>
        <v>0</v>
      </c>
      <c r="EG168" s="43">
        <f t="shared" si="101"/>
        <v>0</v>
      </c>
      <c r="EH168" s="43">
        <f t="shared" si="101"/>
        <v>0</v>
      </c>
      <c r="EI168" s="43">
        <f t="shared" si="101"/>
        <v>0</v>
      </c>
      <c r="EJ168" s="43">
        <f t="shared" si="101"/>
        <v>0</v>
      </c>
      <c r="EK168" s="43">
        <f t="shared" si="101"/>
        <v>0</v>
      </c>
      <c r="EL168" s="47"/>
      <c r="EM168" s="47"/>
      <c r="EN168" s="47"/>
      <c r="EO168" s="47"/>
      <c r="EP168" s="47"/>
      <c r="EQ168" s="47"/>
      <c r="ER168" s="47"/>
      <c r="ES168" s="47"/>
      <c r="ET168" s="47"/>
      <c r="EU168" s="47"/>
      <c r="EV168" s="47"/>
      <c r="EW168" s="47"/>
      <c r="EX168" s="47"/>
      <c r="EY168" s="47"/>
      <c r="EZ168" s="47"/>
      <c r="FA168" s="47"/>
      <c r="FB168" s="47"/>
      <c r="FC168" s="47"/>
      <c r="FD168" s="47"/>
      <c r="FE168" s="47"/>
    </row>
    <row r="169" spans="1:161" ht="14.25" x14ac:dyDescent="0.15">
      <c r="A169" s="46"/>
      <c r="B169" s="43" t="e">
        <f t="shared" si="74"/>
        <v>#DIV/0!</v>
      </c>
      <c r="C169" s="43" t="e">
        <f t="shared" si="75"/>
        <v>#DIV/0!</v>
      </c>
      <c r="D169" s="43" t="e">
        <f t="shared" si="76"/>
        <v>#DIV/0!</v>
      </c>
      <c r="E169" s="43" t="e">
        <f t="shared" si="77"/>
        <v>#DIV/0!</v>
      </c>
      <c r="F169" s="43" t="e">
        <f t="shared" si="78"/>
        <v>#DIV/0!</v>
      </c>
      <c r="G169" s="43" t="e">
        <f t="shared" si="79"/>
        <v>#DIV/0!</v>
      </c>
      <c r="H169" s="43" t="e">
        <f t="shared" si="80"/>
        <v>#DIV/0!</v>
      </c>
      <c r="I169" s="43" t="e">
        <f t="shared" si="81"/>
        <v>#DIV/0!</v>
      </c>
      <c r="J169" s="43" t="e">
        <f t="shared" si="82"/>
        <v>#DIV/0!</v>
      </c>
      <c r="K169" s="43" t="e">
        <f t="shared" si="83"/>
        <v>#DIV/0!</v>
      </c>
      <c r="L169" s="43" t="e">
        <f t="shared" si="84"/>
        <v>#DIV/0!</v>
      </c>
      <c r="M169" s="43" t="e">
        <f t="shared" si="85"/>
        <v>#DIV/0!</v>
      </c>
      <c r="N169" s="43" t="e">
        <f t="shared" si="86"/>
        <v>#DIV/0!</v>
      </c>
      <c r="O169" s="43" t="e">
        <f t="shared" si="87"/>
        <v>#DIV/0!</v>
      </c>
      <c r="P169" s="43" t="e">
        <f t="shared" si="88"/>
        <v>#DIV/0!</v>
      </c>
      <c r="Q169" s="43" t="e">
        <f t="shared" si="89"/>
        <v>#DIV/0!</v>
      </c>
      <c r="R169" s="43" t="e">
        <f t="shared" si="90"/>
        <v>#DIV/0!</v>
      </c>
      <c r="S169" s="43" t="e">
        <f t="shared" si="91"/>
        <v>#DIV/0!</v>
      </c>
      <c r="T169" s="43" t="e">
        <f t="shared" si="92"/>
        <v>#DIV/0!</v>
      </c>
      <c r="U169" s="43" t="e">
        <f t="shared" si="93"/>
        <v>#DIV/0!</v>
      </c>
      <c r="V169" s="53" t="e">
        <f>V168+ATM_Conf!$C$5*(B168)/(B356*V356)</f>
        <v>#DIV/0!</v>
      </c>
      <c r="W169" s="53" t="e">
        <f>W168+ATM_Conf!$C$5*(C168-B168)/(C356*W356)</f>
        <v>#DIV/0!</v>
      </c>
      <c r="X169" s="53" t="e">
        <f>X168+ATM_Conf!$C$5*(D168-C168)/(D356*X356)</f>
        <v>#DIV/0!</v>
      </c>
      <c r="Y169" s="53" t="e">
        <f>Y168+ATM_Conf!$C$5*(E168-D168)/(E356*Y356)</f>
        <v>#DIV/0!</v>
      </c>
      <c r="Z169" s="53" t="e">
        <f>Z168+ATM_Conf!$C$5*(F168-E168)/(F356*Z356)</f>
        <v>#DIV/0!</v>
      </c>
      <c r="AA169" s="53" t="e">
        <f>AA168+ATM_Conf!$C$5*(G168-F168)/(G356*AA356)</f>
        <v>#DIV/0!</v>
      </c>
      <c r="AB169" s="53" t="e">
        <f>AB168+ATM_Conf!$C$5*(H168-G168)/(H356*AB356)</f>
        <v>#DIV/0!</v>
      </c>
      <c r="AC169" s="53" t="e">
        <f>AC168+ATM_Conf!$C$5*(I168-H168)/(I356*AC356)</f>
        <v>#DIV/0!</v>
      </c>
      <c r="AD169" s="53" t="e">
        <f>AD168+ATM_Conf!$C$5*(J168-I168)/(J356*AD356)</f>
        <v>#DIV/0!</v>
      </c>
      <c r="AE169" s="53" t="e">
        <f>AE168+ATM_Conf!$C$5*(K168-J168)/(K356*AE356)</f>
        <v>#DIV/0!</v>
      </c>
      <c r="AF169" s="53" t="e">
        <f>AF168+ATM_Conf!$C$5*(L168)/(L356*AF356)</f>
        <v>#DIV/0!</v>
      </c>
      <c r="AG169" s="53" t="e">
        <f>AG168+ATM_Conf!$C$5*(M168-L168)/(M356*AG356)</f>
        <v>#DIV/0!</v>
      </c>
      <c r="AH169" s="53" t="e">
        <f>AH168+ATM_Conf!$C$5*(N168-M168)/(N356*AH356)</f>
        <v>#DIV/0!</v>
      </c>
      <c r="AI169" s="53" t="e">
        <f>AI168+ATM_Conf!$C$5*(O168-N168)/(O356*AI356)</f>
        <v>#DIV/0!</v>
      </c>
      <c r="AJ169" s="53" t="e">
        <f>AJ168+ATM_Conf!$C$5*(P168-O168)/(P356*AJ356)</f>
        <v>#DIV/0!</v>
      </c>
      <c r="AK169" s="53" t="e">
        <f>AK168+ATM_Conf!$C$5*(Q168-P168)/(Q356*AK356)</f>
        <v>#DIV/0!</v>
      </c>
      <c r="AL169" s="53" t="e">
        <f>AL168+ATM_Conf!$C$5*(R168-Q168)/(R356*AL356)</f>
        <v>#DIV/0!</v>
      </c>
      <c r="AM169" s="53" t="e">
        <f>AM168+ATM_Conf!$C$5*(S168-R168)/(S356*AM356)</f>
        <v>#DIV/0!</v>
      </c>
      <c r="AN169" s="53" t="e">
        <f>AN168+ATM_Conf!$C$5*(T168-S168)/(T356*AN356)</f>
        <v>#DIV/0!</v>
      </c>
      <c r="AO169" s="53" t="e">
        <f>AO168+ATM_Conf!$C$5*(U168-T168)/(U356*AO356)</f>
        <v>#DIV/0!</v>
      </c>
      <c r="AP169" s="43" t="e">
        <f>AP168+(ATM_Conf!$C$5/ATM_Conf!$C$8)*(BJ169*EXP(-(1/CX169)*(V169/CD169)^CX169)-AP168)-(ATM_Conf!$C$5*ATM_Conf!$C$9)/(V356*ATM_Conf!$C$8)*(Nodes!BO168-V168)/(V168+ATM_Conf!$C$10)</f>
        <v>#DIV/0!</v>
      </c>
      <c r="AQ169" s="43" t="e">
        <f>AQ168+(ATM_Conf!$C$5/ATM_Conf!$C$8)*(BK169*EXP(-(1/CY169)*(W169/CE169)^CY169)-AQ168)+(ATM_Conf!$C$5/W356)*AQ168*(AP168-AQ168)-(ATM_Conf!$C$5*ATM_Conf!$C$9)/(W356*ATM_Conf!$C$8)*(X168-W168)/(W168+ATM_Conf!$C$10)</f>
        <v>#DIV/0!</v>
      </c>
      <c r="AR169" s="43" t="e">
        <f>AR168+(ATM_Conf!$C$5/ATM_Conf!$C$8)*(BL169*EXP(-(1/CZ169)*(X169/CF169)^CZ169)-AR168)+(ATM_Conf!$C$5/X356)*AR168*(Nodes!BC168-AR168)-(ATM_Conf!$C$5*ATM_Conf!$C$9)/(X356*ATM_Conf!$C$8)*(Nodes!BQ168-X168)/(X168+ATM_Conf!$C$10)</f>
        <v>#DIV/0!</v>
      </c>
      <c r="AS169" s="43" t="e">
        <f>AS168+(ATM_Conf!$C$5/ATM_Conf!$C$8)*(BM169*EXP(-(1/DA169)*(Y169/CG169)^DA169)-AS168)+(ATM_Conf!$C$5/Y356)*AS168*(AR168-AS168)-(ATM_Conf!$C$5*ATM_Conf!$C$9)/(Y356*ATM_Conf!$C$8)*(Z168-Y168)/(Y168+ATM_Conf!$C$10)</f>
        <v>#DIV/0!</v>
      </c>
      <c r="AT169" s="43" t="e">
        <f>AT168+(ATM_Conf!$C$5/ATM_Conf!$C$8)*(BN169*EXP(-(1/DB169)*(Z169/CH169)^DB169)-AT168)+(ATM_Conf!$C$5/Z356)*AT168*(Nodes!BE168-AT168)-(ATM_Conf!$C$5*ATM_Conf!$C$9)/(Z356*ATM_Conf!$C$8)*(Nodes!BS168-Z168)/(Z168+ATM_Conf!$C$10)</f>
        <v>#DIV/0!</v>
      </c>
      <c r="AU169" s="43" t="e">
        <f>AU168+(ATM_Conf!$C$5/ATM_Conf!$C$8)*(BO169*EXP(-(1/DC169)*(AA169/CI169)^DC169)-AU168)+(ATM_Conf!$C$5/AA356)*AU168*(Nodes!BF168-AU168)-(ATM_Conf!$C$5*ATM_Conf!$C$9)/(AA356*ATM_Conf!$C$8)*(Nodes!BV168-AA168)/(AA168+ATM_Conf!$C$10)</f>
        <v>#DIV/0!</v>
      </c>
      <c r="AV169" s="43" t="e">
        <f>AV168+(ATM_Conf!$C$5/ATM_Conf!$C$8)*(BP169*EXP(-(1/DD169)*(AB169/CJ169)^DD169)-AV168)+(ATM_Conf!$C$5/AB356)*AV168*(AU168-AV168)-(ATM_Conf!$C$5*ATM_Conf!$C$9)/(AB356*ATM_Conf!$C$8)*(AC168-AB168)/(AB168+ATM_Conf!$C$10)</f>
        <v>#DIV/0!</v>
      </c>
      <c r="AW169" s="43" t="e">
        <f>AW168+(ATM_Conf!$C$5/ATM_Conf!$C$8)*(BQ169*EXP(-(1/DE169)*(AC169/CK169)^DE169)-AW168)+(ATM_Conf!$C$5/AC356)*AW168*(AV168-AW168)-(ATM_Conf!$C$5*ATM_Conf!$C$9)/(AC356*ATM_Conf!$C$8)*(AD168-AC168)/(AC168+ATM_Conf!$C$10)</f>
        <v>#DIV/0!</v>
      </c>
      <c r="AX169" s="43" t="e">
        <f>AX168+(ATM_Conf!$C$5/ATM_Conf!$C$8)*(BR169*EXP(-(1/DF169)*(AD169/CL169)^DF169)-AX168)+(ATM_Conf!$C$5/AD356)*AX168*(Nodes!BG168-AX168)-(ATM_Conf!$C$5*ATM_Conf!$C$9)/(AD356*ATM_Conf!$C$8)*(Nodes!BU168-AD168)/(AD168+ATM_Conf!$C$10)</f>
        <v>#DIV/0!</v>
      </c>
      <c r="AY169" s="43" t="e">
        <f>AY168+(ATM_Conf!$C$5/ATM_Conf!$C$8)*(BS169*EXP(-(1/DG169)*(AE169/CM169)^DG169)-AY168)+(ATM_Conf!$C$5/AE356)*AY168*(Nodes!BF168-AY168)</f>
        <v>#DIV/0!</v>
      </c>
      <c r="AZ169" s="43" t="e">
        <f>AZ168+(ATM_Conf!$C$5/ATM_Conf!$C$8)*(BT169*EXP(-(1/DH169)*(AF169/CN169)^DH169)-AZ168)-(ATM_Conf!$C$5*ATM_Conf!$C$9)/(AF356*ATM_Conf!$C$8)*(Nodes!BV168-AF168)/(AF168+ATM_Conf!$C$10)</f>
        <v>#DIV/0!</v>
      </c>
      <c r="BA169" s="43" t="e">
        <f>BA168+(ATM_Conf!$C$5/ATM_Conf!$C$8)*(BU169*EXP(-(1/DI169)*(AG169/CO169)^DI169)-BA168)+(ATM_Conf!$C$5/AG356)*BA168*(Nodes!BI168-BA168)-(ATM_Conf!$C$5*ATM_Conf!$C$9)/(AG356*ATM_Conf!$C$8)*(Nodes!BW168-AG168)/(AG168+ATM_Conf!$C$10)</f>
        <v>#DIV/0!</v>
      </c>
      <c r="BB169" s="43" t="e">
        <f>BB168+(ATM_Conf!$C$5/ATM_Conf!$C$8)*(BV169*EXP(-(1/DJ169)*(AH169/CP169)^DJ169)-BB168)+(ATM_Conf!$C$5/AH356)*BB168*(Nodes!BJ168-BB168)-(ATM_Conf!$C$5*ATM_Conf!$C$9)/(AH356*ATM_Conf!$C$8)*(AI168-AH168)/(AH168+ATM_Conf!$C$10)</f>
        <v>#DIV/0!</v>
      </c>
      <c r="BC169" s="43" t="e">
        <f>BC168+(ATM_Conf!$C$5/ATM_Conf!$C$8)*(BW169*EXP(-(1/DK169)*(AI169/CQ169)^DK169)-BC168)+(ATM_Conf!$C$5/AI356)*BC168*(BB168-BC168)-(ATM_Conf!$C$5*ATM_Conf!$C$9)/(AI356*ATM_Conf!$C$8)*(AJ168-AI168)/(AI168+ATM_Conf!$C$10)</f>
        <v>#DIV/0!</v>
      </c>
      <c r="BD169" s="43" t="e">
        <f>BD168+(ATM_Conf!$C$5/ATM_Conf!$C$8)*(BX169*EXP(-(1/DL169)*(AJ169/CR169)^DL169)-BD168)+(ATM_Conf!$C$5/AJ356)*BD168*(BC168-BD168)-(ATM_Conf!$C$5*ATM_Conf!$C$9)/(AJ356*ATM_Conf!$C$8)*(Nodes!BX168-AJ168)/(AJ168+ATM_Conf!$C$10)</f>
        <v>#DIV/0!</v>
      </c>
      <c r="BE169" s="43" t="e">
        <f>BE168+(ATM_Conf!$C$5/ATM_Conf!$C$8)*(BY169*EXP(-(1/DM169)*(AK169/CS169)^DM169)-BE168)+(ATM_Conf!$C$5/AK356)*BE168*(Nodes!BK168-BE168)-(ATM_Conf!$C$5*ATM_Conf!$C$9)/(AK356*ATM_Conf!$C$8)*(Nodes!BY168-AK168)/(AK168+ATM_Conf!$C$10)</f>
        <v>#DIV/0!</v>
      </c>
      <c r="BF169" s="43" t="e">
        <f>BF168+(ATM_Conf!$C$5/ATM_Conf!$C$8)*(BZ169*EXP(-(1/DN169)*(AL169/CT169)^DN169)-BF168)+(ATM_Conf!$C$5/AL356)*BF168*(BE168-BF168)-(ATM_Conf!$C$5*ATM_Conf!$C$9)/(AL356*ATM_Conf!$C$8)*(AM168-AL168)/(AL168+ATM_Conf!$C$10)</f>
        <v>#DIV/0!</v>
      </c>
      <c r="BG169" s="43" t="e">
        <f>BG168+(ATM_Conf!$C$5/ATM_Conf!$C$8)*(CA169*EXP(-(1/DO169)*(AM169/CU169)^DO169)-BG168)+(ATM_Conf!$C$5/AM356)*BG168*(Nodes!BM168-BG168)-(ATM_Conf!$C$5*ATM_Conf!$C$9)/(AM356*ATM_Conf!$C$8)*(Nodes!CA168-AM168)/(AM168+ATM_Conf!$C$10)</f>
        <v>#DIV/0!</v>
      </c>
      <c r="BH169" s="43" t="e">
        <f>BH168+(ATM_Conf!$C$5/ATM_Conf!$C$8)*(CB169*EXP(-(1/DP169)*(AN169/CV169)^DP169)-BH168)+(ATM_Conf!$C$5/AN356)*BH168*(BG168-BH168)-(ATM_Conf!$C$5*ATM_Conf!$C$9)/(AN356*ATM_Conf!$C$8)*(AO168-AN168)/(AN168+ATM_Conf!$C$10)</f>
        <v>#DIV/0!</v>
      </c>
      <c r="BI169" s="43" t="e">
        <f>BI168+(ATM_Conf!$C$5/ATM_Conf!$C$8)*(CC169*EXP(-(1/DQ169)*(AO169/CW169)^DQ169)-BI168)+(ATM_Conf!$C$5/AO356)*BI168*(BH168-BI168)</f>
        <v>#DIV/0!</v>
      </c>
      <c r="BJ169" s="53"/>
      <c r="BK169" s="53"/>
      <c r="BL169" s="53"/>
      <c r="BM169" s="53"/>
      <c r="BN169" s="53"/>
      <c r="BO169" s="53"/>
      <c r="BP169" s="53"/>
      <c r="BQ169" s="53"/>
      <c r="BR169" s="53"/>
      <c r="BS169" s="53"/>
      <c r="BT169" s="53"/>
      <c r="BU169" s="53"/>
      <c r="BV169" s="53"/>
      <c r="BW169" s="53"/>
      <c r="BX169" s="53"/>
      <c r="BY169" s="53"/>
      <c r="BZ169" s="53"/>
      <c r="CA169" s="53"/>
      <c r="CB169" s="53"/>
      <c r="CC169" s="5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53"/>
      <c r="CY169" s="53"/>
      <c r="CZ169" s="53"/>
      <c r="DA169" s="53"/>
      <c r="DB169" s="53"/>
      <c r="DC169" s="53"/>
      <c r="DD169" s="53"/>
      <c r="DE169" s="53"/>
      <c r="DF169" s="53"/>
      <c r="DG169" s="53"/>
      <c r="DH169" s="53"/>
      <c r="DI169" s="53"/>
      <c r="DJ169" s="53"/>
      <c r="DK169" s="53"/>
      <c r="DL169" s="53"/>
      <c r="DM169" s="53"/>
      <c r="DN169" s="53"/>
      <c r="DO169" s="53"/>
      <c r="DP169" s="53"/>
      <c r="DQ169" s="53"/>
      <c r="DR169" s="43">
        <f t="shared" si="102"/>
        <v>0</v>
      </c>
      <c r="DS169" s="43">
        <f t="shared" si="101"/>
        <v>0</v>
      </c>
      <c r="DT169" s="43">
        <f t="shared" si="101"/>
        <v>0</v>
      </c>
      <c r="DU169" s="43">
        <f t="shared" si="101"/>
        <v>0</v>
      </c>
      <c r="DV169" s="43">
        <f t="shared" si="101"/>
        <v>0</v>
      </c>
      <c r="DW169" s="43">
        <f t="shared" si="101"/>
        <v>0</v>
      </c>
      <c r="DX169" s="43">
        <f t="shared" si="101"/>
        <v>0</v>
      </c>
      <c r="DY169" s="43">
        <f t="shared" si="101"/>
        <v>0</v>
      </c>
      <c r="DZ169" s="43">
        <f t="shared" si="101"/>
        <v>0</v>
      </c>
      <c r="EA169" s="43">
        <f t="shared" si="101"/>
        <v>0</v>
      </c>
      <c r="EB169" s="43">
        <f t="shared" si="101"/>
        <v>0</v>
      </c>
      <c r="EC169" s="43">
        <f t="shared" si="101"/>
        <v>0</v>
      </c>
      <c r="ED169" s="43">
        <f t="shared" si="101"/>
        <v>0</v>
      </c>
      <c r="EE169" s="43">
        <f t="shared" si="101"/>
        <v>0</v>
      </c>
      <c r="EF169" s="43">
        <f t="shared" si="101"/>
        <v>0</v>
      </c>
      <c r="EG169" s="43">
        <f t="shared" si="101"/>
        <v>0</v>
      </c>
      <c r="EH169" s="43">
        <f t="shared" si="101"/>
        <v>0</v>
      </c>
      <c r="EI169" s="43">
        <f t="shared" si="101"/>
        <v>0</v>
      </c>
      <c r="EJ169" s="43">
        <f t="shared" si="101"/>
        <v>0</v>
      </c>
      <c r="EK169" s="43">
        <f t="shared" si="101"/>
        <v>0</v>
      </c>
      <c r="EL169" s="47"/>
      <c r="EM169" s="47"/>
      <c r="EN169" s="47"/>
      <c r="EO169" s="47"/>
      <c r="EP169" s="47"/>
      <c r="EQ169" s="47"/>
      <c r="ER169" s="47"/>
      <c r="ES169" s="47"/>
      <c r="ET169" s="47"/>
      <c r="EU169" s="47"/>
      <c r="EV169" s="47"/>
      <c r="EW169" s="47"/>
      <c r="EX169" s="47"/>
      <c r="EY169" s="47"/>
      <c r="EZ169" s="47"/>
      <c r="FA169" s="47"/>
      <c r="FB169" s="47"/>
      <c r="FC169" s="47"/>
      <c r="FD169" s="47"/>
      <c r="FE169" s="47"/>
    </row>
    <row r="170" spans="1:161" ht="14.25" x14ac:dyDescent="0.15">
      <c r="A170" s="46"/>
      <c r="B170" s="43" t="e">
        <f t="shared" si="74"/>
        <v>#DIV/0!</v>
      </c>
      <c r="C170" s="43" t="e">
        <f t="shared" si="75"/>
        <v>#DIV/0!</v>
      </c>
      <c r="D170" s="43" t="e">
        <f t="shared" si="76"/>
        <v>#DIV/0!</v>
      </c>
      <c r="E170" s="43" t="e">
        <f t="shared" si="77"/>
        <v>#DIV/0!</v>
      </c>
      <c r="F170" s="43" t="e">
        <f t="shared" si="78"/>
        <v>#DIV/0!</v>
      </c>
      <c r="G170" s="43" t="e">
        <f t="shared" si="79"/>
        <v>#DIV/0!</v>
      </c>
      <c r="H170" s="43" t="e">
        <f t="shared" si="80"/>
        <v>#DIV/0!</v>
      </c>
      <c r="I170" s="43" t="e">
        <f t="shared" si="81"/>
        <v>#DIV/0!</v>
      </c>
      <c r="J170" s="43" t="e">
        <f t="shared" si="82"/>
        <v>#DIV/0!</v>
      </c>
      <c r="K170" s="43" t="e">
        <f t="shared" si="83"/>
        <v>#DIV/0!</v>
      </c>
      <c r="L170" s="43" t="e">
        <f t="shared" si="84"/>
        <v>#DIV/0!</v>
      </c>
      <c r="M170" s="43" t="e">
        <f t="shared" si="85"/>
        <v>#DIV/0!</v>
      </c>
      <c r="N170" s="43" t="e">
        <f t="shared" si="86"/>
        <v>#DIV/0!</v>
      </c>
      <c r="O170" s="43" t="e">
        <f t="shared" si="87"/>
        <v>#DIV/0!</v>
      </c>
      <c r="P170" s="43" t="e">
        <f t="shared" si="88"/>
        <v>#DIV/0!</v>
      </c>
      <c r="Q170" s="43" t="e">
        <f t="shared" si="89"/>
        <v>#DIV/0!</v>
      </c>
      <c r="R170" s="43" t="e">
        <f t="shared" si="90"/>
        <v>#DIV/0!</v>
      </c>
      <c r="S170" s="43" t="e">
        <f t="shared" si="91"/>
        <v>#DIV/0!</v>
      </c>
      <c r="T170" s="43" t="e">
        <f t="shared" si="92"/>
        <v>#DIV/0!</v>
      </c>
      <c r="U170" s="43" t="e">
        <f t="shared" si="93"/>
        <v>#DIV/0!</v>
      </c>
      <c r="V170" s="53" t="e">
        <f>V169+ATM_Conf!$C$5*(B169)/(B357*V357)</f>
        <v>#DIV/0!</v>
      </c>
      <c r="W170" s="53" t="e">
        <f>W169+ATM_Conf!$C$5*(C169-B169)/(C357*W357)</f>
        <v>#DIV/0!</v>
      </c>
      <c r="X170" s="53" t="e">
        <f>X169+ATM_Conf!$C$5*(D169-C169)/(D357*X357)</f>
        <v>#DIV/0!</v>
      </c>
      <c r="Y170" s="53" t="e">
        <f>Y169+ATM_Conf!$C$5*(E169-D169)/(E357*Y357)</f>
        <v>#DIV/0!</v>
      </c>
      <c r="Z170" s="53" t="e">
        <f>Z169+ATM_Conf!$C$5*(F169-E169)/(F357*Z357)</f>
        <v>#DIV/0!</v>
      </c>
      <c r="AA170" s="53" t="e">
        <f>AA169+ATM_Conf!$C$5*(G169-F169)/(G357*AA357)</f>
        <v>#DIV/0!</v>
      </c>
      <c r="AB170" s="53" t="e">
        <f>AB169+ATM_Conf!$C$5*(H169-G169)/(H357*AB357)</f>
        <v>#DIV/0!</v>
      </c>
      <c r="AC170" s="53" t="e">
        <f>AC169+ATM_Conf!$C$5*(I169-H169)/(I357*AC357)</f>
        <v>#DIV/0!</v>
      </c>
      <c r="AD170" s="53" t="e">
        <f>AD169+ATM_Conf!$C$5*(J169-I169)/(J357*AD357)</f>
        <v>#DIV/0!</v>
      </c>
      <c r="AE170" s="53" t="e">
        <f>AE169+ATM_Conf!$C$5*(K169-J169)/(K357*AE357)</f>
        <v>#DIV/0!</v>
      </c>
      <c r="AF170" s="53" t="e">
        <f>AF169+ATM_Conf!$C$5*(L169)/(L357*AF357)</f>
        <v>#DIV/0!</v>
      </c>
      <c r="AG170" s="53" t="e">
        <f>AG169+ATM_Conf!$C$5*(M169-L169)/(M357*AG357)</f>
        <v>#DIV/0!</v>
      </c>
      <c r="AH170" s="53" t="e">
        <f>AH169+ATM_Conf!$C$5*(N169-M169)/(N357*AH357)</f>
        <v>#DIV/0!</v>
      </c>
      <c r="AI170" s="53" t="e">
        <f>AI169+ATM_Conf!$C$5*(O169-N169)/(O357*AI357)</f>
        <v>#DIV/0!</v>
      </c>
      <c r="AJ170" s="53" t="e">
        <f>AJ169+ATM_Conf!$C$5*(P169-O169)/(P357*AJ357)</f>
        <v>#DIV/0!</v>
      </c>
      <c r="AK170" s="53" t="e">
        <f>AK169+ATM_Conf!$C$5*(Q169-P169)/(Q357*AK357)</f>
        <v>#DIV/0!</v>
      </c>
      <c r="AL170" s="53" t="e">
        <f>AL169+ATM_Conf!$C$5*(R169-Q169)/(R357*AL357)</f>
        <v>#DIV/0!</v>
      </c>
      <c r="AM170" s="53" t="e">
        <f>AM169+ATM_Conf!$C$5*(S169-R169)/(S357*AM357)</f>
        <v>#DIV/0!</v>
      </c>
      <c r="AN170" s="53" t="e">
        <f>AN169+ATM_Conf!$C$5*(T169-S169)/(T357*AN357)</f>
        <v>#DIV/0!</v>
      </c>
      <c r="AO170" s="53" t="e">
        <f>AO169+ATM_Conf!$C$5*(U169-T169)/(U357*AO357)</f>
        <v>#DIV/0!</v>
      </c>
      <c r="AP170" s="43" t="e">
        <f>AP169+(ATM_Conf!$C$5/ATM_Conf!$C$8)*(BJ170*EXP(-(1/CX170)*(V170/CD170)^CX170)-AP169)-(ATM_Conf!$C$5*ATM_Conf!$C$9)/(V357*ATM_Conf!$C$8)*(Nodes!BO169-V169)/(V169+ATM_Conf!$C$10)</f>
        <v>#DIV/0!</v>
      </c>
      <c r="AQ170" s="43" t="e">
        <f>AQ169+(ATM_Conf!$C$5/ATM_Conf!$C$8)*(BK170*EXP(-(1/CY170)*(W170/CE170)^CY170)-AQ169)+(ATM_Conf!$C$5/W357)*AQ169*(AP169-AQ169)-(ATM_Conf!$C$5*ATM_Conf!$C$9)/(W357*ATM_Conf!$C$8)*(X169-W169)/(W169+ATM_Conf!$C$10)</f>
        <v>#DIV/0!</v>
      </c>
      <c r="AR170" s="43" t="e">
        <f>AR169+(ATM_Conf!$C$5/ATM_Conf!$C$8)*(BL170*EXP(-(1/CZ170)*(X170/CF170)^CZ170)-AR169)+(ATM_Conf!$C$5/X357)*AR169*(Nodes!BC169-AR169)-(ATM_Conf!$C$5*ATM_Conf!$C$9)/(X357*ATM_Conf!$C$8)*(Nodes!BQ169-X169)/(X169+ATM_Conf!$C$10)</f>
        <v>#DIV/0!</v>
      </c>
      <c r="AS170" s="43" t="e">
        <f>AS169+(ATM_Conf!$C$5/ATM_Conf!$C$8)*(BM170*EXP(-(1/DA170)*(Y170/CG170)^DA170)-AS169)+(ATM_Conf!$C$5/Y357)*AS169*(AR169-AS169)-(ATM_Conf!$C$5*ATM_Conf!$C$9)/(Y357*ATM_Conf!$C$8)*(Z169-Y169)/(Y169+ATM_Conf!$C$10)</f>
        <v>#DIV/0!</v>
      </c>
      <c r="AT170" s="43" t="e">
        <f>AT169+(ATM_Conf!$C$5/ATM_Conf!$C$8)*(BN170*EXP(-(1/DB170)*(Z170/CH170)^DB170)-AT169)+(ATM_Conf!$C$5/Z357)*AT169*(Nodes!BE169-AT169)-(ATM_Conf!$C$5*ATM_Conf!$C$9)/(Z357*ATM_Conf!$C$8)*(Nodes!BS169-Z169)/(Z169+ATM_Conf!$C$10)</f>
        <v>#DIV/0!</v>
      </c>
      <c r="AU170" s="43" t="e">
        <f>AU169+(ATM_Conf!$C$5/ATM_Conf!$C$8)*(BO170*EXP(-(1/DC170)*(AA170/CI170)^DC170)-AU169)+(ATM_Conf!$C$5/AA357)*AU169*(Nodes!BF169-AU169)-(ATM_Conf!$C$5*ATM_Conf!$C$9)/(AA357*ATM_Conf!$C$8)*(Nodes!BV169-AA169)/(AA169+ATM_Conf!$C$10)</f>
        <v>#DIV/0!</v>
      </c>
      <c r="AV170" s="43" t="e">
        <f>AV169+(ATM_Conf!$C$5/ATM_Conf!$C$8)*(BP170*EXP(-(1/DD170)*(AB170/CJ170)^DD170)-AV169)+(ATM_Conf!$C$5/AB357)*AV169*(AU169-AV169)-(ATM_Conf!$C$5*ATM_Conf!$C$9)/(AB357*ATM_Conf!$C$8)*(AC169-AB169)/(AB169+ATM_Conf!$C$10)</f>
        <v>#DIV/0!</v>
      </c>
      <c r="AW170" s="43" t="e">
        <f>AW169+(ATM_Conf!$C$5/ATM_Conf!$C$8)*(BQ170*EXP(-(1/DE170)*(AC170/CK170)^DE170)-AW169)+(ATM_Conf!$C$5/AC357)*AW169*(AV169-AW169)-(ATM_Conf!$C$5*ATM_Conf!$C$9)/(AC357*ATM_Conf!$C$8)*(AD169-AC169)/(AC169+ATM_Conf!$C$10)</f>
        <v>#DIV/0!</v>
      </c>
      <c r="AX170" s="43" t="e">
        <f>AX169+(ATM_Conf!$C$5/ATM_Conf!$C$8)*(BR170*EXP(-(1/DF170)*(AD170/CL170)^DF170)-AX169)+(ATM_Conf!$C$5/AD357)*AX169*(Nodes!BG169-AX169)-(ATM_Conf!$C$5*ATM_Conf!$C$9)/(AD357*ATM_Conf!$C$8)*(Nodes!BU169-AD169)/(AD169+ATM_Conf!$C$10)</f>
        <v>#DIV/0!</v>
      </c>
      <c r="AY170" s="43" t="e">
        <f>AY169+(ATM_Conf!$C$5/ATM_Conf!$C$8)*(BS170*EXP(-(1/DG170)*(AE170/CM170)^DG170)-AY169)+(ATM_Conf!$C$5/AE357)*AY169*(Nodes!BF169-AY169)</f>
        <v>#DIV/0!</v>
      </c>
      <c r="AZ170" s="43" t="e">
        <f>AZ169+(ATM_Conf!$C$5/ATM_Conf!$C$8)*(BT170*EXP(-(1/DH170)*(AF170/CN170)^DH170)-AZ169)-(ATM_Conf!$C$5*ATM_Conf!$C$9)/(AF357*ATM_Conf!$C$8)*(Nodes!BV169-AF169)/(AF169+ATM_Conf!$C$10)</f>
        <v>#DIV/0!</v>
      </c>
      <c r="BA170" s="43" t="e">
        <f>BA169+(ATM_Conf!$C$5/ATM_Conf!$C$8)*(BU170*EXP(-(1/DI170)*(AG170/CO170)^DI170)-BA169)+(ATM_Conf!$C$5/AG357)*BA169*(Nodes!BI169-BA169)-(ATM_Conf!$C$5*ATM_Conf!$C$9)/(AG357*ATM_Conf!$C$8)*(Nodes!BW169-AG169)/(AG169+ATM_Conf!$C$10)</f>
        <v>#DIV/0!</v>
      </c>
      <c r="BB170" s="43" t="e">
        <f>BB169+(ATM_Conf!$C$5/ATM_Conf!$C$8)*(BV170*EXP(-(1/DJ170)*(AH170/CP170)^DJ170)-BB169)+(ATM_Conf!$C$5/AH357)*BB169*(Nodes!BJ169-BB169)-(ATM_Conf!$C$5*ATM_Conf!$C$9)/(AH357*ATM_Conf!$C$8)*(AI169-AH169)/(AH169+ATM_Conf!$C$10)</f>
        <v>#DIV/0!</v>
      </c>
      <c r="BC170" s="43" t="e">
        <f>BC169+(ATM_Conf!$C$5/ATM_Conf!$C$8)*(BW170*EXP(-(1/DK170)*(AI170/CQ170)^DK170)-BC169)+(ATM_Conf!$C$5/AI357)*BC169*(BB169-BC169)-(ATM_Conf!$C$5*ATM_Conf!$C$9)/(AI357*ATM_Conf!$C$8)*(AJ169-AI169)/(AI169+ATM_Conf!$C$10)</f>
        <v>#DIV/0!</v>
      </c>
      <c r="BD170" s="43" t="e">
        <f>BD169+(ATM_Conf!$C$5/ATM_Conf!$C$8)*(BX170*EXP(-(1/DL170)*(AJ170/CR170)^DL170)-BD169)+(ATM_Conf!$C$5/AJ357)*BD169*(BC169-BD169)-(ATM_Conf!$C$5*ATM_Conf!$C$9)/(AJ357*ATM_Conf!$C$8)*(Nodes!BX169-AJ169)/(AJ169+ATM_Conf!$C$10)</f>
        <v>#DIV/0!</v>
      </c>
      <c r="BE170" s="43" t="e">
        <f>BE169+(ATM_Conf!$C$5/ATM_Conf!$C$8)*(BY170*EXP(-(1/DM170)*(AK170/CS170)^DM170)-BE169)+(ATM_Conf!$C$5/AK357)*BE169*(Nodes!BK169-BE169)-(ATM_Conf!$C$5*ATM_Conf!$C$9)/(AK357*ATM_Conf!$C$8)*(Nodes!BY169-AK169)/(AK169+ATM_Conf!$C$10)</f>
        <v>#DIV/0!</v>
      </c>
      <c r="BF170" s="43" t="e">
        <f>BF169+(ATM_Conf!$C$5/ATM_Conf!$C$8)*(BZ170*EXP(-(1/DN170)*(AL170/CT170)^DN170)-BF169)+(ATM_Conf!$C$5/AL357)*BF169*(BE169-BF169)-(ATM_Conf!$C$5*ATM_Conf!$C$9)/(AL357*ATM_Conf!$C$8)*(AM169-AL169)/(AL169+ATM_Conf!$C$10)</f>
        <v>#DIV/0!</v>
      </c>
      <c r="BG170" s="43" t="e">
        <f>BG169+(ATM_Conf!$C$5/ATM_Conf!$C$8)*(CA170*EXP(-(1/DO170)*(AM170/CU170)^DO170)-BG169)+(ATM_Conf!$C$5/AM357)*BG169*(Nodes!BM169-BG169)-(ATM_Conf!$C$5*ATM_Conf!$C$9)/(AM357*ATM_Conf!$C$8)*(Nodes!CA169-AM169)/(AM169+ATM_Conf!$C$10)</f>
        <v>#DIV/0!</v>
      </c>
      <c r="BH170" s="43" t="e">
        <f>BH169+(ATM_Conf!$C$5/ATM_Conf!$C$8)*(CB170*EXP(-(1/DP170)*(AN170/CV170)^DP170)-BH169)+(ATM_Conf!$C$5/AN357)*BH169*(BG169-BH169)-(ATM_Conf!$C$5*ATM_Conf!$C$9)/(AN357*ATM_Conf!$C$8)*(AO169-AN169)/(AN169+ATM_Conf!$C$10)</f>
        <v>#DIV/0!</v>
      </c>
      <c r="BI170" s="43" t="e">
        <f>BI169+(ATM_Conf!$C$5/ATM_Conf!$C$8)*(CC170*EXP(-(1/DQ170)*(AO170/CW170)^DQ170)-BI169)+(ATM_Conf!$C$5/AO357)*BI169*(BH169-BI169)</f>
        <v>#DIV/0!</v>
      </c>
      <c r="BJ170" s="53"/>
      <c r="BK170" s="53"/>
      <c r="BL170" s="53"/>
      <c r="BM170" s="53"/>
      <c r="BN170" s="53"/>
      <c r="BO170" s="53"/>
      <c r="BP170" s="53"/>
      <c r="BQ170" s="53"/>
      <c r="BR170" s="53"/>
      <c r="BS170" s="53"/>
      <c r="BT170" s="53"/>
      <c r="BU170" s="53"/>
      <c r="BV170" s="53"/>
      <c r="BW170" s="53"/>
      <c r="BX170" s="53"/>
      <c r="BY170" s="53"/>
      <c r="BZ170" s="53"/>
      <c r="CA170" s="53"/>
      <c r="CB170" s="53"/>
      <c r="CC170" s="5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53"/>
      <c r="CY170" s="53"/>
      <c r="CZ170" s="53"/>
      <c r="DA170" s="53"/>
      <c r="DB170" s="53"/>
      <c r="DC170" s="53"/>
      <c r="DD170" s="53"/>
      <c r="DE170" s="53"/>
      <c r="DF170" s="53"/>
      <c r="DG170" s="53"/>
      <c r="DH170" s="53"/>
      <c r="DI170" s="53"/>
      <c r="DJ170" s="53"/>
      <c r="DK170" s="53"/>
      <c r="DL170" s="53"/>
      <c r="DM170" s="53"/>
      <c r="DN170" s="53"/>
      <c r="DO170" s="53"/>
      <c r="DP170" s="53"/>
      <c r="DQ170" s="53"/>
      <c r="DR170" s="43">
        <f t="shared" si="102"/>
        <v>0</v>
      </c>
      <c r="DS170" s="43">
        <f t="shared" si="101"/>
        <v>0</v>
      </c>
      <c r="DT170" s="43">
        <f t="shared" si="101"/>
        <v>0</v>
      </c>
      <c r="DU170" s="43">
        <f t="shared" si="101"/>
        <v>0</v>
      </c>
      <c r="DV170" s="43">
        <f t="shared" si="101"/>
        <v>0</v>
      </c>
      <c r="DW170" s="43">
        <f t="shared" si="101"/>
        <v>0</v>
      </c>
      <c r="DX170" s="43">
        <f t="shared" si="101"/>
        <v>0</v>
      </c>
      <c r="DY170" s="43">
        <f t="shared" si="101"/>
        <v>0</v>
      </c>
      <c r="DZ170" s="43">
        <f t="shared" si="101"/>
        <v>0</v>
      </c>
      <c r="EA170" s="43">
        <f t="shared" si="101"/>
        <v>0</v>
      </c>
      <c r="EB170" s="43">
        <f t="shared" si="101"/>
        <v>0</v>
      </c>
      <c r="EC170" s="43">
        <f t="shared" si="101"/>
        <v>0</v>
      </c>
      <c r="ED170" s="43">
        <f t="shared" si="101"/>
        <v>0</v>
      </c>
      <c r="EE170" s="43">
        <f t="shared" si="101"/>
        <v>0</v>
      </c>
      <c r="EF170" s="43">
        <f t="shared" si="101"/>
        <v>0</v>
      </c>
      <c r="EG170" s="43">
        <f t="shared" si="101"/>
        <v>0</v>
      </c>
      <c r="EH170" s="43">
        <f t="shared" si="101"/>
        <v>0</v>
      </c>
      <c r="EI170" s="43">
        <f t="shared" si="101"/>
        <v>0</v>
      </c>
      <c r="EJ170" s="43">
        <f t="shared" si="101"/>
        <v>0</v>
      </c>
      <c r="EK170" s="43">
        <f t="shared" si="101"/>
        <v>0</v>
      </c>
      <c r="EL170" s="47"/>
      <c r="EM170" s="47"/>
      <c r="EN170" s="47"/>
      <c r="EO170" s="47"/>
      <c r="EP170" s="47"/>
      <c r="EQ170" s="47"/>
      <c r="ER170" s="47"/>
      <c r="ES170" s="47"/>
      <c r="ET170" s="47"/>
      <c r="EU170" s="47"/>
      <c r="EV170" s="47"/>
      <c r="EW170" s="47"/>
      <c r="EX170" s="47"/>
      <c r="EY170" s="47"/>
      <c r="EZ170" s="47"/>
      <c r="FA170" s="47"/>
      <c r="FB170" s="47"/>
      <c r="FC170" s="47"/>
      <c r="FD170" s="47"/>
      <c r="FE170" s="47"/>
    </row>
    <row r="171" spans="1:161" ht="14.25" x14ac:dyDescent="0.15">
      <c r="A171" s="46"/>
      <c r="B171" s="43" t="e">
        <f t="shared" si="74"/>
        <v>#DIV/0!</v>
      </c>
      <c r="C171" s="43" t="e">
        <f t="shared" si="75"/>
        <v>#DIV/0!</v>
      </c>
      <c r="D171" s="43" t="e">
        <f t="shared" si="76"/>
        <v>#DIV/0!</v>
      </c>
      <c r="E171" s="43" t="e">
        <f t="shared" si="77"/>
        <v>#DIV/0!</v>
      </c>
      <c r="F171" s="43" t="e">
        <f t="shared" si="78"/>
        <v>#DIV/0!</v>
      </c>
      <c r="G171" s="43" t="e">
        <f t="shared" si="79"/>
        <v>#DIV/0!</v>
      </c>
      <c r="H171" s="43" t="e">
        <f t="shared" si="80"/>
        <v>#DIV/0!</v>
      </c>
      <c r="I171" s="43" t="e">
        <f t="shared" si="81"/>
        <v>#DIV/0!</v>
      </c>
      <c r="J171" s="43" t="e">
        <f t="shared" si="82"/>
        <v>#DIV/0!</v>
      </c>
      <c r="K171" s="43" t="e">
        <f t="shared" si="83"/>
        <v>#DIV/0!</v>
      </c>
      <c r="L171" s="43" t="e">
        <f t="shared" si="84"/>
        <v>#DIV/0!</v>
      </c>
      <c r="M171" s="43" t="e">
        <f t="shared" si="85"/>
        <v>#DIV/0!</v>
      </c>
      <c r="N171" s="43" t="e">
        <f t="shared" si="86"/>
        <v>#DIV/0!</v>
      </c>
      <c r="O171" s="43" t="e">
        <f t="shared" si="87"/>
        <v>#DIV/0!</v>
      </c>
      <c r="P171" s="43" t="e">
        <f t="shared" si="88"/>
        <v>#DIV/0!</v>
      </c>
      <c r="Q171" s="43" t="e">
        <f t="shared" si="89"/>
        <v>#DIV/0!</v>
      </c>
      <c r="R171" s="43" t="e">
        <f t="shared" si="90"/>
        <v>#DIV/0!</v>
      </c>
      <c r="S171" s="43" t="e">
        <f t="shared" si="91"/>
        <v>#DIV/0!</v>
      </c>
      <c r="T171" s="43" t="e">
        <f t="shared" si="92"/>
        <v>#DIV/0!</v>
      </c>
      <c r="U171" s="43" t="e">
        <f t="shared" si="93"/>
        <v>#DIV/0!</v>
      </c>
      <c r="V171" s="53" t="e">
        <f>V170+ATM_Conf!$C$5*(B170)/(B358*V358)</f>
        <v>#DIV/0!</v>
      </c>
      <c r="W171" s="53" t="e">
        <f>W170+ATM_Conf!$C$5*(C170-B170)/(C358*W358)</f>
        <v>#DIV/0!</v>
      </c>
      <c r="X171" s="53" t="e">
        <f>X170+ATM_Conf!$C$5*(D170-C170)/(D358*X358)</f>
        <v>#DIV/0!</v>
      </c>
      <c r="Y171" s="53" t="e">
        <f>Y170+ATM_Conf!$C$5*(E170-D170)/(E358*Y358)</f>
        <v>#DIV/0!</v>
      </c>
      <c r="Z171" s="53" t="e">
        <f>Z170+ATM_Conf!$C$5*(F170-E170)/(F358*Z358)</f>
        <v>#DIV/0!</v>
      </c>
      <c r="AA171" s="53" t="e">
        <f>AA170+ATM_Conf!$C$5*(G170-F170)/(G358*AA358)</f>
        <v>#DIV/0!</v>
      </c>
      <c r="AB171" s="53" t="e">
        <f>AB170+ATM_Conf!$C$5*(H170-G170)/(H358*AB358)</f>
        <v>#DIV/0!</v>
      </c>
      <c r="AC171" s="53" t="e">
        <f>AC170+ATM_Conf!$C$5*(I170-H170)/(I358*AC358)</f>
        <v>#DIV/0!</v>
      </c>
      <c r="AD171" s="53" t="e">
        <f>AD170+ATM_Conf!$C$5*(J170-I170)/(J358*AD358)</f>
        <v>#DIV/0!</v>
      </c>
      <c r="AE171" s="53" t="e">
        <f>AE170+ATM_Conf!$C$5*(K170-J170)/(K358*AE358)</f>
        <v>#DIV/0!</v>
      </c>
      <c r="AF171" s="53" t="e">
        <f>AF170+ATM_Conf!$C$5*(L170)/(L358*AF358)</f>
        <v>#DIV/0!</v>
      </c>
      <c r="AG171" s="53" t="e">
        <f>AG170+ATM_Conf!$C$5*(M170-L170)/(M358*AG358)</f>
        <v>#DIV/0!</v>
      </c>
      <c r="AH171" s="53" t="e">
        <f>AH170+ATM_Conf!$C$5*(N170-M170)/(N358*AH358)</f>
        <v>#DIV/0!</v>
      </c>
      <c r="AI171" s="53" t="e">
        <f>AI170+ATM_Conf!$C$5*(O170-N170)/(O358*AI358)</f>
        <v>#DIV/0!</v>
      </c>
      <c r="AJ171" s="53" t="e">
        <f>AJ170+ATM_Conf!$C$5*(P170-O170)/(P358*AJ358)</f>
        <v>#DIV/0!</v>
      </c>
      <c r="AK171" s="53" t="e">
        <f>AK170+ATM_Conf!$C$5*(Q170-P170)/(Q358*AK358)</f>
        <v>#DIV/0!</v>
      </c>
      <c r="AL171" s="53" t="e">
        <f>AL170+ATM_Conf!$C$5*(R170-Q170)/(R358*AL358)</f>
        <v>#DIV/0!</v>
      </c>
      <c r="AM171" s="53" t="e">
        <f>AM170+ATM_Conf!$C$5*(S170-R170)/(S358*AM358)</f>
        <v>#DIV/0!</v>
      </c>
      <c r="AN171" s="53" t="e">
        <f>AN170+ATM_Conf!$C$5*(T170-S170)/(T358*AN358)</f>
        <v>#DIV/0!</v>
      </c>
      <c r="AO171" s="53" t="e">
        <f>AO170+ATM_Conf!$C$5*(U170-T170)/(U358*AO358)</f>
        <v>#DIV/0!</v>
      </c>
      <c r="AP171" s="43" t="e">
        <f>AP170+(ATM_Conf!$C$5/ATM_Conf!$C$8)*(BJ171*EXP(-(1/CX171)*(V171/CD171)^CX171)-AP170)-(ATM_Conf!$C$5*ATM_Conf!$C$9)/(V358*ATM_Conf!$C$8)*(Nodes!BO170-V170)/(V170+ATM_Conf!$C$10)</f>
        <v>#DIV/0!</v>
      </c>
      <c r="AQ171" s="43" t="e">
        <f>AQ170+(ATM_Conf!$C$5/ATM_Conf!$C$8)*(BK171*EXP(-(1/CY171)*(W171/CE171)^CY171)-AQ170)+(ATM_Conf!$C$5/W358)*AQ170*(AP170-AQ170)-(ATM_Conf!$C$5*ATM_Conf!$C$9)/(W358*ATM_Conf!$C$8)*(X170-W170)/(W170+ATM_Conf!$C$10)</f>
        <v>#DIV/0!</v>
      </c>
      <c r="AR171" s="43" t="e">
        <f>AR170+(ATM_Conf!$C$5/ATM_Conf!$C$8)*(BL171*EXP(-(1/CZ171)*(X171/CF171)^CZ171)-AR170)+(ATM_Conf!$C$5/X358)*AR170*(Nodes!BC170-AR170)-(ATM_Conf!$C$5*ATM_Conf!$C$9)/(X358*ATM_Conf!$C$8)*(Nodes!BQ170-X170)/(X170+ATM_Conf!$C$10)</f>
        <v>#DIV/0!</v>
      </c>
      <c r="AS171" s="43" t="e">
        <f>AS170+(ATM_Conf!$C$5/ATM_Conf!$C$8)*(BM171*EXP(-(1/DA171)*(Y171/CG171)^DA171)-AS170)+(ATM_Conf!$C$5/Y358)*AS170*(AR170-AS170)-(ATM_Conf!$C$5*ATM_Conf!$C$9)/(Y358*ATM_Conf!$C$8)*(Z170-Y170)/(Y170+ATM_Conf!$C$10)</f>
        <v>#DIV/0!</v>
      </c>
      <c r="AT171" s="43" t="e">
        <f>AT170+(ATM_Conf!$C$5/ATM_Conf!$C$8)*(BN171*EXP(-(1/DB171)*(Z171/CH171)^DB171)-AT170)+(ATM_Conf!$C$5/Z358)*AT170*(Nodes!BE170-AT170)-(ATM_Conf!$C$5*ATM_Conf!$C$9)/(Z358*ATM_Conf!$C$8)*(Nodes!BS170-Z170)/(Z170+ATM_Conf!$C$10)</f>
        <v>#DIV/0!</v>
      </c>
      <c r="AU171" s="43" t="e">
        <f>AU170+(ATM_Conf!$C$5/ATM_Conf!$C$8)*(BO171*EXP(-(1/DC171)*(AA171/CI171)^DC171)-AU170)+(ATM_Conf!$C$5/AA358)*AU170*(Nodes!BF170-AU170)-(ATM_Conf!$C$5*ATM_Conf!$C$9)/(AA358*ATM_Conf!$C$8)*(Nodes!BV170-AA170)/(AA170+ATM_Conf!$C$10)</f>
        <v>#DIV/0!</v>
      </c>
      <c r="AV171" s="43" t="e">
        <f>AV170+(ATM_Conf!$C$5/ATM_Conf!$C$8)*(BP171*EXP(-(1/DD171)*(AB171/CJ171)^DD171)-AV170)+(ATM_Conf!$C$5/AB358)*AV170*(AU170-AV170)-(ATM_Conf!$C$5*ATM_Conf!$C$9)/(AB358*ATM_Conf!$C$8)*(AC170-AB170)/(AB170+ATM_Conf!$C$10)</f>
        <v>#DIV/0!</v>
      </c>
      <c r="AW171" s="43" t="e">
        <f>AW170+(ATM_Conf!$C$5/ATM_Conf!$C$8)*(BQ171*EXP(-(1/DE171)*(AC171/CK171)^DE171)-AW170)+(ATM_Conf!$C$5/AC358)*AW170*(AV170-AW170)-(ATM_Conf!$C$5*ATM_Conf!$C$9)/(AC358*ATM_Conf!$C$8)*(AD170-AC170)/(AC170+ATM_Conf!$C$10)</f>
        <v>#DIV/0!</v>
      </c>
      <c r="AX171" s="43" t="e">
        <f>AX170+(ATM_Conf!$C$5/ATM_Conf!$C$8)*(BR171*EXP(-(1/DF171)*(AD171/CL171)^DF171)-AX170)+(ATM_Conf!$C$5/AD358)*AX170*(Nodes!BG170-AX170)-(ATM_Conf!$C$5*ATM_Conf!$C$9)/(AD358*ATM_Conf!$C$8)*(Nodes!BU170-AD170)/(AD170+ATM_Conf!$C$10)</f>
        <v>#DIV/0!</v>
      </c>
      <c r="AY171" s="43" t="e">
        <f>AY170+(ATM_Conf!$C$5/ATM_Conf!$C$8)*(BS171*EXP(-(1/DG171)*(AE171/CM171)^DG171)-AY170)+(ATM_Conf!$C$5/AE358)*AY170*(Nodes!BF170-AY170)</f>
        <v>#DIV/0!</v>
      </c>
      <c r="AZ171" s="43" t="e">
        <f>AZ170+(ATM_Conf!$C$5/ATM_Conf!$C$8)*(BT171*EXP(-(1/DH171)*(AF171/CN171)^DH171)-AZ170)-(ATM_Conf!$C$5*ATM_Conf!$C$9)/(AF358*ATM_Conf!$C$8)*(Nodes!BV170-AF170)/(AF170+ATM_Conf!$C$10)</f>
        <v>#DIV/0!</v>
      </c>
      <c r="BA171" s="43" t="e">
        <f>BA170+(ATM_Conf!$C$5/ATM_Conf!$C$8)*(BU171*EXP(-(1/DI171)*(AG171/CO171)^DI171)-BA170)+(ATM_Conf!$C$5/AG358)*BA170*(Nodes!BI170-BA170)-(ATM_Conf!$C$5*ATM_Conf!$C$9)/(AG358*ATM_Conf!$C$8)*(Nodes!BW170-AG170)/(AG170+ATM_Conf!$C$10)</f>
        <v>#DIV/0!</v>
      </c>
      <c r="BB171" s="43" t="e">
        <f>BB170+(ATM_Conf!$C$5/ATM_Conf!$C$8)*(BV171*EXP(-(1/DJ171)*(AH171/CP171)^DJ171)-BB170)+(ATM_Conf!$C$5/AH358)*BB170*(Nodes!BJ170-BB170)-(ATM_Conf!$C$5*ATM_Conf!$C$9)/(AH358*ATM_Conf!$C$8)*(AI170-AH170)/(AH170+ATM_Conf!$C$10)</f>
        <v>#DIV/0!</v>
      </c>
      <c r="BC171" s="43" t="e">
        <f>BC170+(ATM_Conf!$C$5/ATM_Conf!$C$8)*(BW171*EXP(-(1/DK171)*(AI171/CQ171)^DK171)-BC170)+(ATM_Conf!$C$5/AI358)*BC170*(BB170-BC170)-(ATM_Conf!$C$5*ATM_Conf!$C$9)/(AI358*ATM_Conf!$C$8)*(AJ170-AI170)/(AI170+ATM_Conf!$C$10)</f>
        <v>#DIV/0!</v>
      </c>
      <c r="BD171" s="43" t="e">
        <f>BD170+(ATM_Conf!$C$5/ATM_Conf!$C$8)*(BX171*EXP(-(1/DL171)*(AJ171/CR171)^DL171)-BD170)+(ATM_Conf!$C$5/AJ358)*BD170*(BC170-BD170)-(ATM_Conf!$C$5*ATM_Conf!$C$9)/(AJ358*ATM_Conf!$C$8)*(Nodes!BX170-AJ170)/(AJ170+ATM_Conf!$C$10)</f>
        <v>#DIV/0!</v>
      </c>
      <c r="BE171" s="43" t="e">
        <f>BE170+(ATM_Conf!$C$5/ATM_Conf!$C$8)*(BY171*EXP(-(1/DM171)*(AK171/CS171)^DM171)-BE170)+(ATM_Conf!$C$5/AK358)*BE170*(Nodes!BK170-BE170)-(ATM_Conf!$C$5*ATM_Conf!$C$9)/(AK358*ATM_Conf!$C$8)*(Nodes!BY170-AK170)/(AK170+ATM_Conf!$C$10)</f>
        <v>#DIV/0!</v>
      </c>
      <c r="BF171" s="43" t="e">
        <f>BF170+(ATM_Conf!$C$5/ATM_Conf!$C$8)*(BZ171*EXP(-(1/DN171)*(AL171/CT171)^DN171)-BF170)+(ATM_Conf!$C$5/AL358)*BF170*(BE170-BF170)-(ATM_Conf!$C$5*ATM_Conf!$C$9)/(AL358*ATM_Conf!$C$8)*(AM170-AL170)/(AL170+ATM_Conf!$C$10)</f>
        <v>#DIV/0!</v>
      </c>
      <c r="BG171" s="43" t="e">
        <f>BG170+(ATM_Conf!$C$5/ATM_Conf!$C$8)*(CA171*EXP(-(1/DO171)*(AM171/CU171)^DO171)-BG170)+(ATM_Conf!$C$5/AM358)*BG170*(Nodes!BM170-BG170)-(ATM_Conf!$C$5*ATM_Conf!$C$9)/(AM358*ATM_Conf!$C$8)*(Nodes!CA170-AM170)/(AM170+ATM_Conf!$C$10)</f>
        <v>#DIV/0!</v>
      </c>
      <c r="BH171" s="43" t="e">
        <f>BH170+(ATM_Conf!$C$5/ATM_Conf!$C$8)*(CB171*EXP(-(1/DP171)*(AN171/CV171)^DP171)-BH170)+(ATM_Conf!$C$5/AN358)*BH170*(BG170-BH170)-(ATM_Conf!$C$5*ATM_Conf!$C$9)/(AN358*ATM_Conf!$C$8)*(AO170-AN170)/(AN170+ATM_Conf!$C$10)</f>
        <v>#DIV/0!</v>
      </c>
      <c r="BI171" s="43" t="e">
        <f>BI170+(ATM_Conf!$C$5/ATM_Conf!$C$8)*(CC171*EXP(-(1/DQ171)*(AO171/CW171)^DQ171)-BI170)+(ATM_Conf!$C$5/AO358)*BI170*(BH170-BI170)</f>
        <v>#DIV/0!</v>
      </c>
      <c r="BJ171" s="53"/>
      <c r="BK171" s="53"/>
      <c r="BL171" s="53"/>
      <c r="BM171" s="53"/>
      <c r="BN171" s="53"/>
      <c r="BO171" s="53"/>
      <c r="BP171" s="53"/>
      <c r="BQ171" s="53"/>
      <c r="BR171" s="53"/>
      <c r="BS171" s="53"/>
      <c r="BT171" s="53"/>
      <c r="BU171" s="53"/>
      <c r="BV171" s="53"/>
      <c r="BW171" s="53"/>
      <c r="BX171" s="53"/>
      <c r="BY171" s="53"/>
      <c r="BZ171" s="53"/>
      <c r="CA171" s="53"/>
      <c r="CB171" s="53"/>
      <c r="CC171" s="5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53"/>
      <c r="CY171" s="53"/>
      <c r="CZ171" s="53"/>
      <c r="DA171" s="53"/>
      <c r="DB171" s="53"/>
      <c r="DC171" s="53"/>
      <c r="DD171" s="53"/>
      <c r="DE171" s="53"/>
      <c r="DF171" s="53"/>
      <c r="DG171" s="53"/>
      <c r="DH171" s="53"/>
      <c r="DI171" s="53"/>
      <c r="DJ171" s="53"/>
      <c r="DK171" s="53"/>
      <c r="DL171" s="53"/>
      <c r="DM171" s="53"/>
      <c r="DN171" s="53"/>
      <c r="DO171" s="53"/>
      <c r="DP171" s="53"/>
      <c r="DQ171" s="53"/>
      <c r="DR171" s="62"/>
      <c r="DS171" s="62"/>
      <c r="DT171" s="62"/>
      <c r="DU171" s="62"/>
      <c r="DV171" s="62"/>
      <c r="DW171" s="62"/>
      <c r="DX171" s="62"/>
      <c r="DY171" s="62"/>
      <c r="DZ171" s="62"/>
      <c r="EA171" s="62"/>
      <c r="EB171" s="62"/>
      <c r="EC171" s="62"/>
      <c r="ED171" s="62"/>
      <c r="EE171" s="62"/>
      <c r="EF171" s="62"/>
      <c r="EG171" s="62"/>
      <c r="EH171" s="62"/>
      <c r="EI171" s="62"/>
      <c r="EJ171" s="62"/>
      <c r="EK171" s="62"/>
      <c r="EL171" s="47">
        <f>(DR171-DR159)^2</f>
        <v>0</v>
      </c>
      <c r="EM171" s="47">
        <f t="shared" ref="EM171:FE171" si="103">(DS171-DS159)^2</f>
        <v>0</v>
      </c>
      <c r="EN171" s="47">
        <f t="shared" si="103"/>
        <v>0</v>
      </c>
      <c r="EO171" s="47">
        <f t="shared" si="103"/>
        <v>0</v>
      </c>
      <c r="EP171" s="47">
        <f t="shared" si="103"/>
        <v>0</v>
      </c>
      <c r="EQ171" s="47">
        <f t="shared" si="103"/>
        <v>0</v>
      </c>
      <c r="ER171" s="47">
        <f t="shared" si="103"/>
        <v>0</v>
      </c>
      <c r="ES171" s="47">
        <f t="shared" si="103"/>
        <v>0</v>
      </c>
      <c r="ET171" s="47">
        <f t="shared" si="103"/>
        <v>0</v>
      </c>
      <c r="EU171" s="47">
        <f t="shared" si="103"/>
        <v>0</v>
      </c>
      <c r="EV171" s="47">
        <f t="shared" si="103"/>
        <v>0</v>
      </c>
      <c r="EW171" s="47">
        <f t="shared" si="103"/>
        <v>0</v>
      </c>
      <c r="EX171" s="47">
        <f t="shared" si="103"/>
        <v>0</v>
      </c>
      <c r="EY171" s="47">
        <f t="shared" si="103"/>
        <v>0</v>
      </c>
      <c r="EZ171" s="47">
        <f t="shared" si="103"/>
        <v>0</v>
      </c>
      <c r="FA171" s="47">
        <f t="shared" si="103"/>
        <v>0</v>
      </c>
      <c r="FB171" s="47">
        <f t="shared" si="103"/>
        <v>0</v>
      </c>
      <c r="FC171" s="47">
        <f t="shared" si="103"/>
        <v>0</v>
      </c>
      <c r="FD171" s="47">
        <f t="shared" si="103"/>
        <v>0</v>
      </c>
      <c r="FE171" s="47">
        <f t="shared" si="103"/>
        <v>0</v>
      </c>
    </row>
    <row r="172" spans="1:161" ht="14.25" x14ac:dyDescent="0.15">
      <c r="A172" s="46"/>
      <c r="B172" s="43" t="e">
        <f t="shared" si="74"/>
        <v>#DIV/0!</v>
      </c>
      <c r="C172" s="43" t="e">
        <f t="shared" si="75"/>
        <v>#DIV/0!</v>
      </c>
      <c r="D172" s="43" t="e">
        <f t="shared" si="76"/>
        <v>#DIV/0!</v>
      </c>
      <c r="E172" s="43" t="e">
        <f t="shared" si="77"/>
        <v>#DIV/0!</v>
      </c>
      <c r="F172" s="43" t="e">
        <f t="shared" si="78"/>
        <v>#DIV/0!</v>
      </c>
      <c r="G172" s="43" t="e">
        <f t="shared" si="79"/>
        <v>#DIV/0!</v>
      </c>
      <c r="H172" s="43" t="e">
        <f t="shared" si="80"/>
        <v>#DIV/0!</v>
      </c>
      <c r="I172" s="43" t="e">
        <f t="shared" si="81"/>
        <v>#DIV/0!</v>
      </c>
      <c r="J172" s="43" t="e">
        <f t="shared" si="82"/>
        <v>#DIV/0!</v>
      </c>
      <c r="K172" s="43" t="e">
        <f t="shared" si="83"/>
        <v>#DIV/0!</v>
      </c>
      <c r="L172" s="43" t="e">
        <f t="shared" si="84"/>
        <v>#DIV/0!</v>
      </c>
      <c r="M172" s="43" t="e">
        <f t="shared" si="85"/>
        <v>#DIV/0!</v>
      </c>
      <c r="N172" s="43" t="e">
        <f t="shared" si="86"/>
        <v>#DIV/0!</v>
      </c>
      <c r="O172" s="43" t="e">
        <f t="shared" si="87"/>
        <v>#DIV/0!</v>
      </c>
      <c r="P172" s="43" t="e">
        <f t="shared" si="88"/>
        <v>#DIV/0!</v>
      </c>
      <c r="Q172" s="43" t="e">
        <f t="shared" si="89"/>
        <v>#DIV/0!</v>
      </c>
      <c r="R172" s="43" t="e">
        <f t="shared" si="90"/>
        <v>#DIV/0!</v>
      </c>
      <c r="S172" s="43" t="e">
        <f t="shared" si="91"/>
        <v>#DIV/0!</v>
      </c>
      <c r="T172" s="43" t="e">
        <f t="shared" si="92"/>
        <v>#DIV/0!</v>
      </c>
      <c r="U172" s="43" t="e">
        <f t="shared" si="93"/>
        <v>#DIV/0!</v>
      </c>
      <c r="V172" s="53" t="e">
        <f>V171+ATM_Conf!$C$5*(B171)/(B359*V359)</f>
        <v>#DIV/0!</v>
      </c>
      <c r="W172" s="53" t="e">
        <f>W171+ATM_Conf!$C$5*(C171-B171)/(C359*W359)</f>
        <v>#DIV/0!</v>
      </c>
      <c r="X172" s="53" t="e">
        <f>X171+ATM_Conf!$C$5*(D171-C171)/(D359*X359)</f>
        <v>#DIV/0!</v>
      </c>
      <c r="Y172" s="53" t="e">
        <f>Y171+ATM_Conf!$C$5*(E171-D171)/(E359*Y359)</f>
        <v>#DIV/0!</v>
      </c>
      <c r="Z172" s="53" t="e">
        <f>Z171+ATM_Conf!$C$5*(F171-E171)/(F359*Z359)</f>
        <v>#DIV/0!</v>
      </c>
      <c r="AA172" s="53" t="e">
        <f>AA171+ATM_Conf!$C$5*(G171-F171)/(G359*AA359)</f>
        <v>#DIV/0!</v>
      </c>
      <c r="AB172" s="53" t="e">
        <f>AB171+ATM_Conf!$C$5*(H171-G171)/(H359*AB359)</f>
        <v>#DIV/0!</v>
      </c>
      <c r="AC172" s="53" t="e">
        <f>AC171+ATM_Conf!$C$5*(I171-H171)/(I359*AC359)</f>
        <v>#DIV/0!</v>
      </c>
      <c r="AD172" s="53" t="e">
        <f>AD171+ATM_Conf!$C$5*(J171-I171)/(J359*AD359)</f>
        <v>#DIV/0!</v>
      </c>
      <c r="AE172" s="53" t="e">
        <f>AE171+ATM_Conf!$C$5*(K171-J171)/(K359*AE359)</f>
        <v>#DIV/0!</v>
      </c>
      <c r="AF172" s="53" t="e">
        <f>AF171+ATM_Conf!$C$5*(L171)/(L359*AF359)</f>
        <v>#DIV/0!</v>
      </c>
      <c r="AG172" s="53" t="e">
        <f>AG171+ATM_Conf!$C$5*(M171-L171)/(M359*AG359)</f>
        <v>#DIV/0!</v>
      </c>
      <c r="AH172" s="53" t="e">
        <f>AH171+ATM_Conf!$C$5*(N171-M171)/(N359*AH359)</f>
        <v>#DIV/0!</v>
      </c>
      <c r="AI172" s="53" t="e">
        <f>AI171+ATM_Conf!$C$5*(O171-N171)/(O359*AI359)</f>
        <v>#DIV/0!</v>
      </c>
      <c r="AJ172" s="53" t="e">
        <f>AJ171+ATM_Conf!$C$5*(P171-O171)/(P359*AJ359)</f>
        <v>#DIV/0!</v>
      </c>
      <c r="AK172" s="53" t="e">
        <f>AK171+ATM_Conf!$C$5*(Q171-P171)/(Q359*AK359)</f>
        <v>#DIV/0!</v>
      </c>
      <c r="AL172" s="53" t="e">
        <f>AL171+ATM_Conf!$C$5*(R171-Q171)/(R359*AL359)</f>
        <v>#DIV/0!</v>
      </c>
      <c r="AM172" s="53" t="e">
        <f>AM171+ATM_Conf!$C$5*(S171-R171)/(S359*AM359)</f>
        <v>#DIV/0!</v>
      </c>
      <c r="AN172" s="53" t="e">
        <f>AN171+ATM_Conf!$C$5*(T171-S171)/(T359*AN359)</f>
        <v>#DIV/0!</v>
      </c>
      <c r="AO172" s="53" t="e">
        <f>AO171+ATM_Conf!$C$5*(U171-T171)/(U359*AO359)</f>
        <v>#DIV/0!</v>
      </c>
      <c r="AP172" s="43" t="e">
        <f>AP171+(ATM_Conf!$C$5/ATM_Conf!$C$8)*(BJ172*EXP(-(1/CX172)*(V172/CD172)^CX172)-AP171)-(ATM_Conf!$C$5*ATM_Conf!$C$9)/(V359*ATM_Conf!$C$8)*(Nodes!BO171-V171)/(V171+ATM_Conf!$C$10)</f>
        <v>#DIV/0!</v>
      </c>
      <c r="AQ172" s="43" t="e">
        <f>AQ171+(ATM_Conf!$C$5/ATM_Conf!$C$8)*(BK172*EXP(-(1/CY172)*(W172/CE172)^CY172)-AQ171)+(ATM_Conf!$C$5/W359)*AQ171*(AP171-AQ171)-(ATM_Conf!$C$5*ATM_Conf!$C$9)/(W359*ATM_Conf!$C$8)*(X171-W171)/(W171+ATM_Conf!$C$10)</f>
        <v>#DIV/0!</v>
      </c>
      <c r="AR172" s="43" t="e">
        <f>AR171+(ATM_Conf!$C$5/ATM_Conf!$C$8)*(BL172*EXP(-(1/CZ172)*(X172/CF172)^CZ172)-AR171)+(ATM_Conf!$C$5/X359)*AR171*(Nodes!BC171-AR171)-(ATM_Conf!$C$5*ATM_Conf!$C$9)/(X359*ATM_Conf!$C$8)*(Nodes!BQ171-X171)/(X171+ATM_Conf!$C$10)</f>
        <v>#DIV/0!</v>
      </c>
      <c r="AS172" s="43" t="e">
        <f>AS171+(ATM_Conf!$C$5/ATM_Conf!$C$8)*(BM172*EXP(-(1/DA172)*(Y172/CG172)^DA172)-AS171)+(ATM_Conf!$C$5/Y359)*AS171*(AR171-AS171)-(ATM_Conf!$C$5*ATM_Conf!$C$9)/(Y359*ATM_Conf!$C$8)*(Z171-Y171)/(Y171+ATM_Conf!$C$10)</f>
        <v>#DIV/0!</v>
      </c>
      <c r="AT172" s="43" t="e">
        <f>AT171+(ATM_Conf!$C$5/ATM_Conf!$C$8)*(BN172*EXP(-(1/DB172)*(Z172/CH172)^DB172)-AT171)+(ATM_Conf!$C$5/Z359)*AT171*(Nodes!BE171-AT171)-(ATM_Conf!$C$5*ATM_Conf!$C$9)/(Z359*ATM_Conf!$C$8)*(Nodes!BS171-Z171)/(Z171+ATM_Conf!$C$10)</f>
        <v>#DIV/0!</v>
      </c>
      <c r="AU172" s="43" t="e">
        <f>AU171+(ATM_Conf!$C$5/ATM_Conf!$C$8)*(BO172*EXP(-(1/DC172)*(AA172/CI172)^DC172)-AU171)+(ATM_Conf!$C$5/AA359)*AU171*(Nodes!BF171-AU171)-(ATM_Conf!$C$5*ATM_Conf!$C$9)/(AA359*ATM_Conf!$C$8)*(Nodes!BV171-AA171)/(AA171+ATM_Conf!$C$10)</f>
        <v>#DIV/0!</v>
      </c>
      <c r="AV172" s="43" t="e">
        <f>AV171+(ATM_Conf!$C$5/ATM_Conf!$C$8)*(BP172*EXP(-(1/DD172)*(AB172/CJ172)^DD172)-AV171)+(ATM_Conf!$C$5/AB359)*AV171*(AU171-AV171)-(ATM_Conf!$C$5*ATM_Conf!$C$9)/(AB359*ATM_Conf!$C$8)*(AC171-AB171)/(AB171+ATM_Conf!$C$10)</f>
        <v>#DIV/0!</v>
      </c>
      <c r="AW172" s="43" t="e">
        <f>AW171+(ATM_Conf!$C$5/ATM_Conf!$C$8)*(BQ172*EXP(-(1/DE172)*(AC172/CK172)^DE172)-AW171)+(ATM_Conf!$C$5/AC359)*AW171*(AV171-AW171)-(ATM_Conf!$C$5*ATM_Conf!$C$9)/(AC359*ATM_Conf!$C$8)*(AD171-AC171)/(AC171+ATM_Conf!$C$10)</f>
        <v>#DIV/0!</v>
      </c>
      <c r="AX172" s="43" t="e">
        <f>AX171+(ATM_Conf!$C$5/ATM_Conf!$C$8)*(BR172*EXP(-(1/DF172)*(AD172/CL172)^DF172)-AX171)+(ATM_Conf!$C$5/AD359)*AX171*(Nodes!BG171-AX171)-(ATM_Conf!$C$5*ATM_Conf!$C$9)/(AD359*ATM_Conf!$C$8)*(Nodes!BU171-AD171)/(AD171+ATM_Conf!$C$10)</f>
        <v>#DIV/0!</v>
      </c>
      <c r="AY172" s="43" t="e">
        <f>AY171+(ATM_Conf!$C$5/ATM_Conf!$C$8)*(BS172*EXP(-(1/DG172)*(AE172/CM172)^DG172)-AY171)+(ATM_Conf!$C$5/AE359)*AY171*(Nodes!BF171-AY171)</f>
        <v>#DIV/0!</v>
      </c>
      <c r="AZ172" s="43" t="e">
        <f>AZ171+(ATM_Conf!$C$5/ATM_Conf!$C$8)*(BT172*EXP(-(1/DH172)*(AF172/CN172)^DH172)-AZ171)-(ATM_Conf!$C$5*ATM_Conf!$C$9)/(AF359*ATM_Conf!$C$8)*(Nodes!BV171-AF171)/(AF171+ATM_Conf!$C$10)</f>
        <v>#DIV/0!</v>
      </c>
      <c r="BA172" s="43" t="e">
        <f>BA171+(ATM_Conf!$C$5/ATM_Conf!$C$8)*(BU172*EXP(-(1/DI172)*(AG172/CO172)^DI172)-BA171)+(ATM_Conf!$C$5/AG359)*BA171*(Nodes!BI171-BA171)-(ATM_Conf!$C$5*ATM_Conf!$C$9)/(AG359*ATM_Conf!$C$8)*(Nodes!BW171-AG171)/(AG171+ATM_Conf!$C$10)</f>
        <v>#DIV/0!</v>
      </c>
      <c r="BB172" s="43" t="e">
        <f>BB171+(ATM_Conf!$C$5/ATM_Conf!$C$8)*(BV172*EXP(-(1/DJ172)*(AH172/CP172)^DJ172)-BB171)+(ATM_Conf!$C$5/AH359)*BB171*(Nodes!BJ171-BB171)-(ATM_Conf!$C$5*ATM_Conf!$C$9)/(AH359*ATM_Conf!$C$8)*(AI171-AH171)/(AH171+ATM_Conf!$C$10)</f>
        <v>#DIV/0!</v>
      </c>
      <c r="BC172" s="43" t="e">
        <f>BC171+(ATM_Conf!$C$5/ATM_Conf!$C$8)*(BW172*EXP(-(1/DK172)*(AI172/CQ172)^DK172)-BC171)+(ATM_Conf!$C$5/AI359)*BC171*(BB171-BC171)-(ATM_Conf!$C$5*ATM_Conf!$C$9)/(AI359*ATM_Conf!$C$8)*(AJ171-AI171)/(AI171+ATM_Conf!$C$10)</f>
        <v>#DIV/0!</v>
      </c>
      <c r="BD172" s="43" t="e">
        <f>BD171+(ATM_Conf!$C$5/ATM_Conf!$C$8)*(BX172*EXP(-(1/DL172)*(AJ172/CR172)^DL172)-BD171)+(ATM_Conf!$C$5/AJ359)*BD171*(BC171-BD171)-(ATM_Conf!$C$5*ATM_Conf!$C$9)/(AJ359*ATM_Conf!$C$8)*(Nodes!BX171-AJ171)/(AJ171+ATM_Conf!$C$10)</f>
        <v>#DIV/0!</v>
      </c>
      <c r="BE172" s="43" t="e">
        <f>BE171+(ATM_Conf!$C$5/ATM_Conf!$C$8)*(BY172*EXP(-(1/DM172)*(AK172/CS172)^DM172)-BE171)+(ATM_Conf!$C$5/AK359)*BE171*(Nodes!BK171-BE171)-(ATM_Conf!$C$5*ATM_Conf!$C$9)/(AK359*ATM_Conf!$C$8)*(Nodes!BY171-AK171)/(AK171+ATM_Conf!$C$10)</f>
        <v>#DIV/0!</v>
      </c>
      <c r="BF172" s="43" t="e">
        <f>BF171+(ATM_Conf!$C$5/ATM_Conf!$C$8)*(BZ172*EXP(-(1/DN172)*(AL172/CT172)^DN172)-BF171)+(ATM_Conf!$C$5/AL359)*BF171*(BE171-BF171)-(ATM_Conf!$C$5*ATM_Conf!$C$9)/(AL359*ATM_Conf!$C$8)*(AM171-AL171)/(AL171+ATM_Conf!$C$10)</f>
        <v>#DIV/0!</v>
      </c>
      <c r="BG172" s="43" t="e">
        <f>BG171+(ATM_Conf!$C$5/ATM_Conf!$C$8)*(CA172*EXP(-(1/DO172)*(AM172/CU172)^DO172)-BG171)+(ATM_Conf!$C$5/AM359)*BG171*(Nodes!BM171-BG171)-(ATM_Conf!$C$5*ATM_Conf!$C$9)/(AM359*ATM_Conf!$C$8)*(Nodes!CA171-AM171)/(AM171+ATM_Conf!$C$10)</f>
        <v>#DIV/0!</v>
      </c>
      <c r="BH172" s="43" t="e">
        <f>BH171+(ATM_Conf!$C$5/ATM_Conf!$C$8)*(CB172*EXP(-(1/DP172)*(AN172/CV172)^DP172)-BH171)+(ATM_Conf!$C$5/AN359)*BH171*(BG171-BH171)-(ATM_Conf!$C$5*ATM_Conf!$C$9)/(AN359*ATM_Conf!$C$8)*(AO171-AN171)/(AN171+ATM_Conf!$C$10)</f>
        <v>#DIV/0!</v>
      </c>
      <c r="BI172" s="43" t="e">
        <f>BI171+(ATM_Conf!$C$5/ATM_Conf!$C$8)*(CC172*EXP(-(1/DQ172)*(AO172/CW172)^DQ172)-BI171)+(ATM_Conf!$C$5/AO359)*BI171*(BH171-BI171)</f>
        <v>#DIV/0!</v>
      </c>
      <c r="BJ172" s="53"/>
      <c r="BK172" s="53"/>
      <c r="BL172" s="53"/>
      <c r="BM172" s="53"/>
      <c r="BN172" s="53"/>
      <c r="BO172" s="53"/>
      <c r="BP172" s="53"/>
      <c r="BQ172" s="53"/>
      <c r="BR172" s="53"/>
      <c r="BS172" s="53"/>
      <c r="BT172" s="53"/>
      <c r="BU172" s="53"/>
      <c r="BV172" s="53"/>
      <c r="BW172" s="53"/>
      <c r="BX172" s="53"/>
      <c r="BY172" s="53"/>
      <c r="BZ172" s="53"/>
      <c r="CA172" s="53"/>
      <c r="CB172" s="53"/>
      <c r="CC172" s="5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53"/>
      <c r="CY172" s="53"/>
      <c r="CZ172" s="53"/>
      <c r="DA172" s="53"/>
      <c r="DB172" s="53"/>
      <c r="DC172" s="53"/>
      <c r="DD172" s="53"/>
      <c r="DE172" s="53"/>
      <c r="DF172" s="53"/>
      <c r="DG172" s="53"/>
      <c r="DH172" s="53"/>
      <c r="DI172" s="53"/>
      <c r="DJ172" s="53"/>
      <c r="DK172" s="53"/>
      <c r="DL172" s="53"/>
      <c r="DM172" s="53"/>
      <c r="DN172" s="53"/>
      <c r="DO172" s="53"/>
      <c r="DP172" s="53"/>
      <c r="DQ172" s="53"/>
      <c r="DR172" s="43">
        <f>DR$171</f>
        <v>0</v>
      </c>
      <c r="DS172" s="43">
        <f t="shared" ref="DS172:EK182" si="104">DS$171</f>
        <v>0</v>
      </c>
      <c r="DT172" s="43">
        <f t="shared" si="104"/>
        <v>0</v>
      </c>
      <c r="DU172" s="43">
        <f t="shared" si="104"/>
        <v>0</v>
      </c>
      <c r="DV172" s="43">
        <f t="shared" si="104"/>
        <v>0</v>
      </c>
      <c r="DW172" s="43">
        <f t="shared" si="104"/>
        <v>0</v>
      </c>
      <c r="DX172" s="43">
        <f t="shared" si="104"/>
        <v>0</v>
      </c>
      <c r="DY172" s="43">
        <f t="shared" si="104"/>
        <v>0</v>
      </c>
      <c r="DZ172" s="43">
        <f t="shared" si="104"/>
        <v>0</v>
      </c>
      <c r="EA172" s="43">
        <f t="shared" si="104"/>
        <v>0</v>
      </c>
      <c r="EB172" s="43">
        <f t="shared" si="104"/>
        <v>0</v>
      </c>
      <c r="EC172" s="43">
        <f t="shared" si="104"/>
        <v>0</v>
      </c>
      <c r="ED172" s="43">
        <f t="shared" si="104"/>
        <v>0</v>
      </c>
      <c r="EE172" s="43">
        <f t="shared" si="104"/>
        <v>0</v>
      </c>
      <c r="EF172" s="43">
        <f t="shared" si="104"/>
        <v>0</v>
      </c>
      <c r="EG172" s="43">
        <f t="shared" si="104"/>
        <v>0</v>
      </c>
      <c r="EH172" s="43">
        <f t="shared" si="104"/>
        <v>0</v>
      </c>
      <c r="EI172" s="43">
        <f t="shared" si="104"/>
        <v>0</v>
      </c>
      <c r="EJ172" s="43">
        <f t="shared" si="104"/>
        <v>0</v>
      </c>
      <c r="EK172" s="43">
        <f t="shared" si="104"/>
        <v>0</v>
      </c>
      <c r="EL172" s="47"/>
      <c r="EM172" s="47"/>
      <c r="EN172" s="47"/>
      <c r="EO172" s="47"/>
      <c r="EP172" s="47"/>
      <c r="EQ172" s="47"/>
      <c r="ER172" s="47"/>
      <c r="ES172" s="47"/>
      <c r="ET172" s="47"/>
      <c r="EU172" s="47"/>
      <c r="EV172" s="47"/>
      <c r="EW172" s="47"/>
      <c r="EX172" s="47"/>
      <c r="EY172" s="47"/>
      <c r="EZ172" s="47"/>
      <c r="FA172" s="47"/>
      <c r="FB172" s="47"/>
      <c r="FC172" s="47"/>
      <c r="FD172" s="47"/>
      <c r="FE172" s="47"/>
    </row>
    <row r="173" spans="1:161" ht="14.25" x14ac:dyDescent="0.15">
      <c r="A173" s="46"/>
      <c r="B173" s="43" t="e">
        <f t="shared" si="74"/>
        <v>#DIV/0!</v>
      </c>
      <c r="C173" s="43" t="e">
        <f t="shared" si="75"/>
        <v>#DIV/0!</v>
      </c>
      <c r="D173" s="43" t="e">
        <f t="shared" si="76"/>
        <v>#DIV/0!</v>
      </c>
      <c r="E173" s="43" t="e">
        <f t="shared" si="77"/>
        <v>#DIV/0!</v>
      </c>
      <c r="F173" s="43" t="e">
        <f t="shared" si="78"/>
        <v>#DIV/0!</v>
      </c>
      <c r="G173" s="43" t="e">
        <f t="shared" si="79"/>
        <v>#DIV/0!</v>
      </c>
      <c r="H173" s="43" t="e">
        <f t="shared" si="80"/>
        <v>#DIV/0!</v>
      </c>
      <c r="I173" s="43" t="e">
        <f t="shared" si="81"/>
        <v>#DIV/0!</v>
      </c>
      <c r="J173" s="43" t="e">
        <f t="shared" si="82"/>
        <v>#DIV/0!</v>
      </c>
      <c r="K173" s="43" t="e">
        <f t="shared" si="83"/>
        <v>#DIV/0!</v>
      </c>
      <c r="L173" s="43" t="e">
        <f t="shared" si="84"/>
        <v>#DIV/0!</v>
      </c>
      <c r="M173" s="43" t="e">
        <f t="shared" si="85"/>
        <v>#DIV/0!</v>
      </c>
      <c r="N173" s="43" t="e">
        <f t="shared" si="86"/>
        <v>#DIV/0!</v>
      </c>
      <c r="O173" s="43" t="e">
        <f t="shared" si="87"/>
        <v>#DIV/0!</v>
      </c>
      <c r="P173" s="43" t="e">
        <f t="shared" si="88"/>
        <v>#DIV/0!</v>
      </c>
      <c r="Q173" s="43" t="e">
        <f t="shared" si="89"/>
        <v>#DIV/0!</v>
      </c>
      <c r="R173" s="43" t="e">
        <f t="shared" si="90"/>
        <v>#DIV/0!</v>
      </c>
      <c r="S173" s="43" t="e">
        <f t="shared" si="91"/>
        <v>#DIV/0!</v>
      </c>
      <c r="T173" s="43" t="e">
        <f t="shared" si="92"/>
        <v>#DIV/0!</v>
      </c>
      <c r="U173" s="43" t="e">
        <f t="shared" si="93"/>
        <v>#DIV/0!</v>
      </c>
      <c r="V173" s="53" t="e">
        <f>V172+ATM_Conf!$C$5*(B172)/(B360*V360)</f>
        <v>#DIV/0!</v>
      </c>
      <c r="W173" s="53" t="e">
        <f>W172+ATM_Conf!$C$5*(C172-B172)/(C360*W360)</f>
        <v>#DIV/0!</v>
      </c>
      <c r="X173" s="53" t="e">
        <f>X172+ATM_Conf!$C$5*(D172-C172)/(D360*X360)</f>
        <v>#DIV/0!</v>
      </c>
      <c r="Y173" s="53" t="e">
        <f>Y172+ATM_Conf!$C$5*(E172-D172)/(E360*Y360)</f>
        <v>#DIV/0!</v>
      </c>
      <c r="Z173" s="53" t="e">
        <f>Z172+ATM_Conf!$C$5*(F172-E172)/(F360*Z360)</f>
        <v>#DIV/0!</v>
      </c>
      <c r="AA173" s="53" t="e">
        <f>AA172+ATM_Conf!$C$5*(G172-F172)/(G360*AA360)</f>
        <v>#DIV/0!</v>
      </c>
      <c r="AB173" s="53" t="e">
        <f>AB172+ATM_Conf!$C$5*(H172-G172)/(H360*AB360)</f>
        <v>#DIV/0!</v>
      </c>
      <c r="AC173" s="53" t="e">
        <f>AC172+ATM_Conf!$C$5*(I172-H172)/(I360*AC360)</f>
        <v>#DIV/0!</v>
      </c>
      <c r="AD173" s="53" t="e">
        <f>AD172+ATM_Conf!$C$5*(J172-I172)/(J360*AD360)</f>
        <v>#DIV/0!</v>
      </c>
      <c r="AE173" s="53" t="e">
        <f>AE172+ATM_Conf!$C$5*(K172-J172)/(K360*AE360)</f>
        <v>#DIV/0!</v>
      </c>
      <c r="AF173" s="53" t="e">
        <f>AF172+ATM_Conf!$C$5*(L172)/(L360*AF360)</f>
        <v>#DIV/0!</v>
      </c>
      <c r="AG173" s="53" t="e">
        <f>AG172+ATM_Conf!$C$5*(M172-L172)/(M360*AG360)</f>
        <v>#DIV/0!</v>
      </c>
      <c r="AH173" s="53" t="e">
        <f>AH172+ATM_Conf!$C$5*(N172-M172)/(N360*AH360)</f>
        <v>#DIV/0!</v>
      </c>
      <c r="AI173" s="53" t="e">
        <f>AI172+ATM_Conf!$C$5*(O172-N172)/(O360*AI360)</f>
        <v>#DIV/0!</v>
      </c>
      <c r="AJ173" s="53" t="e">
        <f>AJ172+ATM_Conf!$C$5*(P172-O172)/(P360*AJ360)</f>
        <v>#DIV/0!</v>
      </c>
      <c r="AK173" s="53" t="e">
        <f>AK172+ATM_Conf!$C$5*(Q172-P172)/(Q360*AK360)</f>
        <v>#DIV/0!</v>
      </c>
      <c r="AL173" s="53" t="e">
        <f>AL172+ATM_Conf!$C$5*(R172-Q172)/(R360*AL360)</f>
        <v>#DIV/0!</v>
      </c>
      <c r="AM173" s="53" t="e">
        <f>AM172+ATM_Conf!$C$5*(S172-R172)/(S360*AM360)</f>
        <v>#DIV/0!</v>
      </c>
      <c r="AN173" s="53" t="e">
        <f>AN172+ATM_Conf!$C$5*(T172-S172)/(T360*AN360)</f>
        <v>#DIV/0!</v>
      </c>
      <c r="AO173" s="53" t="e">
        <f>AO172+ATM_Conf!$C$5*(U172-T172)/(U360*AO360)</f>
        <v>#DIV/0!</v>
      </c>
      <c r="AP173" s="43" t="e">
        <f>AP172+(ATM_Conf!$C$5/ATM_Conf!$C$8)*(BJ173*EXP(-(1/CX173)*(V173/CD173)^CX173)-AP172)-(ATM_Conf!$C$5*ATM_Conf!$C$9)/(V360*ATM_Conf!$C$8)*(Nodes!BO172-V172)/(V172+ATM_Conf!$C$10)</f>
        <v>#DIV/0!</v>
      </c>
      <c r="AQ173" s="43" t="e">
        <f>AQ172+(ATM_Conf!$C$5/ATM_Conf!$C$8)*(BK173*EXP(-(1/CY173)*(W173/CE173)^CY173)-AQ172)+(ATM_Conf!$C$5/W360)*AQ172*(AP172-AQ172)-(ATM_Conf!$C$5*ATM_Conf!$C$9)/(W360*ATM_Conf!$C$8)*(X172-W172)/(W172+ATM_Conf!$C$10)</f>
        <v>#DIV/0!</v>
      </c>
      <c r="AR173" s="43" t="e">
        <f>AR172+(ATM_Conf!$C$5/ATM_Conf!$C$8)*(BL173*EXP(-(1/CZ173)*(X173/CF173)^CZ173)-AR172)+(ATM_Conf!$C$5/X360)*AR172*(Nodes!BC172-AR172)-(ATM_Conf!$C$5*ATM_Conf!$C$9)/(X360*ATM_Conf!$C$8)*(Nodes!BQ172-X172)/(X172+ATM_Conf!$C$10)</f>
        <v>#DIV/0!</v>
      </c>
      <c r="AS173" s="43" t="e">
        <f>AS172+(ATM_Conf!$C$5/ATM_Conf!$C$8)*(BM173*EXP(-(1/DA173)*(Y173/CG173)^DA173)-AS172)+(ATM_Conf!$C$5/Y360)*AS172*(AR172-AS172)-(ATM_Conf!$C$5*ATM_Conf!$C$9)/(Y360*ATM_Conf!$C$8)*(Z172-Y172)/(Y172+ATM_Conf!$C$10)</f>
        <v>#DIV/0!</v>
      </c>
      <c r="AT173" s="43" t="e">
        <f>AT172+(ATM_Conf!$C$5/ATM_Conf!$C$8)*(BN173*EXP(-(1/DB173)*(Z173/CH173)^DB173)-AT172)+(ATM_Conf!$C$5/Z360)*AT172*(Nodes!BE172-AT172)-(ATM_Conf!$C$5*ATM_Conf!$C$9)/(Z360*ATM_Conf!$C$8)*(Nodes!BS172-Z172)/(Z172+ATM_Conf!$C$10)</f>
        <v>#DIV/0!</v>
      </c>
      <c r="AU173" s="43" t="e">
        <f>AU172+(ATM_Conf!$C$5/ATM_Conf!$C$8)*(BO173*EXP(-(1/DC173)*(AA173/CI173)^DC173)-AU172)+(ATM_Conf!$C$5/AA360)*AU172*(Nodes!BF172-AU172)-(ATM_Conf!$C$5*ATM_Conf!$C$9)/(AA360*ATM_Conf!$C$8)*(Nodes!BV172-AA172)/(AA172+ATM_Conf!$C$10)</f>
        <v>#DIV/0!</v>
      </c>
      <c r="AV173" s="43" t="e">
        <f>AV172+(ATM_Conf!$C$5/ATM_Conf!$C$8)*(BP173*EXP(-(1/DD173)*(AB173/CJ173)^DD173)-AV172)+(ATM_Conf!$C$5/AB360)*AV172*(AU172-AV172)-(ATM_Conf!$C$5*ATM_Conf!$C$9)/(AB360*ATM_Conf!$C$8)*(AC172-AB172)/(AB172+ATM_Conf!$C$10)</f>
        <v>#DIV/0!</v>
      </c>
      <c r="AW173" s="43" t="e">
        <f>AW172+(ATM_Conf!$C$5/ATM_Conf!$C$8)*(BQ173*EXP(-(1/DE173)*(AC173/CK173)^DE173)-AW172)+(ATM_Conf!$C$5/AC360)*AW172*(AV172-AW172)-(ATM_Conf!$C$5*ATM_Conf!$C$9)/(AC360*ATM_Conf!$C$8)*(AD172-AC172)/(AC172+ATM_Conf!$C$10)</f>
        <v>#DIV/0!</v>
      </c>
      <c r="AX173" s="43" t="e">
        <f>AX172+(ATM_Conf!$C$5/ATM_Conf!$C$8)*(BR173*EXP(-(1/DF173)*(AD173/CL173)^DF173)-AX172)+(ATM_Conf!$C$5/AD360)*AX172*(Nodes!BG172-AX172)-(ATM_Conf!$C$5*ATM_Conf!$C$9)/(AD360*ATM_Conf!$C$8)*(Nodes!BU172-AD172)/(AD172+ATM_Conf!$C$10)</f>
        <v>#DIV/0!</v>
      </c>
      <c r="AY173" s="43" t="e">
        <f>AY172+(ATM_Conf!$C$5/ATM_Conf!$C$8)*(BS173*EXP(-(1/DG173)*(AE173/CM173)^DG173)-AY172)+(ATM_Conf!$C$5/AE360)*AY172*(Nodes!BF172-AY172)</f>
        <v>#DIV/0!</v>
      </c>
      <c r="AZ173" s="43" t="e">
        <f>AZ172+(ATM_Conf!$C$5/ATM_Conf!$C$8)*(BT173*EXP(-(1/DH173)*(AF173/CN173)^DH173)-AZ172)-(ATM_Conf!$C$5*ATM_Conf!$C$9)/(AF360*ATM_Conf!$C$8)*(Nodes!BV172-AF172)/(AF172+ATM_Conf!$C$10)</f>
        <v>#DIV/0!</v>
      </c>
      <c r="BA173" s="43" t="e">
        <f>BA172+(ATM_Conf!$C$5/ATM_Conf!$C$8)*(BU173*EXP(-(1/DI173)*(AG173/CO173)^DI173)-BA172)+(ATM_Conf!$C$5/AG360)*BA172*(Nodes!BI172-BA172)-(ATM_Conf!$C$5*ATM_Conf!$C$9)/(AG360*ATM_Conf!$C$8)*(Nodes!BW172-AG172)/(AG172+ATM_Conf!$C$10)</f>
        <v>#DIV/0!</v>
      </c>
      <c r="BB173" s="43" t="e">
        <f>BB172+(ATM_Conf!$C$5/ATM_Conf!$C$8)*(BV173*EXP(-(1/DJ173)*(AH173/CP173)^DJ173)-BB172)+(ATM_Conf!$C$5/AH360)*BB172*(Nodes!BJ172-BB172)-(ATM_Conf!$C$5*ATM_Conf!$C$9)/(AH360*ATM_Conf!$C$8)*(AI172-AH172)/(AH172+ATM_Conf!$C$10)</f>
        <v>#DIV/0!</v>
      </c>
      <c r="BC173" s="43" t="e">
        <f>BC172+(ATM_Conf!$C$5/ATM_Conf!$C$8)*(BW173*EXP(-(1/DK173)*(AI173/CQ173)^DK173)-BC172)+(ATM_Conf!$C$5/AI360)*BC172*(BB172-BC172)-(ATM_Conf!$C$5*ATM_Conf!$C$9)/(AI360*ATM_Conf!$C$8)*(AJ172-AI172)/(AI172+ATM_Conf!$C$10)</f>
        <v>#DIV/0!</v>
      </c>
      <c r="BD173" s="43" t="e">
        <f>BD172+(ATM_Conf!$C$5/ATM_Conf!$C$8)*(BX173*EXP(-(1/DL173)*(AJ173/CR173)^DL173)-BD172)+(ATM_Conf!$C$5/AJ360)*BD172*(BC172-BD172)-(ATM_Conf!$C$5*ATM_Conf!$C$9)/(AJ360*ATM_Conf!$C$8)*(Nodes!BX172-AJ172)/(AJ172+ATM_Conf!$C$10)</f>
        <v>#DIV/0!</v>
      </c>
      <c r="BE173" s="43" t="e">
        <f>BE172+(ATM_Conf!$C$5/ATM_Conf!$C$8)*(BY173*EXP(-(1/DM173)*(AK173/CS173)^DM173)-BE172)+(ATM_Conf!$C$5/AK360)*BE172*(Nodes!BK172-BE172)-(ATM_Conf!$C$5*ATM_Conf!$C$9)/(AK360*ATM_Conf!$C$8)*(Nodes!BY172-AK172)/(AK172+ATM_Conf!$C$10)</f>
        <v>#DIV/0!</v>
      </c>
      <c r="BF173" s="43" t="e">
        <f>BF172+(ATM_Conf!$C$5/ATM_Conf!$C$8)*(BZ173*EXP(-(1/DN173)*(AL173/CT173)^DN173)-BF172)+(ATM_Conf!$C$5/AL360)*BF172*(BE172-BF172)-(ATM_Conf!$C$5*ATM_Conf!$C$9)/(AL360*ATM_Conf!$C$8)*(AM172-AL172)/(AL172+ATM_Conf!$C$10)</f>
        <v>#DIV/0!</v>
      </c>
      <c r="BG173" s="43" t="e">
        <f>BG172+(ATM_Conf!$C$5/ATM_Conf!$C$8)*(CA173*EXP(-(1/DO173)*(AM173/CU173)^DO173)-BG172)+(ATM_Conf!$C$5/AM360)*BG172*(Nodes!BM172-BG172)-(ATM_Conf!$C$5*ATM_Conf!$C$9)/(AM360*ATM_Conf!$C$8)*(Nodes!CA172-AM172)/(AM172+ATM_Conf!$C$10)</f>
        <v>#DIV/0!</v>
      </c>
      <c r="BH173" s="43" t="e">
        <f>BH172+(ATM_Conf!$C$5/ATM_Conf!$C$8)*(CB173*EXP(-(1/DP173)*(AN173/CV173)^DP173)-BH172)+(ATM_Conf!$C$5/AN360)*BH172*(BG172-BH172)-(ATM_Conf!$C$5*ATM_Conf!$C$9)/(AN360*ATM_Conf!$C$8)*(AO172-AN172)/(AN172+ATM_Conf!$C$10)</f>
        <v>#DIV/0!</v>
      </c>
      <c r="BI173" s="43" t="e">
        <f>BI172+(ATM_Conf!$C$5/ATM_Conf!$C$8)*(CC173*EXP(-(1/DQ173)*(AO173/CW173)^DQ173)-BI172)+(ATM_Conf!$C$5/AO360)*BI172*(BH172-BI172)</f>
        <v>#DIV/0!</v>
      </c>
      <c r="BJ173" s="53"/>
      <c r="BK173" s="53"/>
      <c r="BL173" s="53"/>
      <c r="BM173" s="53"/>
      <c r="BN173" s="53"/>
      <c r="BO173" s="53"/>
      <c r="BP173" s="53"/>
      <c r="BQ173" s="53"/>
      <c r="BR173" s="53"/>
      <c r="BS173" s="53"/>
      <c r="BT173" s="53"/>
      <c r="BU173" s="53"/>
      <c r="BV173" s="53"/>
      <c r="BW173" s="53"/>
      <c r="BX173" s="53"/>
      <c r="BY173" s="53"/>
      <c r="BZ173" s="53"/>
      <c r="CA173" s="53"/>
      <c r="CB173" s="53"/>
      <c r="CC173" s="5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53"/>
      <c r="CY173" s="53"/>
      <c r="CZ173" s="53"/>
      <c r="DA173" s="53"/>
      <c r="DB173" s="53"/>
      <c r="DC173" s="53"/>
      <c r="DD173" s="53"/>
      <c r="DE173" s="53"/>
      <c r="DF173" s="53"/>
      <c r="DG173" s="53"/>
      <c r="DH173" s="53"/>
      <c r="DI173" s="53"/>
      <c r="DJ173" s="53"/>
      <c r="DK173" s="53"/>
      <c r="DL173" s="53"/>
      <c r="DM173" s="53"/>
      <c r="DN173" s="53"/>
      <c r="DO173" s="53"/>
      <c r="DP173" s="53"/>
      <c r="DQ173" s="53"/>
      <c r="DR173" s="43">
        <f t="shared" ref="DR173:DR182" si="105">DR$171</f>
        <v>0</v>
      </c>
      <c r="DS173" s="43">
        <f t="shared" si="104"/>
        <v>0</v>
      </c>
      <c r="DT173" s="43">
        <f t="shared" si="104"/>
        <v>0</v>
      </c>
      <c r="DU173" s="43">
        <f t="shared" si="104"/>
        <v>0</v>
      </c>
      <c r="DV173" s="43">
        <f t="shared" si="104"/>
        <v>0</v>
      </c>
      <c r="DW173" s="43">
        <f t="shared" si="104"/>
        <v>0</v>
      </c>
      <c r="DX173" s="43">
        <f t="shared" si="104"/>
        <v>0</v>
      </c>
      <c r="DY173" s="43">
        <f t="shared" si="104"/>
        <v>0</v>
      </c>
      <c r="DZ173" s="43">
        <f t="shared" si="104"/>
        <v>0</v>
      </c>
      <c r="EA173" s="43">
        <f t="shared" si="104"/>
        <v>0</v>
      </c>
      <c r="EB173" s="43">
        <f t="shared" si="104"/>
        <v>0</v>
      </c>
      <c r="EC173" s="43">
        <f t="shared" si="104"/>
        <v>0</v>
      </c>
      <c r="ED173" s="43">
        <f t="shared" si="104"/>
        <v>0</v>
      </c>
      <c r="EE173" s="43">
        <f t="shared" si="104"/>
        <v>0</v>
      </c>
      <c r="EF173" s="43">
        <f t="shared" si="104"/>
        <v>0</v>
      </c>
      <c r="EG173" s="43">
        <f t="shared" si="104"/>
        <v>0</v>
      </c>
      <c r="EH173" s="43">
        <f t="shared" si="104"/>
        <v>0</v>
      </c>
      <c r="EI173" s="43">
        <f t="shared" si="104"/>
        <v>0</v>
      </c>
      <c r="EJ173" s="43">
        <f t="shared" si="104"/>
        <v>0</v>
      </c>
      <c r="EK173" s="43">
        <f t="shared" si="104"/>
        <v>0</v>
      </c>
      <c r="EL173" s="47"/>
      <c r="EM173" s="47"/>
      <c r="EN173" s="47"/>
      <c r="EO173" s="47"/>
      <c r="EP173" s="47"/>
      <c r="EQ173" s="47"/>
      <c r="ER173" s="47"/>
      <c r="ES173" s="47"/>
      <c r="ET173" s="47"/>
      <c r="EU173" s="47"/>
      <c r="EV173" s="47"/>
      <c r="EW173" s="47"/>
      <c r="EX173" s="47"/>
      <c r="EY173" s="47"/>
      <c r="EZ173" s="47"/>
      <c r="FA173" s="47"/>
      <c r="FB173" s="47"/>
      <c r="FC173" s="47"/>
      <c r="FD173" s="47"/>
      <c r="FE173" s="47"/>
    </row>
    <row r="174" spans="1:161" ht="14.25" x14ac:dyDescent="0.15">
      <c r="A174" s="46"/>
      <c r="B174" s="43" t="e">
        <f t="shared" si="74"/>
        <v>#DIV/0!</v>
      </c>
      <c r="C174" s="43" t="e">
        <f t="shared" si="75"/>
        <v>#DIV/0!</v>
      </c>
      <c r="D174" s="43" t="e">
        <f t="shared" si="76"/>
        <v>#DIV/0!</v>
      </c>
      <c r="E174" s="43" t="e">
        <f t="shared" si="77"/>
        <v>#DIV/0!</v>
      </c>
      <c r="F174" s="43" t="e">
        <f t="shared" si="78"/>
        <v>#DIV/0!</v>
      </c>
      <c r="G174" s="43" t="e">
        <f t="shared" si="79"/>
        <v>#DIV/0!</v>
      </c>
      <c r="H174" s="43" t="e">
        <f t="shared" si="80"/>
        <v>#DIV/0!</v>
      </c>
      <c r="I174" s="43" t="e">
        <f t="shared" si="81"/>
        <v>#DIV/0!</v>
      </c>
      <c r="J174" s="43" t="e">
        <f t="shared" si="82"/>
        <v>#DIV/0!</v>
      </c>
      <c r="K174" s="43" t="e">
        <f t="shared" si="83"/>
        <v>#DIV/0!</v>
      </c>
      <c r="L174" s="43" t="e">
        <f t="shared" si="84"/>
        <v>#DIV/0!</v>
      </c>
      <c r="M174" s="43" t="e">
        <f t="shared" si="85"/>
        <v>#DIV/0!</v>
      </c>
      <c r="N174" s="43" t="e">
        <f t="shared" si="86"/>
        <v>#DIV/0!</v>
      </c>
      <c r="O174" s="43" t="e">
        <f t="shared" si="87"/>
        <v>#DIV/0!</v>
      </c>
      <c r="P174" s="43" t="e">
        <f t="shared" si="88"/>
        <v>#DIV/0!</v>
      </c>
      <c r="Q174" s="43" t="e">
        <f t="shared" si="89"/>
        <v>#DIV/0!</v>
      </c>
      <c r="R174" s="43" t="e">
        <f t="shared" si="90"/>
        <v>#DIV/0!</v>
      </c>
      <c r="S174" s="43" t="e">
        <f t="shared" si="91"/>
        <v>#DIV/0!</v>
      </c>
      <c r="T174" s="43" t="e">
        <f t="shared" si="92"/>
        <v>#DIV/0!</v>
      </c>
      <c r="U174" s="43" t="e">
        <f t="shared" si="93"/>
        <v>#DIV/0!</v>
      </c>
      <c r="V174" s="53" t="e">
        <f>V173+ATM_Conf!$C$5*(B173)/(B361*V361)</f>
        <v>#DIV/0!</v>
      </c>
      <c r="W174" s="53" t="e">
        <f>W173+ATM_Conf!$C$5*(C173-B173)/(C361*W361)</f>
        <v>#DIV/0!</v>
      </c>
      <c r="X174" s="53" t="e">
        <f>X173+ATM_Conf!$C$5*(D173-C173)/(D361*X361)</f>
        <v>#DIV/0!</v>
      </c>
      <c r="Y174" s="53" t="e">
        <f>Y173+ATM_Conf!$C$5*(E173-D173)/(E361*Y361)</f>
        <v>#DIV/0!</v>
      </c>
      <c r="Z174" s="53" t="e">
        <f>Z173+ATM_Conf!$C$5*(F173-E173)/(F361*Z361)</f>
        <v>#DIV/0!</v>
      </c>
      <c r="AA174" s="53" t="e">
        <f>AA173+ATM_Conf!$C$5*(G173-F173)/(G361*AA361)</f>
        <v>#DIV/0!</v>
      </c>
      <c r="AB174" s="53" t="e">
        <f>AB173+ATM_Conf!$C$5*(H173-G173)/(H361*AB361)</f>
        <v>#DIV/0!</v>
      </c>
      <c r="AC174" s="53" t="e">
        <f>AC173+ATM_Conf!$C$5*(I173-H173)/(I361*AC361)</f>
        <v>#DIV/0!</v>
      </c>
      <c r="AD174" s="53" t="e">
        <f>AD173+ATM_Conf!$C$5*(J173-I173)/(J361*AD361)</f>
        <v>#DIV/0!</v>
      </c>
      <c r="AE174" s="53" t="e">
        <f>AE173+ATM_Conf!$C$5*(K173-J173)/(K361*AE361)</f>
        <v>#DIV/0!</v>
      </c>
      <c r="AF174" s="53" t="e">
        <f>AF173+ATM_Conf!$C$5*(L173)/(L361*AF361)</f>
        <v>#DIV/0!</v>
      </c>
      <c r="AG174" s="53" t="e">
        <f>AG173+ATM_Conf!$C$5*(M173-L173)/(M361*AG361)</f>
        <v>#DIV/0!</v>
      </c>
      <c r="AH174" s="53" t="e">
        <f>AH173+ATM_Conf!$C$5*(N173-M173)/(N361*AH361)</f>
        <v>#DIV/0!</v>
      </c>
      <c r="AI174" s="53" t="e">
        <f>AI173+ATM_Conf!$C$5*(O173-N173)/(O361*AI361)</f>
        <v>#DIV/0!</v>
      </c>
      <c r="AJ174" s="53" t="e">
        <f>AJ173+ATM_Conf!$C$5*(P173-O173)/(P361*AJ361)</f>
        <v>#DIV/0!</v>
      </c>
      <c r="AK174" s="53" t="e">
        <f>AK173+ATM_Conf!$C$5*(Q173-P173)/(Q361*AK361)</f>
        <v>#DIV/0!</v>
      </c>
      <c r="AL174" s="53" t="e">
        <f>AL173+ATM_Conf!$C$5*(R173-Q173)/(R361*AL361)</f>
        <v>#DIV/0!</v>
      </c>
      <c r="AM174" s="53" t="e">
        <f>AM173+ATM_Conf!$C$5*(S173-R173)/(S361*AM361)</f>
        <v>#DIV/0!</v>
      </c>
      <c r="AN174" s="53" t="e">
        <f>AN173+ATM_Conf!$C$5*(T173-S173)/(T361*AN361)</f>
        <v>#DIV/0!</v>
      </c>
      <c r="AO174" s="53" t="e">
        <f>AO173+ATM_Conf!$C$5*(U173-T173)/(U361*AO361)</f>
        <v>#DIV/0!</v>
      </c>
      <c r="AP174" s="43" t="e">
        <f>AP173+(ATM_Conf!$C$5/ATM_Conf!$C$8)*(BJ174*EXP(-(1/CX174)*(V174/CD174)^CX174)-AP173)-(ATM_Conf!$C$5*ATM_Conf!$C$9)/(V361*ATM_Conf!$C$8)*(Nodes!BO173-V173)/(V173+ATM_Conf!$C$10)</f>
        <v>#DIV/0!</v>
      </c>
      <c r="AQ174" s="43" t="e">
        <f>AQ173+(ATM_Conf!$C$5/ATM_Conf!$C$8)*(BK174*EXP(-(1/CY174)*(W174/CE174)^CY174)-AQ173)+(ATM_Conf!$C$5/W361)*AQ173*(AP173-AQ173)-(ATM_Conf!$C$5*ATM_Conf!$C$9)/(W361*ATM_Conf!$C$8)*(X173-W173)/(W173+ATM_Conf!$C$10)</f>
        <v>#DIV/0!</v>
      </c>
      <c r="AR174" s="43" t="e">
        <f>AR173+(ATM_Conf!$C$5/ATM_Conf!$C$8)*(BL174*EXP(-(1/CZ174)*(X174/CF174)^CZ174)-AR173)+(ATM_Conf!$C$5/X361)*AR173*(Nodes!BC173-AR173)-(ATM_Conf!$C$5*ATM_Conf!$C$9)/(X361*ATM_Conf!$C$8)*(Nodes!BQ173-X173)/(X173+ATM_Conf!$C$10)</f>
        <v>#DIV/0!</v>
      </c>
      <c r="AS174" s="43" t="e">
        <f>AS173+(ATM_Conf!$C$5/ATM_Conf!$C$8)*(BM174*EXP(-(1/DA174)*(Y174/CG174)^DA174)-AS173)+(ATM_Conf!$C$5/Y361)*AS173*(AR173-AS173)-(ATM_Conf!$C$5*ATM_Conf!$C$9)/(Y361*ATM_Conf!$C$8)*(Z173-Y173)/(Y173+ATM_Conf!$C$10)</f>
        <v>#DIV/0!</v>
      </c>
      <c r="AT174" s="43" t="e">
        <f>AT173+(ATM_Conf!$C$5/ATM_Conf!$C$8)*(BN174*EXP(-(1/DB174)*(Z174/CH174)^DB174)-AT173)+(ATM_Conf!$C$5/Z361)*AT173*(Nodes!BE173-AT173)-(ATM_Conf!$C$5*ATM_Conf!$C$9)/(Z361*ATM_Conf!$C$8)*(Nodes!BS173-Z173)/(Z173+ATM_Conf!$C$10)</f>
        <v>#DIV/0!</v>
      </c>
      <c r="AU174" s="43" t="e">
        <f>AU173+(ATM_Conf!$C$5/ATM_Conf!$C$8)*(BO174*EXP(-(1/DC174)*(AA174/CI174)^DC174)-AU173)+(ATM_Conf!$C$5/AA361)*AU173*(Nodes!BF173-AU173)-(ATM_Conf!$C$5*ATM_Conf!$C$9)/(AA361*ATM_Conf!$C$8)*(Nodes!BV173-AA173)/(AA173+ATM_Conf!$C$10)</f>
        <v>#DIV/0!</v>
      </c>
      <c r="AV174" s="43" t="e">
        <f>AV173+(ATM_Conf!$C$5/ATM_Conf!$C$8)*(BP174*EXP(-(1/DD174)*(AB174/CJ174)^DD174)-AV173)+(ATM_Conf!$C$5/AB361)*AV173*(AU173-AV173)-(ATM_Conf!$C$5*ATM_Conf!$C$9)/(AB361*ATM_Conf!$C$8)*(AC173-AB173)/(AB173+ATM_Conf!$C$10)</f>
        <v>#DIV/0!</v>
      </c>
      <c r="AW174" s="43" t="e">
        <f>AW173+(ATM_Conf!$C$5/ATM_Conf!$C$8)*(BQ174*EXP(-(1/DE174)*(AC174/CK174)^DE174)-AW173)+(ATM_Conf!$C$5/AC361)*AW173*(AV173-AW173)-(ATM_Conf!$C$5*ATM_Conf!$C$9)/(AC361*ATM_Conf!$C$8)*(AD173-AC173)/(AC173+ATM_Conf!$C$10)</f>
        <v>#DIV/0!</v>
      </c>
      <c r="AX174" s="43" t="e">
        <f>AX173+(ATM_Conf!$C$5/ATM_Conf!$C$8)*(BR174*EXP(-(1/DF174)*(AD174/CL174)^DF174)-AX173)+(ATM_Conf!$C$5/AD361)*AX173*(Nodes!BG173-AX173)-(ATM_Conf!$C$5*ATM_Conf!$C$9)/(AD361*ATM_Conf!$C$8)*(Nodes!BU173-AD173)/(AD173+ATM_Conf!$C$10)</f>
        <v>#DIV/0!</v>
      </c>
      <c r="AY174" s="43" t="e">
        <f>AY173+(ATM_Conf!$C$5/ATM_Conf!$C$8)*(BS174*EXP(-(1/DG174)*(AE174/CM174)^DG174)-AY173)+(ATM_Conf!$C$5/AE361)*AY173*(Nodes!BF173-AY173)</f>
        <v>#DIV/0!</v>
      </c>
      <c r="AZ174" s="43" t="e">
        <f>AZ173+(ATM_Conf!$C$5/ATM_Conf!$C$8)*(BT174*EXP(-(1/DH174)*(AF174/CN174)^DH174)-AZ173)-(ATM_Conf!$C$5*ATM_Conf!$C$9)/(AF361*ATM_Conf!$C$8)*(Nodes!BV173-AF173)/(AF173+ATM_Conf!$C$10)</f>
        <v>#DIV/0!</v>
      </c>
      <c r="BA174" s="43" t="e">
        <f>BA173+(ATM_Conf!$C$5/ATM_Conf!$C$8)*(BU174*EXP(-(1/DI174)*(AG174/CO174)^DI174)-BA173)+(ATM_Conf!$C$5/AG361)*BA173*(Nodes!BI173-BA173)-(ATM_Conf!$C$5*ATM_Conf!$C$9)/(AG361*ATM_Conf!$C$8)*(Nodes!BW173-AG173)/(AG173+ATM_Conf!$C$10)</f>
        <v>#DIV/0!</v>
      </c>
      <c r="BB174" s="43" t="e">
        <f>BB173+(ATM_Conf!$C$5/ATM_Conf!$C$8)*(BV174*EXP(-(1/DJ174)*(AH174/CP174)^DJ174)-BB173)+(ATM_Conf!$C$5/AH361)*BB173*(Nodes!BJ173-BB173)-(ATM_Conf!$C$5*ATM_Conf!$C$9)/(AH361*ATM_Conf!$C$8)*(AI173-AH173)/(AH173+ATM_Conf!$C$10)</f>
        <v>#DIV/0!</v>
      </c>
      <c r="BC174" s="43" t="e">
        <f>BC173+(ATM_Conf!$C$5/ATM_Conf!$C$8)*(BW174*EXP(-(1/DK174)*(AI174/CQ174)^DK174)-BC173)+(ATM_Conf!$C$5/AI361)*BC173*(BB173-BC173)-(ATM_Conf!$C$5*ATM_Conf!$C$9)/(AI361*ATM_Conf!$C$8)*(AJ173-AI173)/(AI173+ATM_Conf!$C$10)</f>
        <v>#DIV/0!</v>
      </c>
      <c r="BD174" s="43" t="e">
        <f>BD173+(ATM_Conf!$C$5/ATM_Conf!$C$8)*(BX174*EXP(-(1/DL174)*(AJ174/CR174)^DL174)-BD173)+(ATM_Conf!$C$5/AJ361)*BD173*(BC173-BD173)-(ATM_Conf!$C$5*ATM_Conf!$C$9)/(AJ361*ATM_Conf!$C$8)*(Nodes!BX173-AJ173)/(AJ173+ATM_Conf!$C$10)</f>
        <v>#DIV/0!</v>
      </c>
      <c r="BE174" s="43" t="e">
        <f>BE173+(ATM_Conf!$C$5/ATM_Conf!$C$8)*(BY174*EXP(-(1/DM174)*(AK174/CS174)^DM174)-BE173)+(ATM_Conf!$C$5/AK361)*BE173*(Nodes!BK173-BE173)-(ATM_Conf!$C$5*ATM_Conf!$C$9)/(AK361*ATM_Conf!$C$8)*(Nodes!BY173-AK173)/(AK173+ATM_Conf!$C$10)</f>
        <v>#DIV/0!</v>
      </c>
      <c r="BF174" s="43" t="e">
        <f>BF173+(ATM_Conf!$C$5/ATM_Conf!$C$8)*(BZ174*EXP(-(1/DN174)*(AL174/CT174)^DN174)-BF173)+(ATM_Conf!$C$5/AL361)*BF173*(BE173-BF173)-(ATM_Conf!$C$5*ATM_Conf!$C$9)/(AL361*ATM_Conf!$C$8)*(AM173-AL173)/(AL173+ATM_Conf!$C$10)</f>
        <v>#DIV/0!</v>
      </c>
      <c r="BG174" s="43" t="e">
        <f>BG173+(ATM_Conf!$C$5/ATM_Conf!$C$8)*(CA174*EXP(-(1/DO174)*(AM174/CU174)^DO174)-BG173)+(ATM_Conf!$C$5/AM361)*BG173*(Nodes!BM173-BG173)-(ATM_Conf!$C$5*ATM_Conf!$C$9)/(AM361*ATM_Conf!$C$8)*(Nodes!CA173-AM173)/(AM173+ATM_Conf!$C$10)</f>
        <v>#DIV/0!</v>
      </c>
      <c r="BH174" s="43" t="e">
        <f>BH173+(ATM_Conf!$C$5/ATM_Conf!$C$8)*(CB174*EXP(-(1/DP174)*(AN174/CV174)^DP174)-BH173)+(ATM_Conf!$C$5/AN361)*BH173*(BG173-BH173)-(ATM_Conf!$C$5*ATM_Conf!$C$9)/(AN361*ATM_Conf!$C$8)*(AO173-AN173)/(AN173+ATM_Conf!$C$10)</f>
        <v>#DIV/0!</v>
      </c>
      <c r="BI174" s="43" t="e">
        <f>BI173+(ATM_Conf!$C$5/ATM_Conf!$C$8)*(CC174*EXP(-(1/DQ174)*(AO174/CW174)^DQ174)-BI173)+(ATM_Conf!$C$5/AO361)*BI173*(BH173-BI173)</f>
        <v>#DIV/0!</v>
      </c>
      <c r="BJ174" s="53"/>
      <c r="BK174" s="53"/>
      <c r="BL174" s="53"/>
      <c r="BM174" s="53"/>
      <c r="BN174" s="53"/>
      <c r="BO174" s="53"/>
      <c r="BP174" s="53"/>
      <c r="BQ174" s="53"/>
      <c r="BR174" s="53"/>
      <c r="BS174" s="53"/>
      <c r="BT174" s="53"/>
      <c r="BU174" s="53"/>
      <c r="BV174" s="53"/>
      <c r="BW174" s="53"/>
      <c r="BX174" s="53"/>
      <c r="BY174" s="53"/>
      <c r="BZ174" s="53"/>
      <c r="CA174" s="53"/>
      <c r="CB174" s="53"/>
      <c r="CC174" s="5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53"/>
      <c r="CY174" s="53"/>
      <c r="CZ174" s="53"/>
      <c r="DA174" s="53"/>
      <c r="DB174" s="53"/>
      <c r="DC174" s="53"/>
      <c r="DD174" s="53"/>
      <c r="DE174" s="53"/>
      <c r="DF174" s="53"/>
      <c r="DG174" s="53"/>
      <c r="DH174" s="53"/>
      <c r="DI174" s="53"/>
      <c r="DJ174" s="53"/>
      <c r="DK174" s="53"/>
      <c r="DL174" s="53"/>
      <c r="DM174" s="53"/>
      <c r="DN174" s="53"/>
      <c r="DO174" s="53"/>
      <c r="DP174" s="53"/>
      <c r="DQ174" s="53"/>
      <c r="DR174" s="43">
        <f t="shared" si="105"/>
        <v>0</v>
      </c>
      <c r="DS174" s="43">
        <f t="shared" si="104"/>
        <v>0</v>
      </c>
      <c r="DT174" s="43">
        <f t="shared" si="104"/>
        <v>0</v>
      </c>
      <c r="DU174" s="43">
        <f t="shared" si="104"/>
        <v>0</v>
      </c>
      <c r="DV174" s="43">
        <f t="shared" si="104"/>
        <v>0</v>
      </c>
      <c r="DW174" s="43">
        <f t="shared" si="104"/>
        <v>0</v>
      </c>
      <c r="DX174" s="43">
        <f t="shared" si="104"/>
        <v>0</v>
      </c>
      <c r="DY174" s="43">
        <f t="shared" si="104"/>
        <v>0</v>
      </c>
      <c r="DZ174" s="43">
        <f t="shared" si="104"/>
        <v>0</v>
      </c>
      <c r="EA174" s="43">
        <f t="shared" si="104"/>
        <v>0</v>
      </c>
      <c r="EB174" s="43">
        <f t="shared" si="104"/>
        <v>0</v>
      </c>
      <c r="EC174" s="43">
        <f t="shared" si="104"/>
        <v>0</v>
      </c>
      <c r="ED174" s="43">
        <f t="shared" si="104"/>
        <v>0</v>
      </c>
      <c r="EE174" s="43">
        <f t="shared" si="104"/>
        <v>0</v>
      </c>
      <c r="EF174" s="43">
        <f t="shared" si="104"/>
        <v>0</v>
      </c>
      <c r="EG174" s="43">
        <f t="shared" si="104"/>
        <v>0</v>
      </c>
      <c r="EH174" s="43">
        <f t="shared" si="104"/>
        <v>0</v>
      </c>
      <c r="EI174" s="43">
        <f t="shared" si="104"/>
        <v>0</v>
      </c>
      <c r="EJ174" s="43">
        <f t="shared" si="104"/>
        <v>0</v>
      </c>
      <c r="EK174" s="43">
        <f t="shared" si="104"/>
        <v>0</v>
      </c>
      <c r="EL174" s="47"/>
      <c r="EM174" s="47"/>
      <c r="EN174" s="47"/>
      <c r="EO174" s="47"/>
      <c r="EP174" s="47"/>
      <c r="EQ174" s="47"/>
      <c r="ER174" s="47"/>
      <c r="ES174" s="47"/>
      <c r="ET174" s="47"/>
      <c r="EU174" s="47"/>
      <c r="EV174" s="47"/>
      <c r="EW174" s="47"/>
      <c r="EX174" s="47"/>
      <c r="EY174" s="47"/>
      <c r="EZ174" s="47"/>
      <c r="FA174" s="47"/>
      <c r="FB174" s="47"/>
      <c r="FC174" s="47"/>
      <c r="FD174" s="47"/>
      <c r="FE174" s="47"/>
    </row>
    <row r="175" spans="1:161" ht="14.25" x14ac:dyDescent="0.15">
      <c r="A175" s="46"/>
      <c r="B175" s="43" t="e">
        <f t="shared" si="74"/>
        <v>#DIV/0!</v>
      </c>
      <c r="C175" s="43" t="e">
        <f t="shared" si="75"/>
        <v>#DIV/0!</v>
      </c>
      <c r="D175" s="43" t="e">
        <f t="shared" si="76"/>
        <v>#DIV/0!</v>
      </c>
      <c r="E175" s="43" t="e">
        <f t="shared" si="77"/>
        <v>#DIV/0!</v>
      </c>
      <c r="F175" s="43" t="e">
        <f t="shared" si="78"/>
        <v>#DIV/0!</v>
      </c>
      <c r="G175" s="43" t="e">
        <f t="shared" si="79"/>
        <v>#DIV/0!</v>
      </c>
      <c r="H175" s="43" t="e">
        <f t="shared" si="80"/>
        <v>#DIV/0!</v>
      </c>
      <c r="I175" s="43" t="e">
        <f t="shared" si="81"/>
        <v>#DIV/0!</v>
      </c>
      <c r="J175" s="43" t="e">
        <f t="shared" si="82"/>
        <v>#DIV/0!</v>
      </c>
      <c r="K175" s="43" t="e">
        <f t="shared" si="83"/>
        <v>#DIV/0!</v>
      </c>
      <c r="L175" s="43" t="e">
        <f t="shared" si="84"/>
        <v>#DIV/0!</v>
      </c>
      <c r="M175" s="43" t="e">
        <f t="shared" si="85"/>
        <v>#DIV/0!</v>
      </c>
      <c r="N175" s="43" t="e">
        <f t="shared" si="86"/>
        <v>#DIV/0!</v>
      </c>
      <c r="O175" s="43" t="e">
        <f t="shared" si="87"/>
        <v>#DIV/0!</v>
      </c>
      <c r="P175" s="43" t="e">
        <f t="shared" si="88"/>
        <v>#DIV/0!</v>
      </c>
      <c r="Q175" s="43" t="e">
        <f t="shared" si="89"/>
        <v>#DIV/0!</v>
      </c>
      <c r="R175" s="43" t="e">
        <f t="shared" si="90"/>
        <v>#DIV/0!</v>
      </c>
      <c r="S175" s="43" t="e">
        <f t="shared" si="91"/>
        <v>#DIV/0!</v>
      </c>
      <c r="T175" s="43" t="e">
        <f t="shared" si="92"/>
        <v>#DIV/0!</v>
      </c>
      <c r="U175" s="43" t="e">
        <f t="shared" si="93"/>
        <v>#DIV/0!</v>
      </c>
      <c r="V175" s="53" t="e">
        <f>V174+ATM_Conf!$C$5*(B174)/(B362*V362)</f>
        <v>#DIV/0!</v>
      </c>
      <c r="W175" s="53" t="e">
        <f>W174+ATM_Conf!$C$5*(C174-B174)/(C362*W362)</f>
        <v>#DIV/0!</v>
      </c>
      <c r="X175" s="53" t="e">
        <f>X174+ATM_Conf!$C$5*(D174-C174)/(D362*X362)</f>
        <v>#DIV/0!</v>
      </c>
      <c r="Y175" s="53" t="e">
        <f>Y174+ATM_Conf!$C$5*(E174-D174)/(E362*Y362)</f>
        <v>#DIV/0!</v>
      </c>
      <c r="Z175" s="53" t="e">
        <f>Z174+ATM_Conf!$C$5*(F174-E174)/(F362*Z362)</f>
        <v>#DIV/0!</v>
      </c>
      <c r="AA175" s="53" t="e">
        <f>AA174+ATM_Conf!$C$5*(G174-F174)/(G362*AA362)</f>
        <v>#DIV/0!</v>
      </c>
      <c r="AB175" s="53" t="e">
        <f>AB174+ATM_Conf!$C$5*(H174-G174)/(H362*AB362)</f>
        <v>#DIV/0!</v>
      </c>
      <c r="AC175" s="53" t="e">
        <f>AC174+ATM_Conf!$C$5*(I174-H174)/(I362*AC362)</f>
        <v>#DIV/0!</v>
      </c>
      <c r="AD175" s="53" t="e">
        <f>AD174+ATM_Conf!$C$5*(J174-I174)/(J362*AD362)</f>
        <v>#DIV/0!</v>
      </c>
      <c r="AE175" s="53" t="e">
        <f>AE174+ATM_Conf!$C$5*(K174-J174)/(K362*AE362)</f>
        <v>#DIV/0!</v>
      </c>
      <c r="AF175" s="53" t="e">
        <f>AF174+ATM_Conf!$C$5*(L174)/(L362*AF362)</f>
        <v>#DIV/0!</v>
      </c>
      <c r="AG175" s="53" t="e">
        <f>AG174+ATM_Conf!$C$5*(M174-L174)/(M362*AG362)</f>
        <v>#DIV/0!</v>
      </c>
      <c r="AH175" s="53" t="e">
        <f>AH174+ATM_Conf!$C$5*(N174-M174)/(N362*AH362)</f>
        <v>#DIV/0!</v>
      </c>
      <c r="AI175" s="53" t="e">
        <f>AI174+ATM_Conf!$C$5*(O174-N174)/(O362*AI362)</f>
        <v>#DIV/0!</v>
      </c>
      <c r="AJ175" s="53" t="e">
        <f>AJ174+ATM_Conf!$C$5*(P174-O174)/(P362*AJ362)</f>
        <v>#DIV/0!</v>
      </c>
      <c r="AK175" s="53" t="e">
        <f>AK174+ATM_Conf!$C$5*(Q174-P174)/(Q362*AK362)</f>
        <v>#DIV/0!</v>
      </c>
      <c r="AL175" s="53" t="e">
        <f>AL174+ATM_Conf!$C$5*(R174-Q174)/(R362*AL362)</f>
        <v>#DIV/0!</v>
      </c>
      <c r="AM175" s="53" t="e">
        <f>AM174+ATM_Conf!$C$5*(S174-R174)/(S362*AM362)</f>
        <v>#DIV/0!</v>
      </c>
      <c r="AN175" s="53" t="e">
        <f>AN174+ATM_Conf!$C$5*(T174-S174)/(T362*AN362)</f>
        <v>#DIV/0!</v>
      </c>
      <c r="AO175" s="53" t="e">
        <f>AO174+ATM_Conf!$C$5*(U174-T174)/(U362*AO362)</f>
        <v>#DIV/0!</v>
      </c>
      <c r="AP175" s="43" t="e">
        <f>AP174+(ATM_Conf!$C$5/ATM_Conf!$C$8)*(BJ175*EXP(-(1/CX175)*(V175/CD175)^CX175)-AP174)-(ATM_Conf!$C$5*ATM_Conf!$C$9)/(V362*ATM_Conf!$C$8)*(Nodes!BO174-V174)/(V174+ATM_Conf!$C$10)</f>
        <v>#DIV/0!</v>
      </c>
      <c r="AQ175" s="43" t="e">
        <f>AQ174+(ATM_Conf!$C$5/ATM_Conf!$C$8)*(BK175*EXP(-(1/CY175)*(W175/CE175)^CY175)-AQ174)+(ATM_Conf!$C$5/W362)*AQ174*(AP174-AQ174)-(ATM_Conf!$C$5*ATM_Conf!$C$9)/(W362*ATM_Conf!$C$8)*(X174-W174)/(W174+ATM_Conf!$C$10)</f>
        <v>#DIV/0!</v>
      </c>
      <c r="AR175" s="43" t="e">
        <f>AR174+(ATM_Conf!$C$5/ATM_Conf!$C$8)*(BL175*EXP(-(1/CZ175)*(X175/CF175)^CZ175)-AR174)+(ATM_Conf!$C$5/X362)*AR174*(Nodes!BC174-AR174)-(ATM_Conf!$C$5*ATM_Conf!$C$9)/(X362*ATM_Conf!$C$8)*(Nodes!BQ174-X174)/(X174+ATM_Conf!$C$10)</f>
        <v>#DIV/0!</v>
      </c>
      <c r="AS175" s="43" t="e">
        <f>AS174+(ATM_Conf!$C$5/ATM_Conf!$C$8)*(BM175*EXP(-(1/DA175)*(Y175/CG175)^DA175)-AS174)+(ATM_Conf!$C$5/Y362)*AS174*(AR174-AS174)-(ATM_Conf!$C$5*ATM_Conf!$C$9)/(Y362*ATM_Conf!$C$8)*(Z174-Y174)/(Y174+ATM_Conf!$C$10)</f>
        <v>#DIV/0!</v>
      </c>
      <c r="AT175" s="43" t="e">
        <f>AT174+(ATM_Conf!$C$5/ATM_Conf!$C$8)*(BN175*EXP(-(1/DB175)*(Z175/CH175)^DB175)-AT174)+(ATM_Conf!$C$5/Z362)*AT174*(Nodes!BE174-AT174)-(ATM_Conf!$C$5*ATM_Conf!$C$9)/(Z362*ATM_Conf!$C$8)*(Nodes!BS174-Z174)/(Z174+ATM_Conf!$C$10)</f>
        <v>#DIV/0!</v>
      </c>
      <c r="AU175" s="43" t="e">
        <f>AU174+(ATM_Conf!$C$5/ATM_Conf!$C$8)*(BO175*EXP(-(1/DC175)*(AA175/CI175)^DC175)-AU174)+(ATM_Conf!$C$5/AA362)*AU174*(Nodes!BF174-AU174)-(ATM_Conf!$C$5*ATM_Conf!$C$9)/(AA362*ATM_Conf!$C$8)*(Nodes!BV174-AA174)/(AA174+ATM_Conf!$C$10)</f>
        <v>#DIV/0!</v>
      </c>
      <c r="AV175" s="43" t="e">
        <f>AV174+(ATM_Conf!$C$5/ATM_Conf!$C$8)*(BP175*EXP(-(1/DD175)*(AB175/CJ175)^DD175)-AV174)+(ATM_Conf!$C$5/AB362)*AV174*(AU174-AV174)-(ATM_Conf!$C$5*ATM_Conf!$C$9)/(AB362*ATM_Conf!$C$8)*(AC174-AB174)/(AB174+ATM_Conf!$C$10)</f>
        <v>#DIV/0!</v>
      </c>
      <c r="AW175" s="43" t="e">
        <f>AW174+(ATM_Conf!$C$5/ATM_Conf!$C$8)*(BQ175*EXP(-(1/DE175)*(AC175/CK175)^DE175)-AW174)+(ATM_Conf!$C$5/AC362)*AW174*(AV174-AW174)-(ATM_Conf!$C$5*ATM_Conf!$C$9)/(AC362*ATM_Conf!$C$8)*(AD174-AC174)/(AC174+ATM_Conf!$C$10)</f>
        <v>#DIV/0!</v>
      </c>
      <c r="AX175" s="43" t="e">
        <f>AX174+(ATM_Conf!$C$5/ATM_Conf!$C$8)*(BR175*EXP(-(1/DF175)*(AD175/CL175)^DF175)-AX174)+(ATM_Conf!$C$5/AD362)*AX174*(Nodes!BG174-AX174)-(ATM_Conf!$C$5*ATM_Conf!$C$9)/(AD362*ATM_Conf!$C$8)*(Nodes!BU174-AD174)/(AD174+ATM_Conf!$C$10)</f>
        <v>#DIV/0!</v>
      </c>
      <c r="AY175" s="43" t="e">
        <f>AY174+(ATM_Conf!$C$5/ATM_Conf!$C$8)*(BS175*EXP(-(1/DG175)*(AE175/CM175)^DG175)-AY174)+(ATM_Conf!$C$5/AE362)*AY174*(Nodes!BF174-AY174)</f>
        <v>#DIV/0!</v>
      </c>
      <c r="AZ175" s="43" t="e">
        <f>AZ174+(ATM_Conf!$C$5/ATM_Conf!$C$8)*(BT175*EXP(-(1/DH175)*(AF175/CN175)^DH175)-AZ174)-(ATM_Conf!$C$5*ATM_Conf!$C$9)/(AF362*ATM_Conf!$C$8)*(Nodes!BV174-AF174)/(AF174+ATM_Conf!$C$10)</f>
        <v>#DIV/0!</v>
      </c>
      <c r="BA175" s="43" t="e">
        <f>BA174+(ATM_Conf!$C$5/ATM_Conf!$C$8)*(BU175*EXP(-(1/DI175)*(AG175/CO175)^DI175)-BA174)+(ATM_Conf!$C$5/AG362)*BA174*(Nodes!BI174-BA174)-(ATM_Conf!$C$5*ATM_Conf!$C$9)/(AG362*ATM_Conf!$C$8)*(Nodes!BW174-AG174)/(AG174+ATM_Conf!$C$10)</f>
        <v>#DIV/0!</v>
      </c>
      <c r="BB175" s="43" t="e">
        <f>BB174+(ATM_Conf!$C$5/ATM_Conf!$C$8)*(BV175*EXP(-(1/DJ175)*(AH175/CP175)^DJ175)-BB174)+(ATM_Conf!$C$5/AH362)*BB174*(Nodes!BJ174-BB174)-(ATM_Conf!$C$5*ATM_Conf!$C$9)/(AH362*ATM_Conf!$C$8)*(AI174-AH174)/(AH174+ATM_Conf!$C$10)</f>
        <v>#DIV/0!</v>
      </c>
      <c r="BC175" s="43" t="e">
        <f>BC174+(ATM_Conf!$C$5/ATM_Conf!$C$8)*(BW175*EXP(-(1/DK175)*(AI175/CQ175)^DK175)-BC174)+(ATM_Conf!$C$5/AI362)*BC174*(BB174-BC174)-(ATM_Conf!$C$5*ATM_Conf!$C$9)/(AI362*ATM_Conf!$C$8)*(AJ174-AI174)/(AI174+ATM_Conf!$C$10)</f>
        <v>#DIV/0!</v>
      </c>
      <c r="BD175" s="43" t="e">
        <f>BD174+(ATM_Conf!$C$5/ATM_Conf!$C$8)*(BX175*EXP(-(1/DL175)*(AJ175/CR175)^DL175)-BD174)+(ATM_Conf!$C$5/AJ362)*BD174*(BC174-BD174)-(ATM_Conf!$C$5*ATM_Conf!$C$9)/(AJ362*ATM_Conf!$C$8)*(Nodes!BX174-AJ174)/(AJ174+ATM_Conf!$C$10)</f>
        <v>#DIV/0!</v>
      </c>
      <c r="BE175" s="43" t="e">
        <f>BE174+(ATM_Conf!$C$5/ATM_Conf!$C$8)*(BY175*EXP(-(1/DM175)*(AK175/CS175)^DM175)-BE174)+(ATM_Conf!$C$5/AK362)*BE174*(Nodes!BK174-BE174)-(ATM_Conf!$C$5*ATM_Conf!$C$9)/(AK362*ATM_Conf!$C$8)*(Nodes!BY174-AK174)/(AK174+ATM_Conf!$C$10)</f>
        <v>#DIV/0!</v>
      </c>
      <c r="BF175" s="43" t="e">
        <f>BF174+(ATM_Conf!$C$5/ATM_Conf!$C$8)*(BZ175*EXP(-(1/DN175)*(AL175/CT175)^DN175)-BF174)+(ATM_Conf!$C$5/AL362)*BF174*(BE174-BF174)-(ATM_Conf!$C$5*ATM_Conf!$C$9)/(AL362*ATM_Conf!$C$8)*(AM174-AL174)/(AL174+ATM_Conf!$C$10)</f>
        <v>#DIV/0!</v>
      </c>
      <c r="BG175" s="43" t="e">
        <f>BG174+(ATM_Conf!$C$5/ATM_Conf!$C$8)*(CA175*EXP(-(1/DO175)*(AM175/CU175)^DO175)-BG174)+(ATM_Conf!$C$5/AM362)*BG174*(Nodes!BM174-BG174)-(ATM_Conf!$C$5*ATM_Conf!$C$9)/(AM362*ATM_Conf!$C$8)*(Nodes!CA174-AM174)/(AM174+ATM_Conf!$C$10)</f>
        <v>#DIV/0!</v>
      </c>
      <c r="BH175" s="43" t="e">
        <f>BH174+(ATM_Conf!$C$5/ATM_Conf!$C$8)*(CB175*EXP(-(1/DP175)*(AN175/CV175)^DP175)-BH174)+(ATM_Conf!$C$5/AN362)*BH174*(BG174-BH174)-(ATM_Conf!$C$5*ATM_Conf!$C$9)/(AN362*ATM_Conf!$C$8)*(AO174-AN174)/(AN174+ATM_Conf!$C$10)</f>
        <v>#DIV/0!</v>
      </c>
      <c r="BI175" s="43" t="e">
        <f>BI174+(ATM_Conf!$C$5/ATM_Conf!$C$8)*(CC175*EXP(-(1/DQ175)*(AO175/CW175)^DQ175)-BI174)+(ATM_Conf!$C$5/AO362)*BI174*(BH174-BI174)</f>
        <v>#DIV/0!</v>
      </c>
      <c r="BJ175" s="53"/>
      <c r="BK175" s="53"/>
      <c r="BL175" s="53"/>
      <c r="BM175" s="53"/>
      <c r="BN175" s="53"/>
      <c r="BO175" s="53"/>
      <c r="BP175" s="53"/>
      <c r="BQ175" s="53"/>
      <c r="BR175" s="53"/>
      <c r="BS175" s="53"/>
      <c r="BT175" s="53"/>
      <c r="BU175" s="53"/>
      <c r="BV175" s="53"/>
      <c r="BW175" s="53"/>
      <c r="BX175" s="53"/>
      <c r="BY175" s="53"/>
      <c r="BZ175" s="53"/>
      <c r="CA175" s="53"/>
      <c r="CB175" s="53"/>
      <c r="CC175" s="5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53"/>
      <c r="CY175" s="53"/>
      <c r="CZ175" s="53"/>
      <c r="DA175" s="53"/>
      <c r="DB175" s="53"/>
      <c r="DC175" s="53"/>
      <c r="DD175" s="53"/>
      <c r="DE175" s="53"/>
      <c r="DF175" s="53"/>
      <c r="DG175" s="53"/>
      <c r="DH175" s="53"/>
      <c r="DI175" s="53"/>
      <c r="DJ175" s="53"/>
      <c r="DK175" s="53"/>
      <c r="DL175" s="53"/>
      <c r="DM175" s="53"/>
      <c r="DN175" s="53"/>
      <c r="DO175" s="53"/>
      <c r="DP175" s="53"/>
      <c r="DQ175" s="53"/>
      <c r="DR175" s="43">
        <f t="shared" si="105"/>
        <v>0</v>
      </c>
      <c r="DS175" s="43">
        <f t="shared" si="104"/>
        <v>0</v>
      </c>
      <c r="DT175" s="43">
        <f t="shared" si="104"/>
        <v>0</v>
      </c>
      <c r="DU175" s="43">
        <f t="shared" si="104"/>
        <v>0</v>
      </c>
      <c r="DV175" s="43">
        <f t="shared" si="104"/>
        <v>0</v>
      </c>
      <c r="DW175" s="43">
        <f t="shared" si="104"/>
        <v>0</v>
      </c>
      <c r="DX175" s="43">
        <f t="shared" si="104"/>
        <v>0</v>
      </c>
      <c r="DY175" s="43">
        <f t="shared" si="104"/>
        <v>0</v>
      </c>
      <c r="DZ175" s="43">
        <f t="shared" si="104"/>
        <v>0</v>
      </c>
      <c r="EA175" s="43">
        <f t="shared" si="104"/>
        <v>0</v>
      </c>
      <c r="EB175" s="43">
        <f t="shared" si="104"/>
        <v>0</v>
      </c>
      <c r="EC175" s="43">
        <f t="shared" si="104"/>
        <v>0</v>
      </c>
      <c r="ED175" s="43">
        <f t="shared" si="104"/>
        <v>0</v>
      </c>
      <c r="EE175" s="43">
        <f t="shared" si="104"/>
        <v>0</v>
      </c>
      <c r="EF175" s="43">
        <f t="shared" si="104"/>
        <v>0</v>
      </c>
      <c r="EG175" s="43">
        <f t="shared" si="104"/>
        <v>0</v>
      </c>
      <c r="EH175" s="43">
        <f t="shared" si="104"/>
        <v>0</v>
      </c>
      <c r="EI175" s="43">
        <f t="shared" si="104"/>
        <v>0</v>
      </c>
      <c r="EJ175" s="43">
        <f t="shared" si="104"/>
        <v>0</v>
      </c>
      <c r="EK175" s="43">
        <f t="shared" si="104"/>
        <v>0</v>
      </c>
      <c r="EL175" s="47"/>
      <c r="EM175" s="47"/>
      <c r="EN175" s="47"/>
      <c r="EO175" s="47"/>
      <c r="EP175" s="47"/>
      <c r="EQ175" s="47"/>
      <c r="ER175" s="47"/>
      <c r="ES175" s="47"/>
      <c r="ET175" s="47"/>
      <c r="EU175" s="47"/>
      <c r="EV175" s="47"/>
      <c r="EW175" s="47"/>
      <c r="EX175" s="47"/>
      <c r="EY175" s="47"/>
      <c r="EZ175" s="47"/>
      <c r="FA175" s="47"/>
      <c r="FB175" s="47"/>
      <c r="FC175" s="47"/>
      <c r="FD175" s="47"/>
      <c r="FE175" s="47"/>
    </row>
    <row r="176" spans="1:161" ht="14.25" x14ac:dyDescent="0.15">
      <c r="A176" s="46"/>
      <c r="B176" s="43" t="e">
        <f t="shared" si="74"/>
        <v>#DIV/0!</v>
      </c>
      <c r="C176" s="43" t="e">
        <f t="shared" si="75"/>
        <v>#DIV/0!</v>
      </c>
      <c r="D176" s="43" t="e">
        <f t="shared" si="76"/>
        <v>#DIV/0!</v>
      </c>
      <c r="E176" s="43" t="e">
        <f t="shared" si="77"/>
        <v>#DIV/0!</v>
      </c>
      <c r="F176" s="43" t="e">
        <f t="shared" si="78"/>
        <v>#DIV/0!</v>
      </c>
      <c r="G176" s="43" t="e">
        <f t="shared" si="79"/>
        <v>#DIV/0!</v>
      </c>
      <c r="H176" s="43" t="e">
        <f t="shared" si="80"/>
        <v>#DIV/0!</v>
      </c>
      <c r="I176" s="43" t="e">
        <f t="shared" si="81"/>
        <v>#DIV/0!</v>
      </c>
      <c r="J176" s="43" t="e">
        <f t="shared" si="82"/>
        <v>#DIV/0!</v>
      </c>
      <c r="K176" s="43" t="e">
        <f t="shared" si="83"/>
        <v>#DIV/0!</v>
      </c>
      <c r="L176" s="43" t="e">
        <f t="shared" si="84"/>
        <v>#DIV/0!</v>
      </c>
      <c r="M176" s="43" t="e">
        <f t="shared" si="85"/>
        <v>#DIV/0!</v>
      </c>
      <c r="N176" s="43" t="e">
        <f t="shared" si="86"/>
        <v>#DIV/0!</v>
      </c>
      <c r="O176" s="43" t="e">
        <f t="shared" si="87"/>
        <v>#DIV/0!</v>
      </c>
      <c r="P176" s="43" t="e">
        <f t="shared" si="88"/>
        <v>#DIV/0!</v>
      </c>
      <c r="Q176" s="43" t="e">
        <f t="shared" si="89"/>
        <v>#DIV/0!</v>
      </c>
      <c r="R176" s="43" t="e">
        <f t="shared" si="90"/>
        <v>#DIV/0!</v>
      </c>
      <c r="S176" s="43" t="e">
        <f t="shared" si="91"/>
        <v>#DIV/0!</v>
      </c>
      <c r="T176" s="43" t="e">
        <f t="shared" si="92"/>
        <v>#DIV/0!</v>
      </c>
      <c r="U176" s="43" t="e">
        <f t="shared" si="93"/>
        <v>#DIV/0!</v>
      </c>
      <c r="V176" s="53" t="e">
        <f>V175+ATM_Conf!$C$5*(B175)/(B363*V363)</f>
        <v>#DIV/0!</v>
      </c>
      <c r="W176" s="53" t="e">
        <f>W175+ATM_Conf!$C$5*(C175-B175)/(C363*W363)</f>
        <v>#DIV/0!</v>
      </c>
      <c r="X176" s="53" t="e">
        <f>X175+ATM_Conf!$C$5*(D175-C175)/(D363*X363)</f>
        <v>#DIV/0!</v>
      </c>
      <c r="Y176" s="53" t="e">
        <f>Y175+ATM_Conf!$C$5*(E175-D175)/(E363*Y363)</f>
        <v>#DIV/0!</v>
      </c>
      <c r="Z176" s="53" t="e">
        <f>Z175+ATM_Conf!$C$5*(F175-E175)/(F363*Z363)</f>
        <v>#DIV/0!</v>
      </c>
      <c r="AA176" s="53" t="e">
        <f>AA175+ATM_Conf!$C$5*(G175-F175)/(G363*AA363)</f>
        <v>#DIV/0!</v>
      </c>
      <c r="AB176" s="53" t="e">
        <f>AB175+ATM_Conf!$C$5*(H175-G175)/(H363*AB363)</f>
        <v>#DIV/0!</v>
      </c>
      <c r="AC176" s="53" t="e">
        <f>AC175+ATM_Conf!$C$5*(I175-H175)/(I363*AC363)</f>
        <v>#DIV/0!</v>
      </c>
      <c r="AD176" s="53" t="e">
        <f>AD175+ATM_Conf!$C$5*(J175-I175)/(J363*AD363)</f>
        <v>#DIV/0!</v>
      </c>
      <c r="AE176" s="53" t="e">
        <f>AE175+ATM_Conf!$C$5*(K175-J175)/(K363*AE363)</f>
        <v>#DIV/0!</v>
      </c>
      <c r="AF176" s="53" t="e">
        <f>AF175+ATM_Conf!$C$5*(L175)/(L363*AF363)</f>
        <v>#DIV/0!</v>
      </c>
      <c r="AG176" s="53" t="e">
        <f>AG175+ATM_Conf!$C$5*(M175-L175)/(M363*AG363)</f>
        <v>#DIV/0!</v>
      </c>
      <c r="AH176" s="53" t="e">
        <f>AH175+ATM_Conf!$C$5*(N175-M175)/(N363*AH363)</f>
        <v>#DIV/0!</v>
      </c>
      <c r="AI176" s="53" t="e">
        <f>AI175+ATM_Conf!$C$5*(O175-N175)/(O363*AI363)</f>
        <v>#DIV/0!</v>
      </c>
      <c r="AJ176" s="53" t="e">
        <f>AJ175+ATM_Conf!$C$5*(P175-O175)/(P363*AJ363)</f>
        <v>#DIV/0!</v>
      </c>
      <c r="AK176" s="53" t="e">
        <f>AK175+ATM_Conf!$C$5*(Q175-P175)/(Q363*AK363)</f>
        <v>#DIV/0!</v>
      </c>
      <c r="AL176" s="53" t="e">
        <f>AL175+ATM_Conf!$C$5*(R175-Q175)/(R363*AL363)</f>
        <v>#DIV/0!</v>
      </c>
      <c r="AM176" s="53" t="e">
        <f>AM175+ATM_Conf!$C$5*(S175-R175)/(S363*AM363)</f>
        <v>#DIV/0!</v>
      </c>
      <c r="AN176" s="53" t="e">
        <f>AN175+ATM_Conf!$C$5*(T175-S175)/(T363*AN363)</f>
        <v>#DIV/0!</v>
      </c>
      <c r="AO176" s="53" t="e">
        <f>AO175+ATM_Conf!$C$5*(U175-T175)/(U363*AO363)</f>
        <v>#DIV/0!</v>
      </c>
      <c r="AP176" s="43" t="e">
        <f>AP175+(ATM_Conf!$C$5/ATM_Conf!$C$8)*(BJ176*EXP(-(1/CX176)*(V176/CD176)^CX176)-AP175)-(ATM_Conf!$C$5*ATM_Conf!$C$9)/(V363*ATM_Conf!$C$8)*(Nodes!BO175-V175)/(V175+ATM_Conf!$C$10)</f>
        <v>#DIV/0!</v>
      </c>
      <c r="AQ176" s="43" t="e">
        <f>AQ175+(ATM_Conf!$C$5/ATM_Conf!$C$8)*(BK176*EXP(-(1/CY176)*(W176/CE176)^CY176)-AQ175)+(ATM_Conf!$C$5/W363)*AQ175*(AP175-AQ175)-(ATM_Conf!$C$5*ATM_Conf!$C$9)/(W363*ATM_Conf!$C$8)*(X175-W175)/(W175+ATM_Conf!$C$10)</f>
        <v>#DIV/0!</v>
      </c>
      <c r="AR176" s="43" t="e">
        <f>AR175+(ATM_Conf!$C$5/ATM_Conf!$C$8)*(BL176*EXP(-(1/CZ176)*(X176/CF176)^CZ176)-AR175)+(ATM_Conf!$C$5/X363)*AR175*(Nodes!BC175-AR175)-(ATM_Conf!$C$5*ATM_Conf!$C$9)/(X363*ATM_Conf!$C$8)*(Nodes!BQ175-X175)/(X175+ATM_Conf!$C$10)</f>
        <v>#DIV/0!</v>
      </c>
      <c r="AS176" s="43" t="e">
        <f>AS175+(ATM_Conf!$C$5/ATM_Conf!$C$8)*(BM176*EXP(-(1/DA176)*(Y176/CG176)^DA176)-AS175)+(ATM_Conf!$C$5/Y363)*AS175*(AR175-AS175)-(ATM_Conf!$C$5*ATM_Conf!$C$9)/(Y363*ATM_Conf!$C$8)*(Z175-Y175)/(Y175+ATM_Conf!$C$10)</f>
        <v>#DIV/0!</v>
      </c>
      <c r="AT176" s="43" t="e">
        <f>AT175+(ATM_Conf!$C$5/ATM_Conf!$C$8)*(BN176*EXP(-(1/DB176)*(Z176/CH176)^DB176)-AT175)+(ATM_Conf!$C$5/Z363)*AT175*(Nodes!BE175-AT175)-(ATM_Conf!$C$5*ATM_Conf!$C$9)/(Z363*ATM_Conf!$C$8)*(Nodes!BS175-Z175)/(Z175+ATM_Conf!$C$10)</f>
        <v>#DIV/0!</v>
      </c>
      <c r="AU176" s="43" t="e">
        <f>AU175+(ATM_Conf!$C$5/ATM_Conf!$C$8)*(BO176*EXP(-(1/DC176)*(AA176/CI176)^DC176)-AU175)+(ATM_Conf!$C$5/AA363)*AU175*(Nodes!BF175-AU175)-(ATM_Conf!$C$5*ATM_Conf!$C$9)/(AA363*ATM_Conf!$C$8)*(Nodes!BV175-AA175)/(AA175+ATM_Conf!$C$10)</f>
        <v>#DIV/0!</v>
      </c>
      <c r="AV176" s="43" t="e">
        <f>AV175+(ATM_Conf!$C$5/ATM_Conf!$C$8)*(BP176*EXP(-(1/DD176)*(AB176/CJ176)^DD176)-AV175)+(ATM_Conf!$C$5/AB363)*AV175*(AU175-AV175)-(ATM_Conf!$C$5*ATM_Conf!$C$9)/(AB363*ATM_Conf!$C$8)*(AC175-AB175)/(AB175+ATM_Conf!$C$10)</f>
        <v>#DIV/0!</v>
      </c>
      <c r="AW176" s="43" t="e">
        <f>AW175+(ATM_Conf!$C$5/ATM_Conf!$C$8)*(BQ176*EXP(-(1/DE176)*(AC176/CK176)^DE176)-AW175)+(ATM_Conf!$C$5/AC363)*AW175*(AV175-AW175)-(ATM_Conf!$C$5*ATM_Conf!$C$9)/(AC363*ATM_Conf!$C$8)*(AD175-AC175)/(AC175+ATM_Conf!$C$10)</f>
        <v>#DIV/0!</v>
      </c>
      <c r="AX176" s="43" t="e">
        <f>AX175+(ATM_Conf!$C$5/ATM_Conf!$C$8)*(BR176*EXP(-(1/DF176)*(AD176/CL176)^DF176)-AX175)+(ATM_Conf!$C$5/AD363)*AX175*(Nodes!BG175-AX175)-(ATM_Conf!$C$5*ATM_Conf!$C$9)/(AD363*ATM_Conf!$C$8)*(Nodes!BU175-AD175)/(AD175+ATM_Conf!$C$10)</f>
        <v>#DIV/0!</v>
      </c>
      <c r="AY176" s="43" t="e">
        <f>AY175+(ATM_Conf!$C$5/ATM_Conf!$C$8)*(BS176*EXP(-(1/DG176)*(AE176/CM176)^DG176)-AY175)+(ATM_Conf!$C$5/AE363)*AY175*(Nodes!BF175-AY175)</f>
        <v>#DIV/0!</v>
      </c>
      <c r="AZ176" s="43" t="e">
        <f>AZ175+(ATM_Conf!$C$5/ATM_Conf!$C$8)*(BT176*EXP(-(1/DH176)*(AF176/CN176)^DH176)-AZ175)-(ATM_Conf!$C$5*ATM_Conf!$C$9)/(AF363*ATM_Conf!$C$8)*(Nodes!BV175-AF175)/(AF175+ATM_Conf!$C$10)</f>
        <v>#DIV/0!</v>
      </c>
      <c r="BA176" s="43" t="e">
        <f>BA175+(ATM_Conf!$C$5/ATM_Conf!$C$8)*(BU176*EXP(-(1/DI176)*(AG176/CO176)^DI176)-BA175)+(ATM_Conf!$C$5/AG363)*BA175*(Nodes!BI175-BA175)-(ATM_Conf!$C$5*ATM_Conf!$C$9)/(AG363*ATM_Conf!$C$8)*(Nodes!BW175-AG175)/(AG175+ATM_Conf!$C$10)</f>
        <v>#DIV/0!</v>
      </c>
      <c r="BB176" s="43" t="e">
        <f>BB175+(ATM_Conf!$C$5/ATM_Conf!$C$8)*(BV176*EXP(-(1/DJ176)*(AH176/CP176)^DJ176)-BB175)+(ATM_Conf!$C$5/AH363)*BB175*(Nodes!BJ175-BB175)-(ATM_Conf!$C$5*ATM_Conf!$C$9)/(AH363*ATM_Conf!$C$8)*(AI175-AH175)/(AH175+ATM_Conf!$C$10)</f>
        <v>#DIV/0!</v>
      </c>
      <c r="BC176" s="43" t="e">
        <f>BC175+(ATM_Conf!$C$5/ATM_Conf!$C$8)*(BW176*EXP(-(1/DK176)*(AI176/CQ176)^DK176)-BC175)+(ATM_Conf!$C$5/AI363)*BC175*(BB175-BC175)-(ATM_Conf!$C$5*ATM_Conf!$C$9)/(AI363*ATM_Conf!$C$8)*(AJ175-AI175)/(AI175+ATM_Conf!$C$10)</f>
        <v>#DIV/0!</v>
      </c>
      <c r="BD176" s="43" t="e">
        <f>BD175+(ATM_Conf!$C$5/ATM_Conf!$C$8)*(BX176*EXP(-(1/DL176)*(AJ176/CR176)^DL176)-BD175)+(ATM_Conf!$C$5/AJ363)*BD175*(BC175-BD175)-(ATM_Conf!$C$5*ATM_Conf!$C$9)/(AJ363*ATM_Conf!$C$8)*(Nodes!BX175-AJ175)/(AJ175+ATM_Conf!$C$10)</f>
        <v>#DIV/0!</v>
      </c>
      <c r="BE176" s="43" t="e">
        <f>BE175+(ATM_Conf!$C$5/ATM_Conf!$C$8)*(BY176*EXP(-(1/DM176)*(AK176/CS176)^DM176)-BE175)+(ATM_Conf!$C$5/AK363)*BE175*(Nodes!BK175-BE175)-(ATM_Conf!$C$5*ATM_Conf!$C$9)/(AK363*ATM_Conf!$C$8)*(Nodes!BY175-AK175)/(AK175+ATM_Conf!$C$10)</f>
        <v>#DIV/0!</v>
      </c>
      <c r="BF176" s="43" t="e">
        <f>BF175+(ATM_Conf!$C$5/ATM_Conf!$C$8)*(BZ176*EXP(-(1/DN176)*(AL176/CT176)^DN176)-BF175)+(ATM_Conf!$C$5/AL363)*BF175*(BE175-BF175)-(ATM_Conf!$C$5*ATM_Conf!$C$9)/(AL363*ATM_Conf!$C$8)*(AM175-AL175)/(AL175+ATM_Conf!$C$10)</f>
        <v>#DIV/0!</v>
      </c>
      <c r="BG176" s="43" t="e">
        <f>BG175+(ATM_Conf!$C$5/ATM_Conf!$C$8)*(CA176*EXP(-(1/DO176)*(AM176/CU176)^DO176)-BG175)+(ATM_Conf!$C$5/AM363)*BG175*(Nodes!BM175-BG175)-(ATM_Conf!$C$5*ATM_Conf!$C$9)/(AM363*ATM_Conf!$C$8)*(Nodes!CA175-AM175)/(AM175+ATM_Conf!$C$10)</f>
        <v>#DIV/0!</v>
      </c>
      <c r="BH176" s="43" t="e">
        <f>BH175+(ATM_Conf!$C$5/ATM_Conf!$C$8)*(CB176*EXP(-(1/DP176)*(AN176/CV176)^DP176)-BH175)+(ATM_Conf!$C$5/AN363)*BH175*(BG175-BH175)-(ATM_Conf!$C$5*ATM_Conf!$C$9)/(AN363*ATM_Conf!$C$8)*(AO175-AN175)/(AN175+ATM_Conf!$C$10)</f>
        <v>#DIV/0!</v>
      </c>
      <c r="BI176" s="43" t="e">
        <f>BI175+(ATM_Conf!$C$5/ATM_Conf!$C$8)*(CC176*EXP(-(1/DQ176)*(AO176/CW176)^DQ176)-BI175)+(ATM_Conf!$C$5/AO363)*BI175*(BH175-BI175)</f>
        <v>#DIV/0!</v>
      </c>
      <c r="BJ176" s="53"/>
      <c r="BK176" s="53"/>
      <c r="BL176" s="53"/>
      <c r="BM176" s="53"/>
      <c r="BN176" s="53"/>
      <c r="BO176" s="53"/>
      <c r="BP176" s="53"/>
      <c r="BQ176" s="53"/>
      <c r="BR176" s="53"/>
      <c r="BS176" s="53"/>
      <c r="BT176" s="53"/>
      <c r="BU176" s="53"/>
      <c r="BV176" s="53"/>
      <c r="BW176" s="53"/>
      <c r="BX176" s="53"/>
      <c r="BY176" s="53"/>
      <c r="BZ176" s="53"/>
      <c r="CA176" s="53"/>
      <c r="CB176" s="53"/>
      <c r="CC176" s="5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53"/>
      <c r="CY176" s="53"/>
      <c r="CZ176" s="53"/>
      <c r="DA176" s="53"/>
      <c r="DB176" s="53"/>
      <c r="DC176" s="53"/>
      <c r="DD176" s="53"/>
      <c r="DE176" s="53"/>
      <c r="DF176" s="53"/>
      <c r="DG176" s="53"/>
      <c r="DH176" s="53"/>
      <c r="DI176" s="53"/>
      <c r="DJ176" s="53"/>
      <c r="DK176" s="53"/>
      <c r="DL176" s="53"/>
      <c r="DM176" s="53"/>
      <c r="DN176" s="53"/>
      <c r="DO176" s="53"/>
      <c r="DP176" s="53"/>
      <c r="DQ176" s="53"/>
      <c r="DR176" s="43">
        <f t="shared" si="105"/>
        <v>0</v>
      </c>
      <c r="DS176" s="43">
        <f t="shared" si="104"/>
        <v>0</v>
      </c>
      <c r="DT176" s="43">
        <f t="shared" si="104"/>
        <v>0</v>
      </c>
      <c r="DU176" s="43">
        <f t="shared" si="104"/>
        <v>0</v>
      </c>
      <c r="DV176" s="43">
        <f t="shared" si="104"/>
        <v>0</v>
      </c>
      <c r="DW176" s="43">
        <f t="shared" si="104"/>
        <v>0</v>
      </c>
      <c r="DX176" s="43">
        <f t="shared" si="104"/>
        <v>0</v>
      </c>
      <c r="DY176" s="43">
        <f t="shared" si="104"/>
        <v>0</v>
      </c>
      <c r="DZ176" s="43">
        <f t="shared" si="104"/>
        <v>0</v>
      </c>
      <c r="EA176" s="43">
        <f t="shared" si="104"/>
        <v>0</v>
      </c>
      <c r="EB176" s="43">
        <f t="shared" si="104"/>
        <v>0</v>
      </c>
      <c r="EC176" s="43">
        <f t="shared" si="104"/>
        <v>0</v>
      </c>
      <c r="ED176" s="43">
        <f t="shared" si="104"/>
        <v>0</v>
      </c>
      <c r="EE176" s="43">
        <f t="shared" si="104"/>
        <v>0</v>
      </c>
      <c r="EF176" s="43">
        <f t="shared" si="104"/>
        <v>0</v>
      </c>
      <c r="EG176" s="43">
        <f t="shared" si="104"/>
        <v>0</v>
      </c>
      <c r="EH176" s="43">
        <f t="shared" si="104"/>
        <v>0</v>
      </c>
      <c r="EI176" s="43">
        <f t="shared" si="104"/>
        <v>0</v>
      </c>
      <c r="EJ176" s="43">
        <f t="shared" si="104"/>
        <v>0</v>
      </c>
      <c r="EK176" s="43">
        <f t="shared" si="104"/>
        <v>0</v>
      </c>
      <c r="EL176" s="47"/>
      <c r="EM176" s="47"/>
      <c r="EN176" s="47"/>
      <c r="EO176" s="47"/>
      <c r="EP176" s="47"/>
      <c r="EQ176" s="47"/>
      <c r="ER176" s="47"/>
      <c r="ES176" s="47"/>
      <c r="ET176" s="47"/>
      <c r="EU176" s="47"/>
      <c r="EV176" s="47"/>
      <c r="EW176" s="47"/>
      <c r="EX176" s="47"/>
      <c r="EY176" s="47"/>
      <c r="EZ176" s="47"/>
      <c r="FA176" s="47"/>
      <c r="FB176" s="47"/>
      <c r="FC176" s="47"/>
      <c r="FD176" s="47"/>
      <c r="FE176" s="47"/>
    </row>
    <row r="177" spans="1:161" ht="14.25" x14ac:dyDescent="0.15">
      <c r="A177" s="46"/>
      <c r="B177" s="43" t="e">
        <f t="shared" si="74"/>
        <v>#DIV/0!</v>
      </c>
      <c r="C177" s="43" t="e">
        <f t="shared" si="75"/>
        <v>#DIV/0!</v>
      </c>
      <c r="D177" s="43" t="e">
        <f t="shared" si="76"/>
        <v>#DIV/0!</v>
      </c>
      <c r="E177" s="43" t="e">
        <f t="shared" si="77"/>
        <v>#DIV/0!</v>
      </c>
      <c r="F177" s="43" t="e">
        <f t="shared" si="78"/>
        <v>#DIV/0!</v>
      </c>
      <c r="G177" s="43" t="e">
        <f t="shared" si="79"/>
        <v>#DIV/0!</v>
      </c>
      <c r="H177" s="43" t="e">
        <f t="shared" si="80"/>
        <v>#DIV/0!</v>
      </c>
      <c r="I177" s="43" t="e">
        <f t="shared" si="81"/>
        <v>#DIV/0!</v>
      </c>
      <c r="J177" s="43" t="e">
        <f t="shared" si="82"/>
        <v>#DIV/0!</v>
      </c>
      <c r="K177" s="43" t="e">
        <f t="shared" si="83"/>
        <v>#DIV/0!</v>
      </c>
      <c r="L177" s="43" t="e">
        <f t="shared" si="84"/>
        <v>#DIV/0!</v>
      </c>
      <c r="M177" s="43" t="e">
        <f t="shared" si="85"/>
        <v>#DIV/0!</v>
      </c>
      <c r="N177" s="43" t="e">
        <f t="shared" si="86"/>
        <v>#DIV/0!</v>
      </c>
      <c r="O177" s="43" t="e">
        <f t="shared" si="87"/>
        <v>#DIV/0!</v>
      </c>
      <c r="P177" s="43" t="e">
        <f t="shared" si="88"/>
        <v>#DIV/0!</v>
      </c>
      <c r="Q177" s="43" t="e">
        <f t="shared" si="89"/>
        <v>#DIV/0!</v>
      </c>
      <c r="R177" s="43" t="e">
        <f t="shared" si="90"/>
        <v>#DIV/0!</v>
      </c>
      <c r="S177" s="43" t="e">
        <f t="shared" si="91"/>
        <v>#DIV/0!</v>
      </c>
      <c r="T177" s="43" t="e">
        <f t="shared" si="92"/>
        <v>#DIV/0!</v>
      </c>
      <c r="U177" s="43" t="e">
        <f t="shared" si="93"/>
        <v>#DIV/0!</v>
      </c>
      <c r="V177" s="53" t="e">
        <f>V176+ATM_Conf!$C$5*(B176)/(B364*V364)</f>
        <v>#DIV/0!</v>
      </c>
      <c r="W177" s="53" t="e">
        <f>W176+ATM_Conf!$C$5*(C176-B176)/(C364*W364)</f>
        <v>#DIV/0!</v>
      </c>
      <c r="X177" s="53" t="e">
        <f>X176+ATM_Conf!$C$5*(D176-C176)/(D364*X364)</f>
        <v>#DIV/0!</v>
      </c>
      <c r="Y177" s="53" t="e">
        <f>Y176+ATM_Conf!$C$5*(E176-D176)/(E364*Y364)</f>
        <v>#DIV/0!</v>
      </c>
      <c r="Z177" s="53" t="e">
        <f>Z176+ATM_Conf!$C$5*(F176-E176)/(F364*Z364)</f>
        <v>#DIV/0!</v>
      </c>
      <c r="AA177" s="53" t="e">
        <f>AA176+ATM_Conf!$C$5*(G176-F176)/(G364*AA364)</f>
        <v>#DIV/0!</v>
      </c>
      <c r="AB177" s="53" t="e">
        <f>AB176+ATM_Conf!$C$5*(H176-G176)/(H364*AB364)</f>
        <v>#DIV/0!</v>
      </c>
      <c r="AC177" s="53" t="e">
        <f>AC176+ATM_Conf!$C$5*(I176-H176)/(I364*AC364)</f>
        <v>#DIV/0!</v>
      </c>
      <c r="AD177" s="53" t="e">
        <f>AD176+ATM_Conf!$C$5*(J176-I176)/(J364*AD364)</f>
        <v>#DIV/0!</v>
      </c>
      <c r="AE177" s="53" t="e">
        <f>AE176+ATM_Conf!$C$5*(K176-J176)/(K364*AE364)</f>
        <v>#DIV/0!</v>
      </c>
      <c r="AF177" s="53" t="e">
        <f>AF176+ATM_Conf!$C$5*(L176)/(L364*AF364)</f>
        <v>#DIV/0!</v>
      </c>
      <c r="AG177" s="53" t="e">
        <f>AG176+ATM_Conf!$C$5*(M176-L176)/(M364*AG364)</f>
        <v>#DIV/0!</v>
      </c>
      <c r="AH177" s="53" t="e">
        <f>AH176+ATM_Conf!$C$5*(N176-M176)/(N364*AH364)</f>
        <v>#DIV/0!</v>
      </c>
      <c r="AI177" s="53" t="e">
        <f>AI176+ATM_Conf!$C$5*(O176-N176)/(O364*AI364)</f>
        <v>#DIV/0!</v>
      </c>
      <c r="AJ177" s="53" t="e">
        <f>AJ176+ATM_Conf!$C$5*(P176-O176)/(P364*AJ364)</f>
        <v>#DIV/0!</v>
      </c>
      <c r="AK177" s="53" t="e">
        <f>AK176+ATM_Conf!$C$5*(Q176-P176)/(Q364*AK364)</f>
        <v>#DIV/0!</v>
      </c>
      <c r="AL177" s="53" t="e">
        <f>AL176+ATM_Conf!$C$5*(R176-Q176)/(R364*AL364)</f>
        <v>#DIV/0!</v>
      </c>
      <c r="AM177" s="53" t="e">
        <f>AM176+ATM_Conf!$C$5*(S176-R176)/(S364*AM364)</f>
        <v>#DIV/0!</v>
      </c>
      <c r="AN177" s="53" t="e">
        <f>AN176+ATM_Conf!$C$5*(T176-S176)/(T364*AN364)</f>
        <v>#DIV/0!</v>
      </c>
      <c r="AO177" s="53" t="e">
        <f>AO176+ATM_Conf!$C$5*(U176-T176)/(U364*AO364)</f>
        <v>#DIV/0!</v>
      </c>
      <c r="AP177" s="43" t="e">
        <f>AP176+(ATM_Conf!$C$5/ATM_Conf!$C$8)*(BJ177*EXP(-(1/CX177)*(V177/CD177)^CX177)-AP176)-(ATM_Conf!$C$5*ATM_Conf!$C$9)/(V364*ATM_Conf!$C$8)*(Nodes!BO176-V176)/(V176+ATM_Conf!$C$10)</f>
        <v>#DIV/0!</v>
      </c>
      <c r="AQ177" s="43" t="e">
        <f>AQ176+(ATM_Conf!$C$5/ATM_Conf!$C$8)*(BK177*EXP(-(1/CY177)*(W177/CE177)^CY177)-AQ176)+(ATM_Conf!$C$5/W364)*AQ176*(AP176-AQ176)-(ATM_Conf!$C$5*ATM_Conf!$C$9)/(W364*ATM_Conf!$C$8)*(X176-W176)/(W176+ATM_Conf!$C$10)</f>
        <v>#DIV/0!</v>
      </c>
      <c r="AR177" s="43" t="e">
        <f>AR176+(ATM_Conf!$C$5/ATM_Conf!$C$8)*(BL177*EXP(-(1/CZ177)*(X177/CF177)^CZ177)-AR176)+(ATM_Conf!$C$5/X364)*AR176*(Nodes!BC176-AR176)-(ATM_Conf!$C$5*ATM_Conf!$C$9)/(X364*ATM_Conf!$C$8)*(Nodes!BQ176-X176)/(X176+ATM_Conf!$C$10)</f>
        <v>#DIV/0!</v>
      </c>
      <c r="AS177" s="43" t="e">
        <f>AS176+(ATM_Conf!$C$5/ATM_Conf!$C$8)*(BM177*EXP(-(1/DA177)*(Y177/CG177)^DA177)-AS176)+(ATM_Conf!$C$5/Y364)*AS176*(AR176-AS176)-(ATM_Conf!$C$5*ATM_Conf!$C$9)/(Y364*ATM_Conf!$C$8)*(Z176-Y176)/(Y176+ATM_Conf!$C$10)</f>
        <v>#DIV/0!</v>
      </c>
      <c r="AT177" s="43" t="e">
        <f>AT176+(ATM_Conf!$C$5/ATM_Conf!$C$8)*(BN177*EXP(-(1/DB177)*(Z177/CH177)^DB177)-AT176)+(ATM_Conf!$C$5/Z364)*AT176*(Nodes!BE176-AT176)-(ATM_Conf!$C$5*ATM_Conf!$C$9)/(Z364*ATM_Conf!$C$8)*(Nodes!BS176-Z176)/(Z176+ATM_Conf!$C$10)</f>
        <v>#DIV/0!</v>
      </c>
      <c r="AU177" s="43" t="e">
        <f>AU176+(ATM_Conf!$C$5/ATM_Conf!$C$8)*(BO177*EXP(-(1/DC177)*(AA177/CI177)^DC177)-AU176)+(ATM_Conf!$C$5/AA364)*AU176*(Nodes!BF176-AU176)-(ATM_Conf!$C$5*ATM_Conf!$C$9)/(AA364*ATM_Conf!$C$8)*(Nodes!BV176-AA176)/(AA176+ATM_Conf!$C$10)</f>
        <v>#DIV/0!</v>
      </c>
      <c r="AV177" s="43" t="e">
        <f>AV176+(ATM_Conf!$C$5/ATM_Conf!$C$8)*(BP177*EXP(-(1/DD177)*(AB177/CJ177)^DD177)-AV176)+(ATM_Conf!$C$5/AB364)*AV176*(AU176-AV176)-(ATM_Conf!$C$5*ATM_Conf!$C$9)/(AB364*ATM_Conf!$C$8)*(AC176-AB176)/(AB176+ATM_Conf!$C$10)</f>
        <v>#DIV/0!</v>
      </c>
      <c r="AW177" s="43" t="e">
        <f>AW176+(ATM_Conf!$C$5/ATM_Conf!$C$8)*(BQ177*EXP(-(1/DE177)*(AC177/CK177)^DE177)-AW176)+(ATM_Conf!$C$5/AC364)*AW176*(AV176-AW176)-(ATM_Conf!$C$5*ATM_Conf!$C$9)/(AC364*ATM_Conf!$C$8)*(AD176-AC176)/(AC176+ATM_Conf!$C$10)</f>
        <v>#DIV/0!</v>
      </c>
      <c r="AX177" s="43" t="e">
        <f>AX176+(ATM_Conf!$C$5/ATM_Conf!$C$8)*(BR177*EXP(-(1/DF177)*(AD177/CL177)^DF177)-AX176)+(ATM_Conf!$C$5/AD364)*AX176*(Nodes!BG176-AX176)-(ATM_Conf!$C$5*ATM_Conf!$C$9)/(AD364*ATM_Conf!$C$8)*(Nodes!BU176-AD176)/(AD176+ATM_Conf!$C$10)</f>
        <v>#DIV/0!</v>
      </c>
      <c r="AY177" s="43" t="e">
        <f>AY176+(ATM_Conf!$C$5/ATM_Conf!$C$8)*(BS177*EXP(-(1/DG177)*(AE177/CM177)^DG177)-AY176)+(ATM_Conf!$C$5/AE364)*AY176*(Nodes!BF176-AY176)</f>
        <v>#DIV/0!</v>
      </c>
      <c r="AZ177" s="43" t="e">
        <f>AZ176+(ATM_Conf!$C$5/ATM_Conf!$C$8)*(BT177*EXP(-(1/DH177)*(AF177/CN177)^DH177)-AZ176)-(ATM_Conf!$C$5*ATM_Conf!$C$9)/(AF364*ATM_Conf!$C$8)*(Nodes!BV176-AF176)/(AF176+ATM_Conf!$C$10)</f>
        <v>#DIV/0!</v>
      </c>
      <c r="BA177" s="43" t="e">
        <f>BA176+(ATM_Conf!$C$5/ATM_Conf!$C$8)*(BU177*EXP(-(1/DI177)*(AG177/CO177)^DI177)-BA176)+(ATM_Conf!$C$5/AG364)*BA176*(Nodes!BI176-BA176)-(ATM_Conf!$C$5*ATM_Conf!$C$9)/(AG364*ATM_Conf!$C$8)*(Nodes!BW176-AG176)/(AG176+ATM_Conf!$C$10)</f>
        <v>#DIV/0!</v>
      </c>
      <c r="BB177" s="43" t="e">
        <f>BB176+(ATM_Conf!$C$5/ATM_Conf!$C$8)*(BV177*EXP(-(1/DJ177)*(AH177/CP177)^DJ177)-BB176)+(ATM_Conf!$C$5/AH364)*BB176*(Nodes!BJ176-BB176)-(ATM_Conf!$C$5*ATM_Conf!$C$9)/(AH364*ATM_Conf!$C$8)*(AI176-AH176)/(AH176+ATM_Conf!$C$10)</f>
        <v>#DIV/0!</v>
      </c>
      <c r="BC177" s="43" t="e">
        <f>BC176+(ATM_Conf!$C$5/ATM_Conf!$C$8)*(BW177*EXP(-(1/DK177)*(AI177/CQ177)^DK177)-BC176)+(ATM_Conf!$C$5/AI364)*BC176*(BB176-BC176)-(ATM_Conf!$C$5*ATM_Conf!$C$9)/(AI364*ATM_Conf!$C$8)*(AJ176-AI176)/(AI176+ATM_Conf!$C$10)</f>
        <v>#DIV/0!</v>
      </c>
      <c r="BD177" s="43" t="e">
        <f>BD176+(ATM_Conf!$C$5/ATM_Conf!$C$8)*(BX177*EXP(-(1/DL177)*(AJ177/CR177)^DL177)-BD176)+(ATM_Conf!$C$5/AJ364)*BD176*(BC176-BD176)-(ATM_Conf!$C$5*ATM_Conf!$C$9)/(AJ364*ATM_Conf!$C$8)*(Nodes!BX176-AJ176)/(AJ176+ATM_Conf!$C$10)</f>
        <v>#DIV/0!</v>
      </c>
      <c r="BE177" s="43" t="e">
        <f>BE176+(ATM_Conf!$C$5/ATM_Conf!$C$8)*(BY177*EXP(-(1/DM177)*(AK177/CS177)^DM177)-BE176)+(ATM_Conf!$C$5/AK364)*BE176*(Nodes!BK176-BE176)-(ATM_Conf!$C$5*ATM_Conf!$C$9)/(AK364*ATM_Conf!$C$8)*(Nodes!BY176-AK176)/(AK176+ATM_Conf!$C$10)</f>
        <v>#DIV/0!</v>
      </c>
      <c r="BF177" s="43" t="e">
        <f>BF176+(ATM_Conf!$C$5/ATM_Conf!$C$8)*(BZ177*EXP(-(1/DN177)*(AL177/CT177)^DN177)-BF176)+(ATM_Conf!$C$5/AL364)*BF176*(BE176-BF176)-(ATM_Conf!$C$5*ATM_Conf!$C$9)/(AL364*ATM_Conf!$C$8)*(AM176-AL176)/(AL176+ATM_Conf!$C$10)</f>
        <v>#DIV/0!</v>
      </c>
      <c r="BG177" s="43" t="e">
        <f>BG176+(ATM_Conf!$C$5/ATM_Conf!$C$8)*(CA177*EXP(-(1/DO177)*(AM177/CU177)^DO177)-BG176)+(ATM_Conf!$C$5/AM364)*BG176*(Nodes!BM176-BG176)-(ATM_Conf!$C$5*ATM_Conf!$C$9)/(AM364*ATM_Conf!$C$8)*(Nodes!CA176-AM176)/(AM176+ATM_Conf!$C$10)</f>
        <v>#DIV/0!</v>
      </c>
      <c r="BH177" s="43" t="e">
        <f>BH176+(ATM_Conf!$C$5/ATM_Conf!$C$8)*(CB177*EXP(-(1/DP177)*(AN177/CV177)^DP177)-BH176)+(ATM_Conf!$C$5/AN364)*BH176*(BG176-BH176)-(ATM_Conf!$C$5*ATM_Conf!$C$9)/(AN364*ATM_Conf!$C$8)*(AO176-AN176)/(AN176+ATM_Conf!$C$10)</f>
        <v>#DIV/0!</v>
      </c>
      <c r="BI177" s="43" t="e">
        <f>BI176+(ATM_Conf!$C$5/ATM_Conf!$C$8)*(CC177*EXP(-(1/DQ177)*(AO177/CW177)^DQ177)-BI176)+(ATM_Conf!$C$5/AO364)*BI176*(BH176-BI176)</f>
        <v>#DIV/0!</v>
      </c>
      <c r="BJ177" s="53"/>
      <c r="BK177" s="53"/>
      <c r="BL177" s="53"/>
      <c r="BM177" s="53"/>
      <c r="BN177" s="53"/>
      <c r="BO177" s="53"/>
      <c r="BP177" s="53"/>
      <c r="BQ177" s="53"/>
      <c r="BR177" s="53"/>
      <c r="BS177" s="53"/>
      <c r="BT177" s="53"/>
      <c r="BU177" s="53"/>
      <c r="BV177" s="53"/>
      <c r="BW177" s="53"/>
      <c r="BX177" s="53"/>
      <c r="BY177" s="53"/>
      <c r="BZ177" s="53"/>
      <c r="CA177" s="53"/>
      <c r="CB177" s="53"/>
      <c r="CC177" s="5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53"/>
      <c r="CY177" s="53"/>
      <c r="CZ177" s="53"/>
      <c r="DA177" s="53"/>
      <c r="DB177" s="53"/>
      <c r="DC177" s="53"/>
      <c r="DD177" s="53"/>
      <c r="DE177" s="53"/>
      <c r="DF177" s="53"/>
      <c r="DG177" s="53"/>
      <c r="DH177" s="53"/>
      <c r="DI177" s="53"/>
      <c r="DJ177" s="53"/>
      <c r="DK177" s="53"/>
      <c r="DL177" s="53"/>
      <c r="DM177" s="53"/>
      <c r="DN177" s="53"/>
      <c r="DO177" s="53"/>
      <c r="DP177" s="53"/>
      <c r="DQ177" s="53"/>
      <c r="DR177" s="43">
        <f t="shared" si="105"/>
        <v>0</v>
      </c>
      <c r="DS177" s="43">
        <f t="shared" si="104"/>
        <v>0</v>
      </c>
      <c r="DT177" s="43">
        <f t="shared" si="104"/>
        <v>0</v>
      </c>
      <c r="DU177" s="43">
        <f t="shared" si="104"/>
        <v>0</v>
      </c>
      <c r="DV177" s="43">
        <f t="shared" si="104"/>
        <v>0</v>
      </c>
      <c r="DW177" s="43">
        <f t="shared" si="104"/>
        <v>0</v>
      </c>
      <c r="DX177" s="43">
        <f t="shared" si="104"/>
        <v>0</v>
      </c>
      <c r="DY177" s="43">
        <f t="shared" si="104"/>
        <v>0</v>
      </c>
      <c r="DZ177" s="43">
        <f t="shared" si="104"/>
        <v>0</v>
      </c>
      <c r="EA177" s="43">
        <f t="shared" si="104"/>
        <v>0</v>
      </c>
      <c r="EB177" s="43">
        <f t="shared" si="104"/>
        <v>0</v>
      </c>
      <c r="EC177" s="43">
        <f t="shared" si="104"/>
        <v>0</v>
      </c>
      <c r="ED177" s="43">
        <f t="shared" si="104"/>
        <v>0</v>
      </c>
      <c r="EE177" s="43">
        <f t="shared" si="104"/>
        <v>0</v>
      </c>
      <c r="EF177" s="43">
        <f t="shared" si="104"/>
        <v>0</v>
      </c>
      <c r="EG177" s="43">
        <f t="shared" si="104"/>
        <v>0</v>
      </c>
      <c r="EH177" s="43">
        <f t="shared" si="104"/>
        <v>0</v>
      </c>
      <c r="EI177" s="43">
        <f t="shared" si="104"/>
        <v>0</v>
      </c>
      <c r="EJ177" s="43">
        <f t="shared" si="104"/>
        <v>0</v>
      </c>
      <c r="EK177" s="43">
        <f t="shared" si="104"/>
        <v>0</v>
      </c>
      <c r="EL177" s="47"/>
      <c r="EM177" s="47"/>
      <c r="EN177" s="47"/>
      <c r="EO177" s="47"/>
      <c r="EP177" s="47"/>
      <c r="EQ177" s="47"/>
      <c r="ER177" s="47"/>
      <c r="ES177" s="47"/>
      <c r="ET177" s="47"/>
      <c r="EU177" s="47"/>
      <c r="EV177" s="47"/>
      <c r="EW177" s="47"/>
      <c r="EX177" s="47"/>
      <c r="EY177" s="47"/>
      <c r="EZ177" s="47"/>
      <c r="FA177" s="47"/>
      <c r="FB177" s="47"/>
      <c r="FC177" s="47"/>
      <c r="FD177" s="47"/>
      <c r="FE177" s="47"/>
    </row>
    <row r="178" spans="1:161" ht="14.25" x14ac:dyDescent="0.15">
      <c r="A178" s="46"/>
      <c r="B178" s="43" t="e">
        <f t="shared" si="74"/>
        <v>#DIV/0!</v>
      </c>
      <c r="C178" s="43" t="e">
        <f t="shared" si="75"/>
        <v>#DIV/0!</v>
      </c>
      <c r="D178" s="43" t="e">
        <f t="shared" si="76"/>
        <v>#DIV/0!</v>
      </c>
      <c r="E178" s="43" t="e">
        <f t="shared" si="77"/>
        <v>#DIV/0!</v>
      </c>
      <c r="F178" s="43" t="e">
        <f t="shared" si="78"/>
        <v>#DIV/0!</v>
      </c>
      <c r="G178" s="43" t="e">
        <f t="shared" si="79"/>
        <v>#DIV/0!</v>
      </c>
      <c r="H178" s="43" t="e">
        <f t="shared" si="80"/>
        <v>#DIV/0!</v>
      </c>
      <c r="I178" s="43" t="e">
        <f t="shared" si="81"/>
        <v>#DIV/0!</v>
      </c>
      <c r="J178" s="43" t="e">
        <f t="shared" si="82"/>
        <v>#DIV/0!</v>
      </c>
      <c r="K178" s="43" t="e">
        <f t="shared" si="83"/>
        <v>#DIV/0!</v>
      </c>
      <c r="L178" s="43" t="e">
        <f t="shared" si="84"/>
        <v>#DIV/0!</v>
      </c>
      <c r="M178" s="43" t="e">
        <f t="shared" si="85"/>
        <v>#DIV/0!</v>
      </c>
      <c r="N178" s="43" t="e">
        <f t="shared" si="86"/>
        <v>#DIV/0!</v>
      </c>
      <c r="O178" s="43" t="e">
        <f t="shared" si="87"/>
        <v>#DIV/0!</v>
      </c>
      <c r="P178" s="43" t="e">
        <f t="shared" si="88"/>
        <v>#DIV/0!</v>
      </c>
      <c r="Q178" s="43" t="e">
        <f t="shared" si="89"/>
        <v>#DIV/0!</v>
      </c>
      <c r="R178" s="43" t="e">
        <f t="shared" si="90"/>
        <v>#DIV/0!</v>
      </c>
      <c r="S178" s="43" t="e">
        <f t="shared" si="91"/>
        <v>#DIV/0!</v>
      </c>
      <c r="T178" s="43" t="e">
        <f t="shared" si="92"/>
        <v>#DIV/0!</v>
      </c>
      <c r="U178" s="43" t="e">
        <f t="shared" si="93"/>
        <v>#DIV/0!</v>
      </c>
      <c r="V178" s="53" t="e">
        <f>V177+ATM_Conf!$C$5*(B177)/(B365*V365)</f>
        <v>#DIV/0!</v>
      </c>
      <c r="W178" s="53" t="e">
        <f>W177+ATM_Conf!$C$5*(C177-B177)/(C365*W365)</f>
        <v>#DIV/0!</v>
      </c>
      <c r="X178" s="53" t="e">
        <f>X177+ATM_Conf!$C$5*(D177-C177)/(D365*X365)</f>
        <v>#DIV/0!</v>
      </c>
      <c r="Y178" s="53" t="e">
        <f>Y177+ATM_Conf!$C$5*(E177-D177)/(E365*Y365)</f>
        <v>#DIV/0!</v>
      </c>
      <c r="Z178" s="53" t="e">
        <f>Z177+ATM_Conf!$C$5*(F177-E177)/(F365*Z365)</f>
        <v>#DIV/0!</v>
      </c>
      <c r="AA178" s="53" t="e">
        <f>AA177+ATM_Conf!$C$5*(G177-F177)/(G365*AA365)</f>
        <v>#DIV/0!</v>
      </c>
      <c r="AB178" s="53" t="e">
        <f>AB177+ATM_Conf!$C$5*(H177-G177)/(H365*AB365)</f>
        <v>#DIV/0!</v>
      </c>
      <c r="AC178" s="53" t="e">
        <f>AC177+ATM_Conf!$C$5*(I177-H177)/(I365*AC365)</f>
        <v>#DIV/0!</v>
      </c>
      <c r="AD178" s="53" t="e">
        <f>AD177+ATM_Conf!$C$5*(J177-I177)/(J365*AD365)</f>
        <v>#DIV/0!</v>
      </c>
      <c r="AE178" s="53" t="e">
        <f>AE177+ATM_Conf!$C$5*(K177-J177)/(K365*AE365)</f>
        <v>#DIV/0!</v>
      </c>
      <c r="AF178" s="53" t="e">
        <f>AF177+ATM_Conf!$C$5*(L177)/(L365*AF365)</f>
        <v>#DIV/0!</v>
      </c>
      <c r="AG178" s="53" t="e">
        <f>AG177+ATM_Conf!$C$5*(M177-L177)/(M365*AG365)</f>
        <v>#DIV/0!</v>
      </c>
      <c r="AH178" s="53" t="e">
        <f>AH177+ATM_Conf!$C$5*(N177-M177)/(N365*AH365)</f>
        <v>#DIV/0!</v>
      </c>
      <c r="AI178" s="53" t="e">
        <f>AI177+ATM_Conf!$C$5*(O177-N177)/(O365*AI365)</f>
        <v>#DIV/0!</v>
      </c>
      <c r="AJ178" s="53" t="e">
        <f>AJ177+ATM_Conf!$C$5*(P177-O177)/(P365*AJ365)</f>
        <v>#DIV/0!</v>
      </c>
      <c r="AK178" s="53" t="e">
        <f>AK177+ATM_Conf!$C$5*(Q177-P177)/(Q365*AK365)</f>
        <v>#DIV/0!</v>
      </c>
      <c r="AL178" s="53" t="e">
        <f>AL177+ATM_Conf!$C$5*(R177-Q177)/(R365*AL365)</f>
        <v>#DIV/0!</v>
      </c>
      <c r="AM178" s="53" t="e">
        <f>AM177+ATM_Conf!$C$5*(S177-R177)/(S365*AM365)</f>
        <v>#DIV/0!</v>
      </c>
      <c r="AN178" s="53" t="e">
        <f>AN177+ATM_Conf!$C$5*(T177-S177)/(T365*AN365)</f>
        <v>#DIV/0!</v>
      </c>
      <c r="AO178" s="53" t="e">
        <f>AO177+ATM_Conf!$C$5*(U177-T177)/(U365*AO365)</f>
        <v>#DIV/0!</v>
      </c>
      <c r="AP178" s="43" t="e">
        <f>AP177+(ATM_Conf!$C$5/ATM_Conf!$C$8)*(BJ178*EXP(-(1/CX178)*(V178/CD178)^CX178)-AP177)-(ATM_Conf!$C$5*ATM_Conf!$C$9)/(V365*ATM_Conf!$C$8)*(Nodes!BO177-V177)/(V177+ATM_Conf!$C$10)</f>
        <v>#DIV/0!</v>
      </c>
      <c r="AQ178" s="43" t="e">
        <f>AQ177+(ATM_Conf!$C$5/ATM_Conf!$C$8)*(BK178*EXP(-(1/CY178)*(W178/CE178)^CY178)-AQ177)+(ATM_Conf!$C$5/W365)*AQ177*(AP177-AQ177)-(ATM_Conf!$C$5*ATM_Conf!$C$9)/(W365*ATM_Conf!$C$8)*(X177-W177)/(W177+ATM_Conf!$C$10)</f>
        <v>#DIV/0!</v>
      </c>
      <c r="AR178" s="43" t="e">
        <f>AR177+(ATM_Conf!$C$5/ATM_Conf!$C$8)*(BL178*EXP(-(1/CZ178)*(X178/CF178)^CZ178)-AR177)+(ATM_Conf!$C$5/X365)*AR177*(Nodes!BC177-AR177)-(ATM_Conf!$C$5*ATM_Conf!$C$9)/(X365*ATM_Conf!$C$8)*(Nodes!BQ177-X177)/(X177+ATM_Conf!$C$10)</f>
        <v>#DIV/0!</v>
      </c>
      <c r="AS178" s="43" t="e">
        <f>AS177+(ATM_Conf!$C$5/ATM_Conf!$C$8)*(BM178*EXP(-(1/DA178)*(Y178/CG178)^DA178)-AS177)+(ATM_Conf!$C$5/Y365)*AS177*(AR177-AS177)-(ATM_Conf!$C$5*ATM_Conf!$C$9)/(Y365*ATM_Conf!$C$8)*(Z177-Y177)/(Y177+ATM_Conf!$C$10)</f>
        <v>#DIV/0!</v>
      </c>
      <c r="AT178" s="43" t="e">
        <f>AT177+(ATM_Conf!$C$5/ATM_Conf!$C$8)*(BN178*EXP(-(1/DB178)*(Z178/CH178)^DB178)-AT177)+(ATM_Conf!$C$5/Z365)*AT177*(Nodes!BE177-AT177)-(ATM_Conf!$C$5*ATM_Conf!$C$9)/(Z365*ATM_Conf!$C$8)*(Nodes!BS177-Z177)/(Z177+ATM_Conf!$C$10)</f>
        <v>#DIV/0!</v>
      </c>
      <c r="AU178" s="43" t="e">
        <f>AU177+(ATM_Conf!$C$5/ATM_Conf!$C$8)*(BO178*EXP(-(1/DC178)*(AA178/CI178)^DC178)-AU177)+(ATM_Conf!$C$5/AA365)*AU177*(Nodes!BF177-AU177)-(ATM_Conf!$C$5*ATM_Conf!$C$9)/(AA365*ATM_Conf!$C$8)*(Nodes!BV177-AA177)/(AA177+ATM_Conf!$C$10)</f>
        <v>#DIV/0!</v>
      </c>
      <c r="AV178" s="43" t="e">
        <f>AV177+(ATM_Conf!$C$5/ATM_Conf!$C$8)*(BP178*EXP(-(1/DD178)*(AB178/CJ178)^DD178)-AV177)+(ATM_Conf!$C$5/AB365)*AV177*(AU177-AV177)-(ATM_Conf!$C$5*ATM_Conf!$C$9)/(AB365*ATM_Conf!$C$8)*(AC177-AB177)/(AB177+ATM_Conf!$C$10)</f>
        <v>#DIV/0!</v>
      </c>
      <c r="AW178" s="43" t="e">
        <f>AW177+(ATM_Conf!$C$5/ATM_Conf!$C$8)*(BQ178*EXP(-(1/DE178)*(AC178/CK178)^DE178)-AW177)+(ATM_Conf!$C$5/AC365)*AW177*(AV177-AW177)-(ATM_Conf!$C$5*ATM_Conf!$C$9)/(AC365*ATM_Conf!$C$8)*(AD177-AC177)/(AC177+ATM_Conf!$C$10)</f>
        <v>#DIV/0!</v>
      </c>
      <c r="AX178" s="43" t="e">
        <f>AX177+(ATM_Conf!$C$5/ATM_Conf!$C$8)*(BR178*EXP(-(1/DF178)*(AD178/CL178)^DF178)-AX177)+(ATM_Conf!$C$5/AD365)*AX177*(Nodes!BG177-AX177)-(ATM_Conf!$C$5*ATM_Conf!$C$9)/(AD365*ATM_Conf!$C$8)*(Nodes!BU177-AD177)/(AD177+ATM_Conf!$C$10)</f>
        <v>#DIV/0!</v>
      </c>
      <c r="AY178" s="43" t="e">
        <f>AY177+(ATM_Conf!$C$5/ATM_Conf!$C$8)*(BS178*EXP(-(1/DG178)*(AE178/CM178)^DG178)-AY177)+(ATM_Conf!$C$5/AE365)*AY177*(Nodes!BF177-AY177)</f>
        <v>#DIV/0!</v>
      </c>
      <c r="AZ178" s="43" t="e">
        <f>AZ177+(ATM_Conf!$C$5/ATM_Conf!$C$8)*(BT178*EXP(-(1/DH178)*(AF178/CN178)^DH178)-AZ177)-(ATM_Conf!$C$5*ATM_Conf!$C$9)/(AF365*ATM_Conf!$C$8)*(Nodes!BV177-AF177)/(AF177+ATM_Conf!$C$10)</f>
        <v>#DIV/0!</v>
      </c>
      <c r="BA178" s="43" t="e">
        <f>BA177+(ATM_Conf!$C$5/ATM_Conf!$C$8)*(BU178*EXP(-(1/DI178)*(AG178/CO178)^DI178)-BA177)+(ATM_Conf!$C$5/AG365)*BA177*(Nodes!BI177-BA177)-(ATM_Conf!$C$5*ATM_Conf!$C$9)/(AG365*ATM_Conf!$C$8)*(Nodes!BW177-AG177)/(AG177+ATM_Conf!$C$10)</f>
        <v>#DIV/0!</v>
      </c>
      <c r="BB178" s="43" t="e">
        <f>BB177+(ATM_Conf!$C$5/ATM_Conf!$C$8)*(BV178*EXP(-(1/DJ178)*(AH178/CP178)^DJ178)-BB177)+(ATM_Conf!$C$5/AH365)*BB177*(Nodes!BJ177-BB177)-(ATM_Conf!$C$5*ATM_Conf!$C$9)/(AH365*ATM_Conf!$C$8)*(AI177-AH177)/(AH177+ATM_Conf!$C$10)</f>
        <v>#DIV/0!</v>
      </c>
      <c r="BC178" s="43" t="e">
        <f>BC177+(ATM_Conf!$C$5/ATM_Conf!$C$8)*(BW178*EXP(-(1/DK178)*(AI178/CQ178)^DK178)-BC177)+(ATM_Conf!$C$5/AI365)*BC177*(BB177-BC177)-(ATM_Conf!$C$5*ATM_Conf!$C$9)/(AI365*ATM_Conf!$C$8)*(AJ177-AI177)/(AI177+ATM_Conf!$C$10)</f>
        <v>#DIV/0!</v>
      </c>
      <c r="BD178" s="43" t="e">
        <f>BD177+(ATM_Conf!$C$5/ATM_Conf!$C$8)*(BX178*EXP(-(1/DL178)*(AJ178/CR178)^DL178)-BD177)+(ATM_Conf!$C$5/AJ365)*BD177*(BC177-BD177)-(ATM_Conf!$C$5*ATM_Conf!$C$9)/(AJ365*ATM_Conf!$C$8)*(Nodes!BX177-AJ177)/(AJ177+ATM_Conf!$C$10)</f>
        <v>#DIV/0!</v>
      </c>
      <c r="BE178" s="43" t="e">
        <f>BE177+(ATM_Conf!$C$5/ATM_Conf!$C$8)*(BY178*EXP(-(1/DM178)*(AK178/CS178)^DM178)-BE177)+(ATM_Conf!$C$5/AK365)*BE177*(Nodes!BK177-BE177)-(ATM_Conf!$C$5*ATM_Conf!$C$9)/(AK365*ATM_Conf!$C$8)*(Nodes!BY177-AK177)/(AK177+ATM_Conf!$C$10)</f>
        <v>#DIV/0!</v>
      </c>
      <c r="BF178" s="43" t="e">
        <f>BF177+(ATM_Conf!$C$5/ATM_Conf!$C$8)*(BZ178*EXP(-(1/DN178)*(AL178/CT178)^DN178)-BF177)+(ATM_Conf!$C$5/AL365)*BF177*(BE177-BF177)-(ATM_Conf!$C$5*ATM_Conf!$C$9)/(AL365*ATM_Conf!$C$8)*(AM177-AL177)/(AL177+ATM_Conf!$C$10)</f>
        <v>#DIV/0!</v>
      </c>
      <c r="BG178" s="43" t="e">
        <f>BG177+(ATM_Conf!$C$5/ATM_Conf!$C$8)*(CA178*EXP(-(1/DO178)*(AM178/CU178)^DO178)-BG177)+(ATM_Conf!$C$5/AM365)*BG177*(Nodes!BM177-BG177)-(ATM_Conf!$C$5*ATM_Conf!$C$9)/(AM365*ATM_Conf!$C$8)*(Nodes!CA177-AM177)/(AM177+ATM_Conf!$C$10)</f>
        <v>#DIV/0!</v>
      </c>
      <c r="BH178" s="43" t="e">
        <f>BH177+(ATM_Conf!$C$5/ATM_Conf!$C$8)*(CB178*EXP(-(1/DP178)*(AN178/CV178)^DP178)-BH177)+(ATM_Conf!$C$5/AN365)*BH177*(BG177-BH177)-(ATM_Conf!$C$5*ATM_Conf!$C$9)/(AN365*ATM_Conf!$C$8)*(AO177-AN177)/(AN177+ATM_Conf!$C$10)</f>
        <v>#DIV/0!</v>
      </c>
      <c r="BI178" s="43" t="e">
        <f>BI177+(ATM_Conf!$C$5/ATM_Conf!$C$8)*(CC178*EXP(-(1/DQ178)*(AO178/CW178)^DQ178)-BI177)+(ATM_Conf!$C$5/AO365)*BI177*(BH177-BI177)</f>
        <v>#DIV/0!</v>
      </c>
      <c r="BJ178" s="53"/>
      <c r="BK178" s="53"/>
      <c r="BL178" s="53"/>
      <c r="BM178" s="53"/>
      <c r="BN178" s="53"/>
      <c r="BO178" s="53"/>
      <c r="BP178" s="53"/>
      <c r="BQ178" s="53"/>
      <c r="BR178" s="53"/>
      <c r="BS178" s="53"/>
      <c r="BT178" s="53"/>
      <c r="BU178" s="53"/>
      <c r="BV178" s="53"/>
      <c r="BW178" s="53"/>
      <c r="BX178" s="53"/>
      <c r="BY178" s="53"/>
      <c r="BZ178" s="53"/>
      <c r="CA178" s="53"/>
      <c r="CB178" s="53"/>
      <c r="CC178" s="5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53"/>
      <c r="CY178" s="53"/>
      <c r="CZ178" s="53"/>
      <c r="DA178" s="53"/>
      <c r="DB178" s="53"/>
      <c r="DC178" s="53"/>
      <c r="DD178" s="53"/>
      <c r="DE178" s="53"/>
      <c r="DF178" s="53"/>
      <c r="DG178" s="53"/>
      <c r="DH178" s="53"/>
      <c r="DI178" s="53"/>
      <c r="DJ178" s="53"/>
      <c r="DK178" s="53"/>
      <c r="DL178" s="53"/>
      <c r="DM178" s="53"/>
      <c r="DN178" s="53"/>
      <c r="DO178" s="53"/>
      <c r="DP178" s="53"/>
      <c r="DQ178" s="53"/>
      <c r="DR178" s="43">
        <f t="shared" si="105"/>
        <v>0</v>
      </c>
      <c r="DS178" s="43">
        <f t="shared" si="104"/>
        <v>0</v>
      </c>
      <c r="DT178" s="43">
        <f t="shared" si="104"/>
        <v>0</v>
      </c>
      <c r="DU178" s="43">
        <f t="shared" si="104"/>
        <v>0</v>
      </c>
      <c r="DV178" s="43">
        <f t="shared" si="104"/>
        <v>0</v>
      </c>
      <c r="DW178" s="43">
        <f t="shared" si="104"/>
        <v>0</v>
      </c>
      <c r="DX178" s="43">
        <f t="shared" si="104"/>
        <v>0</v>
      </c>
      <c r="DY178" s="43">
        <f t="shared" si="104"/>
        <v>0</v>
      </c>
      <c r="DZ178" s="43">
        <f t="shared" si="104"/>
        <v>0</v>
      </c>
      <c r="EA178" s="43">
        <f t="shared" si="104"/>
        <v>0</v>
      </c>
      <c r="EB178" s="43">
        <f t="shared" si="104"/>
        <v>0</v>
      </c>
      <c r="EC178" s="43">
        <f t="shared" si="104"/>
        <v>0</v>
      </c>
      <c r="ED178" s="43">
        <f t="shared" si="104"/>
        <v>0</v>
      </c>
      <c r="EE178" s="43">
        <f t="shared" si="104"/>
        <v>0</v>
      </c>
      <c r="EF178" s="43">
        <f t="shared" si="104"/>
        <v>0</v>
      </c>
      <c r="EG178" s="43">
        <f t="shared" si="104"/>
        <v>0</v>
      </c>
      <c r="EH178" s="43">
        <f t="shared" si="104"/>
        <v>0</v>
      </c>
      <c r="EI178" s="43">
        <f t="shared" si="104"/>
        <v>0</v>
      </c>
      <c r="EJ178" s="43">
        <f t="shared" si="104"/>
        <v>0</v>
      </c>
      <c r="EK178" s="43">
        <f t="shared" si="104"/>
        <v>0</v>
      </c>
      <c r="EL178" s="47"/>
      <c r="EM178" s="47"/>
      <c r="EN178" s="47"/>
      <c r="EO178" s="47"/>
      <c r="EP178" s="47"/>
      <c r="EQ178" s="47"/>
      <c r="ER178" s="47"/>
      <c r="ES178" s="47"/>
      <c r="ET178" s="47"/>
      <c r="EU178" s="47"/>
      <c r="EV178" s="47"/>
      <c r="EW178" s="47"/>
      <c r="EX178" s="47"/>
      <c r="EY178" s="47"/>
      <c r="EZ178" s="47"/>
      <c r="FA178" s="47"/>
      <c r="FB178" s="47"/>
      <c r="FC178" s="47"/>
      <c r="FD178" s="47"/>
      <c r="FE178" s="47"/>
    </row>
    <row r="179" spans="1:161" ht="14.25" x14ac:dyDescent="0.15">
      <c r="A179" s="46"/>
      <c r="B179" s="43" t="e">
        <f t="shared" si="74"/>
        <v>#DIV/0!</v>
      </c>
      <c r="C179" s="43" t="e">
        <f t="shared" si="75"/>
        <v>#DIV/0!</v>
      </c>
      <c r="D179" s="43" t="e">
        <f t="shared" si="76"/>
        <v>#DIV/0!</v>
      </c>
      <c r="E179" s="43" t="e">
        <f t="shared" si="77"/>
        <v>#DIV/0!</v>
      </c>
      <c r="F179" s="43" t="e">
        <f t="shared" si="78"/>
        <v>#DIV/0!</v>
      </c>
      <c r="G179" s="43" t="e">
        <f t="shared" si="79"/>
        <v>#DIV/0!</v>
      </c>
      <c r="H179" s="43" t="e">
        <f t="shared" si="80"/>
        <v>#DIV/0!</v>
      </c>
      <c r="I179" s="43" t="e">
        <f t="shared" si="81"/>
        <v>#DIV/0!</v>
      </c>
      <c r="J179" s="43" t="e">
        <f t="shared" si="82"/>
        <v>#DIV/0!</v>
      </c>
      <c r="K179" s="43" t="e">
        <f t="shared" si="83"/>
        <v>#DIV/0!</v>
      </c>
      <c r="L179" s="43" t="e">
        <f t="shared" si="84"/>
        <v>#DIV/0!</v>
      </c>
      <c r="M179" s="43" t="e">
        <f t="shared" si="85"/>
        <v>#DIV/0!</v>
      </c>
      <c r="N179" s="43" t="e">
        <f t="shared" si="86"/>
        <v>#DIV/0!</v>
      </c>
      <c r="O179" s="43" t="e">
        <f t="shared" si="87"/>
        <v>#DIV/0!</v>
      </c>
      <c r="P179" s="43" t="e">
        <f t="shared" si="88"/>
        <v>#DIV/0!</v>
      </c>
      <c r="Q179" s="43" t="e">
        <f t="shared" si="89"/>
        <v>#DIV/0!</v>
      </c>
      <c r="R179" s="43" t="e">
        <f t="shared" si="90"/>
        <v>#DIV/0!</v>
      </c>
      <c r="S179" s="43" t="e">
        <f t="shared" si="91"/>
        <v>#DIV/0!</v>
      </c>
      <c r="T179" s="43" t="e">
        <f t="shared" si="92"/>
        <v>#DIV/0!</v>
      </c>
      <c r="U179" s="43" t="e">
        <f t="shared" si="93"/>
        <v>#DIV/0!</v>
      </c>
      <c r="V179" s="53" t="e">
        <f>V178+ATM_Conf!$C$5*(B178)/(B366*V366)</f>
        <v>#DIV/0!</v>
      </c>
      <c r="W179" s="53" t="e">
        <f>W178+ATM_Conf!$C$5*(C178-B178)/(C366*W366)</f>
        <v>#DIV/0!</v>
      </c>
      <c r="X179" s="53" t="e">
        <f>X178+ATM_Conf!$C$5*(D178-C178)/(D366*X366)</f>
        <v>#DIV/0!</v>
      </c>
      <c r="Y179" s="53" t="e">
        <f>Y178+ATM_Conf!$C$5*(E178-D178)/(E366*Y366)</f>
        <v>#DIV/0!</v>
      </c>
      <c r="Z179" s="53" t="e">
        <f>Z178+ATM_Conf!$C$5*(F178-E178)/(F366*Z366)</f>
        <v>#DIV/0!</v>
      </c>
      <c r="AA179" s="53" t="e">
        <f>AA178+ATM_Conf!$C$5*(G178-F178)/(G366*AA366)</f>
        <v>#DIV/0!</v>
      </c>
      <c r="AB179" s="53" t="e">
        <f>AB178+ATM_Conf!$C$5*(H178-G178)/(H366*AB366)</f>
        <v>#DIV/0!</v>
      </c>
      <c r="AC179" s="53" t="e">
        <f>AC178+ATM_Conf!$C$5*(I178-H178)/(I366*AC366)</f>
        <v>#DIV/0!</v>
      </c>
      <c r="AD179" s="53" t="e">
        <f>AD178+ATM_Conf!$C$5*(J178-I178)/(J366*AD366)</f>
        <v>#DIV/0!</v>
      </c>
      <c r="AE179" s="53" t="e">
        <f>AE178+ATM_Conf!$C$5*(K178-J178)/(K366*AE366)</f>
        <v>#DIV/0!</v>
      </c>
      <c r="AF179" s="53" t="e">
        <f>AF178+ATM_Conf!$C$5*(L178)/(L366*AF366)</f>
        <v>#DIV/0!</v>
      </c>
      <c r="AG179" s="53" t="e">
        <f>AG178+ATM_Conf!$C$5*(M178-L178)/(M366*AG366)</f>
        <v>#DIV/0!</v>
      </c>
      <c r="AH179" s="53" t="e">
        <f>AH178+ATM_Conf!$C$5*(N178-M178)/(N366*AH366)</f>
        <v>#DIV/0!</v>
      </c>
      <c r="AI179" s="53" t="e">
        <f>AI178+ATM_Conf!$C$5*(O178-N178)/(O366*AI366)</f>
        <v>#DIV/0!</v>
      </c>
      <c r="AJ179" s="53" t="e">
        <f>AJ178+ATM_Conf!$C$5*(P178-O178)/(P366*AJ366)</f>
        <v>#DIV/0!</v>
      </c>
      <c r="AK179" s="53" t="e">
        <f>AK178+ATM_Conf!$C$5*(Q178-P178)/(Q366*AK366)</f>
        <v>#DIV/0!</v>
      </c>
      <c r="AL179" s="53" t="e">
        <f>AL178+ATM_Conf!$C$5*(R178-Q178)/(R366*AL366)</f>
        <v>#DIV/0!</v>
      </c>
      <c r="AM179" s="53" t="e">
        <f>AM178+ATM_Conf!$C$5*(S178-R178)/(S366*AM366)</f>
        <v>#DIV/0!</v>
      </c>
      <c r="AN179" s="53" t="e">
        <f>AN178+ATM_Conf!$C$5*(T178-S178)/(T366*AN366)</f>
        <v>#DIV/0!</v>
      </c>
      <c r="AO179" s="53" t="e">
        <f>AO178+ATM_Conf!$C$5*(U178-T178)/(U366*AO366)</f>
        <v>#DIV/0!</v>
      </c>
      <c r="AP179" s="43" t="e">
        <f>AP178+(ATM_Conf!$C$5/ATM_Conf!$C$8)*(BJ179*EXP(-(1/CX179)*(V179/CD179)^CX179)-AP178)-(ATM_Conf!$C$5*ATM_Conf!$C$9)/(V366*ATM_Conf!$C$8)*(Nodes!BO178-V178)/(V178+ATM_Conf!$C$10)</f>
        <v>#DIV/0!</v>
      </c>
      <c r="AQ179" s="43" t="e">
        <f>AQ178+(ATM_Conf!$C$5/ATM_Conf!$C$8)*(BK179*EXP(-(1/CY179)*(W179/CE179)^CY179)-AQ178)+(ATM_Conf!$C$5/W366)*AQ178*(AP178-AQ178)-(ATM_Conf!$C$5*ATM_Conf!$C$9)/(W366*ATM_Conf!$C$8)*(X178-W178)/(W178+ATM_Conf!$C$10)</f>
        <v>#DIV/0!</v>
      </c>
      <c r="AR179" s="43" t="e">
        <f>AR178+(ATM_Conf!$C$5/ATM_Conf!$C$8)*(BL179*EXP(-(1/CZ179)*(X179/CF179)^CZ179)-AR178)+(ATM_Conf!$C$5/X366)*AR178*(Nodes!BC178-AR178)-(ATM_Conf!$C$5*ATM_Conf!$C$9)/(X366*ATM_Conf!$C$8)*(Nodes!BQ178-X178)/(X178+ATM_Conf!$C$10)</f>
        <v>#DIV/0!</v>
      </c>
      <c r="AS179" s="43" t="e">
        <f>AS178+(ATM_Conf!$C$5/ATM_Conf!$C$8)*(BM179*EXP(-(1/DA179)*(Y179/CG179)^DA179)-AS178)+(ATM_Conf!$C$5/Y366)*AS178*(AR178-AS178)-(ATM_Conf!$C$5*ATM_Conf!$C$9)/(Y366*ATM_Conf!$C$8)*(Z178-Y178)/(Y178+ATM_Conf!$C$10)</f>
        <v>#DIV/0!</v>
      </c>
      <c r="AT179" s="43" t="e">
        <f>AT178+(ATM_Conf!$C$5/ATM_Conf!$C$8)*(BN179*EXP(-(1/DB179)*(Z179/CH179)^DB179)-AT178)+(ATM_Conf!$C$5/Z366)*AT178*(Nodes!BE178-AT178)-(ATM_Conf!$C$5*ATM_Conf!$C$9)/(Z366*ATM_Conf!$C$8)*(Nodes!BS178-Z178)/(Z178+ATM_Conf!$C$10)</f>
        <v>#DIV/0!</v>
      </c>
      <c r="AU179" s="43" t="e">
        <f>AU178+(ATM_Conf!$C$5/ATM_Conf!$C$8)*(BO179*EXP(-(1/DC179)*(AA179/CI179)^DC179)-AU178)+(ATM_Conf!$C$5/AA366)*AU178*(Nodes!BF178-AU178)-(ATM_Conf!$C$5*ATM_Conf!$C$9)/(AA366*ATM_Conf!$C$8)*(Nodes!BV178-AA178)/(AA178+ATM_Conf!$C$10)</f>
        <v>#DIV/0!</v>
      </c>
      <c r="AV179" s="43" t="e">
        <f>AV178+(ATM_Conf!$C$5/ATM_Conf!$C$8)*(BP179*EXP(-(1/DD179)*(AB179/CJ179)^DD179)-AV178)+(ATM_Conf!$C$5/AB366)*AV178*(AU178-AV178)-(ATM_Conf!$C$5*ATM_Conf!$C$9)/(AB366*ATM_Conf!$C$8)*(AC178-AB178)/(AB178+ATM_Conf!$C$10)</f>
        <v>#DIV/0!</v>
      </c>
      <c r="AW179" s="43" t="e">
        <f>AW178+(ATM_Conf!$C$5/ATM_Conf!$C$8)*(BQ179*EXP(-(1/DE179)*(AC179/CK179)^DE179)-AW178)+(ATM_Conf!$C$5/AC366)*AW178*(AV178-AW178)-(ATM_Conf!$C$5*ATM_Conf!$C$9)/(AC366*ATM_Conf!$C$8)*(AD178-AC178)/(AC178+ATM_Conf!$C$10)</f>
        <v>#DIV/0!</v>
      </c>
      <c r="AX179" s="43" t="e">
        <f>AX178+(ATM_Conf!$C$5/ATM_Conf!$C$8)*(BR179*EXP(-(1/DF179)*(AD179/CL179)^DF179)-AX178)+(ATM_Conf!$C$5/AD366)*AX178*(Nodes!BG178-AX178)-(ATM_Conf!$C$5*ATM_Conf!$C$9)/(AD366*ATM_Conf!$C$8)*(Nodes!BU178-AD178)/(AD178+ATM_Conf!$C$10)</f>
        <v>#DIV/0!</v>
      </c>
      <c r="AY179" s="43" t="e">
        <f>AY178+(ATM_Conf!$C$5/ATM_Conf!$C$8)*(BS179*EXP(-(1/DG179)*(AE179/CM179)^DG179)-AY178)+(ATM_Conf!$C$5/AE366)*AY178*(Nodes!BF178-AY178)</f>
        <v>#DIV/0!</v>
      </c>
      <c r="AZ179" s="43" t="e">
        <f>AZ178+(ATM_Conf!$C$5/ATM_Conf!$C$8)*(BT179*EXP(-(1/DH179)*(AF179/CN179)^DH179)-AZ178)-(ATM_Conf!$C$5*ATM_Conf!$C$9)/(AF366*ATM_Conf!$C$8)*(Nodes!BV178-AF178)/(AF178+ATM_Conf!$C$10)</f>
        <v>#DIV/0!</v>
      </c>
      <c r="BA179" s="43" t="e">
        <f>BA178+(ATM_Conf!$C$5/ATM_Conf!$C$8)*(BU179*EXP(-(1/DI179)*(AG179/CO179)^DI179)-BA178)+(ATM_Conf!$C$5/AG366)*BA178*(Nodes!BI178-BA178)-(ATM_Conf!$C$5*ATM_Conf!$C$9)/(AG366*ATM_Conf!$C$8)*(Nodes!BW178-AG178)/(AG178+ATM_Conf!$C$10)</f>
        <v>#DIV/0!</v>
      </c>
      <c r="BB179" s="43" t="e">
        <f>BB178+(ATM_Conf!$C$5/ATM_Conf!$C$8)*(BV179*EXP(-(1/DJ179)*(AH179/CP179)^DJ179)-BB178)+(ATM_Conf!$C$5/AH366)*BB178*(Nodes!BJ178-BB178)-(ATM_Conf!$C$5*ATM_Conf!$C$9)/(AH366*ATM_Conf!$C$8)*(AI178-AH178)/(AH178+ATM_Conf!$C$10)</f>
        <v>#DIV/0!</v>
      </c>
      <c r="BC179" s="43" t="e">
        <f>BC178+(ATM_Conf!$C$5/ATM_Conf!$C$8)*(BW179*EXP(-(1/DK179)*(AI179/CQ179)^DK179)-BC178)+(ATM_Conf!$C$5/AI366)*BC178*(BB178-BC178)-(ATM_Conf!$C$5*ATM_Conf!$C$9)/(AI366*ATM_Conf!$C$8)*(AJ178-AI178)/(AI178+ATM_Conf!$C$10)</f>
        <v>#DIV/0!</v>
      </c>
      <c r="BD179" s="43" t="e">
        <f>BD178+(ATM_Conf!$C$5/ATM_Conf!$C$8)*(BX179*EXP(-(1/DL179)*(AJ179/CR179)^DL179)-BD178)+(ATM_Conf!$C$5/AJ366)*BD178*(BC178-BD178)-(ATM_Conf!$C$5*ATM_Conf!$C$9)/(AJ366*ATM_Conf!$C$8)*(Nodes!BX178-AJ178)/(AJ178+ATM_Conf!$C$10)</f>
        <v>#DIV/0!</v>
      </c>
      <c r="BE179" s="43" t="e">
        <f>BE178+(ATM_Conf!$C$5/ATM_Conf!$C$8)*(BY179*EXP(-(1/DM179)*(AK179/CS179)^DM179)-BE178)+(ATM_Conf!$C$5/AK366)*BE178*(Nodes!BK178-BE178)-(ATM_Conf!$C$5*ATM_Conf!$C$9)/(AK366*ATM_Conf!$C$8)*(Nodes!BY178-AK178)/(AK178+ATM_Conf!$C$10)</f>
        <v>#DIV/0!</v>
      </c>
      <c r="BF179" s="43" t="e">
        <f>BF178+(ATM_Conf!$C$5/ATM_Conf!$C$8)*(BZ179*EXP(-(1/DN179)*(AL179/CT179)^DN179)-BF178)+(ATM_Conf!$C$5/AL366)*BF178*(BE178-BF178)-(ATM_Conf!$C$5*ATM_Conf!$C$9)/(AL366*ATM_Conf!$C$8)*(AM178-AL178)/(AL178+ATM_Conf!$C$10)</f>
        <v>#DIV/0!</v>
      </c>
      <c r="BG179" s="43" t="e">
        <f>BG178+(ATM_Conf!$C$5/ATM_Conf!$C$8)*(CA179*EXP(-(1/DO179)*(AM179/CU179)^DO179)-BG178)+(ATM_Conf!$C$5/AM366)*BG178*(Nodes!BM178-BG178)-(ATM_Conf!$C$5*ATM_Conf!$C$9)/(AM366*ATM_Conf!$C$8)*(Nodes!CA178-AM178)/(AM178+ATM_Conf!$C$10)</f>
        <v>#DIV/0!</v>
      </c>
      <c r="BH179" s="43" t="e">
        <f>BH178+(ATM_Conf!$C$5/ATM_Conf!$C$8)*(CB179*EXP(-(1/DP179)*(AN179/CV179)^DP179)-BH178)+(ATM_Conf!$C$5/AN366)*BH178*(BG178-BH178)-(ATM_Conf!$C$5*ATM_Conf!$C$9)/(AN366*ATM_Conf!$C$8)*(AO178-AN178)/(AN178+ATM_Conf!$C$10)</f>
        <v>#DIV/0!</v>
      </c>
      <c r="BI179" s="43" t="e">
        <f>BI178+(ATM_Conf!$C$5/ATM_Conf!$C$8)*(CC179*EXP(-(1/DQ179)*(AO179/CW179)^DQ179)-BI178)+(ATM_Conf!$C$5/AO366)*BI178*(BH178-BI178)</f>
        <v>#DIV/0!</v>
      </c>
      <c r="BJ179" s="53"/>
      <c r="BK179" s="53"/>
      <c r="BL179" s="53"/>
      <c r="BM179" s="53"/>
      <c r="BN179" s="53"/>
      <c r="BO179" s="53"/>
      <c r="BP179" s="53"/>
      <c r="BQ179" s="53"/>
      <c r="BR179" s="53"/>
      <c r="BS179" s="53"/>
      <c r="BT179" s="53"/>
      <c r="BU179" s="53"/>
      <c r="BV179" s="53"/>
      <c r="BW179" s="53"/>
      <c r="BX179" s="53"/>
      <c r="BY179" s="53"/>
      <c r="BZ179" s="53"/>
      <c r="CA179" s="53"/>
      <c r="CB179" s="53"/>
      <c r="CC179" s="5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53"/>
      <c r="CY179" s="53"/>
      <c r="CZ179" s="53"/>
      <c r="DA179" s="53"/>
      <c r="DB179" s="53"/>
      <c r="DC179" s="53"/>
      <c r="DD179" s="53"/>
      <c r="DE179" s="53"/>
      <c r="DF179" s="53"/>
      <c r="DG179" s="53"/>
      <c r="DH179" s="53"/>
      <c r="DI179" s="53"/>
      <c r="DJ179" s="53"/>
      <c r="DK179" s="53"/>
      <c r="DL179" s="53"/>
      <c r="DM179" s="53"/>
      <c r="DN179" s="53"/>
      <c r="DO179" s="53"/>
      <c r="DP179" s="53"/>
      <c r="DQ179" s="53"/>
      <c r="DR179" s="43">
        <f t="shared" si="105"/>
        <v>0</v>
      </c>
      <c r="DS179" s="43">
        <f t="shared" si="104"/>
        <v>0</v>
      </c>
      <c r="DT179" s="43">
        <f t="shared" si="104"/>
        <v>0</v>
      </c>
      <c r="DU179" s="43">
        <f t="shared" si="104"/>
        <v>0</v>
      </c>
      <c r="DV179" s="43">
        <f t="shared" si="104"/>
        <v>0</v>
      </c>
      <c r="DW179" s="43">
        <f t="shared" si="104"/>
        <v>0</v>
      </c>
      <c r="DX179" s="43">
        <f t="shared" si="104"/>
        <v>0</v>
      </c>
      <c r="DY179" s="43">
        <f t="shared" si="104"/>
        <v>0</v>
      </c>
      <c r="DZ179" s="43">
        <f t="shared" si="104"/>
        <v>0</v>
      </c>
      <c r="EA179" s="43">
        <f t="shared" si="104"/>
        <v>0</v>
      </c>
      <c r="EB179" s="43">
        <f t="shared" si="104"/>
        <v>0</v>
      </c>
      <c r="EC179" s="43">
        <f t="shared" si="104"/>
        <v>0</v>
      </c>
      <c r="ED179" s="43">
        <f t="shared" si="104"/>
        <v>0</v>
      </c>
      <c r="EE179" s="43">
        <f t="shared" si="104"/>
        <v>0</v>
      </c>
      <c r="EF179" s="43">
        <f t="shared" si="104"/>
        <v>0</v>
      </c>
      <c r="EG179" s="43">
        <f t="shared" si="104"/>
        <v>0</v>
      </c>
      <c r="EH179" s="43">
        <f t="shared" si="104"/>
        <v>0</v>
      </c>
      <c r="EI179" s="43">
        <f t="shared" si="104"/>
        <v>0</v>
      </c>
      <c r="EJ179" s="43">
        <f t="shared" si="104"/>
        <v>0</v>
      </c>
      <c r="EK179" s="43">
        <f t="shared" si="104"/>
        <v>0</v>
      </c>
      <c r="EL179" s="47"/>
      <c r="EM179" s="47"/>
      <c r="EN179" s="47"/>
      <c r="EO179" s="47"/>
      <c r="EP179" s="47"/>
      <c r="EQ179" s="47"/>
      <c r="ER179" s="47"/>
      <c r="ES179" s="47"/>
      <c r="ET179" s="47"/>
      <c r="EU179" s="47"/>
      <c r="EV179" s="47"/>
      <c r="EW179" s="47"/>
      <c r="EX179" s="47"/>
      <c r="EY179" s="47"/>
      <c r="EZ179" s="47"/>
      <c r="FA179" s="47"/>
      <c r="FB179" s="47"/>
      <c r="FC179" s="47"/>
      <c r="FD179" s="47"/>
      <c r="FE179" s="47"/>
    </row>
    <row r="180" spans="1:161" ht="14.25" x14ac:dyDescent="0.15">
      <c r="A180" s="46"/>
      <c r="B180" s="43" t="e">
        <f t="shared" si="74"/>
        <v>#DIV/0!</v>
      </c>
      <c r="C180" s="43" t="e">
        <f t="shared" si="75"/>
        <v>#DIV/0!</v>
      </c>
      <c r="D180" s="43" t="e">
        <f t="shared" si="76"/>
        <v>#DIV/0!</v>
      </c>
      <c r="E180" s="43" t="e">
        <f t="shared" si="77"/>
        <v>#DIV/0!</v>
      </c>
      <c r="F180" s="43" t="e">
        <f t="shared" si="78"/>
        <v>#DIV/0!</v>
      </c>
      <c r="G180" s="43" t="e">
        <f t="shared" si="79"/>
        <v>#DIV/0!</v>
      </c>
      <c r="H180" s="43" t="e">
        <f t="shared" si="80"/>
        <v>#DIV/0!</v>
      </c>
      <c r="I180" s="43" t="e">
        <f t="shared" si="81"/>
        <v>#DIV/0!</v>
      </c>
      <c r="J180" s="43" t="e">
        <f t="shared" si="82"/>
        <v>#DIV/0!</v>
      </c>
      <c r="K180" s="43" t="e">
        <f t="shared" si="83"/>
        <v>#DIV/0!</v>
      </c>
      <c r="L180" s="43" t="e">
        <f t="shared" si="84"/>
        <v>#DIV/0!</v>
      </c>
      <c r="M180" s="43" t="e">
        <f t="shared" si="85"/>
        <v>#DIV/0!</v>
      </c>
      <c r="N180" s="43" t="e">
        <f t="shared" si="86"/>
        <v>#DIV/0!</v>
      </c>
      <c r="O180" s="43" t="e">
        <f t="shared" si="87"/>
        <v>#DIV/0!</v>
      </c>
      <c r="P180" s="43" t="e">
        <f t="shared" si="88"/>
        <v>#DIV/0!</v>
      </c>
      <c r="Q180" s="43" t="e">
        <f t="shared" si="89"/>
        <v>#DIV/0!</v>
      </c>
      <c r="R180" s="43" t="e">
        <f t="shared" si="90"/>
        <v>#DIV/0!</v>
      </c>
      <c r="S180" s="43" t="e">
        <f t="shared" si="91"/>
        <v>#DIV/0!</v>
      </c>
      <c r="T180" s="43" t="e">
        <f t="shared" si="92"/>
        <v>#DIV/0!</v>
      </c>
      <c r="U180" s="43" t="e">
        <f t="shared" si="93"/>
        <v>#DIV/0!</v>
      </c>
      <c r="V180" s="53" t="e">
        <f>V179+ATM_Conf!$C$5*(B179)/(B367*V367)</f>
        <v>#DIV/0!</v>
      </c>
      <c r="W180" s="53" t="e">
        <f>W179+ATM_Conf!$C$5*(C179-B179)/(C367*W367)</f>
        <v>#DIV/0!</v>
      </c>
      <c r="X180" s="53" t="e">
        <f>X179+ATM_Conf!$C$5*(D179-C179)/(D367*X367)</f>
        <v>#DIV/0!</v>
      </c>
      <c r="Y180" s="53" t="e">
        <f>Y179+ATM_Conf!$C$5*(E179-D179)/(E367*Y367)</f>
        <v>#DIV/0!</v>
      </c>
      <c r="Z180" s="53" t="e">
        <f>Z179+ATM_Conf!$C$5*(F179-E179)/(F367*Z367)</f>
        <v>#DIV/0!</v>
      </c>
      <c r="AA180" s="53" t="e">
        <f>AA179+ATM_Conf!$C$5*(G179-F179)/(G367*AA367)</f>
        <v>#DIV/0!</v>
      </c>
      <c r="AB180" s="53" t="e">
        <f>AB179+ATM_Conf!$C$5*(H179-G179)/(H367*AB367)</f>
        <v>#DIV/0!</v>
      </c>
      <c r="AC180" s="53" t="e">
        <f>AC179+ATM_Conf!$C$5*(I179-H179)/(I367*AC367)</f>
        <v>#DIV/0!</v>
      </c>
      <c r="AD180" s="53" t="e">
        <f>AD179+ATM_Conf!$C$5*(J179-I179)/(J367*AD367)</f>
        <v>#DIV/0!</v>
      </c>
      <c r="AE180" s="53" t="e">
        <f>AE179+ATM_Conf!$C$5*(K179-J179)/(K367*AE367)</f>
        <v>#DIV/0!</v>
      </c>
      <c r="AF180" s="53" t="e">
        <f>AF179+ATM_Conf!$C$5*(L179)/(L367*AF367)</f>
        <v>#DIV/0!</v>
      </c>
      <c r="AG180" s="53" t="e">
        <f>AG179+ATM_Conf!$C$5*(M179-L179)/(M367*AG367)</f>
        <v>#DIV/0!</v>
      </c>
      <c r="AH180" s="53" t="e">
        <f>AH179+ATM_Conf!$C$5*(N179-M179)/(N367*AH367)</f>
        <v>#DIV/0!</v>
      </c>
      <c r="AI180" s="53" t="e">
        <f>AI179+ATM_Conf!$C$5*(O179-N179)/(O367*AI367)</f>
        <v>#DIV/0!</v>
      </c>
      <c r="AJ180" s="53" t="e">
        <f>AJ179+ATM_Conf!$C$5*(P179-O179)/(P367*AJ367)</f>
        <v>#DIV/0!</v>
      </c>
      <c r="AK180" s="53" t="e">
        <f>AK179+ATM_Conf!$C$5*(Q179-P179)/(Q367*AK367)</f>
        <v>#DIV/0!</v>
      </c>
      <c r="AL180" s="53" t="e">
        <f>AL179+ATM_Conf!$C$5*(R179-Q179)/(R367*AL367)</f>
        <v>#DIV/0!</v>
      </c>
      <c r="AM180" s="53" t="e">
        <f>AM179+ATM_Conf!$C$5*(S179-R179)/(S367*AM367)</f>
        <v>#DIV/0!</v>
      </c>
      <c r="AN180" s="53" t="e">
        <f>AN179+ATM_Conf!$C$5*(T179-S179)/(T367*AN367)</f>
        <v>#DIV/0!</v>
      </c>
      <c r="AO180" s="53" t="e">
        <f>AO179+ATM_Conf!$C$5*(U179-T179)/(U367*AO367)</f>
        <v>#DIV/0!</v>
      </c>
      <c r="AP180" s="43" t="e">
        <f>AP179+(ATM_Conf!$C$5/ATM_Conf!$C$8)*(BJ180*EXP(-(1/CX180)*(V180/CD180)^CX180)-AP179)-(ATM_Conf!$C$5*ATM_Conf!$C$9)/(V367*ATM_Conf!$C$8)*(Nodes!BO179-V179)/(V179+ATM_Conf!$C$10)</f>
        <v>#DIV/0!</v>
      </c>
      <c r="AQ180" s="43" t="e">
        <f>AQ179+(ATM_Conf!$C$5/ATM_Conf!$C$8)*(BK180*EXP(-(1/CY180)*(W180/CE180)^CY180)-AQ179)+(ATM_Conf!$C$5/W367)*AQ179*(AP179-AQ179)-(ATM_Conf!$C$5*ATM_Conf!$C$9)/(W367*ATM_Conf!$C$8)*(X179-W179)/(W179+ATM_Conf!$C$10)</f>
        <v>#DIV/0!</v>
      </c>
      <c r="AR180" s="43" t="e">
        <f>AR179+(ATM_Conf!$C$5/ATM_Conf!$C$8)*(BL180*EXP(-(1/CZ180)*(X180/CF180)^CZ180)-AR179)+(ATM_Conf!$C$5/X367)*AR179*(Nodes!BC179-AR179)-(ATM_Conf!$C$5*ATM_Conf!$C$9)/(X367*ATM_Conf!$C$8)*(Nodes!BQ179-X179)/(X179+ATM_Conf!$C$10)</f>
        <v>#DIV/0!</v>
      </c>
      <c r="AS180" s="43" t="e">
        <f>AS179+(ATM_Conf!$C$5/ATM_Conf!$C$8)*(BM180*EXP(-(1/DA180)*(Y180/CG180)^DA180)-AS179)+(ATM_Conf!$C$5/Y367)*AS179*(AR179-AS179)-(ATM_Conf!$C$5*ATM_Conf!$C$9)/(Y367*ATM_Conf!$C$8)*(Z179-Y179)/(Y179+ATM_Conf!$C$10)</f>
        <v>#DIV/0!</v>
      </c>
      <c r="AT180" s="43" t="e">
        <f>AT179+(ATM_Conf!$C$5/ATM_Conf!$C$8)*(BN180*EXP(-(1/DB180)*(Z180/CH180)^DB180)-AT179)+(ATM_Conf!$C$5/Z367)*AT179*(Nodes!BE179-AT179)-(ATM_Conf!$C$5*ATM_Conf!$C$9)/(Z367*ATM_Conf!$C$8)*(Nodes!BS179-Z179)/(Z179+ATM_Conf!$C$10)</f>
        <v>#DIV/0!</v>
      </c>
      <c r="AU180" s="43" t="e">
        <f>AU179+(ATM_Conf!$C$5/ATM_Conf!$C$8)*(BO180*EXP(-(1/DC180)*(AA180/CI180)^DC180)-AU179)+(ATM_Conf!$C$5/AA367)*AU179*(Nodes!BF179-AU179)-(ATM_Conf!$C$5*ATM_Conf!$C$9)/(AA367*ATM_Conf!$C$8)*(Nodes!BV179-AA179)/(AA179+ATM_Conf!$C$10)</f>
        <v>#DIV/0!</v>
      </c>
      <c r="AV180" s="43" t="e">
        <f>AV179+(ATM_Conf!$C$5/ATM_Conf!$C$8)*(BP180*EXP(-(1/DD180)*(AB180/CJ180)^DD180)-AV179)+(ATM_Conf!$C$5/AB367)*AV179*(AU179-AV179)-(ATM_Conf!$C$5*ATM_Conf!$C$9)/(AB367*ATM_Conf!$C$8)*(AC179-AB179)/(AB179+ATM_Conf!$C$10)</f>
        <v>#DIV/0!</v>
      </c>
      <c r="AW180" s="43" t="e">
        <f>AW179+(ATM_Conf!$C$5/ATM_Conf!$C$8)*(BQ180*EXP(-(1/DE180)*(AC180/CK180)^DE180)-AW179)+(ATM_Conf!$C$5/AC367)*AW179*(AV179-AW179)-(ATM_Conf!$C$5*ATM_Conf!$C$9)/(AC367*ATM_Conf!$C$8)*(AD179-AC179)/(AC179+ATM_Conf!$C$10)</f>
        <v>#DIV/0!</v>
      </c>
      <c r="AX180" s="43" t="e">
        <f>AX179+(ATM_Conf!$C$5/ATM_Conf!$C$8)*(BR180*EXP(-(1/DF180)*(AD180/CL180)^DF180)-AX179)+(ATM_Conf!$C$5/AD367)*AX179*(Nodes!BG179-AX179)-(ATM_Conf!$C$5*ATM_Conf!$C$9)/(AD367*ATM_Conf!$C$8)*(Nodes!BU179-AD179)/(AD179+ATM_Conf!$C$10)</f>
        <v>#DIV/0!</v>
      </c>
      <c r="AY180" s="43" t="e">
        <f>AY179+(ATM_Conf!$C$5/ATM_Conf!$C$8)*(BS180*EXP(-(1/DG180)*(AE180/CM180)^DG180)-AY179)+(ATM_Conf!$C$5/AE367)*AY179*(Nodes!BF179-AY179)</f>
        <v>#DIV/0!</v>
      </c>
      <c r="AZ180" s="43" t="e">
        <f>AZ179+(ATM_Conf!$C$5/ATM_Conf!$C$8)*(BT180*EXP(-(1/DH180)*(AF180/CN180)^DH180)-AZ179)-(ATM_Conf!$C$5*ATM_Conf!$C$9)/(AF367*ATM_Conf!$C$8)*(Nodes!BV179-AF179)/(AF179+ATM_Conf!$C$10)</f>
        <v>#DIV/0!</v>
      </c>
      <c r="BA180" s="43" t="e">
        <f>BA179+(ATM_Conf!$C$5/ATM_Conf!$C$8)*(BU180*EXP(-(1/DI180)*(AG180/CO180)^DI180)-BA179)+(ATM_Conf!$C$5/AG367)*BA179*(Nodes!BI179-BA179)-(ATM_Conf!$C$5*ATM_Conf!$C$9)/(AG367*ATM_Conf!$C$8)*(Nodes!BW179-AG179)/(AG179+ATM_Conf!$C$10)</f>
        <v>#DIV/0!</v>
      </c>
      <c r="BB180" s="43" t="e">
        <f>BB179+(ATM_Conf!$C$5/ATM_Conf!$C$8)*(BV180*EXP(-(1/DJ180)*(AH180/CP180)^DJ180)-BB179)+(ATM_Conf!$C$5/AH367)*BB179*(Nodes!BJ179-BB179)-(ATM_Conf!$C$5*ATM_Conf!$C$9)/(AH367*ATM_Conf!$C$8)*(AI179-AH179)/(AH179+ATM_Conf!$C$10)</f>
        <v>#DIV/0!</v>
      </c>
      <c r="BC180" s="43" t="e">
        <f>BC179+(ATM_Conf!$C$5/ATM_Conf!$C$8)*(BW180*EXP(-(1/DK180)*(AI180/CQ180)^DK180)-BC179)+(ATM_Conf!$C$5/AI367)*BC179*(BB179-BC179)-(ATM_Conf!$C$5*ATM_Conf!$C$9)/(AI367*ATM_Conf!$C$8)*(AJ179-AI179)/(AI179+ATM_Conf!$C$10)</f>
        <v>#DIV/0!</v>
      </c>
      <c r="BD180" s="43" t="e">
        <f>BD179+(ATM_Conf!$C$5/ATM_Conf!$C$8)*(BX180*EXP(-(1/DL180)*(AJ180/CR180)^DL180)-BD179)+(ATM_Conf!$C$5/AJ367)*BD179*(BC179-BD179)-(ATM_Conf!$C$5*ATM_Conf!$C$9)/(AJ367*ATM_Conf!$C$8)*(Nodes!BX179-AJ179)/(AJ179+ATM_Conf!$C$10)</f>
        <v>#DIV/0!</v>
      </c>
      <c r="BE180" s="43" t="e">
        <f>BE179+(ATM_Conf!$C$5/ATM_Conf!$C$8)*(BY180*EXP(-(1/DM180)*(AK180/CS180)^DM180)-BE179)+(ATM_Conf!$C$5/AK367)*BE179*(Nodes!BK179-BE179)-(ATM_Conf!$C$5*ATM_Conf!$C$9)/(AK367*ATM_Conf!$C$8)*(Nodes!BY179-AK179)/(AK179+ATM_Conf!$C$10)</f>
        <v>#DIV/0!</v>
      </c>
      <c r="BF180" s="43" t="e">
        <f>BF179+(ATM_Conf!$C$5/ATM_Conf!$C$8)*(BZ180*EXP(-(1/DN180)*(AL180/CT180)^DN180)-BF179)+(ATM_Conf!$C$5/AL367)*BF179*(BE179-BF179)-(ATM_Conf!$C$5*ATM_Conf!$C$9)/(AL367*ATM_Conf!$C$8)*(AM179-AL179)/(AL179+ATM_Conf!$C$10)</f>
        <v>#DIV/0!</v>
      </c>
      <c r="BG180" s="43" t="e">
        <f>BG179+(ATM_Conf!$C$5/ATM_Conf!$C$8)*(CA180*EXP(-(1/DO180)*(AM180/CU180)^DO180)-BG179)+(ATM_Conf!$C$5/AM367)*BG179*(Nodes!BM179-BG179)-(ATM_Conf!$C$5*ATM_Conf!$C$9)/(AM367*ATM_Conf!$C$8)*(Nodes!CA179-AM179)/(AM179+ATM_Conf!$C$10)</f>
        <v>#DIV/0!</v>
      </c>
      <c r="BH180" s="43" t="e">
        <f>BH179+(ATM_Conf!$C$5/ATM_Conf!$C$8)*(CB180*EXP(-(1/DP180)*(AN180/CV180)^DP180)-BH179)+(ATM_Conf!$C$5/AN367)*BH179*(BG179-BH179)-(ATM_Conf!$C$5*ATM_Conf!$C$9)/(AN367*ATM_Conf!$C$8)*(AO179-AN179)/(AN179+ATM_Conf!$C$10)</f>
        <v>#DIV/0!</v>
      </c>
      <c r="BI180" s="43" t="e">
        <f>BI179+(ATM_Conf!$C$5/ATM_Conf!$C$8)*(CC180*EXP(-(1/DQ180)*(AO180/CW180)^DQ180)-BI179)+(ATM_Conf!$C$5/AO367)*BI179*(BH179-BI179)</f>
        <v>#DIV/0!</v>
      </c>
      <c r="BJ180" s="53"/>
      <c r="BK180" s="53"/>
      <c r="BL180" s="53"/>
      <c r="BM180" s="53"/>
      <c r="BN180" s="53"/>
      <c r="BO180" s="53"/>
      <c r="BP180" s="53"/>
      <c r="BQ180" s="53"/>
      <c r="BR180" s="53"/>
      <c r="BS180" s="53"/>
      <c r="BT180" s="53"/>
      <c r="BU180" s="53"/>
      <c r="BV180" s="53"/>
      <c r="BW180" s="53"/>
      <c r="BX180" s="53"/>
      <c r="BY180" s="53"/>
      <c r="BZ180" s="53"/>
      <c r="CA180" s="53"/>
      <c r="CB180" s="53"/>
      <c r="CC180" s="5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53"/>
      <c r="CY180" s="53"/>
      <c r="CZ180" s="53"/>
      <c r="DA180" s="53"/>
      <c r="DB180" s="53"/>
      <c r="DC180" s="53"/>
      <c r="DD180" s="53"/>
      <c r="DE180" s="53"/>
      <c r="DF180" s="53"/>
      <c r="DG180" s="53"/>
      <c r="DH180" s="53"/>
      <c r="DI180" s="53"/>
      <c r="DJ180" s="53"/>
      <c r="DK180" s="53"/>
      <c r="DL180" s="53"/>
      <c r="DM180" s="53"/>
      <c r="DN180" s="53"/>
      <c r="DO180" s="53"/>
      <c r="DP180" s="53"/>
      <c r="DQ180" s="53"/>
      <c r="DR180" s="43">
        <f t="shared" si="105"/>
        <v>0</v>
      </c>
      <c r="DS180" s="43">
        <f t="shared" si="104"/>
        <v>0</v>
      </c>
      <c r="DT180" s="43">
        <f t="shared" si="104"/>
        <v>0</v>
      </c>
      <c r="DU180" s="43">
        <f t="shared" si="104"/>
        <v>0</v>
      </c>
      <c r="DV180" s="43">
        <f t="shared" si="104"/>
        <v>0</v>
      </c>
      <c r="DW180" s="43">
        <f t="shared" si="104"/>
        <v>0</v>
      </c>
      <c r="DX180" s="43">
        <f t="shared" si="104"/>
        <v>0</v>
      </c>
      <c r="DY180" s="43">
        <f t="shared" si="104"/>
        <v>0</v>
      </c>
      <c r="DZ180" s="43">
        <f t="shared" si="104"/>
        <v>0</v>
      </c>
      <c r="EA180" s="43">
        <f t="shared" si="104"/>
        <v>0</v>
      </c>
      <c r="EB180" s="43">
        <f t="shared" si="104"/>
        <v>0</v>
      </c>
      <c r="EC180" s="43">
        <f t="shared" si="104"/>
        <v>0</v>
      </c>
      <c r="ED180" s="43">
        <f t="shared" si="104"/>
        <v>0</v>
      </c>
      <c r="EE180" s="43">
        <f t="shared" si="104"/>
        <v>0</v>
      </c>
      <c r="EF180" s="43">
        <f t="shared" si="104"/>
        <v>0</v>
      </c>
      <c r="EG180" s="43">
        <f t="shared" si="104"/>
        <v>0</v>
      </c>
      <c r="EH180" s="43">
        <f t="shared" si="104"/>
        <v>0</v>
      </c>
      <c r="EI180" s="43">
        <f t="shared" si="104"/>
        <v>0</v>
      </c>
      <c r="EJ180" s="43">
        <f t="shared" si="104"/>
        <v>0</v>
      </c>
      <c r="EK180" s="43">
        <f t="shared" si="104"/>
        <v>0</v>
      </c>
      <c r="EL180" s="47"/>
      <c r="EM180" s="47"/>
      <c r="EN180" s="47"/>
      <c r="EO180" s="47"/>
      <c r="EP180" s="47"/>
      <c r="EQ180" s="47"/>
      <c r="ER180" s="47"/>
      <c r="ES180" s="47"/>
      <c r="ET180" s="47"/>
      <c r="EU180" s="47"/>
      <c r="EV180" s="47"/>
      <c r="EW180" s="47"/>
      <c r="EX180" s="47"/>
      <c r="EY180" s="47"/>
      <c r="EZ180" s="47"/>
      <c r="FA180" s="47"/>
      <c r="FB180" s="47"/>
      <c r="FC180" s="47"/>
      <c r="FD180" s="47"/>
      <c r="FE180" s="47"/>
    </row>
    <row r="181" spans="1:161" ht="14.25" x14ac:dyDescent="0.15">
      <c r="A181" s="46"/>
      <c r="B181" s="43" t="e">
        <f t="shared" si="74"/>
        <v>#DIV/0!</v>
      </c>
      <c r="C181" s="43" t="e">
        <f t="shared" si="75"/>
        <v>#DIV/0!</v>
      </c>
      <c r="D181" s="43" t="e">
        <f t="shared" si="76"/>
        <v>#DIV/0!</v>
      </c>
      <c r="E181" s="43" t="e">
        <f t="shared" si="77"/>
        <v>#DIV/0!</v>
      </c>
      <c r="F181" s="43" t="e">
        <f t="shared" si="78"/>
        <v>#DIV/0!</v>
      </c>
      <c r="G181" s="43" t="e">
        <f t="shared" si="79"/>
        <v>#DIV/0!</v>
      </c>
      <c r="H181" s="43" t="e">
        <f t="shared" si="80"/>
        <v>#DIV/0!</v>
      </c>
      <c r="I181" s="43" t="e">
        <f t="shared" si="81"/>
        <v>#DIV/0!</v>
      </c>
      <c r="J181" s="43" t="e">
        <f t="shared" si="82"/>
        <v>#DIV/0!</v>
      </c>
      <c r="K181" s="43" t="e">
        <f t="shared" si="83"/>
        <v>#DIV/0!</v>
      </c>
      <c r="L181" s="43" t="e">
        <f t="shared" si="84"/>
        <v>#DIV/0!</v>
      </c>
      <c r="M181" s="43" t="e">
        <f t="shared" si="85"/>
        <v>#DIV/0!</v>
      </c>
      <c r="N181" s="43" t="e">
        <f t="shared" si="86"/>
        <v>#DIV/0!</v>
      </c>
      <c r="O181" s="43" t="e">
        <f t="shared" si="87"/>
        <v>#DIV/0!</v>
      </c>
      <c r="P181" s="43" t="e">
        <f t="shared" si="88"/>
        <v>#DIV/0!</v>
      </c>
      <c r="Q181" s="43" t="e">
        <f t="shared" si="89"/>
        <v>#DIV/0!</v>
      </c>
      <c r="R181" s="43" t="e">
        <f t="shared" si="90"/>
        <v>#DIV/0!</v>
      </c>
      <c r="S181" s="43" t="e">
        <f t="shared" si="91"/>
        <v>#DIV/0!</v>
      </c>
      <c r="T181" s="43" t="e">
        <f t="shared" si="92"/>
        <v>#DIV/0!</v>
      </c>
      <c r="U181" s="43" t="e">
        <f t="shared" si="93"/>
        <v>#DIV/0!</v>
      </c>
      <c r="V181" s="53" t="e">
        <f>V180+ATM_Conf!$C$5*(B180)/(B368*V368)</f>
        <v>#DIV/0!</v>
      </c>
      <c r="W181" s="53" t="e">
        <f>W180+ATM_Conf!$C$5*(C180-B180)/(C368*W368)</f>
        <v>#DIV/0!</v>
      </c>
      <c r="X181" s="53" t="e">
        <f>X180+ATM_Conf!$C$5*(D180-C180)/(D368*X368)</f>
        <v>#DIV/0!</v>
      </c>
      <c r="Y181" s="53" t="e">
        <f>Y180+ATM_Conf!$C$5*(E180-D180)/(E368*Y368)</f>
        <v>#DIV/0!</v>
      </c>
      <c r="Z181" s="53" t="e">
        <f>Z180+ATM_Conf!$C$5*(F180-E180)/(F368*Z368)</f>
        <v>#DIV/0!</v>
      </c>
      <c r="AA181" s="53" t="e">
        <f>AA180+ATM_Conf!$C$5*(G180-F180)/(G368*AA368)</f>
        <v>#DIV/0!</v>
      </c>
      <c r="AB181" s="53" t="e">
        <f>AB180+ATM_Conf!$C$5*(H180-G180)/(H368*AB368)</f>
        <v>#DIV/0!</v>
      </c>
      <c r="AC181" s="53" t="e">
        <f>AC180+ATM_Conf!$C$5*(I180-H180)/(I368*AC368)</f>
        <v>#DIV/0!</v>
      </c>
      <c r="AD181" s="53" t="e">
        <f>AD180+ATM_Conf!$C$5*(J180-I180)/(J368*AD368)</f>
        <v>#DIV/0!</v>
      </c>
      <c r="AE181" s="53" t="e">
        <f>AE180+ATM_Conf!$C$5*(K180-J180)/(K368*AE368)</f>
        <v>#DIV/0!</v>
      </c>
      <c r="AF181" s="53" t="e">
        <f>AF180+ATM_Conf!$C$5*(L180)/(L368*AF368)</f>
        <v>#DIV/0!</v>
      </c>
      <c r="AG181" s="53" t="e">
        <f>AG180+ATM_Conf!$C$5*(M180-L180)/(M368*AG368)</f>
        <v>#DIV/0!</v>
      </c>
      <c r="AH181" s="53" t="e">
        <f>AH180+ATM_Conf!$C$5*(N180-M180)/(N368*AH368)</f>
        <v>#DIV/0!</v>
      </c>
      <c r="AI181" s="53" t="e">
        <f>AI180+ATM_Conf!$C$5*(O180-N180)/(O368*AI368)</f>
        <v>#DIV/0!</v>
      </c>
      <c r="AJ181" s="53" t="e">
        <f>AJ180+ATM_Conf!$C$5*(P180-O180)/(P368*AJ368)</f>
        <v>#DIV/0!</v>
      </c>
      <c r="AK181" s="53" t="e">
        <f>AK180+ATM_Conf!$C$5*(Q180-P180)/(Q368*AK368)</f>
        <v>#DIV/0!</v>
      </c>
      <c r="AL181" s="53" t="e">
        <f>AL180+ATM_Conf!$C$5*(R180-Q180)/(R368*AL368)</f>
        <v>#DIV/0!</v>
      </c>
      <c r="AM181" s="53" t="e">
        <f>AM180+ATM_Conf!$C$5*(S180-R180)/(S368*AM368)</f>
        <v>#DIV/0!</v>
      </c>
      <c r="AN181" s="53" t="e">
        <f>AN180+ATM_Conf!$C$5*(T180-S180)/(T368*AN368)</f>
        <v>#DIV/0!</v>
      </c>
      <c r="AO181" s="53" t="e">
        <f>AO180+ATM_Conf!$C$5*(U180-T180)/(U368*AO368)</f>
        <v>#DIV/0!</v>
      </c>
      <c r="AP181" s="43" t="e">
        <f>AP180+(ATM_Conf!$C$5/ATM_Conf!$C$8)*(BJ181*EXP(-(1/CX181)*(V181/CD181)^CX181)-AP180)-(ATM_Conf!$C$5*ATM_Conf!$C$9)/(V368*ATM_Conf!$C$8)*(Nodes!BO180-V180)/(V180+ATM_Conf!$C$10)</f>
        <v>#DIV/0!</v>
      </c>
      <c r="AQ181" s="43" t="e">
        <f>AQ180+(ATM_Conf!$C$5/ATM_Conf!$C$8)*(BK181*EXP(-(1/CY181)*(W181/CE181)^CY181)-AQ180)+(ATM_Conf!$C$5/W368)*AQ180*(AP180-AQ180)-(ATM_Conf!$C$5*ATM_Conf!$C$9)/(W368*ATM_Conf!$C$8)*(X180-W180)/(W180+ATM_Conf!$C$10)</f>
        <v>#DIV/0!</v>
      </c>
      <c r="AR181" s="43" t="e">
        <f>AR180+(ATM_Conf!$C$5/ATM_Conf!$C$8)*(BL181*EXP(-(1/CZ181)*(X181/CF181)^CZ181)-AR180)+(ATM_Conf!$C$5/X368)*AR180*(Nodes!BC180-AR180)-(ATM_Conf!$C$5*ATM_Conf!$C$9)/(X368*ATM_Conf!$C$8)*(Nodes!BQ180-X180)/(X180+ATM_Conf!$C$10)</f>
        <v>#DIV/0!</v>
      </c>
      <c r="AS181" s="43" t="e">
        <f>AS180+(ATM_Conf!$C$5/ATM_Conf!$C$8)*(BM181*EXP(-(1/DA181)*(Y181/CG181)^DA181)-AS180)+(ATM_Conf!$C$5/Y368)*AS180*(AR180-AS180)-(ATM_Conf!$C$5*ATM_Conf!$C$9)/(Y368*ATM_Conf!$C$8)*(Z180-Y180)/(Y180+ATM_Conf!$C$10)</f>
        <v>#DIV/0!</v>
      </c>
      <c r="AT181" s="43" t="e">
        <f>AT180+(ATM_Conf!$C$5/ATM_Conf!$C$8)*(BN181*EXP(-(1/DB181)*(Z181/CH181)^DB181)-AT180)+(ATM_Conf!$C$5/Z368)*AT180*(Nodes!BE180-AT180)-(ATM_Conf!$C$5*ATM_Conf!$C$9)/(Z368*ATM_Conf!$C$8)*(Nodes!BS180-Z180)/(Z180+ATM_Conf!$C$10)</f>
        <v>#DIV/0!</v>
      </c>
      <c r="AU181" s="43" t="e">
        <f>AU180+(ATM_Conf!$C$5/ATM_Conf!$C$8)*(BO181*EXP(-(1/DC181)*(AA181/CI181)^DC181)-AU180)+(ATM_Conf!$C$5/AA368)*AU180*(Nodes!BF180-AU180)-(ATM_Conf!$C$5*ATM_Conf!$C$9)/(AA368*ATM_Conf!$C$8)*(Nodes!BV180-AA180)/(AA180+ATM_Conf!$C$10)</f>
        <v>#DIV/0!</v>
      </c>
      <c r="AV181" s="43" t="e">
        <f>AV180+(ATM_Conf!$C$5/ATM_Conf!$C$8)*(BP181*EXP(-(1/DD181)*(AB181/CJ181)^DD181)-AV180)+(ATM_Conf!$C$5/AB368)*AV180*(AU180-AV180)-(ATM_Conf!$C$5*ATM_Conf!$C$9)/(AB368*ATM_Conf!$C$8)*(AC180-AB180)/(AB180+ATM_Conf!$C$10)</f>
        <v>#DIV/0!</v>
      </c>
      <c r="AW181" s="43" t="e">
        <f>AW180+(ATM_Conf!$C$5/ATM_Conf!$C$8)*(BQ181*EXP(-(1/DE181)*(AC181/CK181)^DE181)-AW180)+(ATM_Conf!$C$5/AC368)*AW180*(AV180-AW180)-(ATM_Conf!$C$5*ATM_Conf!$C$9)/(AC368*ATM_Conf!$C$8)*(AD180-AC180)/(AC180+ATM_Conf!$C$10)</f>
        <v>#DIV/0!</v>
      </c>
      <c r="AX181" s="43" t="e">
        <f>AX180+(ATM_Conf!$C$5/ATM_Conf!$C$8)*(BR181*EXP(-(1/DF181)*(AD181/CL181)^DF181)-AX180)+(ATM_Conf!$C$5/AD368)*AX180*(Nodes!BG180-AX180)-(ATM_Conf!$C$5*ATM_Conf!$C$9)/(AD368*ATM_Conf!$C$8)*(Nodes!BU180-AD180)/(AD180+ATM_Conf!$C$10)</f>
        <v>#DIV/0!</v>
      </c>
      <c r="AY181" s="43" t="e">
        <f>AY180+(ATM_Conf!$C$5/ATM_Conf!$C$8)*(BS181*EXP(-(1/DG181)*(AE181/CM181)^DG181)-AY180)+(ATM_Conf!$C$5/AE368)*AY180*(Nodes!BF180-AY180)</f>
        <v>#DIV/0!</v>
      </c>
      <c r="AZ181" s="43" t="e">
        <f>AZ180+(ATM_Conf!$C$5/ATM_Conf!$C$8)*(BT181*EXP(-(1/DH181)*(AF181/CN181)^DH181)-AZ180)-(ATM_Conf!$C$5*ATM_Conf!$C$9)/(AF368*ATM_Conf!$C$8)*(Nodes!BV180-AF180)/(AF180+ATM_Conf!$C$10)</f>
        <v>#DIV/0!</v>
      </c>
      <c r="BA181" s="43" t="e">
        <f>BA180+(ATM_Conf!$C$5/ATM_Conf!$C$8)*(BU181*EXP(-(1/DI181)*(AG181/CO181)^DI181)-BA180)+(ATM_Conf!$C$5/AG368)*BA180*(Nodes!BI180-BA180)-(ATM_Conf!$C$5*ATM_Conf!$C$9)/(AG368*ATM_Conf!$C$8)*(Nodes!BW180-AG180)/(AG180+ATM_Conf!$C$10)</f>
        <v>#DIV/0!</v>
      </c>
      <c r="BB181" s="43" t="e">
        <f>BB180+(ATM_Conf!$C$5/ATM_Conf!$C$8)*(BV181*EXP(-(1/DJ181)*(AH181/CP181)^DJ181)-BB180)+(ATM_Conf!$C$5/AH368)*BB180*(Nodes!BJ180-BB180)-(ATM_Conf!$C$5*ATM_Conf!$C$9)/(AH368*ATM_Conf!$C$8)*(AI180-AH180)/(AH180+ATM_Conf!$C$10)</f>
        <v>#DIV/0!</v>
      </c>
      <c r="BC181" s="43" t="e">
        <f>BC180+(ATM_Conf!$C$5/ATM_Conf!$C$8)*(BW181*EXP(-(1/DK181)*(AI181/CQ181)^DK181)-BC180)+(ATM_Conf!$C$5/AI368)*BC180*(BB180-BC180)-(ATM_Conf!$C$5*ATM_Conf!$C$9)/(AI368*ATM_Conf!$C$8)*(AJ180-AI180)/(AI180+ATM_Conf!$C$10)</f>
        <v>#DIV/0!</v>
      </c>
      <c r="BD181" s="43" t="e">
        <f>BD180+(ATM_Conf!$C$5/ATM_Conf!$C$8)*(BX181*EXP(-(1/DL181)*(AJ181/CR181)^DL181)-BD180)+(ATM_Conf!$C$5/AJ368)*BD180*(BC180-BD180)-(ATM_Conf!$C$5*ATM_Conf!$C$9)/(AJ368*ATM_Conf!$C$8)*(Nodes!BX180-AJ180)/(AJ180+ATM_Conf!$C$10)</f>
        <v>#DIV/0!</v>
      </c>
      <c r="BE181" s="43" t="e">
        <f>BE180+(ATM_Conf!$C$5/ATM_Conf!$C$8)*(BY181*EXP(-(1/DM181)*(AK181/CS181)^DM181)-BE180)+(ATM_Conf!$C$5/AK368)*BE180*(Nodes!BK180-BE180)-(ATM_Conf!$C$5*ATM_Conf!$C$9)/(AK368*ATM_Conf!$C$8)*(Nodes!BY180-AK180)/(AK180+ATM_Conf!$C$10)</f>
        <v>#DIV/0!</v>
      </c>
      <c r="BF181" s="43" t="e">
        <f>BF180+(ATM_Conf!$C$5/ATM_Conf!$C$8)*(BZ181*EXP(-(1/DN181)*(AL181/CT181)^DN181)-BF180)+(ATM_Conf!$C$5/AL368)*BF180*(BE180-BF180)-(ATM_Conf!$C$5*ATM_Conf!$C$9)/(AL368*ATM_Conf!$C$8)*(AM180-AL180)/(AL180+ATM_Conf!$C$10)</f>
        <v>#DIV/0!</v>
      </c>
      <c r="BG181" s="43" t="e">
        <f>BG180+(ATM_Conf!$C$5/ATM_Conf!$C$8)*(CA181*EXP(-(1/DO181)*(AM181/CU181)^DO181)-BG180)+(ATM_Conf!$C$5/AM368)*BG180*(Nodes!BM180-BG180)-(ATM_Conf!$C$5*ATM_Conf!$C$9)/(AM368*ATM_Conf!$C$8)*(Nodes!CA180-AM180)/(AM180+ATM_Conf!$C$10)</f>
        <v>#DIV/0!</v>
      </c>
      <c r="BH181" s="43" t="e">
        <f>BH180+(ATM_Conf!$C$5/ATM_Conf!$C$8)*(CB181*EXP(-(1/DP181)*(AN181/CV181)^DP181)-BH180)+(ATM_Conf!$C$5/AN368)*BH180*(BG180-BH180)-(ATM_Conf!$C$5*ATM_Conf!$C$9)/(AN368*ATM_Conf!$C$8)*(AO180-AN180)/(AN180+ATM_Conf!$C$10)</f>
        <v>#DIV/0!</v>
      </c>
      <c r="BI181" s="43" t="e">
        <f>BI180+(ATM_Conf!$C$5/ATM_Conf!$C$8)*(CC181*EXP(-(1/DQ181)*(AO181/CW181)^DQ181)-BI180)+(ATM_Conf!$C$5/AO368)*BI180*(BH180-BI180)</f>
        <v>#DIV/0!</v>
      </c>
      <c r="BJ181" s="53"/>
      <c r="BK181" s="53"/>
      <c r="BL181" s="53"/>
      <c r="BM181" s="53"/>
      <c r="BN181" s="53"/>
      <c r="BO181" s="53"/>
      <c r="BP181" s="53"/>
      <c r="BQ181" s="53"/>
      <c r="BR181" s="53"/>
      <c r="BS181" s="53"/>
      <c r="BT181" s="53"/>
      <c r="BU181" s="53"/>
      <c r="BV181" s="53"/>
      <c r="BW181" s="53"/>
      <c r="BX181" s="53"/>
      <c r="BY181" s="53"/>
      <c r="BZ181" s="53"/>
      <c r="CA181" s="53"/>
      <c r="CB181" s="53"/>
      <c r="CC181" s="5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53"/>
      <c r="CY181" s="53"/>
      <c r="CZ181" s="53"/>
      <c r="DA181" s="53"/>
      <c r="DB181" s="53"/>
      <c r="DC181" s="53"/>
      <c r="DD181" s="53"/>
      <c r="DE181" s="53"/>
      <c r="DF181" s="53"/>
      <c r="DG181" s="53"/>
      <c r="DH181" s="53"/>
      <c r="DI181" s="53"/>
      <c r="DJ181" s="53"/>
      <c r="DK181" s="53"/>
      <c r="DL181" s="53"/>
      <c r="DM181" s="53"/>
      <c r="DN181" s="53"/>
      <c r="DO181" s="53"/>
      <c r="DP181" s="53"/>
      <c r="DQ181" s="53"/>
      <c r="DR181" s="43">
        <f t="shared" si="105"/>
        <v>0</v>
      </c>
      <c r="DS181" s="43">
        <f t="shared" si="104"/>
        <v>0</v>
      </c>
      <c r="DT181" s="43">
        <f t="shared" si="104"/>
        <v>0</v>
      </c>
      <c r="DU181" s="43">
        <f t="shared" si="104"/>
        <v>0</v>
      </c>
      <c r="DV181" s="43">
        <f t="shared" si="104"/>
        <v>0</v>
      </c>
      <c r="DW181" s="43">
        <f t="shared" si="104"/>
        <v>0</v>
      </c>
      <c r="DX181" s="43">
        <f t="shared" si="104"/>
        <v>0</v>
      </c>
      <c r="DY181" s="43">
        <f t="shared" si="104"/>
        <v>0</v>
      </c>
      <c r="DZ181" s="43">
        <f t="shared" si="104"/>
        <v>0</v>
      </c>
      <c r="EA181" s="43">
        <f t="shared" si="104"/>
        <v>0</v>
      </c>
      <c r="EB181" s="43">
        <f t="shared" si="104"/>
        <v>0</v>
      </c>
      <c r="EC181" s="43">
        <f t="shared" si="104"/>
        <v>0</v>
      </c>
      <c r="ED181" s="43">
        <f t="shared" si="104"/>
        <v>0</v>
      </c>
      <c r="EE181" s="43">
        <f t="shared" si="104"/>
        <v>0</v>
      </c>
      <c r="EF181" s="43">
        <f t="shared" si="104"/>
        <v>0</v>
      </c>
      <c r="EG181" s="43">
        <f t="shared" si="104"/>
        <v>0</v>
      </c>
      <c r="EH181" s="43">
        <f t="shared" si="104"/>
        <v>0</v>
      </c>
      <c r="EI181" s="43">
        <f t="shared" si="104"/>
        <v>0</v>
      </c>
      <c r="EJ181" s="43">
        <f t="shared" si="104"/>
        <v>0</v>
      </c>
      <c r="EK181" s="43">
        <f t="shared" si="104"/>
        <v>0</v>
      </c>
      <c r="EL181" s="47"/>
      <c r="EM181" s="47"/>
      <c r="EN181" s="47"/>
      <c r="EO181" s="47"/>
      <c r="EP181" s="47"/>
      <c r="EQ181" s="47"/>
      <c r="ER181" s="47"/>
      <c r="ES181" s="47"/>
      <c r="ET181" s="47"/>
      <c r="EU181" s="47"/>
      <c r="EV181" s="47"/>
      <c r="EW181" s="47"/>
      <c r="EX181" s="47"/>
      <c r="EY181" s="47"/>
      <c r="EZ181" s="47"/>
      <c r="FA181" s="47"/>
      <c r="FB181" s="47"/>
      <c r="FC181" s="47"/>
      <c r="FD181" s="47"/>
      <c r="FE181" s="47"/>
    </row>
    <row r="182" spans="1:161" ht="14.25" x14ac:dyDescent="0.15">
      <c r="A182" s="46"/>
      <c r="B182" s="43" t="e">
        <f t="shared" si="74"/>
        <v>#DIV/0!</v>
      </c>
      <c r="C182" s="43" t="e">
        <f t="shared" si="75"/>
        <v>#DIV/0!</v>
      </c>
      <c r="D182" s="43" t="e">
        <f t="shared" si="76"/>
        <v>#DIV/0!</v>
      </c>
      <c r="E182" s="43" t="e">
        <f t="shared" si="77"/>
        <v>#DIV/0!</v>
      </c>
      <c r="F182" s="43" t="e">
        <f t="shared" si="78"/>
        <v>#DIV/0!</v>
      </c>
      <c r="G182" s="43" t="e">
        <f t="shared" si="79"/>
        <v>#DIV/0!</v>
      </c>
      <c r="H182" s="43" t="e">
        <f t="shared" si="80"/>
        <v>#DIV/0!</v>
      </c>
      <c r="I182" s="43" t="e">
        <f t="shared" si="81"/>
        <v>#DIV/0!</v>
      </c>
      <c r="J182" s="43" t="e">
        <f t="shared" si="82"/>
        <v>#DIV/0!</v>
      </c>
      <c r="K182" s="43" t="e">
        <f t="shared" si="83"/>
        <v>#DIV/0!</v>
      </c>
      <c r="L182" s="43" t="e">
        <f t="shared" si="84"/>
        <v>#DIV/0!</v>
      </c>
      <c r="M182" s="43" t="e">
        <f t="shared" si="85"/>
        <v>#DIV/0!</v>
      </c>
      <c r="N182" s="43" t="e">
        <f t="shared" si="86"/>
        <v>#DIV/0!</v>
      </c>
      <c r="O182" s="43" t="e">
        <f t="shared" si="87"/>
        <v>#DIV/0!</v>
      </c>
      <c r="P182" s="43" t="e">
        <f t="shared" si="88"/>
        <v>#DIV/0!</v>
      </c>
      <c r="Q182" s="43" t="e">
        <f t="shared" si="89"/>
        <v>#DIV/0!</v>
      </c>
      <c r="R182" s="43" t="e">
        <f t="shared" si="90"/>
        <v>#DIV/0!</v>
      </c>
      <c r="S182" s="43" t="e">
        <f t="shared" si="91"/>
        <v>#DIV/0!</v>
      </c>
      <c r="T182" s="43" t="e">
        <f t="shared" si="92"/>
        <v>#DIV/0!</v>
      </c>
      <c r="U182" s="43" t="e">
        <f t="shared" si="93"/>
        <v>#DIV/0!</v>
      </c>
      <c r="V182" s="53" t="e">
        <f>V181+ATM_Conf!$C$5*(B181)/(B369*V369)</f>
        <v>#DIV/0!</v>
      </c>
      <c r="W182" s="53" t="e">
        <f>W181+ATM_Conf!$C$5*(C181-B181)/(C369*W369)</f>
        <v>#DIV/0!</v>
      </c>
      <c r="X182" s="53" t="e">
        <f>X181+ATM_Conf!$C$5*(D181-C181)/(D369*X369)</f>
        <v>#DIV/0!</v>
      </c>
      <c r="Y182" s="53" t="e">
        <f>Y181+ATM_Conf!$C$5*(E181-D181)/(E369*Y369)</f>
        <v>#DIV/0!</v>
      </c>
      <c r="Z182" s="53" t="e">
        <f>Z181+ATM_Conf!$C$5*(F181-E181)/(F369*Z369)</f>
        <v>#DIV/0!</v>
      </c>
      <c r="AA182" s="53" t="e">
        <f>AA181+ATM_Conf!$C$5*(G181-F181)/(G369*AA369)</f>
        <v>#DIV/0!</v>
      </c>
      <c r="AB182" s="53" t="e">
        <f>AB181+ATM_Conf!$C$5*(H181-G181)/(H369*AB369)</f>
        <v>#DIV/0!</v>
      </c>
      <c r="AC182" s="53" t="e">
        <f>AC181+ATM_Conf!$C$5*(I181-H181)/(I369*AC369)</f>
        <v>#DIV/0!</v>
      </c>
      <c r="AD182" s="53" t="e">
        <f>AD181+ATM_Conf!$C$5*(J181-I181)/(J369*AD369)</f>
        <v>#DIV/0!</v>
      </c>
      <c r="AE182" s="53" t="e">
        <f>AE181+ATM_Conf!$C$5*(K181-J181)/(K369*AE369)</f>
        <v>#DIV/0!</v>
      </c>
      <c r="AF182" s="53" t="e">
        <f>AF181+ATM_Conf!$C$5*(L181)/(L369*AF369)</f>
        <v>#DIV/0!</v>
      </c>
      <c r="AG182" s="53" t="e">
        <f>AG181+ATM_Conf!$C$5*(M181-L181)/(M369*AG369)</f>
        <v>#DIV/0!</v>
      </c>
      <c r="AH182" s="53" t="e">
        <f>AH181+ATM_Conf!$C$5*(N181-M181)/(N369*AH369)</f>
        <v>#DIV/0!</v>
      </c>
      <c r="AI182" s="53" t="e">
        <f>AI181+ATM_Conf!$C$5*(O181-N181)/(O369*AI369)</f>
        <v>#DIV/0!</v>
      </c>
      <c r="AJ182" s="53" t="e">
        <f>AJ181+ATM_Conf!$C$5*(P181-O181)/(P369*AJ369)</f>
        <v>#DIV/0!</v>
      </c>
      <c r="AK182" s="53" t="e">
        <f>AK181+ATM_Conf!$C$5*(Q181-P181)/(Q369*AK369)</f>
        <v>#DIV/0!</v>
      </c>
      <c r="AL182" s="53" t="e">
        <f>AL181+ATM_Conf!$C$5*(R181-Q181)/(R369*AL369)</f>
        <v>#DIV/0!</v>
      </c>
      <c r="AM182" s="53" t="e">
        <f>AM181+ATM_Conf!$C$5*(S181-R181)/(S369*AM369)</f>
        <v>#DIV/0!</v>
      </c>
      <c r="AN182" s="53" t="e">
        <f>AN181+ATM_Conf!$C$5*(T181-S181)/(T369*AN369)</f>
        <v>#DIV/0!</v>
      </c>
      <c r="AO182" s="53" t="e">
        <f>AO181+ATM_Conf!$C$5*(U181-T181)/(U369*AO369)</f>
        <v>#DIV/0!</v>
      </c>
      <c r="AP182" s="43" t="e">
        <f>AP181+(ATM_Conf!$C$5/ATM_Conf!$C$8)*(BJ182*EXP(-(1/CX182)*(V182/CD182)^CX182)-AP181)-(ATM_Conf!$C$5*ATM_Conf!$C$9)/(V369*ATM_Conf!$C$8)*(Nodes!BO181-V181)/(V181+ATM_Conf!$C$10)</f>
        <v>#DIV/0!</v>
      </c>
      <c r="AQ182" s="43" t="e">
        <f>AQ181+(ATM_Conf!$C$5/ATM_Conf!$C$8)*(BK182*EXP(-(1/CY182)*(W182/CE182)^CY182)-AQ181)+(ATM_Conf!$C$5/W369)*AQ181*(AP181-AQ181)-(ATM_Conf!$C$5*ATM_Conf!$C$9)/(W369*ATM_Conf!$C$8)*(X181-W181)/(W181+ATM_Conf!$C$10)</f>
        <v>#DIV/0!</v>
      </c>
      <c r="AR182" s="43" t="e">
        <f>AR181+(ATM_Conf!$C$5/ATM_Conf!$C$8)*(BL182*EXP(-(1/CZ182)*(X182/CF182)^CZ182)-AR181)+(ATM_Conf!$C$5/X369)*AR181*(Nodes!BC181-AR181)-(ATM_Conf!$C$5*ATM_Conf!$C$9)/(X369*ATM_Conf!$C$8)*(Nodes!BQ181-X181)/(X181+ATM_Conf!$C$10)</f>
        <v>#DIV/0!</v>
      </c>
      <c r="AS182" s="43" t="e">
        <f>AS181+(ATM_Conf!$C$5/ATM_Conf!$C$8)*(BM182*EXP(-(1/DA182)*(Y182/CG182)^DA182)-AS181)+(ATM_Conf!$C$5/Y369)*AS181*(AR181-AS181)-(ATM_Conf!$C$5*ATM_Conf!$C$9)/(Y369*ATM_Conf!$C$8)*(Z181-Y181)/(Y181+ATM_Conf!$C$10)</f>
        <v>#DIV/0!</v>
      </c>
      <c r="AT182" s="43" t="e">
        <f>AT181+(ATM_Conf!$C$5/ATM_Conf!$C$8)*(BN182*EXP(-(1/DB182)*(Z182/CH182)^DB182)-AT181)+(ATM_Conf!$C$5/Z369)*AT181*(Nodes!BE181-AT181)-(ATM_Conf!$C$5*ATM_Conf!$C$9)/(Z369*ATM_Conf!$C$8)*(Nodes!BS181-Z181)/(Z181+ATM_Conf!$C$10)</f>
        <v>#DIV/0!</v>
      </c>
      <c r="AU182" s="43" t="e">
        <f>AU181+(ATM_Conf!$C$5/ATM_Conf!$C$8)*(BO182*EXP(-(1/DC182)*(AA182/CI182)^DC182)-AU181)+(ATM_Conf!$C$5/AA369)*AU181*(Nodes!BF181-AU181)-(ATM_Conf!$C$5*ATM_Conf!$C$9)/(AA369*ATM_Conf!$C$8)*(Nodes!BV181-AA181)/(AA181+ATM_Conf!$C$10)</f>
        <v>#DIV/0!</v>
      </c>
      <c r="AV182" s="43" t="e">
        <f>AV181+(ATM_Conf!$C$5/ATM_Conf!$C$8)*(BP182*EXP(-(1/DD182)*(AB182/CJ182)^DD182)-AV181)+(ATM_Conf!$C$5/AB369)*AV181*(AU181-AV181)-(ATM_Conf!$C$5*ATM_Conf!$C$9)/(AB369*ATM_Conf!$C$8)*(AC181-AB181)/(AB181+ATM_Conf!$C$10)</f>
        <v>#DIV/0!</v>
      </c>
      <c r="AW182" s="43" t="e">
        <f>AW181+(ATM_Conf!$C$5/ATM_Conf!$C$8)*(BQ182*EXP(-(1/DE182)*(AC182/CK182)^DE182)-AW181)+(ATM_Conf!$C$5/AC369)*AW181*(AV181-AW181)-(ATM_Conf!$C$5*ATM_Conf!$C$9)/(AC369*ATM_Conf!$C$8)*(AD181-AC181)/(AC181+ATM_Conf!$C$10)</f>
        <v>#DIV/0!</v>
      </c>
      <c r="AX182" s="43" t="e">
        <f>AX181+(ATM_Conf!$C$5/ATM_Conf!$C$8)*(BR182*EXP(-(1/DF182)*(AD182/CL182)^DF182)-AX181)+(ATM_Conf!$C$5/AD369)*AX181*(Nodes!BG181-AX181)-(ATM_Conf!$C$5*ATM_Conf!$C$9)/(AD369*ATM_Conf!$C$8)*(Nodes!BU181-AD181)/(AD181+ATM_Conf!$C$10)</f>
        <v>#DIV/0!</v>
      </c>
      <c r="AY182" s="43" t="e">
        <f>AY181+(ATM_Conf!$C$5/ATM_Conf!$C$8)*(BS182*EXP(-(1/DG182)*(AE182/CM182)^DG182)-AY181)+(ATM_Conf!$C$5/AE369)*AY181*(Nodes!BF181-AY181)</f>
        <v>#DIV/0!</v>
      </c>
      <c r="AZ182" s="43" t="e">
        <f>AZ181+(ATM_Conf!$C$5/ATM_Conf!$C$8)*(BT182*EXP(-(1/DH182)*(AF182/CN182)^DH182)-AZ181)-(ATM_Conf!$C$5*ATM_Conf!$C$9)/(AF369*ATM_Conf!$C$8)*(Nodes!BV181-AF181)/(AF181+ATM_Conf!$C$10)</f>
        <v>#DIV/0!</v>
      </c>
      <c r="BA182" s="43" t="e">
        <f>BA181+(ATM_Conf!$C$5/ATM_Conf!$C$8)*(BU182*EXP(-(1/DI182)*(AG182/CO182)^DI182)-BA181)+(ATM_Conf!$C$5/AG369)*BA181*(Nodes!BI181-BA181)-(ATM_Conf!$C$5*ATM_Conf!$C$9)/(AG369*ATM_Conf!$C$8)*(Nodes!BW181-AG181)/(AG181+ATM_Conf!$C$10)</f>
        <v>#DIV/0!</v>
      </c>
      <c r="BB182" s="43" t="e">
        <f>BB181+(ATM_Conf!$C$5/ATM_Conf!$C$8)*(BV182*EXP(-(1/DJ182)*(AH182/CP182)^DJ182)-BB181)+(ATM_Conf!$C$5/AH369)*BB181*(Nodes!BJ181-BB181)-(ATM_Conf!$C$5*ATM_Conf!$C$9)/(AH369*ATM_Conf!$C$8)*(AI181-AH181)/(AH181+ATM_Conf!$C$10)</f>
        <v>#DIV/0!</v>
      </c>
      <c r="BC182" s="43" t="e">
        <f>BC181+(ATM_Conf!$C$5/ATM_Conf!$C$8)*(BW182*EXP(-(1/DK182)*(AI182/CQ182)^DK182)-BC181)+(ATM_Conf!$C$5/AI369)*BC181*(BB181-BC181)-(ATM_Conf!$C$5*ATM_Conf!$C$9)/(AI369*ATM_Conf!$C$8)*(AJ181-AI181)/(AI181+ATM_Conf!$C$10)</f>
        <v>#DIV/0!</v>
      </c>
      <c r="BD182" s="43" t="e">
        <f>BD181+(ATM_Conf!$C$5/ATM_Conf!$C$8)*(BX182*EXP(-(1/DL182)*(AJ182/CR182)^DL182)-BD181)+(ATM_Conf!$C$5/AJ369)*BD181*(BC181-BD181)-(ATM_Conf!$C$5*ATM_Conf!$C$9)/(AJ369*ATM_Conf!$C$8)*(Nodes!BX181-AJ181)/(AJ181+ATM_Conf!$C$10)</f>
        <v>#DIV/0!</v>
      </c>
      <c r="BE182" s="43" t="e">
        <f>BE181+(ATM_Conf!$C$5/ATM_Conf!$C$8)*(BY182*EXP(-(1/DM182)*(AK182/CS182)^DM182)-BE181)+(ATM_Conf!$C$5/AK369)*BE181*(Nodes!BK181-BE181)-(ATM_Conf!$C$5*ATM_Conf!$C$9)/(AK369*ATM_Conf!$C$8)*(Nodes!BY181-AK181)/(AK181+ATM_Conf!$C$10)</f>
        <v>#DIV/0!</v>
      </c>
      <c r="BF182" s="43" t="e">
        <f>BF181+(ATM_Conf!$C$5/ATM_Conf!$C$8)*(BZ182*EXP(-(1/DN182)*(AL182/CT182)^DN182)-BF181)+(ATM_Conf!$C$5/AL369)*BF181*(BE181-BF181)-(ATM_Conf!$C$5*ATM_Conf!$C$9)/(AL369*ATM_Conf!$C$8)*(AM181-AL181)/(AL181+ATM_Conf!$C$10)</f>
        <v>#DIV/0!</v>
      </c>
      <c r="BG182" s="43" t="e">
        <f>BG181+(ATM_Conf!$C$5/ATM_Conf!$C$8)*(CA182*EXP(-(1/DO182)*(AM182/CU182)^DO182)-BG181)+(ATM_Conf!$C$5/AM369)*BG181*(Nodes!BM181-BG181)-(ATM_Conf!$C$5*ATM_Conf!$C$9)/(AM369*ATM_Conf!$C$8)*(Nodes!CA181-AM181)/(AM181+ATM_Conf!$C$10)</f>
        <v>#DIV/0!</v>
      </c>
      <c r="BH182" s="43" t="e">
        <f>BH181+(ATM_Conf!$C$5/ATM_Conf!$C$8)*(CB182*EXP(-(1/DP182)*(AN182/CV182)^DP182)-BH181)+(ATM_Conf!$C$5/AN369)*BH181*(BG181-BH181)-(ATM_Conf!$C$5*ATM_Conf!$C$9)/(AN369*ATM_Conf!$C$8)*(AO181-AN181)/(AN181+ATM_Conf!$C$10)</f>
        <v>#DIV/0!</v>
      </c>
      <c r="BI182" s="43" t="e">
        <f>BI181+(ATM_Conf!$C$5/ATM_Conf!$C$8)*(CC182*EXP(-(1/DQ182)*(AO182/CW182)^DQ182)-BI181)+(ATM_Conf!$C$5/AO369)*BI181*(BH181-BI181)</f>
        <v>#DIV/0!</v>
      </c>
      <c r="BJ182" s="53"/>
      <c r="BK182" s="53"/>
      <c r="BL182" s="53"/>
      <c r="BM182" s="53"/>
      <c r="BN182" s="53"/>
      <c r="BO182" s="53"/>
      <c r="BP182" s="53"/>
      <c r="BQ182" s="53"/>
      <c r="BR182" s="53"/>
      <c r="BS182" s="53"/>
      <c r="BT182" s="53"/>
      <c r="BU182" s="53"/>
      <c r="BV182" s="53"/>
      <c r="BW182" s="53"/>
      <c r="BX182" s="53"/>
      <c r="BY182" s="53"/>
      <c r="BZ182" s="53"/>
      <c r="CA182" s="53"/>
      <c r="CB182" s="53"/>
      <c r="CC182" s="5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53"/>
      <c r="CY182" s="53"/>
      <c r="CZ182" s="53"/>
      <c r="DA182" s="53"/>
      <c r="DB182" s="53"/>
      <c r="DC182" s="53"/>
      <c r="DD182" s="53"/>
      <c r="DE182" s="53"/>
      <c r="DF182" s="53"/>
      <c r="DG182" s="53"/>
      <c r="DH182" s="53"/>
      <c r="DI182" s="53"/>
      <c r="DJ182" s="53"/>
      <c r="DK182" s="53"/>
      <c r="DL182" s="53"/>
      <c r="DM182" s="53"/>
      <c r="DN182" s="53"/>
      <c r="DO182" s="53"/>
      <c r="DP182" s="53"/>
      <c r="DQ182" s="53"/>
      <c r="DR182" s="43">
        <f t="shared" si="105"/>
        <v>0</v>
      </c>
      <c r="DS182" s="43">
        <f t="shared" si="104"/>
        <v>0</v>
      </c>
      <c r="DT182" s="43">
        <f t="shared" si="104"/>
        <v>0</v>
      </c>
      <c r="DU182" s="43">
        <f t="shared" si="104"/>
        <v>0</v>
      </c>
      <c r="DV182" s="43">
        <f t="shared" si="104"/>
        <v>0</v>
      </c>
      <c r="DW182" s="43">
        <f t="shared" si="104"/>
        <v>0</v>
      </c>
      <c r="DX182" s="43">
        <f t="shared" si="104"/>
        <v>0</v>
      </c>
      <c r="DY182" s="43">
        <f t="shared" si="104"/>
        <v>0</v>
      </c>
      <c r="DZ182" s="43">
        <f t="shared" si="104"/>
        <v>0</v>
      </c>
      <c r="EA182" s="43">
        <f t="shared" si="104"/>
        <v>0</v>
      </c>
      <c r="EB182" s="43">
        <f t="shared" si="104"/>
        <v>0</v>
      </c>
      <c r="EC182" s="43">
        <f t="shared" si="104"/>
        <v>0</v>
      </c>
      <c r="ED182" s="43">
        <f t="shared" si="104"/>
        <v>0</v>
      </c>
      <c r="EE182" s="43">
        <f t="shared" si="104"/>
        <v>0</v>
      </c>
      <c r="EF182" s="43">
        <f t="shared" si="104"/>
        <v>0</v>
      </c>
      <c r="EG182" s="43">
        <f t="shared" si="104"/>
        <v>0</v>
      </c>
      <c r="EH182" s="43">
        <f t="shared" si="104"/>
        <v>0</v>
      </c>
      <c r="EI182" s="43">
        <f t="shared" si="104"/>
        <v>0</v>
      </c>
      <c r="EJ182" s="43">
        <f t="shared" si="104"/>
        <v>0</v>
      </c>
      <c r="EK182" s="43">
        <f t="shared" si="104"/>
        <v>0</v>
      </c>
      <c r="EL182" s="47"/>
      <c r="EM182" s="47"/>
      <c r="EN182" s="47"/>
      <c r="EO182" s="47"/>
      <c r="EP182" s="47"/>
      <c r="EQ182" s="47"/>
      <c r="ER182" s="47"/>
      <c r="ES182" s="47"/>
      <c r="ET182" s="47"/>
      <c r="EU182" s="47"/>
      <c r="EV182" s="47"/>
      <c r="EW182" s="47"/>
      <c r="EX182" s="47"/>
      <c r="EY182" s="47"/>
      <c r="EZ182" s="47"/>
      <c r="FA182" s="47"/>
      <c r="FB182" s="47"/>
      <c r="FC182" s="47"/>
      <c r="FD182" s="47"/>
      <c r="FE182" s="47"/>
    </row>
    <row r="183" spans="1:161" x14ac:dyDescent="0.15">
      <c r="EL183" s="80">
        <f>12*SUM(EL3:FE182)</f>
        <v>0</v>
      </c>
    </row>
    <row r="189" spans="1:161" ht="14.25" x14ac:dyDescent="0.15">
      <c r="A189" s="99" t="s">
        <v>188</v>
      </c>
      <c r="B189" s="93" t="s">
        <v>265</v>
      </c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5"/>
      <c r="V189" s="93" t="s">
        <v>266</v>
      </c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  <c r="AI189" s="94"/>
      <c r="AJ189" s="94"/>
      <c r="AK189" s="94"/>
      <c r="AL189" s="94"/>
      <c r="AM189" s="94"/>
      <c r="AN189" s="94"/>
      <c r="AO189" s="95"/>
    </row>
    <row r="190" spans="1:161" ht="14.25" x14ac:dyDescent="0.15">
      <c r="A190" s="100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ht="14.25" x14ac:dyDescent="0.15">
      <c r="A191" s="46">
        <v>1</v>
      </c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</row>
    <row r="197" spans="1:21" ht="14.25" x14ac:dyDescent="0.15">
      <c r="A197" s="46" t="s">
        <v>95</v>
      </c>
      <c r="B197" s="93" t="s">
        <v>207</v>
      </c>
      <c r="C197" s="94"/>
      <c r="D197" s="94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O197" s="94"/>
      <c r="P197" s="94"/>
      <c r="Q197" s="94"/>
      <c r="R197" s="94"/>
      <c r="S197" s="94"/>
      <c r="T197" s="94"/>
      <c r="U197" s="95"/>
    </row>
    <row r="198" spans="1:21" ht="13.5" customHeight="1" x14ac:dyDescent="0.15">
      <c r="A198" s="54" t="e">
        <f>SUM(B198:P198)</f>
        <v>#DIV/0!</v>
      </c>
      <c r="B198" s="40" t="e">
        <f>SUM(V3:V182)*B191*V191</f>
        <v>#DIV/0!</v>
      </c>
      <c r="C198" s="40" t="e">
        <f t="shared" ref="C198:U198" si="106">SUM(W3:W182)*C191*W191</f>
        <v>#DIV/0!</v>
      </c>
      <c r="D198" s="40" t="e">
        <f t="shared" si="106"/>
        <v>#DIV/0!</v>
      </c>
      <c r="E198" s="40" t="e">
        <f t="shared" si="106"/>
        <v>#DIV/0!</v>
      </c>
      <c r="F198" s="40" t="e">
        <f t="shared" si="106"/>
        <v>#DIV/0!</v>
      </c>
      <c r="G198" s="40" t="e">
        <f t="shared" si="106"/>
        <v>#DIV/0!</v>
      </c>
      <c r="H198" s="40" t="e">
        <f t="shared" si="106"/>
        <v>#DIV/0!</v>
      </c>
      <c r="I198" s="40" t="e">
        <f t="shared" si="106"/>
        <v>#DIV/0!</v>
      </c>
      <c r="J198" s="40" t="e">
        <f t="shared" si="106"/>
        <v>#DIV/0!</v>
      </c>
      <c r="K198" s="40" t="e">
        <f t="shared" si="106"/>
        <v>#DIV/0!</v>
      </c>
      <c r="L198" s="40" t="e">
        <f t="shared" si="106"/>
        <v>#DIV/0!</v>
      </c>
      <c r="M198" s="40" t="e">
        <f t="shared" si="106"/>
        <v>#DIV/0!</v>
      </c>
      <c r="N198" s="40" t="e">
        <f t="shared" si="106"/>
        <v>#DIV/0!</v>
      </c>
      <c r="O198" s="40" t="e">
        <f t="shared" si="106"/>
        <v>#DIV/0!</v>
      </c>
      <c r="P198" s="40" t="e">
        <f t="shared" si="106"/>
        <v>#DIV/0!</v>
      </c>
      <c r="Q198" s="40" t="e">
        <f t="shared" si="106"/>
        <v>#DIV/0!</v>
      </c>
      <c r="R198" s="40" t="e">
        <f t="shared" si="106"/>
        <v>#DIV/0!</v>
      </c>
      <c r="S198" s="40" t="e">
        <f t="shared" si="106"/>
        <v>#DIV/0!</v>
      </c>
      <c r="T198" s="40" t="e">
        <f t="shared" si="106"/>
        <v>#DIV/0!</v>
      </c>
      <c r="U198" s="40" t="e">
        <f t="shared" si="106"/>
        <v>#DIV/0!</v>
      </c>
    </row>
    <row r="201" spans="1:21" ht="14.25" x14ac:dyDescent="0.15">
      <c r="A201" s="99" t="s">
        <v>188</v>
      </c>
      <c r="B201" s="93" t="s">
        <v>227</v>
      </c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O201" s="94"/>
      <c r="P201" s="94"/>
      <c r="Q201" s="94"/>
      <c r="R201" s="94"/>
      <c r="S201" s="94"/>
      <c r="T201" s="94"/>
      <c r="U201" s="95"/>
    </row>
    <row r="202" spans="1:21" ht="14.25" x14ac:dyDescent="0.15">
      <c r="A202" s="100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21" ht="14.25" x14ac:dyDescent="0.15">
      <c r="A203" s="46" t="s">
        <v>228</v>
      </c>
      <c r="B203" s="42"/>
      <c r="C203" s="42"/>
      <c r="D203" s="42"/>
      <c r="E203" s="42"/>
      <c r="F203" s="42"/>
      <c r="G203" s="42"/>
      <c r="H203" s="49">
        <f>G204</f>
        <v>0</v>
      </c>
      <c r="I203" s="49">
        <f>H204</f>
        <v>0</v>
      </c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</row>
    <row r="204" spans="1:21" ht="14.25" x14ac:dyDescent="0.15">
      <c r="A204" s="46" t="s">
        <v>229</v>
      </c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</row>
    <row r="205" spans="1:21" ht="14.25" x14ac:dyDescent="0.15">
      <c r="A205" s="46" t="s">
        <v>230</v>
      </c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</row>
  </sheetData>
  <mergeCells count="15">
    <mergeCell ref="DR1:EK1"/>
    <mergeCell ref="EL1:FE1"/>
    <mergeCell ref="B189:U189"/>
    <mergeCell ref="V189:AO189"/>
    <mergeCell ref="A201:A202"/>
    <mergeCell ref="B1:U1"/>
    <mergeCell ref="V1:AO1"/>
    <mergeCell ref="AP1:BI1"/>
    <mergeCell ref="B197:U197"/>
    <mergeCell ref="B201:U201"/>
    <mergeCell ref="A189:A190"/>
    <mergeCell ref="BJ1:CC1"/>
    <mergeCell ref="CD1:CW1"/>
    <mergeCell ref="CX1:DQ1"/>
    <mergeCell ref="A1:A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topLeftCell="X1" zoomScale="55" zoomScaleNormal="55" workbookViewId="0">
      <selection activeCell="AS3" sqref="AS3:AY3"/>
    </sheetView>
  </sheetViews>
  <sheetFormatPr defaultRowHeight="13.5" x14ac:dyDescent="0.15"/>
  <sheetData>
    <row r="1" spans="1:79" x14ac:dyDescent="0.15">
      <c r="A1" s="106" t="s">
        <v>169</v>
      </c>
      <c r="B1" s="103" t="s">
        <v>192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5"/>
      <c r="O1" s="103" t="s">
        <v>193</v>
      </c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5"/>
      <c r="AB1" s="103" t="s">
        <v>194</v>
      </c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5"/>
      <c r="AO1" s="103" t="s">
        <v>195</v>
      </c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5"/>
      <c r="BB1" s="101" t="s">
        <v>196</v>
      </c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1" t="s">
        <v>197</v>
      </c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</row>
    <row r="2" spans="1:79" x14ac:dyDescent="0.15">
      <c r="A2" s="106"/>
      <c r="B2" s="55">
        <v>1</v>
      </c>
      <c r="C2" s="55">
        <v>2</v>
      </c>
      <c r="D2" s="55">
        <v>3</v>
      </c>
      <c r="E2" s="55">
        <v>4</v>
      </c>
      <c r="F2" s="55">
        <v>5</v>
      </c>
      <c r="G2" s="55">
        <v>6</v>
      </c>
      <c r="H2" s="55">
        <v>7</v>
      </c>
      <c r="I2" s="55">
        <v>8</v>
      </c>
      <c r="J2" s="55">
        <v>9</v>
      </c>
      <c r="K2" s="55">
        <v>10</v>
      </c>
      <c r="L2" s="55">
        <v>11</v>
      </c>
      <c r="M2" s="55">
        <v>12</v>
      </c>
      <c r="N2" s="55">
        <v>13</v>
      </c>
      <c r="O2" s="55">
        <v>1</v>
      </c>
      <c r="P2" s="55">
        <v>2</v>
      </c>
      <c r="Q2" s="55">
        <v>3</v>
      </c>
      <c r="R2" s="55">
        <v>4</v>
      </c>
      <c r="S2" s="55">
        <v>5</v>
      </c>
      <c r="T2" s="55">
        <v>6</v>
      </c>
      <c r="U2" s="55">
        <v>7</v>
      </c>
      <c r="V2" s="55">
        <v>8</v>
      </c>
      <c r="W2" s="55">
        <v>9</v>
      </c>
      <c r="X2" s="55">
        <v>10</v>
      </c>
      <c r="Y2" s="55">
        <v>11</v>
      </c>
      <c r="Z2" s="55">
        <v>12</v>
      </c>
      <c r="AA2" s="55">
        <v>13</v>
      </c>
      <c r="AB2" s="55">
        <v>1</v>
      </c>
      <c r="AC2" s="55">
        <v>2</v>
      </c>
      <c r="AD2" s="55">
        <v>3</v>
      </c>
      <c r="AE2" s="55">
        <v>4</v>
      </c>
      <c r="AF2" s="55">
        <v>5</v>
      </c>
      <c r="AG2" s="55">
        <v>6</v>
      </c>
      <c r="AH2" s="55">
        <v>7</v>
      </c>
      <c r="AI2" s="55">
        <v>8</v>
      </c>
      <c r="AJ2" s="55">
        <v>9</v>
      </c>
      <c r="AK2" s="55">
        <v>10</v>
      </c>
      <c r="AL2" s="55">
        <v>11</v>
      </c>
      <c r="AM2" s="55">
        <v>12</v>
      </c>
      <c r="AN2" s="55">
        <v>13</v>
      </c>
      <c r="AO2" s="55">
        <v>1</v>
      </c>
      <c r="AP2" s="55">
        <v>2</v>
      </c>
      <c r="AQ2" s="55">
        <v>3</v>
      </c>
      <c r="AR2" s="55">
        <v>4</v>
      </c>
      <c r="AS2" s="55">
        <v>5</v>
      </c>
      <c r="AT2" s="55">
        <v>6</v>
      </c>
      <c r="AU2" s="55">
        <v>7</v>
      </c>
      <c r="AV2" s="55">
        <v>8</v>
      </c>
      <c r="AW2" s="55">
        <v>9</v>
      </c>
      <c r="AX2" s="55">
        <v>10</v>
      </c>
      <c r="AY2" s="55">
        <v>11</v>
      </c>
      <c r="AZ2" s="55">
        <v>12</v>
      </c>
      <c r="BA2" s="55">
        <v>13</v>
      </c>
      <c r="BB2" s="55">
        <v>1</v>
      </c>
      <c r="BC2" s="55">
        <v>2</v>
      </c>
      <c r="BD2" s="55">
        <v>3</v>
      </c>
      <c r="BE2" s="55">
        <v>4</v>
      </c>
      <c r="BF2" s="55">
        <v>5</v>
      </c>
      <c r="BG2" s="55">
        <v>6</v>
      </c>
      <c r="BH2" s="55">
        <v>7</v>
      </c>
      <c r="BI2" s="55">
        <v>8</v>
      </c>
      <c r="BJ2" s="55">
        <v>9</v>
      </c>
      <c r="BK2" s="55">
        <v>10</v>
      </c>
      <c r="BL2" s="55">
        <v>11</v>
      </c>
      <c r="BM2" s="55">
        <v>12</v>
      </c>
      <c r="BN2" s="55">
        <v>13</v>
      </c>
      <c r="BO2" s="55">
        <v>1</v>
      </c>
      <c r="BP2" s="55">
        <v>2</v>
      </c>
      <c r="BQ2" s="55">
        <v>3</v>
      </c>
      <c r="BR2" s="55">
        <v>4</v>
      </c>
      <c r="BS2" s="55">
        <v>5</v>
      </c>
      <c r="BT2" s="55">
        <v>6</v>
      </c>
      <c r="BU2" s="55">
        <v>7</v>
      </c>
      <c r="BV2" s="55">
        <v>8</v>
      </c>
      <c r="BW2" s="55">
        <v>9</v>
      </c>
      <c r="BX2" s="55">
        <v>10</v>
      </c>
      <c r="BY2" s="55">
        <v>11</v>
      </c>
      <c r="BZ2" s="55">
        <v>12</v>
      </c>
      <c r="CA2" s="55">
        <v>13</v>
      </c>
    </row>
    <row r="3" spans="1:79" x14ac:dyDescent="0.15">
      <c r="A3" s="56">
        <v>1</v>
      </c>
      <c r="B3" s="57" t="e">
        <f>O3+AB3</f>
        <v>#DIV/0!</v>
      </c>
      <c r="C3" s="57" t="e">
        <f t="shared" ref="C3:N3" si="0">P3+AC3</f>
        <v>#DIV/0!</v>
      </c>
      <c r="D3" s="57" t="e">
        <f t="shared" si="0"/>
        <v>#DIV/0!</v>
      </c>
      <c r="E3" s="57" t="e">
        <f t="shared" si="0"/>
        <v>#DIV/0!</v>
      </c>
      <c r="F3" s="57" t="e">
        <f t="shared" si="0"/>
        <v>#DIV/0!</v>
      </c>
      <c r="G3" s="57" t="e">
        <f t="shared" si="0"/>
        <v>#DIV/0!</v>
      </c>
      <c r="H3" s="57" t="e">
        <f t="shared" si="0"/>
        <v>#DIV/0!</v>
      </c>
      <c r="I3" s="57" t="e">
        <f t="shared" si="0"/>
        <v>#DIV/0!</v>
      </c>
      <c r="J3" s="57" t="e">
        <f t="shared" si="0"/>
        <v>#DIV/0!</v>
      </c>
      <c r="K3" s="57" t="e">
        <f t="shared" si="0"/>
        <v>#DIV/0!</v>
      </c>
      <c r="L3" s="57" t="e">
        <f t="shared" si="0"/>
        <v>#DIV/0!</v>
      </c>
      <c r="M3" s="57" t="e">
        <f t="shared" si="0"/>
        <v>#DIV/0!</v>
      </c>
      <c r="N3" s="57" t="e">
        <f t="shared" si="0"/>
        <v>#DIV/0!</v>
      </c>
      <c r="O3" s="59" t="e">
        <f>Links!B3</f>
        <v>#DIV/0!</v>
      </c>
      <c r="P3" s="59" t="e">
        <f>Links!C3+'On-Ramps'!AC3</f>
        <v>#DIV/0!</v>
      </c>
      <c r="Q3" s="59" t="e">
        <f>Links!D3</f>
        <v>#DIV/0!</v>
      </c>
      <c r="R3" s="59" t="e">
        <f>Links!E3+'On-Ramps'!AD3</f>
        <v>#DIV/0!</v>
      </c>
      <c r="S3" s="59" t="e">
        <f>Links!F3+'On-Ramps'!AE3</f>
        <v>#DIV/0!</v>
      </c>
      <c r="T3" s="59" t="e">
        <f>Links!I3+'On-Ramps'!AF3</f>
        <v>#DIV/0!</v>
      </c>
      <c r="U3" s="59" t="e">
        <f>Links!J3+'On-Ramps'!AG3</f>
        <v>#DIV/0!</v>
      </c>
      <c r="V3" s="59" t="e">
        <f>Links!L3+'On-Ramps'!AH3</f>
        <v>#DIV/0!</v>
      </c>
      <c r="W3" s="59" t="e">
        <f>Links!M3+'On-Ramps'!AI3</f>
        <v>#DIV/0!</v>
      </c>
      <c r="X3" s="59" t="e">
        <f>Links!P3+'On-Ramps'!AJ3</f>
        <v>#DIV/0!</v>
      </c>
      <c r="Y3" s="59" t="e">
        <f>Links!Q3</f>
        <v>#DIV/0!</v>
      </c>
      <c r="Z3" s="59" t="e">
        <f>Links!R3+'On-Ramps'!AK3</f>
        <v>#DIV/0!</v>
      </c>
      <c r="AA3" s="59" t="e">
        <f>Links!S3</f>
        <v>#DIV/0!</v>
      </c>
      <c r="AB3" s="59">
        <f>'Off-Ramp'!B3</f>
        <v>0</v>
      </c>
      <c r="AC3" s="63"/>
      <c r="AD3" s="59">
        <f>'Off-Ramp'!C3</f>
        <v>0</v>
      </c>
      <c r="AE3" s="63"/>
      <c r="AF3" s="59">
        <f>'Off-Ramp'!D3</f>
        <v>0</v>
      </c>
      <c r="AG3" s="59">
        <f>'Off-Ramp'!E3</f>
        <v>0</v>
      </c>
      <c r="AH3" s="59">
        <f>'Off-Ramp'!F3</f>
        <v>0</v>
      </c>
      <c r="AI3" s="59">
        <f>'Off-Ramp'!G3</f>
        <v>0</v>
      </c>
      <c r="AJ3" s="59">
        <f>'Off-Ramp'!H3</f>
        <v>0</v>
      </c>
      <c r="AK3" s="59" t="e">
        <f>'Off-Ramp'!S3</f>
        <v>#DIV/0!</v>
      </c>
      <c r="AL3" s="59">
        <f>'Off-Ramp'!J3</f>
        <v>0</v>
      </c>
      <c r="AM3" s="63"/>
      <c r="AN3" s="59">
        <f>'Off-Ramp'!K3</f>
        <v>0</v>
      </c>
      <c r="AO3" s="59" t="e">
        <f>OD!B20</f>
        <v>#DIV/0!</v>
      </c>
      <c r="AP3" s="63"/>
      <c r="AQ3" s="59" t="e">
        <f>OD!D20</f>
        <v>#DIV/0!</v>
      </c>
      <c r="AR3" s="63"/>
      <c r="AS3" s="59" t="e">
        <f>OD!F20</f>
        <v>#DIV/0!</v>
      </c>
      <c r="AT3" s="59" t="e">
        <f>OD!G20</f>
        <v>#DIV/0!</v>
      </c>
      <c r="AU3" s="59" t="e">
        <f>OD!H20</f>
        <v>#DIV/0!</v>
      </c>
      <c r="AV3" s="59" t="e">
        <f>OD!I20</f>
        <v>#DIV/0!</v>
      </c>
      <c r="AW3" s="59" t="e">
        <f>OD!J20</f>
        <v>#DIV/0!</v>
      </c>
      <c r="AX3" s="59" t="e">
        <f>OD!K20</f>
        <v>#DIV/0!</v>
      </c>
      <c r="AY3" s="59" t="e">
        <f>OD!L20</f>
        <v>#DIV/0!</v>
      </c>
      <c r="AZ3" s="63"/>
      <c r="BA3" s="59" t="e">
        <f>OD!N20</f>
        <v>#DIV/0!</v>
      </c>
      <c r="BB3" s="63"/>
      <c r="BC3" s="57" t="e">
        <f>(Links!C3*Links!AQ3+'On-Ramps'!AC3*'On-Ramps'!CE3)/('On-Ramps'!AC3+Links!C3)</f>
        <v>#DIV/0!</v>
      </c>
      <c r="BD3" s="63"/>
      <c r="BE3" s="57" t="e">
        <f>(Links!E3*Links!AS3+'On-Ramps'!AD3*'On-Ramps'!CF2)/('On-Ramps'!AD3+Links!E3)</f>
        <v>#DIV/0!</v>
      </c>
      <c r="BF3" s="57" t="e">
        <f>(Links!F3*Links!AT3+'On-Ramps'!AE3*'On-Ramps'!CG3)/('On-Ramps'!AE3+Links!F3)</f>
        <v>#DIV/0!</v>
      </c>
      <c r="BG3" s="57" t="e">
        <f>(Links!I3*Links!AW3+'On-Ramps'!AF3*'On-Ramps'!CH3)/('On-Ramps'!AF3+Links!I3)</f>
        <v>#DIV/0!</v>
      </c>
      <c r="BH3" s="57" t="e">
        <f>(Links!AX3*Links!J3+'On-Ramps'!AG3*'On-Ramps'!CI3)/('On-Ramps'!AG3+Links!J3)</f>
        <v>#DIV/0!</v>
      </c>
      <c r="BI3" s="57" t="e">
        <f>(Links!L3*Links!AZ3+'On-Ramps'!AH3*'On-Ramps'!CJ3)/('On-Ramps'!AH3+Links!L3)</f>
        <v>#DIV/0!</v>
      </c>
      <c r="BJ3" s="57" t="e">
        <f>(Links!BA3*Links!M3+'On-Ramps'!AI3*'On-Ramps'!CK3)/('On-Ramps'!AI3+Links!M3)</f>
        <v>#DIV/0!</v>
      </c>
      <c r="BK3" s="57" t="e">
        <f>(Links!BD3*Links!P3+'On-Ramps'!AJ3*'On-Ramps'!CL3)/('On-Ramps'!AJ3+Links!P3)</f>
        <v>#DIV/0!</v>
      </c>
      <c r="BL3" s="63"/>
      <c r="BM3" s="57" t="e">
        <f>(Links!S3*Links!BG3+'On-Ramps'!AL3*'On-Ramps'!CM3)/(Links!S3+'On-Ramps'!AL3)</f>
        <v>#DIV/0!</v>
      </c>
      <c r="BN3" s="63"/>
      <c r="BO3" s="58" t="e">
        <f>(Links!W3^2+'Off-Ramp'!L3^2)/(Links!W3+'Off-Ramp'!L3)</f>
        <v>#DIV/0!</v>
      </c>
      <c r="BP3" s="63"/>
      <c r="BQ3" s="58" t="e">
        <f>(Links!Y3^2+'Off-Ramp'!C3^2)/(Links!Y3+'Off-Ramp'!C3)</f>
        <v>#DIV/0!</v>
      </c>
      <c r="BR3" s="63"/>
      <c r="BS3" s="58" t="e">
        <f>(Links!AA3^2+'Off-Ramp'!N3^2)/(Links!AA3+'Off-Ramp'!N3)</f>
        <v>#DIV/0!</v>
      </c>
      <c r="BT3" s="58" t="e">
        <f>(Links!AD3^2+'Off-Ramp'!O3^2)/(Links!AD3+'Off-Ramp'!O3)</f>
        <v>#DIV/0!</v>
      </c>
      <c r="BU3" s="58" t="e">
        <f>(Links!AE3^2+'Off-Ramp'!V3^2+'Off-Ramp'!W3^2+'Off-Ramp'!X3^2)/(Links!AE3+'Off-Ramp'!V3+'Off-Ramp'!W3+'Off-Ramp'!X3)</f>
        <v>#DIV/0!</v>
      </c>
      <c r="BV3" s="58" t="e">
        <f>(Links!AG3^2+'Off-Ramp'!Y3^2+'Off-Ramp'!Z3^2+'Off-Ramp'!AA3^2)/(Links!AG3+'Off-Ramp'!Y3+'Off-Ramp'!Z3+'Off-Ramp'!AA3)</f>
        <v>#DIV/0!</v>
      </c>
      <c r="BW3" s="58" t="e">
        <f>(Links!AH3^2+'Off-Ramp'!R3^2)/(Links!AH3+'Off-Ramp'!R3)</f>
        <v>#DIV/0!</v>
      </c>
      <c r="BX3" s="58" t="e">
        <f>(Links!AK3^2+'Off-Ramp'!S3^2)/(Links!AK3+'Off-Ramp'!S3)</f>
        <v>#DIV/0!</v>
      </c>
      <c r="BY3" s="58" t="e">
        <f>(Links!AL3^2+'Off-Ramp'!T3^2)/(Links!AL3+'Off-Ramp'!T3)</f>
        <v>#DIV/0!</v>
      </c>
      <c r="BZ3" s="63"/>
      <c r="CA3" s="58" t="e">
        <f>(Links!AN3^2+'Off-Ramp'!U3^2)/(Links!AN3+'Off-Ramp'!U3)</f>
        <v>#DIV/0!</v>
      </c>
    </row>
    <row r="4" spans="1:79" x14ac:dyDescent="0.15">
      <c r="A4" s="56">
        <v>2</v>
      </c>
      <c r="B4" s="57" t="e">
        <f t="shared" ref="B4:B67" si="1">O4+AB4</f>
        <v>#DIV/0!</v>
      </c>
      <c r="C4" s="57" t="e">
        <f t="shared" ref="C4:C67" si="2">P4+AC4</f>
        <v>#DIV/0!</v>
      </c>
      <c r="D4" s="57" t="e">
        <f t="shared" ref="D4:D67" si="3">Q4+AD4</f>
        <v>#DIV/0!</v>
      </c>
      <c r="E4" s="57" t="e">
        <f t="shared" ref="E4:E67" si="4">R4+AE4</f>
        <v>#DIV/0!</v>
      </c>
      <c r="F4" s="57" t="e">
        <f t="shared" ref="F4:F67" si="5">S4+AF4</f>
        <v>#DIV/0!</v>
      </c>
      <c r="G4" s="57" t="e">
        <f t="shared" ref="G4:G67" si="6">T4+AG4</f>
        <v>#DIV/0!</v>
      </c>
      <c r="H4" s="57" t="e">
        <f t="shared" ref="H4:H67" si="7">U4+AH4</f>
        <v>#DIV/0!</v>
      </c>
      <c r="I4" s="57" t="e">
        <f t="shared" ref="I4:I67" si="8">V4+AI4</f>
        <v>#DIV/0!</v>
      </c>
      <c r="J4" s="57" t="e">
        <f t="shared" ref="J4:J67" si="9">W4+AJ4</f>
        <v>#DIV/0!</v>
      </c>
      <c r="K4" s="57" t="e">
        <f t="shared" ref="K4:K67" si="10">X4+AK4</f>
        <v>#DIV/0!</v>
      </c>
      <c r="L4" s="57" t="e">
        <f t="shared" ref="L4:L67" si="11">Y4+AL4</f>
        <v>#DIV/0!</v>
      </c>
      <c r="M4" s="57" t="e">
        <f t="shared" ref="M4:M67" si="12">Z4+AM4</f>
        <v>#DIV/0!</v>
      </c>
      <c r="N4" s="57" t="e">
        <f t="shared" ref="N4:N67" si="13">AA4+AN4</f>
        <v>#DIV/0!</v>
      </c>
      <c r="O4" s="58" t="e">
        <f>Links!B4</f>
        <v>#DIV/0!</v>
      </c>
      <c r="P4" s="58" t="e">
        <f>Links!C4+'On-Ramps'!AC4</f>
        <v>#DIV/0!</v>
      </c>
      <c r="Q4" s="58" t="e">
        <f>Links!D4</f>
        <v>#DIV/0!</v>
      </c>
      <c r="R4" s="58" t="e">
        <f>Links!E4+'On-Ramps'!AD4</f>
        <v>#DIV/0!</v>
      </c>
      <c r="S4" s="58" t="e">
        <f>Links!F4+'On-Ramps'!AE4</f>
        <v>#DIV/0!</v>
      </c>
      <c r="T4" s="58" t="e">
        <f>Links!I4+'On-Ramps'!AF4</f>
        <v>#DIV/0!</v>
      </c>
      <c r="U4" s="58" t="e">
        <f>Links!J4+'On-Ramps'!AG4</f>
        <v>#DIV/0!</v>
      </c>
      <c r="V4" s="58" t="e">
        <f>Links!L4+'On-Ramps'!AH4</f>
        <v>#DIV/0!</v>
      </c>
      <c r="W4" s="58" t="e">
        <f>Links!M4+'On-Ramps'!AI4</f>
        <v>#DIV/0!</v>
      </c>
      <c r="X4" s="58" t="e">
        <f>Links!P4+'On-Ramps'!AJ4</f>
        <v>#DIV/0!</v>
      </c>
      <c r="Y4" s="58" t="e">
        <f>Links!Q4</f>
        <v>#DIV/0!</v>
      </c>
      <c r="Z4" s="58" t="e">
        <f>Links!R4+'On-Ramps'!AK4</f>
        <v>#DIV/0!</v>
      </c>
      <c r="AA4" s="58" t="e">
        <f>Links!S4</f>
        <v>#DIV/0!</v>
      </c>
      <c r="AB4" s="57" t="e">
        <f>AO4*(1-AO4)*O4</f>
        <v>#DIV/0!</v>
      </c>
      <c r="AC4" s="63"/>
      <c r="AD4" s="57" t="e">
        <f t="shared" ref="AD4:AN19" si="14">AQ4*(1-AQ4)*Q4</f>
        <v>#DIV/0!</v>
      </c>
      <c r="AE4" s="63"/>
      <c r="AF4" s="57" t="e">
        <f t="shared" si="14"/>
        <v>#DIV/0!</v>
      </c>
      <c r="AG4" s="57" t="e">
        <f t="shared" si="14"/>
        <v>#DIV/0!</v>
      </c>
      <c r="AH4" s="57" t="e">
        <f t="shared" si="14"/>
        <v>#DIV/0!</v>
      </c>
      <c r="AI4" s="57" t="e">
        <f t="shared" si="14"/>
        <v>#DIV/0!</v>
      </c>
      <c r="AJ4" s="57" t="e">
        <f t="shared" si="14"/>
        <v>#DIV/0!</v>
      </c>
      <c r="AK4" s="57" t="e">
        <f t="shared" si="14"/>
        <v>#DIV/0!</v>
      </c>
      <c r="AL4" s="57" t="e">
        <f t="shared" si="14"/>
        <v>#DIV/0!</v>
      </c>
      <c r="AM4" s="63"/>
      <c r="AN4" s="57" t="e">
        <f t="shared" si="14"/>
        <v>#DIV/0!</v>
      </c>
      <c r="AO4" s="58" t="e">
        <f>AO$3</f>
        <v>#DIV/0!</v>
      </c>
      <c r="AP4" s="63"/>
      <c r="AQ4" s="58" t="e">
        <f t="shared" ref="AQ4:BA19" si="15">AQ$3</f>
        <v>#DIV/0!</v>
      </c>
      <c r="AR4" s="63"/>
      <c r="AS4" s="58" t="e">
        <f t="shared" si="15"/>
        <v>#DIV/0!</v>
      </c>
      <c r="AT4" s="58" t="e">
        <f t="shared" si="15"/>
        <v>#DIV/0!</v>
      </c>
      <c r="AU4" s="58" t="e">
        <f t="shared" si="15"/>
        <v>#DIV/0!</v>
      </c>
      <c r="AV4" s="58" t="e">
        <f t="shared" si="15"/>
        <v>#DIV/0!</v>
      </c>
      <c r="AW4" s="58" t="e">
        <f t="shared" si="15"/>
        <v>#DIV/0!</v>
      </c>
      <c r="AX4" s="58" t="e">
        <f t="shared" si="15"/>
        <v>#DIV/0!</v>
      </c>
      <c r="AY4" s="58" t="e">
        <f t="shared" si="15"/>
        <v>#DIV/0!</v>
      </c>
      <c r="AZ4" s="63"/>
      <c r="BA4" s="58" t="e">
        <f t="shared" si="15"/>
        <v>#DIV/0!</v>
      </c>
      <c r="BB4" s="63"/>
      <c r="BC4" s="57" t="e">
        <f>(Links!C4*Links!AQ4+'On-Ramps'!AC4*'On-Ramps'!CE4)/('On-Ramps'!AC4+Links!C4)</f>
        <v>#DIV/0!</v>
      </c>
      <c r="BD4" s="63"/>
      <c r="BE4" s="57" t="e">
        <f>(Links!E4*Links!AS4+'On-Ramps'!AD4*'On-Ramps'!CF3)/('On-Ramps'!AD4+Links!E4)</f>
        <v>#DIV/0!</v>
      </c>
      <c r="BF4" s="57" t="e">
        <f>(Links!F4*Links!AT4+'On-Ramps'!AE4*'On-Ramps'!CG4)/('On-Ramps'!AE4+Links!F4)</f>
        <v>#DIV/0!</v>
      </c>
      <c r="BG4" s="57" t="e">
        <f>(Links!I4*Links!AW4+'On-Ramps'!AF4*'On-Ramps'!CH4)/('On-Ramps'!AF4+Links!I4)</f>
        <v>#DIV/0!</v>
      </c>
      <c r="BH4" s="57" t="e">
        <f>(#REF!*#REF!+'On-Ramps'!AG4*'On-Ramps'!CI4)/('On-Ramps'!AG4+#REF!)</f>
        <v>#REF!</v>
      </c>
      <c r="BI4" s="57" t="e">
        <f>(Links!L4*Links!AZ4+'On-Ramps'!AH4*'On-Ramps'!CJ4)/('On-Ramps'!AH4+Links!L4)</f>
        <v>#DIV/0!</v>
      </c>
      <c r="BJ4" s="57" t="e">
        <f>(Links!BA4*Links!M4+'On-Ramps'!AI4*'On-Ramps'!CK4)/('On-Ramps'!AI4+Links!M4)</f>
        <v>#DIV/0!</v>
      </c>
      <c r="BK4" s="57" t="e">
        <f>(Links!S4*Links!BG4+'On-Ramps'!AJ4*'On-Ramps'!CL4)/('On-Ramps'!AJ4+Links!S4)</f>
        <v>#DIV/0!</v>
      </c>
      <c r="BL4" s="63"/>
      <c r="BM4" s="57" t="e">
        <f>(Links!S4*Links!BG4+'On-Ramps'!AL4*'On-Ramps'!CM4)/(Links!S4+'On-Ramps'!AL4)</f>
        <v>#DIV/0!</v>
      </c>
      <c r="BN4" s="63"/>
      <c r="BO4" s="58" t="e">
        <f>(Links!W4^2+'Off-Ramp'!L4^2)/(Links!W4+'Off-Ramp'!L4)</f>
        <v>#DIV/0!</v>
      </c>
      <c r="BP4" s="63"/>
      <c r="BQ4" s="58" t="e">
        <f>(Links!Y4^2+'Off-Ramp'!C4^2)/(Links!Y4+'Off-Ramp'!C4)</f>
        <v>#DIV/0!</v>
      </c>
      <c r="BR4" s="63"/>
      <c r="BS4" s="58" t="e">
        <f>(Links!AA4^2+'Off-Ramp'!N4^2)/(Links!AA4+'Off-Ramp'!N4)</f>
        <v>#DIV/0!</v>
      </c>
      <c r="BT4" s="58" t="e">
        <f>(Links!AD4^2+'Off-Ramp'!O4^2)/(Links!AD4+'Off-Ramp'!O4)</f>
        <v>#DIV/0!</v>
      </c>
      <c r="BU4" s="58" t="e">
        <f>(Links!AE4^2+'Off-Ramp'!V4^2+'Off-Ramp'!W4^2+'Off-Ramp'!X4^2)/(Links!AE4+'Off-Ramp'!V4+'Off-Ramp'!W4+'Off-Ramp'!X4)</f>
        <v>#DIV/0!</v>
      </c>
      <c r="BV4" s="58" t="e">
        <f>(Links!AG4^2+'Off-Ramp'!Y4^2+'Off-Ramp'!Z4^2+'Off-Ramp'!AA4^2)/(Links!AG4+'Off-Ramp'!Y4+'Off-Ramp'!Z4+'Off-Ramp'!AA4)</f>
        <v>#DIV/0!</v>
      </c>
      <c r="BW4" s="58" t="e">
        <f>(Links!AH4^2+'Off-Ramp'!R4^2)/(Links!AH4+'Off-Ramp'!R4)</f>
        <v>#DIV/0!</v>
      </c>
      <c r="BX4" s="58" t="e">
        <f>(Links!AK4^2+'Off-Ramp'!S4^2)/(Links!AK4+'Off-Ramp'!S4)</f>
        <v>#DIV/0!</v>
      </c>
      <c r="BY4" s="58" t="e">
        <f>(Links!AL4^2+'Off-Ramp'!T4^2)/(Links!AL4+'Off-Ramp'!T4)</f>
        <v>#DIV/0!</v>
      </c>
      <c r="BZ4" s="63"/>
      <c r="CA4" s="58" t="e">
        <f>(Links!AN4^2+'Off-Ramp'!U4^2)/(Links!AN4+'Off-Ramp'!U4)</f>
        <v>#DIV/0!</v>
      </c>
    </row>
    <row r="5" spans="1:79" x14ac:dyDescent="0.15">
      <c r="A5" s="56">
        <v>3</v>
      </c>
      <c r="B5" s="57" t="e">
        <f t="shared" si="1"/>
        <v>#DIV/0!</v>
      </c>
      <c r="C5" s="57" t="e">
        <f t="shared" si="2"/>
        <v>#DIV/0!</v>
      </c>
      <c r="D5" s="57" t="e">
        <f t="shared" si="3"/>
        <v>#DIV/0!</v>
      </c>
      <c r="E5" s="57" t="e">
        <f t="shared" si="4"/>
        <v>#DIV/0!</v>
      </c>
      <c r="F5" s="57" t="e">
        <f t="shared" si="5"/>
        <v>#DIV/0!</v>
      </c>
      <c r="G5" s="57" t="e">
        <f t="shared" si="6"/>
        <v>#DIV/0!</v>
      </c>
      <c r="H5" s="57" t="e">
        <f t="shared" si="7"/>
        <v>#DIV/0!</v>
      </c>
      <c r="I5" s="57" t="e">
        <f t="shared" si="8"/>
        <v>#DIV/0!</v>
      </c>
      <c r="J5" s="57" t="e">
        <f t="shared" si="9"/>
        <v>#DIV/0!</v>
      </c>
      <c r="K5" s="57" t="e">
        <f t="shared" si="10"/>
        <v>#DIV/0!</v>
      </c>
      <c r="L5" s="57" t="e">
        <f t="shared" si="11"/>
        <v>#DIV/0!</v>
      </c>
      <c r="M5" s="57" t="e">
        <f t="shared" si="12"/>
        <v>#DIV/0!</v>
      </c>
      <c r="N5" s="57" t="e">
        <f t="shared" si="13"/>
        <v>#DIV/0!</v>
      </c>
      <c r="O5" s="58" t="e">
        <f>Links!B5</f>
        <v>#DIV/0!</v>
      </c>
      <c r="P5" s="58" t="e">
        <f>Links!C5+'On-Ramps'!AC5</f>
        <v>#DIV/0!</v>
      </c>
      <c r="Q5" s="58" t="e">
        <f>Links!D5</f>
        <v>#DIV/0!</v>
      </c>
      <c r="R5" s="58" t="e">
        <f>Links!E5+'On-Ramps'!AD5</f>
        <v>#DIV/0!</v>
      </c>
      <c r="S5" s="58" t="e">
        <f>Links!F5+'On-Ramps'!AE5</f>
        <v>#DIV/0!</v>
      </c>
      <c r="T5" s="58" t="e">
        <f>Links!I5+'On-Ramps'!AF5</f>
        <v>#DIV/0!</v>
      </c>
      <c r="U5" s="58" t="e">
        <f>Links!J5+'On-Ramps'!AG5</f>
        <v>#DIV/0!</v>
      </c>
      <c r="V5" s="58" t="e">
        <f>Links!L5+'On-Ramps'!AH5</f>
        <v>#DIV/0!</v>
      </c>
      <c r="W5" s="58" t="e">
        <f>Links!M5+'On-Ramps'!AI5</f>
        <v>#DIV/0!</v>
      </c>
      <c r="X5" s="58" t="e">
        <f>Links!P5+'On-Ramps'!AJ5</f>
        <v>#DIV/0!</v>
      </c>
      <c r="Y5" s="58" t="e">
        <f>Links!Q5</f>
        <v>#DIV/0!</v>
      </c>
      <c r="Z5" s="58" t="e">
        <f>Links!R5+'On-Ramps'!AK5</f>
        <v>#DIV/0!</v>
      </c>
      <c r="AA5" s="58" t="e">
        <f>Links!S5</f>
        <v>#DIV/0!</v>
      </c>
      <c r="AB5" s="57" t="e">
        <f t="shared" ref="AB5:AB68" si="16">AO5*(1-AO5)*O5</f>
        <v>#DIV/0!</v>
      </c>
      <c r="AC5" s="63"/>
      <c r="AD5" s="57" t="e">
        <f t="shared" ref="AD5:AD68" si="17">AQ5*(1-AQ5)*Q5</f>
        <v>#DIV/0!</v>
      </c>
      <c r="AE5" s="63"/>
      <c r="AF5" s="57" t="e">
        <f t="shared" ref="AF5:AF68" si="18">AS5*(1-AS5)*S5</f>
        <v>#DIV/0!</v>
      </c>
      <c r="AG5" s="57" t="e">
        <f t="shared" ref="AG5:AG68" si="19">AT5*(1-AT5)*T5</f>
        <v>#DIV/0!</v>
      </c>
      <c r="AH5" s="57" t="e">
        <f t="shared" ref="AH5:AH68" si="20">AU5*(1-AU5)*U5</f>
        <v>#DIV/0!</v>
      </c>
      <c r="AI5" s="57" t="e">
        <f t="shared" ref="AI5:AI68" si="21">AV5*(1-AV5)*V5</f>
        <v>#DIV/0!</v>
      </c>
      <c r="AJ5" s="57" t="e">
        <f t="shared" ref="AJ5:AJ68" si="22">AW5*(1-AW5)*W5</f>
        <v>#DIV/0!</v>
      </c>
      <c r="AK5" s="57" t="e">
        <f t="shared" ref="AK5:AK68" si="23">AX5*(1-AX5)*X5</f>
        <v>#DIV/0!</v>
      </c>
      <c r="AL5" s="57" t="e">
        <f t="shared" ref="AL5:AL68" si="24">AY5*(1-AY5)*Y5</f>
        <v>#DIV/0!</v>
      </c>
      <c r="AM5" s="63"/>
      <c r="AN5" s="57" t="e">
        <f t="shared" si="14"/>
        <v>#DIV/0!</v>
      </c>
      <c r="AO5" s="58" t="e">
        <f t="shared" ref="AO5:BA36" si="25">AO$3</f>
        <v>#DIV/0!</v>
      </c>
      <c r="AP5" s="63"/>
      <c r="AQ5" s="58" t="e">
        <f t="shared" si="15"/>
        <v>#DIV/0!</v>
      </c>
      <c r="AR5" s="63"/>
      <c r="AS5" s="58" t="e">
        <f t="shared" si="15"/>
        <v>#DIV/0!</v>
      </c>
      <c r="AT5" s="58" t="e">
        <f t="shared" si="15"/>
        <v>#DIV/0!</v>
      </c>
      <c r="AU5" s="58" t="e">
        <f t="shared" si="15"/>
        <v>#DIV/0!</v>
      </c>
      <c r="AV5" s="58" t="e">
        <f t="shared" si="15"/>
        <v>#DIV/0!</v>
      </c>
      <c r="AW5" s="58" t="e">
        <f t="shared" si="15"/>
        <v>#DIV/0!</v>
      </c>
      <c r="AX5" s="58" t="e">
        <f t="shared" si="15"/>
        <v>#DIV/0!</v>
      </c>
      <c r="AY5" s="58" t="e">
        <f t="shared" si="15"/>
        <v>#DIV/0!</v>
      </c>
      <c r="AZ5" s="63"/>
      <c r="BA5" s="58" t="e">
        <f t="shared" si="15"/>
        <v>#DIV/0!</v>
      </c>
      <c r="BB5" s="63"/>
      <c r="BC5" s="57" t="e">
        <f>(Links!C5*Links!AQ5+'On-Ramps'!AC5*'On-Ramps'!CE5)/('On-Ramps'!AC5+Links!C5)</f>
        <v>#DIV/0!</v>
      </c>
      <c r="BD5" s="63"/>
      <c r="BE5" s="57" t="e">
        <f>(Links!E5*Links!AS5+'On-Ramps'!AD5*'On-Ramps'!CF4)/('On-Ramps'!AD5+Links!E5)</f>
        <v>#DIV/0!</v>
      </c>
      <c r="BF5" s="57" t="e">
        <f>(Links!F5*Links!AT5+'On-Ramps'!AE5*'On-Ramps'!CG5)/('On-Ramps'!AE5+Links!F5)</f>
        <v>#DIV/0!</v>
      </c>
      <c r="BG5" s="57" t="e">
        <f>(Links!I5*Links!AW5+'On-Ramps'!AF5*'On-Ramps'!CH5)/('On-Ramps'!AF5+Links!I5)</f>
        <v>#DIV/0!</v>
      </c>
      <c r="BH5" s="57" t="e">
        <f>(#REF!*#REF!+'On-Ramps'!AG5*'On-Ramps'!CI5)/('On-Ramps'!AG5+#REF!)</f>
        <v>#REF!</v>
      </c>
      <c r="BI5" s="57" t="e">
        <f>(Links!L5*Links!AZ5+'On-Ramps'!AH5*'On-Ramps'!CJ5)/('On-Ramps'!AH5+Links!L5)</f>
        <v>#DIV/0!</v>
      </c>
      <c r="BJ5" s="57" t="e">
        <f>(Links!BA5*Links!M5+'On-Ramps'!AI5*'On-Ramps'!CK5)/('On-Ramps'!AI5+Links!M5)</f>
        <v>#DIV/0!</v>
      </c>
      <c r="BK5" s="57" t="e">
        <f>(Links!S5*Links!BG5+'On-Ramps'!AJ5*'On-Ramps'!CL5)/('On-Ramps'!AJ5+Links!S5)</f>
        <v>#DIV/0!</v>
      </c>
      <c r="BL5" s="63"/>
      <c r="BM5" s="57" t="e">
        <f>(Links!S5*Links!BG5+'On-Ramps'!AL5*'On-Ramps'!CM5)/(Links!S5+'On-Ramps'!AL5)</f>
        <v>#DIV/0!</v>
      </c>
      <c r="BN5" s="63"/>
      <c r="BO5" s="58" t="e">
        <f>(Links!W5^2+'Off-Ramp'!L5^2)/(Links!W5+'Off-Ramp'!L5)</f>
        <v>#DIV/0!</v>
      </c>
      <c r="BP5" s="63"/>
      <c r="BQ5" s="58" t="e">
        <f>(Links!Y5^2+'Off-Ramp'!C5^2)/(Links!Y5+'Off-Ramp'!C5)</f>
        <v>#DIV/0!</v>
      </c>
      <c r="BR5" s="63"/>
      <c r="BS5" s="58" t="e">
        <f>(Links!AA5^2+'Off-Ramp'!N5^2)/(Links!AA5+'Off-Ramp'!N5)</f>
        <v>#DIV/0!</v>
      </c>
      <c r="BT5" s="58" t="e">
        <f>(Links!AD5^2+'Off-Ramp'!O5^2)/(Links!AD5+'Off-Ramp'!O5)</f>
        <v>#DIV/0!</v>
      </c>
      <c r="BU5" s="58" t="e">
        <f>(Links!AE5^2+'Off-Ramp'!V5^2+'Off-Ramp'!W5^2+'Off-Ramp'!X5^2)/(Links!AE5+'Off-Ramp'!V5+'Off-Ramp'!W5+'Off-Ramp'!X5)</f>
        <v>#DIV/0!</v>
      </c>
      <c r="BV5" s="58" t="e">
        <f>(Links!AG5^2+'Off-Ramp'!Y5^2+'Off-Ramp'!Z5^2+'Off-Ramp'!AA5^2)/(Links!AG5+'Off-Ramp'!Y5+'Off-Ramp'!Z5+'Off-Ramp'!AA5)</f>
        <v>#DIV/0!</v>
      </c>
      <c r="BW5" s="58" t="e">
        <f>(Links!AH5^2+'Off-Ramp'!R5^2)/(Links!AH5+'Off-Ramp'!R5)</f>
        <v>#DIV/0!</v>
      </c>
      <c r="BX5" s="58" t="e">
        <f>(Links!AK5^2+'Off-Ramp'!S5^2)/(Links!AK5+'Off-Ramp'!S5)</f>
        <v>#DIV/0!</v>
      </c>
      <c r="BY5" s="58" t="e">
        <f>(Links!AL5^2+'Off-Ramp'!T5^2)/(Links!AL5+'Off-Ramp'!T5)</f>
        <v>#DIV/0!</v>
      </c>
      <c r="BZ5" s="63"/>
      <c r="CA5" s="58" t="e">
        <f>(Links!AN5^2+'Off-Ramp'!U5^2)/(Links!AN5+'Off-Ramp'!U5)</f>
        <v>#DIV/0!</v>
      </c>
    </row>
    <row r="6" spans="1:79" x14ac:dyDescent="0.15">
      <c r="A6" s="56">
        <v>4</v>
      </c>
      <c r="B6" s="57" t="e">
        <f t="shared" si="1"/>
        <v>#DIV/0!</v>
      </c>
      <c r="C6" s="57" t="e">
        <f t="shared" si="2"/>
        <v>#DIV/0!</v>
      </c>
      <c r="D6" s="57" t="e">
        <f t="shared" si="3"/>
        <v>#DIV/0!</v>
      </c>
      <c r="E6" s="57" t="e">
        <f t="shared" si="4"/>
        <v>#DIV/0!</v>
      </c>
      <c r="F6" s="57" t="e">
        <f t="shared" si="5"/>
        <v>#DIV/0!</v>
      </c>
      <c r="G6" s="57" t="e">
        <f t="shared" si="6"/>
        <v>#DIV/0!</v>
      </c>
      <c r="H6" s="57" t="e">
        <f t="shared" si="7"/>
        <v>#DIV/0!</v>
      </c>
      <c r="I6" s="57" t="e">
        <f t="shared" si="8"/>
        <v>#DIV/0!</v>
      </c>
      <c r="J6" s="57" t="e">
        <f t="shared" si="9"/>
        <v>#DIV/0!</v>
      </c>
      <c r="K6" s="57" t="e">
        <f t="shared" si="10"/>
        <v>#DIV/0!</v>
      </c>
      <c r="L6" s="57" t="e">
        <f t="shared" si="11"/>
        <v>#DIV/0!</v>
      </c>
      <c r="M6" s="57" t="e">
        <f t="shared" si="12"/>
        <v>#DIV/0!</v>
      </c>
      <c r="N6" s="57" t="e">
        <f t="shared" si="13"/>
        <v>#DIV/0!</v>
      </c>
      <c r="O6" s="58" t="e">
        <f>Links!B6</f>
        <v>#DIV/0!</v>
      </c>
      <c r="P6" s="58" t="e">
        <f>Links!C6+'On-Ramps'!AC6</f>
        <v>#DIV/0!</v>
      </c>
      <c r="Q6" s="58" t="e">
        <f>Links!D6</f>
        <v>#DIV/0!</v>
      </c>
      <c r="R6" s="58" t="e">
        <f>Links!E6+'On-Ramps'!AD6</f>
        <v>#DIV/0!</v>
      </c>
      <c r="S6" s="58" t="e">
        <f>Links!F6+'On-Ramps'!AE6</f>
        <v>#DIV/0!</v>
      </c>
      <c r="T6" s="58" t="e">
        <f>Links!I6+'On-Ramps'!AF6</f>
        <v>#DIV/0!</v>
      </c>
      <c r="U6" s="58" t="e">
        <f>Links!J6+'On-Ramps'!AG6</f>
        <v>#DIV/0!</v>
      </c>
      <c r="V6" s="58" t="e">
        <f>Links!L6+'On-Ramps'!AH6</f>
        <v>#DIV/0!</v>
      </c>
      <c r="W6" s="58" t="e">
        <f>Links!M6+'On-Ramps'!AI6</f>
        <v>#DIV/0!</v>
      </c>
      <c r="X6" s="58" t="e">
        <f>Links!P6+'On-Ramps'!AJ6</f>
        <v>#DIV/0!</v>
      </c>
      <c r="Y6" s="58" t="e">
        <f>Links!Q6</f>
        <v>#DIV/0!</v>
      </c>
      <c r="Z6" s="58" t="e">
        <f>Links!R6+'On-Ramps'!AK6</f>
        <v>#DIV/0!</v>
      </c>
      <c r="AA6" s="58" t="e">
        <f>Links!S6</f>
        <v>#DIV/0!</v>
      </c>
      <c r="AB6" s="57" t="e">
        <f t="shared" si="16"/>
        <v>#DIV/0!</v>
      </c>
      <c r="AC6" s="63"/>
      <c r="AD6" s="57" t="e">
        <f t="shared" si="17"/>
        <v>#DIV/0!</v>
      </c>
      <c r="AE6" s="63"/>
      <c r="AF6" s="57" t="e">
        <f t="shared" si="18"/>
        <v>#DIV/0!</v>
      </c>
      <c r="AG6" s="57" t="e">
        <f t="shared" si="19"/>
        <v>#DIV/0!</v>
      </c>
      <c r="AH6" s="57" t="e">
        <f t="shared" si="20"/>
        <v>#DIV/0!</v>
      </c>
      <c r="AI6" s="57" t="e">
        <f t="shared" si="21"/>
        <v>#DIV/0!</v>
      </c>
      <c r="AJ6" s="57" t="e">
        <f t="shared" si="22"/>
        <v>#DIV/0!</v>
      </c>
      <c r="AK6" s="57" t="e">
        <f t="shared" si="23"/>
        <v>#DIV/0!</v>
      </c>
      <c r="AL6" s="57" t="e">
        <f t="shared" si="24"/>
        <v>#DIV/0!</v>
      </c>
      <c r="AM6" s="63"/>
      <c r="AN6" s="57" t="e">
        <f t="shared" si="14"/>
        <v>#DIV/0!</v>
      </c>
      <c r="AO6" s="58" t="e">
        <f t="shared" si="25"/>
        <v>#DIV/0!</v>
      </c>
      <c r="AP6" s="63"/>
      <c r="AQ6" s="58" t="e">
        <f t="shared" si="15"/>
        <v>#DIV/0!</v>
      </c>
      <c r="AR6" s="63"/>
      <c r="AS6" s="58" t="e">
        <f t="shared" si="15"/>
        <v>#DIV/0!</v>
      </c>
      <c r="AT6" s="58" t="e">
        <f t="shared" si="15"/>
        <v>#DIV/0!</v>
      </c>
      <c r="AU6" s="58" t="e">
        <f t="shared" si="15"/>
        <v>#DIV/0!</v>
      </c>
      <c r="AV6" s="58" t="e">
        <f t="shared" si="15"/>
        <v>#DIV/0!</v>
      </c>
      <c r="AW6" s="58" t="e">
        <f t="shared" si="15"/>
        <v>#DIV/0!</v>
      </c>
      <c r="AX6" s="58" t="e">
        <f t="shared" si="15"/>
        <v>#DIV/0!</v>
      </c>
      <c r="AY6" s="58" t="e">
        <f t="shared" si="15"/>
        <v>#DIV/0!</v>
      </c>
      <c r="AZ6" s="63"/>
      <c r="BA6" s="58" t="e">
        <f t="shared" si="15"/>
        <v>#DIV/0!</v>
      </c>
      <c r="BB6" s="63"/>
      <c r="BC6" s="57" t="e">
        <f>(Links!C6*Links!AQ6+'On-Ramps'!AC6*'On-Ramps'!CE6)/('On-Ramps'!AC6+Links!C6)</f>
        <v>#DIV/0!</v>
      </c>
      <c r="BD6" s="63"/>
      <c r="BE6" s="57" t="e">
        <f>(Links!E6*Links!AS6+'On-Ramps'!AD6*'On-Ramps'!CF5)/('On-Ramps'!AD6+Links!E6)</f>
        <v>#DIV/0!</v>
      </c>
      <c r="BF6" s="57" t="e">
        <f>(Links!F6*Links!AT6+'On-Ramps'!AE6*'On-Ramps'!CG6)/('On-Ramps'!AE6+Links!F6)</f>
        <v>#DIV/0!</v>
      </c>
      <c r="BG6" s="57" t="e">
        <f>(Links!I6*Links!AW6+'On-Ramps'!AF6*'On-Ramps'!CH6)/('On-Ramps'!AF6+Links!I6)</f>
        <v>#DIV/0!</v>
      </c>
      <c r="BH6" s="57" t="e">
        <f>(#REF!*#REF!+'On-Ramps'!AG6*'On-Ramps'!CI6)/('On-Ramps'!AG6+#REF!)</f>
        <v>#REF!</v>
      </c>
      <c r="BI6" s="57" t="e">
        <f>(Links!L6*Links!AZ6+'On-Ramps'!AH6*'On-Ramps'!CJ6)/('On-Ramps'!AH6+Links!L6)</f>
        <v>#DIV/0!</v>
      </c>
      <c r="BJ6" s="57" t="e">
        <f>(Links!BA6*Links!M6+'On-Ramps'!AI6*'On-Ramps'!CK6)/('On-Ramps'!AI6+Links!M6)</f>
        <v>#DIV/0!</v>
      </c>
      <c r="BK6" s="57" t="e">
        <f>(Links!S6*Links!BG6+'On-Ramps'!AJ6*'On-Ramps'!CL6)/('On-Ramps'!AJ6+Links!S6)</f>
        <v>#DIV/0!</v>
      </c>
      <c r="BL6" s="63"/>
      <c r="BM6" s="57" t="e">
        <f>(Links!S6*Links!BG6+'On-Ramps'!AL6*'On-Ramps'!CM6)/(Links!S6+'On-Ramps'!AL6)</f>
        <v>#DIV/0!</v>
      </c>
      <c r="BN6" s="63"/>
      <c r="BO6" s="58" t="e">
        <f>(Links!W6^2+'Off-Ramp'!L6^2)/(Links!W6+'Off-Ramp'!L6)</f>
        <v>#DIV/0!</v>
      </c>
      <c r="BP6" s="63"/>
      <c r="BQ6" s="58" t="e">
        <f>(Links!Y6^2+'Off-Ramp'!C6^2)/(Links!Y6+'Off-Ramp'!C6)</f>
        <v>#DIV/0!</v>
      </c>
      <c r="BR6" s="63"/>
      <c r="BS6" s="58" t="e">
        <f>(Links!AA6^2+'Off-Ramp'!N6^2)/(Links!AA6+'Off-Ramp'!N6)</f>
        <v>#DIV/0!</v>
      </c>
      <c r="BT6" s="58" t="e">
        <f>(Links!AD6^2+'Off-Ramp'!O6^2)/(Links!AD6+'Off-Ramp'!O6)</f>
        <v>#DIV/0!</v>
      </c>
      <c r="BU6" s="58" t="e">
        <f>(Links!AE6^2+'Off-Ramp'!V6^2+'Off-Ramp'!W6^2+'Off-Ramp'!X6^2)/(Links!AE6+'Off-Ramp'!V6+'Off-Ramp'!W6+'Off-Ramp'!X6)</f>
        <v>#DIV/0!</v>
      </c>
      <c r="BV6" s="58" t="e">
        <f>(Links!AG6^2+'Off-Ramp'!Y6^2+'Off-Ramp'!Z6^2+'Off-Ramp'!AA6^2)/(Links!AG6+'Off-Ramp'!Y6+'Off-Ramp'!Z6+'Off-Ramp'!AA6)</f>
        <v>#DIV/0!</v>
      </c>
      <c r="BW6" s="58" t="e">
        <f>(Links!AH6^2+'Off-Ramp'!R6^2)/(Links!AH6+'Off-Ramp'!R6)</f>
        <v>#DIV/0!</v>
      </c>
      <c r="BX6" s="58" t="e">
        <f>(Links!AK6^2+'Off-Ramp'!S6^2)/(Links!AK6+'Off-Ramp'!S6)</f>
        <v>#DIV/0!</v>
      </c>
      <c r="BY6" s="58" t="e">
        <f>(Links!AL6^2+'Off-Ramp'!T6^2)/(Links!AL6+'Off-Ramp'!T6)</f>
        <v>#DIV/0!</v>
      </c>
      <c r="BZ6" s="63"/>
      <c r="CA6" s="58" t="e">
        <f>(Links!AN6^2+'Off-Ramp'!U6^2)/(Links!AN6+'Off-Ramp'!U6)</f>
        <v>#DIV/0!</v>
      </c>
    </row>
    <row r="7" spans="1:79" x14ac:dyDescent="0.15">
      <c r="A7" s="56">
        <v>5</v>
      </c>
      <c r="B7" s="57" t="e">
        <f t="shared" si="1"/>
        <v>#DIV/0!</v>
      </c>
      <c r="C7" s="57" t="e">
        <f t="shared" si="2"/>
        <v>#DIV/0!</v>
      </c>
      <c r="D7" s="57" t="e">
        <f t="shared" si="3"/>
        <v>#DIV/0!</v>
      </c>
      <c r="E7" s="57" t="e">
        <f t="shared" si="4"/>
        <v>#DIV/0!</v>
      </c>
      <c r="F7" s="57" t="e">
        <f t="shared" si="5"/>
        <v>#DIV/0!</v>
      </c>
      <c r="G7" s="57" t="e">
        <f t="shared" si="6"/>
        <v>#DIV/0!</v>
      </c>
      <c r="H7" s="57" t="e">
        <f t="shared" si="7"/>
        <v>#DIV/0!</v>
      </c>
      <c r="I7" s="57" t="e">
        <f t="shared" si="8"/>
        <v>#DIV/0!</v>
      </c>
      <c r="J7" s="57" t="e">
        <f t="shared" si="9"/>
        <v>#DIV/0!</v>
      </c>
      <c r="K7" s="57" t="e">
        <f t="shared" si="10"/>
        <v>#DIV/0!</v>
      </c>
      <c r="L7" s="57" t="e">
        <f t="shared" si="11"/>
        <v>#DIV/0!</v>
      </c>
      <c r="M7" s="57" t="e">
        <f t="shared" si="12"/>
        <v>#DIV/0!</v>
      </c>
      <c r="N7" s="57" t="e">
        <f t="shared" si="13"/>
        <v>#DIV/0!</v>
      </c>
      <c r="O7" s="58" t="e">
        <f>Links!B7</f>
        <v>#DIV/0!</v>
      </c>
      <c r="P7" s="58" t="e">
        <f>Links!C7+'On-Ramps'!AC7</f>
        <v>#DIV/0!</v>
      </c>
      <c r="Q7" s="58" t="e">
        <f>Links!D7</f>
        <v>#DIV/0!</v>
      </c>
      <c r="R7" s="58" t="e">
        <f>Links!E7+'On-Ramps'!AD7</f>
        <v>#DIV/0!</v>
      </c>
      <c r="S7" s="58" t="e">
        <f>Links!F7+'On-Ramps'!AE7</f>
        <v>#DIV/0!</v>
      </c>
      <c r="T7" s="58" t="e">
        <f>Links!I7+'On-Ramps'!AF7</f>
        <v>#DIV/0!</v>
      </c>
      <c r="U7" s="58" t="e">
        <f>Links!J7+'On-Ramps'!AG7</f>
        <v>#DIV/0!</v>
      </c>
      <c r="V7" s="58" t="e">
        <f>Links!L7+'On-Ramps'!AH7</f>
        <v>#DIV/0!</v>
      </c>
      <c r="W7" s="58" t="e">
        <f>Links!M7+'On-Ramps'!AI7</f>
        <v>#DIV/0!</v>
      </c>
      <c r="X7" s="58" t="e">
        <f>Links!P7+'On-Ramps'!AJ7</f>
        <v>#DIV/0!</v>
      </c>
      <c r="Y7" s="58" t="e">
        <f>Links!Q7</f>
        <v>#DIV/0!</v>
      </c>
      <c r="Z7" s="58" t="e">
        <f>Links!R7+'On-Ramps'!AK7</f>
        <v>#DIV/0!</v>
      </c>
      <c r="AA7" s="58" t="e">
        <f>Links!S7</f>
        <v>#DIV/0!</v>
      </c>
      <c r="AB7" s="57" t="e">
        <f t="shared" si="16"/>
        <v>#DIV/0!</v>
      </c>
      <c r="AC7" s="63"/>
      <c r="AD7" s="57" t="e">
        <f t="shared" si="17"/>
        <v>#DIV/0!</v>
      </c>
      <c r="AE7" s="63"/>
      <c r="AF7" s="57" t="e">
        <f t="shared" si="18"/>
        <v>#DIV/0!</v>
      </c>
      <c r="AG7" s="57" t="e">
        <f t="shared" si="19"/>
        <v>#DIV/0!</v>
      </c>
      <c r="AH7" s="57" t="e">
        <f t="shared" si="20"/>
        <v>#DIV/0!</v>
      </c>
      <c r="AI7" s="57" t="e">
        <f t="shared" si="21"/>
        <v>#DIV/0!</v>
      </c>
      <c r="AJ7" s="57" t="e">
        <f t="shared" si="22"/>
        <v>#DIV/0!</v>
      </c>
      <c r="AK7" s="57" t="e">
        <f t="shared" si="23"/>
        <v>#DIV/0!</v>
      </c>
      <c r="AL7" s="57" t="e">
        <f t="shared" si="24"/>
        <v>#DIV/0!</v>
      </c>
      <c r="AM7" s="63"/>
      <c r="AN7" s="57" t="e">
        <f t="shared" si="14"/>
        <v>#DIV/0!</v>
      </c>
      <c r="AO7" s="58" t="e">
        <f t="shared" si="25"/>
        <v>#DIV/0!</v>
      </c>
      <c r="AP7" s="63"/>
      <c r="AQ7" s="58" t="e">
        <f t="shared" si="15"/>
        <v>#DIV/0!</v>
      </c>
      <c r="AR7" s="63"/>
      <c r="AS7" s="58" t="e">
        <f t="shared" si="15"/>
        <v>#DIV/0!</v>
      </c>
      <c r="AT7" s="58" t="e">
        <f t="shared" si="15"/>
        <v>#DIV/0!</v>
      </c>
      <c r="AU7" s="58" t="e">
        <f t="shared" si="15"/>
        <v>#DIV/0!</v>
      </c>
      <c r="AV7" s="58" t="e">
        <f t="shared" si="15"/>
        <v>#DIV/0!</v>
      </c>
      <c r="AW7" s="58" t="e">
        <f t="shared" si="15"/>
        <v>#DIV/0!</v>
      </c>
      <c r="AX7" s="58" t="e">
        <f t="shared" si="15"/>
        <v>#DIV/0!</v>
      </c>
      <c r="AY7" s="58" t="e">
        <f t="shared" si="15"/>
        <v>#DIV/0!</v>
      </c>
      <c r="AZ7" s="63"/>
      <c r="BA7" s="58" t="e">
        <f t="shared" si="15"/>
        <v>#DIV/0!</v>
      </c>
      <c r="BB7" s="63"/>
      <c r="BC7" s="57" t="e">
        <f>(Links!C7*Links!AQ7+'On-Ramps'!AC7*'On-Ramps'!CE7)/('On-Ramps'!AC7+Links!C7)</f>
        <v>#DIV/0!</v>
      </c>
      <c r="BD7" s="63"/>
      <c r="BE7" s="57" t="e">
        <f>(Links!E7*Links!AS7+'On-Ramps'!AD7*'On-Ramps'!CF6)/('On-Ramps'!AD7+Links!E7)</f>
        <v>#DIV/0!</v>
      </c>
      <c r="BF7" s="57" t="e">
        <f>(Links!F7*Links!AT7+'On-Ramps'!AE7*'On-Ramps'!CG7)/('On-Ramps'!AE7+Links!F7)</f>
        <v>#DIV/0!</v>
      </c>
      <c r="BG7" s="57" t="e">
        <f>(Links!I7*Links!AW7+'On-Ramps'!AF7*'On-Ramps'!CH7)/('On-Ramps'!AF7+Links!I7)</f>
        <v>#DIV/0!</v>
      </c>
      <c r="BH7" s="57" t="e">
        <f>(#REF!*#REF!+'On-Ramps'!AG7*'On-Ramps'!CI7)/('On-Ramps'!AG7+#REF!)</f>
        <v>#REF!</v>
      </c>
      <c r="BI7" s="57" t="e">
        <f>(Links!L7*Links!AZ7+'On-Ramps'!AH7*'On-Ramps'!CJ7)/('On-Ramps'!AH7+Links!L7)</f>
        <v>#DIV/0!</v>
      </c>
      <c r="BJ7" s="57" t="e">
        <f>(Links!BA7*Links!M7+'On-Ramps'!AI7*'On-Ramps'!CK7)/('On-Ramps'!AI7+Links!M7)</f>
        <v>#DIV/0!</v>
      </c>
      <c r="BK7" s="57" t="e">
        <f>(Links!S7*Links!BG7+'On-Ramps'!AJ7*'On-Ramps'!CL7)/('On-Ramps'!AJ7+Links!S7)</f>
        <v>#DIV/0!</v>
      </c>
      <c r="BL7" s="63"/>
      <c r="BM7" s="57" t="e">
        <f>(Links!S7*Links!BG7+'On-Ramps'!AL7*'On-Ramps'!CM7)/(Links!S7+'On-Ramps'!AL7)</f>
        <v>#DIV/0!</v>
      </c>
      <c r="BN7" s="63"/>
      <c r="BO7" s="58" t="e">
        <f>(Links!W7^2+'Off-Ramp'!L7^2)/(Links!W7+'Off-Ramp'!L7)</f>
        <v>#DIV/0!</v>
      </c>
      <c r="BP7" s="63"/>
      <c r="BQ7" s="58" t="e">
        <f>(Links!Y7^2+'Off-Ramp'!C7^2)/(Links!Y7+'Off-Ramp'!C7)</f>
        <v>#DIV/0!</v>
      </c>
      <c r="BR7" s="63"/>
      <c r="BS7" s="58" t="e">
        <f>(Links!AA7^2+'Off-Ramp'!N7^2)/(Links!AA7+'Off-Ramp'!N7)</f>
        <v>#DIV/0!</v>
      </c>
      <c r="BT7" s="58" t="e">
        <f>(Links!AD7^2+'Off-Ramp'!O7^2)/(Links!AD7+'Off-Ramp'!O7)</f>
        <v>#DIV/0!</v>
      </c>
      <c r="BU7" s="58" t="e">
        <f>(Links!AE7^2+'Off-Ramp'!V7^2+'Off-Ramp'!W7^2+'Off-Ramp'!X7^2)/(Links!AE7+'Off-Ramp'!V7+'Off-Ramp'!W7+'Off-Ramp'!X7)</f>
        <v>#DIV/0!</v>
      </c>
      <c r="BV7" s="58" t="e">
        <f>(Links!AG7^2+'Off-Ramp'!Y7^2+'Off-Ramp'!Z7^2+'Off-Ramp'!AA7^2)/(Links!AG7+'Off-Ramp'!Y7+'Off-Ramp'!Z7+'Off-Ramp'!AA7)</f>
        <v>#DIV/0!</v>
      </c>
      <c r="BW7" s="58" t="e">
        <f>(Links!AH7^2+'Off-Ramp'!R7^2)/(Links!AH7+'Off-Ramp'!R7)</f>
        <v>#DIV/0!</v>
      </c>
      <c r="BX7" s="58" t="e">
        <f>(Links!AK7^2+'Off-Ramp'!S7^2)/(Links!AK7+'Off-Ramp'!S7)</f>
        <v>#DIV/0!</v>
      </c>
      <c r="BY7" s="58" t="e">
        <f>(Links!AL7^2+'Off-Ramp'!T7^2)/(Links!AL7+'Off-Ramp'!T7)</f>
        <v>#DIV/0!</v>
      </c>
      <c r="BZ7" s="63"/>
      <c r="CA7" s="58" t="e">
        <f>(Links!AN7^2+'Off-Ramp'!U7^2)/(Links!AN7+'Off-Ramp'!U7)</f>
        <v>#DIV/0!</v>
      </c>
    </row>
    <row r="8" spans="1:79" x14ac:dyDescent="0.15">
      <c r="A8" s="56">
        <v>6</v>
      </c>
      <c r="B8" s="57" t="e">
        <f t="shared" si="1"/>
        <v>#DIV/0!</v>
      </c>
      <c r="C8" s="57" t="e">
        <f t="shared" si="2"/>
        <v>#DIV/0!</v>
      </c>
      <c r="D8" s="57" t="e">
        <f t="shared" si="3"/>
        <v>#DIV/0!</v>
      </c>
      <c r="E8" s="57" t="e">
        <f t="shared" si="4"/>
        <v>#DIV/0!</v>
      </c>
      <c r="F8" s="57" t="e">
        <f t="shared" si="5"/>
        <v>#DIV/0!</v>
      </c>
      <c r="G8" s="57" t="e">
        <f t="shared" si="6"/>
        <v>#DIV/0!</v>
      </c>
      <c r="H8" s="57" t="e">
        <f t="shared" si="7"/>
        <v>#DIV/0!</v>
      </c>
      <c r="I8" s="57" t="e">
        <f t="shared" si="8"/>
        <v>#DIV/0!</v>
      </c>
      <c r="J8" s="57" t="e">
        <f t="shared" si="9"/>
        <v>#DIV/0!</v>
      </c>
      <c r="K8" s="57" t="e">
        <f t="shared" si="10"/>
        <v>#DIV/0!</v>
      </c>
      <c r="L8" s="57" t="e">
        <f t="shared" si="11"/>
        <v>#DIV/0!</v>
      </c>
      <c r="M8" s="57" t="e">
        <f t="shared" si="12"/>
        <v>#DIV/0!</v>
      </c>
      <c r="N8" s="57" t="e">
        <f t="shared" si="13"/>
        <v>#DIV/0!</v>
      </c>
      <c r="O8" s="58" t="e">
        <f>Links!B8</f>
        <v>#DIV/0!</v>
      </c>
      <c r="P8" s="58" t="e">
        <f>Links!C8+'On-Ramps'!AC8</f>
        <v>#DIV/0!</v>
      </c>
      <c r="Q8" s="58" t="e">
        <f>Links!D8</f>
        <v>#DIV/0!</v>
      </c>
      <c r="R8" s="58" t="e">
        <f>Links!E8+'On-Ramps'!AD8</f>
        <v>#DIV/0!</v>
      </c>
      <c r="S8" s="58" t="e">
        <f>Links!F8+'On-Ramps'!AE8</f>
        <v>#DIV/0!</v>
      </c>
      <c r="T8" s="58" t="e">
        <f>Links!I8+'On-Ramps'!AF8</f>
        <v>#DIV/0!</v>
      </c>
      <c r="U8" s="58" t="e">
        <f>Links!J8+'On-Ramps'!AG8</f>
        <v>#DIV/0!</v>
      </c>
      <c r="V8" s="58" t="e">
        <f>Links!L8+'On-Ramps'!AH8</f>
        <v>#DIV/0!</v>
      </c>
      <c r="W8" s="58" t="e">
        <f>Links!M8+'On-Ramps'!AI8</f>
        <v>#DIV/0!</v>
      </c>
      <c r="X8" s="58" t="e">
        <f>Links!P8+'On-Ramps'!AJ8</f>
        <v>#DIV/0!</v>
      </c>
      <c r="Y8" s="58" t="e">
        <f>Links!Q8</f>
        <v>#DIV/0!</v>
      </c>
      <c r="Z8" s="58" t="e">
        <f>Links!R8+'On-Ramps'!AK8</f>
        <v>#DIV/0!</v>
      </c>
      <c r="AA8" s="58" t="e">
        <f>Links!S8</f>
        <v>#DIV/0!</v>
      </c>
      <c r="AB8" s="57" t="e">
        <f t="shared" si="16"/>
        <v>#DIV/0!</v>
      </c>
      <c r="AC8" s="63"/>
      <c r="AD8" s="57" t="e">
        <f t="shared" si="17"/>
        <v>#DIV/0!</v>
      </c>
      <c r="AE8" s="63"/>
      <c r="AF8" s="57" t="e">
        <f t="shared" si="18"/>
        <v>#DIV/0!</v>
      </c>
      <c r="AG8" s="57" t="e">
        <f t="shared" si="19"/>
        <v>#DIV/0!</v>
      </c>
      <c r="AH8" s="57" t="e">
        <f t="shared" si="20"/>
        <v>#DIV/0!</v>
      </c>
      <c r="AI8" s="57" t="e">
        <f t="shared" si="21"/>
        <v>#DIV/0!</v>
      </c>
      <c r="AJ8" s="57" t="e">
        <f t="shared" si="22"/>
        <v>#DIV/0!</v>
      </c>
      <c r="AK8" s="57" t="e">
        <f t="shared" si="23"/>
        <v>#DIV/0!</v>
      </c>
      <c r="AL8" s="57" t="e">
        <f t="shared" si="24"/>
        <v>#DIV/0!</v>
      </c>
      <c r="AM8" s="63"/>
      <c r="AN8" s="57" t="e">
        <f t="shared" si="14"/>
        <v>#DIV/0!</v>
      </c>
      <c r="AO8" s="58" t="e">
        <f t="shared" si="25"/>
        <v>#DIV/0!</v>
      </c>
      <c r="AP8" s="63"/>
      <c r="AQ8" s="58" t="e">
        <f t="shared" si="15"/>
        <v>#DIV/0!</v>
      </c>
      <c r="AR8" s="63"/>
      <c r="AS8" s="58" t="e">
        <f t="shared" si="15"/>
        <v>#DIV/0!</v>
      </c>
      <c r="AT8" s="58" t="e">
        <f t="shared" si="15"/>
        <v>#DIV/0!</v>
      </c>
      <c r="AU8" s="58" t="e">
        <f t="shared" si="15"/>
        <v>#DIV/0!</v>
      </c>
      <c r="AV8" s="58" t="e">
        <f t="shared" si="15"/>
        <v>#DIV/0!</v>
      </c>
      <c r="AW8" s="58" t="e">
        <f t="shared" si="15"/>
        <v>#DIV/0!</v>
      </c>
      <c r="AX8" s="58" t="e">
        <f t="shared" si="15"/>
        <v>#DIV/0!</v>
      </c>
      <c r="AY8" s="58" t="e">
        <f t="shared" si="15"/>
        <v>#DIV/0!</v>
      </c>
      <c r="AZ8" s="63"/>
      <c r="BA8" s="58" t="e">
        <f t="shared" si="15"/>
        <v>#DIV/0!</v>
      </c>
      <c r="BB8" s="63"/>
      <c r="BC8" s="57" t="e">
        <f>(Links!C8*Links!AQ8+'On-Ramps'!AC8*'On-Ramps'!CE8)/('On-Ramps'!AC8+Links!C8)</f>
        <v>#DIV/0!</v>
      </c>
      <c r="BD8" s="63"/>
      <c r="BE8" s="57" t="e">
        <f>(Links!E8*Links!AS8+'On-Ramps'!AD8*'On-Ramps'!CF7)/('On-Ramps'!AD8+Links!E8)</f>
        <v>#DIV/0!</v>
      </c>
      <c r="BF8" s="57" t="e">
        <f>(Links!F8*Links!AT8+'On-Ramps'!AE8*'On-Ramps'!CG8)/('On-Ramps'!AE8+Links!F8)</f>
        <v>#DIV/0!</v>
      </c>
      <c r="BG8" s="57" t="e">
        <f>(Links!I8*Links!AW8+'On-Ramps'!AF8*'On-Ramps'!CH8)/('On-Ramps'!AF8+Links!I8)</f>
        <v>#DIV/0!</v>
      </c>
      <c r="BH8" s="57" t="e">
        <f>(#REF!*#REF!+'On-Ramps'!AG8*'On-Ramps'!CI8)/('On-Ramps'!AG8+#REF!)</f>
        <v>#REF!</v>
      </c>
      <c r="BI8" s="57" t="e">
        <f>(Links!L8*Links!AZ8+'On-Ramps'!AH8*'On-Ramps'!CJ8)/('On-Ramps'!AH8+Links!L8)</f>
        <v>#DIV/0!</v>
      </c>
      <c r="BJ8" s="57" t="e">
        <f>(Links!BA8*Links!M8+'On-Ramps'!AI8*'On-Ramps'!CK8)/('On-Ramps'!AI8+Links!M8)</f>
        <v>#DIV/0!</v>
      </c>
      <c r="BK8" s="57" t="e">
        <f>(Links!S8*Links!BG8+'On-Ramps'!AJ8*'On-Ramps'!CL8)/('On-Ramps'!AJ8+Links!S8)</f>
        <v>#DIV/0!</v>
      </c>
      <c r="BL8" s="63"/>
      <c r="BM8" s="57" t="e">
        <f>(Links!S8*Links!BG8+'On-Ramps'!AL8*'On-Ramps'!CM8)/(Links!S8+'On-Ramps'!AL8)</f>
        <v>#DIV/0!</v>
      </c>
      <c r="BN8" s="63"/>
      <c r="BO8" s="58" t="e">
        <f>(Links!W8^2+'Off-Ramp'!L8^2)/(Links!W8+'Off-Ramp'!L8)</f>
        <v>#DIV/0!</v>
      </c>
      <c r="BP8" s="63"/>
      <c r="BQ8" s="58" t="e">
        <f>(Links!Y8^2+'Off-Ramp'!C8^2)/(Links!Y8+'Off-Ramp'!C8)</f>
        <v>#DIV/0!</v>
      </c>
      <c r="BR8" s="63"/>
      <c r="BS8" s="58" t="e">
        <f>(Links!AA8^2+'Off-Ramp'!N8^2)/(Links!AA8+'Off-Ramp'!N8)</f>
        <v>#DIV/0!</v>
      </c>
      <c r="BT8" s="58" t="e">
        <f>(Links!AD8^2+'Off-Ramp'!O8^2)/(Links!AD8+'Off-Ramp'!O8)</f>
        <v>#DIV/0!</v>
      </c>
      <c r="BU8" s="58" t="e">
        <f>(Links!AE8^2+'Off-Ramp'!V8^2+'Off-Ramp'!W8^2+'Off-Ramp'!X8^2)/(Links!AE8+'Off-Ramp'!V8+'Off-Ramp'!W8+'Off-Ramp'!X8)</f>
        <v>#DIV/0!</v>
      </c>
      <c r="BV8" s="58" t="e">
        <f>(Links!AG8^2+'Off-Ramp'!Y8^2+'Off-Ramp'!Z8^2+'Off-Ramp'!AA8^2)/(Links!AG8+'Off-Ramp'!Y8+'Off-Ramp'!Z8+'Off-Ramp'!AA8)</f>
        <v>#DIV/0!</v>
      </c>
      <c r="BW8" s="58" t="e">
        <f>(Links!AH8^2+'Off-Ramp'!R8^2)/(Links!AH8+'Off-Ramp'!R8)</f>
        <v>#DIV/0!</v>
      </c>
      <c r="BX8" s="58" t="e">
        <f>(Links!AK8^2+'Off-Ramp'!S8^2)/(Links!AK8+'Off-Ramp'!S8)</f>
        <v>#DIV/0!</v>
      </c>
      <c r="BY8" s="58" t="e">
        <f>(Links!AL8^2+'Off-Ramp'!T8^2)/(Links!AL8+'Off-Ramp'!T8)</f>
        <v>#DIV/0!</v>
      </c>
      <c r="BZ8" s="63"/>
      <c r="CA8" s="58" t="e">
        <f>(Links!AN8^2+'Off-Ramp'!U8^2)/(Links!AN8+'Off-Ramp'!U8)</f>
        <v>#DIV/0!</v>
      </c>
    </row>
    <row r="9" spans="1:79" x14ac:dyDescent="0.15">
      <c r="A9" s="56">
        <v>7</v>
      </c>
      <c r="B9" s="57" t="e">
        <f t="shared" si="1"/>
        <v>#DIV/0!</v>
      </c>
      <c r="C9" s="57" t="e">
        <f t="shared" si="2"/>
        <v>#DIV/0!</v>
      </c>
      <c r="D9" s="57" t="e">
        <f t="shared" si="3"/>
        <v>#DIV/0!</v>
      </c>
      <c r="E9" s="57" t="e">
        <f t="shared" si="4"/>
        <v>#DIV/0!</v>
      </c>
      <c r="F9" s="57" t="e">
        <f t="shared" si="5"/>
        <v>#DIV/0!</v>
      </c>
      <c r="G9" s="57" t="e">
        <f t="shared" si="6"/>
        <v>#DIV/0!</v>
      </c>
      <c r="H9" s="57" t="e">
        <f t="shared" si="7"/>
        <v>#DIV/0!</v>
      </c>
      <c r="I9" s="57" t="e">
        <f t="shared" si="8"/>
        <v>#DIV/0!</v>
      </c>
      <c r="J9" s="57" t="e">
        <f t="shared" si="9"/>
        <v>#DIV/0!</v>
      </c>
      <c r="K9" s="57" t="e">
        <f t="shared" si="10"/>
        <v>#DIV/0!</v>
      </c>
      <c r="L9" s="57" t="e">
        <f t="shared" si="11"/>
        <v>#DIV/0!</v>
      </c>
      <c r="M9" s="57" t="e">
        <f t="shared" si="12"/>
        <v>#DIV/0!</v>
      </c>
      <c r="N9" s="57" t="e">
        <f t="shared" si="13"/>
        <v>#DIV/0!</v>
      </c>
      <c r="O9" s="58" t="e">
        <f>Links!B9</f>
        <v>#DIV/0!</v>
      </c>
      <c r="P9" s="58" t="e">
        <f>Links!C9+'On-Ramps'!AC9</f>
        <v>#DIV/0!</v>
      </c>
      <c r="Q9" s="58" t="e">
        <f>Links!D9</f>
        <v>#DIV/0!</v>
      </c>
      <c r="R9" s="58" t="e">
        <f>Links!E9+'On-Ramps'!AD9</f>
        <v>#DIV/0!</v>
      </c>
      <c r="S9" s="58" t="e">
        <f>Links!F9+'On-Ramps'!AE9</f>
        <v>#DIV/0!</v>
      </c>
      <c r="T9" s="58" t="e">
        <f>Links!I9+'On-Ramps'!AF9</f>
        <v>#DIV/0!</v>
      </c>
      <c r="U9" s="58" t="e">
        <f>Links!J9+'On-Ramps'!AG9</f>
        <v>#DIV/0!</v>
      </c>
      <c r="V9" s="58" t="e">
        <f>Links!L9+'On-Ramps'!AH9</f>
        <v>#DIV/0!</v>
      </c>
      <c r="W9" s="58" t="e">
        <f>Links!M9+'On-Ramps'!AI9</f>
        <v>#DIV/0!</v>
      </c>
      <c r="X9" s="58" t="e">
        <f>Links!P9+'On-Ramps'!AJ9</f>
        <v>#DIV/0!</v>
      </c>
      <c r="Y9" s="58" t="e">
        <f>Links!Q9</f>
        <v>#DIV/0!</v>
      </c>
      <c r="Z9" s="58" t="e">
        <f>Links!R9+'On-Ramps'!AK9</f>
        <v>#DIV/0!</v>
      </c>
      <c r="AA9" s="58" t="e">
        <f>Links!S9</f>
        <v>#DIV/0!</v>
      </c>
      <c r="AB9" s="57" t="e">
        <f t="shared" si="16"/>
        <v>#DIV/0!</v>
      </c>
      <c r="AC9" s="63"/>
      <c r="AD9" s="57" t="e">
        <f t="shared" si="17"/>
        <v>#DIV/0!</v>
      </c>
      <c r="AE9" s="63"/>
      <c r="AF9" s="57" t="e">
        <f t="shared" si="18"/>
        <v>#DIV/0!</v>
      </c>
      <c r="AG9" s="57" t="e">
        <f t="shared" si="19"/>
        <v>#DIV/0!</v>
      </c>
      <c r="AH9" s="57" t="e">
        <f t="shared" si="20"/>
        <v>#DIV/0!</v>
      </c>
      <c r="AI9" s="57" t="e">
        <f t="shared" si="21"/>
        <v>#DIV/0!</v>
      </c>
      <c r="AJ9" s="57" t="e">
        <f t="shared" si="22"/>
        <v>#DIV/0!</v>
      </c>
      <c r="AK9" s="57" t="e">
        <f t="shared" si="23"/>
        <v>#DIV/0!</v>
      </c>
      <c r="AL9" s="57" t="e">
        <f t="shared" si="24"/>
        <v>#DIV/0!</v>
      </c>
      <c r="AM9" s="63"/>
      <c r="AN9" s="57" t="e">
        <f t="shared" si="14"/>
        <v>#DIV/0!</v>
      </c>
      <c r="AO9" s="58" t="e">
        <f t="shared" si="25"/>
        <v>#DIV/0!</v>
      </c>
      <c r="AP9" s="63"/>
      <c r="AQ9" s="58" t="e">
        <f t="shared" si="15"/>
        <v>#DIV/0!</v>
      </c>
      <c r="AR9" s="63"/>
      <c r="AS9" s="58" t="e">
        <f t="shared" si="15"/>
        <v>#DIV/0!</v>
      </c>
      <c r="AT9" s="58" t="e">
        <f t="shared" si="15"/>
        <v>#DIV/0!</v>
      </c>
      <c r="AU9" s="58" t="e">
        <f t="shared" si="15"/>
        <v>#DIV/0!</v>
      </c>
      <c r="AV9" s="58" t="e">
        <f t="shared" si="15"/>
        <v>#DIV/0!</v>
      </c>
      <c r="AW9" s="58" t="e">
        <f t="shared" si="15"/>
        <v>#DIV/0!</v>
      </c>
      <c r="AX9" s="58" t="e">
        <f t="shared" si="15"/>
        <v>#DIV/0!</v>
      </c>
      <c r="AY9" s="58" t="e">
        <f t="shared" si="15"/>
        <v>#DIV/0!</v>
      </c>
      <c r="AZ9" s="63"/>
      <c r="BA9" s="58" t="e">
        <f t="shared" si="15"/>
        <v>#DIV/0!</v>
      </c>
      <c r="BB9" s="63"/>
      <c r="BC9" s="57" t="e">
        <f>(Links!C9*Links!AQ9+'On-Ramps'!AC9*'On-Ramps'!CE9)/('On-Ramps'!AC9+Links!C9)</f>
        <v>#DIV/0!</v>
      </c>
      <c r="BD9" s="63"/>
      <c r="BE9" s="57" t="e">
        <f>(Links!E9*Links!AS9+'On-Ramps'!AD9*'On-Ramps'!CF8)/('On-Ramps'!AD9+Links!E9)</f>
        <v>#DIV/0!</v>
      </c>
      <c r="BF9" s="57" t="e">
        <f>(Links!F9*Links!AT9+'On-Ramps'!AE9*'On-Ramps'!CG9)/('On-Ramps'!AE9+Links!F9)</f>
        <v>#DIV/0!</v>
      </c>
      <c r="BG9" s="57" t="e">
        <f>(Links!I9*Links!AW9+'On-Ramps'!AF9*'On-Ramps'!CH9)/('On-Ramps'!AF9+Links!I9)</f>
        <v>#DIV/0!</v>
      </c>
      <c r="BH9" s="57" t="e">
        <f>(#REF!*#REF!+'On-Ramps'!AG9*'On-Ramps'!CI9)/('On-Ramps'!AG9+#REF!)</f>
        <v>#REF!</v>
      </c>
      <c r="BI9" s="57" t="e">
        <f>(Links!L9*Links!AZ9+'On-Ramps'!AH9*'On-Ramps'!CJ9)/('On-Ramps'!AH9+Links!L9)</f>
        <v>#DIV/0!</v>
      </c>
      <c r="BJ9" s="57" t="e">
        <f>(Links!BA9*Links!M9+'On-Ramps'!AI9*'On-Ramps'!CK9)/('On-Ramps'!AI9+Links!M9)</f>
        <v>#DIV/0!</v>
      </c>
      <c r="BK9" s="57" t="e">
        <f>(Links!S9*Links!BG9+'On-Ramps'!AJ9*'On-Ramps'!CL9)/('On-Ramps'!AJ9+Links!S9)</f>
        <v>#DIV/0!</v>
      </c>
      <c r="BL9" s="63"/>
      <c r="BM9" s="57" t="e">
        <f>(Links!S9*Links!BG9+'On-Ramps'!AL9*'On-Ramps'!CM9)/(Links!S9+'On-Ramps'!AL9)</f>
        <v>#DIV/0!</v>
      </c>
      <c r="BN9" s="63"/>
      <c r="BO9" s="58" t="e">
        <f>(Links!W9^2+'Off-Ramp'!L9^2)/(Links!W9+'Off-Ramp'!L9)</f>
        <v>#DIV/0!</v>
      </c>
      <c r="BP9" s="63"/>
      <c r="BQ9" s="58" t="e">
        <f>(Links!Y9^2+'Off-Ramp'!C9^2)/(Links!Y9+'Off-Ramp'!C9)</f>
        <v>#DIV/0!</v>
      </c>
      <c r="BR9" s="63"/>
      <c r="BS9" s="58" t="e">
        <f>(Links!AA9^2+'Off-Ramp'!N9^2)/(Links!AA9+'Off-Ramp'!N9)</f>
        <v>#DIV/0!</v>
      </c>
      <c r="BT9" s="58" t="e">
        <f>(Links!AD9^2+'Off-Ramp'!O9^2)/(Links!AD9+'Off-Ramp'!O9)</f>
        <v>#DIV/0!</v>
      </c>
      <c r="BU9" s="58" t="e">
        <f>(Links!AE9^2+'Off-Ramp'!V9^2+'Off-Ramp'!W9^2+'Off-Ramp'!X9^2)/(Links!AE9+'Off-Ramp'!V9+'Off-Ramp'!W9+'Off-Ramp'!X9)</f>
        <v>#DIV/0!</v>
      </c>
      <c r="BV9" s="58" t="e">
        <f>(Links!AG9^2+'Off-Ramp'!Y9^2+'Off-Ramp'!Z9^2+'Off-Ramp'!AA9^2)/(Links!AG9+'Off-Ramp'!Y9+'Off-Ramp'!Z9+'Off-Ramp'!AA9)</f>
        <v>#DIV/0!</v>
      </c>
      <c r="BW9" s="58" t="e">
        <f>(Links!AH9^2+'Off-Ramp'!R9^2)/(Links!AH9+'Off-Ramp'!R9)</f>
        <v>#DIV/0!</v>
      </c>
      <c r="BX9" s="58" t="e">
        <f>(Links!AK9^2+'Off-Ramp'!S9^2)/(Links!AK9+'Off-Ramp'!S9)</f>
        <v>#DIV/0!</v>
      </c>
      <c r="BY9" s="58" t="e">
        <f>(Links!AL9^2+'Off-Ramp'!T9^2)/(Links!AL9+'Off-Ramp'!T9)</f>
        <v>#DIV/0!</v>
      </c>
      <c r="BZ9" s="63"/>
      <c r="CA9" s="58" t="e">
        <f>(Links!AN9^2+'Off-Ramp'!U9^2)/(Links!AN9+'Off-Ramp'!U9)</f>
        <v>#DIV/0!</v>
      </c>
    </row>
    <row r="10" spans="1:79" x14ac:dyDescent="0.15">
      <c r="A10" s="56">
        <v>8</v>
      </c>
      <c r="B10" s="57" t="e">
        <f t="shared" si="1"/>
        <v>#DIV/0!</v>
      </c>
      <c r="C10" s="57" t="e">
        <f t="shared" si="2"/>
        <v>#DIV/0!</v>
      </c>
      <c r="D10" s="57" t="e">
        <f t="shared" si="3"/>
        <v>#DIV/0!</v>
      </c>
      <c r="E10" s="57" t="e">
        <f t="shared" si="4"/>
        <v>#DIV/0!</v>
      </c>
      <c r="F10" s="57" t="e">
        <f t="shared" si="5"/>
        <v>#DIV/0!</v>
      </c>
      <c r="G10" s="57" t="e">
        <f t="shared" si="6"/>
        <v>#DIV/0!</v>
      </c>
      <c r="H10" s="57" t="e">
        <f t="shared" si="7"/>
        <v>#DIV/0!</v>
      </c>
      <c r="I10" s="57" t="e">
        <f t="shared" si="8"/>
        <v>#DIV/0!</v>
      </c>
      <c r="J10" s="57" t="e">
        <f t="shared" si="9"/>
        <v>#DIV/0!</v>
      </c>
      <c r="K10" s="57" t="e">
        <f t="shared" si="10"/>
        <v>#DIV/0!</v>
      </c>
      <c r="L10" s="57" t="e">
        <f t="shared" si="11"/>
        <v>#DIV/0!</v>
      </c>
      <c r="M10" s="57" t="e">
        <f t="shared" si="12"/>
        <v>#DIV/0!</v>
      </c>
      <c r="N10" s="57" t="e">
        <f t="shared" si="13"/>
        <v>#DIV/0!</v>
      </c>
      <c r="O10" s="58" t="e">
        <f>Links!B10</f>
        <v>#DIV/0!</v>
      </c>
      <c r="P10" s="58" t="e">
        <f>Links!C10+'On-Ramps'!AC10</f>
        <v>#DIV/0!</v>
      </c>
      <c r="Q10" s="58" t="e">
        <f>Links!D10</f>
        <v>#DIV/0!</v>
      </c>
      <c r="R10" s="58" t="e">
        <f>Links!E10+'On-Ramps'!AD10</f>
        <v>#DIV/0!</v>
      </c>
      <c r="S10" s="58" t="e">
        <f>Links!F10+'On-Ramps'!AE10</f>
        <v>#DIV/0!</v>
      </c>
      <c r="T10" s="58" t="e">
        <f>Links!I10+'On-Ramps'!AF10</f>
        <v>#DIV/0!</v>
      </c>
      <c r="U10" s="58" t="e">
        <f>Links!J10+'On-Ramps'!AG10</f>
        <v>#DIV/0!</v>
      </c>
      <c r="V10" s="58" t="e">
        <f>Links!L10+'On-Ramps'!AH10</f>
        <v>#DIV/0!</v>
      </c>
      <c r="W10" s="58" t="e">
        <f>Links!M10+'On-Ramps'!AI10</f>
        <v>#DIV/0!</v>
      </c>
      <c r="X10" s="58" t="e">
        <f>Links!P10+'On-Ramps'!AJ10</f>
        <v>#DIV/0!</v>
      </c>
      <c r="Y10" s="58" t="e">
        <f>Links!Q10</f>
        <v>#DIV/0!</v>
      </c>
      <c r="Z10" s="58" t="e">
        <f>Links!R10+'On-Ramps'!AK10</f>
        <v>#DIV/0!</v>
      </c>
      <c r="AA10" s="58" t="e">
        <f>Links!S10</f>
        <v>#DIV/0!</v>
      </c>
      <c r="AB10" s="57" t="e">
        <f t="shared" si="16"/>
        <v>#DIV/0!</v>
      </c>
      <c r="AC10" s="63"/>
      <c r="AD10" s="57" t="e">
        <f t="shared" si="17"/>
        <v>#DIV/0!</v>
      </c>
      <c r="AE10" s="63"/>
      <c r="AF10" s="57" t="e">
        <f t="shared" si="18"/>
        <v>#DIV/0!</v>
      </c>
      <c r="AG10" s="57" t="e">
        <f t="shared" si="19"/>
        <v>#DIV/0!</v>
      </c>
      <c r="AH10" s="57" t="e">
        <f t="shared" si="20"/>
        <v>#DIV/0!</v>
      </c>
      <c r="AI10" s="57" t="e">
        <f t="shared" si="21"/>
        <v>#DIV/0!</v>
      </c>
      <c r="AJ10" s="57" t="e">
        <f t="shared" si="22"/>
        <v>#DIV/0!</v>
      </c>
      <c r="AK10" s="57" t="e">
        <f t="shared" si="23"/>
        <v>#DIV/0!</v>
      </c>
      <c r="AL10" s="57" t="e">
        <f t="shared" si="24"/>
        <v>#DIV/0!</v>
      </c>
      <c r="AM10" s="63"/>
      <c r="AN10" s="57" t="e">
        <f t="shared" si="14"/>
        <v>#DIV/0!</v>
      </c>
      <c r="AO10" s="58" t="e">
        <f t="shared" si="25"/>
        <v>#DIV/0!</v>
      </c>
      <c r="AP10" s="63"/>
      <c r="AQ10" s="58" t="e">
        <f t="shared" si="15"/>
        <v>#DIV/0!</v>
      </c>
      <c r="AR10" s="63"/>
      <c r="AS10" s="58" t="e">
        <f t="shared" si="15"/>
        <v>#DIV/0!</v>
      </c>
      <c r="AT10" s="58" t="e">
        <f t="shared" si="15"/>
        <v>#DIV/0!</v>
      </c>
      <c r="AU10" s="58" t="e">
        <f t="shared" si="15"/>
        <v>#DIV/0!</v>
      </c>
      <c r="AV10" s="58" t="e">
        <f t="shared" si="15"/>
        <v>#DIV/0!</v>
      </c>
      <c r="AW10" s="58" t="e">
        <f t="shared" si="15"/>
        <v>#DIV/0!</v>
      </c>
      <c r="AX10" s="58" t="e">
        <f t="shared" si="15"/>
        <v>#DIV/0!</v>
      </c>
      <c r="AY10" s="58" t="e">
        <f t="shared" si="15"/>
        <v>#DIV/0!</v>
      </c>
      <c r="AZ10" s="63"/>
      <c r="BA10" s="58" t="e">
        <f t="shared" si="15"/>
        <v>#DIV/0!</v>
      </c>
      <c r="BB10" s="63"/>
      <c r="BC10" s="57" t="e">
        <f>(Links!C10*Links!AQ10+'On-Ramps'!AC10*'On-Ramps'!CE10)/('On-Ramps'!AC10+Links!C10)</f>
        <v>#DIV/0!</v>
      </c>
      <c r="BD10" s="63"/>
      <c r="BE10" s="57" t="e">
        <f>(Links!E10*Links!AS10+'On-Ramps'!AD10*'On-Ramps'!CF9)/('On-Ramps'!AD10+Links!E10)</f>
        <v>#DIV/0!</v>
      </c>
      <c r="BF10" s="57" t="e">
        <f>(Links!F10*Links!AT10+'On-Ramps'!AE10*'On-Ramps'!CG10)/('On-Ramps'!AE10+Links!F10)</f>
        <v>#DIV/0!</v>
      </c>
      <c r="BG10" s="57" t="e">
        <f>(Links!I10*Links!AW10+'On-Ramps'!AF10*'On-Ramps'!CH10)/('On-Ramps'!AF10+Links!I10)</f>
        <v>#DIV/0!</v>
      </c>
      <c r="BH10" s="57" t="e">
        <f>(#REF!*#REF!+'On-Ramps'!AG10*'On-Ramps'!CI10)/('On-Ramps'!AG10+#REF!)</f>
        <v>#REF!</v>
      </c>
      <c r="BI10" s="57" t="e">
        <f>(Links!L10*Links!AZ10+'On-Ramps'!AH10*'On-Ramps'!CJ10)/('On-Ramps'!AH10+Links!L10)</f>
        <v>#DIV/0!</v>
      </c>
      <c r="BJ10" s="57" t="e">
        <f>(Links!BA10*Links!M10+'On-Ramps'!AI10*'On-Ramps'!CK10)/('On-Ramps'!AI10+Links!M10)</f>
        <v>#DIV/0!</v>
      </c>
      <c r="BK10" s="57" t="e">
        <f>(Links!S10*Links!BG10+'On-Ramps'!AJ10*'On-Ramps'!CL10)/('On-Ramps'!AJ10+Links!S10)</f>
        <v>#DIV/0!</v>
      </c>
      <c r="BL10" s="63"/>
      <c r="BM10" s="57" t="e">
        <f>(Links!S10*Links!BG10+'On-Ramps'!AL10*'On-Ramps'!CM10)/(Links!S10+'On-Ramps'!AL10)</f>
        <v>#DIV/0!</v>
      </c>
      <c r="BN10" s="63"/>
      <c r="BO10" s="58" t="e">
        <f>(Links!W10^2+'Off-Ramp'!L10^2)/(Links!W10+'Off-Ramp'!L10)</f>
        <v>#DIV/0!</v>
      </c>
      <c r="BP10" s="63"/>
      <c r="BQ10" s="58" t="e">
        <f>(Links!Y10^2+'Off-Ramp'!C10^2)/(Links!Y10+'Off-Ramp'!C10)</f>
        <v>#DIV/0!</v>
      </c>
      <c r="BR10" s="63"/>
      <c r="BS10" s="58" t="e">
        <f>(Links!AA10^2+'Off-Ramp'!N10^2)/(Links!AA10+'Off-Ramp'!N10)</f>
        <v>#DIV/0!</v>
      </c>
      <c r="BT10" s="58" t="e">
        <f>(Links!AD10^2+'Off-Ramp'!O10^2)/(Links!AD10+'Off-Ramp'!O10)</f>
        <v>#DIV/0!</v>
      </c>
      <c r="BU10" s="58" t="e">
        <f>(Links!AE10^2+'Off-Ramp'!V10^2+'Off-Ramp'!W10^2+'Off-Ramp'!X10^2)/(Links!AE10+'Off-Ramp'!V10+'Off-Ramp'!W10+'Off-Ramp'!X10)</f>
        <v>#DIV/0!</v>
      </c>
      <c r="BV10" s="58" t="e">
        <f>(Links!AG10^2+'Off-Ramp'!Y10^2+'Off-Ramp'!Z10^2+'Off-Ramp'!AA10^2)/(Links!AG10+'Off-Ramp'!Y10+'Off-Ramp'!Z10+'Off-Ramp'!AA10)</f>
        <v>#DIV/0!</v>
      </c>
      <c r="BW10" s="58" t="e">
        <f>(Links!AH10^2+'Off-Ramp'!R10^2)/(Links!AH10+'Off-Ramp'!R10)</f>
        <v>#DIV/0!</v>
      </c>
      <c r="BX10" s="58" t="e">
        <f>(Links!AK10^2+'Off-Ramp'!S10^2)/(Links!AK10+'Off-Ramp'!S10)</f>
        <v>#DIV/0!</v>
      </c>
      <c r="BY10" s="58" t="e">
        <f>(Links!AL10^2+'Off-Ramp'!T10^2)/(Links!AL10+'Off-Ramp'!T10)</f>
        <v>#DIV/0!</v>
      </c>
      <c r="BZ10" s="63"/>
      <c r="CA10" s="58" t="e">
        <f>(Links!AN10^2+'Off-Ramp'!U10^2)/(Links!AN10+'Off-Ramp'!U10)</f>
        <v>#DIV/0!</v>
      </c>
    </row>
    <row r="11" spans="1:79" x14ac:dyDescent="0.15">
      <c r="A11" s="56">
        <v>9</v>
      </c>
      <c r="B11" s="57" t="e">
        <f t="shared" si="1"/>
        <v>#DIV/0!</v>
      </c>
      <c r="C11" s="57" t="e">
        <f t="shared" si="2"/>
        <v>#DIV/0!</v>
      </c>
      <c r="D11" s="57" t="e">
        <f t="shared" si="3"/>
        <v>#DIV/0!</v>
      </c>
      <c r="E11" s="57" t="e">
        <f t="shared" si="4"/>
        <v>#DIV/0!</v>
      </c>
      <c r="F11" s="57" t="e">
        <f t="shared" si="5"/>
        <v>#DIV/0!</v>
      </c>
      <c r="G11" s="57" t="e">
        <f t="shared" si="6"/>
        <v>#DIV/0!</v>
      </c>
      <c r="H11" s="57" t="e">
        <f t="shared" si="7"/>
        <v>#DIV/0!</v>
      </c>
      <c r="I11" s="57" t="e">
        <f t="shared" si="8"/>
        <v>#DIV/0!</v>
      </c>
      <c r="J11" s="57" t="e">
        <f t="shared" si="9"/>
        <v>#DIV/0!</v>
      </c>
      <c r="K11" s="57" t="e">
        <f t="shared" si="10"/>
        <v>#DIV/0!</v>
      </c>
      <c r="L11" s="57" t="e">
        <f t="shared" si="11"/>
        <v>#DIV/0!</v>
      </c>
      <c r="M11" s="57" t="e">
        <f t="shared" si="12"/>
        <v>#DIV/0!</v>
      </c>
      <c r="N11" s="57" t="e">
        <f t="shared" si="13"/>
        <v>#DIV/0!</v>
      </c>
      <c r="O11" s="58" t="e">
        <f>Links!B11</f>
        <v>#DIV/0!</v>
      </c>
      <c r="P11" s="58" t="e">
        <f>Links!C11+'On-Ramps'!AC11</f>
        <v>#DIV/0!</v>
      </c>
      <c r="Q11" s="58" t="e">
        <f>Links!D11</f>
        <v>#DIV/0!</v>
      </c>
      <c r="R11" s="58" t="e">
        <f>Links!E11+'On-Ramps'!AD11</f>
        <v>#DIV/0!</v>
      </c>
      <c r="S11" s="58" t="e">
        <f>Links!F11+'On-Ramps'!AE11</f>
        <v>#DIV/0!</v>
      </c>
      <c r="T11" s="58" t="e">
        <f>Links!I11+'On-Ramps'!AF11</f>
        <v>#DIV/0!</v>
      </c>
      <c r="U11" s="58" t="e">
        <f>Links!J11+'On-Ramps'!AG11</f>
        <v>#DIV/0!</v>
      </c>
      <c r="V11" s="58" t="e">
        <f>Links!L11+'On-Ramps'!AH11</f>
        <v>#DIV/0!</v>
      </c>
      <c r="W11" s="58" t="e">
        <f>Links!M11+'On-Ramps'!AI11</f>
        <v>#DIV/0!</v>
      </c>
      <c r="X11" s="58" t="e">
        <f>Links!P11+'On-Ramps'!AJ11</f>
        <v>#DIV/0!</v>
      </c>
      <c r="Y11" s="58" t="e">
        <f>Links!Q11</f>
        <v>#DIV/0!</v>
      </c>
      <c r="Z11" s="58" t="e">
        <f>Links!R11+'On-Ramps'!AK11</f>
        <v>#DIV/0!</v>
      </c>
      <c r="AA11" s="58" t="e">
        <f>Links!S11</f>
        <v>#DIV/0!</v>
      </c>
      <c r="AB11" s="57" t="e">
        <f t="shared" si="16"/>
        <v>#DIV/0!</v>
      </c>
      <c r="AC11" s="63"/>
      <c r="AD11" s="57" t="e">
        <f t="shared" si="17"/>
        <v>#DIV/0!</v>
      </c>
      <c r="AE11" s="63"/>
      <c r="AF11" s="57" t="e">
        <f t="shared" si="18"/>
        <v>#DIV/0!</v>
      </c>
      <c r="AG11" s="57" t="e">
        <f t="shared" si="19"/>
        <v>#DIV/0!</v>
      </c>
      <c r="AH11" s="57" t="e">
        <f t="shared" si="20"/>
        <v>#DIV/0!</v>
      </c>
      <c r="AI11" s="57" t="e">
        <f t="shared" si="21"/>
        <v>#DIV/0!</v>
      </c>
      <c r="AJ11" s="57" t="e">
        <f t="shared" si="22"/>
        <v>#DIV/0!</v>
      </c>
      <c r="AK11" s="57" t="e">
        <f t="shared" si="23"/>
        <v>#DIV/0!</v>
      </c>
      <c r="AL11" s="57" t="e">
        <f t="shared" si="24"/>
        <v>#DIV/0!</v>
      </c>
      <c r="AM11" s="63"/>
      <c r="AN11" s="57" t="e">
        <f t="shared" si="14"/>
        <v>#DIV/0!</v>
      </c>
      <c r="AO11" s="58" t="e">
        <f t="shared" si="25"/>
        <v>#DIV/0!</v>
      </c>
      <c r="AP11" s="63"/>
      <c r="AQ11" s="58" t="e">
        <f t="shared" si="15"/>
        <v>#DIV/0!</v>
      </c>
      <c r="AR11" s="63"/>
      <c r="AS11" s="58" t="e">
        <f t="shared" si="15"/>
        <v>#DIV/0!</v>
      </c>
      <c r="AT11" s="58" t="e">
        <f t="shared" si="15"/>
        <v>#DIV/0!</v>
      </c>
      <c r="AU11" s="58" t="e">
        <f t="shared" si="15"/>
        <v>#DIV/0!</v>
      </c>
      <c r="AV11" s="58" t="e">
        <f t="shared" si="15"/>
        <v>#DIV/0!</v>
      </c>
      <c r="AW11" s="58" t="e">
        <f t="shared" si="15"/>
        <v>#DIV/0!</v>
      </c>
      <c r="AX11" s="58" t="e">
        <f t="shared" si="15"/>
        <v>#DIV/0!</v>
      </c>
      <c r="AY11" s="58" t="e">
        <f t="shared" si="15"/>
        <v>#DIV/0!</v>
      </c>
      <c r="AZ11" s="63"/>
      <c r="BA11" s="58" t="e">
        <f t="shared" si="15"/>
        <v>#DIV/0!</v>
      </c>
      <c r="BB11" s="63"/>
      <c r="BC11" s="57" t="e">
        <f>(Links!C11*Links!AQ11+'On-Ramps'!AC11*'On-Ramps'!CE11)/('On-Ramps'!AC11+Links!C11)</f>
        <v>#DIV/0!</v>
      </c>
      <c r="BD11" s="63"/>
      <c r="BE11" s="57" t="e">
        <f>(Links!E11*Links!AS11+'On-Ramps'!AD11*'On-Ramps'!CF10)/('On-Ramps'!AD11+Links!E11)</f>
        <v>#DIV/0!</v>
      </c>
      <c r="BF11" s="57" t="e">
        <f>(Links!F11*Links!AT11+'On-Ramps'!AE11*'On-Ramps'!CG11)/('On-Ramps'!AE11+Links!F11)</f>
        <v>#DIV/0!</v>
      </c>
      <c r="BG11" s="57" t="e">
        <f>(Links!I11*Links!AW11+'On-Ramps'!AF11*'On-Ramps'!CH11)/('On-Ramps'!AF11+Links!I11)</f>
        <v>#DIV/0!</v>
      </c>
      <c r="BH11" s="57" t="e">
        <f>(#REF!*#REF!+'On-Ramps'!AG11*'On-Ramps'!CI11)/('On-Ramps'!AG11+#REF!)</f>
        <v>#REF!</v>
      </c>
      <c r="BI11" s="57" t="e">
        <f>(Links!L11*Links!AZ11+'On-Ramps'!AH11*'On-Ramps'!CJ11)/('On-Ramps'!AH11+Links!L11)</f>
        <v>#DIV/0!</v>
      </c>
      <c r="BJ11" s="57" t="e">
        <f>(Links!BA11*Links!M11+'On-Ramps'!AI11*'On-Ramps'!CK11)/('On-Ramps'!AI11+Links!M11)</f>
        <v>#DIV/0!</v>
      </c>
      <c r="BK11" s="57" t="e">
        <f>(Links!S11*Links!BG11+'On-Ramps'!AJ11*'On-Ramps'!CL11)/('On-Ramps'!AJ11+Links!S11)</f>
        <v>#DIV/0!</v>
      </c>
      <c r="BL11" s="63"/>
      <c r="BM11" s="57" t="e">
        <f>(Links!S11*Links!BG11+'On-Ramps'!AL11*'On-Ramps'!CM11)/(Links!S11+'On-Ramps'!AL11)</f>
        <v>#DIV/0!</v>
      </c>
      <c r="BN11" s="63"/>
      <c r="BO11" s="58" t="e">
        <f>(Links!W11^2+'Off-Ramp'!L11^2)/(Links!W11+'Off-Ramp'!L11)</f>
        <v>#DIV/0!</v>
      </c>
      <c r="BP11" s="63"/>
      <c r="BQ11" s="58" t="e">
        <f>(Links!Y11^2+'Off-Ramp'!C11^2)/(Links!Y11+'Off-Ramp'!C11)</f>
        <v>#DIV/0!</v>
      </c>
      <c r="BR11" s="63"/>
      <c r="BS11" s="58" t="e">
        <f>(Links!AA11^2+'Off-Ramp'!N11^2)/(Links!AA11+'Off-Ramp'!N11)</f>
        <v>#DIV/0!</v>
      </c>
      <c r="BT11" s="58" t="e">
        <f>(Links!AD11^2+'Off-Ramp'!O11^2)/(Links!AD11+'Off-Ramp'!O11)</f>
        <v>#DIV/0!</v>
      </c>
      <c r="BU11" s="58" t="e">
        <f>(Links!AE11^2+'Off-Ramp'!V11^2+'Off-Ramp'!W11^2+'Off-Ramp'!X11^2)/(Links!AE11+'Off-Ramp'!V11+'Off-Ramp'!W11+'Off-Ramp'!X11)</f>
        <v>#DIV/0!</v>
      </c>
      <c r="BV11" s="58" t="e">
        <f>(Links!AG11^2+'Off-Ramp'!Y11^2+'Off-Ramp'!Z11^2+'Off-Ramp'!AA11^2)/(Links!AG11+'Off-Ramp'!Y11+'Off-Ramp'!Z11+'Off-Ramp'!AA11)</f>
        <v>#DIV/0!</v>
      </c>
      <c r="BW11" s="58" t="e">
        <f>(Links!AH11^2+'Off-Ramp'!R11^2)/(Links!AH11+'Off-Ramp'!R11)</f>
        <v>#DIV/0!</v>
      </c>
      <c r="BX11" s="58" t="e">
        <f>(Links!AK11^2+'Off-Ramp'!S11^2)/(Links!AK11+'Off-Ramp'!S11)</f>
        <v>#DIV/0!</v>
      </c>
      <c r="BY11" s="58" t="e">
        <f>(Links!AL11^2+'Off-Ramp'!T11^2)/(Links!AL11+'Off-Ramp'!T11)</f>
        <v>#DIV/0!</v>
      </c>
      <c r="BZ11" s="63"/>
      <c r="CA11" s="58" t="e">
        <f>(Links!AN11^2+'Off-Ramp'!U11^2)/(Links!AN11+'Off-Ramp'!U11)</f>
        <v>#DIV/0!</v>
      </c>
    </row>
    <row r="12" spans="1:79" x14ac:dyDescent="0.15">
      <c r="A12" s="56">
        <v>10</v>
      </c>
      <c r="B12" s="57" t="e">
        <f t="shared" si="1"/>
        <v>#DIV/0!</v>
      </c>
      <c r="C12" s="57" t="e">
        <f t="shared" si="2"/>
        <v>#DIV/0!</v>
      </c>
      <c r="D12" s="57" t="e">
        <f t="shared" si="3"/>
        <v>#DIV/0!</v>
      </c>
      <c r="E12" s="57" t="e">
        <f t="shared" si="4"/>
        <v>#DIV/0!</v>
      </c>
      <c r="F12" s="57" t="e">
        <f t="shared" si="5"/>
        <v>#DIV/0!</v>
      </c>
      <c r="G12" s="57" t="e">
        <f t="shared" si="6"/>
        <v>#DIV/0!</v>
      </c>
      <c r="H12" s="57" t="e">
        <f t="shared" si="7"/>
        <v>#DIV/0!</v>
      </c>
      <c r="I12" s="57" t="e">
        <f t="shared" si="8"/>
        <v>#DIV/0!</v>
      </c>
      <c r="J12" s="57" t="e">
        <f t="shared" si="9"/>
        <v>#DIV/0!</v>
      </c>
      <c r="K12" s="57" t="e">
        <f t="shared" si="10"/>
        <v>#DIV/0!</v>
      </c>
      <c r="L12" s="57" t="e">
        <f t="shared" si="11"/>
        <v>#DIV/0!</v>
      </c>
      <c r="M12" s="57" t="e">
        <f t="shared" si="12"/>
        <v>#DIV/0!</v>
      </c>
      <c r="N12" s="57" t="e">
        <f t="shared" si="13"/>
        <v>#DIV/0!</v>
      </c>
      <c r="O12" s="58" t="e">
        <f>Links!B12</f>
        <v>#DIV/0!</v>
      </c>
      <c r="P12" s="58" t="e">
        <f>Links!C12+'On-Ramps'!AC12</f>
        <v>#DIV/0!</v>
      </c>
      <c r="Q12" s="58" t="e">
        <f>Links!D12</f>
        <v>#DIV/0!</v>
      </c>
      <c r="R12" s="58" t="e">
        <f>Links!E12+'On-Ramps'!AD12</f>
        <v>#DIV/0!</v>
      </c>
      <c r="S12" s="58" t="e">
        <f>Links!F12+'On-Ramps'!AE12</f>
        <v>#DIV/0!</v>
      </c>
      <c r="T12" s="58" t="e">
        <f>Links!I12+'On-Ramps'!AF12</f>
        <v>#DIV/0!</v>
      </c>
      <c r="U12" s="58" t="e">
        <f>Links!J12+'On-Ramps'!AG12</f>
        <v>#DIV/0!</v>
      </c>
      <c r="V12" s="58" t="e">
        <f>Links!L12+'On-Ramps'!AH12</f>
        <v>#DIV/0!</v>
      </c>
      <c r="W12" s="58" t="e">
        <f>Links!M12+'On-Ramps'!AI12</f>
        <v>#DIV/0!</v>
      </c>
      <c r="X12" s="58" t="e">
        <f>Links!P12+'On-Ramps'!AJ12</f>
        <v>#DIV/0!</v>
      </c>
      <c r="Y12" s="58" t="e">
        <f>Links!Q12</f>
        <v>#DIV/0!</v>
      </c>
      <c r="Z12" s="58" t="e">
        <f>Links!R12+'On-Ramps'!AK12</f>
        <v>#DIV/0!</v>
      </c>
      <c r="AA12" s="58" t="e">
        <f>Links!S12</f>
        <v>#DIV/0!</v>
      </c>
      <c r="AB12" s="57" t="e">
        <f t="shared" si="16"/>
        <v>#DIV/0!</v>
      </c>
      <c r="AC12" s="63"/>
      <c r="AD12" s="57" t="e">
        <f t="shared" si="17"/>
        <v>#DIV/0!</v>
      </c>
      <c r="AE12" s="63"/>
      <c r="AF12" s="57" t="e">
        <f t="shared" si="18"/>
        <v>#DIV/0!</v>
      </c>
      <c r="AG12" s="57" t="e">
        <f t="shared" si="19"/>
        <v>#DIV/0!</v>
      </c>
      <c r="AH12" s="57" t="e">
        <f t="shared" si="20"/>
        <v>#DIV/0!</v>
      </c>
      <c r="AI12" s="57" t="e">
        <f t="shared" si="21"/>
        <v>#DIV/0!</v>
      </c>
      <c r="AJ12" s="57" t="e">
        <f t="shared" si="22"/>
        <v>#DIV/0!</v>
      </c>
      <c r="AK12" s="57" t="e">
        <f t="shared" si="23"/>
        <v>#DIV/0!</v>
      </c>
      <c r="AL12" s="57" t="e">
        <f t="shared" si="24"/>
        <v>#DIV/0!</v>
      </c>
      <c r="AM12" s="63"/>
      <c r="AN12" s="57" t="e">
        <f t="shared" si="14"/>
        <v>#DIV/0!</v>
      </c>
      <c r="AO12" s="58" t="e">
        <f t="shared" si="25"/>
        <v>#DIV/0!</v>
      </c>
      <c r="AP12" s="63"/>
      <c r="AQ12" s="58" t="e">
        <f t="shared" si="15"/>
        <v>#DIV/0!</v>
      </c>
      <c r="AR12" s="63"/>
      <c r="AS12" s="58" t="e">
        <f t="shared" si="15"/>
        <v>#DIV/0!</v>
      </c>
      <c r="AT12" s="58" t="e">
        <f t="shared" si="15"/>
        <v>#DIV/0!</v>
      </c>
      <c r="AU12" s="58" t="e">
        <f t="shared" si="15"/>
        <v>#DIV/0!</v>
      </c>
      <c r="AV12" s="58" t="e">
        <f t="shared" si="15"/>
        <v>#DIV/0!</v>
      </c>
      <c r="AW12" s="58" t="e">
        <f t="shared" si="15"/>
        <v>#DIV/0!</v>
      </c>
      <c r="AX12" s="58" t="e">
        <f t="shared" si="15"/>
        <v>#DIV/0!</v>
      </c>
      <c r="AY12" s="58" t="e">
        <f t="shared" si="15"/>
        <v>#DIV/0!</v>
      </c>
      <c r="AZ12" s="63"/>
      <c r="BA12" s="58" t="e">
        <f t="shared" si="15"/>
        <v>#DIV/0!</v>
      </c>
      <c r="BB12" s="63"/>
      <c r="BC12" s="57" t="e">
        <f>(Links!C12*Links!AQ12+'On-Ramps'!AC12*'On-Ramps'!CE12)/('On-Ramps'!AC12+Links!C12)</f>
        <v>#DIV/0!</v>
      </c>
      <c r="BD12" s="63"/>
      <c r="BE12" s="57" t="e">
        <f>(Links!E12*Links!AS12+'On-Ramps'!AD12*'On-Ramps'!CF11)/('On-Ramps'!AD12+Links!E12)</f>
        <v>#DIV/0!</v>
      </c>
      <c r="BF12" s="57" t="e">
        <f>(Links!F12*Links!AT12+'On-Ramps'!AE12*'On-Ramps'!CG12)/('On-Ramps'!AE12+Links!F12)</f>
        <v>#DIV/0!</v>
      </c>
      <c r="BG12" s="57" t="e">
        <f>(Links!I12*Links!AW12+'On-Ramps'!AF12*'On-Ramps'!CH12)/('On-Ramps'!AF12+Links!I12)</f>
        <v>#DIV/0!</v>
      </c>
      <c r="BH12" s="57" t="e">
        <f>(#REF!*#REF!+'On-Ramps'!AG12*'On-Ramps'!CI12)/('On-Ramps'!AG12+#REF!)</f>
        <v>#REF!</v>
      </c>
      <c r="BI12" s="57" t="e">
        <f>(Links!L12*Links!AZ12+'On-Ramps'!AH12*'On-Ramps'!CJ12)/('On-Ramps'!AH12+Links!L12)</f>
        <v>#DIV/0!</v>
      </c>
      <c r="BJ12" s="57" t="e">
        <f>(Links!BA12*Links!M12+'On-Ramps'!AI12*'On-Ramps'!CK12)/('On-Ramps'!AI12+Links!M12)</f>
        <v>#DIV/0!</v>
      </c>
      <c r="BK12" s="57" t="e">
        <f>(Links!S12*Links!BG12+'On-Ramps'!AJ12*'On-Ramps'!CL12)/('On-Ramps'!AJ12+Links!S12)</f>
        <v>#DIV/0!</v>
      </c>
      <c r="BL12" s="63"/>
      <c r="BM12" s="57" t="e">
        <f>(Links!S12*Links!BG12+'On-Ramps'!AL12*'On-Ramps'!CM12)/(Links!S12+'On-Ramps'!AL12)</f>
        <v>#DIV/0!</v>
      </c>
      <c r="BN12" s="63"/>
      <c r="BO12" s="58" t="e">
        <f>(Links!W12^2+'Off-Ramp'!L12^2)/(Links!W12+'Off-Ramp'!L12)</f>
        <v>#DIV/0!</v>
      </c>
      <c r="BP12" s="63"/>
      <c r="BQ12" s="58" t="e">
        <f>(Links!Y12^2+'Off-Ramp'!C12^2)/(Links!Y12+'Off-Ramp'!C12)</f>
        <v>#DIV/0!</v>
      </c>
      <c r="BR12" s="63"/>
      <c r="BS12" s="58" t="e">
        <f>(Links!AA12^2+'Off-Ramp'!N12^2)/(Links!AA12+'Off-Ramp'!N12)</f>
        <v>#DIV/0!</v>
      </c>
      <c r="BT12" s="58" t="e">
        <f>(Links!AD12^2+'Off-Ramp'!O12^2)/(Links!AD12+'Off-Ramp'!O12)</f>
        <v>#DIV/0!</v>
      </c>
      <c r="BU12" s="58" t="e">
        <f>(Links!AE12^2+'Off-Ramp'!V12^2+'Off-Ramp'!W12^2+'Off-Ramp'!X12^2)/(Links!AE12+'Off-Ramp'!V12+'Off-Ramp'!W12+'Off-Ramp'!X12)</f>
        <v>#DIV/0!</v>
      </c>
      <c r="BV12" s="58" t="e">
        <f>(Links!AG12^2+'Off-Ramp'!Y12^2+'Off-Ramp'!Z12^2+'Off-Ramp'!AA12^2)/(Links!AG12+'Off-Ramp'!Y12+'Off-Ramp'!Z12+'Off-Ramp'!AA12)</f>
        <v>#DIV/0!</v>
      </c>
      <c r="BW12" s="58" t="e">
        <f>(Links!AH12^2+'Off-Ramp'!R12^2)/(Links!AH12+'Off-Ramp'!R12)</f>
        <v>#DIV/0!</v>
      </c>
      <c r="BX12" s="58" t="e">
        <f>(Links!AK12^2+'Off-Ramp'!S12^2)/(Links!AK12+'Off-Ramp'!S12)</f>
        <v>#DIV/0!</v>
      </c>
      <c r="BY12" s="58" t="e">
        <f>(Links!AL12^2+'Off-Ramp'!T12^2)/(Links!AL12+'Off-Ramp'!T12)</f>
        <v>#DIV/0!</v>
      </c>
      <c r="BZ12" s="63"/>
      <c r="CA12" s="58" t="e">
        <f>(Links!AN12^2+'Off-Ramp'!U12^2)/(Links!AN12+'Off-Ramp'!U12)</f>
        <v>#DIV/0!</v>
      </c>
    </row>
    <row r="13" spans="1:79" x14ac:dyDescent="0.15">
      <c r="A13" s="56">
        <v>11</v>
      </c>
      <c r="B13" s="57" t="e">
        <f t="shared" si="1"/>
        <v>#DIV/0!</v>
      </c>
      <c r="C13" s="57" t="e">
        <f t="shared" si="2"/>
        <v>#DIV/0!</v>
      </c>
      <c r="D13" s="57" t="e">
        <f t="shared" si="3"/>
        <v>#DIV/0!</v>
      </c>
      <c r="E13" s="57" t="e">
        <f t="shared" si="4"/>
        <v>#DIV/0!</v>
      </c>
      <c r="F13" s="57" t="e">
        <f t="shared" si="5"/>
        <v>#DIV/0!</v>
      </c>
      <c r="G13" s="57" t="e">
        <f t="shared" si="6"/>
        <v>#DIV/0!</v>
      </c>
      <c r="H13" s="57" t="e">
        <f t="shared" si="7"/>
        <v>#DIV/0!</v>
      </c>
      <c r="I13" s="57" t="e">
        <f t="shared" si="8"/>
        <v>#DIV/0!</v>
      </c>
      <c r="J13" s="57" t="e">
        <f t="shared" si="9"/>
        <v>#DIV/0!</v>
      </c>
      <c r="K13" s="57" t="e">
        <f t="shared" si="10"/>
        <v>#DIV/0!</v>
      </c>
      <c r="L13" s="57" t="e">
        <f t="shared" si="11"/>
        <v>#DIV/0!</v>
      </c>
      <c r="M13" s="57" t="e">
        <f t="shared" si="12"/>
        <v>#DIV/0!</v>
      </c>
      <c r="N13" s="57" t="e">
        <f t="shared" si="13"/>
        <v>#DIV/0!</v>
      </c>
      <c r="O13" s="58" t="e">
        <f>Links!B13</f>
        <v>#DIV/0!</v>
      </c>
      <c r="P13" s="58" t="e">
        <f>Links!C13+'On-Ramps'!AC13</f>
        <v>#DIV/0!</v>
      </c>
      <c r="Q13" s="58" t="e">
        <f>Links!D13</f>
        <v>#DIV/0!</v>
      </c>
      <c r="R13" s="58" t="e">
        <f>Links!E13+'On-Ramps'!AD13</f>
        <v>#DIV/0!</v>
      </c>
      <c r="S13" s="58" t="e">
        <f>Links!F13+'On-Ramps'!AE13</f>
        <v>#DIV/0!</v>
      </c>
      <c r="T13" s="58" t="e">
        <f>Links!I13+'On-Ramps'!AF13</f>
        <v>#DIV/0!</v>
      </c>
      <c r="U13" s="58" t="e">
        <f>Links!J13+'On-Ramps'!AG13</f>
        <v>#DIV/0!</v>
      </c>
      <c r="V13" s="58" t="e">
        <f>Links!L13+'On-Ramps'!AH13</f>
        <v>#DIV/0!</v>
      </c>
      <c r="W13" s="58" t="e">
        <f>Links!M13+'On-Ramps'!AI13</f>
        <v>#DIV/0!</v>
      </c>
      <c r="X13" s="58" t="e">
        <f>Links!P13+'On-Ramps'!AJ13</f>
        <v>#DIV/0!</v>
      </c>
      <c r="Y13" s="58" t="e">
        <f>Links!Q13</f>
        <v>#DIV/0!</v>
      </c>
      <c r="Z13" s="58" t="e">
        <f>Links!R13+'On-Ramps'!AK13</f>
        <v>#DIV/0!</v>
      </c>
      <c r="AA13" s="58" t="e">
        <f>Links!S13</f>
        <v>#DIV/0!</v>
      </c>
      <c r="AB13" s="57" t="e">
        <f t="shared" si="16"/>
        <v>#DIV/0!</v>
      </c>
      <c r="AC13" s="63"/>
      <c r="AD13" s="57" t="e">
        <f t="shared" si="17"/>
        <v>#DIV/0!</v>
      </c>
      <c r="AE13" s="63"/>
      <c r="AF13" s="57" t="e">
        <f t="shared" si="18"/>
        <v>#DIV/0!</v>
      </c>
      <c r="AG13" s="57" t="e">
        <f t="shared" si="19"/>
        <v>#DIV/0!</v>
      </c>
      <c r="AH13" s="57" t="e">
        <f t="shared" si="20"/>
        <v>#DIV/0!</v>
      </c>
      <c r="AI13" s="57" t="e">
        <f t="shared" si="21"/>
        <v>#DIV/0!</v>
      </c>
      <c r="AJ13" s="57" t="e">
        <f t="shared" si="22"/>
        <v>#DIV/0!</v>
      </c>
      <c r="AK13" s="57" t="e">
        <f t="shared" si="23"/>
        <v>#DIV/0!</v>
      </c>
      <c r="AL13" s="57" t="e">
        <f t="shared" si="24"/>
        <v>#DIV/0!</v>
      </c>
      <c r="AM13" s="63"/>
      <c r="AN13" s="57" t="e">
        <f t="shared" si="14"/>
        <v>#DIV/0!</v>
      </c>
      <c r="AO13" s="58" t="e">
        <f t="shared" si="25"/>
        <v>#DIV/0!</v>
      </c>
      <c r="AP13" s="63"/>
      <c r="AQ13" s="58" t="e">
        <f t="shared" si="15"/>
        <v>#DIV/0!</v>
      </c>
      <c r="AR13" s="63"/>
      <c r="AS13" s="58" t="e">
        <f t="shared" si="15"/>
        <v>#DIV/0!</v>
      </c>
      <c r="AT13" s="58" t="e">
        <f t="shared" si="15"/>
        <v>#DIV/0!</v>
      </c>
      <c r="AU13" s="58" t="e">
        <f t="shared" si="15"/>
        <v>#DIV/0!</v>
      </c>
      <c r="AV13" s="58" t="e">
        <f t="shared" si="15"/>
        <v>#DIV/0!</v>
      </c>
      <c r="AW13" s="58" t="e">
        <f t="shared" si="15"/>
        <v>#DIV/0!</v>
      </c>
      <c r="AX13" s="58" t="e">
        <f t="shared" si="15"/>
        <v>#DIV/0!</v>
      </c>
      <c r="AY13" s="58" t="e">
        <f t="shared" si="15"/>
        <v>#DIV/0!</v>
      </c>
      <c r="AZ13" s="63"/>
      <c r="BA13" s="58" t="e">
        <f t="shared" si="15"/>
        <v>#DIV/0!</v>
      </c>
      <c r="BB13" s="63"/>
      <c r="BC13" s="57" t="e">
        <f>(Links!C13*Links!AQ13+'On-Ramps'!AC13*'On-Ramps'!CE13)/('On-Ramps'!AC13+Links!C13)</f>
        <v>#DIV/0!</v>
      </c>
      <c r="BD13" s="63"/>
      <c r="BE13" s="57" t="e">
        <f>(Links!E13*Links!AS13+'On-Ramps'!AD13*'On-Ramps'!CF12)/('On-Ramps'!AD13+Links!E13)</f>
        <v>#DIV/0!</v>
      </c>
      <c r="BF13" s="57" t="e">
        <f>(Links!F13*Links!AT13+'On-Ramps'!AE13*'On-Ramps'!CG13)/('On-Ramps'!AE13+Links!F13)</f>
        <v>#DIV/0!</v>
      </c>
      <c r="BG13" s="57" t="e">
        <f>(Links!I13*Links!AW13+'On-Ramps'!AF13*'On-Ramps'!CH13)/('On-Ramps'!AF13+Links!I13)</f>
        <v>#DIV/0!</v>
      </c>
      <c r="BH13" s="57" t="e">
        <f>(#REF!*#REF!+'On-Ramps'!AG13*'On-Ramps'!CI13)/('On-Ramps'!AG13+#REF!)</f>
        <v>#REF!</v>
      </c>
      <c r="BI13" s="57" t="e">
        <f>(Links!L13*Links!AZ13+'On-Ramps'!AH13*'On-Ramps'!CJ13)/('On-Ramps'!AH13+Links!L13)</f>
        <v>#DIV/0!</v>
      </c>
      <c r="BJ13" s="57" t="e">
        <f>(Links!BA13*Links!M13+'On-Ramps'!AI13*'On-Ramps'!CK13)/('On-Ramps'!AI13+Links!M13)</f>
        <v>#DIV/0!</v>
      </c>
      <c r="BK13" s="57" t="e">
        <f>(Links!S13*Links!BG13+'On-Ramps'!AJ13*'On-Ramps'!CL13)/('On-Ramps'!AJ13+Links!S13)</f>
        <v>#DIV/0!</v>
      </c>
      <c r="BL13" s="63"/>
      <c r="BM13" s="57" t="e">
        <f>(Links!S13*Links!BG13+'On-Ramps'!AL13*'On-Ramps'!CM13)/(Links!S13+'On-Ramps'!AL13)</f>
        <v>#DIV/0!</v>
      </c>
      <c r="BN13" s="63"/>
      <c r="BO13" s="58" t="e">
        <f>(Links!W13^2+'Off-Ramp'!L13^2)/(Links!W13+'Off-Ramp'!L13)</f>
        <v>#DIV/0!</v>
      </c>
      <c r="BP13" s="63"/>
      <c r="BQ13" s="58" t="e">
        <f>(Links!Y13^2+'Off-Ramp'!C13^2)/(Links!Y13+'Off-Ramp'!C13)</f>
        <v>#DIV/0!</v>
      </c>
      <c r="BR13" s="63"/>
      <c r="BS13" s="58" t="e">
        <f>(Links!AA13^2+'Off-Ramp'!N13^2)/(Links!AA13+'Off-Ramp'!N13)</f>
        <v>#DIV/0!</v>
      </c>
      <c r="BT13" s="58" t="e">
        <f>(Links!AD13^2+'Off-Ramp'!O13^2)/(Links!AD13+'Off-Ramp'!O13)</f>
        <v>#DIV/0!</v>
      </c>
      <c r="BU13" s="58" t="e">
        <f>(Links!AE13^2+'Off-Ramp'!V13^2+'Off-Ramp'!W13^2+'Off-Ramp'!X13^2)/(Links!AE13+'Off-Ramp'!V13+'Off-Ramp'!W13+'Off-Ramp'!X13)</f>
        <v>#DIV/0!</v>
      </c>
      <c r="BV13" s="58" t="e">
        <f>(Links!AG13^2+'Off-Ramp'!Y13^2+'Off-Ramp'!Z13^2+'Off-Ramp'!AA13^2)/(Links!AG13+'Off-Ramp'!Y13+'Off-Ramp'!Z13+'Off-Ramp'!AA13)</f>
        <v>#DIV/0!</v>
      </c>
      <c r="BW13" s="58" t="e">
        <f>(Links!AH13^2+'Off-Ramp'!R13^2)/(Links!AH13+'Off-Ramp'!R13)</f>
        <v>#DIV/0!</v>
      </c>
      <c r="BX13" s="58" t="e">
        <f>(Links!AK13^2+'Off-Ramp'!S13^2)/(Links!AK13+'Off-Ramp'!S13)</f>
        <v>#DIV/0!</v>
      </c>
      <c r="BY13" s="58" t="e">
        <f>(Links!AL13^2+'Off-Ramp'!T13^2)/(Links!AL13+'Off-Ramp'!T13)</f>
        <v>#DIV/0!</v>
      </c>
      <c r="BZ13" s="63"/>
      <c r="CA13" s="58" t="e">
        <f>(Links!AN13^2+'Off-Ramp'!U13^2)/(Links!AN13+'Off-Ramp'!U13)</f>
        <v>#DIV/0!</v>
      </c>
    </row>
    <row r="14" spans="1:79" x14ac:dyDescent="0.15">
      <c r="A14" s="56">
        <v>12</v>
      </c>
      <c r="B14" s="57" t="e">
        <f t="shared" si="1"/>
        <v>#DIV/0!</v>
      </c>
      <c r="C14" s="57" t="e">
        <f t="shared" si="2"/>
        <v>#DIV/0!</v>
      </c>
      <c r="D14" s="57" t="e">
        <f t="shared" si="3"/>
        <v>#DIV/0!</v>
      </c>
      <c r="E14" s="57" t="e">
        <f t="shared" si="4"/>
        <v>#DIV/0!</v>
      </c>
      <c r="F14" s="57" t="e">
        <f t="shared" si="5"/>
        <v>#DIV/0!</v>
      </c>
      <c r="G14" s="57" t="e">
        <f t="shared" si="6"/>
        <v>#DIV/0!</v>
      </c>
      <c r="H14" s="57" t="e">
        <f t="shared" si="7"/>
        <v>#DIV/0!</v>
      </c>
      <c r="I14" s="57" t="e">
        <f t="shared" si="8"/>
        <v>#DIV/0!</v>
      </c>
      <c r="J14" s="57" t="e">
        <f t="shared" si="9"/>
        <v>#DIV/0!</v>
      </c>
      <c r="K14" s="57" t="e">
        <f t="shared" si="10"/>
        <v>#DIV/0!</v>
      </c>
      <c r="L14" s="57" t="e">
        <f t="shared" si="11"/>
        <v>#DIV/0!</v>
      </c>
      <c r="M14" s="57" t="e">
        <f t="shared" si="12"/>
        <v>#DIV/0!</v>
      </c>
      <c r="N14" s="57" t="e">
        <f t="shared" si="13"/>
        <v>#DIV/0!</v>
      </c>
      <c r="O14" s="58" t="e">
        <f>Links!B14</f>
        <v>#DIV/0!</v>
      </c>
      <c r="P14" s="58" t="e">
        <f>Links!C14+'On-Ramps'!AC14</f>
        <v>#DIV/0!</v>
      </c>
      <c r="Q14" s="58" t="e">
        <f>Links!D14</f>
        <v>#DIV/0!</v>
      </c>
      <c r="R14" s="58" t="e">
        <f>Links!E14+'On-Ramps'!AD14</f>
        <v>#DIV/0!</v>
      </c>
      <c r="S14" s="58" t="e">
        <f>Links!F14+'On-Ramps'!AE14</f>
        <v>#DIV/0!</v>
      </c>
      <c r="T14" s="58" t="e">
        <f>Links!I14+'On-Ramps'!AF14</f>
        <v>#DIV/0!</v>
      </c>
      <c r="U14" s="58" t="e">
        <f>Links!J14+'On-Ramps'!AG14</f>
        <v>#DIV/0!</v>
      </c>
      <c r="V14" s="58" t="e">
        <f>Links!L14+'On-Ramps'!AH14</f>
        <v>#DIV/0!</v>
      </c>
      <c r="W14" s="58" t="e">
        <f>Links!M14+'On-Ramps'!AI14</f>
        <v>#DIV/0!</v>
      </c>
      <c r="X14" s="58" t="e">
        <f>Links!P14+'On-Ramps'!AJ14</f>
        <v>#DIV/0!</v>
      </c>
      <c r="Y14" s="58" t="e">
        <f>Links!Q14</f>
        <v>#DIV/0!</v>
      </c>
      <c r="Z14" s="58" t="e">
        <f>Links!R14+'On-Ramps'!AK14</f>
        <v>#DIV/0!</v>
      </c>
      <c r="AA14" s="58" t="e">
        <f>Links!S14</f>
        <v>#DIV/0!</v>
      </c>
      <c r="AB14" s="57" t="e">
        <f t="shared" si="16"/>
        <v>#DIV/0!</v>
      </c>
      <c r="AC14" s="63"/>
      <c r="AD14" s="57" t="e">
        <f t="shared" si="17"/>
        <v>#DIV/0!</v>
      </c>
      <c r="AE14" s="63"/>
      <c r="AF14" s="57" t="e">
        <f t="shared" si="18"/>
        <v>#DIV/0!</v>
      </c>
      <c r="AG14" s="57" t="e">
        <f t="shared" si="19"/>
        <v>#DIV/0!</v>
      </c>
      <c r="AH14" s="57" t="e">
        <f t="shared" si="20"/>
        <v>#DIV/0!</v>
      </c>
      <c r="AI14" s="57" t="e">
        <f t="shared" si="21"/>
        <v>#DIV/0!</v>
      </c>
      <c r="AJ14" s="57" t="e">
        <f t="shared" si="22"/>
        <v>#DIV/0!</v>
      </c>
      <c r="AK14" s="57" t="e">
        <f t="shared" si="23"/>
        <v>#DIV/0!</v>
      </c>
      <c r="AL14" s="57" t="e">
        <f t="shared" si="24"/>
        <v>#DIV/0!</v>
      </c>
      <c r="AM14" s="63"/>
      <c r="AN14" s="57" t="e">
        <f t="shared" si="14"/>
        <v>#DIV/0!</v>
      </c>
      <c r="AO14" s="58" t="e">
        <f t="shared" si="25"/>
        <v>#DIV/0!</v>
      </c>
      <c r="AP14" s="63"/>
      <c r="AQ14" s="58" t="e">
        <f t="shared" si="15"/>
        <v>#DIV/0!</v>
      </c>
      <c r="AR14" s="63"/>
      <c r="AS14" s="58" t="e">
        <f t="shared" si="15"/>
        <v>#DIV/0!</v>
      </c>
      <c r="AT14" s="58" t="e">
        <f t="shared" si="15"/>
        <v>#DIV/0!</v>
      </c>
      <c r="AU14" s="58" t="e">
        <f t="shared" si="15"/>
        <v>#DIV/0!</v>
      </c>
      <c r="AV14" s="58" t="e">
        <f t="shared" si="15"/>
        <v>#DIV/0!</v>
      </c>
      <c r="AW14" s="58" t="e">
        <f t="shared" si="15"/>
        <v>#DIV/0!</v>
      </c>
      <c r="AX14" s="58" t="e">
        <f t="shared" si="15"/>
        <v>#DIV/0!</v>
      </c>
      <c r="AY14" s="58" t="e">
        <f t="shared" si="15"/>
        <v>#DIV/0!</v>
      </c>
      <c r="AZ14" s="63"/>
      <c r="BA14" s="58" t="e">
        <f t="shared" si="15"/>
        <v>#DIV/0!</v>
      </c>
      <c r="BB14" s="63"/>
      <c r="BC14" s="57" t="e">
        <f>(Links!C14*Links!AQ14+'On-Ramps'!AC14*'On-Ramps'!CE14)/('On-Ramps'!AC14+Links!C14)</f>
        <v>#DIV/0!</v>
      </c>
      <c r="BD14" s="63"/>
      <c r="BE14" s="57" t="e">
        <f>(Links!E14*Links!AS14+'On-Ramps'!AD14*'On-Ramps'!CF13)/('On-Ramps'!AD14+Links!E14)</f>
        <v>#DIV/0!</v>
      </c>
      <c r="BF14" s="57" t="e">
        <f>(Links!F14*Links!AT14+'On-Ramps'!AE14*'On-Ramps'!CG14)/('On-Ramps'!AE14+Links!F14)</f>
        <v>#DIV/0!</v>
      </c>
      <c r="BG14" s="57" t="e">
        <f>(Links!I14*Links!AW14+'On-Ramps'!AF14*'On-Ramps'!CH14)/('On-Ramps'!AF14+Links!I14)</f>
        <v>#DIV/0!</v>
      </c>
      <c r="BH14" s="57" t="e">
        <f>(#REF!*#REF!+'On-Ramps'!AG14*'On-Ramps'!CI14)/('On-Ramps'!AG14+#REF!)</f>
        <v>#REF!</v>
      </c>
      <c r="BI14" s="57" t="e">
        <f>(Links!L14*Links!AZ14+'On-Ramps'!AH14*'On-Ramps'!CJ14)/('On-Ramps'!AH14+Links!L14)</f>
        <v>#DIV/0!</v>
      </c>
      <c r="BJ14" s="57" t="e">
        <f>(Links!BA14*Links!M14+'On-Ramps'!AI14*'On-Ramps'!CK14)/('On-Ramps'!AI14+Links!M14)</f>
        <v>#DIV/0!</v>
      </c>
      <c r="BK14" s="57" t="e">
        <f>(Links!S14*Links!BG14+'On-Ramps'!AJ14*'On-Ramps'!CL14)/('On-Ramps'!AJ14+Links!S14)</f>
        <v>#DIV/0!</v>
      </c>
      <c r="BL14" s="63"/>
      <c r="BM14" s="57" t="e">
        <f>(Links!S14*Links!BG14+'On-Ramps'!AL14*'On-Ramps'!CM14)/(Links!S14+'On-Ramps'!AL14)</f>
        <v>#DIV/0!</v>
      </c>
      <c r="BN14" s="63"/>
      <c r="BO14" s="58" t="e">
        <f>(Links!W14^2+'Off-Ramp'!L14^2)/(Links!W14+'Off-Ramp'!L14)</f>
        <v>#DIV/0!</v>
      </c>
      <c r="BP14" s="63"/>
      <c r="BQ14" s="58" t="e">
        <f>(Links!Y14^2+'Off-Ramp'!C14^2)/(Links!Y14+'Off-Ramp'!C14)</f>
        <v>#DIV/0!</v>
      </c>
      <c r="BR14" s="63"/>
      <c r="BS14" s="58" t="e">
        <f>(Links!AA14^2+'Off-Ramp'!N14^2)/(Links!AA14+'Off-Ramp'!N14)</f>
        <v>#DIV/0!</v>
      </c>
      <c r="BT14" s="58" t="e">
        <f>(Links!AD14^2+'Off-Ramp'!O14^2)/(Links!AD14+'Off-Ramp'!O14)</f>
        <v>#DIV/0!</v>
      </c>
      <c r="BU14" s="58" t="e">
        <f>(Links!AE14^2+'Off-Ramp'!V14^2+'Off-Ramp'!W14^2+'Off-Ramp'!X14^2)/(Links!AE14+'Off-Ramp'!V14+'Off-Ramp'!W14+'Off-Ramp'!X14)</f>
        <v>#DIV/0!</v>
      </c>
      <c r="BV14" s="58" t="e">
        <f>(Links!AG14^2+'Off-Ramp'!Y14^2+'Off-Ramp'!Z14^2+'Off-Ramp'!AA14^2)/(Links!AG14+'Off-Ramp'!Y14+'Off-Ramp'!Z14+'Off-Ramp'!AA14)</f>
        <v>#DIV/0!</v>
      </c>
      <c r="BW14" s="58" t="e">
        <f>(Links!AH14^2+'Off-Ramp'!R14^2)/(Links!AH14+'Off-Ramp'!R14)</f>
        <v>#DIV/0!</v>
      </c>
      <c r="BX14" s="58" t="e">
        <f>(Links!AK14^2+'Off-Ramp'!S14^2)/(Links!AK14+'Off-Ramp'!S14)</f>
        <v>#DIV/0!</v>
      </c>
      <c r="BY14" s="58" t="e">
        <f>(Links!AL14^2+'Off-Ramp'!T14^2)/(Links!AL14+'Off-Ramp'!T14)</f>
        <v>#DIV/0!</v>
      </c>
      <c r="BZ14" s="63"/>
      <c r="CA14" s="58" t="e">
        <f>(Links!AN14^2+'Off-Ramp'!U14^2)/(Links!AN14+'Off-Ramp'!U14)</f>
        <v>#DIV/0!</v>
      </c>
    </row>
    <row r="15" spans="1:79" x14ac:dyDescent="0.15">
      <c r="A15" s="56">
        <v>13</v>
      </c>
      <c r="B15" s="57" t="e">
        <f t="shared" si="1"/>
        <v>#DIV/0!</v>
      </c>
      <c r="C15" s="57" t="e">
        <f t="shared" si="2"/>
        <v>#DIV/0!</v>
      </c>
      <c r="D15" s="57" t="e">
        <f t="shared" si="3"/>
        <v>#DIV/0!</v>
      </c>
      <c r="E15" s="57" t="e">
        <f t="shared" si="4"/>
        <v>#DIV/0!</v>
      </c>
      <c r="F15" s="57" t="e">
        <f t="shared" si="5"/>
        <v>#DIV/0!</v>
      </c>
      <c r="G15" s="57" t="e">
        <f t="shared" si="6"/>
        <v>#DIV/0!</v>
      </c>
      <c r="H15" s="57" t="e">
        <f t="shared" si="7"/>
        <v>#DIV/0!</v>
      </c>
      <c r="I15" s="57" t="e">
        <f t="shared" si="8"/>
        <v>#DIV/0!</v>
      </c>
      <c r="J15" s="57" t="e">
        <f t="shared" si="9"/>
        <v>#DIV/0!</v>
      </c>
      <c r="K15" s="57" t="e">
        <f t="shared" si="10"/>
        <v>#DIV/0!</v>
      </c>
      <c r="L15" s="57" t="e">
        <f t="shared" si="11"/>
        <v>#DIV/0!</v>
      </c>
      <c r="M15" s="57" t="e">
        <f t="shared" si="12"/>
        <v>#DIV/0!</v>
      </c>
      <c r="N15" s="57" t="e">
        <f t="shared" si="13"/>
        <v>#DIV/0!</v>
      </c>
      <c r="O15" s="58" t="e">
        <f>Links!B15</f>
        <v>#DIV/0!</v>
      </c>
      <c r="P15" s="58" t="e">
        <f>Links!C15+'On-Ramps'!AC15</f>
        <v>#DIV/0!</v>
      </c>
      <c r="Q15" s="58" t="e">
        <f>Links!D15</f>
        <v>#DIV/0!</v>
      </c>
      <c r="R15" s="58" t="e">
        <f>Links!E15+'On-Ramps'!AD15</f>
        <v>#DIV/0!</v>
      </c>
      <c r="S15" s="58" t="e">
        <f>Links!F15+'On-Ramps'!AE15</f>
        <v>#DIV/0!</v>
      </c>
      <c r="T15" s="58" t="e">
        <f>Links!I15+'On-Ramps'!AF15</f>
        <v>#DIV/0!</v>
      </c>
      <c r="U15" s="58" t="e">
        <f>Links!J15+'On-Ramps'!AG15</f>
        <v>#DIV/0!</v>
      </c>
      <c r="V15" s="58" t="e">
        <f>Links!L15+'On-Ramps'!AH15</f>
        <v>#DIV/0!</v>
      </c>
      <c r="W15" s="58" t="e">
        <f>Links!M15+'On-Ramps'!AI15</f>
        <v>#DIV/0!</v>
      </c>
      <c r="X15" s="58" t="e">
        <f>Links!P15+'On-Ramps'!AJ15</f>
        <v>#DIV/0!</v>
      </c>
      <c r="Y15" s="58" t="e">
        <f>Links!Q15</f>
        <v>#DIV/0!</v>
      </c>
      <c r="Z15" s="58" t="e">
        <f>Links!R15+'On-Ramps'!AK15</f>
        <v>#DIV/0!</v>
      </c>
      <c r="AA15" s="58" t="e">
        <f>Links!S15</f>
        <v>#DIV/0!</v>
      </c>
      <c r="AB15" s="57" t="e">
        <f t="shared" si="16"/>
        <v>#DIV/0!</v>
      </c>
      <c r="AC15" s="63"/>
      <c r="AD15" s="57" t="e">
        <f t="shared" si="17"/>
        <v>#DIV/0!</v>
      </c>
      <c r="AE15" s="63"/>
      <c r="AF15" s="57" t="e">
        <f t="shared" si="18"/>
        <v>#DIV/0!</v>
      </c>
      <c r="AG15" s="57" t="e">
        <f t="shared" si="19"/>
        <v>#DIV/0!</v>
      </c>
      <c r="AH15" s="57" t="e">
        <f t="shared" si="20"/>
        <v>#DIV/0!</v>
      </c>
      <c r="AI15" s="57" t="e">
        <f t="shared" si="21"/>
        <v>#DIV/0!</v>
      </c>
      <c r="AJ15" s="57" t="e">
        <f t="shared" si="22"/>
        <v>#DIV/0!</v>
      </c>
      <c r="AK15" s="57" t="e">
        <f t="shared" si="23"/>
        <v>#DIV/0!</v>
      </c>
      <c r="AL15" s="57" t="e">
        <f t="shared" si="24"/>
        <v>#DIV/0!</v>
      </c>
      <c r="AM15" s="63"/>
      <c r="AN15" s="57" t="e">
        <f t="shared" si="14"/>
        <v>#DIV/0!</v>
      </c>
      <c r="AO15" s="58" t="e">
        <f t="shared" si="25"/>
        <v>#DIV/0!</v>
      </c>
      <c r="AP15" s="63"/>
      <c r="AQ15" s="58" t="e">
        <f t="shared" si="15"/>
        <v>#DIV/0!</v>
      </c>
      <c r="AR15" s="63"/>
      <c r="AS15" s="58" t="e">
        <f t="shared" si="15"/>
        <v>#DIV/0!</v>
      </c>
      <c r="AT15" s="58" t="e">
        <f t="shared" si="15"/>
        <v>#DIV/0!</v>
      </c>
      <c r="AU15" s="58" t="e">
        <f t="shared" si="15"/>
        <v>#DIV/0!</v>
      </c>
      <c r="AV15" s="58" t="e">
        <f t="shared" si="15"/>
        <v>#DIV/0!</v>
      </c>
      <c r="AW15" s="58" t="e">
        <f t="shared" si="15"/>
        <v>#DIV/0!</v>
      </c>
      <c r="AX15" s="58" t="e">
        <f t="shared" si="15"/>
        <v>#DIV/0!</v>
      </c>
      <c r="AY15" s="58" t="e">
        <f t="shared" si="15"/>
        <v>#DIV/0!</v>
      </c>
      <c r="AZ15" s="63"/>
      <c r="BA15" s="58" t="e">
        <f t="shared" si="15"/>
        <v>#DIV/0!</v>
      </c>
      <c r="BB15" s="63"/>
      <c r="BC15" s="57" t="e">
        <f>(Links!C15*Links!AQ15+'On-Ramps'!AC15*'On-Ramps'!CE15)/('On-Ramps'!AC15+Links!C15)</f>
        <v>#DIV/0!</v>
      </c>
      <c r="BD15" s="63"/>
      <c r="BE15" s="57" t="e">
        <f>(Links!E15*Links!AS15+'On-Ramps'!AD15*'On-Ramps'!CF14)/('On-Ramps'!AD15+Links!E15)</f>
        <v>#DIV/0!</v>
      </c>
      <c r="BF15" s="57" t="e">
        <f>(Links!F15*Links!AT15+'On-Ramps'!AE15*'On-Ramps'!CG15)/('On-Ramps'!AE15+Links!F15)</f>
        <v>#DIV/0!</v>
      </c>
      <c r="BG15" s="57" t="e">
        <f>(Links!I15*Links!AW15+'On-Ramps'!AF15*'On-Ramps'!CH15)/('On-Ramps'!AF15+Links!I15)</f>
        <v>#DIV/0!</v>
      </c>
      <c r="BH15" s="57" t="e">
        <f>(#REF!*#REF!+'On-Ramps'!AG15*'On-Ramps'!CI15)/('On-Ramps'!AG15+#REF!)</f>
        <v>#REF!</v>
      </c>
      <c r="BI15" s="57" t="e">
        <f>(Links!L15*Links!AZ15+'On-Ramps'!AH15*'On-Ramps'!CJ15)/('On-Ramps'!AH15+Links!L15)</f>
        <v>#DIV/0!</v>
      </c>
      <c r="BJ15" s="57" t="e">
        <f>(Links!BA15*Links!M15+'On-Ramps'!AI15*'On-Ramps'!CK15)/('On-Ramps'!AI15+Links!M15)</f>
        <v>#DIV/0!</v>
      </c>
      <c r="BK15" s="57" t="e">
        <f>(Links!S15*Links!BG15+'On-Ramps'!AJ15*'On-Ramps'!CL15)/('On-Ramps'!AJ15+Links!S15)</f>
        <v>#DIV/0!</v>
      </c>
      <c r="BL15" s="63"/>
      <c r="BM15" s="57" t="e">
        <f>(Links!S15*Links!BG15+'On-Ramps'!AL15*'On-Ramps'!CM15)/(Links!S15+'On-Ramps'!AL15)</f>
        <v>#DIV/0!</v>
      </c>
      <c r="BN15" s="63"/>
      <c r="BO15" s="58" t="e">
        <f>(Links!W15^2+'Off-Ramp'!L15^2)/(Links!W15+'Off-Ramp'!L15)</f>
        <v>#DIV/0!</v>
      </c>
      <c r="BP15" s="63"/>
      <c r="BQ15" s="58" t="e">
        <f>(Links!Y15^2+'Off-Ramp'!C15^2)/(Links!Y15+'Off-Ramp'!C15)</f>
        <v>#DIV/0!</v>
      </c>
      <c r="BR15" s="63"/>
      <c r="BS15" s="58" t="e">
        <f>(Links!AA15^2+'Off-Ramp'!N15^2)/(Links!AA15+'Off-Ramp'!N15)</f>
        <v>#DIV/0!</v>
      </c>
      <c r="BT15" s="58" t="e">
        <f>(Links!AD15^2+'Off-Ramp'!O15^2)/(Links!AD15+'Off-Ramp'!O15)</f>
        <v>#DIV/0!</v>
      </c>
      <c r="BU15" s="58" t="e">
        <f>(Links!AE15^2+'Off-Ramp'!V15^2+'Off-Ramp'!W15^2+'Off-Ramp'!X15^2)/(Links!AE15+'Off-Ramp'!V15+'Off-Ramp'!W15+'Off-Ramp'!X15)</f>
        <v>#DIV/0!</v>
      </c>
      <c r="BV15" s="58" t="e">
        <f>(Links!AG15^2+'Off-Ramp'!Y15^2+'Off-Ramp'!Z15^2+'Off-Ramp'!AA15^2)/(Links!AG15+'Off-Ramp'!Y15+'Off-Ramp'!Z15+'Off-Ramp'!AA15)</f>
        <v>#DIV/0!</v>
      </c>
      <c r="BW15" s="58" t="e">
        <f>(Links!AH15^2+'Off-Ramp'!R15^2)/(Links!AH15+'Off-Ramp'!R15)</f>
        <v>#DIV/0!</v>
      </c>
      <c r="BX15" s="58" t="e">
        <f>(Links!AK15^2+'Off-Ramp'!S15^2)/(Links!AK15+'Off-Ramp'!S15)</f>
        <v>#DIV/0!</v>
      </c>
      <c r="BY15" s="58" t="e">
        <f>(Links!AL15^2+'Off-Ramp'!T15^2)/(Links!AL15+'Off-Ramp'!T15)</f>
        <v>#DIV/0!</v>
      </c>
      <c r="BZ15" s="63"/>
      <c r="CA15" s="58" t="e">
        <f>(Links!AN15^2+'Off-Ramp'!U15^2)/(Links!AN15+'Off-Ramp'!U15)</f>
        <v>#DIV/0!</v>
      </c>
    </row>
    <row r="16" spans="1:79" x14ac:dyDescent="0.15">
      <c r="A16" s="56">
        <v>14</v>
      </c>
      <c r="B16" s="57" t="e">
        <f t="shared" si="1"/>
        <v>#DIV/0!</v>
      </c>
      <c r="C16" s="57" t="e">
        <f t="shared" si="2"/>
        <v>#DIV/0!</v>
      </c>
      <c r="D16" s="57" t="e">
        <f t="shared" si="3"/>
        <v>#DIV/0!</v>
      </c>
      <c r="E16" s="57" t="e">
        <f t="shared" si="4"/>
        <v>#DIV/0!</v>
      </c>
      <c r="F16" s="57" t="e">
        <f t="shared" si="5"/>
        <v>#DIV/0!</v>
      </c>
      <c r="G16" s="57" t="e">
        <f t="shared" si="6"/>
        <v>#DIV/0!</v>
      </c>
      <c r="H16" s="57" t="e">
        <f t="shared" si="7"/>
        <v>#DIV/0!</v>
      </c>
      <c r="I16" s="57" t="e">
        <f t="shared" si="8"/>
        <v>#DIV/0!</v>
      </c>
      <c r="J16" s="57" t="e">
        <f t="shared" si="9"/>
        <v>#DIV/0!</v>
      </c>
      <c r="K16" s="57" t="e">
        <f t="shared" si="10"/>
        <v>#DIV/0!</v>
      </c>
      <c r="L16" s="57" t="e">
        <f t="shared" si="11"/>
        <v>#DIV/0!</v>
      </c>
      <c r="M16" s="57" t="e">
        <f t="shared" si="12"/>
        <v>#DIV/0!</v>
      </c>
      <c r="N16" s="57" t="e">
        <f t="shared" si="13"/>
        <v>#DIV/0!</v>
      </c>
      <c r="O16" s="58" t="e">
        <f>Links!B16</f>
        <v>#DIV/0!</v>
      </c>
      <c r="P16" s="58" t="e">
        <f>Links!C16+'On-Ramps'!AC16</f>
        <v>#DIV/0!</v>
      </c>
      <c r="Q16" s="58" t="e">
        <f>Links!D16</f>
        <v>#DIV/0!</v>
      </c>
      <c r="R16" s="58" t="e">
        <f>Links!E16+'On-Ramps'!AD16</f>
        <v>#DIV/0!</v>
      </c>
      <c r="S16" s="58" t="e">
        <f>Links!F16+'On-Ramps'!AE16</f>
        <v>#DIV/0!</v>
      </c>
      <c r="T16" s="58" t="e">
        <f>Links!I16+'On-Ramps'!AF16</f>
        <v>#DIV/0!</v>
      </c>
      <c r="U16" s="58" t="e">
        <f>Links!J16+'On-Ramps'!AG16</f>
        <v>#DIV/0!</v>
      </c>
      <c r="V16" s="58" t="e">
        <f>Links!L16+'On-Ramps'!AH16</f>
        <v>#DIV/0!</v>
      </c>
      <c r="W16" s="58" t="e">
        <f>Links!M16+'On-Ramps'!AI16</f>
        <v>#DIV/0!</v>
      </c>
      <c r="X16" s="58" t="e">
        <f>Links!P16+'On-Ramps'!AJ16</f>
        <v>#DIV/0!</v>
      </c>
      <c r="Y16" s="58" t="e">
        <f>Links!Q16</f>
        <v>#DIV/0!</v>
      </c>
      <c r="Z16" s="58" t="e">
        <f>Links!R16+'On-Ramps'!AK16</f>
        <v>#DIV/0!</v>
      </c>
      <c r="AA16" s="58" t="e">
        <f>Links!S16</f>
        <v>#DIV/0!</v>
      </c>
      <c r="AB16" s="57" t="e">
        <f t="shared" si="16"/>
        <v>#DIV/0!</v>
      </c>
      <c r="AC16" s="63"/>
      <c r="AD16" s="57" t="e">
        <f t="shared" si="17"/>
        <v>#DIV/0!</v>
      </c>
      <c r="AE16" s="63"/>
      <c r="AF16" s="57" t="e">
        <f t="shared" si="18"/>
        <v>#DIV/0!</v>
      </c>
      <c r="AG16" s="57" t="e">
        <f t="shared" si="19"/>
        <v>#DIV/0!</v>
      </c>
      <c r="AH16" s="57" t="e">
        <f t="shared" si="20"/>
        <v>#DIV/0!</v>
      </c>
      <c r="AI16" s="57" t="e">
        <f t="shared" si="21"/>
        <v>#DIV/0!</v>
      </c>
      <c r="AJ16" s="57" t="e">
        <f t="shared" si="22"/>
        <v>#DIV/0!</v>
      </c>
      <c r="AK16" s="57" t="e">
        <f t="shared" si="23"/>
        <v>#DIV/0!</v>
      </c>
      <c r="AL16" s="57" t="e">
        <f t="shared" si="24"/>
        <v>#DIV/0!</v>
      </c>
      <c r="AM16" s="63"/>
      <c r="AN16" s="57" t="e">
        <f t="shared" si="14"/>
        <v>#DIV/0!</v>
      </c>
      <c r="AO16" s="58" t="e">
        <f t="shared" si="25"/>
        <v>#DIV/0!</v>
      </c>
      <c r="AP16" s="63"/>
      <c r="AQ16" s="58" t="e">
        <f t="shared" si="15"/>
        <v>#DIV/0!</v>
      </c>
      <c r="AR16" s="63"/>
      <c r="AS16" s="58" t="e">
        <f t="shared" si="15"/>
        <v>#DIV/0!</v>
      </c>
      <c r="AT16" s="58" t="e">
        <f t="shared" si="15"/>
        <v>#DIV/0!</v>
      </c>
      <c r="AU16" s="58" t="e">
        <f t="shared" si="15"/>
        <v>#DIV/0!</v>
      </c>
      <c r="AV16" s="58" t="e">
        <f t="shared" si="15"/>
        <v>#DIV/0!</v>
      </c>
      <c r="AW16" s="58" t="e">
        <f t="shared" si="15"/>
        <v>#DIV/0!</v>
      </c>
      <c r="AX16" s="58" t="e">
        <f t="shared" si="15"/>
        <v>#DIV/0!</v>
      </c>
      <c r="AY16" s="58" t="e">
        <f t="shared" si="15"/>
        <v>#DIV/0!</v>
      </c>
      <c r="AZ16" s="63"/>
      <c r="BA16" s="58" t="e">
        <f t="shared" si="15"/>
        <v>#DIV/0!</v>
      </c>
      <c r="BB16" s="63"/>
      <c r="BC16" s="57" t="e">
        <f>(Links!C16*Links!AQ16+'On-Ramps'!AC16*'On-Ramps'!CE16)/('On-Ramps'!AC16+Links!C16)</f>
        <v>#DIV/0!</v>
      </c>
      <c r="BD16" s="63"/>
      <c r="BE16" s="57" t="e">
        <f>(Links!E16*Links!AS16+'On-Ramps'!AD16*'On-Ramps'!CF15)/('On-Ramps'!AD16+Links!E16)</f>
        <v>#DIV/0!</v>
      </c>
      <c r="BF16" s="57" t="e">
        <f>(Links!F16*Links!AT16+'On-Ramps'!AE16*'On-Ramps'!CG16)/('On-Ramps'!AE16+Links!F16)</f>
        <v>#DIV/0!</v>
      </c>
      <c r="BG16" s="57" t="e">
        <f>(Links!I16*Links!AW16+'On-Ramps'!AF16*'On-Ramps'!CH16)/('On-Ramps'!AF16+Links!I16)</f>
        <v>#DIV/0!</v>
      </c>
      <c r="BH16" s="57" t="e">
        <f>(#REF!*#REF!+'On-Ramps'!AG16*'On-Ramps'!CI16)/('On-Ramps'!AG16+#REF!)</f>
        <v>#REF!</v>
      </c>
      <c r="BI16" s="57" t="e">
        <f>(Links!L16*Links!AZ16+'On-Ramps'!AH16*'On-Ramps'!CJ16)/('On-Ramps'!AH16+Links!L16)</f>
        <v>#DIV/0!</v>
      </c>
      <c r="BJ16" s="57" t="e">
        <f>(Links!BA16*Links!M16+'On-Ramps'!AI16*'On-Ramps'!CK16)/('On-Ramps'!AI16+Links!M16)</f>
        <v>#DIV/0!</v>
      </c>
      <c r="BK16" s="57" t="e">
        <f>(Links!S16*Links!BG16+'On-Ramps'!AJ16*'On-Ramps'!CL16)/('On-Ramps'!AJ16+Links!S16)</f>
        <v>#DIV/0!</v>
      </c>
      <c r="BL16" s="63"/>
      <c r="BM16" s="57" t="e">
        <f>(Links!S16*Links!BG16+'On-Ramps'!AL16*'On-Ramps'!CM16)/(Links!S16+'On-Ramps'!AL16)</f>
        <v>#DIV/0!</v>
      </c>
      <c r="BN16" s="63"/>
      <c r="BO16" s="58" t="e">
        <f>(Links!W16^2+'Off-Ramp'!L16^2)/(Links!W16+'Off-Ramp'!L16)</f>
        <v>#DIV/0!</v>
      </c>
      <c r="BP16" s="63"/>
      <c r="BQ16" s="58" t="e">
        <f>(Links!Y16^2+'Off-Ramp'!C16^2)/(Links!Y16+'Off-Ramp'!C16)</f>
        <v>#DIV/0!</v>
      </c>
      <c r="BR16" s="63"/>
      <c r="BS16" s="58" t="e">
        <f>(Links!AA16^2+'Off-Ramp'!N16^2)/(Links!AA16+'Off-Ramp'!N16)</f>
        <v>#DIV/0!</v>
      </c>
      <c r="BT16" s="58" t="e">
        <f>(Links!AD16^2+'Off-Ramp'!O16^2)/(Links!AD16+'Off-Ramp'!O16)</f>
        <v>#DIV/0!</v>
      </c>
      <c r="BU16" s="58" t="e">
        <f>(Links!AE16^2+'Off-Ramp'!V16^2+'Off-Ramp'!W16^2+'Off-Ramp'!X16^2)/(Links!AE16+'Off-Ramp'!V16+'Off-Ramp'!W16+'Off-Ramp'!X16)</f>
        <v>#DIV/0!</v>
      </c>
      <c r="BV16" s="58" t="e">
        <f>(Links!AG16^2+'Off-Ramp'!Y16^2+'Off-Ramp'!Z16^2+'Off-Ramp'!AA16^2)/(Links!AG16+'Off-Ramp'!Y16+'Off-Ramp'!Z16+'Off-Ramp'!AA16)</f>
        <v>#DIV/0!</v>
      </c>
      <c r="BW16" s="58" t="e">
        <f>(Links!AH16^2+'Off-Ramp'!R16^2)/(Links!AH16+'Off-Ramp'!R16)</f>
        <v>#DIV/0!</v>
      </c>
      <c r="BX16" s="58" t="e">
        <f>(Links!AK16^2+'Off-Ramp'!S16^2)/(Links!AK16+'Off-Ramp'!S16)</f>
        <v>#DIV/0!</v>
      </c>
      <c r="BY16" s="58" t="e">
        <f>(Links!AL16^2+'Off-Ramp'!T16^2)/(Links!AL16+'Off-Ramp'!T16)</f>
        <v>#DIV/0!</v>
      </c>
      <c r="BZ16" s="63"/>
      <c r="CA16" s="58" t="e">
        <f>(Links!AN16^2+'Off-Ramp'!U16^2)/(Links!AN16+'Off-Ramp'!U16)</f>
        <v>#DIV/0!</v>
      </c>
    </row>
    <row r="17" spans="1:79" x14ac:dyDescent="0.15">
      <c r="A17" s="56">
        <v>15</v>
      </c>
      <c r="B17" s="57" t="e">
        <f t="shared" si="1"/>
        <v>#DIV/0!</v>
      </c>
      <c r="C17" s="57" t="e">
        <f t="shared" si="2"/>
        <v>#DIV/0!</v>
      </c>
      <c r="D17" s="57" t="e">
        <f t="shared" si="3"/>
        <v>#DIV/0!</v>
      </c>
      <c r="E17" s="57" t="e">
        <f t="shared" si="4"/>
        <v>#DIV/0!</v>
      </c>
      <c r="F17" s="57" t="e">
        <f t="shared" si="5"/>
        <v>#DIV/0!</v>
      </c>
      <c r="G17" s="57" t="e">
        <f t="shared" si="6"/>
        <v>#DIV/0!</v>
      </c>
      <c r="H17" s="57" t="e">
        <f t="shared" si="7"/>
        <v>#DIV/0!</v>
      </c>
      <c r="I17" s="57" t="e">
        <f t="shared" si="8"/>
        <v>#DIV/0!</v>
      </c>
      <c r="J17" s="57" t="e">
        <f t="shared" si="9"/>
        <v>#DIV/0!</v>
      </c>
      <c r="K17" s="57" t="e">
        <f t="shared" si="10"/>
        <v>#DIV/0!</v>
      </c>
      <c r="L17" s="57" t="e">
        <f t="shared" si="11"/>
        <v>#DIV/0!</v>
      </c>
      <c r="M17" s="57" t="e">
        <f t="shared" si="12"/>
        <v>#DIV/0!</v>
      </c>
      <c r="N17" s="57" t="e">
        <f t="shared" si="13"/>
        <v>#DIV/0!</v>
      </c>
      <c r="O17" s="58" t="e">
        <f>Links!B17</f>
        <v>#DIV/0!</v>
      </c>
      <c r="P17" s="58" t="e">
        <f>Links!C17+'On-Ramps'!AC17</f>
        <v>#DIV/0!</v>
      </c>
      <c r="Q17" s="58" t="e">
        <f>Links!D17</f>
        <v>#DIV/0!</v>
      </c>
      <c r="R17" s="58" t="e">
        <f>Links!E17+'On-Ramps'!AD17</f>
        <v>#DIV/0!</v>
      </c>
      <c r="S17" s="58" t="e">
        <f>Links!F17+'On-Ramps'!AE17</f>
        <v>#DIV/0!</v>
      </c>
      <c r="T17" s="58" t="e">
        <f>Links!I17+'On-Ramps'!AF17</f>
        <v>#DIV/0!</v>
      </c>
      <c r="U17" s="58" t="e">
        <f>Links!J17+'On-Ramps'!AG17</f>
        <v>#DIV/0!</v>
      </c>
      <c r="V17" s="58" t="e">
        <f>Links!L17+'On-Ramps'!AH17</f>
        <v>#DIV/0!</v>
      </c>
      <c r="W17" s="58" t="e">
        <f>Links!M17+'On-Ramps'!AI17</f>
        <v>#DIV/0!</v>
      </c>
      <c r="X17" s="58" t="e">
        <f>Links!P17+'On-Ramps'!AJ17</f>
        <v>#DIV/0!</v>
      </c>
      <c r="Y17" s="58" t="e">
        <f>Links!Q17</f>
        <v>#DIV/0!</v>
      </c>
      <c r="Z17" s="58" t="e">
        <f>Links!R17+'On-Ramps'!AK17</f>
        <v>#DIV/0!</v>
      </c>
      <c r="AA17" s="58" t="e">
        <f>Links!S17</f>
        <v>#DIV/0!</v>
      </c>
      <c r="AB17" s="57" t="e">
        <f t="shared" si="16"/>
        <v>#DIV/0!</v>
      </c>
      <c r="AC17" s="63"/>
      <c r="AD17" s="57" t="e">
        <f t="shared" si="17"/>
        <v>#DIV/0!</v>
      </c>
      <c r="AE17" s="63"/>
      <c r="AF17" s="57" t="e">
        <f t="shared" si="18"/>
        <v>#DIV/0!</v>
      </c>
      <c r="AG17" s="57" t="e">
        <f t="shared" si="19"/>
        <v>#DIV/0!</v>
      </c>
      <c r="AH17" s="57" t="e">
        <f t="shared" si="20"/>
        <v>#DIV/0!</v>
      </c>
      <c r="AI17" s="57" t="e">
        <f t="shared" si="21"/>
        <v>#DIV/0!</v>
      </c>
      <c r="AJ17" s="57" t="e">
        <f t="shared" si="22"/>
        <v>#DIV/0!</v>
      </c>
      <c r="AK17" s="57" t="e">
        <f t="shared" si="23"/>
        <v>#DIV/0!</v>
      </c>
      <c r="AL17" s="57" t="e">
        <f t="shared" si="24"/>
        <v>#DIV/0!</v>
      </c>
      <c r="AM17" s="63"/>
      <c r="AN17" s="57" t="e">
        <f t="shared" si="14"/>
        <v>#DIV/0!</v>
      </c>
      <c r="AO17" s="58" t="e">
        <f t="shared" si="25"/>
        <v>#DIV/0!</v>
      </c>
      <c r="AP17" s="63"/>
      <c r="AQ17" s="58" t="e">
        <f t="shared" si="15"/>
        <v>#DIV/0!</v>
      </c>
      <c r="AR17" s="63"/>
      <c r="AS17" s="58" t="e">
        <f t="shared" si="15"/>
        <v>#DIV/0!</v>
      </c>
      <c r="AT17" s="58" t="e">
        <f t="shared" si="15"/>
        <v>#DIV/0!</v>
      </c>
      <c r="AU17" s="58" t="e">
        <f t="shared" si="15"/>
        <v>#DIV/0!</v>
      </c>
      <c r="AV17" s="58" t="e">
        <f t="shared" si="15"/>
        <v>#DIV/0!</v>
      </c>
      <c r="AW17" s="58" t="e">
        <f t="shared" si="15"/>
        <v>#DIV/0!</v>
      </c>
      <c r="AX17" s="58" t="e">
        <f t="shared" si="15"/>
        <v>#DIV/0!</v>
      </c>
      <c r="AY17" s="58" t="e">
        <f t="shared" si="15"/>
        <v>#DIV/0!</v>
      </c>
      <c r="AZ17" s="63"/>
      <c r="BA17" s="58" t="e">
        <f t="shared" si="15"/>
        <v>#DIV/0!</v>
      </c>
      <c r="BB17" s="63"/>
      <c r="BC17" s="57" t="e">
        <f>(Links!C17*Links!AQ17+'On-Ramps'!AC17*'On-Ramps'!CE17)/('On-Ramps'!AC17+Links!C17)</f>
        <v>#DIV/0!</v>
      </c>
      <c r="BD17" s="63"/>
      <c r="BE17" s="57" t="e">
        <f>(Links!E17*Links!AS17+'On-Ramps'!AD17*'On-Ramps'!CF16)/('On-Ramps'!AD17+Links!E17)</f>
        <v>#DIV/0!</v>
      </c>
      <c r="BF17" s="57" t="e">
        <f>(Links!F17*Links!AT17+'On-Ramps'!AE17*'On-Ramps'!CG17)/('On-Ramps'!AE17+Links!F17)</f>
        <v>#DIV/0!</v>
      </c>
      <c r="BG17" s="57" t="e">
        <f>(Links!I17*Links!AW17+'On-Ramps'!AF17*'On-Ramps'!CH17)/('On-Ramps'!AF17+Links!I17)</f>
        <v>#DIV/0!</v>
      </c>
      <c r="BH17" s="57" t="e">
        <f>(#REF!*#REF!+'On-Ramps'!AG17*'On-Ramps'!CI17)/('On-Ramps'!AG17+#REF!)</f>
        <v>#REF!</v>
      </c>
      <c r="BI17" s="57" t="e">
        <f>(Links!L17*Links!AZ17+'On-Ramps'!AH17*'On-Ramps'!CJ17)/('On-Ramps'!AH17+Links!L17)</f>
        <v>#DIV/0!</v>
      </c>
      <c r="BJ17" s="57" t="e">
        <f>(Links!BA17*Links!M17+'On-Ramps'!AI17*'On-Ramps'!CK17)/('On-Ramps'!AI17+Links!M17)</f>
        <v>#DIV/0!</v>
      </c>
      <c r="BK17" s="57" t="e">
        <f>(Links!S17*Links!BG17+'On-Ramps'!AJ17*'On-Ramps'!CL17)/('On-Ramps'!AJ17+Links!S17)</f>
        <v>#DIV/0!</v>
      </c>
      <c r="BL17" s="63"/>
      <c r="BM17" s="57" t="e">
        <f>(Links!S17*Links!BG17+'On-Ramps'!AL17*'On-Ramps'!CM17)/(Links!S17+'On-Ramps'!AL17)</f>
        <v>#DIV/0!</v>
      </c>
      <c r="BN17" s="63"/>
      <c r="BO17" s="58" t="e">
        <f>(Links!W17^2+'Off-Ramp'!L17^2)/(Links!W17+'Off-Ramp'!L17)</f>
        <v>#DIV/0!</v>
      </c>
      <c r="BP17" s="63"/>
      <c r="BQ17" s="58" t="e">
        <f>(Links!Y17^2+'Off-Ramp'!C17^2)/(Links!Y17+'Off-Ramp'!C17)</f>
        <v>#DIV/0!</v>
      </c>
      <c r="BR17" s="63"/>
      <c r="BS17" s="58" t="e">
        <f>(Links!AA17^2+'Off-Ramp'!N17^2)/(Links!AA17+'Off-Ramp'!N17)</f>
        <v>#DIV/0!</v>
      </c>
      <c r="BT17" s="58" t="e">
        <f>(Links!AD17^2+'Off-Ramp'!O17^2)/(Links!AD17+'Off-Ramp'!O17)</f>
        <v>#DIV/0!</v>
      </c>
      <c r="BU17" s="58" t="e">
        <f>(Links!AE17^2+'Off-Ramp'!V17^2+'Off-Ramp'!W17^2+'Off-Ramp'!X17^2)/(Links!AE17+'Off-Ramp'!V17+'Off-Ramp'!W17+'Off-Ramp'!X17)</f>
        <v>#DIV/0!</v>
      </c>
      <c r="BV17" s="58" t="e">
        <f>(Links!AG17^2+'Off-Ramp'!Y17^2+'Off-Ramp'!Z17^2+'Off-Ramp'!AA17^2)/(Links!AG17+'Off-Ramp'!Y17+'Off-Ramp'!Z17+'Off-Ramp'!AA17)</f>
        <v>#DIV/0!</v>
      </c>
      <c r="BW17" s="58" t="e">
        <f>(Links!AH17^2+'Off-Ramp'!R17^2)/(Links!AH17+'Off-Ramp'!R17)</f>
        <v>#DIV/0!</v>
      </c>
      <c r="BX17" s="58" t="e">
        <f>(Links!AK17^2+'Off-Ramp'!S17^2)/(Links!AK17+'Off-Ramp'!S17)</f>
        <v>#DIV/0!</v>
      </c>
      <c r="BY17" s="58" t="e">
        <f>(Links!AL17^2+'Off-Ramp'!T17^2)/(Links!AL17+'Off-Ramp'!T17)</f>
        <v>#DIV/0!</v>
      </c>
      <c r="BZ17" s="63"/>
      <c r="CA17" s="58" t="e">
        <f>(Links!AN17^2+'Off-Ramp'!U17^2)/(Links!AN17+'Off-Ramp'!U17)</f>
        <v>#DIV/0!</v>
      </c>
    </row>
    <row r="18" spans="1:79" x14ac:dyDescent="0.15">
      <c r="A18" s="56">
        <v>16</v>
      </c>
      <c r="B18" s="57" t="e">
        <f t="shared" si="1"/>
        <v>#DIV/0!</v>
      </c>
      <c r="C18" s="57" t="e">
        <f t="shared" si="2"/>
        <v>#DIV/0!</v>
      </c>
      <c r="D18" s="57" t="e">
        <f t="shared" si="3"/>
        <v>#DIV/0!</v>
      </c>
      <c r="E18" s="57" t="e">
        <f t="shared" si="4"/>
        <v>#DIV/0!</v>
      </c>
      <c r="F18" s="57" t="e">
        <f t="shared" si="5"/>
        <v>#DIV/0!</v>
      </c>
      <c r="G18" s="57" t="e">
        <f t="shared" si="6"/>
        <v>#DIV/0!</v>
      </c>
      <c r="H18" s="57" t="e">
        <f t="shared" si="7"/>
        <v>#DIV/0!</v>
      </c>
      <c r="I18" s="57" t="e">
        <f t="shared" si="8"/>
        <v>#DIV/0!</v>
      </c>
      <c r="J18" s="57" t="e">
        <f t="shared" si="9"/>
        <v>#DIV/0!</v>
      </c>
      <c r="K18" s="57" t="e">
        <f t="shared" si="10"/>
        <v>#DIV/0!</v>
      </c>
      <c r="L18" s="57" t="e">
        <f t="shared" si="11"/>
        <v>#DIV/0!</v>
      </c>
      <c r="M18" s="57" t="e">
        <f t="shared" si="12"/>
        <v>#DIV/0!</v>
      </c>
      <c r="N18" s="57" t="e">
        <f t="shared" si="13"/>
        <v>#DIV/0!</v>
      </c>
      <c r="O18" s="58" t="e">
        <f>Links!B18</f>
        <v>#DIV/0!</v>
      </c>
      <c r="P18" s="58" t="e">
        <f>Links!C18+'On-Ramps'!AC18</f>
        <v>#DIV/0!</v>
      </c>
      <c r="Q18" s="58" t="e">
        <f>Links!D18</f>
        <v>#DIV/0!</v>
      </c>
      <c r="R18" s="58" t="e">
        <f>Links!E18+'On-Ramps'!AD18</f>
        <v>#DIV/0!</v>
      </c>
      <c r="S18" s="58" t="e">
        <f>Links!F18+'On-Ramps'!AE18</f>
        <v>#DIV/0!</v>
      </c>
      <c r="T18" s="58" t="e">
        <f>Links!I18+'On-Ramps'!AF18</f>
        <v>#DIV/0!</v>
      </c>
      <c r="U18" s="58" t="e">
        <f>Links!J18+'On-Ramps'!AG18</f>
        <v>#DIV/0!</v>
      </c>
      <c r="V18" s="58" t="e">
        <f>Links!L18+'On-Ramps'!AH18</f>
        <v>#DIV/0!</v>
      </c>
      <c r="W18" s="58" t="e">
        <f>Links!M18+'On-Ramps'!AI18</f>
        <v>#DIV/0!</v>
      </c>
      <c r="X18" s="58" t="e">
        <f>Links!P18+'On-Ramps'!AJ18</f>
        <v>#DIV/0!</v>
      </c>
      <c r="Y18" s="58" t="e">
        <f>Links!Q18</f>
        <v>#DIV/0!</v>
      </c>
      <c r="Z18" s="58" t="e">
        <f>Links!R18+'On-Ramps'!AK18</f>
        <v>#DIV/0!</v>
      </c>
      <c r="AA18" s="58" t="e">
        <f>Links!S18</f>
        <v>#DIV/0!</v>
      </c>
      <c r="AB18" s="57" t="e">
        <f t="shared" si="16"/>
        <v>#DIV/0!</v>
      </c>
      <c r="AC18" s="63"/>
      <c r="AD18" s="57" t="e">
        <f t="shared" si="17"/>
        <v>#DIV/0!</v>
      </c>
      <c r="AE18" s="63"/>
      <c r="AF18" s="57" t="e">
        <f t="shared" si="18"/>
        <v>#DIV/0!</v>
      </c>
      <c r="AG18" s="57" t="e">
        <f t="shared" si="19"/>
        <v>#DIV/0!</v>
      </c>
      <c r="AH18" s="57" t="e">
        <f t="shared" si="20"/>
        <v>#DIV/0!</v>
      </c>
      <c r="AI18" s="57" t="e">
        <f t="shared" si="21"/>
        <v>#DIV/0!</v>
      </c>
      <c r="AJ18" s="57" t="e">
        <f t="shared" si="22"/>
        <v>#DIV/0!</v>
      </c>
      <c r="AK18" s="57" t="e">
        <f t="shared" si="23"/>
        <v>#DIV/0!</v>
      </c>
      <c r="AL18" s="57" t="e">
        <f t="shared" si="24"/>
        <v>#DIV/0!</v>
      </c>
      <c r="AM18" s="63"/>
      <c r="AN18" s="57" t="e">
        <f t="shared" si="14"/>
        <v>#DIV/0!</v>
      </c>
      <c r="AO18" s="58" t="e">
        <f t="shared" si="25"/>
        <v>#DIV/0!</v>
      </c>
      <c r="AP18" s="63"/>
      <c r="AQ18" s="58" t="e">
        <f t="shared" si="15"/>
        <v>#DIV/0!</v>
      </c>
      <c r="AR18" s="63"/>
      <c r="AS18" s="58" t="e">
        <f t="shared" si="15"/>
        <v>#DIV/0!</v>
      </c>
      <c r="AT18" s="58" t="e">
        <f t="shared" si="15"/>
        <v>#DIV/0!</v>
      </c>
      <c r="AU18" s="58" t="e">
        <f t="shared" si="15"/>
        <v>#DIV/0!</v>
      </c>
      <c r="AV18" s="58" t="e">
        <f t="shared" si="15"/>
        <v>#DIV/0!</v>
      </c>
      <c r="AW18" s="58" t="e">
        <f t="shared" si="15"/>
        <v>#DIV/0!</v>
      </c>
      <c r="AX18" s="58" t="e">
        <f t="shared" si="15"/>
        <v>#DIV/0!</v>
      </c>
      <c r="AY18" s="58" t="e">
        <f t="shared" si="15"/>
        <v>#DIV/0!</v>
      </c>
      <c r="AZ18" s="63"/>
      <c r="BA18" s="58" t="e">
        <f t="shared" si="15"/>
        <v>#DIV/0!</v>
      </c>
      <c r="BB18" s="63"/>
      <c r="BC18" s="57" t="e">
        <f>(Links!C18*Links!AQ18+'On-Ramps'!AC18*'On-Ramps'!CE18)/('On-Ramps'!AC18+Links!C18)</f>
        <v>#DIV/0!</v>
      </c>
      <c r="BD18" s="63"/>
      <c r="BE18" s="57" t="e">
        <f>(Links!E18*Links!AS18+'On-Ramps'!AD18*'On-Ramps'!CF17)/('On-Ramps'!AD18+Links!E18)</f>
        <v>#DIV/0!</v>
      </c>
      <c r="BF18" s="57" t="e">
        <f>(Links!F18*Links!AT18+'On-Ramps'!AE18*'On-Ramps'!CG18)/('On-Ramps'!AE18+Links!F18)</f>
        <v>#DIV/0!</v>
      </c>
      <c r="BG18" s="57" t="e">
        <f>(Links!I18*Links!AW18+'On-Ramps'!AF18*'On-Ramps'!CH18)/('On-Ramps'!AF18+Links!I18)</f>
        <v>#DIV/0!</v>
      </c>
      <c r="BH18" s="57" t="e">
        <f>(#REF!*#REF!+'On-Ramps'!AG18*'On-Ramps'!CI18)/('On-Ramps'!AG18+#REF!)</f>
        <v>#REF!</v>
      </c>
      <c r="BI18" s="57" t="e">
        <f>(Links!L18*Links!AZ18+'On-Ramps'!AH18*'On-Ramps'!CJ18)/('On-Ramps'!AH18+Links!L18)</f>
        <v>#DIV/0!</v>
      </c>
      <c r="BJ18" s="57" t="e">
        <f>(Links!BA18*Links!M18+'On-Ramps'!AI18*'On-Ramps'!CK18)/('On-Ramps'!AI18+Links!M18)</f>
        <v>#DIV/0!</v>
      </c>
      <c r="BK18" s="57" t="e">
        <f>(Links!S18*Links!BG18+'On-Ramps'!AJ18*'On-Ramps'!CL18)/('On-Ramps'!AJ18+Links!S18)</f>
        <v>#DIV/0!</v>
      </c>
      <c r="BL18" s="63"/>
      <c r="BM18" s="57" t="e">
        <f>(Links!S18*Links!BG18+'On-Ramps'!AL18*'On-Ramps'!CM18)/(Links!S18+'On-Ramps'!AL18)</f>
        <v>#DIV/0!</v>
      </c>
      <c r="BN18" s="63"/>
      <c r="BO18" s="58" t="e">
        <f>(Links!W18^2+'Off-Ramp'!L18^2)/(Links!W18+'Off-Ramp'!L18)</f>
        <v>#DIV/0!</v>
      </c>
      <c r="BP18" s="63"/>
      <c r="BQ18" s="58" t="e">
        <f>(Links!Y18^2+'Off-Ramp'!C18^2)/(Links!Y18+'Off-Ramp'!C18)</f>
        <v>#DIV/0!</v>
      </c>
      <c r="BR18" s="63"/>
      <c r="BS18" s="58" t="e">
        <f>(Links!AA18^2+'Off-Ramp'!N18^2)/(Links!AA18+'Off-Ramp'!N18)</f>
        <v>#DIV/0!</v>
      </c>
      <c r="BT18" s="58" t="e">
        <f>(Links!AD18^2+'Off-Ramp'!O18^2)/(Links!AD18+'Off-Ramp'!O18)</f>
        <v>#DIV/0!</v>
      </c>
      <c r="BU18" s="58" t="e">
        <f>(Links!AE18^2+'Off-Ramp'!V18^2+'Off-Ramp'!W18^2+'Off-Ramp'!X18^2)/(Links!AE18+'Off-Ramp'!V18+'Off-Ramp'!W18+'Off-Ramp'!X18)</f>
        <v>#DIV/0!</v>
      </c>
      <c r="BV18" s="58" t="e">
        <f>(Links!AG18^2+'Off-Ramp'!Y18^2+'Off-Ramp'!Z18^2+'Off-Ramp'!AA18^2)/(Links!AG18+'Off-Ramp'!Y18+'Off-Ramp'!Z18+'Off-Ramp'!AA18)</f>
        <v>#DIV/0!</v>
      </c>
      <c r="BW18" s="58" t="e">
        <f>(Links!AH18^2+'Off-Ramp'!R18^2)/(Links!AH18+'Off-Ramp'!R18)</f>
        <v>#DIV/0!</v>
      </c>
      <c r="BX18" s="58" t="e">
        <f>(Links!AK18^2+'Off-Ramp'!S18^2)/(Links!AK18+'Off-Ramp'!S18)</f>
        <v>#DIV/0!</v>
      </c>
      <c r="BY18" s="58" t="e">
        <f>(Links!AL18^2+'Off-Ramp'!T18^2)/(Links!AL18+'Off-Ramp'!T18)</f>
        <v>#DIV/0!</v>
      </c>
      <c r="BZ18" s="63"/>
      <c r="CA18" s="58" t="e">
        <f>(Links!AN18^2+'Off-Ramp'!U18^2)/(Links!AN18+'Off-Ramp'!U18)</f>
        <v>#DIV/0!</v>
      </c>
    </row>
    <row r="19" spans="1:79" x14ac:dyDescent="0.15">
      <c r="A19" s="56">
        <v>17</v>
      </c>
      <c r="B19" s="57" t="e">
        <f t="shared" si="1"/>
        <v>#DIV/0!</v>
      </c>
      <c r="C19" s="57" t="e">
        <f t="shared" si="2"/>
        <v>#DIV/0!</v>
      </c>
      <c r="D19" s="57" t="e">
        <f t="shared" si="3"/>
        <v>#DIV/0!</v>
      </c>
      <c r="E19" s="57" t="e">
        <f t="shared" si="4"/>
        <v>#DIV/0!</v>
      </c>
      <c r="F19" s="57" t="e">
        <f t="shared" si="5"/>
        <v>#DIV/0!</v>
      </c>
      <c r="G19" s="57" t="e">
        <f t="shared" si="6"/>
        <v>#DIV/0!</v>
      </c>
      <c r="H19" s="57" t="e">
        <f t="shared" si="7"/>
        <v>#DIV/0!</v>
      </c>
      <c r="I19" s="57" t="e">
        <f t="shared" si="8"/>
        <v>#DIV/0!</v>
      </c>
      <c r="J19" s="57" t="e">
        <f t="shared" si="9"/>
        <v>#DIV/0!</v>
      </c>
      <c r="K19" s="57" t="e">
        <f t="shared" si="10"/>
        <v>#DIV/0!</v>
      </c>
      <c r="L19" s="57" t="e">
        <f t="shared" si="11"/>
        <v>#DIV/0!</v>
      </c>
      <c r="M19" s="57" t="e">
        <f t="shared" si="12"/>
        <v>#DIV/0!</v>
      </c>
      <c r="N19" s="57" t="e">
        <f t="shared" si="13"/>
        <v>#DIV/0!</v>
      </c>
      <c r="O19" s="58" t="e">
        <f>Links!B19</f>
        <v>#DIV/0!</v>
      </c>
      <c r="P19" s="58" t="e">
        <f>Links!C19+'On-Ramps'!AC19</f>
        <v>#DIV/0!</v>
      </c>
      <c r="Q19" s="58" t="e">
        <f>Links!D19</f>
        <v>#DIV/0!</v>
      </c>
      <c r="R19" s="58" t="e">
        <f>Links!E19+'On-Ramps'!AD19</f>
        <v>#DIV/0!</v>
      </c>
      <c r="S19" s="58" t="e">
        <f>Links!F19+'On-Ramps'!AE19</f>
        <v>#DIV/0!</v>
      </c>
      <c r="T19" s="58" t="e">
        <f>Links!I19+'On-Ramps'!AF19</f>
        <v>#DIV/0!</v>
      </c>
      <c r="U19" s="58" t="e">
        <f>Links!J19+'On-Ramps'!AG19</f>
        <v>#DIV/0!</v>
      </c>
      <c r="V19" s="58" t="e">
        <f>Links!L19+'On-Ramps'!AH19</f>
        <v>#DIV/0!</v>
      </c>
      <c r="W19" s="58" t="e">
        <f>Links!M19+'On-Ramps'!AI19</f>
        <v>#DIV/0!</v>
      </c>
      <c r="X19" s="58" t="e">
        <f>Links!P19+'On-Ramps'!AJ19</f>
        <v>#DIV/0!</v>
      </c>
      <c r="Y19" s="58" t="e">
        <f>Links!Q19</f>
        <v>#DIV/0!</v>
      </c>
      <c r="Z19" s="58" t="e">
        <f>Links!R19+'On-Ramps'!AK19</f>
        <v>#DIV/0!</v>
      </c>
      <c r="AA19" s="58" t="e">
        <f>Links!S19</f>
        <v>#DIV/0!</v>
      </c>
      <c r="AB19" s="57" t="e">
        <f t="shared" si="16"/>
        <v>#DIV/0!</v>
      </c>
      <c r="AC19" s="63"/>
      <c r="AD19" s="57" t="e">
        <f t="shared" si="17"/>
        <v>#DIV/0!</v>
      </c>
      <c r="AE19" s="63"/>
      <c r="AF19" s="57" t="e">
        <f t="shared" si="18"/>
        <v>#DIV/0!</v>
      </c>
      <c r="AG19" s="57" t="e">
        <f t="shared" si="19"/>
        <v>#DIV/0!</v>
      </c>
      <c r="AH19" s="57" t="e">
        <f t="shared" si="20"/>
        <v>#DIV/0!</v>
      </c>
      <c r="AI19" s="57" t="e">
        <f t="shared" si="21"/>
        <v>#DIV/0!</v>
      </c>
      <c r="AJ19" s="57" t="e">
        <f t="shared" si="22"/>
        <v>#DIV/0!</v>
      </c>
      <c r="AK19" s="57" t="e">
        <f t="shared" si="23"/>
        <v>#DIV/0!</v>
      </c>
      <c r="AL19" s="57" t="e">
        <f t="shared" si="24"/>
        <v>#DIV/0!</v>
      </c>
      <c r="AM19" s="63"/>
      <c r="AN19" s="57" t="e">
        <f t="shared" si="14"/>
        <v>#DIV/0!</v>
      </c>
      <c r="AO19" s="58" t="e">
        <f t="shared" si="25"/>
        <v>#DIV/0!</v>
      </c>
      <c r="AP19" s="63"/>
      <c r="AQ19" s="58" t="e">
        <f t="shared" si="15"/>
        <v>#DIV/0!</v>
      </c>
      <c r="AR19" s="63"/>
      <c r="AS19" s="58" t="e">
        <f t="shared" si="15"/>
        <v>#DIV/0!</v>
      </c>
      <c r="AT19" s="58" t="e">
        <f t="shared" si="15"/>
        <v>#DIV/0!</v>
      </c>
      <c r="AU19" s="58" t="e">
        <f t="shared" si="15"/>
        <v>#DIV/0!</v>
      </c>
      <c r="AV19" s="58" t="e">
        <f t="shared" si="15"/>
        <v>#DIV/0!</v>
      </c>
      <c r="AW19" s="58" t="e">
        <f t="shared" si="15"/>
        <v>#DIV/0!</v>
      </c>
      <c r="AX19" s="58" t="e">
        <f t="shared" si="15"/>
        <v>#DIV/0!</v>
      </c>
      <c r="AY19" s="58" t="e">
        <f t="shared" si="15"/>
        <v>#DIV/0!</v>
      </c>
      <c r="AZ19" s="63"/>
      <c r="BA19" s="58" t="e">
        <f t="shared" si="15"/>
        <v>#DIV/0!</v>
      </c>
      <c r="BB19" s="63"/>
      <c r="BC19" s="57" t="e">
        <f>(Links!C19*Links!AQ19+'On-Ramps'!AC19*'On-Ramps'!CE19)/('On-Ramps'!AC19+Links!C19)</f>
        <v>#DIV/0!</v>
      </c>
      <c r="BD19" s="63"/>
      <c r="BE19" s="57" t="e">
        <f>(Links!E19*Links!AS19+'On-Ramps'!AD19*'On-Ramps'!CF18)/('On-Ramps'!AD19+Links!E19)</f>
        <v>#DIV/0!</v>
      </c>
      <c r="BF19" s="57" t="e">
        <f>(Links!F19*Links!AT19+'On-Ramps'!AE19*'On-Ramps'!CG19)/('On-Ramps'!AE19+Links!F19)</f>
        <v>#DIV/0!</v>
      </c>
      <c r="BG19" s="57" t="e">
        <f>(Links!I19*Links!AW19+'On-Ramps'!AF19*'On-Ramps'!CH19)/('On-Ramps'!AF19+Links!I19)</f>
        <v>#DIV/0!</v>
      </c>
      <c r="BH19" s="57" t="e">
        <f>(#REF!*#REF!+'On-Ramps'!AG19*'On-Ramps'!CI19)/('On-Ramps'!AG19+#REF!)</f>
        <v>#REF!</v>
      </c>
      <c r="BI19" s="57" t="e">
        <f>(Links!L19*Links!AZ19+'On-Ramps'!AH19*'On-Ramps'!CJ19)/('On-Ramps'!AH19+Links!L19)</f>
        <v>#DIV/0!</v>
      </c>
      <c r="BJ19" s="57" t="e">
        <f>(Links!BA19*Links!M19+'On-Ramps'!AI19*'On-Ramps'!CK19)/('On-Ramps'!AI19+Links!M19)</f>
        <v>#DIV/0!</v>
      </c>
      <c r="BK19" s="57" t="e">
        <f>(Links!S19*Links!BG19+'On-Ramps'!AJ19*'On-Ramps'!CL19)/('On-Ramps'!AJ19+Links!S19)</f>
        <v>#DIV/0!</v>
      </c>
      <c r="BL19" s="63"/>
      <c r="BM19" s="57" t="e">
        <f>(Links!S19*Links!BG19+'On-Ramps'!AL19*'On-Ramps'!CM19)/(Links!S19+'On-Ramps'!AL19)</f>
        <v>#DIV/0!</v>
      </c>
      <c r="BN19" s="63"/>
      <c r="BO19" s="58" t="e">
        <f>(Links!W19^2+'Off-Ramp'!L19^2)/(Links!W19+'Off-Ramp'!L19)</f>
        <v>#DIV/0!</v>
      </c>
      <c r="BP19" s="63"/>
      <c r="BQ19" s="58" t="e">
        <f>(Links!Y19^2+'Off-Ramp'!C19^2)/(Links!Y19+'Off-Ramp'!C19)</f>
        <v>#DIV/0!</v>
      </c>
      <c r="BR19" s="63"/>
      <c r="BS19" s="58" t="e">
        <f>(Links!AA19^2+'Off-Ramp'!N19^2)/(Links!AA19+'Off-Ramp'!N19)</f>
        <v>#DIV/0!</v>
      </c>
      <c r="BT19" s="58" t="e">
        <f>(Links!AD19^2+'Off-Ramp'!O19^2)/(Links!AD19+'Off-Ramp'!O19)</f>
        <v>#DIV/0!</v>
      </c>
      <c r="BU19" s="58" t="e">
        <f>(Links!AE19^2+'Off-Ramp'!V19^2+'Off-Ramp'!W19^2+'Off-Ramp'!X19^2)/(Links!AE19+'Off-Ramp'!V19+'Off-Ramp'!W19+'Off-Ramp'!X19)</f>
        <v>#DIV/0!</v>
      </c>
      <c r="BV19" s="58" t="e">
        <f>(Links!AG19^2+'Off-Ramp'!Y19^2+'Off-Ramp'!Z19^2+'Off-Ramp'!AA19^2)/(Links!AG19+'Off-Ramp'!Y19+'Off-Ramp'!Z19+'Off-Ramp'!AA19)</f>
        <v>#DIV/0!</v>
      </c>
      <c r="BW19" s="58" t="e">
        <f>(Links!AH19^2+'Off-Ramp'!R19^2)/(Links!AH19+'Off-Ramp'!R19)</f>
        <v>#DIV/0!</v>
      </c>
      <c r="BX19" s="58" t="e">
        <f>(Links!AK19^2+'Off-Ramp'!S19^2)/(Links!AK19+'Off-Ramp'!S19)</f>
        <v>#DIV/0!</v>
      </c>
      <c r="BY19" s="58" t="e">
        <f>(Links!AL19^2+'Off-Ramp'!T19^2)/(Links!AL19+'Off-Ramp'!T19)</f>
        <v>#DIV/0!</v>
      </c>
      <c r="BZ19" s="63"/>
      <c r="CA19" s="58" t="e">
        <f>(Links!AN19^2+'Off-Ramp'!U19^2)/(Links!AN19+'Off-Ramp'!U19)</f>
        <v>#DIV/0!</v>
      </c>
    </row>
    <row r="20" spans="1:79" x14ac:dyDescent="0.15">
      <c r="A20" s="56">
        <v>18</v>
      </c>
      <c r="B20" s="57" t="e">
        <f t="shared" si="1"/>
        <v>#DIV/0!</v>
      </c>
      <c r="C20" s="57" t="e">
        <f t="shared" si="2"/>
        <v>#DIV/0!</v>
      </c>
      <c r="D20" s="57" t="e">
        <f t="shared" si="3"/>
        <v>#DIV/0!</v>
      </c>
      <c r="E20" s="57" t="e">
        <f t="shared" si="4"/>
        <v>#DIV/0!</v>
      </c>
      <c r="F20" s="57" t="e">
        <f t="shared" si="5"/>
        <v>#DIV/0!</v>
      </c>
      <c r="G20" s="57" t="e">
        <f t="shared" si="6"/>
        <v>#DIV/0!</v>
      </c>
      <c r="H20" s="57" t="e">
        <f t="shared" si="7"/>
        <v>#DIV/0!</v>
      </c>
      <c r="I20" s="57" t="e">
        <f t="shared" si="8"/>
        <v>#DIV/0!</v>
      </c>
      <c r="J20" s="57" t="e">
        <f t="shared" si="9"/>
        <v>#DIV/0!</v>
      </c>
      <c r="K20" s="57" t="e">
        <f t="shared" si="10"/>
        <v>#DIV/0!</v>
      </c>
      <c r="L20" s="57" t="e">
        <f t="shared" si="11"/>
        <v>#DIV/0!</v>
      </c>
      <c r="M20" s="57" t="e">
        <f t="shared" si="12"/>
        <v>#DIV/0!</v>
      </c>
      <c r="N20" s="57" t="e">
        <f t="shared" si="13"/>
        <v>#DIV/0!</v>
      </c>
      <c r="O20" s="58" t="e">
        <f>Links!B20</f>
        <v>#DIV/0!</v>
      </c>
      <c r="P20" s="58" t="e">
        <f>Links!C20+'On-Ramps'!AC20</f>
        <v>#DIV/0!</v>
      </c>
      <c r="Q20" s="58" t="e">
        <f>Links!D20</f>
        <v>#DIV/0!</v>
      </c>
      <c r="R20" s="58" t="e">
        <f>Links!E20+'On-Ramps'!AD20</f>
        <v>#DIV/0!</v>
      </c>
      <c r="S20" s="58" t="e">
        <f>Links!F20+'On-Ramps'!AE20</f>
        <v>#DIV/0!</v>
      </c>
      <c r="T20" s="58" t="e">
        <f>Links!I20+'On-Ramps'!AF20</f>
        <v>#DIV/0!</v>
      </c>
      <c r="U20" s="58" t="e">
        <f>Links!J20+'On-Ramps'!AG20</f>
        <v>#DIV/0!</v>
      </c>
      <c r="V20" s="58" t="e">
        <f>Links!L20+'On-Ramps'!AH20</f>
        <v>#DIV/0!</v>
      </c>
      <c r="W20" s="58" t="e">
        <f>Links!M20+'On-Ramps'!AI20</f>
        <v>#DIV/0!</v>
      </c>
      <c r="X20" s="58" t="e">
        <f>Links!P20+'On-Ramps'!AJ20</f>
        <v>#DIV/0!</v>
      </c>
      <c r="Y20" s="58" t="e">
        <f>Links!Q20</f>
        <v>#DIV/0!</v>
      </c>
      <c r="Z20" s="58" t="e">
        <f>Links!R20+'On-Ramps'!AK20</f>
        <v>#DIV/0!</v>
      </c>
      <c r="AA20" s="58" t="e">
        <f>Links!S20</f>
        <v>#DIV/0!</v>
      </c>
      <c r="AB20" s="57" t="e">
        <f t="shared" si="16"/>
        <v>#DIV/0!</v>
      </c>
      <c r="AC20" s="63"/>
      <c r="AD20" s="57" t="e">
        <f t="shared" si="17"/>
        <v>#DIV/0!</v>
      </c>
      <c r="AE20" s="63"/>
      <c r="AF20" s="57" t="e">
        <f t="shared" si="18"/>
        <v>#DIV/0!</v>
      </c>
      <c r="AG20" s="57" t="e">
        <f t="shared" si="19"/>
        <v>#DIV/0!</v>
      </c>
      <c r="AH20" s="57" t="e">
        <f t="shared" si="20"/>
        <v>#DIV/0!</v>
      </c>
      <c r="AI20" s="57" t="e">
        <f t="shared" si="21"/>
        <v>#DIV/0!</v>
      </c>
      <c r="AJ20" s="57" t="e">
        <f t="shared" si="22"/>
        <v>#DIV/0!</v>
      </c>
      <c r="AK20" s="57" t="e">
        <f t="shared" si="23"/>
        <v>#DIV/0!</v>
      </c>
      <c r="AL20" s="57" t="e">
        <f t="shared" si="24"/>
        <v>#DIV/0!</v>
      </c>
      <c r="AM20" s="63"/>
      <c r="AN20" s="57" t="e">
        <f t="shared" ref="AN20:AN83" si="26">BA20*(1-BA20)*AA20</f>
        <v>#DIV/0!</v>
      </c>
      <c r="AO20" s="58" t="e">
        <f t="shared" si="25"/>
        <v>#DIV/0!</v>
      </c>
      <c r="AP20" s="63"/>
      <c r="AQ20" s="58" t="e">
        <f t="shared" si="25"/>
        <v>#DIV/0!</v>
      </c>
      <c r="AR20" s="63"/>
      <c r="AS20" s="58" t="e">
        <f t="shared" si="25"/>
        <v>#DIV/0!</v>
      </c>
      <c r="AT20" s="58" t="e">
        <f t="shared" si="25"/>
        <v>#DIV/0!</v>
      </c>
      <c r="AU20" s="58" t="e">
        <f t="shared" si="25"/>
        <v>#DIV/0!</v>
      </c>
      <c r="AV20" s="58" t="e">
        <f t="shared" si="25"/>
        <v>#DIV/0!</v>
      </c>
      <c r="AW20" s="58" t="e">
        <f t="shared" si="25"/>
        <v>#DIV/0!</v>
      </c>
      <c r="AX20" s="58" t="e">
        <f t="shared" si="25"/>
        <v>#DIV/0!</v>
      </c>
      <c r="AY20" s="58" t="e">
        <f t="shared" si="25"/>
        <v>#DIV/0!</v>
      </c>
      <c r="AZ20" s="63"/>
      <c r="BA20" s="58" t="e">
        <f t="shared" si="25"/>
        <v>#DIV/0!</v>
      </c>
      <c r="BB20" s="63"/>
      <c r="BC20" s="57" t="e">
        <f>(Links!C20*Links!AQ20+'On-Ramps'!AC20*'On-Ramps'!CE20)/('On-Ramps'!AC20+Links!C20)</f>
        <v>#DIV/0!</v>
      </c>
      <c r="BD20" s="63"/>
      <c r="BE20" s="57" t="e">
        <f>(Links!E20*Links!AS20+'On-Ramps'!AD20*'On-Ramps'!CF19)/('On-Ramps'!AD20+Links!E20)</f>
        <v>#DIV/0!</v>
      </c>
      <c r="BF20" s="57" t="e">
        <f>(Links!F20*Links!AT20+'On-Ramps'!AE20*'On-Ramps'!CG20)/('On-Ramps'!AE20+Links!F20)</f>
        <v>#DIV/0!</v>
      </c>
      <c r="BG20" s="57" t="e">
        <f>(Links!I20*Links!AW20+'On-Ramps'!AF20*'On-Ramps'!CH20)/('On-Ramps'!AF20+Links!I20)</f>
        <v>#DIV/0!</v>
      </c>
      <c r="BH20" s="57" t="e">
        <f>(#REF!*#REF!+'On-Ramps'!AG20*'On-Ramps'!CI20)/('On-Ramps'!AG20+#REF!)</f>
        <v>#REF!</v>
      </c>
      <c r="BI20" s="57" t="e">
        <f>(Links!L20*Links!AZ20+'On-Ramps'!AH20*'On-Ramps'!CJ20)/('On-Ramps'!AH20+Links!L20)</f>
        <v>#DIV/0!</v>
      </c>
      <c r="BJ20" s="57" t="e">
        <f>(Links!BA20*Links!M20+'On-Ramps'!AI20*'On-Ramps'!CK20)/('On-Ramps'!AI20+Links!M20)</f>
        <v>#DIV/0!</v>
      </c>
      <c r="BK20" s="57" t="e">
        <f>(Links!S20*Links!BG20+'On-Ramps'!AJ20*'On-Ramps'!CL20)/('On-Ramps'!AJ20+Links!S20)</f>
        <v>#DIV/0!</v>
      </c>
      <c r="BL20" s="63"/>
      <c r="BM20" s="57" t="e">
        <f>(Links!S20*Links!BG20+'On-Ramps'!AL20*'On-Ramps'!CM20)/(Links!S20+'On-Ramps'!AL20)</f>
        <v>#DIV/0!</v>
      </c>
      <c r="BN20" s="63"/>
      <c r="BO20" s="58" t="e">
        <f>(Links!W20^2+'Off-Ramp'!L20^2)/(Links!W20+'Off-Ramp'!L20)</f>
        <v>#DIV/0!</v>
      </c>
      <c r="BP20" s="63"/>
      <c r="BQ20" s="58" t="e">
        <f>(Links!Y20^2+'Off-Ramp'!C20^2)/(Links!Y20+'Off-Ramp'!C20)</f>
        <v>#DIV/0!</v>
      </c>
      <c r="BR20" s="63"/>
      <c r="BS20" s="58" t="e">
        <f>(Links!AA20^2+'Off-Ramp'!N20^2)/(Links!AA20+'Off-Ramp'!N20)</f>
        <v>#DIV/0!</v>
      </c>
      <c r="BT20" s="58" t="e">
        <f>(Links!AD20^2+'Off-Ramp'!O20^2)/(Links!AD20+'Off-Ramp'!O20)</f>
        <v>#DIV/0!</v>
      </c>
      <c r="BU20" s="58" t="e">
        <f>(Links!AE20^2+'Off-Ramp'!V20^2+'Off-Ramp'!W20^2+'Off-Ramp'!X20^2)/(Links!AE20+'Off-Ramp'!V20+'Off-Ramp'!W20+'Off-Ramp'!X20)</f>
        <v>#DIV/0!</v>
      </c>
      <c r="BV20" s="58" t="e">
        <f>(Links!AG20^2+'Off-Ramp'!Y20^2+'Off-Ramp'!Z20^2+'Off-Ramp'!AA20^2)/(Links!AG20+'Off-Ramp'!Y20+'Off-Ramp'!Z20+'Off-Ramp'!AA20)</f>
        <v>#DIV/0!</v>
      </c>
      <c r="BW20" s="58" t="e">
        <f>(Links!AH20^2+'Off-Ramp'!R20^2)/(Links!AH20+'Off-Ramp'!R20)</f>
        <v>#DIV/0!</v>
      </c>
      <c r="BX20" s="58" t="e">
        <f>(Links!AK20^2+'Off-Ramp'!S20^2)/(Links!AK20+'Off-Ramp'!S20)</f>
        <v>#DIV/0!</v>
      </c>
      <c r="BY20" s="58" t="e">
        <f>(Links!AL20^2+'Off-Ramp'!T20^2)/(Links!AL20+'Off-Ramp'!T20)</f>
        <v>#DIV/0!</v>
      </c>
      <c r="BZ20" s="63"/>
      <c r="CA20" s="58" t="e">
        <f>(Links!AN20^2+'Off-Ramp'!U20^2)/(Links!AN20+'Off-Ramp'!U20)</f>
        <v>#DIV/0!</v>
      </c>
    </row>
    <row r="21" spans="1:79" x14ac:dyDescent="0.15">
      <c r="A21" s="56">
        <v>19</v>
      </c>
      <c r="B21" s="57" t="e">
        <f t="shared" si="1"/>
        <v>#DIV/0!</v>
      </c>
      <c r="C21" s="57" t="e">
        <f t="shared" si="2"/>
        <v>#DIV/0!</v>
      </c>
      <c r="D21" s="57" t="e">
        <f t="shared" si="3"/>
        <v>#DIV/0!</v>
      </c>
      <c r="E21" s="57" t="e">
        <f t="shared" si="4"/>
        <v>#DIV/0!</v>
      </c>
      <c r="F21" s="57" t="e">
        <f t="shared" si="5"/>
        <v>#DIV/0!</v>
      </c>
      <c r="G21" s="57" t="e">
        <f t="shared" si="6"/>
        <v>#DIV/0!</v>
      </c>
      <c r="H21" s="57" t="e">
        <f t="shared" si="7"/>
        <v>#DIV/0!</v>
      </c>
      <c r="I21" s="57" t="e">
        <f t="shared" si="8"/>
        <v>#DIV/0!</v>
      </c>
      <c r="J21" s="57" t="e">
        <f t="shared" si="9"/>
        <v>#DIV/0!</v>
      </c>
      <c r="K21" s="57" t="e">
        <f t="shared" si="10"/>
        <v>#DIV/0!</v>
      </c>
      <c r="L21" s="57" t="e">
        <f t="shared" si="11"/>
        <v>#DIV/0!</v>
      </c>
      <c r="M21" s="57" t="e">
        <f t="shared" si="12"/>
        <v>#DIV/0!</v>
      </c>
      <c r="N21" s="57" t="e">
        <f t="shared" si="13"/>
        <v>#DIV/0!</v>
      </c>
      <c r="O21" s="58" t="e">
        <f>Links!B21</f>
        <v>#DIV/0!</v>
      </c>
      <c r="P21" s="58" t="e">
        <f>Links!C21+'On-Ramps'!AC21</f>
        <v>#DIV/0!</v>
      </c>
      <c r="Q21" s="58" t="e">
        <f>Links!D21</f>
        <v>#DIV/0!</v>
      </c>
      <c r="R21" s="58" t="e">
        <f>Links!E21+'On-Ramps'!AD21</f>
        <v>#DIV/0!</v>
      </c>
      <c r="S21" s="58" t="e">
        <f>Links!F21+'On-Ramps'!AE21</f>
        <v>#DIV/0!</v>
      </c>
      <c r="T21" s="58" t="e">
        <f>Links!I21+'On-Ramps'!AF21</f>
        <v>#DIV/0!</v>
      </c>
      <c r="U21" s="58" t="e">
        <f>Links!J21+'On-Ramps'!AG21</f>
        <v>#DIV/0!</v>
      </c>
      <c r="V21" s="58" t="e">
        <f>Links!L21+'On-Ramps'!AH21</f>
        <v>#DIV/0!</v>
      </c>
      <c r="W21" s="58" t="e">
        <f>Links!M21+'On-Ramps'!AI21</f>
        <v>#DIV/0!</v>
      </c>
      <c r="X21" s="58" t="e">
        <f>Links!P21+'On-Ramps'!AJ21</f>
        <v>#DIV/0!</v>
      </c>
      <c r="Y21" s="58" t="e">
        <f>Links!Q21</f>
        <v>#DIV/0!</v>
      </c>
      <c r="Z21" s="58" t="e">
        <f>Links!R21+'On-Ramps'!AK21</f>
        <v>#DIV/0!</v>
      </c>
      <c r="AA21" s="58" t="e">
        <f>Links!S21</f>
        <v>#DIV/0!</v>
      </c>
      <c r="AB21" s="57" t="e">
        <f t="shared" si="16"/>
        <v>#DIV/0!</v>
      </c>
      <c r="AC21" s="63"/>
      <c r="AD21" s="57" t="e">
        <f t="shared" si="17"/>
        <v>#DIV/0!</v>
      </c>
      <c r="AE21" s="63"/>
      <c r="AF21" s="57" t="e">
        <f t="shared" si="18"/>
        <v>#DIV/0!</v>
      </c>
      <c r="AG21" s="57" t="e">
        <f t="shared" si="19"/>
        <v>#DIV/0!</v>
      </c>
      <c r="AH21" s="57" t="e">
        <f t="shared" si="20"/>
        <v>#DIV/0!</v>
      </c>
      <c r="AI21" s="57" t="e">
        <f t="shared" si="21"/>
        <v>#DIV/0!</v>
      </c>
      <c r="AJ21" s="57" t="e">
        <f t="shared" si="22"/>
        <v>#DIV/0!</v>
      </c>
      <c r="AK21" s="57" t="e">
        <f t="shared" si="23"/>
        <v>#DIV/0!</v>
      </c>
      <c r="AL21" s="57" t="e">
        <f t="shared" si="24"/>
        <v>#DIV/0!</v>
      </c>
      <c r="AM21" s="63"/>
      <c r="AN21" s="57" t="e">
        <f t="shared" si="26"/>
        <v>#DIV/0!</v>
      </c>
      <c r="AO21" s="58" t="e">
        <f t="shared" si="25"/>
        <v>#DIV/0!</v>
      </c>
      <c r="AP21" s="63"/>
      <c r="AQ21" s="58" t="e">
        <f t="shared" si="25"/>
        <v>#DIV/0!</v>
      </c>
      <c r="AR21" s="63"/>
      <c r="AS21" s="58" t="e">
        <f t="shared" si="25"/>
        <v>#DIV/0!</v>
      </c>
      <c r="AT21" s="58" t="e">
        <f t="shared" si="25"/>
        <v>#DIV/0!</v>
      </c>
      <c r="AU21" s="58" t="e">
        <f t="shared" si="25"/>
        <v>#DIV/0!</v>
      </c>
      <c r="AV21" s="58" t="e">
        <f t="shared" si="25"/>
        <v>#DIV/0!</v>
      </c>
      <c r="AW21" s="58" t="e">
        <f t="shared" si="25"/>
        <v>#DIV/0!</v>
      </c>
      <c r="AX21" s="58" t="e">
        <f t="shared" si="25"/>
        <v>#DIV/0!</v>
      </c>
      <c r="AY21" s="58" t="e">
        <f t="shared" si="25"/>
        <v>#DIV/0!</v>
      </c>
      <c r="AZ21" s="63"/>
      <c r="BA21" s="58" t="e">
        <f t="shared" si="25"/>
        <v>#DIV/0!</v>
      </c>
      <c r="BB21" s="63"/>
      <c r="BC21" s="57" t="e">
        <f>(Links!C21*Links!AQ21+'On-Ramps'!AC21*'On-Ramps'!CE21)/('On-Ramps'!AC21+Links!C21)</f>
        <v>#DIV/0!</v>
      </c>
      <c r="BD21" s="63"/>
      <c r="BE21" s="57" t="e">
        <f>(Links!E21*Links!AS21+'On-Ramps'!AD21*'On-Ramps'!CF20)/('On-Ramps'!AD21+Links!E21)</f>
        <v>#DIV/0!</v>
      </c>
      <c r="BF21" s="57" t="e">
        <f>(Links!F21*Links!AT21+'On-Ramps'!AE21*'On-Ramps'!CG21)/('On-Ramps'!AE21+Links!F21)</f>
        <v>#DIV/0!</v>
      </c>
      <c r="BG21" s="57" t="e">
        <f>(Links!I21*Links!AW21+'On-Ramps'!AF21*'On-Ramps'!CH21)/('On-Ramps'!AF21+Links!I21)</f>
        <v>#DIV/0!</v>
      </c>
      <c r="BH21" s="57" t="e">
        <f>(#REF!*#REF!+'On-Ramps'!AG21*'On-Ramps'!CI21)/('On-Ramps'!AG21+#REF!)</f>
        <v>#REF!</v>
      </c>
      <c r="BI21" s="57" t="e">
        <f>(Links!L21*Links!AZ21+'On-Ramps'!AH21*'On-Ramps'!CJ21)/('On-Ramps'!AH21+Links!L21)</f>
        <v>#DIV/0!</v>
      </c>
      <c r="BJ21" s="57" t="e">
        <f>(Links!BA21*Links!M21+'On-Ramps'!AI21*'On-Ramps'!CK21)/('On-Ramps'!AI21+Links!M21)</f>
        <v>#DIV/0!</v>
      </c>
      <c r="BK21" s="57" t="e">
        <f>(Links!S21*Links!BG21+'On-Ramps'!AJ21*'On-Ramps'!CL21)/('On-Ramps'!AJ21+Links!S21)</f>
        <v>#DIV/0!</v>
      </c>
      <c r="BL21" s="63"/>
      <c r="BM21" s="57" t="e">
        <f>(Links!S21*Links!BG21+'On-Ramps'!AL21*'On-Ramps'!CM21)/(Links!S21+'On-Ramps'!AL21)</f>
        <v>#DIV/0!</v>
      </c>
      <c r="BN21" s="63"/>
      <c r="BO21" s="58" t="e">
        <f>(Links!W21^2+'Off-Ramp'!L21^2)/(Links!W21+'Off-Ramp'!L21)</f>
        <v>#DIV/0!</v>
      </c>
      <c r="BP21" s="63"/>
      <c r="BQ21" s="58" t="e">
        <f>(Links!Y21^2+'Off-Ramp'!C21^2)/(Links!Y21+'Off-Ramp'!C21)</f>
        <v>#DIV/0!</v>
      </c>
      <c r="BR21" s="63"/>
      <c r="BS21" s="58" t="e">
        <f>(Links!AA21^2+'Off-Ramp'!N21^2)/(Links!AA21+'Off-Ramp'!N21)</f>
        <v>#DIV/0!</v>
      </c>
      <c r="BT21" s="58" t="e">
        <f>(Links!AD21^2+'Off-Ramp'!O21^2)/(Links!AD21+'Off-Ramp'!O21)</f>
        <v>#DIV/0!</v>
      </c>
      <c r="BU21" s="58" t="e">
        <f>(Links!AE21^2+'Off-Ramp'!V21^2+'Off-Ramp'!W21^2+'Off-Ramp'!X21^2)/(Links!AE21+'Off-Ramp'!V21+'Off-Ramp'!W21+'Off-Ramp'!X21)</f>
        <v>#DIV/0!</v>
      </c>
      <c r="BV21" s="58" t="e">
        <f>(Links!AG21^2+'Off-Ramp'!Y21^2+'Off-Ramp'!Z21^2+'Off-Ramp'!AA21^2)/(Links!AG21+'Off-Ramp'!Y21+'Off-Ramp'!Z21+'Off-Ramp'!AA21)</f>
        <v>#DIV/0!</v>
      </c>
      <c r="BW21" s="58" t="e">
        <f>(Links!AH21^2+'Off-Ramp'!R21^2)/(Links!AH21+'Off-Ramp'!R21)</f>
        <v>#DIV/0!</v>
      </c>
      <c r="BX21" s="58" t="e">
        <f>(Links!AK21^2+'Off-Ramp'!S21^2)/(Links!AK21+'Off-Ramp'!S21)</f>
        <v>#DIV/0!</v>
      </c>
      <c r="BY21" s="58" t="e">
        <f>(Links!AL21^2+'Off-Ramp'!T21^2)/(Links!AL21+'Off-Ramp'!T21)</f>
        <v>#DIV/0!</v>
      </c>
      <c r="BZ21" s="63"/>
      <c r="CA21" s="58" t="e">
        <f>(Links!AN21^2+'Off-Ramp'!U21^2)/(Links!AN21+'Off-Ramp'!U21)</f>
        <v>#DIV/0!</v>
      </c>
    </row>
    <row r="22" spans="1:79" x14ac:dyDescent="0.15">
      <c r="A22" s="56">
        <v>20</v>
      </c>
      <c r="B22" s="57" t="e">
        <f t="shared" si="1"/>
        <v>#DIV/0!</v>
      </c>
      <c r="C22" s="57" t="e">
        <f t="shared" si="2"/>
        <v>#DIV/0!</v>
      </c>
      <c r="D22" s="57" t="e">
        <f t="shared" si="3"/>
        <v>#DIV/0!</v>
      </c>
      <c r="E22" s="57" t="e">
        <f t="shared" si="4"/>
        <v>#DIV/0!</v>
      </c>
      <c r="F22" s="57" t="e">
        <f t="shared" si="5"/>
        <v>#DIV/0!</v>
      </c>
      <c r="G22" s="57" t="e">
        <f t="shared" si="6"/>
        <v>#DIV/0!</v>
      </c>
      <c r="H22" s="57" t="e">
        <f t="shared" si="7"/>
        <v>#DIV/0!</v>
      </c>
      <c r="I22" s="57" t="e">
        <f t="shared" si="8"/>
        <v>#DIV/0!</v>
      </c>
      <c r="J22" s="57" t="e">
        <f t="shared" si="9"/>
        <v>#DIV/0!</v>
      </c>
      <c r="K22" s="57" t="e">
        <f t="shared" si="10"/>
        <v>#DIV/0!</v>
      </c>
      <c r="L22" s="57" t="e">
        <f t="shared" si="11"/>
        <v>#DIV/0!</v>
      </c>
      <c r="M22" s="57" t="e">
        <f t="shared" si="12"/>
        <v>#DIV/0!</v>
      </c>
      <c r="N22" s="57" t="e">
        <f t="shared" si="13"/>
        <v>#DIV/0!</v>
      </c>
      <c r="O22" s="58" t="e">
        <f>Links!B22</f>
        <v>#DIV/0!</v>
      </c>
      <c r="P22" s="58" t="e">
        <f>Links!C22+'On-Ramps'!AC22</f>
        <v>#DIV/0!</v>
      </c>
      <c r="Q22" s="58" t="e">
        <f>Links!D22</f>
        <v>#DIV/0!</v>
      </c>
      <c r="R22" s="58" t="e">
        <f>Links!E22+'On-Ramps'!AD22</f>
        <v>#DIV/0!</v>
      </c>
      <c r="S22" s="58" t="e">
        <f>Links!F22+'On-Ramps'!AE22</f>
        <v>#DIV/0!</v>
      </c>
      <c r="T22" s="58" t="e">
        <f>Links!I22+'On-Ramps'!AF22</f>
        <v>#DIV/0!</v>
      </c>
      <c r="U22" s="58" t="e">
        <f>Links!J22+'On-Ramps'!AG22</f>
        <v>#DIV/0!</v>
      </c>
      <c r="V22" s="58" t="e">
        <f>Links!L22+'On-Ramps'!AH22</f>
        <v>#DIV/0!</v>
      </c>
      <c r="W22" s="58" t="e">
        <f>Links!M22+'On-Ramps'!AI22</f>
        <v>#DIV/0!</v>
      </c>
      <c r="X22" s="58" t="e">
        <f>Links!P22+'On-Ramps'!AJ22</f>
        <v>#DIV/0!</v>
      </c>
      <c r="Y22" s="58" t="e">
        <f>Links!Q22</f>
        <v>#DIV/0!</v>
      </c>
      <c r="Z22" s="58" t="e">
        <f>Links!R22+'On-Ramps'!AK22</f>
        <v>#DIV/0!</v>
      </c>
      <c r="AA22" s="58" t="e">
        <f>Links!S22</f>
        <v>#DIV/0!</v>
      </c>
      <c r="AB22" s="57" t="e">
        <f t="shared" si="16"/>
        <v>#DIV/0!</v>
      </c>
      <c r="AC22" s="63"/>
      <c r="AD22" s="57" t="e">
        <f t="shared" si="17"/>
        <v>#DIV/0!</v>
      </c>
      <c r="AE22" s="63"/>
      <c r="AF22" s="57" t="e">
        <f t="shared" si="18"/>
        <v>#DIV/0!</v>
      </c>
      <c r="AG22" s="57" t="e">
        <f t="shared" si="19"/>
        <v>#DIV/0!</v>
      </c>
      <c r="AH22" s="57" t="e">
        <f t="shared" si="20"/>
        <v>#DIV/0!</v>
      </c>
      <c r="AI22" s="57" t="e">
        <f t="shared" si="21"/>
        <v>#DIV/0!</v>
      </c>
      <c r="AJ22" s="57" t="e">
        <f t="shared" si="22"/>
        <v>#DIV/0!</v>
      </c>
      <c r="AK22" s="57" t="e">
        <f t="shared" si="23"/>
        <v>#DIV/0!</v>
      </c>
      <c r="AL22" s="57" t="e">
        <f t="shared" si="24"/>
        <v>#DIV/0!</v>
      </c>
      <c r="AM22" s="63"/>
      <c r="AN22" s="57" t="e">
        <f t="shared" si="26"/>
        <v>#DIV/0!</v>
      </c>
      <c r="AO22" s="58" t="e">
        <f t="shared" si="25"/>
        <v>#DIV/0!</v>
      </c>
      <c r="AP22" s="63"/>
      <c r="AQ22" s="58" t="e">
        <f t="shared" si="25"/>
        <v>#DIV/0!</v>
      </c>
      <c r="AR22" s="63"/>
      <c r="AS22" s="58" t="e">
        <f t="shared" si="25"/>
        <v>#DIV/0!</v>
      </c>
      <c r="AT22" s="58" t="e">
        <f t="shared" si="25"/>
        <v>#DIV/0!</v>
      </c>
      <c r="AU22" s="58" t="e">
        <f t="shared" si="25"/>
        <v>#DIV/0!</v>
      </c>
      <c r="AV22" s="58" t="e">
        <f t="shared" si="25"/>
        <v>#DIV/0!</v>
      </c>
      <c r="AW22" s="58" t="e">
        <f t="shared" si="25"/>
        <v>#DIV/0!</v>
      </c>
      <c r="AX22" s="58" t="e">
        <f t="shared" si="25"/>
        <v>#DIV/0!</v>
      </c>
      <c r="AY22" s="58" t="e">
        <f t="shared" si="25"/>
        <v>#DIV/0!</v>
      </c>
      <c r="AZ22" s="63"/>
      <c r="BA22" s="58" t="e">
        <f t="shared" si="25"/>
        <v>#DIV/0!</v>
      </c>
      <c r="BB22" s="63"/>
      <c r="BC22" s="57" t="e">
        <f>(Links!C22*Links!AQ22+'On-Ramps'!AC22*'On-Ramps'!CE22)/('On-Ramps'!AC22+Links!C22)</f>
        <v>#DIV/0!</v>
      </c>
      <c r="BD22" s="63"/>
      <c r="BE22" s="57" t="e">
        <f>(Links!E22*Links!AS22+'On-Ramps'!AD22*'On-Ramps'!CF21)/('On-Ramps'!AD22+Links!E22)</f>
        <v>#DIV/0!</v>
      </c>
      <c r="BF22" s="57" t="e">
        <f>(Links!F22*Links!AT22+'On-Ramps'!AE22*'On-Ramps'!CG22)/('On-Ramps'!AE22+Links!F22)</f>
        <v>#DIV/0!</v>
      </c>
      <c r="BG22" s="57" t="e">
        <f>(Links!I22*Links!AW22+'On-Ramps'!AF22*'On-Ramps'!CH22)/('On-Ramps'!AF22+Links!I22)</f>
        <v>#DIV/0!</v>
      </c>
      <c r="BH22" s="57" t="e">
        <f>(#REF!*#REF!+'On-Ramps'!AG22*'On-Ramps'!CI22)/('On-Ramps'!AG22+#REF!)</f>
        <v>#REF!</v>
      </c>
      <c r="BI22" s="57" t="e">
        <f>(Links!L22*Links!AZ22+'On-Ramps'!AH22*'On-Ramps'!CJ22)/('On-Ramps'!AH22+Links!L22)</f>
        <v>#DIV/0!</v>
      </c>
      <c r="BJ22" s="57" t="e">
        <f>(Links!BA22*Links!M22+'On-Ramps'!AI22*'On-Ramps'!CK22)/('On-Ramps'!AI22+Links!M22)</f>
        <v>#DIV/0!</v>
      </c>
      <c r="BK22" s="57" t="e">
        <f>(Links!S22*Links!BG22+'On-Ramps'!AJ22*'On-Ramps'!CL22)/('On-Ramps'!AJ22+Links!S22)</f>
        <v>#DIV/0!</v>
      </c>
      <c r="BL22" s="63"/>
      <c r="BM22" s="57" t="e">
        <f>(Links!S22*Links!BG22+'On-Ramps'!AL22*'On-Ramps'!CM22)/(Links!S22+'On-Ramps'!AL22)</f>
        <v>#DIV/0!</v>
      </c>
      <c r="BN22" s="63"/>
      <c r="BO22" s="58" t="e">
        <f>(Links!W22^2+'Off-Ramp'!L22^2)/(Links!W22+'Off-Ramp'!L22)</f>
        <v>#DIV/0!</v>
      </c>
      <c r="BP22" s="63"/>
      <c r="BQ22" s="58" t="e">
        <f>(Links!Y22^2+'Off-Ramp'!C22^2)/(Links!Y22+'Off-Ramp'!C22)</f>
        <v>#DIV/0!</v>
      </c>
      <c r="BR22" s="63"/>
      <c r="BS22" s="58" t="e">
        <f>(Links!AA22^2+'Off-Ramp'!N22^2)/(Links!AA22+'Off-Ramp'!N22)</f>
        <v>#DIV/0!</v>
      </c>
      <c r="BT22" s="58" t="e">
        <f>(Links!AD22^2+'Off-Ramp'!O22^2)/(Links!AD22+'Off-Ramp'!O22)</f>
        <v>#DIV/0!</v>
      </c>
      <c r="BU22" s="58" t="e">
        <f>(Links!AE22^2+'Off-Ramp'!V22^2+'Off-Ramp'!W22^2+'Off-Ramp'!X22^2)/(Links!AE22+'Off-Ramp'!V22+'Off-Ramp'!W22+'Off-Ramp'!X22)</f>
        <v>#DIV/0!</v>
      </c>
      <c r="BV22" s="58" t="e">
        <f>(Links!AG22^2+'Off-Ramp'!Y22^2+'Off-Ramp'!Z22^2+'Off-Ramp'!AA22^2)/(Links!AG22+'Off-Ramp'!Y22+'Off-Ramp'!Z22+'Off-Ramp'!AA22)</f>
        <v>#DIV/0!</v>
      </c>
      <c r="BW22" s="58" t="e">
        <f>(Links!AH22^2+'Off-Ramp'!R22^2)/(Links!AH22+'Off-Ramp'!R22)</f>
        <v>#DIV/0!</v>
      </c>
      <c r="BX22" s="58" t="e">
        <f>(Links!AK22^2+'Off-Ramp'!S22^2)/(Links!AK22+'Off-Ramp'!S22)</f>
        <v>#DIV/0!</v>
      </c>
      <c r="BY22" s="58" t="e">
        <f>(Links!AL22^2+'Off-Ramp'!T22^2)/(Links!AL22+'Off-Ramp'!T22)</f>
        <v>#DIV/0!</v>
      </c>
      <c r="BZ22" s="63"/>
      <c r="CA22" s="58" t="e">
        <f>(Links!AN22^2+'Off-Ramp'!U22^2)/(Links!AN22+'Off-Ramp'!U22)</f>
        <v>#DIV/0!</v>
      </c>
    </row>
    <row r="23" spans="1:79" x14ac:dyDescent="0.15">
      <c r="A23" s="56">
        <v>21</v>
      </c>
      <c r="B23" s="57" t="e">
        <f t="shared" si="1"/>
        <v>#DIV/0!</v>
      </c>
      <c r="C23" s="57" t="e">
        <f t="shared" si="2"/>
        <v>#DIV/0!</v>
      </c>
      <c r="D23" s="57" t="e">
        <f t="shared" si="3"/>
        <v>#DIV/0!</v>
      </c>
      <c r="E23" s="57" t="e">
        <f t="shared" si="4"/>
        <v>#DIV/0!</v>
      </c>
      <c r="F23" s="57" t="e">
        <f t="shared" si="5"/>
        <v>#DIV/0!</v>
      </c>
      <c r="G23" s="57" t="e">
        <f t="shared" si="6"/>
        <v>#DIV/0!</v>
      </c>
      <c r="H23" s="57" t="e">
        <f t="shared" si="7"/>
        <v>#DIV/0!</v>
      </c>
      <c r="I23" s="57" t="e">
        <f t="shared" si="8"/>
        <v>#DIV/0!</v>
      </c>
      <c r="J23" s="57" t="e">
        <f t="shared" si="9"/>
        <v>#DIV/0!</v>
      </c>
      <c r="K23" s="57" t="e">
        <f t="shared" si="10"/>
        <v>#DIV/0!</v>
      </c>
      <c r="L23" s="57" t="e">
        <f t="shared" si="11"/>
        <v>#DIV/0!</v>
      </c>
      <c r="M23" s="57" t="e">
        <f t="shared" si="12"/>
        <v>#DIV/0!</v>
      </c>
      <c r="N23" s="57" t="e">
        <f t="shared" si="13"/>
        <v>#DIV/0!</v>
      </c>
      <c r="O23" s="58" t="e">
        <f>Links!B23</f>
        <v>#DIV/0!</v>
      </c>
      <c r="P23" s="58" t="e">
        <f>Links!C23+'On-Ramps'!AC23</f>
        <v>#DIV/0!</v>
      </c>
      <c r="Q23" s="58" t="e">
        <f>Links!D23</f>
        <v>#DIV/0!</v>
      </c>
      <c r="R23" s="58" t="e">
        <f>Links!E23+'On-Ramps'!AD23</f>
        <v>#DIV/0!</v>
      </c>
      <c r="S23" s="58" t="e">
        <f>Links!F23+'On-Ramps'!AE23</f>
        <v>#DIV/0!</v>
      </c>
      <c r="T23" s="58" t="e">
        <f>Links!I23+'On-Ramps'!AF23</f>
        <v>#DIV/0!</v>
      </c>
      <c r="U23" s="58" t="e">
        <f>Links!J23+'On-Ramps'!AG23</f>
        <v>#DIV/0!</v>
      </c>
      <c r="V23" s="58" t="e">
        <f>Links!L23+'On-Ramps'!AH23</f>
        <v>#DIV/0!</v>
      </c>
      <c r="W23" s="58" t="e">
        <f>Links!M23+'On-Ramps'!AI23</f>
        <v>#DIV/0!</v>
      </c>
      <c r="X23" s="58" t="e">
        <f>Links!P23+'On-Ramps'!AJ23</f>
        <v>#DIV/0!</v>
      </c>
      <c r="Y23" s="58" t="e">
        <f>Links!Q23</f>
        <v>#DIV/0!</v>
      </c>
      <c r="Z23" s="58" t="e">
        <f>Links!R23+'On-Ramps'!AK23</f>
        <v>#DIV/0!</v>
      </c>
      <c r="AA23" s="58" t="e">
        <f>Links!S23</f>
        <v>#DIV/0!</v>
      </c>
      <c r="AB23" s="57" t="e">
        <f t="shared" si="16"/>
        <v>#DIV/0!</v>
      </c>
      <c r="AC23" s="63"/>
      <c r="AD23" s="57" t="e">
        <f t="shared" si="17"/>
        <v>#DIV/0!</v>
      </c>
      <c r="AE23" s="63"/>
      <c r="AF23" s="57" t="e">
        <f t="shared" si="18"/>
        <v>#DIV/0!</v>
      </c>
      <c r="AG23" s="57" t="e">
        <f t="shared" si="19"/>
        <v>#DIV/0!</v>
      </c>
      <c r="AH23" s="57" t="e">
        <f t="shared" si="20"/>
        <v>#DIV/0!</v>
      </c>
      <c r="AI23" s="57" t="e">
        <f t="shared" si="21"/>
        <v>#DIV/0!</v>
      </c>
      <c r="AJ23" s="57" t="e">
        <f t="shared" si="22"/>
        <v>#DIV/0!</v>
      </c>
      <c r="AK23" s="57" t="e">
        <f t="shared" si="23"/>
        <v>#DIV/0!</v>
      </c>
      <c r="AL23" s="57" t="e">
        <f t="shared" si="24"/>
        <v>#DIV/0!</v>
      </c>
      <c r="AM23" s="63"/>
      <c r="AN23" s="57" t="e">
        <f t="shared" si="26"/>
        <v>#DIV/0!</v>
      </c>
      <c r="AO23" s="58" t="e">
        <f t="shared" si="25"/>
        <v>#DIV/0!</v>
      </c>
      <c r="AP23" s="63"/>
      <c r="AQ23" s="58" t="e">
        <f t="shared" si="25"/>
        <v>#DIV/0!</v>
      </c>
      <c r="AR23" s="63"/>
      <c r="AS23" s="58" t="e">
        <f t="shared" si="25"/>
        <v>#DIV/0!</v>
      </c>
      <c r="AT23" s="58" t="e">
        <f t="shared" si="25"/>
        <v>#DIV/0!</v>
      </c>
      <c r="AU23" s="58" t="e">
        <f t="shared" si="25"/>
        <v>#DIV/0!</v>
      </c>
      <c r="AV23" s="58" t="e">
        <f t="shared" si="25"/>
        <v>#DIV/0!</v>
      </c>
      <c r="AW23" s="58" t="e">
        <f t="shared" si="25"/>
        <v>#DIV/0!</v>
      </c>
      <c r="AX23" s="58" t="e">
        <f t="shared" si="25"/>
        <v>#DIV/0!</v>
      </c>
      <c r="AY23" s="58" t="e">
        <f t="shared" si="25"/>
        <v>#DIV/0!</v>
      </c>
      <c r="AZ23" s="63"/>
      <c r="BA23" s="58" t="e">
        <f t="shared" si="25"/>
        <v>#DIV/0!</v>
      </c>
      <c r="BB23" s="63"/>
      <c r="BC23" s="57" t="e">
        <f>(Links!C23*Links!AQ23+'On-Ramps'!AC23*'On-Ramps'!CE23)/('On-Ramps'!AC23+Links!C23)</f>
        <v>#DIV/0!</v>
      </c>
      <c r="BD23" s="63"/>
      <c r="BE23" s="57" t="e">
        <f>(Links!E23*Links!AS23+'On-Ramps'!AD23*'On-Ramps'!CF22)/('On-Ramps'!AD23+Links!E23)</f>
        <v>#DIV/0!</v>
      </c>
      <c r="BF23" s="57" t="e">
        <f>(Links!F23*Links!AT23+'On-Ramps'!AE23*'On-Ramps'!CG23)/('On-Ramps'!AE23+Links!F23)</f>
        <v>#DIV/0!</v>
      </c>
      <c r="BG23" s="57" t="e">
        <f>(Links!I23*Links!AW23+'On-Ramps'!AF23*'On-Ramps'!CH23)/('On-Ramps'!AF23+Links!I23)</f>
        <v>#DIV/0!</v>
      </c>
      <c r="BH23" s="57" t="e">
        <f>(#REF!*#REF!+'On-Ramps'!AG23*'On-Ramps'!CI23)/('On-Ramps'!AG23+#REF!)</f>
        <v>#REF!</v>
      </c>
      <c r="BI23" s="57" t="e">
        <f>(Links!L23*Links!AZ23+'On-Ramps'!AH23*'On-Ramps'!CJ23)/('On-Ramps'!AH23+Links!L23)</f>
        <v>#DIV/0!</v>
      </c>
      <c r="BJ23" s="57" t="e">
        <f>(Links!BA23*Links!M23+'On-Ramps'!AI23*'On-Ramps'!CK23)/('On-Ramps'!AI23+Links!M23)</f>
        <v>#DIV/0!</v>
      </c>
      <c r="BK23" s="57" t="e">
        <f>(Links!S23*Links!BG23+'On-Ramps'!AJ23*'On-Ramps'!CL23)/('On-Ramps'!AJ23+Links!S23)</f>
        <v>#DIV/0!</v>
      </c>
      <c r="BL23" s="63"/>
      <c r="BM23" s="57" t="e">
        <f>(Links!S23*Links!BG23+'On-Ramps'!AL23*'On-Ramps'!CM23)/(Links!S23+'On-Ramps'!AL23)</f>
        <v>#DIV/0!</v>
      </c>
      <c r="BN23" s="63"/>
      <c r="BO23" s="58" t="e">
        <f>(Links!W23^2+'Off-Ramp'!L23^2)/(Links!W23+'Off-Ramp'!L23)</f>
        <v>#DIV/0!</v>
      </c>
      <c r="BP23" s="63"/>
      <c r="BQ23" s="58" t="e">
        <f>(Links!Y23^2+'Off-Ramp'!C23^2)/(Links!Y23+'Off-Ramp'!C23)</f>
        <v>#DIV/0!</v>
      </c>
      <c r="BR23" s="63"/>
      <c r="BS23" s="58" t="e">
        <f>(Links!AA23^2+'Off-Ramp'!N23^2)/(Links!AA23+'Off-Ramp'!N23)</f>
        <v>#DIV/0!</v>
      </c>
      <c r="BT23" s="58" t="e">
        <f>(Links!AD23^2+'Off-Ramp'!O23^2)/(Links!AD23+'Off-Ramp'!O23)</f>
        <v>#DIV/0!</v>
      </c>
      <c r="BU23" s="58" t="e">
        <f>(Links!AE23^2+'Off-Ramp'!V23^2+'Off-Ramp'!W23^2+'Off-Ramp'!X23^2)/(Links!AE23+'Off-Ramp'!V23+'Off-Ramp'!W23+'Off-Ramp'!X23)</f>
        <v>#DIV/0!</v>
      </c>
      <c r="BV23" s="58" t="e">
        <f>(Links!AG23^2+'Off-Ramp'!Y23^2+'Off-Ramp'!Z23^2+'Off-Ramp'!AA23^2)/(Links!AG23+'Off-Ramp'!Y23+'Off-Ramp'!Z23+'Off-Ramp'!AA23)</f>
        <v>#DIV/0!</v>
      </c>
      <c r="BW23" s="58" t="e">
        <f>(Links!AH23^2+'Off-Ramp'!R23^2)/(Links!AH23+'Off-Ramp'!R23)</f>
        <v>#DIV/0!</v>
      </c>
      <c r="BX23" s="58" t="e">
        <f>(Links!AK23^2+'Off-Ramp'!S23^2)/(Links!AK23+'Off-Ramp'!S23)</f>
        <v>#DIV/0!</v>
      </c>
      <c r="BY23" s="58" t="e">
        <f>(Links!AL23^2+'Off-Ramp'!T23^2)/(Links!AL23+'Off-Ramp'!T23)</f>
        <v>#DIV/0!</v>
      </c>
      <c r="BZ23" s="63"/>
      <c r="CA23" s="58" t="e">
        <f>(Links!AN23^2+'Off-Ramp'!U23^2)/(Links!AN23+'Off-Ramp'!U23)</f>
        <v>#DIV/0!</v>
      </c>
    </row>
    <row r="24" spans="1:79" x14ac:dyDescent="0.15">
      <c r="A24" s="56">
        <v>22</v>
      </c>
      <c r="B24" s="57" t="e">
        <f t="shared" si="1"/>
        <v>#DIV/0!</v>
      </c>
      <c r="C24" s="57" t="e">
        <f t="shared" si="2"/>
        <v>#DIV/0!</v>
      </c>
      <c r="D24" s="57" t="e">
        <f t="shared" si="3"/>
        <v>#DIV/0!</v>
      </c>
      <c r="E24" s="57" t="e">
        <f t="shared" si="4"/>
        <v>#DIV/0!</v>
      </c>
      <c r="F24" s="57" t="e">
        <f t="shared" si="5"/>
        <v>#DIV/0!</v>
      </c>
      <c r="G24" s="57" t="e">
        <f t="shared" si="6"/>
        <v>#DIV/0!</v>
      </c>
      <c r="H24" s="57" t="e">
        <f t="shared" si="7"/>
        <v>#DIV/0!</v>
      </c>
      <c r="I24" s="57" t="e">
        <f t="shared" si="8"/>
        <v>#DIV/0!</v>
      </c>
      <c r="J24" s="57" t="e">
        <f t="shared" si="9"/>
        <v>#DIV/0!</v>
      </c>
      <c r="K24" s="57" t="e">
        <f t="shared" si="10"/>
        <v>#DIV/0!</v>
      </c>
      <c r="L24" s="57" t="e">
        <f t="shared" si="11"/>
        <v>#DIV/0!</v>
      </c>
      <c r="M24" s="57" t="e">
        <f t="shared" si="12"/>
        <v>#DIV/0!</v>
      </c>
      <c r="N24" s="57" t="e">
        <f t="shared" si="13"/>
        <v>#DIV/0!</v>
      </c>
      <c r="O24" s="58" t="e">
        <f>Links!B24</f>
        <v>#DIV/0!</v>
      </c>
      <c r="P24" s="58" t="e">
        <f>Links!C24+'On-Ramps'!AC24</f>
        <v>#DIV/0!</v>
      </c>
      <c r="Q24" s="58" t="e">
        <f>Links!D24</f>
        <v>#DIV/0!</v>
      </c>
      <c r="R24" s="58" t="e">
        <f>Links!E24+'On-Ramps'!AD24</f>
        <v>#DIV/0!</v>
      </c>
      <c r="S24" s="58" t="e">
        <f>Links!F24+'On-Ramps'!AE24</f>
        <v>#DIV/0!</v>
      </c>
      <c r="T24" s="58" t="e">
        <f>Links!I24+'On-Ramps'!AF24</f>
        <v>#DIV/0!</v>
      </c>
      <c r="U24" s="58" t="e">
        <f>Links!J24+'On-Ramps'!AG24</f>
        <v>#DIV/0!</v>
      </c>
      <c r="V24" s="58" t="e">
        <f>Links!L24+'On-Ramps'!AH24</f>
        <v>#DIV/0!</v>
      </c>
      <c r="W24" s="58" t="e">
        <f>Links!M24+'On-Ramps'!AI24</f>
        <v>#DIV/0!</v>
      </c>
      <c r="X24" s="58" t="e">
        <f>Links!P24+'On-Ramps'!AJ24</f>
        <v>#DIV/0!</v>
      </c>
      <c r="Y24" s="58" t="e">
        <f>Links!Q24</f>
        <v>#DIV/0!</v>
      </c>
      <c r="Z24" s="58" t="e">
        <f>Links!R24+'On-Ramps'!AK24</f>
        <v>#DIV/0!</v>
      </c>
      <c r="AA24" s="58" t="e">
        <f>Links!S24</f>
        <v>#DIV/0!</v>
      </c>
      <c r="AB24" s="57" t="e">
        <f t="shared" si="16"/>
        <v>#DIV/0!</v>
      </c>
      <c r="AC24" s="63"/>
      <c r="AD24" s="57" t="e">
        <f t="shared" si="17"/>
        <v>#DIV/0!</v>
      </c>
      <c r="AE24" s="63"/>
      <c r="AF24" s="57" t="e">
        <f t="shared" si="18"/>
        <v>#DIV/0!</v>
      </c>
      <c r="AG24" s="57" t="e">
        <f t="shared" si="19"/>
        <v>#DIV/0!</v>
      </c>
      <c r="AH24" s="57" t="e">
        <f t="shared" si="20"/>
        <v>#DIV/0!</v>
      </c>
      <c r="AI24" s="57" t="e">
        <f t="shared" si="21"/>
        <v>#DIV/0!</v>
      </c>
      <c r="AJ24" s="57" t="e">
        <f t="shared" si="22"/>
        <v>#DIV/0!</v>
      </c>
      <c r="AK24" s="57" t="e">
        <f t="shared" si="23"/>
        <v>#DIV/0!</v>
      </c>
      <c r="AL24" s="57" t="e">
        <f t="shared" si="24"/>
        <v>#DIV/0!</v>
      </c>
      <c r="AM24" s="63"/>
      <c r="AN24" s="57" t="e">
        <f t="shared" si="26"/>
        <v>#DIV/0!</v>
      </c>
      <c r="AO24" s="58" t="e">
        <f t="shared" si="25"/>
        <v>#DIV/0!</v>
      </c>
      <c r="AP24" s="63"/>
      <c r="AQ24" s="58" t="e">
        <f t="shared" si="25"/>
        <v>#DIV/0!</v>
      </c>
      <c r="AR24" s="63"/>
      <c r="AS24" s="58" t="e">
        <f t="shared" si="25"/>
        <v>#DIV/0!</v>
      </c>
      <c r="AT24" s="58" t="e">
        <f t="shared" si="25"/>
        <v>#DIV/0!</v>
      </c>
      <c r="AU24" s="58" t="e">
        <f t="shared" si="25"/>
        <v>#DIV/0!</v>
      </c>
      <c r="AV24" s="58" t="e">
        <f t="shared" si="25"/>
        <v>#DIV/0!</v>
      </c>
      <c r="AW24" s="58" t="e">
        <f t="shared" si="25"/>
        <v>#DIV/0!</v>
      </c>
      <c r="AX24" s="58" t="e">
        <f t="shared" si="25"/>
        <v>#DIV/0!</v>
      </c>
      <c r="AY24" s="58" t="e">
        <f t="shared" si="25"/>
        <v>#DIV/0!</v>
      </c>
      <c r="AZ24" s="63"/>
      <c r="BA24" s="58" t="e">
        <f t="shared" si="25"/>
        <v>#DIV/0!</v>
      </c>
      <c r="BB24" s="63"/>
      <c r="BC24" s="57" t="e">
        <f>(Links!C24*Links!AQ24+'On-Ramps'!AC24*'On-Ramps'!CE24)/('On-Ramps'!AC24+Links!C24)</f>
        <v>#DIV/0!</v>
      </c>
      <c r="BD24" s="63"/>
      <c r="BE24" s="57" t="e">
        <f>(Links!E24*Links!AS24+'On-Ramps'!AD24*'On-Ramps'!CF23)/('On-Ramps'!AD24+Links!E24)</f>
        <v>#DIV/0!</v>
      </c>
      <c r="BF24" s="57" t="e">
        <f>(Links!F24*Links!AT24+'On-Ramps'!AE24*'On-Ramps'!CG24)/('On-Ramps'!AE24+Links!F24)</f>
        <v>#DIV/0!</v>
      </c>
      <c r="BG24" s="57" t="e">
        <f>(Links!I24*Links!AW24+'On-Ramps'!AF24*'On-Ramps'!CH24)/('On-Ramps'!AF24+Links!I24)</f>
        <v>#DIV/0!</v>
      </c>
      <c r="BH24" s="57" t="e">
        <f>(#REF!*#REF!+'On-Ramps'!AG24*'On-Ramps'!CI24)/('On-Ramps'!AG24+#REF!)</f>
        <v>#REF!</v>
      </c>
      <c r="BI24" s="57" t="e">
        <f>(Links!L24*Links!AZ24+'On-Ramps'!AH24*'On-Ramps'!CJ24)/('On-Ramps'!AH24+Links!L24)</f>
        <v>#DIV/0!</v>
      </c>
      <c r="BJ24" s="57" t="e">
        <f>(Links!BA24*Links!M24+'On-Ramps'!AI24*'On-Ramps'!CK24)/('On-Ramps'!AI24+Links!M24)</f>
        <v>#DIV/0!</v>
      </c>
      <c r="BK24" s="57" t="e">
        <f>(Links!S24*Links!BG24+'On-Ramps'!AJ24*'On-Ramps'!CL24)/('On-Ramps'!AJ24+Links!S24)</f>
        <v>#DIV/0!</v>
      </c>
      <c r="BL24" s="63"/>
      <c r="BM24" s="57" t="e">
        <f>(Links!S24*Links!BG24+'On-Ramps'!AL24*'On-Ramps'!CM24)/(Links!S24+'On-Ramps'!AL24)</f>
        <v>#DIV/0!</v>
      </c>
      <c r="BN24" s="63"/>
      <c r="BO24" s="58" t="e">
        <f>(Links!W24^2+'Off-Ramp'!L24^2)/(Links!W24+'Off-Ramp'!L24)</f>
        <v>#DIV/0!</v>
      </c>
      <c r="BP24" s="63"/>
      <c r="BQ24" s="58" t="e">
        <f>(Links!Y24^2+'Off-Ramp'!C24^2)/(Links!Y24+'Off-Ramp'!C24)</f>
        <v>#DIV/0!</v>
      </c>
      <c r="BR24" s="63"/>
      <c r="BS24" s="58" t="e">
        <f>(Links!AA24^2+'Off-Ramp'!N24^2)/(Links!AA24+'Off-Ramp'!N24)</f>
        <v>#DIV/0!</v>
      </c>
      <c r="BT24" s="58" t="e">
        <f>(Links!AD24^2+'Off-Ramp'!O24^2)/(Links!AD24+'Off-Ramp'!O24)</f>
        <v>#DIV/0!</v>
      </c>
      <c r="BU24" s="58" t="e">
        <f>(Links!AE24^2+'Off-Ramp'!V24^2+'Off-Ramp'!W24^2+'Off-Ramp'!X24^2)/(Links!AE24+'Off-Ramp'!V24+'Off-Ramp'!W24+'Off-Ramp'!X24)</f>
        <v>#DIV/0!</v>
      </c>
      <c r="BV24" s="58" t="e">
        <f>(Links!AG24^2+'Off-Ramp'!Y24^2+'Off-Ramp'!Z24^2+'Off-Ramp'!AA24^2)/(Links!AG24+'Off-Ramp'!Y24+'Off-Ramp'!Z24+'Off-Ramp'!AA24)</f>
        <v>#DIV/0!</v>
      </c>
      <c r="BW24" s="58" t="e">
        <f>(Links!AH24^2+'Off-Ramp'!R24^2)/(Links!AH24+'Off-Ramp'!R24)</f>
        <v>#DIV/0!</v>
      </c>
      <c r="BX24" s="58" t="e">
        <f>(Links!AK24^2+'Off-Ramp'!S24^2)/(Links!AK24+'Off-Ramp'!S24)</f>
        <v>#DIV/0!</v>
      </c>
      <c r="BY24" s="58" t="e">
        <f>(Links!AL24^2+'Off-Ramp'!T24^2)/(Links!AL24+'Off-Ramp'!T24)</f>
        <v>#DIV/0!</v>
      </c>
      <c r="BZ24" s="63"/>
      <c r="CA24" s="58" t="e">
        <f>(Links!AN24^2+'Off-Ramp'!U24^2)/(Links!AN24+'Off-Ramp'!U24)</f>
        <v>#DIV/0!</v>
      </c>
    </row>
    <row r="25" spans="1:79" x14ac:dyDescent="0.15">
      <c r="A25" s="56">
        <v>23</v>
      </c>
      <c r="B25" s="57" t="e">
        <f t="shared" si="1"/>
        <v>#DIV/0!</v>
      </c>
      <c r="C25" s="57" t="e">
        <f t="shared" si="2"/>
        <v>#DIV/0!</v>
      </c>
      <c r="D25" s="57" t="e">
        <f t="shared" si="3"/>
        <v>#DIV/0!</v>
      </c>
      <c r="E25" s="57" t="e">
        <f t="shared" si="4"/>
        <v>#DIV/0!</v>
      </c>
      <c r="F25" s="57" t="e">
        <f t="shared" si="5"/>
        <v>#DIV/0!</v>
      </c>
      <c r="G25" s="57" t="e">
        <f t="shared" si="6"/>
        <v>#DIV/0!</v>
      </c>
      <c r="H25" s="57" t="e">
        <f t="shared" si="7"/>
        <v>#DIV/0!</v>
      </c>
      <c r="I25" s="57" t="e">
        <f t="shared" si="8"/>
        <v>#DIV/0!</v>
      </c>
      <c r="J25" s="57" t="e">
        <f t="shared" si="9"/>
        <v>#DIV/0!</v>
      </c>
      <c r="K25" s="57" t="e">
        <f t="shared" si="10"/>
        <v>#DIV/0!</v>
      </c>
      <c r="L25" s="57" t="e">
        <f t="shared" si="11"/>
        <v>#DIV/0!</v>
      </c>
      <c r="M25" s="57" t="e">
        <f t="shared" si="12"/>
        <v>#DIV/0!</v>
      </c>
      <c r="N25" s="57" t="e">
        <f t="shared" si="13"/>
        <v>#DIV/0!</v>
      </c>
      <c r="O25" s="58" t="e">
        <f>Links!B25</f>
        <v>#DIV/0!</v>
      </c>
      <c r="P25" s="58" t="e">
        <f>Links!C25+'On-Ramps'!AC25</f>
        <v>#DIV/0!</v>
      </c>
      <c r="Q25" s="58" t="e">
        <f>Links!D25</f>
        <v>#DIV/0!</v>
      </c>
      <c r="R25" s="58" t="e">
        <f>Links!E25+'On-Ramps'!AD25</f>
        <v>#DIV/0!</v>
      </c>
      <c r="S25" s="58" t="e">
        <f>Links!F25+'On-Ramps'!AE25</f>
        <v>#DIV/0!</v>
      </c>
      <c r="T25" s="58" t="e">
        <f>Links!I25+'On-Ramps'!AF25</f>
        <v>#DIV/0!</v>
      </c>
      <c r="U25" s="58" t="e">
        <f>Links!J25+'On-Ramps'!AG25</f>
        <v>#DIV/0!</v>
      </c>
      <c r="V25" s="58" t="e">
        <f>Links!L25+'On-Ramps'!AH25</f>
        <v>#DIV/0!</v>
      </c>
      <c r="W25" s="58" t="e">
        <f>Links!M25+'On-Ramps'!AI25</f>
        <v>#DIV/0!</v>
      </c>
      <c r="X25" s="58" t="e">
        <f>Links!P25+'On-Ramps'!AJ25</f>
        <v>#DIV/0!</v>
      </c>
      <c r="Y25" s="58" t="e">
        <f>Links!Q25</f>
        <v>#DIV/0!</v>
      </c>
      <c r="Z25" s="58" t="e">
        <f>Links!R25+'On-Ramps'!AK25</f>
        <v>#DIV/0!</v>
      </c>
      <c r="AA25" s="58" t="e">
        <f>Links!S25</f>
        <v>#DIV/0!</v>
      </c>
      <c r="AB25" s="57" t="e">
        <f t="shared" si="16"/>
        <v>#DIV/0!</v>
      </c>
      <c r="AC25" s="63"/>
      <c r="AD25" s="57" t="e">
        <f t="shared" si="17"/>
        <v>#DIV/0!</v>
      </c>
      <c r="AE25" s="63"/>
      <c r="AF25" s="57" t="e">
        <f t="shared" si="18"/>
        <v>#DIV/0!</v>
      </c>
      <c r="AG25" s="57" t="e">
        <f t="shared" si="19"/>
        <v>#DIV/0!</v>
      </c>
      <c r="AH25" s="57" t="e">
        <f t="shared" si="20"/>
        <v>#DIV/0!</v>
      </c>
      <c r="AI25" s="57" t="e">
        <f t="shared" si="21"/>
        <v>#DIV/0!</v>
      </c>
      <c r="AJ25" s="57" t="e">
        <f t="shared" si="22"/>
        <v>#DIV/0!</v>
      </c>
      <c r="AK25" s="57" t="e">
        <f t="shared" si="23"/>
        <v>#DIV/0!</v>
      </c>
      <c r="AL25" s="57" t="e">
        <f t="shared" si="24"/>
        <v>#DIV/0!</v>
      </c>
      <c r="AM25" s="63"/>
      <c r="AN25" s="57" t="e">
        <f t="shared" si="26"/>
        <v>#DIV/0!</v>
      </c>
      <c r="AO25" s="58" t="e">
        <f t="shared" si="25"/>
        <v>#DIV/0!</v>
      </c>
      <c r="AP25" s="63"/>
      <c r="AQ25" s="58" t="e">
        <f t="shared" si="25"/>
        <v>#DIV/0!</v>
      </c>
      <c r="AR25" s="63"/>
      <c r="AS25" s="58" t="e">
        <f t="shared" si="25"/>
        <v>#DIV/0!</v>
      </c>
      <c r="AT25" s="58" t="e">
        <f t="shared" si="25"/>
        <v>#DIV/0!</v>
      </c>
      <c r="AU25" s="58" t="e">
        <f t="shared" si="25"/>
        <v>#DIV/0!</v>
      </c>
      <c r="AV25" s="58" t="e">
        <f t="shared" si="25"/>
        <v>#DIV/0!</v>
      </c>
      <c r="AW25" s="58" t="e">
        <f t="shared" si="25"/>
        <v>#DIV/0!</v>
      </c>
      <c r="AX25" s="58" t="e">
        <f t="shared" si="25"/>
        <v>#DIV/0!</v>
      </c>
      <c r="AY25" s="58" t="e">
        <f t="shared" si="25"/>
        <v>#DIV/0!</v>
      </c>
      <c r="AZ25" s="63"/>
      <c r="BA25" s="58" t="e">
        <f t="shared" si="25"/>
        <v>#DIV/0!</v>
      </c>
      <c r="BB25" s="63"/>
      <c r="BC25" s="57" t="e">
        <f>(Links!C25*Links!AQ25+'On-Ramps'!AC25*'On-Ramps'!CE25)/('On-Ramps'!AC25+Links!C25)</f>
        <v>#DIV/0!</v>
      </c>
      <c r="BD25" s="63"/>
      <c r="BE25" s="57" t="e">
        <f>(Links!E25*Links!AS25+'On-Ramps'!AD25*'On-Ramps'!CF24)/('On-Ramps'!AD25+Links!E25)</f>
        <v>#DIV/0!</v>
      </c>
      <c r="BF25" s="57" t="e">
        <f>(Links!F25*Links!AT25+'On-Ramps'!AE25*'On-Ramps'!CG25)/('On-Ramps'!AE25+Links!F25)</f>
        <v>#DIV/0!</v>
      </c>
      <c r="BG25" s="57" t="e">
        <f>(Links!I25*Links!AW25+'On-Ramps'!AF25*'On-Ramps'!CH25)/('On-Ramps'!AF25+Links!I25)</f>
        <v>#DIV/0!</v>
      </c>
      <c r="BH25" s="57" t="e">
        <f>(#REF!*#REF!+'On-Ramps'!AG25*'On-Ramps'!CI25)/('On-Ramps'!AG25+#REF!)</f>
        <v>#REF!</v>
      </c>
      <c r="BI25" s="57" t="e">
        <f>(Links!L25*Links!AZ25+'On-Ramps'!AH25*'On-Ramps'!CJ25)/('On-Ramps'!AH25+Links!L25)</f>
        <v>#DIV/0!</v>
      </c>
      <c r="BJ25" s="57" t="e">
        <f>(Links!BA25*Links!M25+'On-Ramps'!AI25*'On-Ramps'!CK25)/('On-Ramps'!AI25+Links!M25)</f>
        <v>#DIV/0!</v>
      </c>
      <c r="BK25" s="57" t="e">
        <f>(Links!S25*Links!BG25+'On-Ramps'!AJ25*'On-Ramps'!CL25)/('On-Ramps'!AJ25+Links!S25)</f>
        <v>#DIV/0!</v>
      </c>
      <c r="BL25" s="63"/>
      <c r="BM25" s="57" t="e">
        <f>(Links!S25*Links!BG25+'On-Ramps'!AL25*'On-Ramps'!CM25)/(Links!S25+'On-Ramps'!AL25)</f>
        <v>#DIV/0!</v>
      </c>
      <c r="BN25" s="63"/>
      <c r="BO25" s="58" t="e">
        <f>(Links!W25^2+'Off-Ramp'!L25^2)/(Links!W25+'Off-Ramp'!L25)</f>
        <v>#DIV/0!</v>
      </c>
      <c r="BP25" s="63"/>
      <c r="BQ25" s="58" t="e">
        <f>(Links!Y25^2+'Off-Ramp'!C25^2)/(Links!Y25+'Off-Ramp'!C25)</f>
        <v>#DIV/0!</v>
      </c>
      <c r="BR25" s="63"/>
      <c r="BS25" s="58" t="e">
        <f>(Links!AA25^2+'Off-Ramp'!N25^2)/(Links!AA25+'Off-Ramp'!N25)</f>
        <v>#DIV/0!</v>
      </c>
      <c r="BT25" s="58" t="e">
        <f>(Links!AD25^2+'Off-Ramp'!O25^2)/(Links!AD25+'Off-Ramp'!O25)</f>
        <v>#DIV/0!</v>
      </c>
      <c r="BU25" s="58" t="e">
        <f>(Links!AE25^2+'Off-Ramp'!V25^2+'Off-Ramp'!W25^2+'Off-Ramp'!X25^2)/(Links!AE25+'Off-Ramp'!V25+'Off-Ramp'!W25+'Off-Ramp'!X25)</f>
        <v>#DIV/0!</v>
      </c>
      <c r="BV25" s="58" t="e">
        <f>(Links!AG25^2+'Off-Ramp'!Y25^2+'Off-Ramp'!Z25^2+'Off-Ramp'!AA25^2)/(Links!AG25+'Off-Ramp'!Y25+'Off-Ramp'!Z25+'Off-Ramp'!AA25)</f>
        <v>#DIV/0!</v>
      </c>
      <c r="BW25" s="58" t="e">
        <f>(Links!AH25^2+'Off-Ramp'!R25^2)/(Links!AH25+'Off-Ramp'!R25)</f>
        <v>#DIV/0!</v>
      </c>
      <c r="BX25" s="58" t="e">
        <f>(Links!AK25^2+'Off-Ramp'!S25^2)/(Links!AK25+'Off-Ramp'!S25)</f>
        <v>#DIV/0!</v>
      </c>
      <c r="BY25" s="58" t="e">
        <f>(Links!AL25^2+'Off-Ramp'!T25^2)/(Links!AL25+'Off-Ramp'!T25)</f>
        <v>#DIV/0!</v>
      </c>
      <c r="BZ25" s="63"/>
      <c r="CA25" s="58" t="e">
        <f>(Links!AN25^2+'Off-Ramp'!U25^2)/(Links!AN25+'Off-Ramp'!U25)</f>
        <v>#DIV/0!</v>
      </c>
    </row>
    <row r="26" spans="1:79" x14ac:dyDescent="0.15">
      <c r="A26" s="56">
        <v>24</v>
      </c>
      <c r="B26" s="57" t="e">
        <f t="shared" si="1"/>
        <v>#DIV/0!</v>
      </c>
      <c r="C26" s="57" t="e">
        <f t="shared" si="2"/>
        <v>#DIV/0!</v>
      </c>
      <c r="D26" s="57" t="e">
        <f t="shared" si="3"/>
        <v>#DIV/0!</v>
      </c>
      <c r="E26" s="57" t="e">
        <f t="shared" si="4"/>
        <v>#DIV/0!</v>
      </c>
      <c r="F26" s="57" t="e">
        <f t="shared" si="5"/>
        <v>#DIV/0!</v>
      </c>
      <c r="G26" s="57" t="e">
        <f t="shared" si="6"/>
        <v>#DIV/0!</v>
      </c>
      <c r="H26" s="57" t="e">
        <f t="shared" si="7"/>
        <v>#DIV/0!</v>
      </c>
      <c r="I26" s="57" t="e">
        <f t="shared" si="8"/>
        <v>#DIV/0!</v>
      </c>
      <c r="J26" s="57" t="e">
        <f t="shared" si="9"/>
        <v>#DIV/0!</v>
      </c>
      <c r="K26" s="57" t="e">
        <f t="shared" si="10"/>
        <v>#DIV/0!</v>
      </c>
      <c r="L26" s="57" t="e">
        <f t="shared" si="11"/>
        <v>#DIV/0!</v>
      </c>
      <c r="M26" s="57" t="e">
        <f t="shared" si="12"/>
        <v>#DIV/0!</v>
      </c>
      <c r="N26" s="57" t="e">
        <f t="shared" si="13"/>
        <v>#DIV/0!</v>
      </c>
      <c r="O26" s="58" t="e">
        <f>Links!B26</f>
        <v>#DIV/0!</v>
      </c>
      <c r="P26" s="58" t="e">
        <f>Links!C26+'On-Ramps'!AC26</f>
        <v>#DIV/0!</v>
      </c>
      <c r="Q26" s="58" t="e">
        <f>Links!D26</f>
        <v>#DIV/0!</v>
      </c>
      <c r="R26" s="58" t="e">
        <f>Links!E26+'On-Ramps'!AD26</f>
        <v>#DIV/0!</v>
      </c>
      <c r="S26" s="58" t="e">
        <f>Links!F26+'On-Ramps'!AE26</f>
        <v>#DIV/0!</v>
      </c>
      <c r="T26" s="58" t="e">
        <f>Links!I26+'On-Ramps'!AF26</f>
        <v>#DIV/0!</v>
      </c>
      <c r="U26" s="58" t="e">
        <f>Links!J26+'On-Ramps'!AG26</f>
        <v>#DIV/0!</v>
      </c>
      <c r="V26" s="58" t="e">
        <f>Links!L26+'On-Ramps'!AH26</f>
        <v>#DIV/0!</v>
      </c>
      <c r="W26" s="58" t="e">
        <f>Links!M26+'On-Ramps'!AI26</f>
        <v>#DIV/0!</v>
      </c>
      <c r="X26" s="58" t="e">
        <f>Links!P26+'On-Ramps'!AJ26</f>
        <v>#DIV/0!</v>
      </c>
      <c r="Y26" s="58" t="e">
        <f>Links!Q26</f>
        <v>#DIV/0!</v>
      </c>
      <c r="Z26" s="58" t="e">
        <f>Links!R26+'On-Ramps'!AK26</f>
        <v>#DIV/0!</v>
      </c>
      <c r="AA26" s="58" t="e">
        <f>Links!S26</f>
        <v>#DIV/0!</v>
      </c>
      <c r="AB26" s="57" t="e">
        <f t="shared" si="16"/>
        <v>#DIV/0!</v>
      </c>
      <c r="AC26" s="63"/>
      <c r="AD26" s="57" t="e">
        <f t="shared" si="17"/>
        <v>#DIV/0!</v>
      </c>
      <c r="AE26" s="63"/>
      <c r="AF26" s="57" t="e">
        <f t="shared" si="18"/>
        <v>#DIV/0!</v>
      </c>
      <c r="AG26" s="57" t="e">
        <f t="shared" si="19"/>
        <v>#DIV/0!</v>
      </c>
      <c r="AH26" s="57" t="e">
        <f t="shared" si="20"/>
        <v>#DIV/0!</v>
      </c>
      <c r="AI26" s="57" t="e">
        <f t="shared" si="21"/>
        <v>#DIV/0!</v>
      </c>
      <c r="AJ26" s="57" t="e">
        <f t="shared" si="22"/>
        <v>#DIV/0!</v>
      </c>
      <c r="AK26" s="57" t="e">
        <f t="shared" si="23"/>
        <v>#DIV/0!</v>
      </c>
      <c r="AL26" s="57" t="e">
        <f t="shared" si="24"/>
        <v>#DIV/0!</v>
      </c>
      <c r="AM26" s="63"/>
      <c r="AN26" s="57" t="e">
        <f t="shared" si="26"/>
        <v>#DIV/0!</v>
      </c>
      <c r="AO26" s="58" t="e">
        <f t="shared" si="25"/>
        <v>#DIV/0!</v>
      </c>
      <c r="AP26" s="63"/>
      <c r="AQ26" s="58" t="e">
        <f t="shared" si="25"/>
        <v>#DIV/0!</v>
      </c>
      <c r="AR26" s="63"/>
      <c r="AS26" s="58" t="e">
        <f t="shared" si="25"/>
        <v>#DIV/0!</v>
      </c>
      <c r="AT26" s="58" t="e">
        <f t="shared" si="25"/>
        <v>#DIV/0!</v>
      </c>
      <c r="AU26" s="58" t="e">
        <f t="shared" si="25"/>
        <v>#DIV/0!</v>
      </c>
      <c r="AV26" s="58" t="e">
        <f t="shared" si="25"/>
        <v>#DIV/0!</v>
      </c>
      <c r="AW26" s="58" t="e">
        <f t="shared" si="25"/>
        <v>#DIV/0!</v>
      </c>
      <c r="AX26" s="58" t="e">
        <f t="shared" si="25"/>
        <v>#DIV/0!</v>
      </c>
      <c r="AY26" s="58" t="e">
        <f t="shared" si="25"/>
        <v>#DIV/0!</v>
      </c>
      <c r="AZ26" s="63"/>
      <c r="BA26" s="58" t="e">
        <f t="shared" si="25"/>
        <v>#DIV/0!</v>
      </c>
      <c r="BB26" s="63"/>
      <c r="BC26" s="57" t="e">
        <f>(Links!C26*Links!AQ26+'On-Ramps'!AC26*'On-Ramps'!CE26)/('On-Ramps'!AC26+Links!C26)</f>
        <v>#DIV/0!</v>
      </c>
      <c r="BD26" s="63"/>
      <c r="BE26" s="57" t="e">
        <f>(Links!E26*Links!AS26+'On-Ramps'!AD26*'On-Ramps'!CF25)/('On-Ramps'!AD26+Links!E26)</f>
        <v>#DIV/0!</v>
      </c>
      <c r="BF26" s="57" t="e">
        <f>(Links!F26*Links!AT26+'On-Ramps'!AE26*'On-Ramps'!CG26)/('On-Ramps'!AE26+Links!F26)</f>
        <v>#DIV/0!</v>
      </c>
      <c r="BG26" s="57" t="e">
        <f>(Links!I26*Links!AW26+'On-Ramps'!AF26*'On-Ramps'!CH26)/('On-Ramps'!AF26+Links!I26)</f>
        <v>#DIV/0!</v>
      </c>
      <c r="BH26" s="57" t="e">
        <f>(#REF!*#REF!+'On-Ramps'!AG26*'On-Ramps'!CI26)/('On-Ramps'!AG26+#REF!)</f>
        <v>#REF!</v>
      </c>
      <c r="BI26" s="57" t="e">
        <f>(Links!L26*Links!AZ26+'On-Ramps'!AH26*'On-Ramps'!CJ26)/('On-Ramps'!AH26+Links!L26)</f>
        <v>#DIV/0!</v>
      </c>
      <c r="BJ26" s="57" t="e">
        <f>(Links!BA26*Links!M26+'On-Ramps'!AI26*'On-Ramps'!CK26)/('On-Ramps'!AI26+Links!M26)</f>
        <v>#DIV/0!</v>
      </c>
      <c r="BK26" s="57" t="e">
        <f>(Links!S26*Links!BG26+'On-Ramps'!AJ26*'On-Ramps'!CL26)/('On-Ramps'!AJ26+Links!S26)</f>
        <v>#DIV/0!</v>
      </c>
      <c r="BL26" s="63"/>
      <c r="BM26" s="57" t="e">
        <f>(Links!S26*Links!BG26+'On-Ramps'!AL26*'On-Ramps'!CM26)/(Links!S26+'On-Ramps'!AL26)</f>
        <v>#DIV/0!</v>
      </c>
      <c r="BN26" s="63"/>
      <c r="BO26" s="58" t="e">
        <f>(Links!W26^2+'Off-Ramp'!L26^2)/(Links!W26+'Off-Ramp'!L26)</f>
        <v>#DIV/0!</v>
      </c>
      <c r="BP26" s="63"/>
      <c r="BQ26" s="58" t="e">
        <f>(Links!Y26^2+'Off-Ramp'!C26^2)/(Links!Y26+'Off-Ramp'!C26)</f>
        <v>#DIV/0!</v>
      </c>
      <c r="BR26" s="63"/>
      <c r="BS26" s="58" t="e">
        <f>(Links!AA26^2+'Off-Ramp'!N26^2)/(Links!AA26+'Off-Ramp'!N26)</f>
        <v>#DIV/0!</v>
      </c>
      <c r="BT26" s="58" t="e">
        <f>(Links!AD26^2+'Off-Ramp'!O26^2)/(Links!AD26+'Off-Ramp'!O26)</f>
        <v>#DIV/0!</v>
      </c>
      <c r="BU26" s="58" t="e">
        <f>(Links!AE26^2+'Off-Ramp'!V26^2+'Off-Ramp'!W26^2+'Off-Ramp'!X26^2)/(Links!AE26+'Off-Ramp'!V26+'Off-Ramp'!W26+'Off-Ramp'!X26)</f>
        <v>#DIV/0!</v>
      </c>
      <c r="BV26" s="58" t="e">
        <f>(Links!AG26^2+'Off-Ramp'!Y26^2+'Off-Ramp'!Z26^2+'Off-Ramp'!AA26^2)/(Links!AG26+'Off-Ramp'!Y26+'Off-Ramp'!Z26+'Off-Ramp'!AA26)</f>
        <v>#DIV/0!</v>
      </c>
      <c r="BW26" s="58" t="e">
        <f>(Links!AH26^2+'Off-Ramp'!R26^2)/(Links!AH26+'Off-Ramp'!R26)</f>
        <v>#DIV/0!</v>
      </c>
      <c r="BX26" s="58" t="e">
        <f>(Links!AK26^2+'Off-Ramp'!S26^2)/(Links!AK26+'Off-Ramp'!S26)</f>
        <v>#DIV/0!</v>
      </c>
      <c r="BY26" s="58" t="e">
        <f>(Links!AL26^2+'Off-Ramp'!T26^2)/(Links!AL26+'Off-Ramp'!T26)</f>
        <v>#DIV/0!</v>
      </c>
      <c r="BZ26" s="63"/>
      <c r="CA26" s="58" t="e">
        <f>(Links!AN26^2+'Off-Ramp'!U26^2)/(Links!AN26+'Off-Ramp'!U26)</f>
        <v>#DIV/0!</v>
      </c>
    </row>
    <row r="27" spans="1:79" x14ac:dyDescent="0.15">
      <c r="A27" s="56">
        <v>25</v>
      </c>
      <c r="B27" s="57" t="e">
        <f t="shared" si="1"/>
        <v>#DIV/0!</v>
      </c>
      <c r="C27" s="57" t="e">
        <f t="shared" si="2"/>
        <v>#DIV/0!</v>
      </c>
      <c r="D27" s="57" t="e">
        <f t="shared" si="3"/>
        <v>#DIV/0!</v>
      </c>
      <c r="E27" s="57" t="e">
        <f t="shared" si="4"/>
        <v>#DIV/0!</v>
      </c>
      <c r="F27" s="57" t="e">
        <f t="shared" si="5"/>
        <v>#DIV/0!</v>
      </c>
      <c r="G27" s="57" t="e">
        <f t="shared" si="6"/>
        <v>#DIV/0!</v>
      </c>
      <c r="H27" s="57" t="e">
        <f t="shared" si="7"/>
        <v>#DIV/0!</v>
      </c>
      <c r="I27" s="57" t="e">
        <f t="shared" si="8"/>
        <v>#DIV/0!</v>
      </c>
      <c r="J27" s="57" t="e">
        <f t="shared" si="9"/>
        <v>#DIV/0!</v>
      </c>
      <c r="K27" s="57" t="e">
        <f t="shared" si="10"/>
        <v>#DIV/0!</v>
      </c>
      <c r="L27" s="57" t="e">
        <f t="shared" si="11"/>
        <v>#DIV/0!</v>
      </c>
      <c r="M27" s="57" t="e">
        <f t="shared" si="12"/>
        <v>#DIV/0!</v>
      </c>
      <c r="N27" s="57" t="e">
        <f t="shared" si="13"/>
        <v>#DIV/0!</v>
      </c>
      <c r="O27" s="58" t="e">
        <f>Links!B27</f>
        <v>#DIV/0!</v>
      </c>
      <c r="P27" s="58" t="e">
        <f>Links!C27+'On-Ramps'!AC27</f>
        <v>#DIV/0!</v>
      </c>
      <c r="Q27" s="58" t="e">
        <f>Links!D27</f>
        <v>#DIV/0!</v>
      </c>
      <c r="R27" s="58" t="e">
        <f>Links!E27+'On-Ramps'!AD27</f>
        <v>#DIV/0!</v>
      </c>
      <c r="S27" s="58" t="e">
        <f>Links!F27+'On-Ramps'!AE27</f>
        <v>#DIV/0!</v>
      </c>
      <c r="T27" s="58" t="e">
        <f>Links!I27+'On-Ramps'!AF27</f>
        <v>#DIV/0!</v>
      </c>
      <c r="U27" s="58" t="e">
        <f>Links!J27+'On-Ramps'!AG27</f>
        <v>#DIV/0!</v>
      </c>
      <c r="V27" s="58" t="e">
        <f>Links!L27+'On-Ramps'!AH27</f>
        <v>#DIV/0!</v>
      </c>
      <c r="W27" s="58" t="e">
        <f>Links!M27+'On-Ramps'!AI27</f>
        <v>#DIV/0!</v>
      </c>
      <c r="X27" s="58" t="e">
        <f>Links!P27+'On-Ramps'!AJ27</f>
        <v>#DIV/0!</v>
      </c>
      <c r="Y27" s="58" t="e">
        <f>Links!Q27</f>
        <v>#DIV/0!</v>
      </c>
      <c r="Z27" s="58" t="e">
        <f>Links!R27+'On-Ramps'!AK27</f>
        <v>#DIV/0!</v>
      </c>
      <c r="AA27" s="58" t="e">
        <f>Links!S27</f>
        <v>#DIV/0!</v>
      </c>
      <c r="AB27" s="57" t="e">
        <f t="shared" si="16"/>
        <v>#DIV/0!</v>
      </c>
      <c r="AC27" s="63"/>
      <c r="AD27" s="57" t="e">
        <f t="shared" si="17"/>
        <v>#DIV/0!</v>
      </c>
      <c r="AE27" s="63"/>
      <c r="AF27" s="57" t="e">
        <f t="shared" si="18"/>
        <v>#DIV/0!</v>
      </c>
      <c r="AG27" s="57" t="e">
        <f t="shared" si="19"/>
        <v>#DIV/0!</v>
      </c>
      <c r="AH27" s="57" t="e">
        <f t="shared" si="20"/>
        <v>#DIV/0!</v>
      </c>
      <c r="AI27" s="57" t="e">
        <f t="shared" si="21"/>
        <v>#DIV/0!</v>
      </c>
      <c r="AJ27" s="57" t="e">
        <f t="shared" si="22"/>
        <v>#DIV/0!</v>
      </c>
      <c r="AK27" s="57" t="e">
        <f t="shared" si="23"/>
        <v>#DIV/0!</v>
      </c>
      <c r="AL27" s="57" t="e">
        <f t="shared" si="24"/>
        <v>#DIV/0!</v>
      </c>
      <c r="AM27" s="63"/>
      <c r="AN27" s="57" t="e">
        <f t="shared" si="26"/>
        <v>#DIV/0!</v>
      </c>
      <c r="AO27" s="58" t="e">
        <f t="shared" si="25"/>
        <v>#DIV/0!</v>
      </c>
      <c r="AP27" s="63"/>
      <c r="AQ27" s="58" t="e">
        <f t="shared" si="25"/>
        <v>#DIV/0!</v>
      </c>
      <c r="AR27" s="63"/>
      <c r="AS27" s="58" t="e">
        <f t="shared" si="25"/>
        <v>#DIV/0!</v>
      </c>
      <c r="AT27" s="58" t="e">
        <f t="shared" si="25"/>
        <v>#DIV/0!</v>
      </c>
      <c r="AU27" s="58" t="e">
        <f t="shared" si="25"/>
        <v>#DIV/0!</v>
      </c>
      <c r="AV27" s="58" t="e">
        <f t="shared" si="25"/>
        <v>#DIV/0!</v>
      </c>
      <c r="AW27" s="58" t="e">
        <f t="shared" si="25"/>
        <v>#DIV/0!</v>
      </c>
      <c r="AX27" s="58" t="e">
        <f t="shared" si="25"/>
        <v>#DIV/0!</v>
      </c>
      <c r="AY27" s="58" t="e">
        <f t="shared" si="25"/>
        <v>#DIV/0!</v>
      </c>
      <c r="AZ27" s="63"/>
      <c r="BA27" s="58" t="e">
        <f t="shared" si="25"/>
        <v>#DIV/0!</v>
      </c>
      <c r="BB27" s="63"/>
      <c r="BC27" s="57" t="e">
        <f>(Links!C27*Links!AQ27+'On-Ramps'!AC27*'On-Ramps'!CE27)/('On-Ramps'!AC27+Links!C27)</f>
        <v>#DIV/0!</v>
      </c>
      <c r="BD27" s="63"/>
      <c r="BE27" s="57" t="e">
        <f>(Links!E27*Links!AS27+'On-Ramps'!AD27*'On-Ramps'!CF26)/('On-Ramps'!AD27+Links!E27)</f>
        <v>#DIV/0!</v>
      </c>
      <c r="BF27" s="57" t="e">
        <f>(Links!F27*Links!AT27+'On-Ramps'!AE27*'On-Ramps'!CG27)/('On-Ramps'!AE27+Links!F27)</f>
        <v>#DIV/0!</v>
      </c>
      <c r="BG27" s="57" t="e">
        <f>(Links!I27*Links!AW27+'On-Ramps'!AF27*'On-Ramps'!CH27)/('On-Ramps'!AF27+Links!I27)</f>
        <v>#DIV/0!</v>
      </c>
      <c r="BH27" s="57" t="e">
        <f>(#REF!*#REF!+'On-Ramps'!AG27*'On-Ramps'!CI27)/('On-Ramps'!AG27+#REF!)</f>
        <v>#REF!</v>
      </c>
      <c r="BI27" s="57" t="e">
        <f>(Links!L27*Links!AZ27+'On-Ramps'!AH27*'On-Ramps'!CJ27)/('On-Ramps'!AH27+Links!L27)</f>
        <v>#DIV/0!</v>
      </c>
      <c r="BJ27" s="57" t="e">
        <f>(Links!BA27*Links!M27+'On-Ramps'!AI27*'On-Ramps'!CK27)/('On-Ramps'!AI27+Links!M27)</f>
        <v>#DIV/0!</v>
      </c>
      <c r="BK27" s="57" t="e">
        <f>(Links!S27*Links!BG27+'On-Ramps'!AJ27*'On-Ramps'!CL27)/('On-Ramps'!AJ27+Links!S27)</f>
        <v>#DIV/0!</v>
      </c>
      <c r="BL27" s="63"/>
      <c r="BM27" s="57" t="e">
        <f>(Links!S27*Links!BG27+'On-Ramps'!AL27*'On-Ramps'!CM27)/(Links!S27+'On-Ramps'!AL27)</f>
        <v>#DIV/0!</v>
      </c>
      <c r="BN27" s="63"/>
      <c r="BO27" s="58" t="e">
        <f>(Links!W27^2+'Off-Ramp'!L27^2)/(Links!W27+'Off-Ramp'!L27)</f>
        <v>#DIV/0!</v>
      </c>
      <c r="BP27" s="63"/>
      <c r="BQ27" s="58" t="e">
        <f>(Links!Y27^2+'Off-Ramp'!C27^2)/(Links!Y27+'Off-Ramp'!C27)</f>
        <v>#DIV/0!</v>
      </c>
      <c r="BR27" s="63"/>
      <c r="BS27" s="58" t="e">
        <f>(Links!AA27^2+'Off-Ramp'!N27^2)/(Links!AA27+'Off-Ramp'!N27)</f>
        <v>#DIV/0!</v>
      </c>
      <c r="BT27" s="58" t="e">
        <f>(Links!AD27^2+'Off-Ramp'!O27^2)/(Links!AD27+'Off-Ramp'!O27)</f>
        <v>#DIV/0!</v>
      </c>
      <c r="BU27" s="58" t="e">
        <f>(Links!AE27^2+'Off-Ramp'!V27^2+'Off-Ramp'!W27^2+'Off-Ramp'!X27^2)/(Links!AE27+'Off-Ramp'!V27+'Off-Ramp'!W27+'Off-Ramp'!X27)</f>
        <v>#DIV/0!</v>
      </c>
      <c r="BV27" s="58" t="e">
        <f>(Links!AG27^2+'Off-Ramp'!Y27^2+'Off-Ramp'!Z27^2+'Off-Ramp'!AA27^2)/(Links!AG27+'Off-Ramp'!Y27+'Off-Ramp'!Z27+'Off-Ramp'!AA27)</f>
        <v>#DIV/0!</v>
      </c>
      <c r="BW27" s="58" t="e">
        <f>(Links!AH27^2+'Off-Ramp'!R27^2)/(Links!AH27+'Off-Ramp'!R27)</f>
        <v>#DIV/0!</v>
      </c>
      <c r="BX27" s="58" t="e">
        <f>(Links!AK27^2+'Off-Ramp'!S27^2)/(Links!AK27+'Off-Ramp'!S27)</f>
        <v>#DIV/0!</v>
      </c>
      <c r="BY27" s="58" t="e">
        <f>(Links!AL27^2+'Off-Ramp'!T27^2)/(Links!AL27+'Off-Ramp'!T27)</f>
        <v>#DIV/0!</v>
      </c>
      <c r="BZ27" s="63"/>
      <c r="CA27" s="58" t="e">
        <f>(Links!AN27^2+'Off-Ramp'!U27^2)/(Links!AN27+'Off-Ramp'!U27)</f>
        <v>#DIV/0!</v>
      </c>
    </row>
    <row r="28" spans="1:79" x14ac:dyDescent="0.15">
      <c r="A28" s="56">
        <v>26</v>
      </c>
      <c r="B28" s="57" t="e">
        <f t="shared" si="1"/>
        <v>#DIV/0!</v>
      </c>
      <c r="C28" s="57" t="e">
        <f t="shared" si="2"/>
        <v>#DIV/0!</v>
      </c>
      <c r="D28" s="57" t="e">
        <f t="shared" si="3"/>
        <v>#DIV/0!</v>
      </c>
      <c r="E28" s="57" t="e">
        <f t="shared" si="4"/>
        <v>#DIV/0!</v>
      </c>
      <c r="F28" s="57" t="e">
        <f t="shared" si="5"/>
        <v>#DIV/0!</v>
      </c>
      <c r="G28" s="57" t="e">
        <f t="shared" si="6"/>
        <v>#DIV/0!</v>
      </c>
      <c r="H28" s="57" t="e">
        <f t="shared" si="7"/>
        <v>#DIV/0!</v>
      </c>
      <c r="I28" s="57" t="e">
        <f t="shared" si="8"/>
        <v>#DIV/0!</v>
      </c>
      <c r="J28" s="57" t="e">
        <f t="shared" si="9"/>
        <v>#DIV/0!</v>
      </c>
      <c r="K28" s="57" t="e">
        <f t="shared" si="10"/>
        <v>#DIV/0!</v>
      </c>
      <c r="L28" s="57" t="e">
        <f t="shared" si="11"/>
        <v>#DIV/0!</v>
      </c>
      <c r="M28" s="57" t="e">
        <f t="shared" si="12"/>
        <v>#DIV/0!</v>
      </c>
      <c r="N28" s="57" t="e">
        <f t="shared" si="13"/>
        <v>#DIV/0!</v>
      </c>
      <c r="O28" s="58" t="e">
        <f>Links!B28</f>
        <v>#DIV/0!</v>
      </c>
      <c r="P28" s="58" t="e">
        <f>Links!C28+'On-Ramps'!AC28</f>
        <v>#DIV/0!</v>
      </c>
      <c r="Q28" s="58" t="e">
        <f>Links!D28</f>
        <v>#DIV/0!</v>
      </c>
      <c r="R28" s="58" t="e">
        <f>Links!E28+'On-Ramps'!AD28</f>
        <v>#DIV/0!</v>
      </c>
      <c r="S28" s="58" t="e">
        <f>Links!F28+'On-Ramps'!AE28</f>
        <v>#DIV/0!</v>
      </c>
      <c r="T28" s="58" t="e">
        <f>Links!I28+'On-Ramps'!AF28</f>
        <v>#DIV/0!</v>
      </c>
      <c r="U28" s="58" t="e">
        <f>Links!J28+'On-Ramps'!AG28</f>
        <v>#DIV/0!</v>
      </c>
      <c r="V28" s="58" t="e">
        <f>Links!L28+'On-Ramps'!AH28</f>
        <v>#DIV/0!</v>
      </c>
      <c r="W28" s="58" t="e">
        <f>Links!M28+'On-Ramps'!AI28</f>
        <v>#DIV/0!</v>
      </c>
      <c r="X28" s="58" t="e">
        <f>Links!P28+'On-Ramps'!AJ28</f>
        <v>#DIV/0!</v>
      </c>
      <c r="Y28" s="58" t="e">
        <f>Links!Q28</f>
        <v>#DIV/0!</v>
      </c>
      <c r="Z28" s="58" t="e">
        <f>Links!R28+'On-Ramps'!AK28</f>
        <v>#DIV/0!</v>
      </c>
      <c r="AA28" s="58" t="e">
        <f>Links!S28</f>
        <v>#DIV/0!</v>
      </c>
      <c r="AB28" s="57" t="e">
        <f t="shared" si="16"/>
        <v>#DIV/0!</v>
      </c>
      <c r="AC28" s="63"/>
      <c r="AD28" s="57" t="e">
        <f t="shared" si="17"/>
        <v>#DIV/0!</v>
      </c>
      <c r="AE28" s="63"/>
      <c r="AF28" s="57" t="e">
        <f t="shared" si="18"/>
        <v>#DIV/0!</v>
      </c>
      <c r="AG28" s="57" t="e">
        <f t="shared" si="19"/>
        <v>#DIV/0!</v>
      </c>
      <c r="AH28" s="57" t="e">
        <f t="shared" si="20"/>
        <v>#DIV/0!</v>
      </c>
      <c r="AI28" s="57" t="e">
        <f t="shared" si="21"/>
        <v>#DIV/0!</v>
      </c>
      <c r="AJ28" s="57" t="e">
        <f t="shared" si="22"/>
        <v>#DIV/0!</v>
      </c>
      <c r="AK28" s="57" t="e">
        <f t="shared" si="23"/>
        <v>#DIV/0!</v>
      </c>
      <c r="AL28" s="57" t="e">
        <f t="shared" si="24"/>
        <v>#DIV/0!</v>
      </c>
      <c r="AM28" s="63"/>
      <c r="AN28" s="57" t="e">
        <f t="shared" si="26"/>
        <v>#DIV/0!</v>
      </c>
      <c r="AO28" s="58" t="e">
        <f t="shared" si="25"/>
        <v>#DIV/0!</v>
      </c>
      <c r="AP28" s="63"/>
      <c r="AQ28" s="58" t="e">
        <f t="shared" si="25"/>
        <v>#DIV/0!</v>
      </c>
      <c r="AR28" s="63"/>
      <c r="AS28" s="58" t="e">
        <f t="shared" si="25"/>
        <v>#DIV/0!</v>
      </c>
      <c r="AT28" s="58" t="e">
        <f t="shared" si="25"/>
        <v>#DIV/0!</v>
      </c>
      <c r="AU28" s="58" t="e">
        <f t="shared" si="25"/>
        <v>#DIV/0!</v>
      </c>
      <c r="AV28" s="58" t="e">
        <f t="shared" si="25"/>
        <v>#DIV/0!</v>
      </c>
      <c r="AW28" s="58" t="e">
        <f t="shared" si="25"/>
        <v>#DIV/0!</v>
      </c>
      <c r="AX28" s="58" t="e">
        <f t="shared" si="25"/>
        <v>#DIV/0!</v>
      </c>
      <c r="AY28" s="58" t="e">
        <f t="shared" si="25"/>
        <v>#DIV/0!</v>
      </c>
      <c r="AZ28" s="63"/>
      <c r="BA28" s="58" t="e">
        <f t="shared" si="25"/>
        <v>#DIV/0!</v>
      </c>
      <c r="BB28" s="63"/>
      <c r="BC28" s="57" t="e">
        <f>(Links!C28*Links!AQ28+'On-Ramps'!AC28*'On-Ramps'!CE28)/('On-Ramps'!AC28+Links!C28)</f>
        <v>#DIV/0!</v>
      </c>
      <c r="BD28" s="63"/>
      <c r="BE28" s="57" t="e">
        <f>(Links!E28*Links!AS28+'On-Ramps'!AD28*'On-Ramps'!CF27)/('On-Ramps'!AD28+Links!E28)</f>
        <v>#DIV/0!</v>
      </c>
      <c r="BF28" s="57" t="e">
        <f>(Links!F28*Links!AT28+'On-Ramps'!AE28*'On-Ramps'!CG28)/('On-Ramps'!AE28+Links!F28)</f>
        <v>#DIV/0!</v>
      </c>
      <c r="BG28" s="57" t="e">
        <f>(Links!I28*Links!AW28+'On-Ramps'!AF28*'On-Ramps'!CH28)/('On-Ramps'!AF28+Links!I28)</f>
        <v>#DIV/0!</v>
      </c>
      <c r="BH28" s="57" t="e">
        <f>(#REF!*#REF!+'On-Ramps'!AG28*'On-Ramps'!CI28)/('On-Ramps'!AG28+#REF!)</f>
        <v>#REF!</v>
      </c>
      <c r="BI28" s="57" t="e">
        <f>(Links!L28*Links!AZ28+'On-Ramps'!AH28*'On-Ramps'!CJ28)/('On-Ramps'!AH28+Links!L28)</f>
        <v>#DIV/0!</v>
      </c>
      <c r="BJ28" s="57" t="e">
        <f>(Links!BA28*Links!M28+'On-Ramps'!AI28*'On-Ramps'!CK28)/('On-Ramps'!AI28+Links!M28)</f>
        <v>#DIV/0!</v>
      </c>
      <c r="BK28" s="57" t="e">
        <f>(Links!S28*Links!BG28+'On-Ramps'!AJ28*'On-Ramps'!CL28)/('On-Ramps'!AJ28+Links!S28)</f>
        <v>#DIV/0!</v>
      </c>
      <c r="BL28" s="63"/>
      <c r="BM28" s="57" t="e">
        <f>(Links!S28*Links!BG28+'On-Ramps'!AL28*'On-Ramps'!CM28)/(Links!S28+'On-Ramps'!AL28)</f>
        <v>#DIV/0!</v>
      </c>
      <c r="BN28" s="63"/>
      <c r="BO28" s="58" t="e">
        <f>(Links!W28^2+'Off-Ramp'!L28^2)/(Links!W28+'Off-Ramp'!L28)</f>
        <v>#DIV/0!</v>
      </c>
      <c r="BP28" s="63"/>
      <c r="BQ28" s="58" t="e">
        <f>(Links!Y28^2+'Off-Ramp'!C28^2)/(Links!Y28+'Off-Ramp'!C28)</f>
        <v>#DIV/0!</v>
      </c>
      <c r="BR28" s="63"/>
      <c r="BS28" s="58" t="e">
        <f>(Links!AA28^2+'Off-Ramp'!N28^2)/(Links!AA28+'Off-Ramp'!N28)</f>
        <v>#DIV/0!</v>
      </c>
      <c r="BT28" s="58" t="e">
        <f>(Links!AD28^2+'Off-Ramp'!O28^2)/(Links!AD28+'Off-Ramp'!O28)</f>
        <v>#DIV/0!</v>
      </c>
      <c r="BU28" s="58" t="e">
        <f>(Links!AE28^2+'Off-Ramp'!V28^2+'Off-Ramp'!W28^2+'Off-Ramp'!X28^2)/(Links!AE28+'Off-Ramp'!V28+'Off-Ramp'!W28+'Off-Ramp'!X28)</f>
        <v>#DIV/0!</v>
      </c>
      <c r="BV28" s="58" t="e">
        <f>(Links!AG28^2+'Off-Ramp'!Y28^2+'Off-Ramp'!Z28^2+'Off-Ramp'!AA28^2)/(Links!AG28+'Off-Ramp'!Y28+'Off-Ramp'!Z28+'Off-Ramp'!AA28)</f>
        <v>#DIV/0!</v>
      </c>
      <c r="BW28" s="58" t="e">
        <f>(Links!AH28^2+'Off-Ramp'!R28^2)/(Links!AH28+'Off-Ramp'!R28)</f>
        <v>#DIV/0!</v>
      </c>
      <c r="BX28" s="58" t="e">
        <f>(Links!AK28^2+'Off-Ramp'!S28^2)/(Links!AK28+'Off-Ramp'!S28)</f>
        <v>#DIV/0!</v>
      </c>
      <c r="BY28" s="58" t="e">
        <f>(Links!AL28^2+'Off-Ramp'!T28^2)/(Links!AL28+'Off-Ramp'!T28)</f>
        <v>#DIV/0!</v>
      </c>
      <c r="BZ28" s="63"/>
      <c r="CA28" s="58" t="e">
        <f>(Links!AN28^2+'Off-Ramp'!U28^2)/(Links!AN28+'Off-Ramp'!U28)</f>
        <v>#DIV/0!</v>
      </c>
    </row>
    <row r="29" spans="1:79" x14ac:dyDescent="0.15">
      <c r="A29" s="56">
        <v>27</v>
      </c>
      <c r="B29" s="57" t="e">
        <f t="shared" si="1"/>
        <v>#DIV/0!</v>
      </c>
      <c r="C29" s="57" t="e">
        <f t="shared" si="2"/>
        <v>#DIV/0!</v>
      </c>
      <c r="D29" s="57" t="e">
        <f t="shared" si="3"/>
        <v>#DIV/0!</v>
      </c>
      <c r="E29" s="57" t="e">
        <f t="shared" si="4"/>
        <v>#DIV/0!</v>
      </c>
      <c r="F29" s="57" t="e">
        <f t="shared" si="5"/>
        <v>#DIV/0!</v>
      </c>
      <c r="G29" s="57" t="e">
        <f t="shared" si="6"/>
        <v>#DIV/0!</v>
      </c>
      <c r="H29" s="57" t="e">
        <f t="shared" si="7"/>
        <v>#DIV/0!</v>
      </c>
      <c r="I29" s="57" t="e">
        <f t="shared" si="8"/>
        <v>#DIV/0!</v>
      </c>
      <c r="J29" s="57" t="e">
        <f t="shared" si="9"/>
        <v>#DIV/0!</v>
      </c>
      <c r="K29" s="57" t="e">
        <f t="shared" si="10"/>
        <v>#DIV/0!</v>
      </c>
      <c r="L29" s="57" t="e">
        <f t="shared" si="11"/>
        <v>#DIV/0!</v>
      </c>
      <c r="M29" s="57" t="e">
        <f t="shared" si="12"/>
        <v>#DIV/0!</v>
      </c>
      <c r="N29" s="57" t="e">
        <f t="shared" si="13"/>
        <v>#DIV/0!</v>
      </c>
      <c r="O29" s="58" t="e">
        <f>Links!B29</f>
        <v>#DIV/0!</v>
      </c>
      <c r="P29" s="58" t="e">
        <f>Links!C29+'On-Ramps'!AC29</f>
        <v>#DIV/0!</v>
      </c>
      <c r="Q29" s="58" t="e">
        <f>Links!D29</f>
        <v>#DIV/0!</v>
      </c>
      <c r="R29" s="58" t="e">
        <f>Links!E29+'On-Ramps'!AD29</f>
        <v>#DIV/0!</v>
      </c>
      <c r="S29" s="58" t="e">
        <f>Links!F29+'On-Ramps'!AE29</f>
        <v>#DIV/0!</v>
      </c>
      <c r="T29" s="58" t="e">
        <f>Links!I29+'On-Ramps'!AF29</f>
        <v>#DIV/0!</v>
      </c>
      <c r="U29" s="58" t="e">
        <f>Links!J29+'On-Ramps'!AG29</f>
        <v>#DIV/0!</v>
      </c>
      <c r="V29" s="58" t="e">
        <f>Links!L29+'On-Ramps'!AH29</f>
        <v>#DIV/0!</v>
      </c>
      <c r="W29" s="58" t="e">
        <f>Links!M29+'On-Ramps'!AI29</f>
        <v>#DIV/0!</v>
      </c>
      <c r="X29" s="58" t="e">
        <f>Links!P29+'On-Ramps'!AJ29</f>
        <v>#DIV/0!</v>
      </c>
      <c r="Y29" s="58" t="e">
        <f>Links!Q29</f>
        <v>#DIV/0!</v>
      </c>
      <c r="Z29" s="58" t="e">
        <f>Links!R29+'On-Ramps'!AK29</f>
        <v>#DIV/0!</v>
      </c>
      <c r="AA29" s="58" t="e">
        <f>Links!S29</f>
        <v>#DIV/0!</v>
      </c>
      <c r="AB29" s="57" t="e">
        <f t="shared" si="16"/>
        <v>#DIV/0!</v>
      </c>
      <c r="AC29" s="63"/>
      <c r="AD29" s="57" t="e">
        <f t="shared" si="17"/>
        <v>#DIV/0!</v>
      </c>
      <c r="AE29" s="63"/>
      <c r="AF29" s="57" t="e">
        <f t="shared" si="18"/>
        <v>#DIV/0!</v>
      </c>
      <c r="AG29" s="57" t="e">
        <f t="shared" si="19"/>
        <v>#DIV/0!</v>
      </c>
      <c r="AH29" s="57" t="e">
        <f t="shared" si="20"/>
        <v>#DIV/0!</v>
      </c>
      <c r="AI29" s="57" t="e">
        <f t="shared" si="21"/>
        <v>#DIV/0!</v>
      </c>
      <c r="AJ29" s="57" t="e">
        <f t="shared" si="22"/>
        <v>#DIV/0!</v>
      </c>
      <c r="AK29" s="57" t="e">
        <f t="shared" si="23"/>
        <v>#DIV/0!</v>
      </c>
      <c r="AL29" s="57" t="e">
        <f t="shared" si="24"/>
        <v>#DIV/0!</v>
      </c>
      <c r="AM29" s="63"/>
      <c r="AN29" s="57" t="e">
        <f t="shared" si="26"/>
        <v>#DIV/0!</v>
      </c>
      <c r="AO29" s="58" t="e">
        <f t="shared" si="25"/>
        <v>#DIV/0!</v>
      </c>
      <c r="AP29" s="63"/>
      <c r="AQ29" s="58" t="e">
        <f t="shared" si="25"/>
        <v>#DIV/0!</v>
      </c>
      <c r="AR29" s="63"/>
      <c r="AS29" s="58" t="e">
        <f t="shared" si="25"/>
        <v>#DIV/0!</v>
      </c>
      <c r="AT29" s="58" t="e">
        <f t="shared" si="25"/>
        <v>#DIV/0!</v>
      </c>
      <c r="AU29" s="58" t="e">
        <f t="shared" si="25"/>
        <v>#DIV/0!</v>
      </c>
      <c r="AV29" s="58" t="e">
        <f t="shared" si="25"/>
        <v>#DIV/0!</v>
      </c>
      <c r="AW29" s="58" t="e">
        <f t="shared" si="25"/>
        <v>#DIV/0!</v>
      </c>
      <c r="AX29" s="58" t="e">
        <f t="shared" si="25"/>
        <v>#DIV/0!</v>
      </c>
      <c r="AY29" s="58" t="e">
        <f t="shared" si="25"/>
        <v>#DIV/0!</v>
      </c>
      <c r="AZ29" s="63"/>
      <c r="BA29" s="58" t="e">
        <f t="shared" si="25"/>
        <v>#DIV/0!</v>
      </c>
      <c r="BB29" s="63"/>
      <c r="BC29" s="57" t="e">
        <f>(Links!C29*Links!AQ29+'On-Ramps'!AC29*'On-Ramps'!CE29)/('On-Ramps'!AC29+Links!C29)</f>
        <v>#DIV/0!</v>
      </c>
      <c r="BD29" s="63"/>
      <c r="BE29" s="57" t="e">
        <f>(Links!E29*Links!AS29+'On-Ramps'!AD29*'On-Ramps'!CF28)/('On-Ramps'!AD29+Links!E29)</f>
        <v>#DIV/0!</v>
      </c>
      <c r="BF29" s="57" t="e">
        <f>(Links!F29*Links!AT29+'On-Ramps'!AE29*'On-Ramps'!CG29)/('On-Ramps'!AE29+Links!F29)</f>
        <v>#DIV/0!</v>
      </c>
      <c r="BG29" s="57" t="e">
        <f>(Links!I29*Links!AW29+'On-Ramps'!AF29*'On-Ramps'!CH29)/('On-Ramps'!AF29+Links!I29)</f>
        <v>#DIV/0!</v>
      </c>
      <c r="BH29" s="57" t="e">
        <f>(#REF!*#REF!+'On-Ramps'!AG29*'On-Ramps'!CI29)/('On-Ramps'!AG29+#REF!)</f>
        <v>#REF!</v>
      </c>
      <c r="BI29" s="57" t="e">
        <f>(Links!L29*Links!AZ29+'On-Ramps'!AH29*'On-Ramps'!CJ29)/('On-Ramps'!AH29+Links!L29)</f>
        <v>#DIV/0!</v>
      </c>
      <c r="BJ29" s="57" t="e">
        <f>(Links!BA29*Links!M29+'On-Ramps'!AI29*'On-Ramps'!CK29)/('On-Ramps'!AI29+Links!M29)</f>
        <v>#DIV/0!</v>
      </c>
      <c r="BK29" s="57" t="e">
        <f>(Links!S29*Links!BG29+'On-Ramps'!AJ29*'On-Ramps'!CL29)/('On-Ramps'!AJ29+Links!S29)</f>
        <v>#DIV/0!</v>
      </c>
      <c r="BL29" s="63"/>
      <c r="BM29" s="57" t="e">
        <f>(Links!S29*Links!BG29+'On-Ramps'!AL29*'On-Ramps'!CM29)/(Links!S29+'On-Ramps'!AL29)</f>
        <v>#DIV/0!</v>
      </c>
      <c r="BN29" s="63"/>
      <c r="BO29" s="58" t="e">
        <f>(Links!W29^2+'Off-Ramp'!L29^2)/(Links!W29+'Off-Ramp'!L29)</f>
        <v>#DIV/0!</v>
      </c>
      <c r="BP29" s="63"/>
      <c r="BQ29" s="58" t="e">
        <f>(Links!Y29^2+'Off-Ramp'!C29^2)/(Links!Y29+'Off-Ramp'!C29)</f>
        <v>#DIV/0!</v>
      </c>
      <c r="BR29" s="63"/>
      <c r="BS29" s="58" t="e">
        <f>(Links!AA29^2+'Off-Ramp'!N29^2)/(Links!AA29+'Off-Ramp'!N29)</f>
        <v>#DIV/0!</v>
      </c>
      <c r="BT29" s="58" t="e">
        <f>(Links!AD29^2+'Off-Ramp'!O29^2)/(Links!AD29+'Off-Ramp'!O29)</f>
        <v>#DIV/0!</v>
      </c>
      <c r="BU29" s="58" t="e">
        <f>(Links!AE29^2+'Off-Ramp'!V29^2+'Off-Ramp'!W29^2+'Off-Ramp'!X29^2)/(Links!AE29+'Off-Ramp'!V29+'Off-Ramp'!W29+'Off-Ramp'!X29)</f>
        <v>#DIV/0!</v>
      </c>
      <c r="BV29" s="58" t="e">
        <f>(Links!AG29^2+'Off-Ramp'!Y29^2+'Off-Ramp'!Z29^2+'Off-Ramp'!AA29^2)/(Links!AG29+'Off-Ramp'!Y29+'Off-Ramp'!Z29+'Off-Ramp'!AA29)</f>
        <v>#DIV/0!</v>
      </c>
      <c r="BW29" s="58" t="e">
        <f>(Links!AH29^2+'Off-Ramp'!R29^2)/(Links!AH29+'Off-Ramp'!R29)</f>
        <v>#DIV/0!</v>
      </c>
      <c r="BX29" s="58" t="e">
        <f>(Links!AK29^2+'Off-Ramp'!S29^2)/(Links!AK29+'Off-Ramp'!S29)</f>
        <v>#DIV/0!</v>
      </c>
      <c r="BY29" s="58" t="e">
        <f>(Links!AL29^2+'Off-Ramp'!T29^2)/(Links!AL29+'Off-Ramp'!T29)</f>
        <v>#DIV/0!</v>
      </c>
      <c r="BZ29" s="63"/>
      <c r="CA29" s="58" t="e">
        <f>(Links!AN29^2+'Off-Ramp'!U29^2)/(Links!AN29+'Off-Ramp'!U29)</f>
        <v>#DIV/0!</v>
      </c>
    </row>
    <row r="30" spans="1:79" x14ac:dyDescent="0.15">
      <c r="A30" s="56">
        <v>28</v>
      </c>
      <c r="B30" s="57" t="e">
        <f t="shared" si="1"/>
        <v>#DIV/0!</v>
      </c>
      <c r="C30" s="57" t="e">
        <f t="shared" si="2"/>
        <v>#DIV/0!</v>
      </c>
      <c r="D30" s="57" t="e">
        <f t="shared" si="3"/>
        <v>#DIV/0!</v>
      </c>
      <c r="E30" s="57" t="e">
        <f t="shared" si="4"/>
        <v>#DIV/0!</v>
      </c>
      <c r="F30" s="57" t="e">
        <f t="shared" si="5"/>
        <v>#DIV/0!</v>
      </c>
      <c r="G30" s="57" t="e">
        <f t="shared" si="6"/>
        <v>#DIV/0!</v>
      </c>
      <c r="H30" s="57" t="e">
        <f t="shared" si="7"/>
        <v>#DIV/0!</v>
      </c>
      <c r="I30" s="57" t="e">
        <f t="shared" si="8"/>
        <v>#DIV/0!</v>
      </c>
      <c r="J30" s="57" t="e">
        <f t="shared" si="9"/>
        <v>#DIV/0!</v>
      </c>
      <c r="K30" s="57" t="e">
        <f t="shared" si="10"/>
        <v>#DIV/0!</v>
      </c>
      <c r="L30" s="57" t="e">
        <f t="shared" si="11"/>
        <v>#DIV/0!</v>
      </c>
      <c r="M30" s="57" t="e">
        <f t="shared" si="12"/>
        <v>#DIV/0!</v>
      </c>
      <c r="N30" s="57" t="e">
        <f t="shared" si="13"/>
        <v>#DIV/0!</v>
      </c>
      <c r="O30" s="58" t="e">
        <f>Links!B30</f>
        <v>#DIV/0!</v>
      </c>
      <c r="P30" s="58" t="e">
        <f>Links!C30+'On-Ramps'!AC30</f>
        <v>#DIV/0!</v>
      </c>
      <c r="Q30" s="58" t="e">
        <f>Links!D30</f>
        <v>#DIV/0!</v>
      </c>
      <c r="R30" s="58" t="e">
        <f>Links!E30+'On-Ramps'!AD30</f>
        <v>#DIV/0!</v>
      </c>
      <c r="S30" s="58" t="e">
        <f>Links!F30+'On-Ramps'!AE30</f>
        <v>#DIV/0!</v>
      </c>
      <c r="T30" s="58" t="e">
        <f>Links!I30+'On-Ramps'!AF30</f>
        <v>#DIV/0!</v>
      </c>
      <c r="U30" s="58" t="e">
        <f>Links!J30+'On-Ramps'!AG30</f>
        <v>#DIV/0!</v>
      </c>
      <c r="V30" s="58" t="e">
        <f>Links!L30+'On-Ramps'!AH30</f>
        <v>#DIV/0!</v>
      </c>
      <c r="W30" s="58" t="e">
        <f>Links!M30+'On-Ramps'!AI30</f>
        <v>#DIV/0!</v>
      </c>
      <c r="X30" s="58" t="e">
        <f>Links!P30+'On-Ramps'!AJ30</f>
        <v>#DIV/0!</v>
      </c>
      <c r="Y30" s="58" t="e">
        <f>Links!Q30</f>
        <v>#DIV/0!</v>
      </c>
      <c r="Z30" s="58" t="e">
        <f>Links!R30+'On-Ramps'!AK30</f>
        <v>#DIV/0!</v>
      </c>
      <c r="AA30" s="58" t="e">
        <f>Links!S30</f>
        <v>#DIV/0!</v>
      </c>
      <c r="AB30" s="57" t="e">
        <f t="shared" si="16"/>
        <v>#DIV/0!</v>
      </c>
      <c r="AC30" s="63"/>
      <c r="AD30" s="57" t="e">
        <f t="shared" si="17"/>
        <v>#DIV/0!</v>
      </c>
      <c r="AE30" s="63"/>
      <c r="AF30" s="57" t="e">
        <f t="shared" si="18"/>
        <v>#DIV/0!</v>
      </c>
      <c r="AG30" s="57" t="e">
        <f t="shared" si="19"/>
        <v>#DIV/0!</v>
      </c>
      <c r="AH30" s="57" t="e">
        <f t="shared" si="20"/>
        <v>#DIV/0!</v>
      </c>
      <c r="AI30" s="57" t="e">
        <f t="shared" si="21"/>
        <v>#DIV/0!</v>
      </c>
      <c r="AJ30" s="57" t="e">
        <f t="shared" si="22"/>
        <v>#DIV/0!</v>
      </c>
      <c r="AK30" s="57" t="e">
        <f t="shared" si="23"/>
        <v>#DIV/0!</v>
      </c>
      <c r="AL30" s="57" t="e">
        <f t="shared" si="24"/>
        <v>#DIV/0!</v>
      </c>
      <c r="AM30" s="63"/>
      <c r="AN30" s="57" t="e">
        <f t="shared" si="26"/>
        <v>#DIV/0!</v>
      </c>
      <c r="AO30" s="58" t="e">
        <f t="shared" si="25"/>
        <v>#DIV/0!</v>
      </c>
      <c r="AP30" s="63"/>
      <c r="AQ30" s="58" t="e">
        <f t="shared" si="25"/>
        <v>#DIV/0!</v>
      </c>
      <c r="AR30" s="63"/>
      <c r="AS30" s="58" t="e">
        <f t="shared" si="25"/>
        <v>#DIV/0!</v>
      </c>
      <c r="AT30" s="58" t="e">
        <f t="shared" si="25"/>
        <v>#DIV/0!</v>
      </c>
      <c r="AU30" s="58" t="e">
        <f t="shared" si="25"/>
        <v>#DIV/0!</v>
      </c>
      <c r="AV30" s="58" t="e">
        <f t="shared" si="25"/>
        <v>#DIV/0!</v>
      </c>
      <c r="AW30" s="58" t="e">
        <f t="shared" si="25"/>
        <v>#DIV/0!</v>
      </c>
      <c r="AX30" s="58" t="e">
        <f t="shared" si="25"/>
        <v>#DIV/0!</v>
      </c>
      <c r="AY30" s="58" t="e">
        <f t="shared" si="25"/>
        <v>#DIV/0!</v>
      </c>
      <c r="AZ30" s="63"/>
      <c r="BA30" s="58" t="e">
        <f t="shared" si="25"/>
        <v>#DIV/0!</v>
      </c>
      <c r="BB30" s="63"/>
      <c r="BC30" s="57" t="e">
        <f>(Links!C30*Links!AQ30+'On-Ramps'!AC30*'On-Ramps'!CE30)/('On-Ramps'!AC30+Links!C30)</f>
        <v>#DIV/0!</v>
      </c>
      <c r="BD30" s="63"/>
      <c r="BE30" s="57" t="e">
        <f>(Links!E30*Links!AS30+'On-Ramps'!AD30*'On-Ramps'!CF29)/('On-Ramps'!AD30+Links!E30)</f>
        <v>#DIV/0!</v>
      </c>
      <c r="BF30" s="57" t="e">
        <f>(Links!F30*Links!AT30+'On-Ramps'!AE30*'On-Ramps'!CG30)/('On-Ramps'!AE30+Links!F30)</f>
        <v>#DIV/0!</v>
      </c>
      <c r="BG30" s="57" t="e">
        <f>(Links!I30*Links!AW30+'On-Ramps'!AF30*'On-Ramps'!CH30)/('On-Ramps'!AF30+Links!I30)</f>
        <v>#DIV/0!</v>
      </c>
      <c r="BH30" s="57" t="e">
        <f>(#REF!*#REF!+'On-Ramps'!AG30*'On-Ramps'!CI30)/('On-Ramps'!AG30+#REF!)</f>
        <v>#REF!</v>
      </c>
      <c r="BI30" s="57" t="e">
        <f>(Links!L30*Links!AZ30+'On-Ramps'!AH30*'On-Ramps'!CJ30)/('On-Ramps'!AH30+Links!L30)</f>
        <v>#DIV/0!</v>
      </c>
      <c r="BJ30" s="57" t="e">
        <f>(Links!BA30*Links!M30+'On-Ramps'!AI30*'On-Ramps'!CK30)/('On-Ramps'!AI30+Links!M30)</f>
        <v>#DIV/0!</v>
      </c>
      <c r="BK30" s="57" t="e">
        <f>(Links!S30*Links!BG30+'On-Ramps'!AJ30*'On-Ramps'!CL30)/('On-Ramps'!AJ30+Links!S30)</f>
        <v>#DIV/0!</v>
      </c>
      <c r="BL30" s="63"/>
      <c r="BM30" s="57" t="e">
        <f>(Links!S30*Links!BG30+'On-Ramps'!AL30*'On-Ramps'!CM30)/(Links!S30+'On-Ramps'!AL30)</f>
        <v>#DIV/0!</v>
      </c>
      <c r="BN30" s="63"/>
      <c r="BO30" s="58" t="e">
        <f>(Links!W30^2+'Off-Ramp'!L30^2)/(Links!W30+'Off-Ramp'!L30)</f>
        <v>#DIV/0!</v>
      </c>
      <c r="BP30" s="63"/>
      <c r="BQ30" s="58" t="e">
        <f>(Links!Y30^2+'Off-Ramp'!C30^2)/(Links!Y30+'Off-Ramp'!C30)</f>
        <v>#DIV/0!</v>
      </c>
      <c r="BR30" s="63"/>
      <c r="BS30" s="58" t="e">
        <f>(Links!AA30^2+'Off-Ramp'!N30^2)/(Links!AA30+'Off-Ramp'!N30)</f>
        <v>#DIV/0!</v>
      </c>
      <c r="BT30" s="58" t="e">
        <f>(Links!AD30^2+'Off-Ramp'!O30^2)/(Links!AD30+'Off-Ramp'!O30)</f>
        <v>#DIV/0!</v>
      </c>
      <c r="BU30" s="58" t="e">
        <f>(Links!AE30^2+'Off-Ramp'!V30^2+'Off-Ramp'!W30^2+'Off-Ramp'!X30^2)/(Links!AE30+'Off-Ramp'!V30+'Off-Ramp'!W30+'Off-Ramp'!X30)</f>
        <v>#DIV/0!</v>
      </c>
      <c r="BV30" s="58" t="e">
        <f>(Links!AG30^2+'Off-Ramp'!Y30^2+'Off-Ramp'!Z30^2+'Off-Ramp'!AA30^2)/(Links!AG30+'Off-Ramp'!Y30+'Off-Ramp'!Z30+'Off-Ramp'!AA30)</f>
        <v>#DIV/0!</v>
      </c>
      <c r="BW30" s="58" t="e">
        <f>(Links!AH30^2+'Off-Ramp'!R30^2)/(Links!AH30+'Off-Ramp'!R30)</f>
        <v>#DIV/0!</v>
      </c>
      <c r="BX30" s="58" t="e">
        <f>(Links!AK30^2+'Off-Ramp'!S30^2)/(Links!AK30+'Off-Ramp'!S30)</f>
        <v>#DIV/0!</v>
      </c>
      <c r="BY30" s="58" t="e">
        <f>(Links!AL30^2+'Off-Ramp'!T30^2)/(Links!AL30+'Off-Ramp'!T30)</f>
        <v>#DIV/0!</v>
      </c>
      <c r="BZ30" s="63"/>
      <c r="CA30" s="58" t="e">
        <f>(Links!AN30^2+'Off-Ramp'!U30^2)/(Links!AN30+'Off-Ramp'!U30)</f>
        <v>#DIV/0!</v>
      </c>
    </row>
    <row r="31" spans="1:79" x14ac:dyDescent="0.15">
      <c r="A31" s="56">
        <v>29</v>
      </c>
      <c r="B31" s="57" t="e">
        <f t="shared" si="1"/>
        <v>#DIV/0!</v>
      </c>
      <c r="C31" s="57" t="e">
        <f t="shared" si="2"/>
        <v>#DIV/0!</v>
      </c>
      <c r="D31" s="57" t="e">
        <f t="shared" si="3"/>
        <v>#DIV/0!</v>
      </c>
      <c r="E31" s="57" t="e">
        <f t="shared" si="4"/>
        <v>#DIV/0!</v>
      </c>
      <c r="F31" s="57" t="e">
        <f t="shared" si="5"/>
        <v>#DIV/0!</v>
      </c>
      <c r="G31" s="57" t="e">
        <f t="shared" si="6"/>
        <v>#DIV/0!</v>
      </c>
      <c r="H31" s="57" t="e">
        <f t="shared" si="7"/>
        <v>#DIV/0!</v>
      </c>
      <c r="I31" s="57" t="e">
        <f t="shared" si="8"/>
        <v>#DIV/0!</v>
      </c>
      <c r="J31" s="57" t="e">
        <f t="shared" si="9"/>
        <v>#DIV/0!</v>
      </c>
      <c r="K31" s="57" t="e">
        <f t="shared" si="10"/>
        <v>#DIV/0!</v>
      </c>
      <c r="L31" s="57" t="e">
        <f t="shared" si="11"/>
        <v>#DIV/0!</v>
      </c>
      <c r="M31" s="57" t="e">
        <f t="shared" si="12"/>
        <v>#DIV/0!</v>
      </c>
      <c r="N31" s="57" t="e">
        <f t="shared" si="13"/>
        <v>#DIV/0!</v>
      </c>
      <c r="O31" s="58" t="e">
        <f>Links!B31</f>
        <v>#DIV/0!</v>
      </c>
      <c r="P31" s="58" t="e">
        <f>Links!C31+'On-Ramps'!AC31</f>
        <v>#DIV/0!</v>
      </c>
      <c r="Q31" s="58" t="e">
        <f>Links!D31</f>
        <v>#DIV/0!</v>
      </c>
      <c r="R31" s="58" t="e">
        <f>Links!E31+'On-Ramps'!AD31</f>
        <v>#DIV/0!</v>
      </c>
      <c r="S31" s="58" t="e">
        <f>Links!F31+'On-Ramps'!AE31</f>
        <v>#DIV/0!</v>
      </c>
      <c r="T31" s="58" t="e">
        <f>Links!I31+'On-Ramps'!AF31</f>
        <v>#DIV/0!</v>
      </c>
      <c r="U31" s="58" t="e">
        <f>Links!J31+'On-Ramps'!AG31</f>
        <v>#DIV/0!</v>
      </c>
      <c r="V31" s="58" t="e">
        <f>Links!L31+'On-Ramps'!AH31</f>
        <v>#DIV/0!</v>
      </c>
      <c r="W31" s="58" t="e">
        <f>Links!M31+'On-Ramps'!AI31</f>
        <v>#DIV/0!</v>
      </c>
      <c r="X31" s="58" t="e">
        <f>Links!P31+'On-Ramps'!AJ31</f>
        <v>#DIV/0!</v>
      </c>
      <c r="Y31" s="58" t="e">
        <f>Links!Q31</f>
        <v>#DIV/0!</v>
      </c>
      <c r="Z31" s="58" t="e">
        <f>Links!R31+'On-Ramps'!AK31</f>
        <v>#DIV/0!</v>
      </c>
      <c r="AA31" s="58" t="e">
        <f>Links!S31</f>
        <v>#DIV/0!</v>
      </c>
      <c r="AB31" s="57" t="e">
        <f t="shared" si="16"/>
        <v>#DIV/0!</v>
      </c>
      <c r="AC31" s="63"/>
      <c r="AD31" s="57" t="e">
        <f t="shared" si="17"/>
        <v>#DIV/0!</v>
      </c>
      <c r="AE31" s="63"/>
      <c r="AF31" s="57" t="e">
        <f t="shared" si="18"/>
        <v>#DIV/0!</v>
      </c>
      <c r="AG31" s="57" t="e">
        <f t="shared" si="19"/>
        <v>#DIV/0!</v>
      </c>
      <c r="AH31" s="57" t="e">
        <f t="shared" si="20"/>
        <v>#DIV/0!</v>
      </c>
      <c r="AI31" s="57" t="e">
        <f t="shared" si="21"/>
        <v>#DIV/0!</v>
      </c>
      <c r="AJ31" s="57" t="e">
        <f t="shared" si="22"/>
        <v>#DIV/0!</v>
      </c>
      <c r="AK31" s="57" t="e">
        <f t="shared" si="23"/>
        <v>#DIV/0!</v>
      </c>
      <c r="AL31" s="57" t="e">
        <f t="shared" si="24"/>
        <v>#DIV/0!</v>
      </c>
      <c r="AM31" s="63"/>
      <c r="AN31" s="57" t="e">
        <f t="shared" si="26"/>
        <v>#DIV/0!</v>
      </c>
      <c r="AO31" s="58" t="e">
        <f t="shared" si="25"/>
        <v>#DIV/0!</v>
      </c>
      <c r="AP31" s="63"/>
      <c r="AQ31" s="58" t="e">
        <f t="shared" si="25"/>
        <v>#DIV/0!</v>
      </c>
      <c r="AR31" s="63"/>
      <c r="AS31" s="58" t="e">
        <f t="shared" si="25"/>
        <v>#DIV/0!</v>
      </c>
      <c r="AT31" s="58" t="e">
        <f t="shared" si="25"/>
        <v>#DIV/0!</v>
      </c>
      <c r="AU31" s="58" t="e">
        <f t="shared" si="25"/>
        <v>#DIV/0!</v>
      </c>
      <c r="AV31" s="58" t="e">
        <f t="shared" si="25"/>
        <v>#DIV/0!</v>
      </c>
      <c r="AW31" s="58" t="e">
        <f t="shared" si="25"/>
        <v>#DIV/0!</v>
      </c>
      <c r="AX31" s="58" t="e">
        <f t="shared" si="25"/>
        <v>#DIV/0!</v>
      </c>
      <c r="AY31" s="58" t="e">
        <f t="shared" si="25"/>
        <v>#DIV/0!</v>
      </c>
      <c r="AZ31" s="63"/>
      <c r="BA31" s="58" t="e">
        <f t="shared" si="25"/>
        <v>#DIV/0!</v>
      </c>
      <c r="BB31" s="63"/>
      <c r="BC31" s="57" t="e">
        <f>(Links!C31*Links!AQ31+'On-Ramps'!AC31*'On-Ramps'!CE31)/('On-Ramps'!AC31+Links!C31)</f>
        <v>#DIV/0!</v>
      </c>
      <c r="BD31" s="63"/>
      <c r="BE31" s="57" t="e">
        <f>(Links!E31*Links!AS31+'On-Ramps'!AD31*'On-Ramps'!CF30)/('On-Ramps'!AD31+Links!E31)</f>
        <v>#DIV/0!</v>
      </c>
      <c r="BF31" s="57" t="e">
        <f>(Links!F31*Links!AT31+'On-Ramps'!AE31*'On-Ramps'!CG31)/('On-Ramps'!AE31+Links!F31)</f>
        <v>#DIV/0!</v>
      </c>
      <c r="BG31" s="57" t="e">
        <f>(Links!I31*Links!AW31+'On-Ramps'!AF31*'On-Ramps'!CH31)/('On-Ramps'!AF31+Links!I31)</f>
        <v>#DIV/0!</v>
      </c>
      <c r="BH31" s="57" t="e">
        <f>(#REF!*#REF!+'On-Ramps'!AG31*'On-Ramps'!CI31)/('On-Ramps'!AG31+#REF!)</f>
        <v>#REF!</v>
      </c>
      <c r="BI31" s="57" t="e">
        <f>(Links!L31*Links!AZ31+'On-Ramps'!AH31*'On-Ramps'!CJ31)/('On-Ramps'!AH31+Links!L31)</f>
        <v>#DIV/0!</v>
      </c>
      <c r="BJ31" s="57" t="e">
        <f>(Links!BA31*Links!M31+'On-Ramps'!AI31*'On-Ramps'!CK31)/('On-Ramps'!AI31+Links!M31)</f>
        <v>#DIV/0!</v>
      </c>
      <c r="BK31" s="57" t="e">
        <f>(Links!S31*Links!BG31+'On-Ramps'!AJ31*'On-Ramps'!CL31)/('On-Ramps'!AJ31+Links!S31)</f>
        <v>#DIV/0!</v>
      </c>
      <c r="BL31" s="63"/>
      <c r="BM31" s="57" t="e">
        <f>(Links!S31*Links!BG31+'On-Ramps'!AL31*'On-Ramps'!CM31)/(Links!S31+'On-Ramps'!AL31)</f>
        <v>#DIV/0!</v>
      </c>
      <c r="BN31" s="63"/>
      <c r="BO31" s="58" t="e">
        <f>(Links!W31^2+'Off-Ramp'!L31^2)/(Links!W31+'Off-Ramp'!L31)</f>
        <v>#DIV/0!</v>
      </c>
      <c r="BP31" s="63"/>
      <c r="BQ31" s="58" t="e">
        <f>(Links!Y31^2+'Off-Ramp'!C31^2)/(Links!Y31+'Off-Ramp'!C31)</f>
        <v>#DIV/0!</v>
      </c>
      <c r="BR31" s="63"/>
      <c r="BS31" s="58" t="e">
        <f>(Links!AA31^2+'Off-Ramp'!N31^2)/(Links!AA31+'Off-Ramp'!N31)</f>
        <v>#DIV/0!</v>
      </c>
      <c r="BT31" s="58" t="e">
        <f>(Links!AD31^2+'Off-Ramp'!O31^2)/(Links!AD31+'Off-Ramp'!O31)</f>
        <v>#DIV/0!</v>
      </c>
      <c r="BU31" s="58" t="e">
        <f>(Links!AE31^2+'Off-Ramp'!V31^2+'Off-Ramp'!W31^2+'Off-Ramp'!X31^2)/(Links!AE31+'Off-Ramp'!V31+'Off-Ramp'!W31+'Off-Ramp'!X31)</f>
        <v>#DIV/0!</v>
      </c>
      <c r="BV31" s="58" t="e">
        <f>(Links!AG31^2+'Off-Ramp'!Y31^2+'Off-Ramp'!Z31^2+'Off-Ramp'!AA31^2)/(Links!AG31+'Off-Ramp'!Y31+'Off-Ramp'!Z31+'Off-Ramp'!AA31)</f>
        <v>#DIV/0!</v>
      </c>
      <c r="BW31" s="58" t="e">
        <f>(Links!AH31^2+'Off-Ramp'!R31^2)/(Links!AH31+'Off-Ramp'!R31)</f>
        <v>#DIV/0!</v>
      </c>
      <c r="BX31" s="58" t="e">
        <f>(Links!AK31^2+'Off-Ramp'!S31^2)/(Links!AK31+'Off-Ramp'!S31)</f>
        <v>#DIV/0!</v>
      </c>
      <c r="BY31" s="58" t="e">
        <f>(Links!AL31^2+'Off-Ramp'!T31^2)/(Links!AL31+'Off-Ramp'!T31)</f>
        <v>#DIV/0!</v>
      </c>
      <c r="BZ31" s="63"/>
      <c r="CA31" s="58" t="e">
        <f>(Links!AN31^2+'Off-Ramp'!U31^2)/(Links!AN31+'Off-Ramp'!U31)</f>
        <v>#DIV/0!</v>
      </c>
    </row>
    <row r="32" spans="1:79" x14ac:dyDescent="0.15">
      <c r="A32" s="56">
        <v>30</v>
      </c>
      <c r="B32" s="57" t="e">
        <f t="shared" si="1"/>
        <v>#DIV/0!</v>
      </c>
      <c r="C32" s="57" t="e">
        <f t="shared" si="2"/>
        <v>#DIV/0!</v>
      </c>
      <c r="D32" s="57" t="e">
        <f t="shared" si="3"/>
        <v>#DIV/0!</v>
      </c>
      <c r="E32" s="57" t="e">
        <f t="shared" si="4"/>
        <v>#DIV/0!</v>
      </c>
      <c r="F32" s="57" t="e">
        <f t="shared" si="5"/>
        <v>#DIV/0!</v>
      </c>
      <c r="G32" s="57" t="e">
        <f t="shared" si="6"/>
        <v>#DIV/0!</v>
      </c>
      <c r="H32" s="57" t="e">
        <f t="shared" si="7"/>
        <v>#DIV/0!</v>
      </c>
      <c r="I32" s="57" t="e">
        <f t="shared" si="8"/>
        <v>#DIV/0!</v>
      </c>
      <c r="J32" s="57" t="e">
        <f t="shared" si="9"/>
        <v>#DIV/0!</v>
      </c>
      <c r="K32" s="57" t="e">
        <f t="shared" si="10"/>
        <v>#DIV/0!</v>
      </c>
      <c r="L32" s="57" t="e">
        <f t="shared" si="11"/>
        <v>#DIV/0!</v>
      </c>
      <c r="M32" s="57" t="e">
        <f t="shared" si="12"/>
        <v>#DIV/0!</v>
      </c>
      <c r="N32" s="57" t="e">
        <f t="shared" si="13"/>
        <v>#DIV/0!</v>
      </c>
      <c r="O32" s="58" t="e">
        <f>Links!B32</f>
        <v>#DIV/0!</v>
      </c>
      <c r="P32" s="58" t="e">
        <f>Links!C32+'On-Ramps'!AC32</f>
        <v>#DIV/0!</v>
      </c>
      <c r="Q32" s="58" t="e">
        <f>Links!D32</f>
        <v>#DIV/0!</v>
      </c>
      <c r="R32" s="58" t="e">
        <f>Links!E32+'On-Ramps'!AD32</f>
        <v>#DIV/0!</v>
      </c>
      <c r="S32" s="58" t="e">
        <f>Links!F32+'On-Ramps'!AE32</f>
        <v>#DIV/0!</v>
      </c>
      <c r="T32" s="58" t="e">
        <f>Links!I32+'On-Ramps'!AF32</f>
        <v>#DIV/0!</v>
      </c>
      <c r="U32" s="58" t="e">
        <f>Links!J32+'On-Ramps'!AG32</f>
        <v>#DIV/0!</v>
      </c>
      <c r="V32" s="58" t="e">
        <f>Links!L32+'On-Ramps'!AH32</f>
        <v>#DIV/0!</v>
      </c>
      <c r="W32" s="58" t="e">
        <f>Links!M32+'On-Ramps'!AI32</f>
        <v>#DIV/0!</v>
      </c>
      <c r="X32" s="58" t="e">
        <f>Links!P32+'On-Ramps'!AJ32</f>
        <v>#DIV/0!</v>
      </c>
      <c r="Y32" s="58" t="e">
        <f>Links!Q32</f>
        <v>#DIV/0!</v>
      </c>
      <c r="Z32" s="58" t="e">
        <f>Links!R32+'On-Ramps'!AK32</f>
        <v>#DIV/0!</v>
      </c>
      <c r="AA32" s="58" t="e">
        <f>Links!S32</f>
        <v>#DIV/0!</v>
      </c>
      <c r="AB32" s="57" t="e">
        <f t="shared" si="16"/>
        <v>#DIV/0!</v>
      </c>
      <c r="AC32" s="63"/>
      <c r="AD32" s="57" t="e">
        <f t="shared" si="17"/>
        <v>#DIV/0!</v>
      </c>
      <c r="AE32" s="63"/>
      <c r="AF32" s="57" t="e">
        <f t="shared" si="18"/>
        <v>#DIV/0!</v>
      </c>
      <c r="AG32" s="57" t="e">
        <f t="shared" si="19"/>
        <v>#DIV/0!</v>
      </c>
      <c r="AH32" s="57" t="e">
        <f t="shared" si="20"/>
        <v>#DIV/0!</v>
      </c>
      <c r="AI32" s="57" t="e">
        <f t="shared" si="21"/>
        <v>#DIV/0!</v>
      </c>
      <c r="AJ32" s="57" t="e">
        <f t="shared" si="22"/>
        <v>#DIV/0!</v>
      </c>
      <c r="AK32" s="57" t="e">
        <f t="shared" si="23"/>
        <v>#DIV/0!</v>
      </c>
      <c r="AL32" s="57" t="e">
        <f t="shared" si="24"/>
        <v>#DIV/0!</v>
      </c>
      <c r="AM32" s="63"/>
      <c r="AN32" s="57" t="e">
        <f t="shared" si="26"/>
        <v>#DIV/0!</v>
      </c>
      <c r="AO32" s="58" t="e">
        <f t="shared" si="25"/>
        <v>#DIV/0!</v>
      </c>
      <c r="AP32" s="63"/>
      <c r="AQ32" s="58" t="e">
        <f t="shared" si="25"/>
        <v>#DIV/0!</v>
      </c>
      <c r="AR32" s="63"/>
      <c r="AS32" s="58" t="e">
        <f t="shared" si="25"/>
        <v>#DIV/0!</v>
      </c>
      <c r="AT32" s="58" t="e">
        <f t="shared" si="25"/>
        <v>#DIV/0!</v>
      </c>
      <c r="AU32" s="58" t="e">
        <f t="shared" si="25"/>
        <v>#DIV/0!</v>
      </c>
      <c r="AV32" s="58" t="e">
        <f t="shared" si="25"/>
        <v>#DIV/0!</v>
      </c>
      <c r="AW32" s="58" t="e">
        <f t="shared" si="25"/>
        <v>#DIV/0!</v>
      </c>
      <c r="AX32" s="58" t="e">
        <f t="shared" si="25"/>
        <v>#DIV/0!</v>
      </c>
      <c r="AY32" s="58" t="e">
        <f t="shared" si="25"/>
        <v>#DIV/0!</v>
      </c>
      <c r="AZ32" s="63"/>
      <c r="BA32" s="58" t="e">
        <f t="shared" si="25"/>
        <v>#DIV/0!</v>
      </c>
      <c r="BB32" s="63"/>
      <c r="BC32" s="57" t="e">
        <f>(Links!C32*Links!AQ32+'On-Ramps'!AC32*'On-Ramps'!CE32)/('On-Ramps'!AC32+Links!C32)</f>
        <v>#DIV/0!</v>
      </c>
      <c r="BD32" s="63"/>
      <c r="BE32" s="57" t="e">
        <f>(Links!E32*Links!AS32+'On-Ramps'!AD32*'On-Ramps'!CF31)/('On-Ramps'!AD32+Links!E32)</f>
        <v>#DIV/0!</v>
      </c>
      <c r="BF32" s="57" t="e">
        <f>(Links!F32*Links!AT32+'On-Ramps'!AE32*'On-Ramps'!CG32)/('On-Ramps'!AE32+Links!F32)</f>
        <v>#DIV/0!</v>
      </c>
      <c r="BG32" s="57" t="e">
        <f>(Links!I32*Links!AW32+'On-Ramps'!AF32*'On-Ramps'!CH32)/('On-Ramps'!AF32+Links!I32)</f>
        <v>#DIV/0!</v>
      </c>
      <c r="BH32" s="57" t="e">
        <f>(#REF!*#REF!+'On-Ramps'!AG32*'On-Ramps'!CI32)/('On-Ramps'!AG32+#REF!)</f>
        <v>#REF!</v>
      </c>
      <c r="BI32" s="57" t="e">
        <f>(Links!L32*Links!AZ32+'On-Ramps'!AH32*'On-Ramps'!CJ32)/('On-Ramps'!AH32+Links!L32)</f>
        <v>#DIV/0!</v>
      </c>
      <c r="BJ32" s="57" t="e">
        <f>(Links!BA32*Links!M32+'On-Ramps'!AI32*'On-Ramps'!CK32)/('On-Ramps'!AI32+Links!M32)</f>
        <v>#DIV/0!</v>
      </c>
      <c r="BK32" s="57" t="e">
        <f>(Links!S32*Links!BG32+'On-Ramps'!AJ32*'On-Ramps'!CL32)/('On-Ramps'!AJ32+Links!S32)</f>
        <v>#DIV/0!</v>
      </c>
      <c r="BL32" s="63"/>
      <c r="BM32" s="57" t="e">
        <f>(Links!S32*Links!BG32+'On-Ramps'!AL32*'On-Ramps'!CM32)/(Links!S32+'On-Ramps'!AL32)</f>
        <v>#DIV/0!</v>
      </c>
      <c r="BN32" s="63"/>
      <c r="BO32" s="58" t="e">
        <f>(Links!W32^2+'Off-Ramp'!L32^2)/(Links!W32+'Off-Ramp'!L32)</f>
        <v>#DIV/0!</v>
      </c>
      <c r="BP32" s="63"/>
      <c r="BQ32" s="58" t="e">
        <f>(Links!Y32^2+'Off-Ramp'!C32^2)/(Links!Y32+'Off-Ramp'!C32)</f>
        <v>#DIV/0!</v>
      </c>
      <c r="BR32" s="63"/>
      <c r="BS32" s="58" t="e">
        <f>(Links!AA32^2+'Off-Ramp'!N32^2)/(Links!AA32+'Off-Ramp'!N32)</f>
        <v>#DIV/0!</v>
      </c>
      <c r="BT32" s="58" t="e">
        <f>(Links!AD32^2+'Off-Ramp'!O32^2)/(Links!AD32+'Off-Ramp'!O32)</f>
        <v>#DIV/0!</v>
      </c>
      <c r="BU32" s="58" t="e">
        <f>(Links!AE32^2+'Off-Ramp'!V32^2+'Off-Ramp'!W32^2+'Off-Ramp'!X32^2)/(Links!AE32+'Off-Ramp'!V32+'Off-Ramp'!W32+'Off-Ramp'!X32)</f>
        <v>#DIV/0!</v>
      </c>
      <c r="BV32" s="58" t="e">
        <f>(Links!AG32^2+'Off-Ramp'!Y32^2+'Off-Ramp'!Z32^2+'Off-Ramp'!AA32^2)/(Links!AG32+'Off-Ramp'!Y32+'Off-Ramp'!Z32+'Off-Ramp'!AA32)</f>
        <v>#DIV/0!</v>
      </c>
      <c r="BW32" s="58" t="e">
        <f>(Links!AH32^2+'Off-Ramp'!R32^2)/(Links!AH32+'Off-Ramp'!R32)</f>
        <v>#DIV/0!</v>
      </c>
      <c r="BX32" s="58" t="e">
        <f>(Links!AK32^2+'Off-Ramp'!S32^2)/(Links!AK32+'Off-Ramp'!S32)</f>
        <v>#DIV/0!</v>
      </c>
      <c r="BY32" s="58" t="e">
        <f>(Links!AL32^2+'Off-Ramp'!T32^2)/(Links!AL32+'Off-Ramp'!T32)</f>
        <v>#DIV/0!</v>
      </c>
      <c r="BZ32" s="63"/>
      <c r="CA32" s="58" t="e">
        <f>(Links!AN32^2+'Off-Ramp'!U32^2)/(Links!AN32+'Off-Ramp'!U32)</f>
        <v>#DIV/0!</v>
      </c>
    </row>
    <row r="33" spans="1:79" x14ac:dyDescent="0.15">
      <c r="A33" s="56">
        <v>31</v>
      </c>
      <c r="B33" s="57" t="e">
        <f t="shared" si="1"/>
        <v>#DIV/0!</v>
      </c>
      <c r="C33" s="57" t="e">
        <f t="shared" si="2"/>
        <v>#DIV/0!</v>
      </c>
      <c r="D33" s="57" t="e">
        <f t="shared" si="3"/>
        <v>#DIV/0!</v>
      </c>
      <c r="E33" s="57" t="e">
        <f t="shared" si="4"/>
        <v>#DIV/0!</v>
      </c>
      <c r="F33" s="57" t="e">
        <f t="shared" si="5"/>
        <v>#DIV/0!</v>
      </c>
      <c r="G33" s="57" t="e">
        <f t="shared" si="6"/>
        <v>#DIV/0!</v>
      </c>
      <c r="H33" s="57" t="e">
        <f t="shared" si="7"/>
        <v>#DIV/0!</v>
      </c>
      <c r="I33" s="57" t="e">
        <f t="shared" si="8"/>
        <v>#DIV/0!</v>
      </c>
      <c r="J33" s="57" t="e">
        <f t="shared" si="9"/>
        <v>#DIV/0!</v>
      </c>
      <c r="K33" s="57" t="e">
        <f t="shared" si="10"/>
        <v>#DIV/0!</v>
      </c>
      <c r="L33" s="57" t="e">
        <f t="shared" si="11"/>
        <v>#DIV/0!</v>
      </c>
      <c r="M33" s="57" t="e">
        <f t="shared" si="12"/>
        <v>#DIV/0!</v>
      </c>
      <c r="N33" s="57" t="e">
        <f t="shared" si="13"/>
        <v>#DIV/0!</v>
      </c>
      <c r="O33" s="58" t="e">
        <f>Links!B33</f>
        <v>#DIV/0!</v>
      </c>
      <c r="P33" s="58" t="e">
        <f>Links!C33+'On-Ramps'!AC33</f>
        <v>#DIV/0!</v>
      </c>
      <c r="Q33" s="58" t="e">
        <f>Links!D33</f>
        <v>#DIV/0!</v>
      </c>
      <c r="R33" s="58" t="e">
        <f>Links!E33+'On-Ramps'!AD33</f>
        <v>#DIV/0!</v>
      </c>
      <c r="S33" s="58" t="e">
        <f>Links!F33+'On-Ramps'!AE33</f>
        <v>#DIV/0!</v>
      </c>
      <c r="T33" s="58" t="e">
        <f>Links!I33+'On-Ramps'!AF33</f>
        <v>#DIV/0!</v>
      </c>
      <c r="U33" s="58" t="e">
        <f>Links!J33+'On-Ramps'!AG33</f>
        <v>#DIV/0!</v>
      </c>
      <c r="V33" s="58" t="e">
        <f>Links!L33+'On-Ramps'!AH33</f>
        <v>#DIV/0!</v>
      </c>
      <c r="W33" s="58" t="e">
        <f>Links!M33+'On-Ramps'!AI33</f>
        <v>#DIV/0!</v>
      </c>
      <c r="X33" s="58" t="e">
        <f>Links!P33+'On-Ramps'!AJ33</f>
        <v>#DIV/0!</v>
      </c>
      <c r="Y33" s="58" t="e">
        <f>Links!Q33</f>
        <v>#DIV/0!</v>
      </c>
      <c r="Z33" s="58" t="e">
        <f>Links!R33+'On-Ramps'!AK33</f>
        <v>#DIV/0!</v>
      </c>
      <c r="AA33" s="58" t="e">
        <f>Links!S33</f>
        <v>#DIV/0!</v>
      </c>
      <c r="AB33" s="57" t="e">
        <f t="shared" si="16"/>
        <v>#DIV/0!</v>
      </c>
      <c r="AC33" s="63"/>
      <c r="AD33" s="57" t="e">
        <f t="shared" si="17"/>
        <v>#DIV/0!</v>
      </c>
      <c r="AE33" s="63"/>
      <c r="AF33" s="57" t="e">
        <f t="shared" si="18"/>
        <v>#DIV/0!</v>
      </c>
      <c r="AG33" s="57" t="e">
        <f t="shared" si="19"/>
        <v>#DIV/0!</v>
      </c>
      <c r="AH33" s="57" t="e">
        <f t="shared" si="20"/>
        <v>#DIV/0!</v>
      </c>
      <c r="AI33" s="57" t="e">
        <f t="shared" si="21"/>
        <v>#DIV/0!</v>
      </c>
      <c r="AJ33" s="57" t="e">
        <f t="shared" si="22"/>
        <v>#DIV/0!</v>
      </c>
      <c r="AK33" s="57" t="e">
        <f t="shared" si="23"/>
        <v>#DIV/0!</v>
      </c>
      <c r="AL33" s="57" t="e">
        <f t="shared" si="24"/>
        <v>#DIV/0!</v>
      </c>
      <c r="AM33" s="63"/>
      <c r="AN33" s="57" t="e">
        <f t="shared" si="26"/>
        <v>#DIV/0!</v>
      </c>
      <c r="AO33" s="58" t="e">
        <f t="shared" si="25"/>
        <v>#DIV/0!</v>
      </c>
      <c r="AP33" s="63"/>
      <c r="AQ33" s="58" t="e">
        <f t="shared" si="25"/>
        <v>#DIV/0!</v>
      </c>
      <c r="AR33" s="63"/>
      <c r="AS33" s="58" t="e">
        <f t="shared" si="25"/>
        <v>#DIV/0!</v>
      </c>
      <c r="AT33" s="58" t="e">
        <f t="shared" si="25"/>
        <v>#DIV/0!</v>
      </c>
      <c r="AU33" s="58" t="e">
        <f t="shared" si="25"/>
        <v>#DIV/0!</v>
      </c>
      <c r="AV33" s="58" t="e">
        <f t="shared" si="25"/>
        <v>#DIV/0!</v>
      </c>
      <c r="AW33" s="58" t="e">
        <f t="shared" si="25"/>
        <v>#DIV/0!</v>
      </c>
      <c r="AX33" s="58" t="e">
        <f t="shared" si="25"/>
        <v>#DIV/0!</v>
      </c>
      <c r="AY33" s="58" t="e">
        <f t="shared" si="25"/>
        <v>#DIV/0!</v>
      </c>
      <c r="AZ33" s="63"/>
      <c r="BA33" s="58" t="e">
        <f t="shared" si="25"/>
        <v>#DIV/0!</v>
      </c>
      <c r="BB33" s="63"/>
      <c r="BC33" s="57" t="e">
        <f>(Links!C33*Links!AQ33+'On-Ramps'!AC33*'On-Ramps'!CE33)/('On-Ramps'!AC33+Links!C33)</f>
        <v>#DIV/0!</v>
      </c>
      <c r="BD33" s="63"/>
      <c r="BE33" s="57" t="e">
        <f>(Links!E33*Links!AS33+'On-Ramps'!AD33*'On-Ramps'!CF32)/('On-Ramps'!AD33+Links!E33)</f>
        <v>#DIV/0!</v>
      </c>
      <c r="BF33" s="57" t="e">
        <f>(Links!F33*Links!AT33+'On-Ramps'!AE33*'On-Ramps'!CG33)/('On-Ramps'!AE33+Links!F33)</f>
        <v>#DIV/0!</v>
      </c>
      <c r="BG33" s="57" t="e">
        <f>(Links!I33*Links!AW33+'On-Ramps'!AF33*'On-Ramps'!CH33)/('On-Ramps'!AF33+Links!I33)</f>
        <v>#DIV/0!</v>
      </c>
      <c r="BH33" s="57" t="e">
        <f>(#REF!*#REF!+'On-Ramps'!AG33*'On-Ramps'!CI33)/('On-Ramps'!AG33+#REF!)</f>
        <v>#REF!</v>
      </c>
      <c r="BI33" s="57" t="e">
        <f>(Links!L33*Links!AZ33+'On-Ramps'!AH33*'On-Ramps'!CJ33)/('On-Ramps'!AH33+Links!L33)</f>
        <v>#DIV/0!</v>
      </c>
      <c r="BJ33" s="57" t="e">
        <f>(Links!BA33*Links!M33+'On-Ramps'!AI33*'On-Ramps'!CK33)/('On-Ramps'!AI33+Links!M33)</f>
        <v>#DIV/0!</v>
      </c>
      <c r="BK33" s="57" t="e">
        <f>(Links!S33*Links!BG33+'On-Ramps'!AJ33*'On-Ramps'!CL33)/('On-Ramps'!AJ33+Links!S33)</f>
        <v>#DIV/0!</v>
      </c>
      <c r="BL33" s="63"/>
      <c r="BM33" s="57" t="e">
        <f>(Links!S33*Links!BG33+'On-Ramps'!AL33*'On-Ramps'!CM33)/(Links!S33+'On-Ramps'!AL33)</f>
        <v>#DIV/0!</v>
      </c>
      <c r="BN33" s="63"/>
      <c r="BO33" s="58" t="e">
        <f>(Links!W33^2+'Off-Ramp'!L33^2)/(Links!W33+'Off-Ramp'!L33)</f>
        <v>#DIV/0!</v>
      </c>
      <c r="BP33" s="63"/>
      <c r="BQ33" s="58" t="e">
        <f>(Links!Y33^2+'Off-Ramp'!C33^2)/(Links!Y33+'Off-Ramp'!C33)</f>
        <v>#DIV/0!</v>
      </c>
      <c r="BR33" s="63"/>
      <c r="BS33" s="58" t="e">
        <f>(Links!AA33^2+'Off-Ramp'!N33^2)/(Links!AA33+'Off-Ramp'!N33)</f>
        <v>#DIV/0!</v>
      </c>
      <c r="BT33" s="58" t="e">
        <f>(Links!AD33^2+'Off-Ramp'!O33^2)/(Links!AD33+'Off-Ramp'!O33)</f>
        <v>#DIV/0!</v>
      </c>
      <c r="BU33" s="58" t="e">
        <f>(Links!AE33^2+'Off-Ramp'!V33^2+'Off-Ramp'!W33^2+'Off-Ramp'!X33^2)/(Links!AE33+'Off-Ramp'!V33+'Off-Ramp'!W33+'Off-Ramp'!X33)</f>
        <v>#DIV/0!</v>
      </c>
      <c r="BV33" s="58" t="e">
        <f>(Links!AG33^2+'Off-Ramp'!Y33^2+'Off-Ramp'!Z33^2+'Off-Ramp'!AA33^2)/(Links!AG33+'Off-Ramp'!Y33+'Off-Ramp'!Z33+'Off-Ramp'!AA33)</f>
        <v>#DIV/0!</v>
      </c>
      <c r="BW33" s="58" t="e">
        <f>(Links!AH33^2+'Off-Ramp'!R33^2)/(Links!AH33+'Off-Ramp'!R33)</f>
        <v>#DIV/0!</v>
      </c>
      <c r="BX33" s="58" t="e">
        <f>(Links!AK33^2+'Off-Ramp'!S33^2)/(Links!AK33+'Off-Ramp'!S33)</f>
        <v>#DIV/0!</v>
      </c>
      <c r="BY33" s="58" t="e">
        <f>(Links!AL33^2+'Off-Ramp'!T33^2)/(Links!AL33+'Off-Ramp'!T33)</f>
        <v>#DIV/0!</v>
      </c>
      <c r="BZ33" s="63"/>
      <c r="CA33" s="58" t="e">
        <f>(Links!AN33^2+'Off-Ramp'!U33^2)/(Links!AN33+'Off-Ramp'!U33)</f>
        <v>#DIV/0!</v>
      </c>
    </row>
    <row r="34" spans="1:79" x14ac:dyDescent="0.15">
      <c r="A34" s="56">
        <v>32</v>
      </c>
      <c r="B34" s="57" t="e">
        <f t="shared" si="1"/>
        <v>#DIV/0!</v>
      </c>
      <c r="C34" s="57" t="e">
        <f t="shared" si="2"/>
        <v>#DIV/0!</v>
      </c>
      <c r="D34" s="57" t="e">
        <f t="shared" si="3"/>
        <v>#DIV/0!</v>
      </c>
      <c r="E34" s="57" t="e">
        <f t="shared" si="4"/>
        <v>#DIV/0!</v>
      </c>
      <c r="F34" s="57" t="e">
        <f t="shared" si="5"/>
        <v>#DIV/0!</v>
      </c>
      <c r="G34" s="57" t="e">
        <f t="shared" si="6"/>
        <v>#DIV/0!</v>
      </c>
      <c r="H34" s="57" t="e">
        <f t="shared" si="7"/>
        <v>#DIV/0!</v>
      </c>
      <c r="I34" s="57" t="e">
        <f t="shared" si="8"/>
        <v>#DIV/0!</v>
      </c>
      <c r="J34" s="57" t="e">
        <f t="shared" si="9"/>
        <v>#DIV/0!</v>
      </c>
      <c r="K34" s="57" t="e">
        <f t="shared" si="10"/>
        <v>#DIV/0!</v>
      </c>
      <c r="L34" s="57" t="e">
        <f t="shared" si="11"/>
        <v>#DIV/0!</v>
      </c>
      <c r="M34" s="57" t="e">
        <f t="shared" si="12"/>
        <v>#DIV/0!</v>
      </c>
      <c r="N34" s="57" t="e">
        <f t="shared" si="13"/>
        <v>#DIV/0!</v>
      </c>
      <c r="O34" s="58" t="e">
        <f>Links!B34</f>
        <v>#DIV/0!</v>
      </c>
      <c r="P34" s="58" t="e">
        <f>Links!C34+'On-Ramps'!AC34</f>
        <v>#DIV/0!</v>
      </c>
      <c r="Q34" s="58" t="e">
        <f>Links!D34</f>
        <v>#DIV/0!</v>
      </c>
      <c r="R34" s="58" t="e">
        <f>Links!E34+'On-Ramps'!AD34</f>
        <v>#DIV/0!</v>
      </c>
      <c r="S34" s="58" t="e">
        <f>Links!F34+'On-Ramps'!AE34</f>
        <v>#DIV/0!</v>
      </c>
      <c r="T34" s="58" t="e">
        <f>Links!I34+'On-Ramps'!AF34</f>
        <v>#DIV/0!</v>
      </c>
      <c r="U34" s="58" t="e">
        <f>Links!J34+'On-Ramps'!AG34</f>
        <v>#DIV/0!</v>
      </c>
      <c r="V34" s="58" t="e">
        <f>Links!L34+'On-Ramps'!AH34</f>
        <v>#DIV/0!</v>
      </c>
      <c r="W34" s="58" t="e">
        <f>Links!M34+'On-Ramps'!AI34</f>
        <v>#DIV/0!</v>
      </c>
      <c r="X34" s="58" t="e">
        <f>Links!P34+'On-Ramps'!AJ34</f>
        <v>#DIV/0!</v>
      </c>
      <c r="Y34" s="58" t="e">
        <f>Links!Q34</f>
        <v>#DIV/0!</v>
      </c>
      <c r="Z34" s="58" t="e">
        <f>Links!R34+'On-Ramps'!AK34</f>
        <v>#DIV/0!</v>
      </c>
      <c r="AA34" s="58" t="e">
        <f>Links!S34</f>
        <v>#DIV/0!</v>
      </c>
      <c r="AB34" s="57" t="e">
        <f t="shared" si="16"/>
        <v>#DIV/0!</v>
      </c>
      <c r="AC34" s="63"/>
      <c r="AD34" s="57" t="e">
        <f t="shared" si="17"/>
        <v>#DIV/0!</v>
      </c>
      <c r="AE34" s="63"/>
      <c r="AF34" s="57" t="e">
        <f t="shared" si="18"/>
        <v>#DIV/0!</v>
      </c>
      <c r="AG34" s="57" t="e">
        <f t="shared" si="19"/>
        <v>#DIV/0!</v>
      </c>
      <c r="AH34" s="57" t="e">
        <f t="shared" si="20"/>
        <v>#DIV/0!</v>
      </c>
      <c r="AI34" s="57" t="e">
        <f t="shared" si="21"/>
        <v>#DIV/0!</v>
      </c>
      <c r="AJ34" s="57" t="e">
        <f t="shared" si="22"/>
        <v>#DIV/0!</v>
      </c>
      <c r="AK34" s="57" t="e">
        <f t="shared" si="23"/>
        <v>#DIV/0!</v>
      </c>
      <c r="AL34" s="57" t="e">
        <f t="shared" si="24"/>
        <v>#DIV/0!</v>
      </c>
      <c r="AM34" s="63"/>
      <c r="AN34" s="57" t="e">
        <f t="shared" si="26"/>
        <v>#DIV/0!</v>
      </c>
      <c r="AO34" s="58" t="e">
        <f t="shared" si="25"/>
        <v>#DIV/0!</v>
      </c>
      <c r="AP34" s="63"/>
      <c r="AQ34" s="58" t="e">
        <f t="shared" si="25"/>
        <v>#DIV/0!</v>
      </c>
      <c r="AR34" s="63"/>
      <c r="AS34" s="58" t="e">
        <f t="shared" si="25"/>
        <v>#DIV/0!</v>
      </c>
      <c r="AT34" s="58" t="e">
        <f t="shared" si="25"/>
        <v>#DIV/0!</v>
      </c>
      <c r="AU34" s="58" t="e">
        <f t="shared" si="25"/>
        <v>#DIV/0!</v>
      </c>
      <c r="AV34" s="58" t="e">
        <f t="shared" si="25"/>
        <v>#DIV/0!</v>
      </c>
      <c r="AW34" s="58" t="e">
        <f t="shared" si="25"/>
        <v>#DIV/0!</v>
      </c>
      <c r="AX34" s="58" t="e">
        <f t="shared" si="25"/>
        <v>#DIV/0!</v>
      </c>
      <c r="AY34" s="58" t="e">
        <f t="shared" si="25"/>
        <v>#DIV/0!</v>
      </c>
      <c r="AZ34" s="63"/>
      <c r="BA34" s="58" t="e">
        <f t="shared" si="25"/>
        <v>#DIV/0!</v>
      </c>
      <c r="BB34" s="63"/>
      <c r="BC34" s="57" t="e">
        <f>(Links!C34*Links!AQ34+'On-Ramps'!AC34*'On-Ramps'!CE34)/('On-Ramps'!AC34+Links!C34)</f>
        <v>#DIV/0!</v>
      </c>
      <c r="BD34" s="63"/>
      <c r="BE34" s="57" t="e">
        <f>(Links!E34*Links!AS34+'On-Ramps'!AD34*'On-Ramps'!CF33)/('On-Ramps'!AD34+Links!E34)</f>
        <v>#DIV/0!</v>
      </c>
      <c r="BF34" s="57" t="e">
        <f>(Links!F34*Links!AT34+'On-Ramps'!AE34*'On-Ramps'!CG34)/('On-Ramps'!AE34+Links!F34)</f>
        <v>#DIV/0!</v>
      </c>
      <c r="BG34" s="57" t="e">
        <f>(Links!I34*Links!AW34+'On-Ramps'!AF34*'On-Ramps'!CH34)/('On-Ramps'!AF34+Links!I34)</f>
        <v>#DIV/0!</v>
      </c>
      <c r="BH34" s="57" t="e">
        <f>(#REF!*#REF!+'On-Ramps'!AG34*'On-Ramps'!CI34)/('On-Ramps'!AG34+#REF!)</f>
        <v>#REF!</v>
      </c>
      <c r="BI34" s="57" t="e">
        <f>(Links!L34*Links!AZ34+'On-Ramps'!AH34*'On-Ramps'!CJ34)/('On-Ramps'!AH34+Links!L34)</f>
        <v>#DIV/0!</v>
      </c>
      <c r="BJ34" s="57" t="e">
        <f>(Links!BA34*Links!M34+'On-Ramps'!AI34*'On-Ramps'!CK34)/('On-Ramps'!AI34+Links!M34)</f>
        <v>#DIV/0!</v>
      </c>
      <c r="BK34" s="57" t="e">
        <f>(Links!S34*Links!BG34+'On-Ramps'!AJ34*'On-Ramps'!CL34)/('On-Ramps'!AJ34+Links!S34)</f>
        <v>#DIV/0!</v>
      </c>
      <c r="BL34" s="63"/>
      <c r="BM34" s="57" t="e">
        <f>(Links!S34*Links!BG34+'On-Ramps'!AL34*'On-Ramps'!CM34)/(Links!S34+'On-Ramps'!AL34)</f>
        <v>#DIV/0!</v>
      </c>
      <c r="BN34" s="63"/>
      <c r="BO34" s="58" t="e">
        <f>(Links!W34^2+'Off-Ramp'!L34^2)/(Links!W34+'Off-Ramp'!L34)</f>
        <v>#DIV/0!</v>
      </c>
      <c r="BP34" s="63"/>
      <c r="BQ34" s="58" t="e">
        <f>(Links!Y34^2+'Off-Ramp'!C34^2)/(Links!Y34+'Off-Ramp'!C34)</f>
        <v>#DIV/0!</v>
      </c>
      <c r="BR34" s="63"/>
      <c r="BS34" s="58" t="e">
        <f>(Links!AA34^2+'Off-Ramp'!N34^2)/(Links!AA34+'Off-Ramp'!N34)</f>
        <v>#DIV/0!</v>
      </c>
      <c r="BT34" s="58" t="e">
        <f>(Links!AD34^2+'Off-Ramp'!O34^2)/(Links!AD34+'Off-Ramp'!O34)</f>
        <v>#DIV/0!</v>
      </c>
      <c r="BU34" s="58" t="e">
        <f>(Links!AE34^2+'Off-Ramp'!V34^2+'Off-Ramp'!W34^2+'Off-Ramp'!X34^2)/(Links!AE34+'Off-Ramp'!V34+'Off-Ramp'!W34+'Off-Ramp'!X34)</f>
        <v>#DIV/0!</v>
      </c>
      <c r="BV34" s="58" t="e">
        <f>(Links!AG34^2+'Off-Ramp'!Y34^2+'Off-Ramp'!Z34^2+'Off-Ramp'!AA34^2)/(Links!AG34+'Off-Ramp'!Y34+'Off-Ramp'!Z34+'Off-Ramp'!AA34)</f>
        <v>#DIV/0!</v>
      </c>
      <c r="BW34" s="58" t="e">
        <f>(Links!AH34^2+'Off-Ramp'!R34^2)/(Links!AH34+'Off-Ramp'!R34)</f>
        <v>#DIV/0!</v>
      </c>
      <c r="BX34" s="58" t="e">
        <f>(Links!AK34^2+'Off-Ramp'!S34^2)/(Links!AK34+'Off-Ramp'!S34)</f>
        <v>#DIV/0!</v>
      </c>
      <c r="BY34" s="58" t="e">
        <f>(Links!AL34^2+'Off-Ramp'!T34^2)/(Links!AL34+'Off-Ramp'!T34)</f>
        <v>#DIV/0!</v>
      </c>
      <c r="BZ34" s="63"/>
      <c r="CA34" s="58" t="e">
        <f>(Links!AN34^2+'Off-Ramp'!U34^2)/(Links!AN34+'Off-Ramp'!U34)</f>
        <v>#DIV/0!</v>
      </c>
    </row>
    <row r="35" spans="1:79" x14ac:dyDescent="0.15">
      <c r="A35" s="56">
        <v>33</v>
      </c>
      <c r="B35" s="57" t="e">
        <f t="shared" si="1"/>
        <v>#DIV/0!</v>
      </c>
      <c r="C35" s="57" t="e">
        <f t="shared" si="2"/>
        <v>#DIV/0!</v>
      </c>
      <c r="D35" s="57" t="e">
        <f t="shared" si="3"/>
        <v>#DIV/0!</v>
      </c>
      <c r="E35" s="57" t="e">
        <f t="shared" si="4"/>
        <v>#DIV/0!</v>
      </c>
      <c r="F35" s="57" t="e">
        <f t="shared" si="5"/>
        <v>#DIV/0!</v>
      </c>
      <c r="G35" s="57" t="e">
        <f t="shared" si="6"/>
        <v>#DIV/0!</v>
      </c>
      <c r="H35" s="57" t="e">
        <f t="shared" si="7"/>
        <v>#DIV/0!</v>
      </c>
      <c r="I35" s="57" t="e">
        <f t="shared" si="8"/>
        <v>#DIV/0!</v>
      </c>
      <c r="J35" s="57" t="e">
        <f t="shared" si="9"/>
        <v>#DIV/0!</v>
      </c>
      <c r="K35" s="57" t="e">
        <f t="shared" si="10"/>
        <v>#DIV/0!</v>
      </c>
      <c r="L35" s="57" t="e">
        <f t="shared" si="11"/>
        <v>#DIV/0!</v>
      </c>
      <c r="M35" s="57" t="e">
        <f t="shared" si="12"/>
        <v>#DIV/0!</v>
      </c>
      <c r="N35" s="57" t="e">
        <f t="shared" si="13"/>
        <v>#DIV/0!</v>
      </c>
      <c r="O35" s="58" t="e">
        <f>Links!B35</f>
        <v>#DIV/0!</v>
      </c>
      <c r="P35" s="58" t="e">
        <f>Links!C35+'On-Ramps'!AC35</f>
        <v>#DIV/0!</v>
      </c>
      <c r="Q35" s="58" t="e">
        <f>Links!D35</f>
        <v>#DIV/0!</v>
      </c>
      <c r="R35" s="58" t="e">
        <f>Links!E35+'On-Ramps'!AD35</f>
        <v>#DIV/0!</v>
      </c>
      <c r="S35" s="58" t="e">
        <f>Links!F35+'On-Ramps'!AE35</f>
        <v>#DIV/0!</v>
      </c>
      <c r="T35" s="58" t="e">
        <f>Links!I35+'On-Ramps'!AF35</f>
        <v>#DIV/0!</v>
      </c>
      <c r="U35" s="58" t="e">
        <f>Links!J35+'On-Ramps'!AG35</f>
        <v>#DIV/0!</v>
      </c>
      <c r="V35" s="58" t="e">
        <f>Links!L35+'On-Ramps'!AH35</f>
        <v>#DIV/0!</v>
      </c>
      <c r="W35" s="58" t="e">
        <f>Links!M35+'On-Ramps'!AI35</f>
        <v>#DIV/0!</v>
      </c>
      <c r="X35" s="58" t="e">
        <f>Links!P35+'On-Ramps'!AJ35</f>
        <v>#DIV/0!</v>
      </c>
      <c r="Y35" s="58" t="e">
        <f>Links!Q35</f>
        <v>#DIV/0!</v>
      </c>
      <c r="Z35" s="58" t="e">
        <f>Links!R35+'On-Ramps'!AK35</f>
        <v>#DIV/0!</v>
      </c>
      <c r="AA35" s="58" t="e">
        <f>Links!S35</f>
        <v>#DIV/0!</v>
      </c>
      <c r="AB35" s="57" t="e">
        <f t="shared" si="16"/>
        <v>#DIV/0!</v>
      </c>
      <c r="AC35" s="63"/>
      <c r="AD35" s="57" t="e">
        <f t="shared" si="17"/>
        <v>#DIV/0!</v>
      </c>
      <c r="AE35" s="63"/>
      <c r="AF35" s="57" t="e">
        <f t="shared" si="18"/>
        <v>#DIV/0!</v>
      </c>
      <c r="AG35" s="57" t="e">
        <f t="shared" si="19"/>
        <v>#DIV/0!</v>
      </c>
      <c r="AH35" s="57" t="e">
        <f t="shared" si="20"/>
        <v>#DIV/0!</v>
      </c>
      <c r="AI35" s="57" t="e">
        <f t="shared" si="21"/>
        <v>#DIV/0!</v>
      </c>
      <c r="AJ35" s="57" t="e">
        <f t="shared" si="22"/>
        <v>#DIV/0!</v>
      </c>
      <c r="AK35" s="57" t="e">
        <f t="shared" si="23"/>
        <v>#DIV/0!</v>
      </c>
      <c r="AL35" s="57" t="e">
        <f t="shared" si="24"/>
        <v>#DIV/0!</v>
      </c>
      <c r="AM35" s="63"/>
      <c r="AN35" s="57" t="e">
        <f t="shared" si="26"/>
        <v>#DIV/0!</v>
      </c>
      <c r="AO35" s="58" t="e">
        <f t="shared" si="25"/>
        <v>#DIV/0!</v>
      </c>
      <c r="AP35" s="63"/>
      <c r="AQ35" s="58" t="e">
        <f t="shared" si="25"/>
        <v>#DIV/0!</v>
      </c>
      <c r="AR35" s="63"/>
      <c r="AS35" s="58" t="e">
        <f t="shared" si="25"/>
        <v>#DIV/0!</v>
      </c>
      <c r="AT35" s="58" t="e">
        <f t="shared" si="25"/>
        <v>#DIV/0!</v>
      </c>
      <c r="AU35" s="58" t="e">
        <f t="shared" si="25"/>
        <v>#DIV/0!</v>
      </c>
      <c r="AV35" s="58" t="e">
        <f t="shared" si="25"/>
        <v>#DIV/0!</v>
      </c>
      <c r="AW35" s="58" t="e">
        <f t="shared" si="25"/>
        <v>#DIV/0!</v>
      </c>
      <c r="AX35" s="58" t="e">
        <f t="shared" si="25"/>
        <v>#DIV/0!</v>
      </c>
      <c r="AY35" s="58" t="e">
        <f t="shared" si="25"/>
        <v>#DIV/0!</v>
      </c>
      <c r="AZ35" s="63"/>
      <c r="BA35" s="58" t="e">
        <f t="shared" si="25"/>
        <v>#DIV/0!</v>
      </c>
      <c r="BB35" s="63"/>
      <c r="BC35" s="57" t="e">
        <f>(Links!C35*Links!AQ35+'On-Ramps'!AC35*'On-Ramps'!CE35)/('On-Ramps'!AC35+Links!C35)</f>
        <v>#DIV/0!</v>
      </c>
      <c r="BD35" s="63"/>
      <c r="BE35" s="57" t="e">
        <f>(Links!E35*Links!AS35+'On-Ramps'!AD35*'On-Ramps'!CF34)/('On-Ramps'!AD35+Links!E35)</f>
        <v>#DIV/0!</v>
      </c>
      <c r="BF35" s="57" t="e">
        <f>(Links!F35*Links!AT35+'On-Ramps'!AE35*'On-Ramps'!CG35)/('On-Ramps'!AE35+Links!F35)</f>
        <v>#DIV/0!</v>
      </c>
      <c r="BG35" s="57" t="e">
        <f>(Links!I35*Links!AW35+'On-Ramps'!AF35*'On-Ramps'!CH35)/('On-Ramps'!AF35+Links!I35)</f>
        <v>#DIV/0!</v>
      </c>
      <c r="BH35" s="57" t="e">
        <f>(#REF!*#REF!+'On-Ramps'!AG35*'On-Ramps'!CI35)/('On-Ramps'!AG35+#REF!)</f>
        <v>#REF!</v>
      </c>
      <c r="BI35" s="57" t="e">
        <f>(Links!L35*Links!AZ35+'On-Ramps'!AH35*'On-Ramps'!CJ35)/('On-Ramps'!AH35+Links!L35)</f>
        <v>#DIV/0!</v>
      </c>
      <c r="BJ35" s="57" t="e">
        <f>(Links!BA35*Links!M35+'On-Ramps'!AI35*'On-Ramps'!CK35)/('On-Ramps'!AI35+Links!M35)</f>
        <v>#DIV/0!</v>
      </c>
      <c r="BK35" s="57" t="e">
        <f>(Links!S35*Links!BG35+'On-Ramps'!AJ35*'On-Ramps'!CL35)/('On-Ramps'!AJ35+Links!S35)</f>
        <v>#DIV/0!</v>
      </c>
      <c r="BL35" s="63"/>
      <c r="BM35" s="57" t="e">
        <f>(Links!S35*Links!BG35+'On-Ramps'!AL35*'On-Ramps'!CM35)/(Links!S35+'On-Ramps'!AL35)</f>
        <v>#DIV/0!</v>
      </c>
      <c r="BN35" s="63"/>
      <c r="BO35" s="58" t="e">
        <f>(Links!W35^2+'Off-Ramp'!L35^2)/(Links!W35+'Off-Ramp'!L35)</f>
        <v>#DIV/0!</v>
      </c>
      <c r="BP35" s="63"/>
      <c r="BQ35" s="58" t="e">
        <f>(Links!Y35^2+'Off-Ramp'!C35^2)/(Links!Y35+'Off-Ramp'!C35)</f>
        <v>#DIV/0!</v>
      </c>
      <c r="BR35" s="63"/>
      <c r="BS35" s="58" t="e">
        <f>(Links!AA35^2+'Off-Ramp'!N35^2)/(Links!AA35+'Off-Ramp'!N35)</f>
        <v>#DIV/0!</v>
      </c>
      <c r="BT35" s="58" t="e">
        <f>(Links!AD35^2+'Off-Ramp'!O35^2)/(Links!AD35+'Off-Ramp'!O35)</f>
        <v>#DIV/0!</v>
      </c>
      <c r="BU35" s="58" t="e">
        <f>(Links!AE35^2+'Off-Ramp'!V35^2+'Off-Ramp'!W35^2+'Off-Ramp'!X35^2)/(Links!AE35+'Off-Ramp'!V35+'Off-Ramp'!W35+'Off-Ramp'!X35)</f>
        <v>#DIV/0!</v>
      </c>
      <c r="BV35" s="58" t="e">
        <f>(Links!AG35^2+'Off-Ramp'!Y35^2+'Off-Ramp'!Z35^2+'Off-Ramp'!AA35^2)/(Links!AG35+'Off-Ramp'!Y35+'Off-Ramp'!Z35+'Off-Ramp'!AA35)</f>
        <v>#DIV/0!</v>
      </c>
      <c r="BW35" s="58" t="e">
        <f>(Links!AH35^2+'Off-Ramp'!R35^2)/(Links!AH35+'Off-Ramp'!R35)</f>
        <v>#DIV/0!</v>
      </c>
      <c r="BX35" s="58" t="e">
        <f>(Links!AK35^2+'Off-Ramp'!S35^2)/(Links!AK35+'Off-Ramp'!S35)</f>
        <v>#DIV/0!</v>
      </c>
      <c r="BY35" s="58" t="e">
        <f>(Links!AL35^2+'Off-Ramp'!T35^2)/(Links!AL35+'Off-Ramp'!T35)</f>
        <v>#DIV/0!</v>
      </c>
      <c r="BZ35" s="63"/>
      <c r="CA35" s="58" t="e">
        <f>(Links!AN35^2+'Off-Ramp'!U35^2)/(Links!AN35+'Off-Ramp'!U35)</f>
        <v>#DIV/0!</v>
      </c>
    </row>
    <row r="36" spans="1:79" x14ac:dyDescent="0.15">
      <c r="A36" s="56">
        <v>34</v>
      </c>
      <c r="B36" s="57" t="e">
        <f t="shared" si="1"/>
        <v>#DIV/0!</v>
      </c>
      <c r="C36" s="57" t="e">
        <f t="shared" si="2"/>
        <v>#DIV/0!</v>
      </c>
      <c r="D36" s="57" t="e">
        <f t="shared" si="3"/>
        <v>#DIV/0!</v>
      </c>
      <c r="E36" s="57" t="e">
        <f t="shared" si="4"/>
        <v>#DIV/0!</v>
      </c>
      <c r="F36" s="57" t="e">
        <f t="shared" si="5"/>
        <v>#DIV/0!</v>
      </c>
      <c r="G36" s="57" t="e">
        <f t="shared" si="6"/>
        <v>#DIV/0!</v>
      </c>
      <c r="H36" s="57" t="e">
        <f t="shared" si="7"/>
        <v>#DIV/0!</v>
      </c>
      <c r="I36" s="57" t="e">
        <f t="shared" si="8"/>
        <v>#DIV/0!</v>
      </c>
      <c r="J36" s="57" t="e">
        <f t="shared" si="9"/>
        <v>#DIV/0!</v>
      </c>
      <c r="K36" s="57" t="e">
        <f t="shared" si="10"/>
        <v>#DIV/0!</v>
      </c>
      <c r="L36" s="57" t="e">
        <f t="shared" si="11"/>
        <v>#DIV/0!</v>
      </c>
      <c r="M36" s="57" t="e">
        <f t="shared" si="12"/>
        <v>#DIV/0!</v>
      </c>
      <c r="N36" s="57" t="e">
        <f t="shared" si="13"/>
        <v>#DIV/0!</v>
      </c>
      <c r="O36" s="58" t="e">
        <f>Links!B36</f>
        <v>#DIV/0!</v>
      </c>
      <c r="P36" s="58" t="e">
        <f>Links!C36+'On-Ramps'!AC36</f>
        <v>#DIV/0!</v>
      </c>
      <c r="Q36" s="58" t="e">
        <f>Links!D36</f>
        <v>#DIV/0!</v>
      </c>
      <c r="R36" s="58" t="e">
        <f>Links!E36+'On-Ramps'!AD36</f>
        <v>#DIV/0!</v>
      </c>
      <c r="S36" s="58" t="e">
        <f>Links!F36+'On-Ramps'!AE36</f>
        <v>#DIV/0!</v>
      </c>
      <c r="T36" s="58" t="e">
        <f>Links!I36+'On-Ramps'!AF36</f>
        <v>#DIV/0!</v>
      </c>
      <c r="U36" s="58" t="e">
        <f>Links!J36+'On-Ramps'!AG36</f>
        <v>#DIV/0!</v>
      </c>
      <c r="V36" s="58" t="e">
        <f>Links!L36+'On-Ramps'!AH36</f>
        <v>#DIV/0!</v>
      </c>
      <c r="W36" s="58" t="e">
        <f>Links!M36+'On-Ramps'!AI36</f>
        <v>#DIV/0!</v>
      </c>
      <c r="X36" s="58" t="e">
        <f>Links!P36+'On-Ramps'!AJ36</f>
        <v>#DIV/0!</v>
      </c>
      <c r="Y36" s="58" t="e">
        <f>Links!Q36</f>
        <v>#DIV/0!</v>
      </c>
      <c r="Z36" s="58" t="e">
        <f>Links!R36+'On-Ramps'!AK36</f>
        <v>#DIV/0!</v>
      </c>
      <c r="AA36" s="58" t="e">
        <f>Links!S36</f>
        <v>#DIV/0!</v>
      </c>
      <c r="AB36" s="57" t="e">
        <f t="shared" si="16"/>
        <v>#DIV/0!</v>
      </c>
      <c r="AC36" s="63"/>
      <c r="AD36" s="57" t="e">
        <f t="shared" si="17"/>
        <v>#DIV/0!</v>
      </c>
      <c r="AE36" s="63"/>
      <c r="AF36" s="57" t="e">
        <f t="shared" si="18"/>
        <v>#DIV/0!</v>
      </c>
      <c r="AG36" s="57" t="e">
        <f t="shared" si="19"/>
        <v>#DIV/0!</v>
      </c>
      <c r="AH36" s="57" t="e">
        <f t="shared" si="20"/>
        <v>#DIV/0!</v>
      </c>
      <c r="AI36" s="57" t="e">
        <f t="shared" si="21"/>
        <v>#DIV/0!</v>
      </c>
      <c r="AJ36" s="57" t="e">
        <f t="shared" si="22"/>
        <v>#DIV/0!</v>
      </c>
      <c r="AK36" s="57" t="e">
        <f t="shared" si="23"/>
        <v>#DIV/0!</v>
      </c>
      <c r="AL36" s="57" t="e">
        <f t="shared" si="24"/>
        <v>#DIV/0!</v>
      </c>
      <c r="AM36" s="63"/>
      <c r="AN36" s="57" t="e">
        <f t="shared" si="26"/>
        <v>#DIV/0!</v>
      </c>
      <c r="AO36" s="58" t="e">
        <f t="shared" si="25"/>
        <v>#DIV/0!</v>
      </c>
      <c r="AP36" s="63"/>
      <c r="AQ36" s="58" t="e">
        <f t="shared" si="25"/>
        <v>#DIV/0!</v>
      </c>
      <c r="AR36" s="63"/>
      <c r="AS36" s="58" t="e">
        <f t="shared" si="25"/>
        <v>#DIV/0!</v>
      </c>
      <c r="AT36" s="58" t="e">
        <f t="shared" si="25"/>
        <v>#DIV/0!</v>
      </c>
      <c r="AU36" s="58" t="e">
        <f t="shared" si="25"/>
        <v>#DIV/0!</v>
      </c>
      <c r="AV36" s="58" t="e">
        <f t="shared" si="25"/>
        <v>#DIV/0!</v>
      </c>
      <c r="AW36" s="58" t="e">
        <f t="shared" si="25"/>
        <v>#DIV/0!</v>
      </c>
      <c r="AX36" s="58" t="e">
        <f t="shared" si="25"/>
        <v>#DIV/0!</v>
      </c>
      <c r="AY36" s="58" t="e">
        <f t="shared" si="25"/>
        <v>#DIV/0!</v>
      </c>
      <c r="AZ36" s="63"/>
      <c r="BA36" s="58" t="e">
        <f t="shared" si="25"/>
        <v>#DIV/0!</v>
      </c>
      <c r="BB36" s="63"/>
      <c r="BC36" s="57" t="e">
        <f>(Links!C36*Links!AQ36+'On-Ramps'!AC36*'On-Ramps'!CE36)/('On-Ramps'!AC36+Links!C36)</f>
        <v>#DIV/0!</v>
      </c>
      <c r="BD36" s="63"/>
      <c r="BE36" s="57" t="e">
        <f>(Links!E36*Links!AS36+'On-Ramps'!AD36*'On-Ramps'!CF35)/('On-Ramps'!AD36+Links!E36)</f>
        <v>#DIV/0!</v>
      </c>
      <c r="BF36" s="57" t="e">
        <f>(Links!F36*Links!AT36+'On-Ramps'!AE36*'On-Ramps'!CG36)/('On-Ramps'!AE36+Links!F36)</f>
        <v>#DIV/0!</v>
      </c>
      <c r="BG36" s="57" t="e">
        <f>(Links!I36*Links!AW36+'On-Ramps'!AF36*'On-Ramps'!CH36)/('On-Ramps'!AF36+Links!I36)</f>
        <v>#DIV/0!</v>
      </c>
      <c r="BH36" s="57" t="e">
        <f>(#REF!*#REF!+'On-Ramps'!AG36*'On-Ramps'!CI36)/('On-Ramps'!AG36+#REF!)</f>
        <v>#REF!</v>
      </c>
      <c r="BI36" s="57" t="e">
        <f>(Links!L36*Links!AZ36+'On-Ramps'!AH36*'On-Ramps'!CJ36)/('On-Ramps'!AH36+Links!L36)</f>
        <v>#DIV/0!</v>
      </c>
      <c r="BJ36" s="57" t="e">
        <f>(Links!BA36*Links!M36+'On-Ramps'!AI36*'On-Ramps'!CK36)/('On-Ramps'!AI36+Links!M36)</f>
        <v>#DIV/0!</v>
      </c>
      <c r="BK36" s="57" t="e">
        <f>(Links!S36*Links!BG36+'On-Ramps'!AJ36*'On-Ramps'!CL36)/('On-Ramps'!AJ36+Links!S36)</f>
        <v>#DIV/0!</v>
      </c>
      <c r="BL36" s="63"/>
      <c r="BM36" s="57" t="e">
        <f>(Links!S36*Links!BG36+'On-Ramps'!AL36*'On-Ramps'!CM36)/(Links!S36+'On-Ramps'!AL36)</f>
        <v>#DIV/0!</v>
      </c>
      <c r="BN36" s="63"/>
      <c r="BO36" s="58" t="e">
        <f>(Links!W36^2+'Off-Ramp'!L36^2)/(Links!W36+'Off-Ramp'!L36)</f>
        <v>#DIV/0!</v>
      </c>
      <c r="BP36" s="63"/>
      <c r="BQ36" s="58" t="e">
        <f>(Links!Y36^2+'Off-Ramp'!C36^2)/(Links!Y36+'Off-Ramp'!C36)</f>
        <v>#DIV/0!</v>
      </c>
      <c r="BR36" s="63"/>
      <c r="BS36" s="58" t="e">
        <f>(Links!AA36^2+'Off-Ramp'!N36^2)/(Links!AA36+'Off-Ramp'!N36)</f>
        <v>#DIV/0!</v>
      </c>
      <c r="BT36" s="58" t="e">
        <f>(Links!AD36^2+'Off-Ramp'!O36^2)/(Links!AD36+'Off-Ramp'!O36)</f>
        <v>#DIV/0!</v>
      </c>
      <c r="BU36" s="58" t="e">
        <f>(Links!AE36^2+'Off-Ramp'!V36^2+'Off-Ramp'!W36^2+'Off-Ramp'!X36^2)/(Links!AE36+'Off-Ramp'!V36+'Off-Ramp'!W36+'Off-Ramp'!X36)</f>
        <v>#DIV/0!</v>
      </c>
      <c r="BV36" s="58" t="e">
        <f>(Links!AG36^2+'Off-Ramp'!Y36^2+'Off-Ramp'!Z36^2+'Off-Ramp'!AA36^2)/(Links!AG36+'Off-Ramp'!Y36+'Off-Ramp'!Z36+'Off-Ramp'!AA36)</f>
        <v>#DIV/0!</v>
      </c>
      <c r="BW36" s="58" t="e">
        <f>(Links!AH36^2+'Off-Ramp'!R36^2)/(Links!AH36+'Off-Ramp'!R36)</f>
        <v>#DIV/0!</v>
      </c>
      <c r="BX36" s="58" t="e">
        <f>(Links!AK36^2+'Off-Ramp'!S36^2)/(Links!AK36+'Off-Ramp'!S36)</f>
        <v>#DIV/0!</v>
      </c>
      <c r="BY36" s="58" t="e">
        <f>(Links!AL36^2+'Off-Ramp'!T36^2)/(Links!AL36+'Off-Ramp'!T36)</f>
        <v>#DIV/0!</v>
      </c>
      <c r="BZ36" s="63"/>
      <c r="CA36" s="58" t="e">
        <f>(Links!AN36^2+'Off-Ramp'!U36^2)/(Links!AN36+'Off-Ramp'!U36)</f>
        <v>#DIV/0!</v>
      </c>
    </row>
    <row r="37" spans="1:79" x14ac:dyDescent="0.15">
      <c r="A37" s="56">
        <v>35</v>
      </c>
      <c r="B37" s="57" t="e">
        <f t="shared" si="1"/>
        <v>#DIV/0!</v>
      </c>
      <c r="C37" s="57" t="e">
        <f t="shared" si="2"/>
        <v>#DIV/0!</v>
      </c>
      <c r="D37" s="57" t="e">
        <f t="shared" si="3"/>
        <v>#DIV/0!</v>
      </c>
      <c r="E37" s="57" t="e">
        <f t="shared" si="4"/>
        <v>#DIV/0!</v>
      </c>
      <c r="F37" s="57" t="e">
        <f t="shared" si="5"/>
        <v>#DIV/0!</v>
      </c>
      <c r="G37" s="57" t="e">
        <f t="shared" si="6"/>
        <v>#DIV/0!</v>
      </c>
      <c r="H37" s="57" t="e">
        <f t="shared" si="7"/>
        <v>#DIV/0!</v>
      </c>
      <c r="I37" s="57" t="e">
        <f t="shared" si="8"/>
        <v>#DIV/0!</v>
      </c>
      <c r="J37" s="57" t="e">
        <f t="shared" si="9"/>
        <v>#DIV/0!</v>
      </c>
      <c r="K37" s="57" t="e">
        <f t="shared" si="10"/>
        <v>#DIV/0!</v>
      </c>
      <c r="L37" s="57" t="e">
        <f t="shared" si="11"/>
        <v>#DIV/0!</v>
      </c>
      <c r="M37" s="57" t="e">
        <f t="shared" si="12"/>
        <v>#DIV/0!</v>
      </c>
      <c r="N37" s="57" t="e">
        <f t="shared" si="13"/>
        <v>#DIV/0!</v>
      </c>
      <c r="O37" s="58" t="e">
        <f>Links!B37</f>
        <v>#DIV/0!</v>
      </c>
      <c r="P37" s="58" t="e">
        <f>Links!C37+'On-Ramps'!AC37</f>
        <v>#DIV/0!</v>
      </c>
      <c r="Q37" s="58" t="e">
        <f>Links!D37</f>
        <v>#DIV/0!</v>
      </c>
      <c r="R37" s="58" t="e">
        <f>Links!E37+'On-Ramps'!AD37</f>
        <v>#DIV/0!</v>
      </c>
      <c r="S37" s="58" t="e">
        <f>Links!F37+'On-Ramps'!AE37</f>
        <v>#DIV/0!</v>
      </c>
      <c r="T37" s="58" t="e">
        <f>Links!I37+'On-Ramps'!AF37</f>
        <v>#DIV/0!</v>
      </c>
      <c r="U37" s="58" t="e">
        <f>Links!J37+'On-Ramps'!AG37</f>
        <v>#DIV/0!</v>
      </c>
      <c r="V37" s="58" t="e">
        <f>Links!L37+'On-Ramps'!AH37</f>
        <v>#DIV/0!</v>
      </c>
      <c r="W37" s="58" t="e">
        <f>Links!M37+'On-Ramps'!AI37</f>
        <v>#DIV/0!</v>
      </c>
      <c r="X37" s="58" t="e">
        <f>Links!P37+'On-Ramps'!AJ37</f>
        <v>#DIV/0!</v>
      </c>
      <c r="Y37" s="58" t="e">
        <f>Links!Q37</f>
        <v>#DIV/0!</v>
      </c>
      <c r="Z37" s="58" t="e">
        <f>Links!R37+'On-Ramps'!AK37</f>
        <v>#DIV/0!</v>
      </c>
      <c r="AA37" s="58" t="e">
        <f>Links!S37</f>
        <v>#DIV/0!</v>
      </c>
      <c r="AB37" s="57" t="e">
        <f t="shared" si="16"/>
        <v>#DIV/0!</v>
      </c>
      <c r="AC37" s="63"/>
      <c r="AD37" s="57" t="e">
        <f t="shared" si="17"/>
        <v>#DIV/0!</v>
      </c>
      <c r="AE37" s="63"/>
      <c r="AF37" s="57" t="e">
        <f t="shared" si="18"/>
        <v>#DIV/0!</v>
      </c>
      <c r="AG37" s="57" t="e">
        <f t="shared" si="19"/>
        <v>#DIV/0!</v>
      </c>
      <c r="AH37" s="57" t="e">
        <f t="shared" si="20"/>
        <v>#DIV/0!</v>
      </c>
      <c r="AI37" s="57" t="e">
        <f t="shared" si="21"/>
        <v>#DIV/0!</v>
      </c>
      <c r="AJ37" s="57" t="e">
        <f t="shared" si="22"/>
        <v>#DIV/0!</v>
      </c>
      <c r="AK37" s="57" t="e">
        <f t="shared" si="23"/>
        <v>#DIV/0!</v>
      </c>
      <c r="AL37" s="57" t="e">
        <f t="shared" si="24"/>
        <v>#DIV/0!</v>
      </c>
      <c r="AM37" s="63"/>
      <c r="AN37" s="57" t="e">
        <f t="shared" si="26"/>
        <v>#DIV/0!</v>
      </c>
      <c r="AO37" s="58" t="e">
        <f t="shared" ref="AO37:BA56" si="27">AO$3</f>
        <v>#DIV/0!</v>
      </c>
      <c r="AP37" s="63"/>
      <c r="AQ37" s="58" t="e">
        <f t="shared" si="27"/>
        <v>#DIV/0!</v>
      </c>
      <c r="AR37" s="63"/>
      <c r="AS37" s="58" t="e">
        <f t="shared" si="27"/>
        <v>#DIV/0!</v>
      </c>
      <c r="AT37" s="58" t="e">
        <f t="shared" si="27"/>
        <v>#DIV/0!</v>
      </c>
      <c r="AU37" s="58" t="e">
        <f t="shared" si="27"/>
        <v>#DIV/0!</v>
      </c>
      <c r="AV37" s="58" t="e">
        <f t="shared" si="27"/>
        <v>#DIV/0!</v>
      </c>
      <c r="AW37" s="58" t="e">
        <f t="shared" si="27"/>
        <v>#DIV/0!</v>
      </c>
      <c r="AX37" s="58" t="e">
        <f t="shared" si="27"/>
        <v>#DIV/0!</v>
      </c>
      <c r="AY37" s="58" t="e">
        <f t="shared" si="27"/>
        <v>#DIV/0!</v>
      </c>
      <c r="AZ37" s="63"/>
      <c r="BA37" s="58" t="e">
        <f t="shared" si="27"/>
        <v>#DIV/0!</v>
      </c>
      <c r="BB37" s="63"/>
      <c r="BC37" s="57" t="e">
        <f>(Links!C37*Links!AQ37+'On-Ramps'!AC37*'On-Ramps'!CE37)/('On-Ramps'!AC37+Links!C37)</f>
        <v>#DIV/0!</v>
      </c>
      <c r="BD37" s="63"/>
      <c r="BE37" s="57" t="e">
        <f>(Links!E37*Links!AS37+'On-Ramps'!AD37*'On-Ramps'!CF36)/('On-Ramps'!AD37+Links!E37)</f>
        <v>#DIV/0!</v>
      </c>
      <c r="BF37" s="57" t="e">
        <f>(Links!F37*Links!AT37+'On-Ramps'!AE37*'On-Ramps'!CG37)/('On-Ramps'!AE37+Links!F37)</f>
        <v>#DIV/0!</v>
      </c>
      <c r="BG37" s="57" t="e">
        <f>(Links!I37*Links!AW37+'On-Ramps'!AF37*'On-Ramps'!CH37)/('On-Ramps'!AF37+Links!I37)</f>
        <v>#DIV/0!</v>
      </c>
      <c r="BH37" s="57" t="e">
        <f>(#REF!*#REF!+'On-Ramps'!AG37*'On-Ramps'!CI37)/('On-Ramps'!AG37+#REF!)</f>
        <v>#REF!</v>
      </c>
      <c r="BI37" s="57" t="e">
        <f>(Links!L37*Links!AZ37+'On-Ramps'!AH37*'On-Ramps'!CJ37)/('On-Ramps'!AH37+Links!L37)</f>
        <v>#DIV/0!</v>
      </c>
      <c r="BJ37" s="57" t="e">
        <f>(Links!BA37*Links!M37+'On-Ramps'!AI37*'On-Ramps'!CK37)/('On-Ramps'!AI37+Links!M37)</f>
        <v>#DIV/0!</v>
      </c>
      <c r="BK37" s="57" t="e">
        <f>(Links!S37*Links!BG37+'On-Ramps'!AJ37*'On-Ramps'!CL37)/('On-Ramps'!AJ37+Links!S37)</f>
        <v>#DIV/0!</v>
      </c>
      <c r="BL37" s="63"/>
      <c r="BM37" s="57" t="e">
        <f>(Links!S37*Links!BG37+'On-Ramps'!AL37*'On-Ramps'!CM37)/(Links!S37+'On-Ramps'!AL37)</f>
        <v>#DIV/0!</v>
      </c>
      <c r="BN37" s="63"/>
      <c r="BO37" s="58" t="e">
        <f>(Links!W37^2+'Off-Ramp'!L37^2)/(Links!W37+'Off-Ramp'!L37)</f>
        <v>#DIV/0!</v>
      </c>
      <c r="BP37" s="63"/>
      <c r="BQ37" s="58" t="e">
        <f>(Links!Y37^2+'Off-Ramp'!C37^2)/(Links!Y37+'Off-Ramp'!C37)</f>
        <v>#DIV/0!</v>
      </c>
      <c r="BR37" s="63"/>
      <c r="BS37" s="58" t="e">
        <f>(Links!AA37^2+'Off-Ramp'!N37^2)/(Links!AA37+'Off-Ramp'!N37)</f>
        <v>#DIV/0!</v>
      </c>
      <c r="BT37" s="58" t="e">
        <f>(Links!AD37^2+'Off-Ramp'!O37^2)/(Links!AD37+'Off-Ramp'!O37)</f>
        <v>#DIV/0!</v>
      </c>
      <c r="BU37" s="58" t="e">
        <f>(Links!AE37^2+'Off-Ramp'!V37^2+'Off-Ramp'!W37^2+'Off-Ramp'!X37^2)/(Links!AE37+'Off-Ramp'!V37+'Off-Ramp'!W37+'Off-Ramp'!X37)</f>
        <v>#DIV/0!</v>
      </c>
      <c r="BV37" s="58" t="e">
        <f>(Links!AG37^2+'Off-Ramp'!Y37^2+'Off-Ramp'!Z37^2+'Off-Ramp'!AA37^2)/(Links!AG37+'Off-Ramp'!Y37+'Off-Ramp'!Z37+'Off-Ramp'!AA37)</f>
        <v>#DIV/0!</v>
      </c>
      <c r="BW37" s="58" t="e">
        <f>(Links!AH37^2+'Off-Ramp'!R37^2)/(Links!AH37+'Off-Ramp'!R37)</f>
        <v>#DIV/0!</v>
      </c>
      <c r="BX37" s="58" t="e">
        <f>(Links!AK37^2+'Off-Ramp'!S37^2)/(Links!AK37+'Off-Ramp'!S37)</f>
        <v>#DIV/0!</v>
      </c>
      <c r="BY37" s="58" t="e">
        <f>(Links!AL37^2+'Off-Ramp'!T37^2)/(Links!AL37+'Off-Ramp'!T37)</f>
        <v>#DIV/0!</v>
      </c>
      <c r="BZ37" s="63"/>
      <c r="CA37" s="58" t="e">
        <f>(Links!AN37^2+'Off-Ramp'!U37^2)/(Links!AN37+'Off-Ramp'!U37)</f>
        <v>#DIV/0!</v>
      </c>
    </row>
    <row r="38" spans="1:79" x14ac:dyDescent="0.15">
      <c r="A38" s="56">
        <v>36</v>
      </c>
      <c r="B38" s="57" t="e">
        <f t="shared" si="1"/>
        <v>#DIV/0!</v>
      </c>
      <c r="C38" s="57" t="e">
        <f t="shared" si="2"/>
        <v>#DIV/0!</v>
      </c>
      <c r="D38" s="57" t="e">
        <f t="shared" si="3"/>
        <v>#DIV/0!</v>
      </c>
      <c r="E38" s="57" t="e">
        <f t="shared" si="4"/>
        <v>#DIV/0!</v>
      </c>
      <c r="F38" s="57" t="e">
        <f t="shared" si="5"/>
        <v>#DIV/0!</v>
      </c>
      <c r="G38" s="57" t="e">
        <f t="shared" si="6"/>
        <v>#DIV/0!</v>
      </c>
      <c r="H38" s="57" t="e">
        <f t="shared" si="7"/>
        <v>#DIV/0!</v>
      </c>
      <c r="I38" s="57" t="e">
        <f t="shared" si="8"/>
        <v>#DIV/0!</v>
      </c>
      <c r="J38" s="57" t="e">
        <f t="shared" si="9"/>
        <v>#DIV/0!</v>
      </c>
      <c r="K38" s="57" t="e">
        <f t="shared" si="10"/>
        <v>#DIV/0!</v>
      </c>
      <c r="L38" s="57" t="e">
        <f t="shared" si="11"/>
        <v>#DIV/0!</v>
      </c>
      <c r="M38" s="57" t="e">
        <f t="shared" si="12"/>
        <v>#DIV/0!</v>
      </c>
      <c r="N38" s="57" t="e">
        <f t="shared" si="13"/>
        <v>#DIV/0!</v>
      </c>
      <c r="O38" s="58" t="e">
        <f>Links!B38</f>
        <v>#DIV/0!</v>
      </c>
      <c r="P38" s="58" t="e">
        <f>Links!C38+'On-Ramps'!AC38</f>
        <v>#DIV/0!</v>
      </c>
      <c r="Q38" s="58" t="e">
        <f>Links!D38</f>
        <v>#DIV/0!</v>
      </c>
      <c r="R38" s="58" t="e">
        <f>Links!E38+'On-Ramps'!AD38</f>
        <v>#DIV/0!</v>
      </c>
      <c r="S38" s="58" t="e">
        <f>Links!F38+'On-Ramps'!AE38</f>
        <v>#DIV/0!</v>
      </c>
      <c r="T38" s="58" t="e">
        <f>Links!I38+'On-Ramps'!AF38</f>
        <v>#DIV/0!</v>
      </c>
      <c r="U38" s="58" t="e">
        <f>Links!J38+'On-Ramps'!AG38</f>
        <v>#DIV/0!</v>
      </c>
      <c r="V38" s="58" t="e">
        <f>Links!L38+'On-Ramps'!AH38</f>
        <v>#DIV/0!</v>
      </c>
      <c r="W38" s="58" t="e">
        <f>Links!M38+'On-Ramps'!AI38</f>
        <v>#DIV/0!</v>
      </c>
      <c r="X38" s="58" t="e">
        <f>Links!P38+'On-Ramps'!AJ38</f>
        <v>#DIV/0!</v>
      </c>
      <c r="Y38" s="58" t="e">
        <f>Links!Q38</f>
        <v>#DIV/0!</v>
      </c>
      <c r="Z38" s="58" t="e">
        <f>Links!R38+'On-Ramps'!AK38</f>
        <v>#DIV/0!</v>
      </c>
      <c r="AA38" s="58" t="e">
        <f>Links!S38</f>
        <v>#DIV/0!</v>
      </c>
      <c r="AB38" s="57" t="e">
        <f t="shared" si="16"/>
        <v>#DIV/0!</v>
      </c>
      <c r="AC38" s="63"/>
      <c r="AD38" s="57" t="e">
        <f t="shared" si="17"/>
        <v>#DIV/0!</v>
      </c>
      <c r="AE38" s="63"/>
      <c r="AF38" s="57" t="e">
        <f t="shared" si="18"/>
        <v>#DIV/0!</v>
      </c>
      <c r="AG38" s="57" t="e">
        <f t="shared" si="19"/>
        <v>#DIV/0!</v>
      </c>
      <c r="AH38" s="57" t="e">
        <f t="shared" si="20"/>
        <v>#DIV/0!</v>
      </c>
      <c r="AI38" s="57" t="e">
        <f t="shared" si="21"/>
        <v>#DIV/0!</v>
      </c>
      <c r="AJ38" s="57" t="e">
        <f t="shared" si="22"/>
        <v>#DIV/0!</v>
      </c>
      <c r="AK38" s="57" t="e">
        <f t="shared" si="23"/>
        <v>#DIV/0!</v>
      </c>
      <c r="AL38" s="57" t="e">
        <f t="shared" si="24"/>
        <v>#DIV/0!</v>
      </c>
      <c r="AM38" s="63"/>
      <c r="AN38" s="57" t="e">
        <f t="shared" si="26"/>
        <v>#DIV/0!</v>
      </c>
      <c r="AO38" s="58" t="e">
        <f t="shared" si="27"/>
        <v>#DIV/0!</v>
      </c>
      <c r="AP38" s="63"/>
      <c r="AQ38" s="58" t="e">
        <f t="shared" si="27"/>
        <v>#DIV/0!</v>
      </c>
      <c r="AR38" s="63"/>
      <c r="AS38" s="58" t="e">
        <f t="shared" si="27"/>
        <v>#DIV/0!</v>
      </c>
      <c r="AT38" s="58" t="e">
        <f t="shared" si="27"/>
        <v>#DIV/0!</v>
      </c>
      <c r="AU38" s="58" t="e">
        <f t="shared" si="27"/>
        <v>#DIV/0!</v>
      </c>
      <c r="AV38" s="58" t="e">
        <f t="shared" si="27"/>
        <v>#DIV/0!</v>
      </c>
      <c r="AW38" s="58" t="e">
        <f t="shared" si="27"/>
        <v>#DIV/0!</v>
      </c>
      <c r="AX38" s="58" t="e">
        <f t="shared" si="27"/>
        <v>#DIV/0!</v>
      </c>
      <c r="AY38" s="58" t="e">
        <f t="shared" si="27"/>
        <v>#DIV/0!</v>
      </c>
      <c r="AZ38" s="63"/>
      <c r="BA38" s="58" t="e">
        <f t="shared" si="27"/>
        <v>#DIV/0!</v>
      </c>
      <c r="BB38" s="63"/>
      <c r="BC38" s="57" t="e">
        <f>(Links!C38*Links!AQ38+'On-Ramps'!AC38*'On-Ramps'!CE38)/('On-Ramps'!AC38+Links!C38)</f>
        <v>#DIV/0!</v>
      </c>
      <c r="BD38" s="63"/>
      <c r="BE38" s="57" t="e">
        <f>(Links!E38*Links!AS38+'On-Ramps'!AD38*'On-Ramps'!CF37)/('On-Ramps'!AD38+Links!E38)</f>
        <v>#DIV/0!</v>
      </c>
      <c r="BF38" s="57" t="e">
        <f>(Links!F38*Links!AT38+'On-Ramps'!AE38*'On-Ramps'!CG38)/('On-Ramps'!AE38+Links!F38)</f>
        <v>#DIV/0!</v>
      </c>
      <c r="BG38" s="57" t="e">
        <f>(Links!I38*Links!AW38+'On-Ramps'!AF38*'On-Ramps'!CH38)/('On-Ramps'!AF38+Links!I38)</f>
        <v>#DIV/0!</v>
      </c>
      <c r="BH38" s="57" t="e">
        <f>(#REF!*#REF!+'On-Ramps'!AG38*'On-Ramps'!CI38)/('On-Ramps'!AG38+#REF!)</f>
        <v>#REF!</v>
      </c>
      <c r="BI38" s="57" t="e">
        <f>(Links!L38*Links!AZ38+'On-Ramps'!AH38*'On-Ramps'!CJ38)/('On-Ramps'!AH38+Links!L38)</f>
        <v>#DIV/0!</v>
      </c>
      <c r="BJ38" s="57" t="e">
        <f>(Links!BA38*Links!M38+'On-Ramps'!AI38*'On-Ramps'!CK38)/('On-Ramps'!AI38+Links!M38)</f>
        <v>#DIV/0!</v>
      </c>
      <c r="BK38" s="57" t="e">
        <f>(Links!S38*Links!BG38+'On-Ramps'!AJ38*'On-Ramps'!CL38)/('On-Ramps'!AJ38+Links!S38)</f>
        <v>#DIV/0!</v>
      </c>
      <c r="BL38" s="63"/>
      <c r="BM38" s="57" t="e">
        <f>(Links!S38*Links!BG38+'On-Ramps'!AL38*'On-Ramps'!CM38)/(Links!S38+'On-Ramps'!AL38)</f>
        <v>#DIV/0!</v>
      </c>
      <c r="BN38" s="63"/>
      <c r="BO38" s="58" t="e">
        <f>(Links!W38^2+'Off-Ramp'!L38^2)/(Links!W38+'Off-Ramp'!L38)</f>
        <v>#DIV/0!</v>
      </c>
      <c r="BP38" s="63"/>
      <c r="BQ38" s="58" t="e">
        <f>(Links!Y38^2+'Off-Ramp'!C38^2)/(Links!Y38+'Off-Ramp'!C38)</f>
        <v>#DIV/0!</v>
      </c>
      <c r="BR38" s="63"/>
      <c r="BS38" s="58" t="e">
        <f>(Links!AA38^2+'Off-Ramp'!N38^2)/(Links!AA38+'Off-Ramp'!N38)</f>
        <v>#DIV/0!</v>
      </c>
      <c r="BT38" s="58" t="e">
        <f>(Links!AD38^2+'Off-Ramp'!O38^2)/(Links!AD38+'Off-Ramp'!O38)</f>
        <v>#DIV/0!</v>
      </c>
      <c r="BU38" s="58" t="e">
        <f>(Links!AE38^2+'Off-Ramp'!V38^2+'Off-Ramp'!W38^2+'Off-Ramp'!X38^2)/(Links!AE38+'Off-Ramp'!V38+'Off-Ramp'!W38+'Off-Ramp'!X38)</f>
        <v>#DIV/0!</v>
      </c>
      <c r="BV38" s="58" t="e">
        <f>(Links!AG38^2+'Off-Ramp'!Y38^2+'Off-Ramp'!Z38^2+'Off-Ramp'!AA38^2)/(Links!AG38+'Off-Ramp'!Y38+'Off-Ramp'!Z38+'Off-Ramp'!AA38)</f>
        <v>#DIV/0!</v>
      </c>
      <c r="BW38" s="58" t="e">
        <f>(Links!AH38^2+'Off-Ramp'!R38^2)/(Links!AH38+'Off-Ramp'!R38)</f>
        <v>#DIV/0!</v>
      </c>
      <c r="BX38" s="58" t="e">
        <f>(Links!AK38^2+'Off-Ramp'!S38^2)/(Links!AK38+'Off-Ramp'!S38)</f>
        <v>#DIV/0!</v>
      </c>
      <c r="BY38" s="58" t="e">
        <f>(Links!AL38^2+'Off-Ramp'!T38^2)/(Links!AL38+'Off-Ramp'!T38)</f>
        <v>#DIV/0!</v>
      </c>
      <c r="BZ38" s="63"/>
      <c r="CA38" s="58" t="e">
        <f>(Links!AN38^2+'Off-Ramp'!U38^2)/(Links!AN38+'Off-Ramp'!U38)</f>
        <v>#DIV/0!</v>
      </c>
    </row>
    <row r="39" spans="1:79" x14ac:dyDescent="0.15">
      <c r="A39" s="56">
        <v>37</v>
      </c>
      <c r="B39" s="57" t="e">
        <f t="shared" si="1"/>
        <v>#DIV/0!</v>
      </c>
      <c r="C39" s="57" t="e">
        <f t="shared" si="2"/>
        <v>#DIV/0!</v>
      </c>
      <c r="D39" s="57" t="e">
        <f t="shared" si="3"/>
        <v>#DIV/0!</v>
      </c>
      <c r="E39" s="57" t="e">
        <f t="shared" si="4"/>
        <v>#DIV/0!</v>
      </c>
      <c r="F39" s="57" t="e">
        <f t="shared" si="5"/>
        <v>#DIV/0!</v>
      </c>
      <c r="G39" s="57" t="e">
        <f t="shared" si="6"/>
        <v>#DIV/0!</v>
      </c>
      <c r="H39" s="57" t="e">
        <f t="shared" si="7"/>
        <v>#DIV/0!</v>
      </c>
      <c r="I39" s="57" t="e">
        <f t="shared" si="8"/>
        <v>#DIV/0!</v>
      </c>
      <c r="J39" s="57" t="e">
        <f t="shared" si="9"/>
        <v>#DIV/0!</v>
      </c>
      <c r="K39" s="57" t="e">
        <f t="shared" si="10"/>
        <v>#DIV/0!</v>
      </c>
      <c r="L39" s="57" t="e">
        <f t="shared" si="11"/>
        <v>#DIV/0!</v>
      </c>
      <c r="M39" s="57" t="e">
        <f t="shared" si="12"/>
        <v>#DIV/0!</v>
      </c>
      <c r="N39" s="57" t="e">
        <f t="shared" si="13"/>
        <v>#DIV/0!</v>
      </c>
      <c r="O39" s="58" t="e">
        <f>Links!B39</f>
        <v>#DIV/0!</v>
      </c>
      <c r="P39" s="58" t="e">
        <f>Links!C39+'On-Ramps'!AC39</f>
        <v>#DIV/0!</v>
      </c>
      <c r="Q39" s="58" t="e">
        <f>Links!D39</f>
        <v>#DIV/0!</v>
      </c>
      <c r="R39" s="58" t="e">
        <f>Links!E39+'On-Ramps'!AD39</f>
        <v>#DIV/0!</v>
      </c>
      <c r="S39" s="58" t="e">
        <f>Links!F39+'On-Ramps'!AE39</f>
        <v>#DIV/0!</v>
      </c>
      <c r="T39" s="58" t="e">
        <f>Links!I39+'On-Ramps'!AF39</f>
        <v>#DIV/0!</v>
      </c>
      <c r="U39" s="58" t="e">
        <f>Links!J39+'On-Ramps'!AG39</f>
        <v>#DIV/0!</v>
      </c>
      <c r="V39" s="58" t="e">
        <f>Links!L39+'On-Ramps'!AH39</f>
        <v>#DIV/0!</v>
      </c>
      <c r="W39" s="58" t="e">
        <f>Links!M39+'On-Ramps'!AI39</f>
        <v>#DIV/0!</v>
      </c>
      <c r="X39" s="58" t="e">
        <f>Links!P39+'On-Ramps'!AJ39</f>
        <v>#DIV/0!</v>
      </c>
      <c r="Y39" s="58" t="e">
        <f>Links!Q39</f>
        <v>#DIV/0!</v>
      </c>
      <c r="Z39" s="58" t="e">
        <f>Links!R39+'On-Ramps'!AK39</f>
        <v>#DIV/0!</v>
      </c>
      <c r="AA39" s="58" t="e">
        <f>Links!S39</f>
        <v>#DIV/0!</v>
      </c>
      <c r="AB39" s="57" t="e">
        <f t="shared" si="16"/>
        <v>#DIV/0!</v>
      </c>
      <c r="AC39" s="63"/>
      <c r="AD39" s="57" t="e">
        <f t="shared" si="17"/>
        <v>#DIV/0!</v>
      </c>
      <c r="AE39" s="63"/>
      <c r="AF39" s="57" t="e">
        <f t="shared" si="18"/>
        <v>#DIV/0!</v>
      </c>
      <c r="AG39" s="57" t="e">
        <f t="shared" si="19"/>
        <v>#DIV/0!</v>
      </c>
      <c r="AH39" s="57" t="e">
        <f t="shared" si="20"/>
        <v>#DIV/0!</v>
      </c>
      <c r="AI39" s="57" t="e">
        <f t="shared" si="21"/>
        <v>#DIV/0!</v>
      </c>
      <c r="AJ39" s="57" t="e">
        <f t="shared" si="22"/>
        <v>#DIV/0!</v>
      </c>
      <c r="AK39" s="57" t="e">
        <f t="shared" si="23"/>
        <v>#DIV/0!</v>
      </c>
      <c r="AL39" s="57" t="e">
        <f t="shared" si="24"/>
        <v>#DIV/0!</v>
      </c>
      <c r="AM39" s="63"/>
      <c r="AN39" s="57" t="e">
        <f t="shared" si="26"/>
        <v>#DIV/0!</v>
      </c>
      <c r="AO39" s="58" t="e">
        <f t="shared" si="27"/>
        <v>#DIV/0!</v>
      </c>
      <c r="AP39" s="63"/>
      <c r="AQ39" s="58" t="e">
        <f t="shared" si="27"/>
        <v>#DIV/0!</v>
      </c>
      <c r="AR39" s="63"/>
      <c r="AS39" s="58" t="e">
        <f t="shared" si="27"/>
        <v>#DIV/0!</v>
      </c>
      <c r="AT39" s="58" t="e">
        <f t="shared" si="27"/>
        <v>#DIV/0!</v>
      </c>
      <c r="AU39" s="58" t="e">
        <f t="shared" si="27"/>
        <v>#DIV/0!</v>
      </c>
      <c r="AV39" s="58" t="e">
        <f t="shared" si="27"/>
        <v>#DIV/0!</v>
      </c>
      <c r="AW39" s="58" t="e">
        <f t="shared" si="27"/>
        <v>#DIV/0!</v>
      </c>
      <c r="AX39" s="58" t="e">
        <f t="shared" si="27"/>
        <v>#DIV/0!</v>
      </c>
      <c r="AY39" s="58" t="e">
        <f t="shared" si="27"/>
        <v>#DIV/0!</v>
      </c>
      <c r="AZ39" s="63"/>
      <c r="BA39" s="58" t="e">
        <f t="shared" si="27"/>
        <v>#DIV/0!</v>
      </c>
      <c r="BB39" s="63"/>
      <c r="BC39" s="57" t="e">
        <f>(Links!C39*Links!AQ39+'On-Ramps'!AC39*'On-Ramps'!CE39)/('On-Ramps'!AC39+Links!C39)</f>
        <v>#DIV/0!</v>
      </c>
      <c r="BD39" s="63"/>
      <c r="BE39" s="57" t="e">
        <f>(Links!E39*Links!AS39+'On-Ramps'!AD39*'On-Ramps'!CF38)/('On-Ramps'!AD39+Links!E39)</f>
        <v>#DIV/0!</v>
      </c>
      <c r="BF39" s="57" t="e">
        <f>(Links!F39*Links!AT39+'On-Ramps'!AE39*'On-Ramps'!CG39)/('On-Ramps'!AE39+Links!F39)</f>
        <v>#DIV/0!</v>
      </c>
      <c r="BG39" s="57" t="e">
        <f>(Links!I39*Links!AW39+'On-Ramps'!AF39*'On-Ramps'!CH39)/('On-Ramps'!AF39+Links!I39)</f>
        <v>#DIV/0!</v>
      </c>
      <c r="BH39" s="57" t="e">
        <f>(#REF!*#REF!+'On-Ramps'!AG39*'On-Ramps'!CI39)/('On-Ramps'!AG39+#REF!)</f>
        <v>#REF!</v>
      </c>
      <c r="BI39" s="57" t="e">
        <f>(Links!L39*Links!AZ39+'On-Ramps'!AH39*'On-Ramps'!CJ39)/('On-Ramps'!AH39+Links!L39)</f>
        <v>#DIV/0!</v>
      </c>
      <c r="BJ39" s="57" t="e">
        <f>(Links!BA39*Links!M39+'On-Ramps'!AI39*'On-Ramps'!CK39)/('On-Ramps'!AI39+Links!M39)</f>
        <v>#DIV/0!</v>
      </c>
      <c r="BK39" s="57" t="e">
        <f>(Links!S39*Links!BG39+'On-Ramps'!AJ39*'On-Ramps'!CL39)/('On-Ramps'!AJ39+Links!S39)</f>
        <v>#DIV/0!</v>
      </c>
      <c r="BL39" s="63"/>
      <c r="BM39" s="57" t="e">
        <f>(Links!S39*Links!BG39+'On-Ramps'!AL39*'On-Ramps'!CM39)/(Links!S39+'On-Ramps'!AL39)</f>
        <v>#DIV/0!</v>
      </c>
      <c r="BN39" s="63"/>
      <c r="BO39" s="58" t="e">
        <f>(Links!W39^2+'Off-Ramp'!L39^2)/(Links!W39+'Off-Ramp'!L39)</f>
        <v>#DIV/0!</v>
      </c>
      <c r="BP39" s="63"/>
      <c r="BQ39" s="58" t="e">
        <f>(Links!Y39^2+'Off-Ramp'!C39^2)/(Links!Y39+'Off-Ramp'!C39)</f>
        <v>#DIV/0!</v>
      </c>
      <c r="BR39" s="63"/>
      <c r="BS39" s="58" t="e">
        <f>(Links!AA39^2+'Off-Ramp'!N39^2)/(Links!AA39+'Off-Ramp'!N39)</f>
        <v>#DIV/0!</v>
      </c>
      <c r="BT39" s="58" t="e">
        <f>(Links!AD39^2+'Off-Ramp'!O39^2)/(Links!AD39+'Off-Ramp'!O39)</f>
        <v>#DIV/0!</v>
      </c>
      <c r="BU39" s="58" t="e">
        <f>(Links!AE39^2+'Off-Ramp'!V39^2+'Off-Ramp'!W39^2+'Off-Ramp'!X39^2)/(Links!AE39+'Off-Ramp'!V39+'Off-Ramp'!W39+'Off-Ramp'!X39)</f>
        <v>#DIV/0!</v>
      </c>
      <c r="BV39" s="58" t="e">
        <f>(Links!AG39^2+'Off-Ramp'!Y39^2+'Off-Ramp'!Z39^2+'Off-Ramp'!AA39^2)/(Links!AG39+'Off-Ramp'!Y39+'Off-Ramp'!Z39+'Off-Ramp'!AA39)</f>
        <v>#DIV/0!</v>
      </c>
      <c r="BW39" s="58" t="e">
        <f>(Links!AH39^2+'Off-Ramp'!R39^2)/(Links!AH39+'Off-Ramp'!R39)</f>
        <v>#DIV/0!</v>
      </c>
      <c r="BX39" s="58" t="e">
        <f>(Links!AK39^2+'Off-Ramp'!S39^2)/(Links!AK39+'Off-Ramp'!S39)</f>
        <v>#DIV/0!</v>
      </c>
      <c r="BY39" s="58" t="e">
        <f>(Links!AL39^2+'Off-Ramp'!T39^2)/(Links!AL39+'Off-Ramp'!T39)</f>
        <v>#DIV/0!</v>
      </c>
      <c r="BZ39" s="63"/>
      <c r="CA39" s="58" t="e">
        <f>(Links!AN39^2+'Off-Ramp'!U39^2)/(Links!AN39+'Off-Ramp'!U39)</f>
        <v>#DIV/0!</v>
      </c>
    </row>
    <row r="40" spans="1:79" x14ac:dyDescent="0.15">
      <c r="A40" s="56">
        <v>38</v>
      </c>
      <c r="B40" s="57" t="e">
        <f t="shared" si="1"/>
        <v>#DIV/0!</v>
      </c>
      <c r="C40" s="57" t="e">
        <f t="shared" si="2"/>
        <v>#DIV/0!</v>
      </c>
      <c r="D40" s="57" t="e">
        <f t="shared" si="3"/>
        <v>#DIV/0!</v>
      </c>
      <c r="E40" s="57" t="e">
        <f t="shared" si="4"/>
        <v>#DIV/0!</v>
      </c>
      <c r="F40" s="57" t="e">
        <f t="shared" si="5"/>
        <v>#DIV/0!</v>
      </c>
      <c r="G40" s="57" t="e">
        <f t="shared" si="6"/>
        <v>#DIV/0!</v>
      </c>
      <c r="H40" s="57" t="e">
        <f t="shared" si="7"/>
        <v>#DIV/0!</v>
      </c>
      <c r="I40" s="57" t="e">
        <f t="shared" si="8"/>
        <v>#DIV/0!</v>
      </c>
      <c r="J40" s="57" t="e">
        <f t="shared" si="9"/>
        <v>#DIV/0!</v>
      </c>
      <c r="K40" s="57" t="e">
        <f t="shared" si="10"/>
        <v>#DIV/0!</v>
      </c>
      <c r="L40" s="57" t="e">
        <f t="shared" si="11"/>
        <v>#DIV/0!</v>
      </c>
      <c r="M40" s="57" t="e">
        <f t="shared" si="12"/>
        <v>#DIV/0!</v>
      </c>
      <c r="N40" s="57" t="e">
        <f t="shared" si="13"/>
        <v>#DIV/0!</v>
      </c>
      <c r="O40" s="58" t="e">
        <f>Links!B40</f>
        <v>#DIV/0!</v>
      </c>
      <c r="P40" s="58" t="e">
        <f>Links!C40+'On-Ramps'!AC40</f>
        <v>#DIV/0!</v>
      </c>
      <c r="Q40" s="58" t="e">
        <f>Links!D40</f>
        <v>#DIV/0!</v>
      </c>
      <c r="R40" s="58" t="e">
        <f>Links!E40+'On-Ramps'!AD40</f>
        <v>#DIV/0!</v>
      </c>
      <c r="S40" s="58" t="e">
        <f>Links!F40+'On-Ramps'!AE40</f>
        <v>#DIV/0!</v>
      </c>
      <c r="T40" s="58" t="e">
        <f>Links!I40+'On-Ramps'!AF40</f>
        <v>#DIV/0!</v>
      </c>
      <c r="U40" s="58" t="e">
        <f>Links!J40+'On-Ramps'!AG40</f>
        <v>#DIV/0!</v>
      </c>
      <c r="V40" s="58" t="e">
        <f>Links!L40+'On-Ramps'!AH40</f>
        <v>#DIV/0!</v>
      </c>
      <c r="W40" s="58" t="e">
        <f>Links!M40+'On-Ramps'!AI40</f>
        <v>#DIV/0!</v>
      </c>
      <c r="X40" s="58" t="e">
        <f>Links!P40+'On-Ramps'!AJ40</f>
        <v>#DIV/0!</v>
      </c>
      <c r="Y40" s="58" t="e">
        <f>Links!Q40</f>
        <v>#DIV/0!</v>
      </c>
      <c r="Z40" s="58" t="e">
        <f>Links!R40+'On-Ramps'!AK40</f>
        <v>#DIV/0!</v>
      </c>
      <c r="AA40" s="58" t="e">
        <f>Links!S40</f>
        <v>#DIV/0!</v>
      </c>
      <c r="AB40" s="57" t="e">
        <f t="shared" si="16"/>
        <v>#DIV/0!</v>
      </c>
      <c r="AC40" s="63"/>
      <c r="AD40" s="57" t="e">
        <f t="shared" si="17"/>
        <v>#DIV/0!</v>
      </c>
      <c r="AE40" s="63"/>
      <c r="AF40" s="57" t="e">
        <f t="shared" si="18"/>
        <v>#DIV/0!</v>
      </c>
      <c r="AG40" s="57" t="e">
        <f t="shared" si="19"/>
        <v>#DIV/0!</v>
      </c>
      <c r="AH40" s="57" t="e">
        <f t="shared" si="20"/>
        <v>#DIV/0!</v>
      </c>
      <c r="AI40" s="57" t="e">
        <f t="shared" si="21"/>
        <v>#DIV/0!</v>
      </c>
      <c r="AJ40" s="57" t="e">
        <f t="shared" si="22"/>
        <v>#DIV/0!</v>
      </c>
      <c r="AK40" s="57" t="e">
        <f t="shared" si="23"/>
        <v>#DIV/0!</v>
      </c>
      <c r="AL40" s="57" t="e">
        <f t="shared" si="24"/>
        <v>#DIV/0!</v>
      </c>
      <c r="AM40" s="63"/>
      <c r="AN40" s="57" t="e">
        <f t="shared" si="26"/>
        <v>#DIV/0!</v>
      </c>
      <c r="AO40" s="58" t="e">
        <f t="shared" si="27"/>
        <v>#DIV/0!</v>
      </c>
      <c r="AP40" s="63"/>
      <c r="AQ40" s="58" t="e">
        <f t="shared" si="27"/>
        <v>#DIV/0!</v>
      </c>
      <c r="AR40" s="63"/>
      <c r="AS40" s="58" t="e">
        <f t="shared" si="27"/>
        <v>#DIV/0!</v>
      </c>
      <c r="AT40" s="58" t="e">
        <f t="shared" si="27"/>
        <v>#DIV/0!</v>
      </c>
      <c r="AU40" s="58" t="e">
        <f t="shared" si="27"/>
        <v>#DIV/0!</v>
      </c>
      <c r="AV40" s="58" t="e">
        <f t="shared" si="27"/>
        <v>#DIV/0!</v>
      </c>
      <c r="AW40" s="58" t="e">
        <f t="shared" si="27"/>
        <v>#DIV/0!</v>
      </c>
      <c r="AX40" s="58" t="e">
        <f t="shared" si="27"/>
        <v>#DIV/0!</v>
      </c>
      <c r="AY40" s="58" t="e">
        <f t="shared" si="27"/>
        <v>#DIV/0!</v>
      </c>
      <c r="AZ40" s="63"/>
      <c r="BA40" s="58" t="e">
        <f t="shared" si="27"/>
        <v>#DIV/0!</v>
      </c>
      <c r="BB40" s="63"/>
      <c r="BC40" s="57" t="e">
        <f>(Links!C40*Links!AQ40+'On-Ramps'!AC40*'On-Ramps'!CE40)/('On-Ramps'!AC40+Links!C40)</f>
        <v>#DIV/0!</v>
      </c>
      <c r="BD40" s="63"/>
      <c r="BE40" s="57" t="e">
        <f>(Links!E40*Links!AS40+'On-Ramps'!AD40*'On-Ramps'!CF39)/('On-Ramps'!AD40+Links!E40)</f>
        <v>#DIV/0!</v>
      </c>
      <c r="BF40" s="57" t="e">
        <f>(Links!F40*Links!AT40+'On-Ramps'!AE40*'On-Ramps'!CG40)/('On-Ramps'!AE40+Links!F40)</f>
        <v>#DIV/0!</v>
      </c>
      <c r="BG40" s="57" t="e">
        <f>(Links!I40*Links!AW40+'On-Ramps'!AF40*'On-Ramps'!CH40)/('On-Ramps'!AF40+Links!I40)</f>
        <v>#DIV/0!</v>
      </c>
      <c r="BH40" s="57" t="e">
        <f>(#REF!*#REF!+'On-Ramps'!AG40*'On-Ramps'!CI40)/('On-Ramps'!AG40+#REF!)</f>
        <v>#REF!</v>
      </c>
      <c r="BI40" s="57" t="e">
        <f>(Links!L40*Links!AZ40+'On-Ramps'!AH40*'On-Ramps'!CJ40)/('On-Ramps'!AH40+Links!L40)</f>
        <v>#DIV/0!</v>
      </c>
      <c r="BJ40" s="57" t="e">
        <f>(Links!BA40*Links!M40+'On-Ramps'!AI40*'On-Ramps'!CK40)/('On-Ramps'!AI40+Links!M40)</f>
        <v>#DIV/0!</v>
      </c>
      <c r="BK40" s="57" t="e">
        <f>(Links!S40*Links!BG40+'On-Ramps'!AJ40*'On-Ramps'!CL40)/('On-Ramps'!AJ40+Links!S40)</f>
        <v>#DIV/0!</v>
      </c>
      <c r="BL40" s="63"/>
      <c r="BM40" s="57" t="e">
        <f>(Links!S40*Links!BG40+'On-Ramps'!AL40*'On-Ramps'!CM40)/(Links!S40+'On-Ramps'!AL40)</f>
        <v>#DIV/0!</v>
      </c>
      <c r="BN40" s="63"/>
      <c r="BO40" s="58" t="e">
        <f>(Links!W40^2+'Off-Ramp'!L40^2)/(Links!W40+'Off-Ramp'!L40)</f>
        <v>#DIV/0!</v>
      </c>
      <c r="BP40" s="63"/>
      <c r="BQ40" s="58" t="e">
        <f>(Links!Y40^2+'Off-Ramp'!C40^2)/(Links!Y40+'Off-Ramp'!C40)</f>
        <v>#DIV/0!</v>
      </c>
      <c r="BR40" s="63"/>
      <c r="BS40" s="58" t="e">
        <f>(Links!AA40^2+'Off-Ramp'!N40^2)/(Links!AA40+'Off-Ramp'!N40)</f>
        <v>#DIV/0!</v>
      </c>
      <c r="BT40" s="58" t="e">
        <f>(Links!AD40^2+'Off-Ramp'!O40^2)/(Links!AD40+'Off-Ramp'!O40)</f>
        <v>#DIV/0!</v>
      </c>
      <c r="BU40" s="58" t="e">
        <f>(Links!AE40^2+'Off-Ramp'!V40^2+'Off-Ramp'!W40^2+'Off-Ramp'!X40^2)/(Links!AE40+'Off-Ramp'!V40+'Off-Ramp'!W40+'Off-Ramp'!X40)</f>
        <v>#DIV/0!</v>
      </c>
      <c r="BV40" s="58" t="e">
        <f>(Links!AG40^2+'Off-Ramp'!Y40^2+'Off-Ramp'!Z40^2+'Off-Ramp'!AA40^2)/(Links!AG40+'Off-Ramp'!Y40+'Off-Ramp'!Z40+'Off-Ramp'!AA40)</f>
        <v>#DIV/0!</v>
      </c>
      <c r="BW40" s="58" t="e">
        <f>(Links!AH40^2+'Off-Ramp'!R40^2)/(Links!AH40+'Off-Ramp'!R40)</f>
        <v>#DIV/0!</v>
      </c>
      <c r="BX40" s="58" t="e">
        <f>(Links!AK40^2+'Off-Ramp'!S40^2)/(Links!AK40+'Off-Ramp'!S40)</f>
        <v>#DIV/0!</v>
      </c>
      <c r="BY40" s="58" t="e">
        <f>(Links!AL40^2+'Off-Ramp'!T40^2)/(Links!AL40+'Off-Ramp'!T40)</f>
        <v>#DIV/0!</v>
      </c>
      <c r="BZ40" s="63"/>
      <c r="CA40" s="58" t="e">
        <f>(Links!AN40^2+'Off-Ramp'!U40^2)/(Links!AN40+'Off-Ramp'!U40)</f>
        <v>#DIV/0!</v>
      </c>
    </row>
    <row r="41" spans="1:79" x14ac:dyDescent="0.15">
      <c r="A41" s="56">
        <v>39</v>
      </c>
      <c r="B41" s="57" t="e">
        <f t="shared" si="1"/>
        <v>#DIV/0!</v>
      </c>
      <c r="C41" s="57" t="e">
        <f t="shared" si="2"/>
        <v>#DIV/0!</v>
      </c>
      <c r="D41" s="57" t="e">
        <f t="shared" si="3"/>
        <v>#DIV/0!</v>
      </c>
      <c r="E41" s="57" t="e">
        <f t="shared" si="4"/>
        <v>#DIV/0!</v>
      </c>
      <c r="F41" s="57" t="e">
        <f t="shared" si="5"/>
        <v>#DIV/0!</v>
      </c>
      <c r="G41" s="57" t="e">
        <f t="shared" si="6"/>
        <v>#DIV/0!</v>
      </c>
      <c r="H41" s="57" t="e">
        <f t="shared" si="7"/>
        <v>#DIV/0!</v>
      </c>
      <c r="I41" s="57" t="e">
        <f t="shared" si="8"/>
        <v>#DIV/0!</v>
      </c>
      <c r="J41" s="57" t="e">
        <f t="shared" si="9"/>
        <v>#DIV/0!</v>
      </c>
      <c r="K41" s="57" t="e">
        <f t="shared" si="10"/>
        <v>#DIV/0!</v>
      </c>
      <c r="L41" s="57" t="e">
        <f t="shared" si="11"/>
        <v>#DIV/0!</v>
      </c>
      <c r="M41" s="57" t="e">
        <f t="shared" si="12"/>
        <v>#DIV/0!</v>
      </c>
      <c r="N41" s="57" t="e">
        <f t="shared" si="13"/>
        <v>#DIV/0!</v>
      </c>
      <c r="O41" s="58" t="e">
        <f>Links!B41</f>
        <v>#DIV/0!</v>
      </c>
      <c r="P41" s="58" t="e">
        <f>Links!C41+'On-Ramps'!AC41</f>
        <v>#DIV/0!</v>
      </c>
      <c r="Q41" s="58" t="e">
        <f>Links!D41</f>
        <v>#DIV/0!</v>
      </c>
      <c r="R41" s="58" t="e">
        <f>Links!E41+'On-Ramps'!AD41</f>
        <v>#DIV/0!</v>
      </c>
      <c r="S41" s="58" t="e">
        <f>Links!F41+'On-Ramps'!AE41</f>
        <v>#DIV/0!</v>
      </c>
      <c r="T41" s="58" t="e">
        <f>Links!I41+'On-Ramps'!AF41</f>
        <v>#DIV/0!</v>
      </c>
      <c r="U41" s="58" t="e">
        <f>Links!J41+'On-Ramps'!AG41</f>
        <v>#DIV/0!</v>
      </c>
      <c r="V41" s="58" t="e">
        <f>Links!L41+'On-Ramps'!AH41</f>
        <v>#DIV/0!</v>
      </c>
      <c r="W41" s="58" t="e">
        <f>Links!M41+'On-Ramps'!AI41</f>
        <v>#DIV/0!</v>
      </c>
      <c r="X41" s="58" t="e">
        <f>Links!P41+'On-Ramps'!AJ41</f>
        <v>#DIV/0!</v>
      </c>
      <c r="Y41" s="58" t="e">
        <f>Links!Q41</f>
        <v>#DIV/0!</v>
      </c>
      <c r="Z41" s="58" t="e">
        <f>Links!R41+'On-Ramps'!AK41</f>
        <v>#DIV/0!</v>
      </c>
      <c r="AA41" s="58" t="e">
        <f>Links!S41</f>
        <v>#DIV/0!</v>
      </c>
      <c r="AB41" s="57" t="e">
        <f t="shared" si="16"/>
        <v>#DIV/0!</v>
      </c>
      <c r="AC41" s="63"/>
      <c r="AD41" s="57" t="e">
        <f t="shared" si="17"/>
        <v>#DIV/0!</v>
      </c>
      <c r="AE41" s="63"/>
      <c r="AF41" s="57" t="e">
        <f t="shared" si="18"/>
        <v>#DIV/0!</v>
      </c>
      <c r="AG41" s="57" t="e">
        <f t="shared" si="19"/>
        <v>#DIV/0!</v>
      </c>
      <c r="AH41" s="57" t="e">
        <f t="shared" si="20"/>
        <v>#DIV/0!</v>
      </c>
      <c r="AI41" s="57" t="e">
        <f t="shared" si="21"/>
        <v>#DIV/0!</v>
      </c>
      <c r="AJ41" s="57" t="e">
        <f t="shared" si="22"/>
        <v>#DIV/0!</v>
      </c>
      <c r="AK41" s="57" t="e">
        <f t="shared" si="23"/>
        <v>#DIV/0!</v>
      </c>
      <c r="AL41" s="57" t="e">
        <f t="shared" si="24"/>
        <v>#DIV/0!</v>
      </c>
      <c r="AM41" s="63"/>
      <c r="AN41" s="57" t="e">
        <f t="shared" si="26"/>
        <v>#DIV/0!</v>
      </c>
      <c r="AO41" s="58" t="e">
        <f t="shared" si="27"/>
        <v>#DIV/0!</v>
      </c>
      <c r="AP41" s="63"/>
      <c r="AQ41" s="58" t="e">
        <f t="shared" si="27"/>
        <v>#DIV/0!</v>
      </c>
      <c r="AR41" s="63"/>
      <c r="AS41" s="58" t="e">
        <f t="shared" si="27"/>
        <v>#DIV/0!</v>
      </c>
      <c r="AT41" s="58" t="e">
        <f t="shared" si="27"/>
        <v>#DIV/0!</v>
      </c>
      <c r="AU41" s="58" t="e">
        <f t="shared" si="27"/>
        <v>#DIV/0!</v>
      </c>
      <c r="AV41" s="58" t="e">
        <f t="shared" si="27"/>
        <v>#DIV/0!</v>
      </c>
      <c r="AW41" s="58" t="e">
        <f t="shared" si="27"/>
        <v>#DIV/0!</v>
      </c>
      <c r="AX41" s="58" t="e">
        <f t="shared" si="27"/>
        <v>#DIV/0!</v>
      </c>
      <c r="AY41" s="58" t="e">
        <f t="shared" si="27"/>
        <v>#DIV/0!</v>
      </c>
      <c r="AZ41" s="63"/>
      <c r="BA41" s="58" t="e">
        <f t="shared" si="27"/>
        <v>#DIV/0!</v>
      </c>
      <c r="BB41" s="63"/>
      <c r="BC41" s="57" t="e">
        <f>(Links!C41*Links!AQ41+'On-Ramps'!AC41*'On-Ramps'!CE41)/('On-Ramps'!AC41+Links!C41)</f>
        <v>#DIV/0!</v>
      </c>
      <c r="BD41" s="63"/>
      <c r="BE41" s="57" t="e">
        <f>(Links!E41*Links!AS41+'On-Ramps'!AD41*'On-Ramps'!CF40)/('On-Ramps'!AD41+Links!E41)</f>
        <v>#DIV/0!</v>
      </c>
      <c r="BF41" s="57" t="e">
        <f>(Links!F41*Links!AT41+'On-Ramps'!AE41*'On-Ramps'!CG41)/('On-Ramps'!AE41+Links!F41)</f>
        <v>#DIV/0!</v>
      </c>
      <c r="BG41" s="57" t="e">
        <f>(Links!I41*Links!AW41+'On-Ramps'!AF41*'On-Ramps'!CH41)/('On-Ramps'!AF41+Links!I41)</f>
        <v>#DIV/0!</v>
      </c>
      <c r="BH41" s="57" t="e">
        <f>(#REF!*#REF!+'On-Ramps'!AG41*'On-Ramps'!CI41)/('On-Ramps'!AG41+#REF!)</f>
        <v>#REF!</v>
      </c>
      <c r="BI41" s="57" t="e">
        <f>(Links!L41*Links!AZ41+'On-Ramps'!AH41*'On-Ramps'!CJ41)/('On-Ramps'!AH41+Links!L41)</f>
        <v>#DIV/0!</v>
      </c>
      <c r="BJ41" s="57" t="e">
        <f>(Links!BA41*Links!M41+'On-Ramps'!AI41*'On-Ramps'!CK41)/('On-Ramps'!AI41+Links!M41)</f>
        <v>#DIV/0!</v>
      </c>
      <c r="BK41" s="57" t="e">
        <f>(Links!S41*Links!BG41+'On-Ramps'!AJ41*'On-Ramps'!CL41)/('On-Ramps'!AJ41+Links!S41)</f>
        <v>#DIV/0!</v>
      </c>
      <c r="BL41" s="63"/>
      <c r="BM41" s="57" t="e">
        <f>(Links!S41*Links!BG41+'On-Ramps'!AL41*'On-Ramps'!CM41)/(Links!S41+'On-Ramps'!AL41)</f>
        <v>#DIV/0!</v>
      </c>
      <c r="BN41" s="63"/>
      <c r="BO41" s="58" t="e">
        <f>(Links!W41^2+'Off-Ramp'!L41^2)/(Links!W41+'Off-Ramp'!L41)</f>
        <v>#DIV/0!</v>
      </c>
      <c r="BP41" s="63"/>
      <c r="BQ41" s="58" t="e">
        <f>(Links!Y41^2+'Off-Ramp'!C41^2)/(Links!Y41+'Off-Ramp'!C41)</f>
        <v>#DIV/0!</v>
      </c>
      <c r="BR41" s="63"/>
      <c r="BS41" s="58" t="e">
        <f>(Links!AA41^2+'Off-Ramp'!N41^2)/(Links!AA41+'Off-Ramp'!N41)</f>
        <v>#DIV/0!</v>
      </c>
      <c r="BT41" s="58" t="e">
        <f>(Links!AD41^2+'Off-Ramp'!O41^2)/(Links!AD41+'Off-Ramp'!O41)</f>
        <v>#DIV/0!</v>
      </c>
      <c r="BU41" s="58" t="e">
        <f>(Links!AE41^2+'Off-Ramp'!V41^2+'Off-Ramp'!W41^2+'Off-Ramp'!X41^2)/(Links!AE41+'Off-Ramp'!V41+'Off-Ramp'!W41+'Off-Ramp'!X41)</f>
        <v>#DIV/0!</v>
      </c>
      <c r="BV41" s="58" t="e">
        <f>(Links!AG41^2+'Off-Ramp'!Y41^2+'Off-Ramp'!Z41^2+'Off-Ramp'!AA41^2)/(Links!AG41+'Off-Ramp'!Y41+'Off-Ramp'!Z41+'Off-Ramp'!AA41)</f>
        <v>#DIV/0!</v>
      </c>
      <c r="BW41" s="58" t="e">
        <f>(Links!AH41^2+'Off-Ramp'!R41^2)/(Links!AH41+'Off-Ramp'!R41)</f>
        <v>#DIV/0!</v>
      </c>
      <c r="BX41" s="58" t="e">
        <f>(Links!AK41^2+'Off-Ramp'!S41^2)/(Links!AK41+'Off-Ramp'!S41)</f>
        <v>#DIV/0!</v>
      </c>
      <c r="BY41" s="58" t="e">
        <f>(Links!AL41^2+'Off-Ramp'!T41^2)/(Links!AL41+'Off-Ramp'!T41)</f>
        <v>#DIV/0!</v>
      </c>
      <c r="BZ41" s="63"/>
      <c r="CA41" s="58" t="e">
        <f>(Links!AN41^2+'Off-Ramp'!U41^2)/(Links!AN41+'Off-Ramp'!U41)</f>
        <v>#DIV/0!</v>
      </c>
    </row>
    <row r="42" spans="1:79" x14ac:dyDescent="0.15">
      <c r="A42" s="56">
        <v>40</v>
      </c>
      <c r="B42" s="57" t="e">
        <f t="shared" si="1"/>
        <v>#DIV/0!</v>
      </c>
      <c r="C42" s="57" t="e">
        <f t="shared" si="2"/>
        <v>#DIV/0!</v>
      </c>
      <c r="D42" s="57" t="e">
        <f t="shared" si="3"/>
        <v>#DIV/0!</v>
      </c>
      <c r="E42" s="57" t="e">
        <f t="shared" si="4"/>
        <v>#DIV/0!</v>
      </c>
      <c r="F42" s="57" t="e">
        <f t="shared" si="5"/>
        <v>#DIV/0!</v>
      </c>
      <c r="G42" s="57" t="e">
        <f t="shared" si="6"/>
        <v>#DIV/0!</v>
      </c>
      <c r="H42" s="57" t="e">
        <f t="shared" si="7"/>
        <v>#DIV/0!</v>
      </c>
      <c r="I42" s="57" t="e">
        <f t="shared" si="8"/>
        <v>#DIV/0!</v>
      </c>
      <c r="J42" s="57" t="e">
        <f t="shared" si="9"/>
        <v>#DIV/0!</v>
      </c>
      <c r="K42" s="57" t="e">
        <f t="shared" si="10"/>
        <v>#DIV/0!</v>
      </c>
      <c r="L42" s="57" t="e">
        <f t="shared" si="11"/>
        <v>#DIV/0!</v>
      </c>
      <c r="M42" s="57" t="e">
        <f t="shared" si="12"/>
        <v>#DIV/0!</v>
      </c>
      <c r="N42" s="57" t="e">
        <f t="shared" si="13"/>
        <v>#DIV/0!</v>
      </c>
      <c r="O42" s="58" t="e">
        <f>Links!B42</f>
        <v>#DIV/0!</v>
      </c>
      <c r="P42" s="58" t="e">
        <f>Links!C42+'On-Ramps'!AC42</f>
        <v>#DIV/0!</v>
      </c>
      <c r="Q42" s="58" t="e">
        <f>Links!D42</f>
        <v>#DIV/0!</v>
      </c>
      <c r="R42" s="58" t="e">
        <f>Links!E42+'On-Ramps'!AD42</f>
        <v>#DIV/0!</v>
      </c>
      <c r="S42" s="58" t="e">
        <f>Links!F42+'On-Ramps'!AE42</f>
        <v>#DIV/0!</v>
      </c>
      <c r="T42" s="58" t="e">
        <f>Links!I42+'On-Ramps'!AF42</f>
        <v>#DIV/0!</v>
      </c>
      <c r="U42" s="58" t="e">
        <f>Links!J42+'On-Ramps'!AG42</f>
        <v>#DIV/0!</v>
      </c>
      <c r="V42" s="58" t="e">
        <f>Links!L42+'On-Ramps'!AH42</f>
        <v>#DIV/0!</v>
      </c>
      <c r="W42" s="58" t="e">
        <f>Links!M42+'On-Ramps'!AI42</f>
        <v>#DIV/0!</v>
      </c>
      <c r="X42" s="58" t="e">
        <f>Links!P42+'On-Ramps'!AJ42</f>
        <v>#DIV/0!</v>
      </c>
      <c r="Y42" s="58" t="e">
        <f>Links!Q42</f>
        <v>#DIV/0!</v>
      </c>
      <c r="Z42" s="58" t="e">
        <f>Links!R42+'On-Ramps'!AK42</f>
        <v>#DIV/0!</v>
      </c>
      <c r="AA42" s="58" t="e">
        <f>Links!S42</f>
        <v>#DIV/0!</v>
      </c>
      <c r="AB42" s="57" t="e">
        <f t="shared" si="16"/>
        <v>#DIV/0!</v>
      </c>
      <c r="AC42" s="63"/>
      <c r="AD42" s="57" t="e">
        <f t="shared" si="17"/>
        <v>#DIV/0!</v>
      </c>
      <c r="AE42" s="63"/>
      <c r="AF42" s="57" t="e">
        <f t="shared" si="18"/>
        <v>#DIV/0!</v>
      </c>
      <c r="AG42" s="57" t="e">
        <f t="shared" si="19"/>
        <v>#DIV/0!</v>
      </c>
      <c r="AH42" s="57" t="e">
        <f t="shared" si="20"/>
        <v>#DIV/0!</v>
      </c>
      <c r="AI42" s="57" t="e">
        <f t="shared" si="21"/>
        <v>#DIV/0!</v>
      </c>
      <c r="AJ42" s="57" t="e">
        <f t="shared" si="22"/>
        <v>#DIV/0!</v>
      </c>
      <c r="AK42" s="57" t="e">
        <f t="shared" si="23"/>
        <v>#DIV/0!</v>
      </c>
      <c r="AL42" s="57" t="e">
        <f t="shared" si="24"/>
        <v>#DIV/0!</v>
      </c>
      <c r="AM42" s="63"/>
      <c r="AN42" s="57" t="e">
        <f t="shared" si="26"/>
        <v>#DIV/0!</v>
      </c>
      <c r="AO42" s="58" t="e">
        <f t="shared" si="27"/>
        <v>#DIV/0!</v>
      </c>
      <c r="AP42" s="63"/>
      <c r="AQ42" s="58" t="e">
        <f t="shared" si="27"/>
        <v>#DIV/0!</v>
      </c>
      <c r="AR42" s="63"/>
      <c r="AS42" s="58" t="e">
        <f t="shared" si="27"/>
        <v>#DIV/0!</v>
      </c>
      <c r="AT42" s="58" t="e">
        <f t="shared" si="27"/>
        <v>#DIV/0!</v>
      </c>
      <c r="AU42" s="58" t="e">
        <f t="shared" si="27"/>
        <v>#DIV/0!</v>
      </c>
      <c r="AV42" s="58" t="e">
        <f t="shared" si="27"/>
        <v>#DIV/0!</v>
      </c>
      <c r="AW42" s="58" t="e">
        <f t="shared" si="27"/>
        <v>#DIV/0!</v>
      </c>
      <c r="AX42" s="58" t="e">
        <f t="shared" si="27"/>
        <v>#DIV/0!</v>
      </c>
      <c r="AY42" s="58" t="e">
        <f t="shared" si="27"/>
        <v>#DIV/0!</v>
      </c>
      <c r="AZ42" s="63"/>
      <c r="BA42" s="58" t="e">
        <f t="shared" si="27"/>
        <v>#DIV/0!</v>
      </c>
      <c r="BB42" s="63"/>
      <c r="BC42" s="57" t="e">
        <f>(Links!C42*Links!AQ42+'On-Ramps'!AC42*'On-Ramps'!CE42)/('On-Ramps'!AC42+Links!C42)</f>
        <v>#DIV/0!</v>
      </c>
      <c r="BD42" s="63"/>
      <c r="BE42" s="57" t="e">
        <f>(Links!E42*Links!AS42+'On-Ramps'!AD42*'On-Ramps'!CF41)/('On-Ramps'!AD42+Links!E42)</f>
        <v>#DIV/0!</v>
      </c>
      <c r="BF42" s="57" t="e">
        <f>(Links!F42*Links!AT42+'On-Ramps'!AE42*'On-Ramps'!CG42)/('On-Ramps'!AE42+Links!F42)</f>
        <v>#DIV/0!</v>
      </c>
      <c r="BG42" s="57" t="e">
        <f>(Links!I42*Links!AW42+'On-Ramps'!AF42*'On-Ramps'!CH42)/('On-Ramps'!AF42+Links!I42)</f>
        <v>#DIV/0!</v>
      </c>
      <c r="BH42" s="57" t="e">
        <f>(#REF!*#REF!+'On-Ramps'!AG42*'On-Ramps'!CI42)/('On-Ramps'!AG42+#REF!)</f>
        <v>#REF!</v>
      </c>
      <c r="BI42" s="57" t="e">
        <f>(Links!L42*Links!AZ42+'On-Ramps'!AH42*'On-Ramps'!CJ42)/('On-Ramps'!AH42+Links!L42)</f>
        <v>#DIV/0!</v>
      </c>
      <c r="BJ42" s="57" t="e">
        <f>(Links!BA42*Links!M42+'On-Ramps'!AI42*'On-Ramps'!CK42)/('On-Ramps'!AI42+Links!M42)</f>
        <v>#DIV/0!</v>
      </c>
      <c r="BK42" s="57" t="e">
        <f>(Links!S42*Links!BG42+'On-Ramps'!AJ42*'On-Ramps'!CL42)/('On-Ramps'!AJ42+Links!S42)</f>
        <v>#DIV/0!</v>
      </c>
      <c r="BL42" s="63"/>
      <c r="BM42" s="57" t="e">
        <f>(Links!S42*Links!BG42+'On-Ramps'!AL42*'On-Ramps'!CM42)/(Links!S42+'On-Ramps'!AL42)</f>
        <v>#DIV/0!</v>
      </c>
      <c r="BN42" s="63"/>
      <c r="BO42" s="58" t="e">
        <f>(Links!W42^2+'Off-Ramp'!L42^2)/(Links!W42+'Off-Ramp'!L42)</f>
        <v>#DIV/0!</v>
      </c>
      <c r="BP42" s="63"/>
      <c r="BQ42" s="58" t="e">
        <f>(Links!Y42^2+'Off-Ramp'!C42^2)/(Links!Y42+'Off-Ramp'!C42)</f>
        <v>#DIV/0!</v>
      </c>
      <c r="BR42" s="63"/>
      <c r="BS42" s="58" t="e">
        <f>(Links!AA42^2+'Off-Ramp'!N42^2)/(Links!AA42+'Off-Ramp'!N42)</f>
        <v>#DIV/0!</v>
      </c>
      <c r="BT42" s="58" t="e">
        <f>(Links!AD42^2+'Off-Ramp'!O42^2)/(Links!AD42+'Off-Ramp'!O42)</f>
        <v>#DIV/0!</v>
      </c>
      <c r="BU42" s="58" t="e">
        <f>(Links!AE42^2+'Off-Ramp'!V42^2+'Off-Ramp'!W42^2+'Off-Ramp'!X42^2)/(Links!AE42+'Off-Ramp'!V42+'Off-Ramp'!W42+'Off-Ramp'!X42)</f>
        <v>#DIV/0!</v>
      </c>
      <c r="BV42" s="58" t="e">
        <f>(Links!AG42^2+'Off-Ramp'!Y42^2+'Off-Ramp'!Z42^2+'Off-Ramp'!AA42^2)/(Links!AG42+'Off-Ramp'!Y42+'Off-Ramp'!Z42+'Off-Ramp'!AA42)</f>
        <v>#DIV/0!</v>
      </c>
      <c r="BW42" s="58" t="e">
        <f>(Links!AH42^2+'Off-Ramp'!R42^2)/(Links!AH42+'Off-Ramp'!R42)</f>
        <v>#DIV/0!</v>
      </c>
      <c r="BX42" s="58" t="e">
        <f>(Links!AK42^2+'Off-Ramp'!S42^2)/(Links!AK42+'Off-Ramp'!S42)</f>
        <v>#DIV/0!</v>
      </c>
      <c r="BY42" s="58" t="e">
        <f>(Links!AL42^2+'Off-Ramp'!T42^2)/(Links!AL42+'Off-Ramp'!T42)</f>
        <v>#DIV/0!</v>
      </c>
      <c r="BZ42" s="63"/>
      <c r="CA42" s="58" t="e">
        <f>(Links!AN42^2+'Off-Ramp'!U42^2)/(Links!AN42+'Off-Ramp'!U42)</f>
        <v>#DIV/0!</v>
      </c>
    </row>
    <row r="43" spans="1:79" x14ac:dyDescent="0.15">
      <c r="A43" s="56">
        <v>41</v>
      </c>
      <c r="B43" s="57" t="e">
        <f t="shared" si="1"/>
        <v>#DIV/0!</v>
      </c>
      <c r="C43" s="57" t="e">
        <f t="shared" si="2"/>
        <v>#DIV/0!</v>
      </c>
      <c r="D43" s="57" t="e">
        <f t="shared" si="3"/>
        <v>#DIV/0!</v>
      </c>
      <c r="E43" s="57" t="e">
        <f t="shared" si="4"/>
        <v>#DIV/0!</v>
      </c>
      <c r="F43" s="57" t="e">
        <f t="shared" si="5"/>
        <v>#DIV/0!</v>
      </c>
      <c r="G43" s="57" t="e">
        <f t="shared" si="6"/>
        <v>#DIV/0!</v>
      </c>
      <c r="H43" s="57" t="e">
        <f t="shared" si="7"/>
        <v>#DIV/0!</v>
      </c>
      <c r="I43" s="57" t="e">
        <f t="shared" si="8"/>
        <v>#DIV/0!</v>
      </c>
      <c r="J43" s="57" t="e">
        <f t="shared" si="9"/>
        <v>#DIV/0!</v>
      </c>
      <c r="K43" s="57" t="e">
        <f t="shared" si="10"/>
        <v>#DIV/0!</v>
      </c>
      <c r="L43" s="57" t="e">
        <f t="shared" si="11"/>
        <v>#DIV/0!</v>
      </c>
      <c r="M43" s="57" t="e">
        <f t="shared" si="12"/>
        <v>#DIV/0!</v>
      </c>
      <c r="N43" s="57" t="e">
        <f t="shared" si="13"/>
        <v>#DIV/0!</v>
      </c>
      <c r="O43" s="58" t="e">
        <f>Links!B43</f>
        <v>#DIV/0!</v>
      </c>
      <c r="P43" s="58" t="e">
        <f>Links!C43+'On-Ramps'!AC43</f>
        <v>#DIV/0!</v>
      </c>
      <c r="Q43" s="58" t="e">
        <f>Links!D43</f>
        <v>#DIV/0!</v>
      </c>
      <c r="R43" s="58" t="e">
        <f>Links!E43+'On-Ramps'!AD43</f>
        <v>#DIV/0!</v>
      </c>
      <c r="S43" s="58" t="e">
        <f>Links!F43+'On-Ramps'!AE43</f>
        <v>#DIV/0!</v>
      </c>
      <c r="T43" s="58" t="e">
        <f>Links!I43+'On-Ramps'!AF43</f>
        <v>#DIV/0!</v>
      </c>
      <c r="U43" s="58" t="e">
        <f>Links!J43+'On-Ramps'!AG43</f>
        <v>#DIV/0!</v>
      </c>
      <c r="V43" s="58" t="e">
        <f>Links!L43+'On-Ramps'!AH43</f>
        <v>#DIV/0!</v>
      </c>
      <c r="W43" s="58" t="e">
        <f>Links!M43+'On-Ramps'!AI43</f>
        <v>#DIV/0!</v>
      </c>
      <c r="X43" s="58" t="e">
        <f>Links!P43+'On-Ramps'!AJ43</f>
        <v>#DIV/0!</v>
      </c>
      <c r="Y43" s="58" t="e">
        <f>Links!Q43</f>
        <v>#DIV/0!</v>
      </c>
      <c r="Z43" s="58" t="e">
        <f>Links!R43+'On-Ramps'!AK43</f>
        <v>#DIV/0!</v>
      </c>
      <c r="AA43" s="58" t="e">
        <f>Links!S43</f>
        <v>#DIV/0!</v>
      </c>
      <c r="AB43" s="57" t="e">
        <f t="shared" si="16"/>
        <v>#DIV/0!</v>
      </c>
      <c r="AC43" s="63"/>
      <c r="AD43" s="57" t="e">
        <f t="shared" si="17"/>
        <v>#DIV/0!</v>
      </c>
      <c r="AE43" s="63"/>
      <c r="AF43" s="57" t="e">
        <f t="shared" si="18"/>
        <v>#DIV/0!</v>
      </c>
      <c r="AG43" s="57" t="e">
        <f t="shared" si="19"/>
        <v>#DIV/0!</v>
      </c>
      <c r="AH43" s="57" t="e">
        <f t="shared" si="20"/>
        <v>#DIV/0!</v>
      </c>
      <c r="AI43" s="57" t="e">
        <f t="shared" si="21"/>
        <v>#DIV/0!</v>
      </c>
      <c r="AJ43" s="57" t="e">
        <f t="shared" si="22"/>
        <v>#DIV/0!</v>
      </c>
      <c r="AK43" s="57" t="e">
        <f t="shared" si="23"/>
        <v>#DIV/0!</v>
      </c>
      <c r="AL43" s="57" t="e">
        <f t="shared" si="24"/>
        <v>#DIV/0!</v>
      </c>
      <c r="AM43" s="63"/>
      <c r="AN43" s="57" t="e">
        <f t="shared" si="26"/>
        <v>#DIV/0!</v>
      </c>
      <c r="AO43" s="58" t="e">
        <f t="shared" si="27"/>
        <v>#DIV/0!</v>
      </c>
      <c r="AP43" s="63"/>
      <c r="AQ43" s="58" t="e">
        <f t="shared" si="27"/>
        <v>#DIV/0!</v>
      </c>
      <c r="AR43" s="63"/>
      <c r="AS43" s="58" t="e">
        <f t="shared" si="27"/>
        <v>#DIV/0!</v>
      </c>
      <c r="AT43" s="58" t="e">
        <f t="shared" si="27"/>
        <v>#DIV/0!</v>
      </c>
      <c r="AU43" s="58" t="e">
        <f t="shared" si="27"/>
        <v>#DIV/0!</v>
      </c>
      <c r="AV43" s="58" t="e">
        <f t="shared" si="27"/>
        <v>#DIV/0!</v>
      </c>
      <c r="AW43" s="58" t="e">
        <f t="shared" si="27"/>
        <v>#DIV/0!</v>
      </c>
      <c r="AX43" s="58" t="e">
        <f t="shared" si="27"/>
        <v>#DIV/0!</v>
      </c>
      <c r="AY43" s="58" t="e">
        <f t="shared" si="27"/>
        <v>#DIV/0!</v>
      </c>
      <c r="AZ43" s="63"/>
      <c r="BA43" s="58" t="e">
        <f t="shared" si="27"/>
        <v>#DIV/0!</v>
      </c>
      <c r="BB43" s="63"/>
      <c r="BC43" s="57" t="e">
        <f>(Links!C43*Links!AQ43+'On-Ramps'!AC43*'On-Ramps'!CE43)/('On-Ramps'!AC43+Links!C43)</f>
        <v>#DIV/0!</v>
      </c>
      <c r="BD43" s="63"/>
      <c r="BE43" s="57" t="e">
        <f>(Links!E43*Links!AS43+'On-Ramps'!AD43*'On-Ramps'!CF42)/('On-Ramps'!AD43+Links!E43)</f>
        <v>#DIV/0!</v>
      </c>
      <c r="BF43" s="57" t="e">
        <f>(Links!F43*Links!AT43+'On-Ramps'!AE43*'On-Ramps'!CG43)/('On-Ramps'!AE43+Links!F43)</f>
        <v>#DIV/0!</v>
      </c>
      <c r="BG43" s="57" t="e">
        <f>(Links!I43*Links!AW43+'On-Ramps'!AF43*'On-Ramps'!CH43)/('On-Ramps'!AF43+Links!I43)</f>
        <v>#DIV/0!</v>
      </c>
      <c r="BH43" s="57" t="e">
        <f>(#REF!*#REF!+'On-Ramps'!AG43*'On-Ramps'!CI43)/('On-Ramps'!AG43+#REF!)</f>
        <v>#REF!</v>
      </c>
      <c r="BI43" s="57" t="e">
        <f>(Links!L43*Links!AZ43+'On-Ramps'!AH43*'On-Ramps'!CJ43)/('On-Ramps'!AH43+Links!L43)</f>
        <v>#DIV/0!</v>
      </c>
      <c r="BJ43" s="57" t="e">
        <f>(Links!BA43*Links!M43+'On-Ramps'!AI43*'On-Ramps'!CK43)/('On-Ramps'!AI43+Links!M43)</f>
        <v>#DIV/0!</v>
      </c>
      <c r="BK43" s="57" t="e">
        <f>(Links!S43*Links!BG43+'On-Ramps'!AJ43*'On-Ramps'!CL43)/('On-Ramps'!AJ43+Links!S43)</f>
        <v>#DIV/0!</v>
      </c>
      <c r="BL43" s="63"/>
      <c r="BM43" s="57" t="e">
        <f>(Links!S43*Links!BG43+'On-Ramps'!AL43*'On-Ramps'!CM43)/(Links!S43+'On-Ramps'!AL43)</f>
        <v>#DIV/0!</v>
      </c>
      <c r="BN43" s="63"/>
      <c r="BO43" s="58" t="e">
        <f>(Links!W43^2+'Off-Ramp'!L43^2)/(Links!W43+'Off-Ramp'!L43)</f>
        <v>#DIV/0!</v>
      </c>
      <c r="BP43" s="63"/>
      <c r="BQ43" s="58" t="e">
        <f>(Links!Y43^2+'Off-Ramp'!C43^2)/(Links!Y43+'Off-Ramp'!C43)</f>
        <v>#DIV/0!</v>
      </c>
      <c r="BR43" s="63"/>
      <c r="BS43" s="58" t="e">
        <f>(Links!AA43^2+'Off-Ramp'!N43^2)/(Links!AA43+'Off-Ramp'!N43)</f>
        <v>#DIV/0!</v>
      </c>
      <c r="BT43" s="58" t="e">
        <f>(Links!AD43^2+'Off-Ramp'!O43^2)/(Links!AD43+'Off-Ramp'!O43)</f>
        <v>#DIV/0!</v>
      </c>
      <c r="BU43" s="58" t="e">
        <f>(Links!AE43^2+'Off-Ramp'!V43^2+'Off-Ramp'!W43^2+'Off-Ramp'!X43^2)/(Links!AE43+'Off-Ramp'!V43+'Off-Ramp'!W43+'Off-Ramp'!X43)</f>
        <v>#DIV/0!</v>
      </c>
      <c r="BV43" s="58" t="e">
        <f>(Links!AG43^2+'Off-Ramp'!Y43^2+'Off-Ramp'!Z43^2+'Off-Ramp'!AA43^2)/(Links!AG43+'Off-Ramp'!Y43+'Off-Ramp'!Z43+'Off-Ramp'!AA43)</f>
        <v>#DIV/0!</v>
      </c>
      <c r="BW43" s="58" t="e">
        <f>(Links!AH43^2+'Off-Ramp'!R43^2)/(Links!AH43+'Off-Ramp'!R43)</f>
        <v>#DIV/0!</v>
      </c>
      <c r="BX43" s="58" t="e">
        <f>(Links!AK43^2+'Off-Ramp'!S43^2)/(Links!AK43+'Off-Ramp'!S43)</f>
        <v>#DIV/0!</v>
      </c>
      <c r="BY43" s="58" t="e">
        <f>(Links!AL43^2+'Off-Ramp'!T43^2)/(Links!AL43+'Off-Ramp'!T43)</f>
        <v>#DIV/0!</v>
      </c>
      <c r="BZ43" s="63"/>
      <c r="CA43" s="58" t="e">
        <f>(Links!AN43^2+'Off-Ramp'!U43^2)/(Links!AN43+'Off-Ramp'!U43)</f>
        <v>#DIV/0!</v>
      </c>
    </row>
    <row r="44" spans="1:79" x14ac:dyDescent="0.15">
      <c r="A44" s="56">
        <v>42</v>
      </c>
      <c r="B44" s="57" t="e">
        <f t="shared" si="1"/>
        <v>#DIV/0!</v>
      </c>
      <c r="C44" s="57" t="e">
        <f t="shared" si="2"/>
        <v>#DIV/0!</v>
      </c>
      <c r="D44" s="57" t="e">
        <f t="shared" si="3"/>
        <v>#DIV/0!</v>
      </c>
      <c r="E44" s="57" t="e">
        <f t="shared" si="4"/>
        <v>#DIV/0!</v>
      </c>
      <c r="F44" s="57" t="e">
        <f t="shared" si="5"/>
        <v>#DIV/0!</v>
      </c>
      <c r="G44" s="57" t="e">
        <f t="shared" si="6"/>
        <v>#DIV/0!</v>
      </c>
      <c r="H44" s="57" t="e">
        <f t="shared" si="7"/>
        <v>#DIV/0!</v>
      </c>
      <c r="I44" s="57" t="e">
        <f t="shared" si="8"/>
        <v>#DIV/0!</v>
      </c>
      <c r="J44" s="57" t="e">
        <f t="shared" si="9"/>
        <v>#DIV/0!</v>
      </c>
      <c r="K44" s="57" t="e">
        <f t="shared" si="10"/>
        <v>#DIV/0!</v>
      </c>
      <c r="L44" s="57" t="e">
        <f t="shared" si="11"/>
        <v>#DIV/0!</v>
      </c>
      <c r="M44" s="57" t="e">
        <f t="shared" si="12"/>
        <v>#DIV/0!</v>
      </c>
      <c r="N44" s="57" t="e">
        <f t="shared" si="13"/>
        <v>#DIV/0!</v>
      </c>
      <c r="O44" s="58" t="e">
        <f>Links!B44</f>
        <v>#DIV/0!</v>
      </c>
      <c r="P44" s="58" t="e">
        <f>Links!C44+'On-Ramps'!AC44</f>
        <v>#DIV/0!</v>
      </c>
      <c r="Q44" s="58" t="e">
        <f>Links!D44</f>
        <v>#DIV/0!</v>
      </c>
      <c r="R44" s="58" t="e">
        <f>Links!E44+'On-Ramps'!AD44</f>
        <v>#DIV/0!</v>
      </c>
      <c r="S44" s="58" t="e">
        <f>Links!F44+'On-Ramps'!AE44</f>
        <v>#DIV/0!</v>
      </c>
      <c r="T44" s="58" t="e">
        <f>Links!I44+'On-Ramps'!AF44</f>
        <v>#DIV/0!</v>
      </c>
      <c r="U44" s="58" t="e">
        <f>Links!J44+'On-Ramps'!AG44</f>
        <v>#DIV/0!</v>
      </c>
      <c r="V44" s="58" t="e">
        <f>Links!L44+'On-Ramps'!AH44</f>
        <v>#DIV/0!</v>
      </c>
      <c r="W44" s="58" t="e">
        <f>Links!M44+'On-Ramps'!AI44</f>
        <v>#DIV/0!</v>
      </c>
      <c r="X44" s="58" t="e">
        <f>Links!P44+'On-Ramps'!AJ44</f>
        <v>#DIV/0!</v>
      </c>
      <c r="Y44" s="58" t="e">
        <f>Links!Q44</f>
        <v>#DIV/0!</v>
      </c>
      <c r="Z44" s="58" t="e">
        <f>Links!R44+'On-Ramps'!AK44</f>
        <v>#DIV/0!</v>
      </c>
      <c r="AA44" s="58" t="e">
        <f>Links!S44</f>
        <v>#DIV/0!</v>
      </c>
      <c r="AB44" s="57" t="e">
        <f t="shared" si="16"/>
        <v>#DIV/0!</v>
      </c>
      <c r="AC44" s="63"/>
      <c r="AD44" s="57" t="e">
        <f t="shared" si="17"/>
        <v>#DIV/0!</v>
      </c>
      <c r="AE44" s="63"/>
      <c r="AF44" s="57" t="e">
        <f t="shared" si="18"/>
        <v>#DIV/0!</v>
      </c>
      <c r="AG44" s="57" t="e">
        <f t="shared" si="19"/>
        <v>#DIV/0!</v>
      </c>
      <c r="AH44" s="57" t="e">
        <f t="shared" si="20"/>
        <v>#DIV/0!</v>
      </c>
      <c r="AI44" s="57" t="e">
        <f t="shared" si="21"/>
        <v>#DIV/0!</v>
      </c>
      <c r="AJ44" s="57" t="e">
        <f t="shared" si="22"/>
        <v>#DIV/0!</v>
      </c>
      <c r="AK44" s="57" t="e">
        <f t="shared" si="23"/>
        <v>#DIV/0!</v>
      </c>
      <c r="AL44" s="57" t="e">
        <f t="shared" si="24"/>
        <v>#DIV/0!</v>
      </c>
      <c r="AM44" s="63"/>
      <c r="AN44" s="57" t="e">
        <f t="shared" si="26"/>
        <v>#DIV/0!</v>
      </c>
      <c r="AO44" s="58" t="e">
        <f t="shared" si="27"/>
        <v>#DIV/0!</v>
      </c>
      <c r="AP44" s="63"/>
      <c r="AQ44" s="58" t="e">
        <f t="shared" si="27"/>
        <v>#DIV/0!</v>
      </c>
      <c r="AR44" s="63"/>
      <c r="AS44" s="58" t="e">
        <f t="shared" si="27"/>
        <v>#DIV/0!</v>
      </c>
      <c r="AT44" s="58" t="e">
        <f t="shared" si="27"/>
        <v>#DIV/0!</v>
      </c>
      <c r="AU44" s="58" t="e">
        <f t="shared" si="27"/>
        <v>#DIV/0!</v>
      </c>
      <c r="AV44" s="58" t="e">
        <f t="shared" si="27"/>
        <v>#DIV/0!</v>
      </c>
      <c r="AW44" s="58" t="e">
        <f t="shared" si="27"/>
        <v>#DIV/0!</v>
      </c>
      <c r="AX44" s="58" t="e">
        <f t="shared" si="27"/>
        <v>#DIV/0!</v>
      </c>
      <c r="AY44" s="58" t="e">
        <f t="shared" si="27"/>
        <v>#DIV/0!</v>
      </c>
      <c r="AZ44" s="63"/>
      <c r="BA44" s="58" t="e">
        <f t="shared" si="27"/>
        <v>#DIV/0!</v>
      </c>
      <c r="BB44" s="63"/>
      <c r="BC44" s="57" t="e">
        <f>(Links!C44*Links!AQ44+'On-Ramps'!AC44*'On-Ramps'!CE44)/('On-Ramps'!AC44+Links!C44)</f>
        <v>#DIV/0!</v>
      </c>
      <c r="BD44" s="63"/>
      <c r="BE44" s="57" t="e">
        <f>(Links!E44*Links!AS44+'On-Ramps'!AD44*'On-Ramps'!CF43)/('On-Ramps'!AD44+Links!E44)</f>
        <v>#DIV/0!</v>
      </c>
      <c r="BF44" s="57" t="e">
        <f>(Links!F44*Links!AT44+'On-Ramps'!AE44*'On-Ramps'!CG44)/('On-Ramps'!AE44+Links!F44)</f>
        <v>#DIV/0!</v>
      </c>
      <c r="BG44" s="57" t="e">
        <f>(Links!I44*Links!AW44+'On-Ramps'!AF44*'On-Ramps'!CH44)/('On-Ramps'!AF44+Links!I44)</f>
        <v>#DIV/0!</v>
      </c>
      <c r="BH44" s="57" t="e">
        <f>(#REF!*#REF!+'On-Ramps'!AG44*'On-Ramps'!CI44)/('On-Ramps'!AG44+#REF!)</f>
        <v>#REF!</v>
      </c>
      <c r="BI44" s="57" t="e">
        <f>(Links!L44*Links!AZ44+'On-Ramps'!AH44*'On-Ramps'!CJ44)/('On-Ramps'!AH44+Links!L44)</f>
        <v>#DIV/0!</v>
      </c>
      <c r="BJ44" s="57" t="e">
        <f>(Links!BA44*Links!M44+'On-Ramps'!AI44*'On-Ramps'!CK44)/('On-Ramps'!AI44+Links!M44)</f>
        <v>#DIV/0!</v>
      </c>
      <c r="BK44" s="57" t="e">
        <f>(Links!S44*Links!BG44+'On-Ramps'!AJ44*'On-Ramps'!CL44)/('On-Ramps'!AJ44+Links!S44)</f>
        <v>#DIV/0!</v>
      </c>
      <c r="BL44" s="63"/>
      <c r="BM44" s="57" t="e">
        <f>(Links!S44*Links!BG44+'On-Ramps'!AL44*'On-Ramps'!CM44)/(Links!S44+'On-Ramps'!AL44)</f>
        <v>#DIV/0!</v>
      </c>
      <c r="BN44" s="63"/>
      <c r="BO44" s="58" t="e">
        <f>(Links!W44^2+'Off-Ramp'!L44^2)/(Links!W44+'Off-Ramp'!L44)</f>
        <v>#DIV/0!</v>
      </c>
      <c r="BP44" s="63"/>
      <c r="BQ44" s="58" t="e">
        <f>(Links!Y44^2+'Off-Ramp'!C44^2)/(Links!Y44+'Off-Ramp'!C44)</f>
        <v>#DIV/0!</v>
      </c>
      <c r="BR44" s="63"/>
      <c r="BS44" s="58" t="e">
        <f>(Links!AA44^2+'Off-Ramp'!N44^2)/(Links!AA44+'Off-Ramp'!N44)</f>
        <v>#DIV/0!</v>
      </c>
      <c r="BT44" s="58" t="e">
        <f>(Links!AD44^2+'Off-Ramp'!O44^2)/(Links!AD44+'Off-Ramp'!O44)</f>
        <v>#DIV/0!</v>
      </c>
      <c r="BU44" s="58" t="e">
        <f>(Links!AE44^2+'Off-Ramp'!V44^2+'Off-Ramp'!W44^2+'Off-Ramp'!X44^2)/(Links!AE44+'Off-Ramp'!V44+'Off-Ramp'!W44+'Off-Ramp'!X44)</f>
        <v>#DIV/0!</v>
      </c>
      <c r="BV44" s="58" t="e">
        <f>(Links!AG44^2+'Off-Ramp'!Y44^2+'Off-Ramp'!Z44^2+'Off-Ramp'!AA44^2)/(Links!AG44+'Off-Ramp'!Y44+'Off-Ramp'!Z44+'Off-Ramp'!AA44)</f>
        <v>#DIV/0!</v>
      </c>
      <c r="BW44" s="58" t="e">
        <f>(Links!AH44^2+'Off-Ramp'!R44^2)/(Links!AH44+'Off-Ramp'!R44)</f>
        <v>#DIV/0!</v>
      </c>
      <c r="BX44" s="58" t="e">
        <f>(Links!AK44^2+'Off-Ramp'!S44^2)/(Links!AK44+'Off-Ramp'!S44)</f>
        <v>#DIV/0!</v>
      </c>
      <c r="BY44" s="58" t="e">
        <f>(Links!AL44^2+'Off-Ramp'!T44^2)/(Links!AL44+'Off-Ramp'!T44)</f>
        <v>#DIV/0!</v>
      </c>
      <c r="BZ44" s="63"/>
      <c r="CA44" s="58" t="e">
        <f>(Links!AN44^2+'Off-Ramp'!U44^2)/(Links!AN44+'Off-Ramp'!U44)</f>
        <v>#DIV/0!</v>
      </c>
    </row>
    <row r="45" spans="1:79" x14ac:dyDescent="0.15">
      <c r="A45" s="56">
        <v>43</v>
      </c>
      <c r="B45" s="57" t="e">
        <f t="shared" si="1"/>
        <v>#DIV/0!</v>
      </c>
      <c r="C45" s="57" t="e">
        <f t="shared" si="2"/>
        <v>#DIV/0!</v>
      </c>
      <c r="D45" s="57" t="e">
        <f t="shared" si="3"/>
        <v>#DIV/0!</v>
      </c>
      <c r="E45" s="57" t="e">
        <f t="shared" si="4"/>
        <v>#DIV/0!</v>
      </c>
      <c r="F45" s="57" t="e">
        <f t="shared" si="5"/>
        <v>#DIV/0!</v>
      </c>
      <c r="G45" s="57" t="e">
        <f t="shared" si="6"/>
        <v>#DIV/0!</v>
      </c>
      <c r="H45" s="57" t="e">
        <f t="shared" si="7"/>
        <v>#DIV/0!</v>
      </c>
      <c r="I45" s="57" t="e">
        <f t="shared" si="8"/>
        <v>#DIV/0!</v>
      </c>
      <c r="J45" s="57" t="e">
        <f t="shared" si="9"/>
        <v>#DIV/0!</v>
      </c>
      <c r="K45" s="57" t="e">
        <f t="shared" si="10"/>
        <v>#DIV/0!</v>
      </c>
      <c r="L45" s="57" t="e">
        <f t="shared" si="11"/>
        <v>#DIV/0!</v>
      </c>
      <c r="M45" s="57" t="e">
        <f t="shared" si="12"/>
        <v>#DIV/0!</v>
      </c>
      <c r="N45" s="57" t="e">
        <f t="shared" si="13"/>
        <v>#DIV/0!</v>
      </c>
      <c r="O45" s="58" t="e">
        <f>Links!B45</f>
        <v>#DIV/0!</v>
      </c>
      <c r="P45" s="58" t="e">
        <f>Links!C45+'On-Ramps'!AC45</f>
        <v>#DIV/0!</v>
      </c>
      <c r="Q45" s="58" t="e">
        <f>Links!D45</f>
        <v>#DIV/0!</v>
      </c>
      <c r="R45" s="58" t="e">
        <f>Links!E45+'On-Ramps'!AD45</f>
        <v>#DIV/0!</v>
      </c>
      <c r="S45" s="58" t="e">
        <f>Links!F45+'On-Ramps'!AE45</f>
        <v>#DIV/0!</v>
      </c>
      <c r="T45" s="58" t="e">
        <f>Links!I45+'On-Ramps'!AF45</f>
        <v>#DIV/0!</v>
      </c>
      <c r="U45" s="58" t="e">
        <f>Links!J45+'On-Ramps'!AG45</f>
        <v>#DIV/0!</v>
      </c>
      <c r="V45" s="58" t="e">
        <f>Links!L45+'On-Ramps'!AH45</f>
        <v>#DIV/0!</v>
      </c>
      <c r="W45" s="58" t="e">
        <f>Links!M45+'On-Ramps'!AI45</f>
        <v>#DIV/0!</v>
      </c>
      <c r="X45" s="58" t="e">
        <f>Links!P45+'On-Ramps'!AJ45</f>
        <v>#DIV/0!</v>
      </c>
      <c r="Y45" s="58" t="e">
        <f>Links!Q45</f>
        <v>#DIV/0!</v>
      </c>
      <c r="Z45" s="58" t="e">
        <f>Links!R45+'On-Ramps'!AK45</f>
        <v>#DIV/0!</v>
      </c>
      <c r="AA45" s="58" t="e">
        <f>Links!S45</f>
        <v>#DIV/0!</v>
      </c>
      <c r="AB45" s="57" t="e">
        <f t="shared" si="16"/>
        <v>#DIV/0!</v>
      </c>
      <c r="AC45" s="63"/>
      <c r="AD45" s="57" t="e">
        <f t="shared" si="17"/>
        <v>#DIV/0!</v>
      </c>
      <c r="AE45" s="63"/>
      <c r="AF45" s="57" t="e">
        <f t="shared" si="18"/>
        <v>#DIV/0!</v>
      </c>
      <c r="AG45" s="57" t="e">
        <f t="shared" si="19"/>
        <v>#DIV/0!</v>
      </c>
      <c r="AH45" s="57" t="e">
        <f t="shared" si="20"/>
        <v>#DIV/0!</v>
      </c>
      <c r="AI45" s="57" t="e">
        <f t="shared" si="21"/>
        <v>#DIV/0!</v>
      </c>
      <c r="AJ45" s="57" t="e">
        <f t="shared" si="22"/>
        <v>#DIV/0!</v>
      </c>
      <c r="AK45" s="57" t="e">
        <f t="shared" si="23"/>
        <v>#DIV/0!</v>
      </c>
      <c r="AL45" s="57" t="e">
        <f t="shared" si="24"/>
        <v>#DIV/0!</v>
      </c>
      <c r="AM45" s="63"/>
      <c r="AN45" s="57" t="e">
        <f t="shared" si="26"/>
        <v>#DIV/0!</v>
      </c>
      <c r="AO45" s="58" t="e">
        <f t="shared" si="27"/>
        <v>#DIV/0!</v>
      </c>
      <c r="AP45" s="63"/>
      <c r="AQ45" s="58" t="e">
        <f t="shared" si="27"/>
        <v>#DIV/0!</v>
      </c>
      <c r="AR45" s="63"/>
      <c r="AS45" s="58" t="e">
        <f t="shared" si="27"/>
        <v>#DIV/0!</v>
      </c>
      <c r="AT45" s="58" t="e">
        <f t="shared" si="27"/>
        <v>#DIV/0!</v>
      </c>
      <c r="AU45" s="58" t="e">
        <f t="shared" si="27"/>
        <v>#DIV/0!</v>
      </c>
      <c r="AV45" s="58" t="e">
        <f t="shared" si="27"/>
        <v>#DIV/0!</v>
      </c>
      <c r="AW45" s="58" t="e">
        <f t="shared" si="27"/>
        <v>#DIV/0!</v>
      </c>
      <c r="AX45" s="58" t="e">
        <f t="shared" si="27"/>
        <v>#DIV/0!</v>
      </c>
      <c r="AY45" s="58" t="e">
        <f t="shared" si="27"/>
        <v>#DIV/0!</v>
      </c>
      <c r="AZ45" s="63"/>
      <c r="BA45" s="58" t="e">
        <f t="shared" si="27"/>
        <v>#DIV/0!</v>
      </c>
      <c r="BB45" s="63"/>
      <c r="BC45" s="57" t="e">
        <f>(Links!C45*Links!AQ45+'On-Ramps'!AC45*'On-Ramps'!CE45)/('On-Ramps'!AC45+Links!C45)</f>
        <v>#DIV/0!</v>
      </c>
      <c r="BD45" s="63"/>
      <c r="BE45" s="57" t="e">
        <f>(Links!E45*Links!AS45+'On-Ramps'!AD45*'On-Ramps'!CF44)/('On-Ramps'!AD45+Links!E45)</f>
        <v>#DIV/0!</v>
      </c>
      <c r="BF45" s="57" t="e">
        <f>(Links!F45*Links!AT45+'On-Ramps'!AE45*'On-Ramps'!CG45)/('On-Ramps'!AE45+Links!F45)</f>
        <v>#DIV/0!</v>
      </c>
      <c r="BG45" s="57" t="e">
        <f>(Links!I45*Links!AW45+'On-Ramps'!AF45*'On-Ramps'!CH45)/('On-Ramps'!AF45+Links!I45)</f>
        <v>#DIV/0!</v>
      </c>
      <c r="BH45" s="57" t="e">
        <f>(#REF!*#REF!+'On-Ramps'!AG45*'On-Ramps'!CI45)/('On-Ramps'!AG45+#REF!)</f>
        <v>#REF!</v>
      </c>
      <c r="BI45" s="57" t="e">
        <f>(Links!L45*Links!AZ45+'On-Ramps'!AH45*'On-Ramps'!CJ45)/('On-Ramps'!AH45+Links!L45)</f>
        <v>#DIV/0!</v>
      </c>
      <c r="BJ45" s="57" t="e">
        <f>(Links!BA45*Links!M45+'On-Ramps'!AI45*'On-Ramps'!CK45)/('On-Ramps'!AI45+Links!M45)</f>
        <v>#DIV/0!</v>
      </c>
      <c r="BK45" s="57" t="e">
        <f>(Links!S45*Links!BG45+'On-Ramps'!AJ45*'On-Ramps'!CL45)/('On-Ramps'!AJ45+Links!S45)</f>
        <v>#DIV/0!</v>
      </c>
      <c r="BL45" s="63"/>
      <c r="BM45" s="57" t="e">
        <f>(Links!S45*Links!BG45+'On-Ramps'!AL45*'On-Ramps'!CM45)/(Links!S45+'On-Ramps'!AL45)</f>
        <v>#DIV/0!</v>
      </c>
      <c r="BN45" s="63"/>
      <c r="BO45" s="58" t="e">
        <f>(Links!W45^2+'Off-Ramp'!L45^2)/(Links!W45+'Off-Ramp'!L45)</f>
        <v>#DIV/0!</v>
      </c>
      <c r="BP45" s="63"/>
      <c r="BQ45" s="58" t="e">
        <f>(Links!Y45^2+'Off-Ramp'!C45^2)/(Links!Y45+'Off-Ramp'!C45)</f>
        <v>#DIV/0!</v>
      </c>
      <c r="BR45" s="63"/>
      <c r="BS45" s="58" t="e">
        <f>(Links!AA45^2+'Off-Ramp'!N45^2)/(Links!AA45+'Off-Ramp'!N45)</f>
        <v>#DIV/0!</v>
      </c>
      <c r="BT45" s="58" t="e">
        <f>(Links!AD45^2+'Off-Ramp'!O45^2)/(Links!AD45+'Off-Ramp'!O45)</f>
        <v>#DIV/0!</v>
      </c>
      <c r="BU45" s="58" t="e">
        <f>(Links!AE45^2+'Off-Ramp'!V45^2+'Off-Ramp'!W45^2+'Off-Ramp'!X45^2)/(Links!AE45+'Off-Ramp'!V45+'Off-Ramp'!W45+'Off-Ramp'!X45)</f>
        <v>#DIV/0!</v>
      </c>
      <c r="BV45" s="58" t="e">
        <f>(Links!AG45^2+'Off-Ramp'!Y45^2+'Off-Ramp'!Z45^2+'Off-Ramp'!AA45^2)/(Links!AG45+'Off-Ramp'!Y45+'Off-Ramp'!Z45+'Off-Ramp'!AA45)</f>
        <v>#DIV/0!</v>
      </c>
      <c r="BW45" s="58" t="e">
        <f>(Links!AH45^2+'Off-Ramp'!R45^2)/(Links!AH45+'Off-Ramp'!R45)</f>
        <v>#DIV/0!</v>
      </c>
      <c r="BX45" s="58" t="e">
        <f>(Links!AK45^2+'Off-Ramp'!S45^2)/(Links!AK45+'Off-Ramp'!S45)</f>
        <v>#DIV/0!</v>
      </c>
      <c r="BY45" s="58" t="e">
        <f>(Links!AL45^2+'Off-Ramp'!T45^2)/(Links!AL45+'Off-Ramp'!T45)</f>
        <v>#DIV/0!</v>
      </c>
      <c r="BZ45" s="63"/>
      <c r="CA45" s="58" t="e">
        <f>(Links!AN45^2+'Off-Ramp'!U45^2)/(Links!AN45+'Off-Ramp'!U45)</f>
        <v>#DIV/0!</v>
      </c>
    </row>
    <row r="46" spans="1:79" x14ac:dyDescent="0.15">
      <c r="A46" s="56">
        <v>44</v>
      </c>
      <c r="B46" s="57" t="e">
        <f t="shared" si="1"/>
        <v>#DIV/0!</v>
      </c>
      <c r="C46" s="57" t="e">
        <f t="shared" si="2"/>
        <v>#DIV/0!</v>
      </c>
      <c r="D46" s="57" t="e">
        <f t="shared" si="3"/>
        <v>#DIV/0!</v>
      </c>
      <c r="E46" s="57" t="e">
        <f t="shared" si="4"/>
        <v>#DIV/0!</v>
      </c>
      <c r="F46" s="57" t="e">
        <f t="shared" si="5"/>
        <v>#DIV/0!</v>
      </c>
      <c r="G46" s="57" t="e">
        <f t="shared" si="6"/>
        <v>#DIV/0!</v>
      </c>
      <c r="H46" s="57" t="e">
        <f t="shared" si="7"/>
        <v>#DIV/0!</v>
      </c>
      <c r="I46" s="57" t="e">
        <f t="shared" si="8"/>
        <v>#DIV/0!</v>
      </c>
      <c r="J46" s="57" t="e">
        <f t="shared" si="9"/>
        <v>#DIV/0!</v>
      </c>
      <c r="K46" s="57" t="e">
        <f t="shared" si="10"/>
        <v>#DIV/0!</v>
      </c>
      <c r="L46" s="57" t="e">
        <f t="shared" si="11"/>
        <v>#DIV/0!</v>
      </c>
      <c r="M46" s="57" t="e">
        <f t="shared" si="12"/>
        <v>#DIV/0!</v>
      </c>
      <c r="N46" s="57" t="e">
        <f t="shared" si="13"/>
        <v>#DIV/0!</v>
      </c>
      <c r="O46" s="58" t="e">
        <f>Links!B46</f>
        <v>#DIV/0!</v>
      </c>
      <c r="P46" s="58" t="e">
        <f>Links!C46+'On-Ramps'!AC46</f>
        <v>#DIV/0!</v>
      </c>
      <c r="Q46" s="58" t="e">
        <f>Links!D46</f>
        <v>#DIV/0!</v>
      </c>
      <c r="R46" s="58" t="e">
        <f>Links!E46+'On-Ramps'!AD46</f>
        <v>#DIV/0!</v>
      </c>
      <c r="S46" s="58" t="e">
        <f>Links!F46+'On-Ramps'!AE46</f>
        <v>#DIV/0!</v>
      </c>
      <c r="T46" s="58" t="e">
        <f>Links!I46+'On-Ramps'!AF46</f>
        <v>#DIV/0!</v>
      </c>
      <c r="U46" s="58" t="e">
        <f>Links!J46+'On-Ramps'!AG46</f>
        <v>#DIV/0!</v>
      </c>
      <c r="V46" s="58" t="e">
        <f>Links!L46+'On-Ramps'!AH46</f>
        <v>#DIV/0!</v>
      </c>
      <c r="W46" s="58" t="e">
        <f>Links!M46+'On-Ramps'!AI46</f>
        <v>#DIV/0!</v>
      </c>
      <c r="X46" s="58" t="e">
        <f>Links!P46+'On-Ramps'!AJ46</f>
        <v>#DIV/0!</v>
      </c>
      <c r="Y46" s="58" t="e">
        <f>Links!Q46</f>
        <v>#DIV/0!</v>
      </c>
      <c r="Z46" s="58" t="e">
        <f>Links!R46+'On-Ramps'!AK46</f>
        <v>#DIV/0!</v>
      </c>
      <c r="AA46" s="58" t="e">
        <f>Links!S46</f>
        <v>#DIV/0!</v>
      </c>
      <c r="AB46" s="57" t="e">
        <f t="shared" si="16"/>
        <v>#DIV/0!</v>
      </c>
      <c r="AC46" s="63"/>
      <c r="AD46" s="57" t="e">
        <f t="shared" si="17"/>
        <v>#DIV/0!</v>
      </c>
      <c r="AE46" s="63"/>
      <c r="AF46" s="57" t="e">
        <f t="shared" si="18"/>
        <v>#DIV/0!</v>
      </c>
      <c r="AG46" s="57" t="e">
        <f t="shared" si="19"/>
        <v>#DIV/0!</v>
      </c>
      <c r="AH46" s="57" t="e">
        <f t="shared" si="20"/>
        <v>#DIV/0!</v>
      </c>
      <c r="AI46" s="57" t="e">
        <f t="shared" si="21"/>
        <v>#DIV/0!</v>
      </c>
      <c r="AJ46" s="57" t="e">
        <f t="shared" si="22"/>
        <v>#DIV/0!</v>
      </c>
      <c r="AK46" s="57" t="e">
        <f t="shared" si="23"/>
        <v>#DIV/0!</v>
      </c>
      <c r="AL46" s="57" t="e">
        <f t="shared" si="24"/>
        <v>#DIV/0!</v>
      </c>
      <c r="AM46" s="63"/>
      <c r="AN46" s="57" t="e">
        <f t="shared" si="26"/>
        <v>#DIV/0!</v>
      </c>
      <c r="AO46" s="58" t="e">
        <f t="shared" si="27"/>
        <v>#DIV/0!</v>
      </c>
      <c r="AP46" s="63"/>
      <c r="AQ46" s="58" t="e">
        <f t="shared" si="27"/>
        <v>#DIV/0!</v>
      </c>
      <c r="AR46" s="63"/>
      <c r="AS46" s="58" t="e">
        <f t="shared" si="27"/>
        <v>#DIV/0!</v>
      </c>
      <c r="AT46" s="58" t="e">
        <f t="shared" si="27"/>
        <v>#DIV/0!</v>
      </c>
      <c r="AU46" s="58" t="e">
        <f t="shared" si="27"/>
        <v>#DIV/0!</v>
      </c>
      <c r="AV46" s="58" t="e">
        <f t="shared" si="27"/>
        <v>#DIV/0!</v>
      </c>
      <c r="AW46" s="58" t="e">
        <f t="shared" si="27"/>
        <v>#DIV/0!</v>
      </c>
      <c r="AX46" s="58" t="e">
        <f t="shared" si="27"/>
        <v>#DIV/0!</v>
      </c>
      <c r="AY46" s="58" t="e">
        <f t="shared" si="27"/>
        <v>#DIV/0!</v>
      </c>
      <c r="AZ46" s="63"/>
      <c r="BA46" s="58" t="e">
        <f t="shared" si="27"/>
        <v>#DIV/0!</v>
      </c>
      <c r="BB46" s="63"/>
      <c r="BC46" s="57" t="e">
        <f>(Links!C46*Links!AQ46+'On-Ramps'!AC46*'On-Ramps'!CE46)/('On-Ramps'!AC46+Links!C46)</f>
        <v>#DIV/0!</v>
      </c>
      <c r="BD46" s="63"/>
      <c r="BE46" s="57" t="e">
        <f>(Links!E46*Links!AS46+'On-Ramps'!AD46*'On-Ramps'!CF45)/('On-Ramps'!AD46+Links!E46)</f>
        <v>#DIV/0!</v>
      </c>
      <c r="BF46" s="57" t="e">
        <f>(Links!F46*Links!AT46+'On-Ramps'!AE46*'On-Ramps'!CG46)/('On-Ramps'!AE46+Links!F46)</f>
        <v>#DIV/0!</v>
      </c>
      <c r="BG46" s="57" t="e">
        <f>(Links!I46*Links!AW46+'On-Ramps'!AF46*'On-Ramps'!CH46)/('On-Ramps'!AF46+Links!I46)</f>
        <v>#DIV/0!</v>
      </c>
      <c r="BH46" s="57" t="e">
        <f>(#REF!*#REF!+'On-Ramps'!AG46*'On-Ramps'!CI46)/('On-Ramps'!AG46+#REF!)</f>
        <v>#REF!</v>
      </c>
      <c r="BI46" s="57" t="e">
        <f>(Links!L46*Links!AZ46+'On-Ramps'!AH46*'On-Ramps'!CJ46)/('On-Ramps'!AH46+Links!L46)</f>
        <v>#DIV/0!</v>
      </c>
      <c r="BJ46" s="57" t="e">
        <f>(Links!BA46*Links!M46+'On-Ramps'!AI46*'On-Ramps'!CK46)/('On-Ramps'!AI46+Links!M46)</f>
        <v>#DIV/0!</v>
      </c>
      <c r="BK46" s="57" t="e">
        <f>(Links!S46*Links!BG46+'On-Ramps'!AJ46*'On-Ramps'!CL46)/('On-Ramps'!AJ46+Links!S46)</f>
        <v>#DIV/0!</v>
      </c>
      <c r="BL46" s="63"/>
      <c r="BM46" s="57" t="e">
        <f>(Links!S46*Links!BG46+'On-Ramps'!AL46*'On-Ramps'!CM46)/(Links!S46+'On-Ramps'!AL46)</f>
        <v>#DIV/0!</v>
      </c>
      <c r="BN46" s="63"/>
      <c r="BO46" s="58" t="e">
        <f>(Links!W46^2+'Off-Ramp'!L46^2)/(Links!W46+'Off-Ramp'!L46)</f>
        <v>#DIV/0!</v>
      </c>
      <c r="BP46" s="63"/>
      <c r="BQ46" s="58" t="e">
        <f>(Links!Y46^2+'Off-Ramp'!C46^2)/(Links!Y46+'Off-Ramp'!C46)</f>
        <v>#DIV/0!</v>
      </c>
      <c r="BR46" s="63"/>
      <c r="BS46" s="58" t="e">
        <f>(Links!AA46^2+'Off-Ramp'!N46^2)/(Links!AA46+'Off-Ramp'!N46)</f>
        <v>#DIV/0!</v>
      </c>
      <c r="BT46" s="58" t="e">
        <f>(Links!AD46^2+'Off-Ramp'!O46^2)/(Links!AD46+'Off-Ramp'!O46)</f>
        <v>#DIV/0!</v>
      </c>
      <c r="BU46" s="58" t="e">
        <f>(Links!AE46^2+'Off-Ramp'!V46^2+'Off-Ramp'!W46^2+'Off-Ramp'!X46^2)/(Links!AE46+'Off-Ramp'!V46+'Off-Ramp'!W46+'Off-Ramp'!X46)</f>
        <v>#DIV/0!</v>
      </c>
      <c r="BV46" s="58" t="e">
        <f>(Links!AG46^2+'Off-Ramp'!Y46^2+'Off-Ramp'!Z46^2+'Off-Ramp'!AA46^2)/(Links!AG46+'Off-Ramp'!Y46+'Off-Ramp'!Z46+'Off-Ramp'!AA46)</f>
        <v>#DIV/0!</v>
      </c>
      <c r="BW46" s="58" t="e">
        <f>(Links!AH46^2+'Off-Ramp'!R46^2)/(Links!AH46+'Off-Ramp'!R46)</f>
        <v>#DIV/0!</v>
      </c>
      <c r="BX46" s="58" t="e">
        <f>(Links!AK46^2+'Off-Ramp'!S46^2)/(Links!AK46+'Off-Ramp'!S46)</f>
        <v>#DIV/0!</v>
      </c>
      <c r="BY46" s="58" t="e">
        <f>(Links!AL46^2+'Off-Ramp'!T46^2)/(Links!AL46+'Off-Ramp'!T46)</f>
        <v>#DIV/0!</v>
      </c>
      <c r="BZ46" s="63"/>
      <c r="CA46" s="58" t="e">
        <f>(Links!AN46^2+'Off-Ramp'!U46^2)/(Links!AN46+'Off-Ramp'!U46)</f>
        <v>#DIV/0!</v>
      </c>
    </row>
    <row r="47" spans="1:79" x14ac:dyDescent="0.15">
      <c r="A47" s="56">
        <v>45</v>
      </c>
      <c r="B47" s="57" t="e">
        <f t="shared" si="1"/>
        <v>#DIV/0!</v>
      </c>
      <c r="C47" s="57" t="e">
        <f t="shared" si="2"/>
        <v>#DIV/0!</v>
      </c>
      <c r="D47" s="57" t="e">
        <f t="shared" si="3"/>
        <v>#DIV/0!</v>
      </c>
      <c r="E47" s="57" t="e">
        <f t="shared" si="4"/>
        <v>#DIV/0!</v>
      </c>
      <c r="F47" s="57" t="e">
        <f t="shared" si="5"/>
        <v>#DIV/0!</v>
      </c>
      <c r="G47" s="57" t="e">
        <f t="shared" si="6"/>
        <v>#DIV/0!</v>
      </c>
      <c r="H47" s="57" t="e">
        <f t="shared" si="7"/>
        <v>#DIV/0!</v>
      </c>
      <c r="I47" s="57" t="e">
        <f t="shared" si="8"/>
        <v>#DIV/0!</v>
      </c>
      <c r="J47" s="57" t="e">
        <f t="shared" si="9"/>
        <v>#DIV/0!</v>
      </c>
      <c r="K47" s="57" t="e">
        <f t="shared" si="10"/>
        <v>#DIV/0!</v>
      </c>
      <c r="L47" s="57" t="e">
        <f t="shared" si="11"/>
        <v>#DIV/0!</v>
      </c>
      <c r="M47" s="57" t="e">
        <f t="shared" si="12"/>
        <v>#DIV/0!</v>
      </c>
      <c r="N47" s="57" t="e">
        <f t="shared" si="13"/>
        <v>#DIV/0!</v>
      </c>
      <c r="O47" s="58" t="e">
        <f>Links!B47</f>
        <v>#DIV/0!</v>
      </c>
      <c r="P47" s="58" t="e">
        <f>Links!C47+'On-Ramps'!AC47</f>
        <v>#DIV/0!</v>
      </c>
      <c r="Q47" s="58" t="e">
        <f>Links!D47</f>
        <v>#DIV/0!</v>
      </c>
      <c r="R47" s="58" t="e">
        <f>Links!E47+'On-Ramps'!AD47</f>
        <v>#DIV/0!</v>
      </c>
      <c r="S47" s="58" t="e">
        <f>Links!F47+'On-Ramps'!AE47</f>
        <v>#DIV/0!</v>
      </c>
      <c r="T47" s="58" t="e">
        <f>Links!I47+'On-Ramps'!AF47</f>
        <v>#DIV/0!</v>
      </c>
      <c r="U47" s="58" t="e">
        <f>Links!J47+'On-Ramps'!AG47</f>
        <v>#DIV/0!</v>
      </c>
      <c r="V47" s="58" t="e">
        <f>Links!L47+'On-Ramps'!AH47</f>
        <v>#DIV/0!</v>
      </c>
      <c r="W47" s="58" t="e">
        <f>Links!M47+'On-Ramps'!AI47</f>
        <v>#DIV/0!</v>
      </c>
      <c r="X47" s="58" t="e">
        <f>Links!P47+'On-Ramps'!AJ47</f>
        <v>#DIV/0!</v>
      </c>
      <c r="Y47" s="58" t="e">
        <f>Links!Q47</f>
        <v>#DIV/0!</v>
      </c>
      <c r="Z47" s="58" t="e">
        <f>Links!R47+'On-Ramps'!AK47</f>
        <v>#DIV/0!</v>
      </c>
      <c r="AA47" s="58" t="e">
        <f>Links!S47</f>
        <v>#DIV/0!</v>
      </c>
      <c r="AB47" s="57" t="e">
        <f t="shared" si="16"/>
        <v>#DIV/0!</v>
      </c>
      <c r="AC47" s="63"/>
      <c r="AD47" s="57" t="e">
        <f t="shared" si="17"/>
        <v>#DIV/0!</v>
      </c>
      <c r="AE47" s="63"/>
      <c r="AF47" s="57" t="e">
        <f t="shared" si="18"/>
        <v>#DIV/0!</v>
      </c>
      <c r="AG47" s="57" t="e">
        <f t="shared" si="19"/>
        <v>#DIV/0!</v>
      </c>
      <c r="AH47" s="57" t="e">
        <f t="shared" si="20"/>
        <v>#DIV/0!</v>
      </c>
      <c r="AI47" s="57" t="e">
        <f t="shared" si="21"/>
        <v>#DIV/0!</v>
      </c>
      <c r="AJ47" s="57" t="e">
        <f t="shared" si="22"/>
        <v>#DIV/0!</v>
      </c>
      <c r="AK47" s="57" t="e">
        <f t="shared" si="23"/>
        <v>#DIV/0!</v>
      </c>
      <c r="AL47" s="57" t="e">
        <f t="shared" si="24"/>
        <v>#DIV/0!</v>
      </c>
      <c r="AM47" s="63"/>
      <c r="AN47" s="57" t="e">
        <f t="shared" si="26"/>
        <v>#DIV/0!</v>
      </c>
      <c r="AO47" s="58" t="e">
        <f t="shared" si="27"/>
        <v>#DIV/0!</v>
      </c>
      <c r="AP47" s="63"/>
      <c r="AQ47" s="58" t="e">
        <f t="shared" si="27"/>
        <v>#DIV/0!</v>
      </c>
      <c r="AR47" s="63"/>
      <c r="AS47" s="58" t="e">
        <f t="shared" si="27"/>
        <v>#DIV/0!</v>
      </c>
      <c r="AT47" s="58" t="e">
        <f t="shared" si="27"/>
        <v>#DIV/0!</v>
      </c>
      <c r="AU47" s="58" t="e">
        <f t="shared" si="27"/>
        <v>#DIV/0!</v>
      </c>
      <c r="AV47" s="58" t="e">
        <f t="shared" si="27"/>
        <v>#DIV/0!</v>
      </c>
      <c r="AW47" s="58" t="e">
        <f t="shared" si="27"/>
        <v>#DIV/0!</v>
      </c>
      <c r="AX47" s="58" t="e">
        <f t="shared" si="27"/>
        <v>#DIV/0!</v>
      </c>
      <c r="AY47" s="58" t="e">
        <f t="shared" si="27"/>
        <v>#DIV/0!</v>
      </c>
      <c r="AZ47" s="63"/>
      <c r="BA47" s="58" t="e">
        <f t="shared" si="27"/>
        <v>#DIV/0!</v>
      </c>
      <c r="BB47" s="63"/>
      <c r="BC47" s="57" t="e">
        <f>(Links!C47*Links!AQ47+'On-Ramps'!AC47*'On-Ramps'!CE47)/('On-Ramps'!AC47+Links!C47)</f>
        <v>#DIV/0!</v>
      </c>
      <c r="BD47" s="63"/>
      <c r="BE47" s="57" t="e">
        <f>(Links!E47*Links!AS47+'On-Ramps'!AD47*'On-Ramps'!CF46)/('On-Ramps'!AD47+Links!E47)</f>
        <v>#DIV/0!</v>
      </c>
      <c r="BF47" s="57" t="e">
        <f>(Links!F47*Links!AT47+'On-Ramps'!AE47*'On-Ramps'!CG47)/('On-Ramps'!AE47+Links!F47)</f>
        <v>#DIV/0!</v>
      </c>
      <c r="BG47" s="57" t="e">
        <f>(Links!I47*Links!AW47+'On-Ramps'!AF47*'On-Ramps'!CH47)/('On-Ramps'!AF47+Links!I47)</f>
        <v>#DIV/0!</v>
      </c>
      <c r="BH47" s="57" t="e">
        <f>(#REF!*#REF!+'On-Ramps'!AG47*'On-Ramps'!CI47)/('On-Ramps'!AG47+#REF!)</f>
        <v>#REF!</v>
      </c>
      <c r="BI47" s="57" t="e">
        <f>(Links!L47*Links!AZ47+'On-Ramps'!AH47*'On-Ramps'!CJ47)/('On-Ramps'!AH47+Links!L47)</f>
        <v>#DIV/0!</v>
      </c>
      <c r="BJ47" s="57" t="e">
        <f>(Links!BA47*Links!M47+'On-Ramps'!AI47*'On-Ramps'!CK47)/('On-Ramps'!AI47+Links!M47)</f>
        <v>#DIV/0!</v>
      </c>
      <c r="BK47" s="57" t="e">
        <f>(Links!S47*Links!BG47+'On-Ramps'!AJ47*'On-Ramps'!CL47)/('On-Ramps'!AJ47+Links!S47)</f>
        <v>#DIV/0!</v>
      </c>
      <c r="BL47" s="63"/>
      <c r="BM47" s="57" t="e">
        <f>(Links!S47*Links!BG47+'On-Ramps'!AL47*'On-Ramps'!CM47)/(Links!S47+'On-Ramps'!AL47)</f>
        <v>#DIV/0!</v>
      </c>
      <c r="BN47" s="63"/>
      <c r="BO47" s="58" t="e">
        <f>(Links!W47^2+'Off-Ramp'!L47^2)/(Links!W47+'Off-Ramp'!L47)</f>
        <v>#DIV/0!</v>
      </c>
      <c r="BP47" s="63"/>
      <c r="BQ47" s="58" t="e">
        <f>(Links!Y47^2+'Off-Ramp'!C47^2)/(Links!Y47+'Off-Ramp'!C47)</f>
        <v>#DIV/0!</v>
      </c>
      <c r="BR47" s="63"/>
      <c r="BS47" s="58" t="e">
        <f>(Links!AA47^2+'Off-Ramp'!N47^2)/(Links!AA47+'Off-Ramp'!N47)</f>
        <v>#DIV/0!</v>
      </c>
      <c r="BT47" s="58" t="e">
        <f>(Links!AD47^2+'Off-Ramp'!O47^2)/(Links!AD47+'Off-Ramp'!O47)</f>
        <v>#DIV/0!</v>
      </c>
      <c r="BU47" s="58" t="e">
        <f>(Links!AE47^2+'Off-Ramp'!V47^2+'Off-Ramp'!W47^2+'Off-Ramp'!X47^2)/(Links!AE47+'Off-Ramp'!V47+'Off-Ramp'!W47+'Off-Ramp'!X47)</f>
        <v>#DIV/0!</v>
      </c>
      <c r="BV47" s="58" t="e">
        <f>(Links!AG47^2+'Off-Ramp'!Y47^2+'Off-Ramp'!Z47^2+'Off-Ramp'!AA47^2)/(Links!AG47+'Off-Ramp'!Y47+'Off-Ramp'!Z47+'Off-Ramp'!AA47)</f>
        <v>#DIV/0!</v>
      </c>
      <c r="BW47" s="58" t="e">
        <f>(Links!AH47^2+'Off-Ramp'!R47^2)/(Links!AH47+'Off-Ramp'!R47)</f>
        <v>#DIV/0!</v>
      </c>
      <c r="BX47" s="58" t="e">
        <f>(Links!AK47^2+'Off-Ramp'!S47^2)/(Links!AK47+'Off-Ramp'!S47)</f>
        <v>#DIV/0!</v>
      </c>
      <c r="BY47" s="58" t="e">
        <f>(Links!AL47^2+'Off-Ramp'!T47^2)/(Links!AL47+'Off-Ramp'!T47)</f>
        <v>#DIV/0!</v>
      </c>
      <c r="BZ47" s="63"/>
      <c r="CA47" s="58" t="e">
        <f>(Links!AN47^2+'Off-Ramp'!U47^2)/(Links!AN47+'Off-Ramp'!U47)</f>
        <v>#DIV/0!</v>
      </c>
    </row>
    <row r="48" spans="1:79" x14ac:dyDescent="0.15">
      <c r="A48" s="56">
        <v>46</v>
      </c>
      <c r="B48" s="57" t="e">
        <f t="shared" si="1"/>
        <v>#DIV/0!</v>
      </c>
      <c r="C48" s="57" t="e">
        <f t="shared" si="2"/>
        <v>#DIV/0!</v>
      </c>
      <c r="D48" s="57" t="e">
        <f t="shared" si="3"/>
        <v>#DIV/0!</v>
      </c>
      <c r="E48" s="57" t="e">
        <f t="shared" si="4"/>
        <v>#DIV/0!</v>
      </c>
      <c r="F48" s="57" t="e">
        <f t="shared" si="5"/>
        <v>#DIV/0!</v>
      </c>
      <c r="G48" s="57" t="e">
        <f t="shared" si="6"/>
        <v>#DIV/0!</v>
      </c>
      <c r="H48" s="57" t="e">
        <f t="shared" si="7"/>
        <v>#DIV/0!</v>
      </c>
      <c r="I48" s="57" t="e">
        <f t="shared" si="8"/>
        <v>#DIV/0!</v>
      </c>
      <c r="J48" s="57" t="e">
        <f t="shared" si="9"/>
        <v>#DIV/0!</v>
      </c>
      <c r="K48" s="57" t="e">
        <f t="shared" si="10"/>
        <v>#DIV/0!</v>
      </c>
      <c r="L48" s="57" t="e">
        <f t="shared" si="11"/>
        <v>#DIV/0!</v>
      </c>
      <c r="M48" s="57" t="e">
        <f t="shared" si="12"/>
        <v>#DIV/0!</v>
      </c>
      <c r="N48" s="57" t="e">
        <f t="shared" si="13"/>
        <v>#DIV/0!</v>
      </c>
      <c r="O48" s="58" t="e">
        <f>Links!B48</f>
        <v>#DIV/0!</v>
      </c>
      <c r="P48" s="58" t="e">
        <f>Links!C48+'On-Ramps'!AC48</f>
        <v>#DIV/0!</v>
      </c>
      <c r="Q48" s="58" t="e">
        <f>Links!D48</f>
        <v>#DIV/0!</v>
      </c>
      <c r="R48" s="58" t="e">
        <f>Links!E48+'On-Ramps'!AD48</f>
        <v>#DIV/0!</v>
      </c>
      <c r="S48" s="58" t="e">
        <f>Links!F48+'On-Ramps'!AE48</f>
        <v>#DIV/0!</v>
      </c>
      <c r="T48" s="58" t="e">
        <f>Links!I48+'On-Ramps'!AF48</f>
        <v>#DIV/0!</v>
      </c>
      <c r="U48" s="58" t="e">
        <f>Links!J48+'On-Ramps'!AG48</f>
        <v>#DIV/0!</v>
      </c>
      <c r="V48" s="58" t="e">
        <f>Links!L48+'On-Ramps'!AH48</f>
        <v>#DIV/0!</v>
      </c>
      <c r="W48" s="58" t="e">
        <f>Links!M48+'On-Ramps'!AI48</f>
        <v>#DIV/0!</v>
      </c>
      <c r="X48" s="58" t="e">
        <f>Links!P48+'On-Ramps'!AJ48</f>
        <v>#DIV/0!</v>
      </c>
      <c r="Y48" s="58" t="e">
        <f>Links!Q48</f>
        <v>#DIV/0!</v>
      </c>
      <c r="Z48" s="58" t="e">
        <f>Links!R48+'On-Ramps'!AK48</f>
        <v>#DIV/0!</v>
      </c>
      <c r="AA48" s="58" t="e">
        <f>Links!S48</f>
        <v>#DIV/0!</v>
      </c>
      <c r="AB48" s="57" t="e">
        <f t="shared" si="16"/>
        <v>#DIV/0!</v>
      </c>
      <c r="AC48" s="63"/>
      <c r="AD48" s="57" t="e">
        <f t="shared" si="17"/>
        <v>#DIV/0!</v>
      </c>
      <c r="AE48" s="63"/>
      <c r="AF48" s="57" t="e">
        <f t="shared" si="18"/>
        <v>#DIV/0!</v>
      </c>
      <c r="AG48" s="57" t="e">
        <f t="shared" si="19"/>
        <v>#DIV/0!</v>
      </c>
      <c r="AH48" s="57" t="e">
        <f t="shared" si="20"/>
        <v>#DIV/0!</v>
      </c>
      <c r="AI48" s="57" t="e">
        <f t="shared" si="21"/>
        <v>#DIV/0!</v>
      </c>
      <c r="AJ48" s="57" t="e">
        <f t="shared" si="22"/>
        <v>#DIV/0!</v>
      </c>
      <c r="AK48" s="57" t="e">
        <f t="shared" si="23"/>
        <v>#DIV/0!</v>
      </c>
      <c r="AL48" s="57" t="e">
        <f t="shared" si="24"/>
        <v>#DIV/0!</v>
      </c>
      <c r="AM48" s="63"/>
      <c r="AN48" s="57" t="e">
        <f t="shared" si="26"/>
        <v>#DIV/0!</v>
      </c>
      <c r="AO48" s="58" t="e">
        <f t="shared" si="27"/>
        <v>#DIV/0!</v>
      </c>
      <c r="AP48" s="63"/>
      <c r="AQ48" s="58" t="e">
        <f t="shared" si="27"/>
        <v>#DIV/0!</v>
      </c>
      <c r="AR48" s="63"/>
      <c r="AS48" s="58" t="e">
        <f t="shared" si="27"/>
        <v>#DIV/0!</v>
      </c>
      <c r="AT48" s="58" t="e">
        <f t="shared" si="27"/>
        <v>#DIV/0!</v>
      </c>
      <c r="AU48" s="58" t="e">
        <f t="shared" si="27"/>
        <v>#DIV/0!</v>
      </c>
      <c r="AV48" s="58" t="e">
        <f t="shared" si="27"/>
        <v>#DIV/0!</v>
      </c>
      <c r="AW48" s="58" t="e">
        <f t="shared" si="27"/>
        <v>#DIV/0!</v>
      </c>
      <c r="AX48" s="58" t="e">
        <f t="shared" si="27"/>
        <v>#DIV/0!</v>
      </c>
      <c r="AY48" s="58" t="e">
        <f t="shared" si="27"/>
        <v>#DIV/0!</v>
      </c>
      <c r="AZ48" s="63"/>
      <c r="BA48" s="58" t="e">
        <f t="shared" si="27"/>
        <v>#DIV/0!</v>
      </c>
      <c r="BB48" s="63"/>
      <c r="BC48" s="57" t="e">
        <f>(Links!C48*Links!AQ48+'On-Ramps'!AC48*'On-Ramps'!CE48)/('On-Ramps'!AC48+Links!C48)</f>
        <v>#DIV/0!</v>
      </c>
      <c r="BD48" s="63"/>
      <c r="BE48" s="57" t="e">
        <f>(Links!E48*Links!AS48+'On-Ramps'!AD48*'On-Ramps'!CF47)/('On-Ramps'!AD48+Links!E48)</f>
        <v>#DIV/0!</v>
      </c>
      <c r="BF48" s="57" t="e">
        <f>(Links!F48*Links!AT48+'On-Ramps'!AE48*'On-Ramps'!CG48)/('On-Ramps'!AE48+Links!F48)</f>
        <v>#DIV/0!</v>
      </c>
      <c r="BG48" s="57" t="e">
        <f>(Links!I48*Links!AW48+'On-Ramps'!AF48*'On-Ramps'!CH48)/('On-Ramps'!AF48+Links!I48)</f>
        <v>#DIV/0!</v>
      </c>
      <c r="BH48" s="57" t="e">
        <f>(#REF!*#REF!+'On-Ramps'!AG48*'On-Ramps'!CI48)/('On-Ramps'!AG48+#REF!)</f>
        <v>#REF!</v>
      </c>
      <c r="BI48" s="57" t="e">
        <f>(Links!L48*Links!AZ48+'On-Ramps'!AH48*'On-Ramps'!CJ48)/('On-Ramps'!AH48+Links!L48)</f>
        <v>#DIV/0!</v>
      </c>
      <c r="BJ48" s="57" t="e">
        <f>(Links!BA48*Links!M48+'On-Ramps'!AI48*'On-Ramps'!CK48)/('On-Ramps'!AI48+Links!M48)</f>
        <v>#DIV/0!</v>
      </c>
      <c r="BK48" s="57" t="e">
        <f>(Links!S48*Links!BG48+'On-Ramps'!AJ48*'On-Ramps'!CL48)/('On-Ramps'!AJ48+Links!S48)</f>
        <v>#DIV/0!</v>
      </c>
      <c r="BL48" s="63"/>
      <c r="BM48" s="57" t="e">
        <f>(Links!S48*Links!BG48+'On-Ramps'!AL48*'On-Ramps'!CM48)/(Links!S48+'On-Ramps'!AL48)</f>
        <v>#DIV/0!</v>
      </c>
      <c r="BN48" s="63"/>
      <c r="BO48" s="58" t="e">
        <f>(Links!W48^2+'Off-Ramp'!L48^2)/(Links!W48+'Off-Ramp'!L48)</f>
        <v>#DIV/0!</v>
      </c>
      <c r="BP48" s="63"/>
      <c r="BQ48" s="58" t="e">
        <f>(Links!Y48^2+'Off-Ramp'!C48^2)/(Links!Y48+'Off-Ramp'!C48)</f>
        <v>#DIV/0!</v>
      </c>
      <c r="BR48" s="63"/>
      <c r="BS48" s="58" t="e">
        <f>(Links!AA48^2+'Off-Ramp'!N48^2)/(Links!AA48+'Off-Ramp'!N48)</f>
        <v>#DIV/0!</v>
      </c>
      <c r="BT48" s="58" t="e">
        <f>(Links!AD48^2+'Off-Ramp'!O48^2)/(Links!AD48+'Off-Ramp'!O48)</f>
        <v>#DIV/0!</v>
      </c>
      <c r="BU48" s="58" t="e">
        <f>(Links!AE48^2+'Off-Ramp'!V48^2+'Off-Ramp'!W48^2+'Off-Ramp'!X48^2)/(Links!AE48+'Off-Ramp'!V48+'Off-Ramp'!W48+'Off-Ramp'!X48)</f>
        <v>#DIV/0!</v>
      </c>
      <c r="BV48" s="58" t="e">
        <f>(Links!AG48^2+'Off-Ramp'!Y48^2+'Off-Ramp'!Z48^2+'Off-Ramp'!AA48^2)/(Links!AG48+'Off-Ramp'!Y48+'Off-Ramp'!Z48+'Off-Ramp'!AA48)</f>
        <v>#DIV/0!</v>
      </c>
      <c r="BW48" s="58" t="e">
        <f>(Links!AH48^2+'Off-Ramp'!R48^2)/(Links!AH48+'Off-Ramp'!R48)</f>
        <v>#DIV/0!</v>
      </c>
      <c r="BX48" s="58" t="e">
        <f>(Links!AK48^2+'Off-Ramp'!S48^2)/(Links!AK48+'Off-Ramp'!S48)</f>
        <v>#DIV/0!</v>
      </c>
      <c r="BY48" s="58" t="e">
        <f>(Links!AL48^2+'Off-Ramp'!T48^2)/(Links!AL48+'Off-Ramp'!T48)</f>
        <v>#DIV/0!</v>
      </c>
      <c r="BZ48" s="63"/>
      <c r="CA48" s="58" t="e">
        <f>(Links!AN48^2+'Off-Ramp'!U48^2)/(Links!AN48+'Off-Ramp'!U48)</f>
        <v>#DIV/0!</v>
      </c>
    </row>
    <row r="49" spans="1:79" x14ac:dyDescent="0.15">
      <c r="A49" s="56">
        <v>47</v>
      </c>
      <c r="B49" s="57" t="e">
        <f t="shared" si="1"/>
        <v>#DIV/0!</v>
      </c>
      <c r="C49" s="57" t="e">
        <f t="shared" si="2"/>
        <v>#DIV/0!</v>
      </c>
      <c r="D49" s="57" t="e">
        <f t="shared" si="3"/>
        <v>#DIV/0!</v>
      </c>
      <c r="E49" s="57" t="e">
        <f t="shared" si="4"/>
        <v>#DIV/0!</v>
      </c>
      <c r="F49" s="57" t="e">
        <f t="shared" si="5"/>
        <v>#DIV/0!</v>
      </c>
      <c r="G49" s="57" t="e">
        <f t="shared" si="6"/>
        <v>#DIV/0!</v>
      </c>
      <c r="H49" s="57" t="e">
        <f t="shared" si="7"/>
        <v>#DIV/0!</v>
      </c>
      <c r="I49" s="57" t="e">
        <f t="shared" si="8"/>
        <v>#DIV/0!</v>
      </c>
      <c r="J49" s="57" t="e">
        <f t="shared" si="9"/>
        <v>#DIV/0!</v>
      </c>
      <c r="K49" s="57" t="e">
        <f t="shared" si="10"/>
        <v>#DIV/0!</v>
      </c>
      <c r="L49" s="57" t="e">
        <f t="shared" si="11"/>
        <v>#DIV/0!</v>
      </c>
      <c r="M49" s="57" t="e">
        <f t="shared" si="12"/>
        <v>#DIV/0!</v>
      </c>
      <c r="N49" s="57" t="e">
        <f t="shared" si="13"/>
        <v>#DIV/0!</v>
      </c>
      <c r="O49" s="58" t="e">
        <f>Links!B49</f>
        <v>#DIV/0!</v>
      </c>
      <c r="P49" s="58" t="e">
        <f>Links!C49+'On-Ramps'!AC49</f>
        <v>#DIV/0!</v>
      </c>
      <c r="Q49" s="58" t="e">
        <f>Links!D49</f>
        <v>#DIV/0!</v>
      </c>
      <c r="R49" s="58" t="e">
        <f>Links!E49+'On-Ramps'!AD49</f>
        <v>#DIV/0!</v>
      </c>
      <c r="S49" s="58" t="e">
        <f>Links!F49+'On-Ramps'!AE49</f>
        <v>#DIV/0!</v>
      </c>
      <c r="T49" s="58" t="e">
        <f>Links!I49+'On-Ramps'!AF49</f>
        <v>#DIV/0!</v>
      </c>
      <c r="U49" s="58" t="e">
        <f>Links!J49+'On-Ramps'!AG49</f>
        <v>#DIV/0!</v>
      </c>
      <c r="V49" s="58" t="e">
        <f>Links!L49+'On-Ramps'!AH49</f>
        <v>#DIV/0!</v>
      </c>
      <c r="W49" s="58" t="e">
        <f>Links!M49+'On-Ramps'!AI49</f>
        <v>#DIV/0!</v>
      </c>
      <c r="X49" s="58" t="e">
        <f>Links!P49+'On-Ramps'!AJ49</f>
        <v>#DIV/0!</v>
      </c>
      <c r="Y49" s="58" t="e">
        <f>Links!Q49</f>
        <v>#DIV/0!</v>
      </c>
      <c r="Z49" s="58" t="e">
        <f>Links!R49+'On-Ramps'!AK49</f>
        <v>#DIV/0!</v>
      </c>
      <c r="AA49" s="58" t="e">
        <f>Links!S49</f>
        <v>#DIV/0!</v>
      </c>
      <c r="AB49" s="57" t="e">
        <f t="shared" si="16"/>
        <v>#DIV/0!</v>
      </c>
      <c r="AC49" s="63"/>
      <c r="AD49" s="57" t="e">
        <f t="shared" si="17"/>
        <v>#DIV/0!</v>
      </c>
      <c r="AE49" s="63"/>
      <c r="AF49" s="57" t="e">
        <f t="shared" si="18"/>
        <v>#DIV/0!</v>
      </c>
      <c r="AG49" s="57" t="e">
        <f t="shared" si="19"/>
        <v>#DIV/0!</v>
      </c>
      <c r="AH49" s="57" t="e">
        <f t="shared" si="20"/>
        <v>#DIV/0!</v>
      </c>
      <c r="AI49" s="57" t="e">
        <f t="shared" si="21"/>
        <v>#DIV/0!</v>
      </c>
      <c r="AJ49" s="57" t="e">
        <f t="shared" si="22"/>
        <v>#DIV/0!</v>
      </c>
      <c r="AK49" s="57" t="e">
        <f t="shared" si="23"/>
        <v>#DIV/0!</v>
      </c>
      <c r="AL49" s="57" t="e">
        <f t="shared" si="24"/>
        <v>#DIV/0!</v>
      </c>
      <c r="AM49" s="63"/>
      <c r="AN49" s="57" t="e">
        <f t="shared" si="26"/>
        <v>#DIV/0!</v>
      </c>
      <c r="AO49" s="58" t="e">
        <f t="shared" si="27"/>
        <v>#DIV/0!</v>
      </c>
      <c r="AP49" s="63"/>
      <c r="AQ49" s="58" t="e">
        <f t="shared" si="27"/>
        <v>#DIV/0!</v>
      </c>
      <c r="AR49" s="63"/>
      <c r="AS49" s="58" t="e">
        <f t="shared" si="27"/>
        <v>#DIV/0!</v>
      </c>
      <c r="AT49" s="58" t="e">
        <f t="shared" si="27"/>
        <v>#DIV/0!</v>
      </c>
      <c r="AU49" s="58" t="e">
        <f t="shared" si="27"/>
        <v>#DIV/0!</v>
      </c>
      <c r="AV49" s="58" t="e">
        <f t="shared" si="27"/>
        <v>#DIV/0!</v>
      </c>
      <c r="AW49" s="58" t="e">
        <f t="shared" si="27"/>
        <v>#DIV/0!</v>
      </c>
      <c r="AX49" s="58" t="e">
        <f t="shared" si="27"/>
        <v>#DIV/0!</v>
      </c>
      <c r="AY49" s="58" t="e">
        <f t="shared" si="27"/>
        <v>#DIV/0!</v>
      </c>
      <c r="AZ49" s="63"/>
      <c r="BA49" s="58" t="e">
        <f t="shared" si="27"/>
        <v>#DIV/0!</v>
      </c>
      <c r="BB49" s="63"/>
      <c r="BC49" s="57" t="e">
        <f>(Links!C49*Links!AQ49+'On-Ramps'!AC49*'On-Ramps'!CE49)/('On-Ramps'!AC49+Links!C49)</f>
        <v>#DIV/0!</v>
      </c>
      <c r="BD49" s="63"/>
      <c r="BE49" s="57" t="e">
        <f>(Links!E49*Links!AS49+'On-Ramps'!AD49*'On-Ramps'!CF48)/('On-Ramps'!AD49+Links!E49)</f>
        <v>#DIV/0!</v>
      </c>
      <c r="BF49" s="57" t="e">
        <f>(Links!F49*Links!AT49+'On-Ramps'!AE49*'On-Ramps'!CG49)/('On-Ramps'!AE49+Links!F49)</f>
        <v>#DIV/0!</v>
      </c>
      <c r="BG49" s="57" t="e">
        <f>(Links!I49*Links!AW49+'On-Ramps'!AF49*'On-Ramps'!CH49)/('On-Ramps'!AF49+Links!I49)</f>
        <v>#DIV/0!</v>
      </c>
      <c r="BH49" s="57" t="e">
        <f>(#REF!*#REF!+'On-Ramps'!AG49*'On-Ramps'!CI49)/('On-Ramps'!AG49+#REF!)</f>
        <v>#REF!</v>
      </c>
      <c r="BI49" s="57" t="e">
        <f>(Links!L49*Links!AZ49+'On-Ramps'!AH49*'On-Ramps'!CJ49)/('On-Ramps'!AH49+Links!L49)</f>
        <v>#DIV/0!</v>
      </c>
      <c r="BJ49" s="57" t="e">
        <f>(Links!BA49*Links!M49+'On-Ramps'!AI49*'On-Ramps'!CK49)/('On-Ramps'!AI49+Links!M49)</f>
        <v>#DIV/0!</v>
      </c>
      <c r="BK49" s="57" t="e">
        <f>(Links!S49*Links!BG49+'On-Ramps'!AJ49*'On-Ramps'!CL49)/('On-Ramps'!AJ49+Links!S49)</f>
        <v>#DIV/0!</v>
      </c>
      <c r="BL49" s="63"/>
      <c r="BM49" s="57" t="e">
        <f>(Links!S49*Links!BG49+'On-Ramps'!AL49*'On-Ramps'!CM49)/(Links!S49+'On-Ramps'!AL49)</f>
        <v>#DIV/0!</v>
      </c>
      <c r="BN49" s="63"/>
      <c r="BO49" s="58" t="e">
        <f>(Links!W49^2+'Off-Ramp'!L49^2)/(Links!W49+'Off-Ramp'!L49)</f>
        <v>#DIV/0!</v>
      </c>
      <c r="BP49" s="63"/>
      <c r="BQ49" s="58" t="e">
        <f>(Links!Y49^2+'Off-Ramp'!C49^2)/(Links!Y49+'Off-Ramp'!C49)</f>
        <v>#DIV/0!</v>
      </c>
      <c r="BR49" s="63"/>
      <c r="BS49" s="58" t="e">
        <f>(Links!AA49^2+'Off-Ramp'!N49^2)/(Links!AA49+'Off-Ramp'!N49)</f>
        <v>#DIV/0!</v>
      </c>
      <c r="BT49" s="58" t="e">
        <f>(Links!AD49^2+'Off-Ramp'!O49^2)/(Links!AD49+'Off-Ramp'!O49)</f>
        <v>#DIV/0!</v>
      </c>
      <c r="BU49" s="58" t="e">
        <f>(Links!AE49^2+'Off-Ramp'!V49^2+'Off-Ramp'!W49^2+'Off-Ramp'!X49^2)/(Links!AE49+'Off-Ramp'!V49+'Off-Ramp'!W49+'Off-Ramp'!X49)</f>
        <v>#DIV/0!</v>
      </c>
      <c r="BV49" s="58" t="e">
        <f>(Links!AG49^2+'Off-Ramp'!Y49^2+'Off-Ramp'!Z49^2+'Off-Ramp'!AA49^2)/(Links!AG49+'Off-Ramp'!Y49+'Off-Ramp'!Z49+'Off-Ramp'!AA49)</f>
        <v>#DIV/0!</v>
      </c>
      <c r="BW49" s="58" t="e">
        <f>(Links!AH49^2+'Off-Ramp'!R49^2)/(Links!AH49+'Off-Ramp'!R49)</f>
        <v>#DIV/0!</v>
      </c>
      <c r="BX49" s="58" t="e">
        <f>(Links!AK49^2+'Off-Ramp'!S49^2)/(Links!AK49+'Off-Ramp'!S49)</f>
        <v>#DIV/0!</v>
      </c>
      <c r="BY49" s="58" t="e">
        <f>(Links!AL49^2+'Off-Ramp'!T49^2)/(Links!AL49+'Off-Ramp'!T49)</f>
        <v>#DIV/0!</v>
      </c>
      <c r="BZ49" s="63"/>
      <c r="CA49" s="58" t="e">
        <f>(Links!AN49^2+'Off-Ramp'!U49^2)/(Links!AN49+'Off-Ramp'!U49)</f>
        <v>#DIV/0!</v>
      </c>
    </row>
    <row r="50" spans="1:79" x14ac:dyDescent="0.15">
      <c r="A50" s="56">
        <v>48</v>
      </c>
      <c r="B50" s="57" t="e">
        <f t="shared" si="1"/>
        <v>#DIV/0!</v>
      </c>
      <c r="C50" s="57" t="e">
        <f t="shared" si="2"/>
        <v>#DIV/0!</v>
      </c>
      <c r="D50" s="57" t="e">
        <f t="shared" si="3"/>
        <v>#DIV/0!</v>
      </c>
      <c r="E50" s="57" t="e">
        <f t="shared" si="4"/>
        <v>#DIV/0!</v>
      </c>
      <c r="F50" s="57" t="e">
        <f t="shared" si="5"/>
        <v>#DIV/0!</v>
      </c>
      <c r="G50" s="57" t="e">
        <f t="shared" si="6"/>
        <v>#DIV/0!</v>
      </c>
      <c r="H50" s="57" t="e">
        <f t="shared" si="7"/>
        <v>#DIV/0!</v>
      </c>
      <c r="I50" s="57" t="e">
        <f t="shared" si="8"/>
        <v>#DIV/0!</v>
      </c>
      <c r="J50" s="57" t="e">
        <f t="shared" si="9"/>
        <v>#DIV/0!</v>
      </c>
      <c r="K50" s="57" t="e">
        <f t="shared" si="10"/>
        <v>#DIV/0!</v>
      </c>
      <c r="L50" s="57" t="e">
        <f t="shared" si="11"/>
        <v>#DIV/0!</v>
      </c>
      <c r="M50" s="57" t="e">
        <f t="shared" si="12"/>
        <v>#DIV/0!</v>
      </c>
      <c r="N50" s="57" t="e">
        <f t="shared" si="13"/>
        <v>#DIV/0!</v>
      </c>
      <c r="O50" s="58" t="e">
        <f>Links!B50</f>
        <v>#DIV/0!</v>
      </c>
      <c r="P50" s="58" t="e">
        <f>Links!C50+'On-Ramps'!AC50</f>
        <v>#DIV/0!</v>
      </c>
      <c r="Q50" s="58" t="e">
        <f>Links!D50</f>
        <v>#DIV/0!</v>
      </c>
      <c r="R50" s="58" t="e">
        <f>Links!E50+'On-Ramps'!AD50</f>
        <v>#DIV/0!</v>
      </c>
      <c r="S50" s="58" t="e">
        <f>Links!F50+'On-Ramps'!AE50</f>
        <v>#DIV/0!</v>
      </c>
      <c r="T50" s="58" t="e">
        <f>Links!I50+'On-Ramps'!AF50</f>
        <v>#DIV/0!</v>
      </c>
      <c r="U50" s="58" t="e">
        <f>Links!J50+'On-Ramps'!AG50</f>
        <v>#DIV/0!</v>
      </c>
      <c r="V50" s="58" t="e">
        <f>Links!L50+'On-Ramps'!AH50</f>
        <v>#DIV/0!</v>
      </c>
      <c r="W50" s="58" t="e">
        <f>Links!M50+'On-Ramps'!AI50</f>
        <v>#DIV/0!</v>
      </c>
      <c r="X50" s="58" t="e">
        <f>Links!P50+'On-Ramps'!AJ50</f>
        <v>#DIV/0!</v>
      </c>
      <c r="Y50" s="58" t="e">
        <f>Links!Q50</f>
        <v>#DIV/0!</v>
      </c>
      <c r="Z50" s="58" t="e">
        <f>Links!R50+'On-Ramps'!AK50</f>
        <v>#DIV/0!</v>
      </c>
      <c r="AA50" s="58" t="e">
        <f>Links!S50</f>
        <v>#DIV/0!</v>
      </c>
      <c r="AB50" s="57" t="e">
        <f t="shared" si="16"/>
        <v>#DIV/0!</v>
      </c>
      <c r="AC50" s="63"/>
      <c r="AD50" s="57" t="e">
        <f t="shared" si="17"/>
        <v>#DIV/0!</v>
      </c>
      <c r="AE50" s="63"/>
      <c r="AF50" s="57" t="e">
        <f t="shared" si="18"/>
        <v>#DIV/0!</v>
      </c>
      <c r="AG50" s="57" t="e">
        <f t="shared" si="19"/>
        <v>#DIV/0!</v>
      </c>
      <c r="AH50" s="57" t="e">
        <f t="shared" si="20"/>
        <v>#DIV/0!</v>
      </c>
      <c r="AI50" s="57" t="e">
        <f t="shared" si="21"/>
        <v>#DIV/0!</v>
      </c>
      <c r="AJ50" s="57" t="e">
        <f t="shared" si="22"/>
        <v>#DIV/0!</v>
      </c>
      <c r="AK50" s="57" t="e">
        <f t="shared" si="23"/>
        <v>#DIV/0!</v>
      </c>
      <c r="AL50" s="57" t="e">
        <f t="shared" si="24"/>
        <v>#DIV/0!</v>
      </c>
      <c r="AM50" s="63"/>
      <c r="AN50" s="57" t="e">
        <f t="shared" si="26"/>
        <v>#DIV/0!</v>
      </c>
      <c r="AO50" s="58" t="e">
        <f t="shared" si="27"/>
        <v>#DIV/0!</v>
      </c>
      <c r="AP50" s="63"/>
      <c r="AQ50" s="58" t="e">
        <f t="shared" si="27"/>
        <v>#DIV/0!</v>
      </c>
      <c r="AR50" s="63"/>
      <c r="AS50" s="58" t="e">
        <f t="shared" si="27"/>
        <v>#DIV/0!</v>
      </c>
      <c r="AT50" s="58" t="e">
        <f t="shared" si="27"/>
        <v>#DIV/0!</v>
      </c>
      <c r="AU50" s="58" t="e">
        <f t="shared" si="27"/>
        <v>#DIV/0!</v>
      </c>
      <c r="AV50" s="58" t="e">
        <f t="shared" si="27"/>
        <v>#DIV/0!</v>
      </c>
      <c r="AW50" s="58" t="e">
        <f t="shared" si="27"/>
        <v>#DIV/0!</v>
      </c>
      <c r="AX50" s="58" t="e">
        <f t="shared" si="27"/>
        <v>#DIV/0!</v>
      </c>
      <c r="AY50" s="58" t="e">
        <f t="shared" si="27"/>
        <v>#DIV/0!</v>
      </c>
      <c r="AZ50" s="63"/>
      <c r="BA50" s="58" t="e">
        <f t="shared" si="27"/>
        <v>#DIV/0!</v>
      </c>
      <c r="BB50" s="63"/>
      <c r="BC50" s="57" t="e">
        <f>(Links!C50*Links!AQ50+'On-Ramps'!AC50*'On-Ramps'!CE50)/('On-Ramps'!AC50+Links!C50)</f>
        <v>#DIV/0!</v>
      </c>
      <c r="BD50" s="63"/>
      <c r="BE50" s="57" t="e">
        <f>(Links!E50*Links!AS50+'On-Ramps'!AD50*'On-Ramps'!CF49)/('On-Ramps'!AD50+Links!E50)</f>
        <v>#DIV/0!</v>
      </c>
      <c r="BF50" s="57" t="e">
        <f>(Links!F50*Links!AT50+'On-Ramps'!AE50*'On-Ramps'!CG50)/('On-Ramps'!AE50+Links!F50)</f>
        <v>#DIV/0!</v>
      </c>
      <c r="BG50" s="57" t="e">
        <f>(Links!I50*Links!AW50+'On-Ramps'!AF50*'On-Ramps'!CH50)/('On-Ramps'!AF50+Links!I50)</f>
        <v>#DIV/0!</v>
      </c>
      <c r="BH50" s="57" t="e">
        <f>(#REF!*#REF!+'On-Ramps'!AG50*'On-Ramps'!CI50)/('On-Ramps'!AG50+#REF!)</f>
        <v>#REF!</v>
      </c>
      <c r="BI50" s="57" t="e">
        <f>(Links!L50*Links!AZ50+'On-Ramps'!AH50*'On-Ramps'!CJ50)/('On-Ramps'!AH50+Links!L50)</f>
        <v>#DIV/0!</v>
      </c>
      <c r="BJ50" s="57" t="e">
        <f>(Links!BA50*Links!M50+'On-Ramps'!AI50*'On-Ramps'!CK50)/('On-Ramps'!AI50+Links!M50)</f>
        <v>#DIV/0!</v>
      </c>
      <c r="BK50" s="57" t="e">
        <f>(Links!S50*Links!BG50+'On-Ramps'!AJ50*'On-Ramps'!CL50)/('On-Ramps'!AJ50+Links!S50)</f>
        <v>#DIV/0!</v>
      </c>
      <c r="BL50" s="63"/>
      <c r="BM50" s="57" t="e">
        <f>(Links!S50*Links!BG50+'On-Ramps'!AL50*'On-Ramps'!CM50)/(Links!S50+'On-Ramps'!AL50)</f>
        <v>#DIV/0!</v>
      </c>
      <c r="BN50" s="63"/>
      <c r="BO50" s="58" t="e">
        <f>(Links!W50^2+'Off-Ramp'!L50^2)/(Links!W50+'Off-Ramp'!L50)</f>
        <v>#DIV/0!</v>
      </c>
      <c r="BP50" s="63"/>
      <c r="BQ50" s="58" t="e">
        <f>(Links!Y50^2+'Off-Ramp'!C50^2)/(Links!Y50+'Off-Ramp'!C50)</f>
        <v>#DIV/0!</v>
      </c>
      <c r="BR50" s="63"/>
      <c r="BS50" s="58" t="e">
        <f>(Links!AA50^2+'Off-Ramp'!N50^2)/(Links!AA50+'Off-Ramp'!N50)</f>
        <v>#DIV/0!</v>
      </c>
      <c r="BT50" s="58" t="e">
        <f>(Links!AD50^2+'Off-Ramp'!O50^2)/(Links!AD50+'Off-Ramp'!O50)</f>
        <v>#DIV/0!</v>
      </c>
      <c r="BU50" s="58" t="e">
        <f>(Links!AE50^2+'Off-Ramp'!V50^2+'Off-Ramp'!W50^2+'Off-Ramp'!X50^2)/(Links!AE50+'Off-Ramp'!V50+'Off-Ramp'!W50+'Off-Ramp'!X50)</f>
        <v>#DIV/0!</v>
      </c>
      <c r="BV50" s="58" t="e">
        <f>(Links!AG50^2+'Off-Ramp'!Y50^2+'Off-Ramp'!Z50^2+'Off-Ramp'!AA50^2)/(Links!AG50+'Off-Ramp'!Y50+'Off-Ramp'!Z50+'Off-Ramp'!AA50)</f>
        <v>#DIV/0!</v>
      </c>
      <c r="BW50" s="58" t="e">
        <f>(Links!AH50^2+'Off-Ramp'!R50^2)/(Links!AH50+'Off-Ramp'!R50)</f>
        <v>#DIV/0!</v>
      </c>
      <c r="BX50" s="58" t="e">
        <f>(Links!AK50^2+'Off-Ramp'!S50^2)/(Links!AK50+'Off-Ramp'!S50)</f>
        <v>#DIV/0!</v>
      </c>
      <c r="BY50" s="58" t="e">
        <f>(Links!AL50^2+'Off-Ramp'!T50^2)/(Links!AL50+'Off-Ramp'!T50)</f>
        <v>#DIV/0!</v>
      </c>
      <c r="BZ50" s="63"/>
      <c r="CA50" s="58" t="e">
        <f>(Links!AN50^2+'Off-Ramp'!U50^2)/(Links!AN50+'Off-Ramp'!U50)</f>
        <v>#DIV/0!</v>
      </c>
    </row>
    <row r="51" spans="1:79" x14ac:dyDescent="0.15">
      <c r="A51" s="56">
        <v>49</v>
      </c>
      <c r="B51" s="57" t="e">
        <f t="shared" si="1"/>
        <v>#DIV/0!</v>
      </c>
      <c r="C51" s="57" t="e">
        <f t="shared" si="2"/>
        <v>#DIV/0!</v>
      </c>
      <c r="D51" s="57" t="e">
        <f t="shared" si="3"/>
        <v>#DIV/0!</v>
      </c>
      <c r="E51" s="57" t="e">
        <f t="shared" si="4"/>
        <v>#DIV/0!</v>
      </c>
      <c r="F51" s="57" t="e">
        <f t="shared" si="5"/>
        <v>#DIV/0!</v>
      </c>
      <c r="G51" s="57" t="e">
        <f t="shared" si="6"/>
        <v>#DIV/0!</v>
      </c>
      <c r="H51" s="57" t="e">
        <f t="shared" si="7"/>
        <v>#DIV/0!</v>
      </c>
      <c r="I51" s="57" t="e">
        <f t="shared" si="8"/>
        <v>#DIV/0!</v>
      </c>
      <c r="J51" s="57" t="e">
        <f t="shared" si="9"/>
        <v>#DIV/0!</v>
      </c>
      <c r="K51" s="57" t="e">
        <f t="shared" si="10"/>
        <v>#DIV/0!</v>
      </c>
      <c r="L51" s="57" t="e">
        <f t="shared" si="11"/>
        <v>#DIV/0!</v>
      </c>
      <c r="M51" s="57" t="e">
        <f t="shared" si="12"/>
        <v>#DIV/0!</v>
      </c>
      <c r="N51" s="57" t="e">
        <f t="shared" si="13"/>
        <v>#DIV/0!</v>
      </c>
      <c r="O51" s="58" t="e">
        <f>Links!B51</f>
        <v>#DIV/0!</v>
      </c>
      <c r="P51" s="58" t="e">
        <f>Links!C51+'On-Ramps'!AC51</f>
        <v>#DIV/0!</v>
      </c>
      <c r="Q51" s="58" t="e">
        <f>Links!D51</f>
        <v>#DIV/0!</v>
      </c>
      <c r="R51" s="58" t="e">
        <f>Links!E51+'On-Ramps'!AD51</f>
        <v>#DIV/0!</v>
      </c>
      <c r="S51" s="58" t="e">
        <f>Links!F51+'On-Ramps'!AE51</f>
        <v>#DIV/0!</v>
      </c>
      <c r="T51" s="58" t="e">
        <f>Links!I51+'On-Ramps'!AF51</f>
        <v>#DIV/0!</v>
      </c>
      <c r="U51" s="58" t="e">
        <f>Links!J51+'On-Ramps'!AG51</f>
        <v>#DIV/0!</v>
      </c>
      <c r="V51" s="58" t="e">
        <f>Links!L51+'On-Ramps'!AH51</f>
        <v>#DIV/0!</v>
      </c>
      <c r="W51" s="58" t="e">
        <f>Links!M51+'On-Ramps'!AI51</f>
        <v>#DIV/0!</v>
      </c>
      <c r="X51" s="58" t="e">
        <f>Links!P51+'On-Ramps'!AJ51</f>
        <v>#DIV/0!</v>
      </c>
      <c r="Y51" s="58" t="e">
        <f>Links!Q51</f>
        <v>#DIV/0!</v>
      </c>
      <c r="Z51" s="58" t="e">
        <f>Links!R51+'On-Ramps'!AK51</f>
        <v>#DIV/0!</v>
      </c>
      <c r="AA51" s="58" t="e">
        <f>Links!S51</f>
        <v>#DIV/0!</v>
      </c>
      <c r="AB51" s="57" t="e">
        <f t="shared" si="16"/>
        <v>#DIV/0!</v>
      </c>
      <c r="AC51" s="63"/>
      <c r="AD51" s="57" t="e">
        <f t="shared" si="17"/>
        <v>#DIV/0!</v>
      </c>
      <c r="AE51" s="63"/>
      <c r="AF51" s="57" t="e">
        <f t="shared" si="18"/>
        <v>#DIV/0!</v>
      </c>
      <c r="AG51" s="57" t="e">
        <f t="shared" si="19"/>
        <v>#DIV/0!</v>
      </c>
      <c r="AH51" s="57" t="e">
        <f t="shared" si="20"/>
        <v>#DIV/0!</v>
      </c>
      <c r="AI51" s="57" t="e">
        <f t="shared" si="21"/>
        <v>#DIV/0!</v>
      </c>
      <c r="AJ51" s="57" t="e">
        <f t="shared" si="22"/>
        <v>#DIV/0!</v>
      </c>
      <c r="AK51" s="57" t="e">
        <f t="shared" si="23"/>
        <v>#DIV/0!</v>
      </c>
      <c r="AL51" s="57" t="e">
        <f t="shared" si="24"/>
        <v>#DIV/0!</v>
      </c>
      <c r="AM51" s="63"/>
      <c r="AN51" s="57" t="e">
        <f t="shared" si="26"/>
        <v>#DIV/0!</v>
      </c>
      <c r="AO51" s="58" t="e">
        <f t="shared" si="27"/>
        <v>#DIV/0!</v>
      </c>
      <c r="AP51" s="63"/>
      <c r="AQ51" s="58" t="e">
        <f t="shared" si="27"/>
        <v>#DIV/0!</v>
      </c>
      <c r="AR51" s="63"/>
      <c r="AS51" s="58" t="e">
        <f t="shared" si="27"/>
        <v>#DIV/0!</v>
      </c>
      <c r="AT51" s="58" t="e">
        <f t="shared" si="27"/>
        <v>#DIV/0!</v>
      </c>
      <c r="AU51" s="58" t="e">
        <f t="shared" si="27"/>
        <v>#DIV/0!</v>
      </c>
      <c r="AV51" s="58" t="e">
        <f t="shared" si="27"/>
        <v>#DIV/0!</v>
      </c>
      <c r="AW51" s="58" t="e">
        <f t="shared" si="27"/>
        <v>#DIV/0!</v>
      </c>
      <c r="AX51" s="58" t="e">
        <f t="shared" si="27"/>
        <v>#DIV/0!</v>
      </c>
      <c r="AY51" s="58" t="e">
        <f t="shared" si="27"/>
        <v>#DIV/0!</v>
      </c>
      <c r="AZ51" s="63"/>
      <c r="BA51" s="58" t="e">
        <f t="shared" si="27"/>
        <v>#DIV/0!</v>
      </c>
      <c r="BB51" s="63"/>
      <c r="BC51" s="57" t="e">
        <f>(Links!C51*Links!AQ51+'On-Ramps'!AC51*'On-Ramps'!CE51)/('On-Ramps'!AC51+Links!C51)</f>
        <v>#DIV/0!</v>
      </c>
      <c r="BD51" s="63"/>
      <c r="BE51" s="57" t="e">
        <f>(Links!E51*Links!AS51+'On-Ramps'!AD51*'On-Ramps'!CF50)/('On-Ramps'!AD51+Links!E51)</f>
        <v>#DIV/0!</v>
      </c>
      <c r="BF51" s="57" t="e">
        <f>(Links!F51*Links!AT51+'On-Ramps'!AE51*'On-Ramps'!CG51)/('On-Ramps'!AE51+Links!F51)</f>
        <v>#DIV/0!</v>
      </c>
      <c r="BG51" s="57" t="e">
        <f>(Links!I51*Links!AW51+'On-Ramps'!AF51*'On-Ramps'!CH51)/('On-Ramps'!AF51+Links!I51)</f>
        <v>#DIV/0!</v>
      </c>
      <c r="BH51" s="57" t="e">
        <f>(#REF!*#REF!+'On-Ramps'!AG51*'On-Ramps'!CI51)/('On-Ramps'!AG51+#REF!)</f>
        <v>#REF!</v>
      </c>
      <c r="BI51" s="57" t="e">
        <f>(Links!L51*Links!AZ51+'On-Ramps'!AH51*'On-Ramps'!CJ51)/('On-Ramps'!AH51+Links!L51)</f>
        <v>#DIV/0!</v>
      </c>
      <c r="BJ51" s="57" t="e">
        <f>(Links!BA51*Links!M51+'On-Ramps'!AI51*'On-Ramps'!CK51)/('On-Ramps'!AI51+Links!M51)</f>
        <v>#DIV/0!</v>
      </c>
      <c r="BK51" s="57" t="e">
        <f>(Links!S51*Links!BG51+'On-Ramps'!AJ51*'On-Ramps'!CL51)/('On-Ramps'!AJ51+Links!S51)</f>
        <v>#DIV/0!</v>
      </c>
      <c r="BL51" s="63"/>
      <c r="BM51" s="57" t="e">
        <f>(Links!S51*Links!BG51+'On-Ramps'!AL51*'On-Ramps'!CM51)/(Links!S51+'On-Ramps'!AL51)</f>
        <v>#DIV/0!</v>
      </c>
      <c r="BN51" s="63"/>
      <c r="BO51" s="58" t="e">
        <f>(Links!W51^2+'Off-Ramp'!L51^2)/(Links!W51+'Off-Ramp'!L51)</f>
        <v>#DIV/0!</v>
      </c>
      <c r="BP51" s="63"/>
      <c r="BQ51" s="58" t="e">
        <f>(Links!Y51^2+'Off-Ramp'!C51^2)/(Links!Y51+'Off-Ramp'!C51)</f>
        <v>#DIV/0!</v>
      </c>
      <c r="BR51" s="63"/>
      <c r="BS51" s="58" t="e">
        <f>(Links!AA51^2+'Off-Ramp'!N51^2)/(Links!AA51+'Off-Ramp'!N51)</f>
        <v>#DIV/0!</v>
      </c>
      <c r="BT51" s="58" t="e">
        <f>(Links!AD51^2+'Off-Ramp'!O51^2)/(Links!AD51+'Off-Ramp'!O51)</f>
        <v>#DIV/0!</v>
      </c>
      <c r="BU51" s="58" t="e">
        <f>(Links!AE51^2+'Off-Ramp'!V51^2+'Off-Ramp'!W51^2+'Off-Ramp'!X51^2)/(Links!AE51+'Off-Ramp'!V51+'Off-Ramp'!W51+'Off-Ramp'!X51)</f>
        <v>#DIV/0!</v>
      </c>
      <c r="BV51" s="58" t="e">
        <f>(Links!AG51^2+'Off-Ramp'!Y51^2+'Off-Ramp'!Z51^2+'Off-Ramp'!AA51^2)/(Links!AG51+'Off-Ramp'!Y51+'Off-Ramp'!Z51+'Off-Ramp'!AA51)</f>
        <v>#DIV/0!</v>
      </c>
      <c r="BW51" s="58" t="e">
        <f>(Links!AH51^2+'Off-Ramp'!R51^2)/(Links!AH51+'Off-Ramp'!R51)</f>
        <v>#DIV/0!</v>
      </c>
      <c r="BX51" s="58" t="e">
        <f>(Links!AK51^2+'Off-Ramp'!S51^2)/(Links!AK51+'Off-Ramp'!S51)</f>
        <v>#DIV/0!</v>
      </c>
      <c r="BY51" s="58" t="e">
        <f>(Links!AL51^2+'Off-Ramp'!T51^2)/(Links!AL51+'Off-Ramp'!T51)</f>
        <v>#DIV/0!</v>
      </c>
      <c r="BZ51" s="63"/>
      <c r="CA51" s="58" t="e">
        <f>(Links!AN51^2+'Off-Ramp'!U51^2)/(Links!AN51+'Off-Ramp'!U51)</f>
        <v>#DIV/0!</v>
      </c>
    </row>
    <row r="52" spans="1:79" x14ac:dyDescent="0.15">
      <c r="A52" s="56">
        <v>50</v>
      </c>
      <c r="B52" s="57" t="e">
        <f t="shared" si="1"/>
        <v>#DIV/0!</v>
      </c>
      <c r="C52" s="57" t="e">
        <f t="shared" si="2"/>
        <v>#DIV/0!</v>
      </c>
      <c r="D52" s="57" t="e">
        <f t="shared" si="3"/>
        <v>#DIV/0!</v>
      </c>
      <c r="E52" s="57" t="e">
        <f t="shared" si="4"/>
        <v>#DIV/0!</v>
      </c>
      <c r="F52" s="57" t="e">
        <f t="shared" si="5"/>
        <v>#DIV/0!</v>
      </c>
      <c r="G52" s="57" t="e">
        <f t="shared" si="6"/>
        <v>#DIV/0!</v>
      </c>
      <c r="H52" s="57" t="e">
        <f t="shared" si="7"/>
        <v>#DIV/0!</v>
      </c>
      <c r="I52" s="57" t="e">
        <f t="shared" si="8"/>
        <v>#DIV/0!</v>
      </c>
      <c r="J52" s="57" t="e">
        <f t="shared" si="9"/>
        <v>#DIV/0!</v>
      </c>
      <c r="K52" s="57" t="e">
        <f t="shared" si="10"/>
        <v>#DIV/0!</v>
      </c>
      <c r="L52" s="57" t="e">
        <f t="shared" si="11"/>
        <v>#DIV/0!</v>
      </c>
      <c r="M52" s="57" t="e">
        <f t="shared" si="12"/>
        <v>#DIV/0!</v>
      </c>
      <c r="N52" s="57" t="e">
        <f t="shared" si="13"/>
        <v>#DIV/0!</v>
      </c>
      <c r="O52" s="58" t="e">
        <f>Links!B52</f>
        <v>#DIV/0!</v>
      </c>
      <c r="P52" s="58" t="e">
        <f>Links!C52+'On-Ramps'!AC52</f>
        <v>#DIV/0!</v>
      </c>
      <c r="Q52" s="58" t="e">
        <f>Links!D52</f>
        <v>#DIV/0!</v>
      </c>
      <c r="R52" s="58" t="e">
        <f>Links!E52+'On-Ramps'!AD52</f>
        <v>#DIV/0!</v>
      </c>
      <c r="S52" s="58" t="e">
        <f>Links!F52+'On-Ramps'!AE52</f>
        <v>#DIV/0!</v>
      </c>
      <c r="T52" s="58" t="e">
        <f>Links!I52+'On-Ramps'!AF52</f>
        <v>#DIV/0!</v>
      </c>
      <c r="U52" s="58" t="e">
        <f>Links!J52+'On-Ramps'!AG52</f>
        <v>#DIV/0!</v>
      </c>
      <c r="V52" s="58" t="e">
        <f>Links!L52+'On-Ramps'!AH52</f>
        <v>#DIV/0!</v>
      </c>
      <c r="W52" s="58" t="e">
        <f>Links!M52+'On-Ramps'!AI52</f>
        <v>#DIV/0!</v>
      </c>
      <c r="X52" s="58" t="e">
        <f>Links!P52+'On-Ramps'!AJ52</f>
        <v>#DIV/0!</v>
      </c>
      <c r="Y52" s="58" t="e">
        <f>Links!Q52</f>
        <v>#DIV/0!</v>
      </c>
      <c r="Z52" s="58" t="e">
        <f>Links!R52+'On-Ramps'!AK52</f>
        <v>#DIV/0!</v>
      </c>
      <c r="AA52" s="58" t="e">
        <f>Links!S52</f>
        <v>#DIV/0!</v>
      </c>
      <c r="AB52" s="57" t="e">
        <f t="shared" si="16"/>
        <v>#DIV/0!</v>
      </c>
      <c r="AC52" s="63"/>
      <c r="AD52" s="57" t="e">
        <f t="shared" si="17"/>
        <v>#DIV/0!</v>
      </c>
      <c r="AE52" s="63"/>
      <c r="AF52" s="57" t="e">
        <f t="shared" si="18"/>
        <v>#DIV/0!</v>
      </c>
      <c r="AG52" s="57" t="e">
        <f t="shared" si="19"/>
        <v>#DIV/0!</v>
      </c>
      <c r="AH52" s="57" t="e">
        <f t="shared" si="20"/>
        <v>#DIV/0!</v>
      </c>
      <c r="AI52" s="57" t="e">
        <f t="shared" si="21"/>
        <v>#DIV/0!</v>
      </c>
      <c r="AJ52" s="57" t="e">
        <f t="shared" si="22"/>
        <v>#DIV/0!</v>
      </c>
      <c r="AK52" s="57" t="e">
        <f t="shared" si="23"/>
        <v>#DIV/0!</v>
      </c>
      <c r="AL52" s="57" t="e">
        <f t="shared" si="24"/>
        <v>#DIV/0!</v>
      </c>
      <c r="AM52" s="63"/>
      <c r="AN52" s="57" t="e">
        <f t="shared" si="26"/>
        <v>#DIV/0!</v>
      </c>
      <c r="AO52" s="58" t="e">
        <f t="shared" si="27"/>
        <v>#DIV/0!</v>
      </c>
      <c r="AP52" s="63"/>
      <c r="AQ52" s="58" t="e">
        <f t="shared" si="27"/>
        <v>#DIV/0!</v>
      </c>
      <c r="AR52" s="63"/>
      <c r="AS52" s="58" t="e">
        <f t="shared" si="27"/>
        <v>#DIV/0!</v>
      </c>
      <c r="AT52" s="58" t="e">
        <f t="shared" si="27"/>
        <v>#DIV/0!</v>
      </c>
      <c r="AU52" s="58" t="e">
        <f t="shared" si="27"/>
        <v>#DIV/0!</v>
      </c>
      <c r="AV52" s="58" t="e">
        <f t="shared" si="27"/>
        <v>#DIV/0!</v>
      </c>
      <c r="AW52" s="58" t="e">
        <f t="shared" si="27"/>
        <v>#DIV/0!</v>
      </c>
      <c r="AX52" s="58" t="e">
        <f t="shared" si="27"/>
        <v>#DIV/0!</v>
      </c>
      <c r="AY52" s="58" t="e">
        <f t="shared" si="27"/>
        <v>#DIV/0!</v>
      </c>
      <c r="AZ52" s="63"/>
      <c r="BA52" s="58" t="e">
        <f t="shared" si="27"/>
        <v>#DIV/0!</v>
      </c>
      <c r="BB52" s="63"/>
      <c r="BC52" s="57" t="e">
        <f>(Links!C52*Links!AQ52+'On-Ramps'!AC52*'On-Ramps'!CE52)/('On-Ramps'!AC52+Links!C52)</f>
        <v>#DIV/0!</v>
      </c>
      <c r="BD52" s="63"/>
      <c r="BE52" s="57" t="e">
        <f>(Links!E52*Links!AS52+'On-Ramps'!AD52*'On-Ramps'!CF51)/('On-Ramps'!AD52+Links!E52)</f>
        <v>#DIV/0!</v>
      </c>
      <c r="BF52" s="57" t="e">
        <f>(Links!F52*Links!AT52+'On-Ramps'!AE52*'On-Ramps'!CG52)/('On-Ramps'!AE52+Links!F52)</f>
        <v>#DIV/0!</v>
      </c>
      <c r="BG52" s="57" t="e">
        <f>(Links!I52*Links!AW52+'On-Ramps'!AF52*'On-Ramps'!CH52)/('On-Ramps'!AF52+Links!I52)</f>
        <v>#DIV/0!</v>
      </c>
      <c r="BH52" s="57" t="e">
        <f>(#REF!*#REF!+'On-Ramps'!AG52*'On-Ramps'!CI52)/('On-Ramps'!AG52+#REF!)</f>
        <v>#REF!</v>
      </c>
      <c r="BI52" s="57" t="e">
        <f>(Links!L52*Links!AZ52+'On-Ramps'!AH52*'On-Ramps'!CJ52)/('On-Ramps'!AH52+Links!L52)</f>
        <v>#DIV/0!</v>
      </c>
      <c r="BJ52" s="57" t="e">
        <f>(Links!BA52*Links!M52+'On-Ramps'!AI52*'On-Ramps'!CK52)/('On-Ramps'!AI52+Links!M52)</f>
        <v>#DIV/0!</v>
      </c>
      <c r="BK52" s="57" t="e">
        <f>(Links!S52*Links!BG52+'On-Ramps'!AJ52*'On-Ramps'!CL52)/('On-Ramps'!AJ52+Links!S52)</f>
        <v>#DIV/0!</v>
      </c>
      <c r="BL52" s="63"/>
      <c r="BM52" s="57" t="e">
        <f>(Links!S52*Links!BG52+'On-Ramps'!AL52*'On-Ramps'!CM52)/(Links!S52+'On-Ramps'!AL52)</f>
        <v>#DIV/0!</v>
      </c>
      <c r="BN52" s="63"/>
      <c r="BO52" s="58" t="e">
        <f>(Links!W52^2+'Off-Ramp'!L52^2)/(Links!W52+'Off-Ramp'!L52)</f>
        <v>#DIV/0!</v>
      </c>
      <c r="BP52" s="63"/>
      <c r="BQ52" s="58" t="e">
        <f>(Links!Y52^2+'Off-Ramp'!C52^2)/(Links!Y52+'Off-Ramp'!C52)</f>
        <v>#DIV/0!</v>
      </c>
      <c r="BR52" s="63"/>
      <c r="BS52" s="58" t="e">
        <f>(Links!AA52^2+'Off-Ramp'!N52^2)/(Links!AA52+'Off-Ramp'!N52)</f>
        <v>#DIV/0!</v>
      </c>
      <c r="BT52" s="58" t="e">
        <f>(Links!AD52^2+'Off-Ramp'!O52^2)/(Links!AD52+'Off-Ramp'!O52)</f>
        <v>#DIV/0!</v>
      </c>
      <c r="BU52" s="58" t="e">
        <f>(Links!AE52^2+'Off-Ramp'!V52^2+'Off-Ramp'!W52^2+'Off-Ramp'!X52^2)/(Links!AE52+'Off-Ramp'!V52+'Off-Ramp'!W52+'Off-Ramp'!X52)</f>
        <v>#DIV/0!</v>
      </c>
      <c r="BV52" s="58" t="e">
        <f>(Links!AG52^2+'Off-Ramp'!Y52^2+'Off-Ramp'!Z52^2+'Off-Ramp'!AA52^2)/(Links!AG52+'Off-Ramp'!Y52+'Off-Ramp'!Z52+'Off-Ramp'!AA52)</f>
        <v>#DIV/0!</v>
      </c>
      <c r="BW52" s="58" t="e">
        <f>(Links!AH52^2+'Off-Ramp'!R52^2)/(Links!AH52+'Off-Ramp'!R52)</f>
        <v>#DIV/0!</v>
      </c>
      <c r="BX52" s="58" t="e">
        <f>(Links!AK52^2+'Off-Ramp'!S52^2)/(Links!AK52+'Off-Ramp'!S52)</f>
        <v>#DIV/0!</v>
      </c>
      <c r="BY52" s="58" t="e">
        <f>(Links!AL52^2+'Off-Ramp'!T52^2)/(Links!AL52+'Off-Ramp'!T52)</f>
        <v>#DIV/0!</v>
      </c>
      <c r="BZ52" s="63"/>
      <c r="CA52" s="58" t="e">
        <f>(Links!AN52^2+'Off-Ramp'!U52^2)/(Links!AN52+'Off-Ramp'!U52)</f>
        <v>#DIV/0!</v>
      </c>
    </row>
    <row r="53" spans="1:79" x14ac:dyDescent="0.15">
      <c r="A53" s="56">
        <v>51</v>
      </c>
      <c r="B53" s="57" t="e">
        <f t="shared" si="1"/>
        <v>#DIV/0!</v>
      </c>
      <c r="C53" s="57" t="e">
        <f t="shared" si="2"/>
        <v>#DIV/0!</v>
      </c>
      <c r="D53" s="57" t="e">
        <f t="shared" si="3"/>
        <v>#DIV/0!</v>
      </c>
      <c r="E53" s="57" t="e">
        <f t="shared" si="4"/>
        <v>#DIV/0!</v>
      </c>
      <c r="F53" s="57" t="e">
        <f t="shared" si="5"/>
        <v>#DIV/0!</v>
      </c>
      <c r="G53" s="57" t="e">
        <f t="shared" si="6"/>
        <v>#DIV/0!</v>
      </c>
      <c r="H53" s="57" t="e">
        <f t="shared" si="7"/>
        <v>#DIV/0!</v>
      </c>
      <c r="I53" s="57" t="e">
        <f t="shared" si="8"/>
        <v>#DIV/0!</v>
      </c>
      <c r="J53" s="57" t="e">
        <f t="shared" si="9"/>
        <v>#DIV/0!</v>
      </c>
      <c r="K53" s="57" t="e">
        <f t="shared" si="10"/>
        <v>#DIV/0!</v>
      </c>
      <c r="L53" s="57" t="e">
        <f t="shared" si="11"/>
        <v>#DIV/0!</v>
      </c>
      <c r="M53" s="57" t="e">
        <f t="shared" si="12"/>
        <v>#DIV/0!</v>
      </c>
      <c r="N53" s="57" t="e">
        <f t="shared" si="13"/>
        <v>#DIV/0!</v>
      </c>
      <c r="O53" s="58" t="e">
        <f>Links!B53</f>
        <v>#DIV/0!</v>
      </c>
      <c r="P53" s="58" t="e">
        <f>Links!C53+'On-Ramps'!AC53</f>
        <v>#DIV/0!</v>
      </c>
      <c r="Q53" s="58" t="e">
        <f>Links!D53</f>
        <v>#DIV/0!</v>
      </c>
      <c r="R53" s="58" t="e">
        <f>Links!E53+'On-Ramps'!AD53</f>
        <v>#DIV/0!</v>
      </c>
      <c r="S53" s="58" t="e">
        <f>Links!F53+'On-Ramps'!AE53</f>
        <v>#DIV/0!</v>
      </c>
      <c r="T53" s="58" t="e">
        <f>Links!I53+'On-Ramps'!AF53</f>
        <v>#DIV/0!</v>
      </c>
      <c r="U53" s="58" t="e">
        <f>Links!J53+'On-Ramps'!AG53</f>
        <v>#DIV/0!</v>
      </c>
      <c r="V53" s="58" t="e">
        <f>Links!L53+'On-Ramps'!AH53</f>
        <v>#DIV/0!</v>
      </c>
      <c r="W53" s="58" t="e">
        <f>Links!M53+'On-Ramps'!AI53</f>
        <v>#DIV/0!</v>
      </c>
      <c r="X53" s="58" t="e">
        <f>Links!P53+'On-Ramps'!AJ53</f>
        <v>#DIV/0!</v>
      </c>
      <c r="Y53" s="58" t="e">
        <f>Links!Q53</f>
        <v>#DIV/0!</v>
      </c>
      <c r="Z53" s="58" t="e">
        <f>Links!R53+'On-Ramps'!AK53</f>
        <v>#DIV/0!</v>
      </c>
      <c r="AA53" s="58" t="e">
        <f>Links!S53</f>
        <v>#DIV/0!</v>
      </c>
      <c r="AB53" s="57" t="e">
        <f t="shared" si="16"/>
        <v>#DIV/0!</v>
      </c>
      <c r="AC53" s="63"/>
      <c r="AD53" s="57" t="e">
        <f t="shared" si="17"/>
        <v>#DIV/0!</v>
      </c>
      <c r="AE53" s="63"/>
      <c r="AF53" s="57" t="e">
        <f t="shared" si="18"/>
        <v>#DIV/0!</v>
      </c>
      <c r="AG53" s="57" t="e">
        <f t="shared" si="19"/>
        <v>#DIV/0!</v>
      </c>
      <c r="AH53" s="57" t="e">
        <f t="shared" si="20"/>
        <v>#DIV/0!</v>
      </c>
      <c r="AI53" s="57" t="e">
        <f t="shared" si="21"/>
        <v>#DIV/0!</v>
      </c>
      <c r="AJ53" s="57" t="e">
        <f t="shared" si="22"/>
        <v>#DIV/0!</v>
      </c>
      <c r="AK53" s="57" t="e">
        <f t="shared" si="23"/>
        <v>#DIV/0!</v>
      </c>
      <c r="AL53" s="57" t="e">
        <f t="shared" si="24"/>
        <v>#DIV/0!</v>
      </c>
      <c r="AM53" s="63"/>
      <c r="AN53" s="57" t="e">
        <f t="shared" si="26"/>
        <v>#DIV/0!</v>
      </c>
      <c r="AO53" s="58" t="e">
        <f t="shared" si="27"/>
        <v>#DIV/0!</v>
      </c>
      <c r="AP53" s="63"/>
      <c r="AQ53" s="58" t="e">
        <f t="shared" si="27"/>
        <v>#DIV/0!</v>
      </c>
      <c r="AR53" s="63"/>
      <c r="AS53" s="58" t="e">
        <f t="shared" si="27"/>
        <v>#DIV/0!</v>
      </c>
      <c r="AT53" s="58" t="e">
        <f t="shared" si="27"/>
        <v>#DIV/0!</v>
      </c>
      <c r="AU53" s="58" t="e">
        <f t="shared" si="27"/>
        <v>#DIV/0!</v>
      </c>
      <c r="AV53" s="58" t="e">
        <f t="shared" si="27"/>
        <v>#DIV/0!</v>
      </c>
      <c r="AW53" s="58" t="e">
        <f t="shared" si="27"/>
        <v>#DIV/0!</v>
      </c>
      <c r="AX53" s="58" t="e">
        <f t="shared" si="27"/>
        <v>#DIV/0!</v>
      </c>
      <c r="AY53" s="58" t="e">
        <f t="shared" si="27"/>
        <v>#DIV/0!</v>
      </c>
      <c r="AZ53" s="63"/>
      <c r="BA53" s="58" t="e">
        <f t="shared" si="27"/>
        <v>#DIV/0!</v>
      </c>
      <c r="BB53" s="63"/>
      <c r="BC53" s="57" t="e">
        <f>(Links!C53*Links!AQ53+'On-Ramps'!AC53*'On-Ramps'!CE53)/('On-Ramps'!AC53+Links!C53)</f>
        <v>#DIV/0!</v>
      </c>
      <c r="BD53" s="63"/>
      <c r="BE53" s="57" t="e">
        <f>(Links!E53*Links!AS53+'On-Ramps'!AD53*'On-Ramps'!CF52)/('On-Ramps'!AD53+Links!E53)</f>
        <v>#DIV/0!</v>
      </c>
      <c r="BF53" s="57" t="e">
        <f>(Links!F53*Links!AT53+'On-Ramps'!AE53*'On-Ramps'!CG53)/('On-Ramps'!AE53+Links!F53)</f>
        <v>#DIV/0!</v>
      </c>
      <c r="BG53" s="57" t="e">
        <f>(Links!I53*Links!AW53+'On-Ramps'!AF53*'On-Ramps'!CH53)/('On-Ramps'!AF53+Links!I53)</f>
        <v>#DIV/0!</v>
      </c>
      <c r="BH53" s="57" t="e">
        <f>(#REF!*#REF!+'On-Ramps'!AG53*'On-Ramps'!CI53)/('On-Ramps'!AG53+#REF!)</f>
        <v>#REF!</v>
      </c>
      <c r="BI53" s="57" t="e">
        <f>(Links!L53*Links!AZ53+'On-Ramps'!AH53*'On-Ramps'!CJ53)/('On-Ramps'!AH53+Links!L53)</f>
        <v>#DIV/0!</v>
      </c>
      <c r="BJ53" s="57" t="e">
        <f>(Links!BA53*Links!M53+'On-Ramps'!AI53*'On-Ramps'!CK53)/('On-Ramps'!AI53+Links!M53)</f>
        <v>#DIV/0!</v>
      </c>
      <c r="BK53" s="57" t="e">
        <f>(Links!S53*Links!BG53+'On-Ramps'!AJ53*'On-Ramps'!CL53)/('On-Ramps'!AJ53+Links!S53)</f>
        <v>#DIV/0!</v>
      </c>
      <c r="BL53" s="63"/>
      <c r="BM53" s="57" t="e">
        <f>(Links!S53*Links!BG53+'On-Ramps'!AL53*'On-Ramps'!CM53)/(Links!S53+'On-Ramps'!AL53)</f>
        <v>#DIV/0!</v>
      </c>
      <c r="BN53" s="63"/>
      <c r="BO53" s="58" t="e">
        <f>(Links!W53^2+'Off-Ramp'!L53^2)/(Links!W53+'Off-Ramp'!L53)</f>
        <v>#DIV/0!</v>
      </c>
      <c r="BP53" s="63"/>
      <c r="BQ53" s="58" t="e">
        <f>(Links!Y53^2+'Off-Ramp'!C53^2)/(Links!Y53+'Off-Ramp'!C53)</f>
        <v>#DIV/0!</v>
      </c>
      <c r="BR53" s="63"/>
      <c r="BS53" s="58" t="e">
        <f>(Links!AA53^2+'Off-Ramp'!N53^2)/(Links!AA53+'Off-Ramp'!N53)</f>
        <v>#DIV/0!</v>
      </c>
      <c r="BT53" s="58" t="e">
        <f>(Links!AD53^2+'Off-Ramp'!O53^2)/(Links!AD53+'Off-Ramp'!O53)</f>
        <v>#DIV/0!</v>
      </c>
      <c r="BU53" s="58" t="e">
        <f>(Links!AE53^2+'Off-Ramp'!V53^2+'Off-Ramp'!W53^2+'Off-Ramp'!X53^2)/(Links!AE53+'Off-Ramp'!V53+'Off-Ramp'!W53+'Off-Ramp'!X53)</f>
        <v>#DIV/0!</v>
      </c>
      <c r="BV53" s="58" t="e">
        <f>(Links!AG53^2+'Off-Ramp'!Y53^2+'Off-Ramp'!Z53^2+'Off-Ramp'!AA53^2)/(Links!AG53+'Off-Ramp'!Y53+'Off-Ramp'!Z53+'Off-Ramp'!AA53)</f>
        <v>#DIV/0!</v>
      </c>
      <c r="BW53" s="58" t="e">
        <f>(Links!AH53^2+'Off-Ramp'!R53^2)/(Links!AH53+'Off-Ramp'!R53)</f>
        <v>#DIV/0!</v>
      </c>
      <c r="BX53" s="58" t="e">
        <f>(Links!AK53^2+'Off-Ramp'!S53^2)/(Links!AK53+'Off-Ramp'!S53)</f>
        <v>#DIV/0!</v>
      </c>
      <c r="BY53" s="58" t="e">
        <f>(Links!AL53^2+'Off-Ramp'!T53^2)/(Links!AL53+'Off-Ramp'!T53)</f>
        <v>#DIV/0!</v>
      </c>
      <c r="BZ53" s="63"/>
      <c r="CA53" s="58" t="e">
        <f>(Links!AN53^2+'Off-Ramp'!U53^2)/(Links!AN53+'Off-Ramp'!U53)</f>
        <v>#DIV/0!</v>
      </c>
    </row>
    <row r="54" spans="1:79" x14ac:dyDescent="0.15">
      <c r="A54" s="56">
        <v>52</v>
      </c>
      <c r="B54" s="57" t="e">
        <f t="shared" si="1"/>
        <v>#DIV/0!</v>
      </c>
      <c r="C54" s="57" t="e">
        <f t="shared" si="2"/>
        <v>#DIV/0!</v>
      </c>
      <c r="D54" s="57" t="e">
        <f t="shared" si="3"/>
        <v>#DIV/0!</v>
      </c>
      <c r="E54" s="57" t="e">
        <f t="shared" si="4"/>
        <v>#DIV/0!</v>
      </c>
      <c r="F54" s="57" t="e">
        <f t="shared" si="5"/>
        <v>#DIV/0!</v>
      </c>
      <c r="G54" s="57" t="e">
        <f t="shared" si="6"/>
        <v>#DIV/0!</v>
      </c>
      <c r="H54" s="57" t="e">
        <f t="shared" si="7"/>
        <v>#DIV/0!</v>
      </c>
      <c r="I54" s="57" t="e">
        <f t="shared" si="8"/>
        <v>#DIV/0!</v>
      </c>
      <c r="J54" s="57" t="e">
        <f t="shared" si="9"/>
        <v>#DIV/0!</v>
      </c>
      <c r="K54" s="57" t="e">
        <f t="shared" si="10"/>
        <v>#DIV/0!</v>
      </c>
      <c r="L54" s="57" t="e">
        <f t="shared" si="11"/>
        <v>#DIV/0!</v>
      </c>
      <c r="M54" s="57" t="e">
        <f t="shared" si="12"/>
        <v>#DIV/0!</v>
      </c>
      <c r="N54" s="57" t="e">
        <f t="shared" si="13"/>
        <v>#DIV/0!</v>
      </c>
      <c r="O54" s="58" t="e">
        <f>Links!B54</f>
        <v>#DIV/0!</v>
      </c>
      <c r="P54" s="58" t="e">
        <f>Links!C54+'On-Ramps'!AC54</f>
        <v>#DIV/0!</v>
      </c>
      <c r="Q54" s="58" t="e">
        <f>Links!D54</f>
        <v>#DIV/0!</v>
      </c>
      <c r="R54" s="58" t="e">
        <f>Links!E54+'On-Ramps'!AD54</f>
        <v>#DIV/0!</v>
      </c>
      <c r="S54" s="58" t="e">
        <f>Links!F54+'On-Ramps'!AE54</f>
        <v>#DIV/0!</v>
      </c>
      <c r="T54" s="58" t="e">
        <f>Links!I54+'On-Ramps'!AF54</f>
        <v>#DIV/0!</v>
      </c>
      <c r="U54" s="58" t="e">
        <f>Links!J54+'On-Ramps'!AG54</f>
        <v>#DIV/0!</v>
      </c>
      <c r="V54" s="58" t="e">
        <f>Links!L54+'On-Ramps'!AH54</f>
        <v>#DIV/0!</v>
      </c>
      <c r="W54" s="58" t="e">
        <f>Links!M54+'On-Ramps'!AI54</f>
        <v>#DIV/0!</v>
      </c>
      <c r="X54" s="58" t="e">
        <f>Links!P54+'On-Ramps'!AJ54</f>
        <v>#DIV/0!</v>
      </c>
      <c r="Y54" s="58" t="e">
        <f>Links!Q54</f>
        <v>#DIV/0!</v>
      </c>
      <c r="Z54" s="58" t="e">
        <f>Links!R54+'On-Ramps'!AK54</f>
        <v>#DIV/0!</v>
      </c>
      <c r="AA54" s="58" t="e">
        <f>Links!S54</f>
        <v>#DIV/0!</v>
      </c>
      <c r="AB54" s="57" t="e">
        <f t="shared" si="16"/>
        <v>#DIV/0!</v>
      </c>
      <c r="AC54" s="63"/>
      <c r="AD54" s="57" t="e">
        <f t="shared" si="17"/>
        <v>#DIV/0!</v>
      </c>
      <c r="AE54" s="63"/>
      <c r="AF54" s="57" t="e">
        <f t="shared" si="18"/>
        <v>#DIV/0!</v>
      </c>
      <c r="AG54" s="57" t="e">
        <f t="shared" si="19"/>
        <v>#DIV/0!</v>
      </c>
      <c r="AH54" s="57" t="e">
        <f t="shared" si="20"/>
        <v>#DIV/0!</v>
      </c>
      <c r="AI54" s="57" t="e">
        <f t="shared" si="21"/>
        <v>#DIV/0!</v>
      </c>
      <c r="AJ54" s="57" t="e">
        <f t="shared" si="22"/>
        <v>#DIV/0!</v>
      </c>
      <c r="AK54" s="57" t="e">
        <f t="shared" si="23"/>
        <v>#DIV/0!</v>
      </c>
      <c r="AL54" s="57" t="e">
        <f t="shared" si="24"/>
        <v>#DIV/0!</v>
      </c>
      <c r="AM54" s="63"/>
      <c r="AN54" s="57" t="e">
        <f t="shared" si="26"/>
        <v>#DIV/0!</v>
      </c>
      <c r="AO54" s="58" t="e">
        <f t="shared" si="27"/>
        <v>#DIV/0!</v>
      </c>
      <c r="AP54" s="63"/>
      <c r="AQ54" s="58" t="e">
        <f t="shared" si="27"/>
        <v>#DIV/0!</v>
      </c>
      <c r="AR54" s="63"/>
      <c r="AS54" s="58" t="e">
        <f t="shared" si="27"/>
        <v>#DIV/0!</v>
      </c>
      <c r="AT54" s="58" t="e">
        <f t="shared" si="27"/>
        <v>#DIV/0!</v>
      </c>
      <c r="AU54" s="58" t="e">
        <f t="shared" si="27"/>
        <v>#DIV/0!</v>
      </c>
      <c r="AV54" s="58" t="e">
        <f t="shared" si="27"/>
        <v>#DIV/0!</v>
      </c>
      <c r="AW54" s="58" t="e">
        <f t="shared" si="27"/>
        <v>#DIV/0!</v>
      </c>
      <c r="AX54" s="58" t="e">
        <f t="shared" si="27"/>
        <v>#DIV/0!</v>
      </c>
      <c r="AY54" s="58" t="e">
        <f t="shared" si="27"/>
        <v>#DIV/0!</v>
      </c>
      <c r="AZ54" s="63"/>
      <c r="BA54" s="58" t="e">
        <f t="shared" si="27"/>
        <v>#DIV/0!</v>
      </c>
      <c r="BB54" s="63"/>
      <c r="BC54" s="57" t="e">
        <f>(Links!C54*Links!AQ54+'On-Ramps'!AC54*'On-Ramps'!CE54)/('On-Ramps'!AC54+Links!C54)</f>
        <v>#DIV/0!</v>
      </c>
      <c r="BD54" s="63"/>
      <c r="BE54" s="57" t="e">
        <f>(Links!E54*Links!AS54+'On-Ramps'!AD54*'On-Ramps'!CF53)/('On-Ramps'!AD54+Links!E54)</f>
        <v>#DIV/0!</v>
      </c>
      <c r="BF54" s="57" t="e">
        <f>(Links!F54*Links!AT54+'On-Ramps'!AE54*'On-Ramps'!CG54)/('On-Ramps'!AE54+Links!F54)</f>
        <v>#DIV/0!</v>
      </c>
      <c r="BG54" s="57" t="e">
        <f>(Links!I54*Links!AW54+'On-Ramps'!AF54*'On-Ramps'!CH54)/('On-Ramps'!AF54+Links!I54)</f>
        <v>#DIV/0!</v>
      </c>
      <c r="BH54" s="57" t="e">
        <f>(#REF!*#REF!+'On-Ramps'!AG54*'On-Ramps'!CI54)/('On-Ramps'!AG54+#REF!)</f>
        <v>#REF!</v>
      </c>
      <c r="BI54" s="57" t="e">
        <f>(Links!L54*Links!AZ54+'On-Ramps'!AH54*'On-Ramps'!CJ54)/('On-Ramps'!AH54+Links!L54)</f>
        <v>#DIV/0!</v>
      </c>
      <c r="BJ54" s="57" t="e">
        <f>(Links!BA54*Links!M54+'On-Ramps'!AI54*'On-Ramps'!CK54)/('On-Ramps'!AI54+Links!M54)</f>
        <v>#DIV/0!</v>
      </c>
      <c r="BK54" s="57" t="e">
        <f>(Links!S54*Links!BG54+'On-Ramps'!AJ54*'On-Ramps'!CL54)/('On-Ramps'!AJ54+Links!S54)</f>
        <v>#DIV/0!</v>
      </c>
      <c r="BL54" s="63"/>
      <c r="BM54" s="57" t="e">
        <f>(Links!S54*Links!BG54+'On-Ramps'!AL54*'On-Ramps'!CM54)/(Links!S54+'On-Ramps'!AL54)</f>
        <v>#DIV/0!</v>
      </c>
      <c r="BN54" s="63"/>
      <c r="BO54" s="58" t="e">
        <f>(Links!W54^2+'Off-Ramp'!L54^2)/(Links!W54+'Off-Ramp'!L54)</f>
        <v>#DIV/0!</v>
      </c>
      <c r="BP54" s="63"/>
      <c r="BQ54" s="58" t="e">
        <f>(Links!Y54^2+'Off-Ramp'!C54^2)/(Links!Y54+'Off-Ramp'!C54)</f>
        <v>#DIV/0!</v>
      </c>
      <c r="BR54" s="63"/>
      <c r="BS54" s="58" t="e">
        <f>(Links!AA54^2+'Off-Ramp'!N54^2)/(Links!AA54+'Off-Ramp'!N54)</f>
        <v>#DIV/0!</v>
      </c>
      <c r="BT54" s="58" t="e">
        <f>(Links!AD54^2+'Off-Ramp'!O54^2)/(Links!AD54+'Off-Ramp'!O54)</f>
        <v>#DIV/0!</v>
      </c>
      <c r="BU54" s="58" t="e">
        <f>(Links!AE54^2+'Off-Ramp'!V54^2+'Off-Ramp'!W54^2+'Off-Ramp'!X54^2)/(Links!AE54+'Off-Ramp'!V54+'Off-Ramp'!W54+'Off-Ramp'!X54)</f>
        <v>#DIV/0!</v>
      </c>
      <c r="BV54" s="58" t="e">
        <f>(Links!AG54^2+'Off-Ramp'!Y54^2+'Off-Ramp'!Z54^2+'Off-Ramp'!AA54^2)/(Links!AG54+'Off-Ramp'!Y54+'Off-Ramp'!Z54+'Off-Ramp'!AA54)</f>
        <v>#DIV/0!</v>
      </c>
      <c r="BW54" s="58" t="e">
        <f>(Links!AH54^2+'Off-Ramp'!R54^2)/(Links!AH54+'Off-Ramp'!R54)</f>
        <v>#DIV/0!</v>
      </c>
      <c r="BX54" s="58" t="e">
        <f>(Links!AK54^2+'Off-Ramp'!S54^2)/(Links!AK54+'Off-Ramp'!S54)</f>
        <v>#DIV/0!</v>
      </c>
      <c r="BY54" s="58" t="e">
        <f>(Links!AL54^2+'Off-Ramp'!T54^2)/(Links!AL54+'Off-Ramp'!T54)</f>
        <v>#DIV/0!</v>
      </c>
      <c r="BZ54" s="63"/>
      <c r="CA54" s="58" t="e">
        <f>(Links!AN54^2+'Off-Ramp'!U54^2)/(Links!AN54+'Off-Ramp'!U54)</f>
        <v>#DIV/0!</v>
      </c>
    </row>
    <row r="55" spans="1:79" x14ac:dyDescent="0.15">
      <c r="A55" s="56">
        <v>53</v>
      </c>
      <c r="B55" s="57" t="e">
        <f t="shared" si="1"/>
        <v>#DIV/0!</v>
      </c>
      <c r="C55" s="57" t="e">
        <f t="shared" si="2"/>
        <v>#DIV/0!</v>
      </c>
      <c r="D55" s="57" t="e">
        <f t="shared" si="3"/>
        <v>#DIV/0!</v>
      </c>
      <c r="E55" s="57" t="e">
        <f t="shared" si="4"/>
        <v>#DIV/0!</v>
      </c>
      <c r="F55" s="57" t="e">
        <f t="shared" si="5"/>
        <v>#DIV/0!</v>
      </c>
      <c r="G55" s="57" t="e">
        <f t="shared" si="6"/>
        <v>#DIV/0!</v>
      </c>
      <c r="H55" s="57" t="e">
        <f t="shared" si="7"/>
        <v>#DIV/0!</v>
      </c>
      <c r="I55" s="57" t="e">
        <f t="shared" si="8"/>
        <v>#DIV/0!</v>
      </c>
      <c r="J55" s="57" t="e">
        <f t="shared" si="9"/>
        <v>#DIV/0!</v>
      </c>
      <c r="K55" s="57" t="e">
        <f t="shared" si="10"/>
        <v>#DIV/0!</v>
      </c>
      <c r="L55" s="57" t="e">
        <f t="shared" si="11"/>
        <v>#DIV/0!</v>
      </c>
      <c r="M55" s="57" t="e">
        <f t="shared" si="12"/>
        <v>#DIV/0!</v>
      </c>
      <c r="N55" s="57" t="e">
        <f t="shared" si="13"/>
        <v>#DIV/0!</v>
      </c>
      <c r="O55" s="58" t="e">
        <f>Links!B55</f>
        <v>#DIV/0!</v>
      </c>
      <c r="P55" s="58" t="e">
        <f>Links!C55+'On-Ramps'!AC55</f>
        <v>#DIV/0!</v>
      </c>
      <c r="Q55" s="58" t="e">
        <f>Links!D55</f>
        <v>#DIV/0!</v>
      </c>
      <c r="R55" s="58" t="e">
        <f>Links!E55+'On-Ramps'!AD55</f>
        <v>#DIV/0!</v>
      </c>
      <c r="S55" s="58" t="e">
        <f>Links!F55+'On-Ramps'!AE55</f>
        <v>#DIV/0!</v>
      </c>
      <c r="T55" s="58" t="e">
        <f>Links!I55+'On-Ramps'!AF55</f>
        <v>#DIV/0!</v>
      </c>
      <c r="U55" s="58" t="e">
        <f>Links!J55+'On-Ramps'!AG55</f>
        <v>#DIV/0!</v>
      </c>
      <c r="V55" s="58" t="e">
        <f>Links!L55+'On-Ramps'!AH55</f>
        <v>#DIV/0!</v>
      </c>
      <c r="W55" s="58" t="e">
        <f>Links!M55+'On-Ramps'!AI55</f>
        <v>#DIV/0!</v>
      </c>
      <c r="X55" s="58" t="e">
        <f>Links!P55+'On-Ramps'!AJ55</f>
        <v>#DIV/0!</v>
      </c>
      <c r="Y55" s="58" t="e">
        <f>Links!Q55</f>
        <v>#DIV/0!</v>
      </c>
      <c r="Z55" s="58" t="e">
        <f>Links!R55+'On-Ramps'!AK55</f>
        <v>#DIV/0!</v>
      </c>
      <c r="AA55" s="58" t="e">
        <f>Links!S55</f>
        <v>#DIV/0!</v>
      </c>
      <c r="AB55" s="57" t="e">
        <f t="shared" si="16"/>
        <v>#DIV/0!</v>
      </c>
      <c r="AC55" s="63"/>
      <c r="AD55" s="57" t="e">
        <f t="shared" si="17"/>
        <v>#DIV/0!</v>
      </c>
      <c r="AE55" s="63"/>
      <c r="AF55" s="57" t="e">
        <f t="shared" si="18"/>
        <v>#DIV/0!</v>
      </c>
      <c r="AG55" s="57" t="e">
        <f t="shared" si="19"/>
        <v>#DIV/0!</v>
      </c>
      <c r="AH55" s="57" t="e">
        <f t="shared" si="20"/>
        <v>#DIV/0!</v>
      </c>
      <c r="AI55" s="57" t="e">
        <f t="shared" si="21"/>
        <v>#DIV/0!</v>
      </c>
      <c r="AJ55" s="57" t="e">
        <f t="shared" si="22"/>
        <v>#DIV/0!</v>
      </c>
      <c r="AK55" s="57" t="e">
        <f t="shared" si="23"/>
        <v>#DIV/0!</v>
      </c>
      <c r="AL55" s="57" t="e">
        <f t="shared" si="24"/>
        <v>#DIV/0!</v>
      </c>
      <c r="AM55" s="63"/>
      <c r="AN55" s="57" t="e">
        <f t="shared" si="26"/>
        <v>#DIV/0!</v>
      </c>
      <c r="AO55" s="58" t="e">
        <f t="shared" si="27"/>
        <v>#DIV/0!</v>
      </c>
      <c r="AP55" s="63"/>
      <c r="AQ55" s="58" t="e">
        <f t="shared" si="27"/>
        <v>#DIV/0!</v>
      </c>
      <c r="AR55" s="63"/>
      <c r="AS55" s="58" t="e">
        <f t="shared" si="27"/>
        <v>#DIV/0!</v>
      </c>
      <c r="AT55" s="58" t="e">
        <f t="shared" si="27"/>
        <v>#DIV/0!</v>
      </c>
      <c r="AU55" s="58" t="e">
        <f t="shared" si="27"/>
        <v>#DIV/0!</v>
      </c>
      <c r="AV55" s="58" t="e">
        <f t="shared" si="27"/>
        <v>#DIV/0!</v>
      </c>
      <c r="AW55" s="58" t="e">
        <f t="shared" si="27"/>
        <v>#DIV/0!</v>
      </c>
      <c r="AX55" s="58" t="e">
        <f t="shared" si="27"/>
        <v>#DIV/0!</v>
      </c>
      <c r="AY55" s="58" t="e">
        <f t="shared" si="27"/>
        <v>#DIV/0!</v>
      </c>
      <c r="AZ55" s="63"/>
      <c r="BA55" s="58" t="e">
        <f t="shared" si="27"/>
        <v>#DIV/0!</v>
      </c>
      <c r="BB55" s="63"/>
      <c r="BC55" s="57" t="e">
        <f>(Links!C55*Links!AQ55+'On-Ramps'!AC55*'On-Ramps'!CE55)/('On-Ramps'!AC55+Links!C55)</f>
        <v>#DIV/0!</v>
      </c>
      <c r="BD55" s="63"/>
      <c r="BE55" s="57" t="e">
        <f>(Links!E55*Links!AS55+'On-Ramps'!AD55*'On-Ramps'!CF54)/('On-Ramps'!AD55+Links!E55)</f>
        <v>#DIV/0!</v>
      </c>
      <c r="BF55" s="57" t="e">
        <f>(Links!F55*Links!AT55+'On-Ramps'!AE55*'On-Ramps'!CG55)/('On-Ramps'!AE55+Links!F55)</f>
        <v>#DIV/0!</v>
      </c>
      <c r="BG55" s="57" t="e">
        <f>(Links!I55*Links!AW55+'On-Ramps'!AF55*'On-Ramps'!CH55)/('On-Ramps'!AF55+Links!I55)</f>
        <v>#DIV/0!</v>
      </c>
      <c r="BH55" s="57" t="e">
        <f>(#REF!*#REF!+'On-Ramps'!AG55*'On-Ramps'!CI55)/('On-Ramps'!AG55+#REF!)</f>
        <v>#REF!</v>
      </c>
      <c r="BI55" s="57" t="e">
        <f>(Links!L55*Links!AZ55+'On-Ramps'!AH55*'On-Ramps'!CJ55)/('On-Ramps'!AH55+Links!L55)</f>
        <v>#DIV/0!</v>
      </c>
      <c r="BJ55" s="57" t="e">
        <f>(Links!BA55*Links!M55+'On-Ramps'!AI55*'On-Ramps'!CK55)/('On-Ramps'!AI55+Links!M55)</f>
        <v>#DIV/0!</v>
      </c>
      <c r="BK55" s="57" t="e">
        <f>(Links!S55*Links!BG55+'On-Ramps'!AJ55*'On-Ramps'!CL55)/('On-Ramps'!AJ55+Links!S55)</f>
        <v>#DIV/0!</v>
      </c>
      <c r="BL55" s="63"/>
      <c r="BM55" s="57" t="e">
        <f>(Links!S55*Links!BG55+'On-Ramps'!AL55*'On-Ramps'!CM55)/(Links!S55+'On-Ramps'!AL55)</f>
        <v>#DIV/0!</v>
      </c>
      <c r="BN55" s="63"/>
      <c r="BO55" s="58" t="e">
        <f>(Links!W55^2+'Off-Ramp'!L55^2)/(Links!W55+'Off-Ramp'!L55)</f>
        <v>#DIV/0!</v>
      </c>
      <c r="BP55" s="63"/>
      <c r="BQ55" s="58" t="e">
        <f>(Links!Y55^2+'Off-Ramp'!C55^2)/(Links!Y55+'Off-Ramp'!C55)</f>
        <v>#DIV/0!</v>
      </c>
      <c r="BR55" s="63"/>
      <c r="BS55" s="58" t="e">
        <f>(Links!AA55^2+'Off-Ramp'!N55^2)/(Links!AA55+'Off-Ramp'!N55)</f>
        <v>#DIV/0!</v>
      </c>
      <c r="BT55" s="58" t="e">
        <f>(Links!AD55^2+'Off-Ramp'!O55^2)/(Links!AD55+'Off-Ramp'!O55)</f>
        <v>#DIV/0!</v>
      </c>
      <c r="BU55" s="58" t="e">
        <f>(Links!AE55^2+'Off-Ramp'!V55^2+'Off-Ramp'!W55^2+'Off-Ramp'!X55^2)/(Links!AE55+'Off-Ramp'!V55+'Off-Ramp'!W55+'Off-Ramp'!X55)</f>
        <v>#DIV/0!</v>
      </c>
      <c r="BV55" s="58" t="e">
        <f>(Links!AG55^2+'Off-Ramp'!Y55^2+'Off-Ramp'!Z55^2+'Off-Ramp'!AA55^2)/(Links!AG55+'Off-Ramp'!Y55+'Off-Ramp'!Z55+'Off-Ramp'!AA55)</f>
        <v>#DIV/0!</v>
      </c>
      <c r="BW55" s="58" t="e">
        <f>(Links!AH55^2+'Off-Ramp'!R55^2)/(Links!AH55+'Off-Ramp'!R55)</f>
        <v>#DIV/0!</v>
      </c>
      <c r="BX55" s="58" t="e">
        <f>(Links!AK55^2+'Off-Ramp'!S55^2)/(Links!AK55+'Off-Ramp'!S55)</f>
        <v>#DIV/0!</v>
      </c>
      <c r="BY55" s="58" t="e">
        <f>(Links!AL55^2+'Off-Ramp'!T55^2)/(Links!AL55+'Off-Ramp'!T55)</f>
        <v>#DIV/0!</v>
      </c>
      <c r="BZ55" s="63"/>
      <c r="CA55" s="58" t="e">
        <f>(Links!AN55^2+'Off-Ramp'!U55^2)/(Links!AN55+'Off-Ramp'!U55)</f>
        <v>#DIV/0!</v>
      </c>
    </row>
    <row r="56" spans="1:79" x14ac:dyDescent="0.15">
      <c r="A56" s="56">
        <v>54</v>
      </c>
      <c r="B56" s="57" t="e">
        <f t="shared" si="1"/>
        <v>#DIV/0!</v>
      </c>
      <c r="C56" s="57" t="e">
        <f t="shared" si="2"/>
        <v>#DIV/0!</v>
      </c>
      <c r="D56" s="57" t="e">
        <f t="shared" si="3"/>
        <v>#DIV/0!</v>
      </c>
      <c r="E56" s="57" t="e">
        <f t="shared" si="4"/>
        <v>#DIV/0!</v>
      </c>
      <c r="F56" s="57" t="e">
        <f t="shared" si="5"/>
        <v>#DIV/0!</v>
      </c>
      <c r="G56" s="57" t="e">
        <f t="shared" si="6"/>
        <v>#DIV/0!</v>
      </c>
      <c r="H56" s="57" t="e">
        <f t="shared" si="7"/>
        <v>#DIV/0!</v>
      </c>
      <c r="I56" s="57" t="e">
        <f t="shared" si="8"/>
        <v>#DIV/0!</v>
      </c>
      <c r="J56" s="57" t="e">
        <f t="shared" si="9"/>
        <v>#DIV/0!</v>
      </c>
      <c r="K56" s="57" t="e">
        <f t="shared" si="10"/>
        <v>#DIV/0!</v>
      </c>
      <c r="L56" s="57" t="e">
        <f t="shared" si="11"/>
        <v>#DIV/0!</v>
      </c>
      <c r="M56" s="57" t="e">
        <f t="shared" si="12"/>
        <v>#DIV/0!</v>
      </c>
      <c r="N56" s="57" t="e">
        <f t="shared" si="13"/>
        <v>#DIV/0!</v>
      </c>
      <c r="O56" s="58" t="e">
        <f>Links!B56</f>
        <v>#DIV/0!</v>
      </c>
      <c r="P56" s="58" t="e">
        <f>Links!C56+'On-Ramps'!AC56</f>
        <v>#DIV/0!</v>
      </c>
      <c r="Q56" s="58" t="e">
        <f>Links!D56</f>
        <v>#DIV/0!</v>
      </c>
      <c r="R56" s="58" t="e">
        <f>Links!E56+'On-Ramps'!AD56</f>
        <v>#DIV/0!</v>
      </c>
      <c r="S56" s="58" t="e">
        <f>Links!F56+'On-Ramps'!AE56</f>
        <v>#DIV/0!</v>
      </c>
      <c r="T56" s="58" t="e">
        <f>Links!I56+'On-Ramps'!AF56</f>
        <v>#DIV/0!</v>
      </c>
      <c r="U56" s="58" t="e">
        <f>Links!J56+'On-Ramps'!AG56</f>
        <v>#DIV/0!</v>
      </c>
      <c r="V56" s="58" t="e">
        <f>Links!L56+'On-Ramps'!AH56</f>
        <v>#DIV/0!</v>
      </c>
      <c r="W56" s="58" t="e">
        <f>Links!M56+'On-Ramps'!AI56</f>
        <v>#DIV/0!</v>
      </c>
      <c r="X56" s="58" t="e">
        <f>Links!P56+'On-Ramps'!AJ56</f>
        <v>#DIV/0!</v>
      </c>
      <c r="Y56" s="58" t="e">
        <f>Links!Q56</f>
        <v>#DIV/0!</v>
      </c>
      <c r="Z56" s="58" t="e">
        <f>Links!R56+'On-Ramps'!AK56</f>
        <v>#DIV/0!</v>
      </c>
      <c r="AA56" s="58" t="e">
        <f>Links!S56</f>
        <v>#DIV/0!</v>
      </c>
      <c r="AB56" s="57" t="e">
        <f t="shared" si="16"/>
        <v>#DIV/0!</v>
      </c>
      <c r="AC56" s="63"/>
      <c r="AD56" s="57" t="e">
        <f t="shared" si="17"/>
        <v>#DIV/0!</v>
      </c>
      <c r="AE56" s="63"/>
      <c r="AF56" s="57" t="e">
        <f t="shared" si="18"/>
        <v>#DIV/0!</v>
      </c>
      <c r="AG56" s="57" t="e">
        <f t="shared" si="19"/>
        <v>#DIV/0!</v>
      </c>
      <c r="AH56" s="57" t="e">
        <f t="shared" si="20"/>
        <v>#DIV/0!</v>
      </c>
      <c r="AI56" s="57" t="e">
        <f t="shared" si="21"/>
        <v>#DIV/0!</v>
      </c>
      <c r="AJ56" s="57" t="e">
        <f t="shared" si="22"/>
        <v>#DIV/0!</v>
      </c>
      <c r="AK56" s="57" t="e">
        <f t="shared" si="23"/>
        <v>#DIV/0!</v>
      </c>
      <c r="AL56" s="57" t="e">
        <f t="shared" si="24"/>
        <v>#DIV/0!</v>
      </c>
      <c r="AM56" s="63"/>
      <c r="AN56" s="57" t="e">
        <f t="shared" si="26"/>
        <v>#DIV/0!</v>
      </c>
      <c r="AO56" s="58" t="e">
        <f t="shared" si="27"/>
        <v>#DIV/0!</v>
      </c>
      <c r="AP56" s="63"/>
      <c r="AQ56" s="58" t="e">
        <f t="shared" si="27"/>
        <v>#DIV/0!</v>
      </c>
      <c r="AR56" s="63"/>
      <c r="AS56" s="58" t="e">
        <f t="shared" si="27"/>
        <v>#DIV/0!</v>
      </c>
      <c r="AT56" s="58" t="e">
        <f t="shared" si="27"/>
        <v>#DIV/0!</v>
      </c>
      <c r="AU56" s="58" t="e">
        <f t="shared" si="27"/>
        <v>#DIV/0!</v>
      </c>
      <c r="AV56" s="58" t="e">
        <f t="shared" si="27"/>
        <v>#DIV/0!</v>
      </c>
      <c r="AW56" s="58" t="e">
        <f t="shared" ref="AQ56:BA77" si="28">AW$3</f>
        <v>#DIV/0!</v>
      </c>
      <c r="AX56" s="58" t="e">
        <f t="shared" si="28"/>
        <v>#DIV/0!</v>
      </c>
      <c r="AY56" s="58" t="e">
        <f t="shared" si="28"/>
        <v>#DIV/0!</v>
      </c>
      <c r="AZ56" s="63"/>
      <c r="BA56" s="58" t="e">
        <f t="shared" si="28"/>
        <v>#DIV/0!</v>
      </c>
      <c r="BB56" s="63"/>
      <c r="BC56" s="57" t="e">
        <f>(Links!C56*Links!AQ56+'On-Ramps'!AC56*'On-Ramps'!CE56)/('On-Ramps'!AC56+Links!C56)</f>
        <v>#DIV/0!</v>
      </c>
      <c r="BD56" s="63"/>
      <c r="BE56" s="57" t="e">
        <f>(Links!E56*Links!AS56+'On-Ramps'!AD56*'On-Ramps'!CF55)/('On-Ramps'!AD56+Links!E56)</f>
        <v>#DIV/0!</v>
      </c>
      <c r="BF56" s="57" t="e">
        <f>(Links!F56*Links!AT56+'On-Ramps'!AE56*'On-Ramps'!CG56)/('On-Ramps'!AE56+Links!F56)</f>
        <v>#DIV/0!</v>
      </c>
      <c r="BG56" s="57" t="e">
        <f>(Links!I56*Links!AW56+'On-Ramps'!AF56*'On-Ramps'!CH56)/('On-Ramps'!AF56+Links!I56)</f>
        <v>#DIV/0!</v>
      </c>
      <c r="BH56" s="57" t="e">
        <f>(#REF!*#REF!+'On-Ramps'!AG56*'On-Ramps'!CI56)/('On-Ramps'!AG56+#REF!)</f>
        <v>#REF!</v>
      </c>
      <c r="BI56" s="57" t="e">
        <f>(Links!L56*Links!AZ56+'On-Ramps'!AH56*'On-Ramps'!CJ56)/('On-Ramps'!AH56+Links!L56)</f>
        <v>#DIV/0!</v>
      </c>
      <c r="BJ56" s="57" t="e">
        <f>(Links!BA56*Links!M56+'On-Ramps'!AI56*'On-Ramps'!CK56)/('On-Ramps'!AI56+Links!M56)</f>
        <v>#DIV/0!</v>
      </c>
      <c r="BK56" s="57" t="e">
        <f>(Links!S56*Links!BG56+'On-Ramps'!AJ56*'On-Ramps'!CL56)/('On-Ramps'!AJ56+Links!S56)</f>
        <v>#DIV/0!</v>
      </c>
      <c r="BL56" s="63"/>
      <c r="BM56" s="57" t="e">
        <f>(Links!S56*Links!BG56+'On-Ramps'!AL56*'On-Ramps'!CM56)/(Links!S56+'On-Ramps'!AL56)</f>
        <v>#DIV/0!</v>
      </c>
      <c r="BN56" s="63"/>
      <c r="BO56" s="58" t="e">
        <f>(Links!W56^2+'Off-Ramp'!L56^2)/(Links!W56+'Off-Ramp'!L56)</f>
        <v>#DIV/0!</v>
      </c>
      <c r="BP56" s="63"/>
      <c r="BQ56" s="58" t="e">
        <f>(Links!Y56^2+'Off-Ramp'!C56^2)/(Links!Y56+'Off-Ramp'!C56)</f>
        <v>#DIV/0!</v>
      </c>
      <c r="BR56" s="63"/>
      <c r="BS56" s="58" t="e">
        <f>(Links!AA56^2+'Off-Ramp'!N56^2)/(Links!AA56+'Off-Ramp'!N56)</f>
        <v>#DIV/0!</v>
      </c>
      <c r="BT56" s="58" t="e">
        <f>(Links!AD56^2+'Off-Ramp'!O56^2)/(Links!AD56+'Off-Ramp'!O56)</f>
        <v>#DIV/0!</v>
      </c>
      <c r="BU56" s="58" t="e">
        <f>(Links!AE56^2+'Off-Ramp'!V56^2+'Off-Ramp'!W56^2+'Off-Ramp'!X56^2)/(Links!AE56+'Off-Ramp'!V56+'Off-Ramp'!W56+'Off-Ramp'!X56)</f>
        <v>#DIV/0!</v>
      </c>
      <c r="BV56" s="58" t="e">
        <f>(Links!AG56^2+'Off-Ramp'!Y56^2+'Off-Ramp'!Z56^2+'Off-Ramp'!AA56^2)/(Links!AG56+'Off-Ramp'!Y56+'Off-Ramp'!Z56+'Off-Ramp'!AA56)</f>
        <v>#DIV/0!</v>
      </c>
      <c r="BW56" s="58" t="e">
        <f>(Links!AH56^2+'Off-Ramp'!R56^2)/(Links!AH56+'Off-Ramp'!R56)</f>
        <v>#DIV/0!</v>
      </c>
      <c r="BX56" s="58" t="e">
        <f>(Links!AK56^2+'Off-Ramp'!S56^2)/(Links!AK56+'Off-Ramp'!S56)</f>
        <v>#DIV/0!</v>
      </c>
      <c r="BY56" s="58" t="e">
        <f>(Links!AL56^2+'Off-Ramp'!T56^2)/(Links!AL56+'Off-Ramp'!T56)</f>
        <v>#DIV/0!</v>
      </c>
      <c r="BZ56" s="63"/>
      <c r="CA56" s="58" t="e">
        <f>(Links!AN56^2+'Off-Ramp'!U56^2)/(Links!AN56+'Off-Ramp'!U56)</f>
        <v>#DIV/0!</v>
      </c>
    </row>
    <row r="57" spans="1:79" x14ac:dyDescent="0.15">
      <c r="A57" s="56">
        <v>55</v>
      </c>
      <c r="B57" s="57" t="e">
        <f t="shared" si="1"/>
        <v>#DIV/0!</v>
      </c>
      <c r="C57" s="57" t="e">
        <f t="shared" si="2"/>
        <v>#DIV/0!</v>
      </c>
      <c r="D57" s="57" t="e">
        <f t="shared" si="3"/>
        <v>#DIV/0!</v>
      </c>
      <c r="E57" s="57" t="e">
        <f t="shared" si="4"/>
        <v>#DIV/0!</v>
      </c>
      <c r="F57" s="57" t="e">
        <f t="shared" si="5"/>
        <v>#DIV/0!</v>
      </c>
      <c r="G57" s="57" t="e">
        <f t="shared" si="6"/>
        <v>#DIV/0!</v>
      </c>
      <c r="H57" s="57" t="e">
        <f t="shared" si="7"/>
        <v>#DIV/0!</v>
      </c>
      <c r="I57" s="57" t="e">
        <f t="shared" si="8"/>
        <v>#DIV/0!</v>
      </c>
      <c r="J57" s="57" t="e">
        <f t="shared" si="9"/>
        <v>#DIV/0!</v>
      </c>
      <c r="K57" s="57" t="e">
        <f t="shared" si="10"/>
        <v>#DIV/0!</v>
      </c>
      <c r="L57" s="57" t="e">
        <f t="shared" si="11"/>
        <v>#DIV/0!</v>
      </c>
      <c r="M57" s="57" t="e">
        <f t="shared" si="12"/>
        <v>#DIV/0!</v>
      </c>
      <c r="N57" s="57" t="e">
        <f t="shared" si="13"/>
        <v>#DIV/0!</v>
      </c>
      <c r="O57" s="58" t="e">
        <f>Links!B57</f>
        <v>#DIV/0!</v>
      </c>
      <c r="P57" s="58" t="e">
        <f>Links!C57+'On-Ramps'!AC57</f>
        <v>#DIV/0!</v>
      </c>
      <c r="Q57" s="58" t="e">
        <f>Links!D57</f>
        <v>#DIV/0!</v>
      </c>
      <c r="R57" s="58" t="e">
        <f>Links!E57+'On-Ramps'!AD57</f>
        <v>#DIV/0!</v>
      </c>
      <c r="S57" s="58" t="e">
        <f>Links!F57+'On-Ramps'!AE57</f>
        <v>#DIV/0!</v>
      </c>
      <c r="T57" s="58" t="e">
        <f>Links!I57+'On-Ramps'!AF57</f>
        <v>#DIV/0!</v>
      </c>
      <c r="U57" s="58" t="e">
        <f>Links!J57+'On-Ramps'!AG57</f>
        <v>#DIV/0!</v>
      </c>
      <c r="V57" s="58" t="e">
        <f>Links!L57+'On-Ramps'!AH57</f>
        <v>#DIV/0!</v>
      </c>
      <c r="W57" s="58" t="e">
        <f>Links!M57+'On-Ramps'!AI57</f>
        <v>#DIV/0!</v>
      </c>
      <c r="X57" s="58" t="e">
        <f>Links!P57+'On-Ramps'!AJ57</f>
        <v>#DIV/0!</v>
      </c>
      <c r="Y57" s="58" t="e">
        <f>Links!Q57</f>
        <v>#DIV/0!</v>
      </c>
      <c r="Z57" s="58" t="e">
        <f>Links!R57+'On-Ramps'!AK57</f>
        <v>#DIV/0!</v>
      </c>
      <c r="AA57" s="58" t="e">
        <f>Links!S57</f>
        <v>#DIV/0!</v>
      </c>
      <c r="AB57" s="57" t="e">
        <f t="shared" si="16"/>
        <v>#DIV/0!</v>
      </c>
      <c r="AC57" s="63"/>
      <c r="AD57" s="57" t="e">
        <f t="shared" si="17"/>
        <v>#DIV/0!</v>
      </c>
      <c r="AE57" s="63"/>
      <c r="AF57" s="57" t="e">
        <f t="shared" si="18"/>
        <v>#DIV/0!</v>
      </c>
      <c r="AG57" s="57" t="e">
        <f t="shared" si="19"/>
        <v>#DIV/0!</v>
      </c>
      <c r="AH57" s="57" t="e">
        <f t="shared" si="20"/>
        <v>#DIV/0!</v>
      </c>
      <c r="AI57" s="57" t="e">
        <f t="shared" si="21"/>
        <v>#DIV/0!</v>
      </c>
      <c r="AJ57" s="57" t="e">
        <f t="shared" si="22"/>
        <v>#DIV/0!</v>
      </c>
      <c r="AK57" s="57" t="e">
        <f t="shared" si="23"/>
        <v>#DIV/0!</v>
      </c>
      <c r="AL57" s="57" t="e">
        <f t="shared" si="24"/>
        <v>#DIV/0!</v>
      </c>
      <c r="AM57" s="63"/>
      <c r="AN57" s="57" t="e">
        <f t="shared" si="26"/>
        <v>#DIV/0!</v>
      </c>
      <c r="AO57" s="58" t="e">
        <f t="shared" ref="AO57:AO120" si="29">AO$3</f>
        <v>#DIV/0!</v>
      </c>
      <c r="AP57" s="63"/>
      <c r="AQ57" s="58" t="e">
        <f t="shared" si="28"/>
        <v>#DIV/0!</v>
      </c>
      <c r="AR57" s="63"/>
      <c r="AS57" s="58" t="e">
        <f t="shared" si="28"/>
        <v>#DIV/0!</v>
      </c>
      <c r="AT57" s="58" t="e">
        <f t="shared" si="28"/>
        <v>#DIV/0!</v>
      </c>
      <c r="AU57" s="58" t="e">
        <f t="shared" si="28"/>
        <v>#DIV/0!</v>
      </c>
      <c r="AV57" s="58" t="e">
        <f t="shared" si="28"/>
        <v>#DIV/0!</v>
      </c>
      <c r="AW57" s="58" t="e">
        <f t="shared" si="28"/>
        <v>#DIV/0!</v>
      </c>
      <c r="AX57" s="58" t="e">
        <f t="shared" si="28"/>
        <v>#DIV/0!</v>
      </c>
      <c r="AY57" s="58" t="e">
        <f t="shared" si="28"/>
        <v>#DIV/0!</v>
      </c>
      <c r="AZ57" s="63"/>
      <c r="BA57" s="58" t="e">
        <f t="shared" si="28"/>
        <v>#DIV/0!</v>
      </c>
      <c r="BB57" s="63"/>
      <c r="BC57" s="57" t="e">
        <f>(Links!C57*Links!AQ57+'On-Ramps'!AC57*'On-Ramps'!CE57)/('On-Ramps'!AC57+Links!C57)</f>
        <v>#DIV/0!</v>
      </c>
      <c r="BD57" s="63"/>
      <c r="BE57" s="57" t="e">
        <f>(Links!E57*Links!AS57+'On-Ramps'!AD57*'On-Ramps'!CF56)/('On-Ramps'!AD57+Links!E57)</f>
        <v>#DIV/0!</v>
      </c>
      <c r="BF57" s="57" t="e">
        <f>(Links!F57*Links!AT57+'On-Ramps'!AE57*'On-Ramps'!CG57)/('On-Ramps'!AE57+Links!F57)</f>
        <v>#DIV/0!</v>
      </c>
      <c r="BG57" s="57" t="e">
        <f>(Links!I57*Links!AW57+'On-Ramps'!AF57*'On-Ramps'!CH57)/('On-Ramps'!AF57+Links!I57)</f>
        <v>#DIV/0!</v>
      </c>
      <c r="BH57" s="57" t="e">
        <f>(#REF!*#REF!+'On-Ramps'!AG57*'On-Ramps'!CI57)/('On-Ramps'!AG57+#REF!)</f>
        <v>#REF!</v>
      </c>
      <c r="BI57" s="57" t="e">
        <f>(Links!L57*Links!AZ57+'On-Ramps'!AH57*'On-Ramps'!CJ57)/('On-Ramps'!AH57+Links!L57)</f>
        <v>#DIV/0!</v>
      </c>
      <c r="BJ57" s="57" t="e">
        <f>(Links!BA57*Links!M57+'On-Ramps'!AI57*'On-Ramps'!CK57)/('On-Ramps'!AI57+Links!M57)</f>
        <v>#DIV/0!</v>
      </c>
      <c r="BK57" s="57" t="e">
        <f>(Links!S57*Links!BG57+'On-Ramps'!AJ57*'On-Ramps'!CL57)/('On-Ramps'!AJ57+Links!S57)</f>
        <v>#DIV/0!</v>
      </c>
      <c r="BL57" s="63"/>
      <c r="BM57" s="57" t="e">
        <f>(Links!S57*Links!BG57+'On-Ramps'!AL57*'On-Ramps'!CM57)/(Links!S57+'On-Ramps'!AL57)</f>
        <v>#DIV/0!</v>
      </c>
      <c r="BN57" s="63"/>
      <c r="BO57" s="58" t="e">
        <f>(Links!W57^2+'Off-Ramp'!L57^2)/(Links!W57+'Off-Ramp'!L57)</f>
        <v>#DIV/0!</v>
      </c>
      <c r="BP57" s="63"/>
      <c r="BQ57" s="58" t="e">
        <f>(Links!Y57^2+'Off-Ramp'!C57^2)/(Links!Y57+'Off-Ramp'!C57)</f>
        <v>#DIV/0!</v>
      </c>
      <c r="BR57" s="63"/>
      <c r="BS57" s="58" t="e">
        <f>(Links!AA57^2+'Off-Ramp'!N57^2)/(Links!AA57+'Off-Ramp'!N57)</f>
        <v>#DIV/0!</v>
      </c>
      <c r="BT57" s="58" t="e">
        <f>(Links!AD57^2+'Off-Ramp'!O57^2)/(Links!AD57+'Off-Ramp'!O57)</f>
        <v>#DIV/0!</v>
      </c>
      <c r="BU57" s="58" t="e">
        <f>(Links!AE57^2+'Off-Ramp'!V57^2+'Off-Ramp'!W57^2+'Off-Ramp'!X57^2)/(Links!AE57+'Off-Ramp'!V57+'Off-Ramp'!W57+'Off-Ramp'!X57)</f>
        <v>#DIV/0!</v>
      </c>
      <c r="BV57" s="58" t="e">
        <f>(Links!AG57^2+'Off-Ramp'!Y57^2+'Off-Ramp'!Z57^2+'Off-Ramp'!AA57^2)/(Links!AG57+'Off-Ramp'!Y57+'Off-Ramp'!Z57+'Off-Ramp'!AA57)</f>
        <v>#DIV/0!</v>
      </c>
      <c r="BW57" s="58" t="e">
        <f>(Links!AH57^2+'Off-Ramp'!R57^2)/(Links!AH57+'Off-Ramp'!R57)</f>
        <v>#DIV/0!</v>
      </c>
      <c r="BX57" s="58" t="e">
        <f>(Links!AK57^2+'Off-Ramp'!S57^2)/(Links!AK57+'Off-Ramp'!S57)</f>
        <v>#DIV/0!</v>
      </c>
      <c r="BY57" s="58" t="e">
        <f>(Links!AL57^2+'Off-Ramp'!T57^2)/(Links!AL57+'Off-Ramp'!T57)</f>
        <v>#DIV/0!</v>
      </c>
      <c r="BZ57" s="63"/>
      <c r="CA57" s="58" t="e">
        <f>(Links!AN57^2+'Off-Ramp'!U57^2)/(Links!AN57+'Off-Ramp'!U57)</f>
        <v>#DIV/0!</v>
      </c>
    </row>
    <row r="58" spans="1:79" x14ac:dyDescent="0.15">
      <c r="A58" s="56">
        <v>56</v>
      </c>
      <c r="B58" s="57" t="e">
        <f t="shared" si="1"/>
        <v>#DIV/0!</v>
      </c>
      <c r="C58" s="57" t="e">
        <f t="shared" si="2"/>
        <v>#DIV/0!</v>
      </c>
      <c r="D58" s="57" t="e">
        <f t="shared" si="3"/>
        <v>#DIV/0!</v>
      </c>
      <c r="E58" s="57" t="e">
        <f t="shared" si="4"/>
        <v>#DIV/0!</v>
      </c>
      <c r="F58" s="57" t="e">
        <f t="shared" si="5"/>
        <v>#DIV/0!</v>
      </c>
      <c r="G58" s="57" t="e">
        <f t="shared" si="6"/>
        <v>#DIV/0!</v>
      </c>
      <c r="H58" s="57" t="e">
        <f t="shared" si="7"/>
        <v>#DIV/0!</v>
      </c>
      <c r="I58" s="57" t="e">
        <f t="shared" si="8"/>
        <v>#DIV/0!</v>
      </c>
      <c r="J58" s="57" t="e">
        <f t="shared" si="9"/>
        <v>#DIV/0!</v>
      </c>
      <c r="K58" s="57" t="e">
        <f t="shared" si="10"/>
        <v>#DIV/0!</v>
      </c>
      <c r="L58" s="57" t="e">
        <f t="shared" si="11"/>
        <v>#DIV/0!</v>
      </c>
      <c r="M58" s="57" t="e">
        <f t="shared" si="12"/>
        <v>#DIV/0!</v>
      </c>
      <c r="N58" s="57" t="e">
        <f t="shared" si="13"/>
        <v>#DIV/0!</v>
      </c>
      <c r="O58" s="58" t="e">
        <f>Links!B58</f>
        <v>#DIV/0!</v>
      </c>
      <c r="P58" s="58" t="e">
        <f>Links!C58+'On-Ramps'!AC58</f>
        <v>#DIV/0!</v>
      </c>
      <c r="Q58" s="58" t="e">
        <f>Links!D58</f>
        <v>#DIV/0!</v>
      </c>
      <c r="R58" s="58" t="e">
        <f>Links!E58+'On-Ramps'!AD58</f>
        <v>#DIV/0!</v>
      </c>
      <c r="S58" s="58" t="e">
        <f>Links!F58+'On-Ramps'!AE58</f>
        <v>#DIV/0!</v>
      </c>
      <c r="T58" s="58" t="e">
        <f>Links!I58+'On-Ramps'!AF58</f>
        <v>#DIV/0!</v>
      </c>
      <c r="U58" s="58" t="e">
        <f>Links!J58+'On-Ramps'!AG58</f>
        <v>#DIV/0!</v>
      </c>
      <c r="V58" s="58" t="e">
        <f>Links!L58+'On-Ramps'!AH58</f>
        <v>#DIV/0!</v>
      </c>
      <c r="W58" s="58" t="e">
        <f>Links!M58+'On-Ramps'!AI58</f>
        <v>#DIV/0!</v>
      </c>
      <c r="X58" s="58" t="e">
        <f>Links!P58+'On-Ramps'!AJ58</f>
        <v>#DIV/0!</v>
      </c>
      <c r="Y58" s="58" t="e">
        <f>Links!Q58</f>
        <v>#DIV/0!</v>
      </c>
      <c r="Z58" s="58" t="e">
        <f>Links!R58+'On-Ramps'!AK58</f>
        <v>#DIV/0!</v>
      </c>
      <c r="AA58" s="58" t="e">
        <f>Links!S58</f>
        <v>#DIV/0!</v>
      </c>
      <c r="AB58" s="57" t="e">
        <f t="shared" si="16"/>
        <v>#DIV/0!</v>
      </c>
      <c r="AC58" s="63"/>
      <c r="AD58" s="57" t="e">
        <f t="shared" si="17"/>
        <v>#DIV/0!</v>
      </c>
      <c r="AE58" s="63"/>
      <c r="AF58" s="57" t="e">
        <f t="shared" si="18"/>
        <v>#DIV/0!</v>
      </c>
      <c r="AG58" s="57" t="e">
        <f t="shared" si="19"/>
        <v>#DIV/0!</v>
      </c>
      <c r="AH58" s="57" t="e">
        <f t="shared" si="20"/>
        <v>#DIV/0!</v>
      </c>
      <c r="AI58" s="57" t="e">
        <f t="shared" si="21"/>
        <v>#DIV/0!</v>
      </c>
      <c r="AJ58" s="57" t="e">
        <f t="shared" si="22"/>
        <v>#DIV/0!</v>
      </c>
      <c r="AK58" s="57" t="e">
        <f t="shared" si="23"/>
        <v>#DIV/0!</v>
      </c>
      <c r="AL58" s="57" t="e">
        <f t="shared" si="24"/>
        <v>#DIV/0!</v>
      </c>
      <c r="AM58" s="63"/>
      <c r="AN58" s="57" t="e">
        <f t="shared" si="26"/>
        <v>#DIV/0!</v>
      </c>
      <c r="AO58" s="58" t="e">
        <f t="shared" si="29"/>
        <v>#DIV/0!</v>
      </c>
      <c r="AP58" s="63"/>
      <c r="AQ58" s="58" t="e">
        <f t="shared" si="28"/>
        <v>#DIV/0!</v>
      </c>
      <c r="AR58" s="63"/>
      <c r="AS58" s="58" t="e">
        <f t="shared" si="28"/>
        <v>#DIV/0!</v>
      </c>
      <c r="AT58" s="58" t="e">
        <f t="shared" si="28"/>
        <v>#DIV/0!</v>
      </c>
      <c r="AU58" s="58" t="e">
        <f t="shared" si="28"/>
        <v>#DIV/0!</v>
      </c>
      <c r="AV58" s="58" t="e">
        <f t="shared" si="28"/>
        <v>#DIV/0!</v>
      </c>
      <c r="AW58" s="58" t="e">
        <f t="shared" si="28"/>
        <v>#DIV/0!</v>
      </c>
      <c r="AX58" s="58" t="e">
        <f t="shared" si="28"/>
        <v>#DIV/0!</v>
      </c>
      <c r="AY58" s="58" t="e">
        <f t="shared" si="28"/>
        <v>#DIV/0!</v>
      </c>
      <c r="AZ58" s="63"/>
      <c r="BA58" s="58" t="e">
        <f t="shared" si="28"/>
        <v>#DIV/0!</v>
      </c>
      <c r="BB58" s="63"/>
      <c r="BC58" s="57" t="e">
        <f>(Links!C58*Links!AQ58+'On-Ramps'!AC58*'On-Ramps'!CE58)/('On-Ramps'!AC58+Links!C58)</f>
        <v>#DIV/0!</v>
      </c>
      <c r="BD58" s="63"/>
      <c r="BE58" s="57" t="e">
        <f>(Links!E58*Links!AS58+'On-Ramps'!AD58*'On-Ramps'!CF57)/('On-Ramps'!AD58+Links!E58)</f>
        <v>#DIV/0!</v>
      </c>
      <c r="BF58" s="57" t="e">
        <f>(Links!F58*Links!AT58+'On-Ramps'!AE58*'On-Ramps'!CG58)/('On-Ramps'!AE58+Links!F58)</f>
        <v>#DIV/0!</v>
      </c>
      <c r="BG58" s="57" t="e">
        <f>(Links!I58*Links!AW58+'On-Ramps'!AF58*'On-Ramps'!CH58)/('On-Ramps'!AF58+Links!I58)</f>
        <v>#DIV/0!</v>
      </c>
      <c r="BH58" s="57" t="e">
        <f>(#REF!*#REF!+'On-Ramps'!AG58*'On-Ramps'!CI58)/('On-Ramps'!AG58+#REF!)</f>
        <v>#REF!</v>
      </c>
      <c r="BI58" s="57" t="e">
        <f>(Links!L58*Links!AZ58+'On-Ramps'!AH58*'On-Ramps'!CJ58)/('On-Ramps'!AH58+Links!L58)</f>
        <v>#DIV/0!</v>
      </c>
      <c r="BJ58" s="57" t="e">
        <f>(Links!BA58*Links!M58+'On-Ramps'!AI58*'On-Ramps'!CK58)/('On-Ramps'!AI58+Links!M58)</f>
        <v>#DIV/0!</v>
      </c>
      <c r="BK58" s="57" t="e">
        <f>(Links!S58*Links!BG58+'On-Ramps'!AJ58*'On-Ramps'!CL58)/('On-Ramps'!AJ58+Links!S58)</f>
        <v>#DIV/0!</v>
      </c>
      <c r="BL58" s="63"/>
      <c r="BM58" s="57" t="e">
        <f>(Links!S58*Links!BG58+'On-Ramps'!AL58*'On-Ramps'!CM58)/(Links!S58+'On-Ramps'!AL58)</f>
        <v>#DIV/0!</v>
      </c>
      <c r="BN58" s="63"/>
      <c r="BO58" s="58" t="e">
        <f>(Links!W58^2+'Off-Ramp'!L58^2)/(Links!W58+'Off-Ramp'!L58)</f>
        <v>#DIV/0!</v>
      </c>
      <c r="BP58" s="63"/>
      <c r="BQ58" s="58" t="e">
        <f>(Links!Y58^2+'Off-Ramp'!C58^2)/(Links!Y58+'Off-Ramp'!C58)</f>
        <v>#DIV/0!</v>
      </c>
      <c r="BR58" s="63"/>
      <c r="BS58" s="58" t="e">
        <f>(Links!AA58^2+'Off-Ramp'!N58^2)/(Links!AA58+'Off-Ramp'!N58)</f>
        <v>#DIV/0!</v>
      </c>
      <c r="BT58" s="58" t="e">
        <f>(Links!AD58^2+'Off-Ramp'!O58^2)/(Links!AD58+'Off-Ramp'!O58)</f>
        <v>#DIV/0!</v>
      </c>
      <c r="BU58" s="58" t="e">
        <f>(Links!AE58^2+'Off-Ramp'!V58^2+'Off-Ramp'!W58^2+'Off-Ramp'!X58^2)/(Links!AE58+'Off-Ramp'!V58+'Off-Ramp'!W58+'Off-Ramp'!X58)</f>
        <v>#DIV/0!</v>
      </c>
      <c r="BV58" s="58" t="e">
        <f>(Links!AG58^2+'Off-Ramp'!Y58^2+'Off-Ramp'!Z58^2+'Off-Ramp'!AA58^2)/(Links!AG58+'Off-Ramp'!Y58+'Off-Ramp'!Z58+'Off-Ramp'!AA58)</f>
        <v>#DIV/0!</v>
      </c>
      <c r="BW58" s="58" t="e">
        <f>(Links!AH58^2+'Off-Ramp'!R58^2)/(Links!AH58+'Off-Ramp'!R58)</f>
        <v>#DIV/0!</v>
      </c>
      <c r="BX58" s="58" t="e">
        <f>(Links!AK58^2+'Off-Ramp'!S58^2)/(Links!AK58+'Off-Ramp'!S58)</f>
        <v>#DIV/0!</v>
      </c>
      <c r="BY58" s="58" t="e">
        <f>(Links!AL58^2+'Off-Ramp'!T58^2)/(Links!AL58+'Off-Ramp'!T58)</f>
        <v>#DIV/0!</v>
      </c>
      <c r="BZ58" s="63"/>
      <c r="CA58" s="58" t="e">
        <f>(Links!AN58^2+'Off-Ramp'!U58^2)/(Links!AN58+'Off-Ramp'!U58)</f>
        <v>#DIV/0!</v>
      </c>
    </row>
    <row r="59" spans="1:79" x14ac:dyDescent="0.15">
      <c r="A59" s="56">
        <v>57</v>
      </c>
      <c r="B59" s="57" t="e">
        <f t="shared" si="1"/>
        <v>#DIV/0!</v>
      </c>
      <c r="C59" s="57" t="e">
        <f t="shared" si="2"/>
        <v>#DIV/0!</v>
      </c>
      <c r="D59" s="57" t="e">
        <f t="shared" si="3"/>
        <v>#DIV/0!</v>
      </c>
      <c r="E59" s="57" t="e">
        <f t="shared" si="4"/>
        <v>#DIV/0!</v>
      </c>
      <c r="F59" s="57" t="e">
        <f t="shared" si="5"/>
        <v>#DIV/0!</v>
      </c>
      <c r="G59" s="57" t="e">
        <f t="shared" si="6"/>
        <v>#DIV/0!</v>
      </c>
      <c r="H59" s="57" t="e">
        <f t="shared" si="7"/>
        <v>#DIV/0!</v>
      </c>
      <c r="I59" s="57" t="e">
        <f t="shared" si="8"/>
        <v>#DIV/0!</v>
      </c>
      <c r="J59" s="57" t="e">
        <f t="shared" si="9"/>
        <v>#DIV/0!</v>
      </c>
      <c r="K59" s="57" t="e">
        <f t="shared" si="10"/>
        <v>#DIV/0!</v>
      </c>
      <c r="L59" s="57" t="e">
        <f t="shared" si="11"/>
        <v>#DIV/0!</v>
      </c>
      <c r="M59" s="57" t="e">
        <f t="shared" si="12"/>
        <v>#DIV/0!</v>
      </c>
      <c r="N59" s="57" t="e">
        <f t="shared" si="13"/>
        <v>#DIV/0!</v>
      </c>
      <c r="O59" s="58" t="e">
        <f>Links!B59</f>
        <v>#DIV/0!</v>
      </c>
      <c r="P59" s="58" t="e">
        <f>Links!C59+'On-Ramps'!AC59</f>
        <v>#DIV/0!</v>
      </c>
      <c r="Q59" s="58" t="e">
        <f>Links!D59</f>
        <v>#DIV/0!</v>
      </c>
      <c r="R59" s="58" t="e">
        <f>Links!E59+'On-Ramps'!AD59</f>
        <v>#DIV/0!</v>
      </c>
      <c r="S59" s="58" t="e">
        <f>Links!F59+'On-Ramps'!AE59</f>
        <v>#DIV/0!</v>
      </c>
      <c r="T59" s="58" t="e">
        <f>Links!I59+'On-Ramps'!AF59</f>
        <v>#DIV/0!</v>
      </c>
      <c r="U59" s="58" t="e">
        <f>Links!J59+'On-Ramps'!AG59</f>
        <v>#DIV/0!</v>
      </c>
      <c r="V59" s="58" t="e">
        <f>Links!L59+'On-Ramps'!AH59</f>
        <v>#DIV/0!</v>
      </c>
      <c r="W59" s="58" t="e">
        <f>Links!M59+'On-Ramps'!AI59</f>
        <v>#DIV/0!</v>
      </c>
      <c r="X59" s="58" t="e">
        <f>Links!P59+'On-Ramps'!AJ59</f>
        <v>#DIV/0!</v>
      </c>
      <c r="Y59" s="58" t="e">
        <f>Links!Q59</f>
        <v>#DIV/0!</v>
      </c>
      <c r="Z59" s="58" t="e">
        <f>Links!R59+'On-Ramps'!AK59</f>
        <v>#DIV/0!</v>
      </c>
      <c r="AA59" s="58" t="e">
        <f>Links!S59</f>
        <v>#DIV/0!</v>
      </c>
      <c r="AB59" s="57" t="e">
        <f t="shared" si="16"/>
        <v>#DIV/0!</v>
      </c>
      <c r="AC59" s="63"/>
      <c r="AD59" s="57" t="e">
        <f t="shared" si="17"/>
        <v>#DIV/0!</v>
      </c>
      <c r="AE59" s="63"/>
      <c r="AF59" s="57" t="e">
        <f t="shared" si="18"/>
        <v>#DIV/0!</v>
      </c>
      <c r="AG59" s="57" t="e">
        <f t="shared" si="19"/>
        <v>#DIV/0!</v>
      </c>
      <c r="AH59" s="57" t="e">
        <f t="shared" si="20"/>
        <v>#DIV/0!</v>
      </c>
      <c r="AI59" s="57" t="e">
        <f t="shared" si="21"/>
        <v>#DIV/0!</v>
      </c>
      <c r="AJ59" s="57" t="e">
        <f t="shared" si="22"/>
        <v>#DIV/0!</v>
      </c>
      <c r="AK59" s="57" t="e">
        <f t="shared" si="23"/>
        <v>#DIV/0!</v>
      </c>
      <c r="AL59" s="57" t="e">
        <f t="shared" si="24"/>
        <v>#DIV/0!</v>
      </c>
      <c r="AM59" s="63"/>
      <c r="AN59" s="57" t="e">
        <f t="shared" si="26"/>
        <v>#DIV/0!</v>
      </c>
      <c r="AO59" s="58" t="e">
        <f t="shared" si="29"/>
        <v>#DIV/0!</v>
      </c>
      <c r="AP59" s="63"/>
      <c r="AQ59" s="58" t="e">
        <f t="shared" si="28"/>
        <v>#DIV/0!</v>
      </c>
      <c r="AR59" s="63"/>
      <c r="AS59" s="58" t="e">
        <f t="shared" si="28"/>
        <v>#DIV/0!</v>
      </c>
      <c r="AT59" s="58" t="e">
        <f t="shared" si="28"/>
        <v>#DIV/0!</v>
      </c>
      <c r="AU59" s="58" t="e">
        <f t="shared" si="28"/>
        <v>#DIV/0!</v>
      </c>
      <c r="AV59" s="58" t="e">
        <f t="shared" si="28"/>
        <v>#DIV/0!</v>
      </c>
      <c r="AW59" s="58" t="e">
        <f t="shared" si="28"/>
        <v>#DIV/0!</v>
      </c>
      <c r="AX59" s="58" t="e">
        <f t="shared" si="28"/>
        <v>#DIV/0!</v>
      </c>
      <c r="AY59" s="58" t="e">
        <f t="shared" si="28"/>
        <v>#DIV/0!</v>
      </c>
      <c r="AZ59" s="63"/>
      <c r="BA59" s="58" t="e">
        <f t="shared" si="28"/>
        <v>#DIV/0!</v>
      </c>
      <c r="BB59" s="63"/>
      <c r="BC59" s="57" t="e">
        <f>(Links!C59*Links!AQ59+'On-Ramps'!AC59*'On-Ramps'!CE59)/('On-Ramps'!AC59+Links!C59)</f>
        <v>#DIV/0!</v>
      </c>
      <c r="BD59" s="63"/>
      <c r="BE59" s="57" t="e">
        <f>(Links!E59*Links!AS59+'On-Ramps'!AD59*'On-Ramps'!CF58)/('On-Ramps'!AD59+Links!E59)</f>
        <v>#DIV/0!</v>
      </c>
      <c r="BF59" s="57" t="e">
        <f>(Links!F59*Links!AT59+'On-Ramps'!AE59*'On-Ramps'!CG59)/('On-Ramps'!AE59+Links!F59)</f>
        <v>#DIV/0!</v>
      </c>
      <c r="BG59" s="57" t="e">
        <f>(Links!I59*Links!AW59+'On-Ramps'!AF59*'On-Ramps'!CH59)/('On-Ramps'!AF59+Links!I59)</f>
        <v>#DIV/0!</v>
      </c>
      <c r="BH59" s="57" t="e">
        <f>(#REF!*#REF!+'On-Ramps'!AG59*'On-Ramps'!CI59)/('On-Ramps'!AG59+#REF!)</f>
        <v>#REF!</v>
      </c>
      <c r="BI59" s="57" t="e">
        <f>(Links!L59*Links!AZ59+'On-Ramps'!AH59*'On-Ramps'!CJ59)/('On-Ramps'!AH59+Links!L59)</f>
        <v>#DIV/0!</v>
      </c>
      <c r="BJ59" s="57" t="e">
        <f>(Links!BA59*Links!M59+'On-Ramps'!AI59*'On-Ramps'!CK59)/('On-Ramps'!AI59+Links!M59)</f>
        <v>#DIV/0!</v>
      </c>
      <c r="BK59" s="57" t="e">
        <f>(Links!S59*Links!BG59+'On-Ramps'!AJ59*'On-Ramps'!CL59)/('On-Ramps'!AJ59+Links!S59)</f>
        <v>#DIV/0!</v>
      </c>
      <c r="BL59" s="63"/>
      <c r="BM59" s="57" t="e">
        <f>(Links!S59*Links!BG59+'On-Ramps'!AL59*'On-Ramps'!CM59)/(Links!S59+'On-Ramps'!AL59)</f>
        <v>#DIV/0!</v>
      </c>
      <c r="BN59" s="63"/>
      <c r="BO59" s="58" t="e">
        <f>(Links!W59^2+'Off-Ramp'!L59^2)/(Links!W59+'Off-Ramp'!L59)</f>
        <v>#DIV/0!</v>
      </c>
      <c r="BP59" s="63"/>
      <c r="BQ59" s="58" t="e">
        <f>(Links!Y59^2+'Off-Ramp'!C59^2)/(Links!Y59+'Off-Ramp'!C59)</f>
        <v>#DIV/0!</v>
      </c>
      <c r="BR59" s="63"/>
      <c r="BS59" s="58" t="e">
        <f>(Links!AA59^2+'Off-Ramp'!N59^2)/(Links!AA59+'Off-Ramp'!N59)</f>
        <v>#DIV/0!</v>
      </c>
      <c r="BT59" s="58" t="e">
        <f>(Links!AD59^2+'Off-Ramp'!O59^2)/(Links!AD59+'Off-Ramp'!O59)</f>
        <v>#DIV/0!</v>
      </c>
      <c r="BU59" s="58" t="e">
        <f>(Links!AE59^2+'Off-Ramp'!V59^2+'Off-Ramp'!W59^2+'Off-Ramp'!X59^2)/(Links!AE59+'Off-Ramp'!V59+'Off-Ramp'!W59+'Off-Ramp'!X59)</f>
        <v>#DIV/0!</v>
      </c>
      <c r="BV59" s="58" t="e">
        <f>(Links!AG59^2+'Off-Ramp'!Y59^2+'Off-Ramp'!Z59^2+'Off-Ramp'!AA59^2)/(Links!AG59+'Off-Ramp'!Y59+'Off-Ramp'!Z59+'Off-Ramp'!AA59)</f>
        <v>#DIV/0!</v>
      </c>
      <c r="BW59" s="58" t="e">
        <f>(Links!AH59^2+'Off-Ramp'!R59^2)/(Links!AH59+'Off-Ramp'!R59)</f>
        <v>#DIV/0!</v>
      </c>
      <c r="BX59" s="58" t="e">
        <f>(Links!AK59^2+'Off-Ramp'!S59^2)/(Links!AK59+'Off-Ramp'!S59)</f>
        <v>#DIV/0!</v>
      </c>
      <c r="BY59" s="58" t="e">
        <f>(Links!AL59^2+'Off-Ramp'!T59^2)/(Links!AL59+'Off-Ramp'!T59)</f>
        <v>#DIV/0!</v>
      </c>
      <c r="BZ59" s="63"/>
      <c r="CA59" s="58" t="e">
        <f>(Links!AN59^2+'Off-Ramp'!U59^2)/(Links!AN59+'Off-Ramp'!U59)</f>
        <v>#DIV/0!</v>
      </c>
    </row>
    <row r="60" spans="1:79" x14ac:dyDescent="0.15">
      <c r="A60" s="56">
        <v>58</v>
      </c>
      <c r="B60" s="57" t="e">
        <f t="shared" si="1"/>
        <v>#DIV/0!</v>
      </c>
      <c r="C60" s="57" t="e">
        <f t="shared" si="2"/>
        <v>#DIV/0!</v>
      </c>
      <c r="D60" s="57" t="e">
        <f t="shared" si="3"/>
        <v>#DIV/0!</v>
      </c>
      <c r="E60" s="57" t="e">
        <f t="shared" si="4"/>
        <v>#DIV/0!</v>
      </c>
      <c r="F60" s="57" t="e">
        <f t="shared" si="5"/>
        <v>#DIV/0!</v>
      </c>
      <c r="G60" s="57" t="e">
        <f t="shared" si="6"/>
        <v>#DIV/0!</v>
      </c>
      <c r="H60" s="57" t="e">
        <f t="shared" si="7"/>
        <v>#DIV/0!</v>
      </c>
      <c r="I60" s="57" t="e">
        <f t="shared" si="8"/>
        <v>#DIV/0!</v>
      </c>
      <c r="J60" s="57" t="e">
        <f t="shared" si="9"/>
        <v>#DIV/0!</v>
      </c>
      <c r="K60" s="57" t="e">
        <f t="shared" si="10"/>
        <v>#DIV/0!</v>
      </c>
      <c r="L60" s="57" t="e">
        <f t="shared" si="11"/>
        <v>#DIV/0!</v>
      </c>
      <c r="M60" s="57" t="e">
        <f t="shared" si="12"/>
        <v>#DIV/0!</v>
      </c>
      <c r="N60" s="57" t="e">
        <f t="shared" si="13"/>
        <v>#DIV/0!</v>
      </c>
      <c r="O60" s="58" t="e">
        <f>Links!B60</f>
        <v>#DIV/0!</v>
      </c>
      <c r="P60" s="58" t="e">
        <f>Links!C60+'On-Ramps'!AC60</f>
        <v>#DIV/0!</v>
      </c>
      <c r="Q60" s="58" t="e">
        <f>Links!D60</f>
        <v>#DIV/0!</v>
      </c>
      <c r="R60" s="58" t="e">
        <f>Links!E60+'On-Ramps'!AD60</f>
        <v>#DIV/0!</v>
      </c>
      <c r="S60" s="58" t="e">
        <f>Links!F60+'On-Ramps'!AE60</f>
        <v>#DIV/0!</v>
      </c>
      <c r="T60" s="58" t="e">
        <f>Links!I60+'On-Ramps'!AF60</f>
        <v>#DIV/0!</v>
      </c>
      <c r="U60" s="58" t="e">
        <f>Links!J60+'On-Ramps'!AG60</f>
        <v>#DIV/0!</v>
      </c>
      <c r="V60" s="58" t="e">
        <f>Links!L60+'On-Ramps'!AH60</f>
        <v>#DIV/0!</v>
      </c>
      <c r="W60" s="58" t="e">
        <f>Links!M60+'On-Ramps'!AI60</f>
        <v>#DIV/0!</v>
      </c>
      <c r="X60" s="58" t="e">
        <f>Links!P60+'On-Ramps'!AJ60</f>
        <v>#DIV/0!</v>
      </c>
      <c r="Y60" s="58" t="e">
        <f>Links!Q60</f>
        <v>#DIV/0!</v>
      </c>
      <c r="Z60" s="58" t="e">
        <f>Links!R60+'On-Ramps'!AK60</f>
        <v>#DIV/0!</v>
      </c>
      <c r="AA60" s="58" t="e">
        <f>Links!S60</f>
        <v>#DIV/0!</v>
      </c>
      <c r="AB60" s="57" t="e">
        <f t="shared" si="16"/>
        <v>#DIV/0!</v>
      </c>
      <c r="AC60" s="63"/>
      <c r="AD60" s="57" t="e">
        <f t="shared" si="17"/>
        <v>#DIV/0!</v>
      </c>
      <c r="AE60" s="63"/>
      <c r="AF60" s="57" t="e">
        <f t="shared" si="18"/>
        <v>#DIV/0!</v>
      </c>
      <c r="AG60" s="57" t="e">
        <f t="shared" si="19"/>
        <v>#DIV/0!</v>
      </c>
      <c r="AH60" s="57" t="e">
        <f t="shared" si="20"/>
        <v>#DIV/0!</v>
      </c>
      <c r="AI60" s="57" t="e">
        <f t="shared" si="21"/>
        <v>#DIV/0!</v>
      </c>
      <c r="AJ60" s="57" t="e">
        <f t="shared" si="22"/>
        <v>#DIV/0!</v>
      </c>
      <c r="AK60" s="57" t="e">
        <f t="shared" si="23"/>
        <v>#DIV/0!</v>
      </c>
      <c r="AL60" s="57" t="e">
        <f t="shared" si="24"/>
        <v>#DIV/0!</v>
      </c>
      <c r="AM60" s="63"/>
      <c r="AN60" s="57" t="e">
        <f t="shared" si="26"/>
        <v>#DIV/0!</v>
      </c>
      <c r="AO60" s="58" t="e">
        <f t="shared" si="29"/>
        <v>#DIV/0!</v>
      </c>
      <c r="AP60" s="63"/>
      <c r="AQ60" s="58" t="e">
        <f t="shared" si="28"/>
        <v>#DIV/0!</v>
      </c>
      <c r="AR60" s="63"/>
      <c r="AS60" s="58" t="e">
        <f t="shared" si="28"/>
        <v>#DIV/0!</v>
      </c>
      <c r="AT60" s="58" t="e">
        <f t="shared" si="28"/>
        <v>#DIV/0!</v>
      </c>
      <c r="AU60" s="58" t="e">
        <f t="shared" si="28"/>
        <v>#DIV/0!</v>
      </c>
      <c r="AV60" s="58" t="e">
        <f t="shared" si="28"/>
        <v>#DIV/0!</v>
      </c>
      <c r="AW60" s="58" t="e">
        <f t="shared" si="28"/>
        <v>#DIV/0!</v>
      </c>
      <c r="AX60" s="58" t="e">
        <f t="shared" si="28"/>
        <v>#DIV/0!</v>
      </c>
      <c r="AY60" s="58" t="e">
        <f t="shared" si="28"/>
        <v>#DIV/0!</v>
      </c>
      <c r="AZ60" s="63"/>
      <c r="BA60" s="58" t="e">
        <f t="shared" si="28"/>
        <v>#DIV/0!</v>
      </c>
      <c r="BB60" s="63"/>
      <c r="BC60" s="57" t="e">
        <f>(Links!C60*Links!AQ60+'On-Ramps'!AC60*'On-Ramps'!CE60)/('On-Ramps'!AC60+Links!C60)</f>
        <v>#DIV/0!</v>
      </c>
      <c r="BD60" s="63"/>
      <c r="BE60" s="57" t="e">
        <f>(Links!E60*Links!AS60+'On-Ramps'!AD60*'On-Ramps'!CF59)/('On-Ramps'!AD60+Links!E60)</f>
        <v>#DIV/0!</v>
      </c>
      <c r="BF60" s="57" t="e">
        <f>(Links!F60*Links!AT60+'On-Ramps'!AE60*'On-Ramps'!CG60)/('On-Ramps'!AE60+Links!F60)</f>
        <v>#DIV/0!</v>
      </c>
      <c r="BG60" s="57" t="e">
        <f>(Links!I60*Links!AW60+'On-Ramps'!AF60*'On-Ramps'!CH60)/('On-Ramps'!AF60+Links!I60)</f>
        <v>#DIV/0!</v>
      </c>
      <c r="BH60" s="57" t="e">
        <f>(#REF!*#REF!+'On-Ramps'!AG60*'On-Ramps'!CI60)/('On-Ramps'!AG60+#REF!)</f>
        <v>#REF!</v>
      </c>
      <c r="BI60" s="57" t="e">
        <f>(Links!L60*Links!AZ60+'On-Ramps'!AH60*'On-Ramps'!CJ60)/('On-Ramps'!AH60+Links!L60)</f>
        <v>#DIV/0!</v>
      </c>
      <c r="BJ60" s="57" t="e">
        <f>(Links!BA60*Links!M60+'On-Ramps'!AI60*'On-Ramps'!CK60)/('On-Ramps'!AI60+Links!M60)</f>
        <v>#DIV/0!</v>
      </c>
      <c r="BK60" s="57" t="e">
        <f>(Links!S60*Links!BG60+'On-Ramps'!AJ60*'On-Ramps'!CL60)/('On-Ramps'!AJ60+Links!S60)</f>
        <v>#DIV/0!</v>
      </c>
      <c r="BL60" s="63"/>
      <c r="BM60" s="57" t="e">
        <f>(Links!S60*Links!BG60+'On-Ramps'!AL60*'On-Ramps'!CM60)/(Links!S60+'On-Ramps'!AL60)</f>
        <v>#DIV/0!</v>
      </c>
      <c r="BN60" s="63"/>
      <c r="BO60" s="58" t="e">
        <f>(Links!W60^2+'Off-Ramp'!L60^2)/(Links!W60+'Off-Ramp'!L60)</f>
        <v>#DIV/0!</v>
      </c>
      <c r="BP60" s="63"/>
      <c r="BQ60" s="58" t="e">
        <f>(Links!Y60^2+'Off-Ramp'!C60^2)/(Links!Y60+'Off-Ramp'!C60)</f>
        <v>#DIV/0!</v>
      </c>
      <c r="BR60" s="63"/>
      <c r="BS60" s="58" t="e">
        <f>(Links!AA60^2+'Off-Ramp'!N60^2)/(Links!AA60+'Off-Ramp'!N60)</f>
        <v>#DIV/0!</v>
      </c>
      <c r="BT60" s="58" t="e">
        <f>(Links!AD60^2+'Off-Ramp'!O60^2)/(Links!AD60+'Off-Ramp'!O60)</f>
        <v>#DIV/0!</v>
      </c>
      <c r="BU60" s="58" t="e">
        <f>(Links!AE60^2+'Off-Ramp'!V60^2+'Off-Ramp'!W60^2+'Off-Ramp'!X60^2)/(Links!AE60+'Off-Ramp'!V60+'Off-Ramp'!W60+'Off-Ramp'!X60)</f>
        <v>#DIV/0!</v>
      </c>
      <c r="BV60" s="58" t="e">
        <f>(Links!AG60^2+'Off-Ramp'!Y60^2+'Off-Ramp'!Z60^2+'Off-Ramp'!AA60^2)/(Links!AG60+'Off-Ramp'!Y60+'Off-Ramp'!Z60+'Off-Ramp'!AA60)</f>
        <v>#DIV/0!</v>
      </c>
      <c r="BW60" s="58" t="e">
        <f>(Links!AH60^2+'Off-Ramp'!R60^2)/(Links!AH60+'Off-Ramp'!R60)</f>
        <v>#DIV/0!</v>
      </c>
      <c r="BX60" s="58" t="e">
        <f>(Links!AK60^2+'Off-Ramp'!S60^2)/(Links!AK60+'Off-Ramp'!S60)</f>
        <v>#DIV/0!</v>
      </c>
      <c r="BY60" s="58" t="e">
        <f>(Links!AL60^2+'Off-Ramp'!T60^2)/(Links!AL60+'Off-Ramp'!T60)</f>
        <v>#DIV/0!</v>
      </c>
      <c r="BZ60" s="63"/>
      <c r="CA60" s="58" t="e">
        <f>(Links!AN60^2+'Off-Ramp'!U60^2)/(Links!AN60+'Off-Ramp'!U60)</f>
        <v>#DIV/0!</v>
      </c>
    </row>
    <row r="61" spans="1:79" x14ac:dyDescent="0.15">
      <c r="A61" s="56">
        <v>59</v>
      </c>
      <c r="B61" s="57" t="e">
        <f t="shared" si="1"/>
        <v>#DIV/0!</v>
      </c>
      <c r="C61" s="57" t="e">
        <f t="shared" si="2"/>
        <v>#DIV/0!</v>
      </c>
      <c r="D61" s="57" t="e">
        <f t="shared" si="3"/>
        <v>#DIV/0!</v>
      </c>
      <c r="E61" s="57" t="e">
        <f t="shared" si="4"/>
        <v>#DIV/0!</v>
      </c>
      <c r="F61" s="57" t="e">
        <f t="shared" si="5"/>
        <v>#DIV/0!</v>
      </c>
      <c r="G61" s="57" t="e">
        <f t="shared" si="6"/>
        <v>#DIV/0!</v>
      </c>
      <c r="H61" s="57" t="e">
        <f t="shared" si="7"/>
        <v>#DIV/0!</v>
      </c>
      <c r="I61" s="57" t="e">
        <f t="shared" si="8"/>
        <v>#DIV/0!</v>
      </c>
      <c r="J61" s="57" t="e">
        <f t="shared" si="9"/>
        <v>#DIV/0!</v>
      </c>
      <c r="K61" s="57" t="e">
        <f t="shared" si="10"/>
        <v>#DIV/0!</v>
      </c>
      <c r="L61" s="57" t="e">
        <f t="shared" si="11"/>
        <v>#DIV/0!</v>
      </c>
      <c r="M61" s="57" t="e">
        <f t="shared" si="12"/>
        <v>#DIV/0!</v>
      </c>
      <c r="N61" s="57" t="e">
        <f t="shared" si="13"/>
        <v>#DIV/0!</v>
      </c>
      <c r="O61" s="58" t="e">
        <f>Links!B61</f>
        <v>#DIV/0!</v>
      </c>
      <c r="P61" s="58" t="e">
        <f>Links!C61+'On-Ramps'!AC61</f>
        <v>#DIV/0!</v>
      </c>
      <c r="Q61" s="58" t="e">
        <f>Links!D61</f>
        <v>#DIV/0!</v>
      </c>
      <c r="R61" s="58" t="e">
        <f>Links!E61+'On-Ramps'!AD61</f>
        <v>#DIV/0!</v>
      </c>
      <c r="S61" s="58" t="e">
        <f>Links!F61+'On-Ramps'!AE61</f>
        <v>#DIV/0!</v>
      </c>
      <c r="T61" s="58" t="e">
        <f>Links!I61+'On-Ramps'!AF61</f>
        <v>#DIV/0!</v>
      </c>
      <c r="U61" s="58" t="e">
        <f>Links!J61+'On-Ramps'!AG61</f>
        <v>#DIV/0!</v>
      </c>
      <c r="V61" s="58" t="e">
        <f>Links!L61+'On-Ramps'!AH61</f>
        <v>#DIV/0!</v>
      </c>
      <c r="W61" s="58" t="e">
        <f>Links!M61+'On-Ramps'!AI61</f>
        <v>#DIV/0!</v>
      </c>
      <c r="X61" s="58" t="e">
        <f>Links!P61+'On-Ramps'!AJ61</f>
        <v>#DIV/0!</v>
      </c>
      <c r="Y61" s="58" t="e">
        <f>Links!Q61</f>
        <v>#DIV/0!</v>
      </c>
      <c r="Z61" s="58" t="e">
        <f>Links!R61+'On-Ramps'!AK61</f>
        <v>#DIV/0!</v>
      </c>
      <c r="AA61" s="58" t="e">
        <f>Links!S61</f>
        <v>#DIV/0!</v>
      </c>
      <c r="AB61" s="57" t="e">
        <f t="shared" si="16"/>
        <v>#DIV/0!</v>
      </c>
      <c r="AC61" s="63"/>
      <c r="AD61" s="57" t="e">
        <f t="shared" si="17"/>
        <v>#DIV/0!</v>
      </c>
      <c r="AE61" s="63"/>
      <c r="AF61" s="57" t="e">
        <f t="shared" si="18"/>
        <v>#DIV/0!</v>
      </c>
      <c r="AG61" s="57" t="e">
        <f t="shared" si="19"/>
        <v>#DIV/0!</v>
      </c>
      <c r="AH61" s="57" t="e">
        <f t="shared" si="20"/>
        <v>#DIV/0!</v>
      </c>
      <c r="AI61" s="57" t="e">
        <f t="shared" si="21"/>
        <v>#DIV/0!</v>
      </c>
      <c r="AJ61" s="57" t="e">
        <f t="shared" si="22"/>
        <v>#DIV/0!</v>
      </c>
      <c r="AK61" s="57" t="e">
        <f t="shared" si="23"/>
        <v>#DIV/0!</v>
      </c>
      <c r="AL61" s="57" t="e">
        <f t="shared" si="24"/>
        <v>#DIV/0!</v>
      </c>
      <c r="AM61" s="63"/>
      <c r="AN61" s="57" t="e">
        <f t="shared" si="26"/>
        <v>#DIV/0!</v>
      </c>
      <c r="AO61" s="58" t="e">
        <f t="shared" si="29"/>
        <v>#DIV/0!</v>
      </c>
      <c r="AP61" s="63"/>
      <c r="AQ61" s="58" t="e">
        <f t="shared" si="28"/>
        <v>#DIV/0!</v>
      </c>
      <c r="AR61" s="63"/>
      <c r="AS61" s="58" t="e">
        <f t="shared" si="28"/>
        <v>#DIV/0!</v>
      </c>
      <c r="AT61" s="58" t="e">
        <f t="shared" si="28"/>
        <v>#DIV/0!</v>
      </c>
      <c r="AU61" s="58" t="e">
        <f t="shared" si="28"/>
        <v>#DIV/0!</v>
      </c>
      <c r="AV61" s="58" t="e">
        <f t="shared" si="28"/>
        <v>#DIV/0!</v>
      </c>
      <c r="AW61" s="58" t="e">
        <f t="shared" si="28"/>
        <v>#DIV/0!</v>
      </c>
      <c r="AX61" s="58" t="e">
        <f t="shared" si="28"/>
        <v>#DIV/0!</v>
      </c>
      <c r="AY61" s="58" t="e">
        <f t="shared" si="28"/>
        <v>#DIV/0!</v>
      </c>
      <c r="AZ61" s="63"/>
      <c r="BA61" s="58" t="e">
        <f t="shared" si="28"/>
        <v>#DIV/0!</v>
      </c>
      <c r="BB61" s="63"/>
      <c r="BC61" s="57" t="e">
        <f>(Links!C61*Links!AQ61+'On-Ramps'!AC61*'On-Ramps'!CE61)/('On-Ramps'!AC61+Links!C61)</f>
        <v>#DIV/0!</v>
      </c>
      <c r="BD61" s="63"/>
      <c r="BE61" s="57" t="e">
        <f>(Links!E61*Links!AS61+'On-Ramps'!AD61*'On-Ramps'!CF60)/('On-Ramps'!AD61+Links!E61)</f>
        <v>#DIV/0!</v>
      </c>
      <c r="BF61" s="57" t="e">
        <f>(Links!F61*Links!AT61+'On-Ramps'!AE61*'On-Ramps'!CG61)/('On-Ramps'!AE61+Links!F61)</f>
        <v>#DIV/0!</v>
      </c>
      <c r="BG61" s="57" t="e">
        <f>(Links!I61*Links!AW61+'On-Ramps'!AF61*'On-Ramps'!CH61)/('On-Ramps'!AF61+Links!I61)</f>
        <v>#DIV/0!</v>
      </c>
      <c r="BH61" s="57" t="e">
        <f>(#REF!*#REF!+'On-Ramps'!AG61*'On-Ramps'!CI61)/('On-Ramps'!AG61+#REF!)</f>
        <v>#REF!</v>
      </c>
      <c r="BI61" s="57" t="e">
        <f>(Links!L61*Links!AZ61+'On-Ramps'!AH61*'On-Ramps'!CJ61)/('On-Ramps'!AH61+Links!L61)</f>
        <v>#DIV/0!</v>
      </c>
      <c r="BJ61" s="57" t="e">
        <f>(Links!BA61*Links!M61+'On-Ramps'!AI61*'On-Ramps'!CK61)/('On-Ramps'!AI61+Links!M61)</f>
        <v>#DIV/0!</v>
      </c>
      <c r="BK61" s="57" t="e">
        <f>(Links!S61*Links!BG61+'On-Ramps'!AJ61*'On-Ramps'!CL61)/('On-Ramps'!AJ61+Links!S61)</f>
        <v>#DIV/0!</v>
      </c>
      <c r="BL61" s="63"/>
      <c r="BM61" s="57" t="e">
        <f>(Links!S61*Links!BG61+'On-Ramps'!AL61*'On-Ramps'!CM61)/(Links!S61+'On-Ramps'!AL61)</f>
        <v>#DIV/0!</v>
      </c>
      <c r="BN61" s="63"/>
      <c r="BO61" s="58" t="e">
        <f>(Links!W61^2+'Off-Ramp'!L61^2)/(Links!W61+'Off-Ramp'!L61)</f>
        <v>#DIV/0!</v>
      </c>
      <c r="BP61" s="63"/>
      <c r="BQ61" s="58" t="e">
        <f>(Links!Y61^2+'Off-Ramp'!C61^2)/(Links!Y61+'Off-Ramp'!C61)</f>
        <v>#DIV/0!</v>
      </c>
      <c r="BR61" s="63"/>
      <c r="BS61" s="58" t="e">
        <f>(Links!AA61^2+'Off-Ramp'!N61^2)/(Links!AA61+'Off-Ramp'!N61)</f>
        <v>#DIV/0!</v>
      </c>
      <c r="BT61" s="58" t="e">
        <f>(Links!AD61^2+'Off-Ramp'!O61^2)/(Links!AD61+'Off-Ramp'!O61)</f>
        <v>#DIV/0!</v>
      </c>
      <c r="BU61" s="58" t="e">
        <f>(Links!AE61^2+'Off-Ramp'!V61^2+'Off-Ramp'!W61^2+'Off-Ramp'!X61^2)/(Links!AE61+'Off-Ramp'!V61+'Off-Ramp'!W61+'Off-Ramp'!X61)</f>
        <v>#DIV/0!</v>
      </c>
      <c r="BV61" s="58" t="e">
        <f>(Links!AG61^2+'Off-Ramp'!Y61^2+'Off-Ramp'!Z61^2+'Off-Ramp'!AA61^2)/(Links!AG61+'Off-Ramp'!Y61+'Off-Ramp'!Z61+'Off-Ramp'!AA61)</f>
        <v>#DIV/0!</v>
      </c>
      <c r="BW61" s="58" t="e">
        <f>(Links!AH61^2+'Off-Ramp'!R61^2)/(Links!AH61+'Off-Ramp'!R61)</f>
        <v>#DIV/0!</v>
      </c>
      <c r="BX61" s="58" t="e">
        <f>(Links!AK61^2+'Off-Ramp'!S61^2)/(Links!AK61+'Off-Ramp'!S61)</f>
        <v>#DIV/0!</v>
      </c>
      <c r="BY61" s="58" t="e">
        <f>(Links!AL61^2+'Off-Ramp'!T61^2)/(Links!AL61+'Off-Ramp'!T61)</f>
        <v>#DIV/0!</v>
      </c>
      <c r="BZ61" s="63"/>
      <c r="CA61" s="58" t="e">
        <f>(Links!AN61^2+'Off-Ramp'!U61^2)/(Links!AN61+'Off-Ramp'!U61)</f>
        <v>#DIV/0!</v>
      </c>
    </row>
    <row r="62" spans="1:79" x14ac:dyDescent="0.15">
      <c r="A62" s="56">
        <v>60</v>
      </c>
      <c r="B62" s="57" t="e">
        <f t="shared" si="1"/>
        <v>#DIV/0!</v>
      </c>
      <c r="C62" s="57" t="e">
        <f t="shared" si="2"/>
        <v>#DIV/0!</v>
      </c>
      <c r="D62" s="57" t="e">
        <f t="shared" si="3"/>
        <v>#DIV/0!</v>
      </c>
      <c r="E62" s="57" t="e">
        <f t="shared" si="4"/>
        <v>#DIV/0!</v>
      </c>
      <c r="F62" s="57" t="e">
        <f t="shared" si="5"/>
        <v>#DIV/0!</v>
      </c>
      <c r="G62" s="57" t="e">
        <f t="shared" si="6"/>
        <v>#DIV/0!</v>
      </c>
      <c r="H62" s="57" t="e">
        <f t="shared" si="7"/>
        <v>#DIV/0!</v>
      </c>
      <c r="I62" s="57" t="e">
        <f t="shared" si="8"/>
        <v>#DIV/0!</v>
      </c>
      <c r="J62" s="57" t="e">
        <f t="shared" si="9"/>
        <v>#DIV/0!</v>
      </c>
      <c r="K62" s="57" t="e">
        <f t="shared" si="10"/>
        <v>#DIV/0!</v>
      </c>
      <c r="L62" s="57" t="e">
        <f t="shared" si="11"/>
        <v>#DIV/0!</v>
      </c>
      <c r="M62" s="57" t="e">
        <f t="shared" si="12"/>
        <v>#DIV/0!</v>
      </c>
      <c r="N62" s="57" t="e">
        <f t="shared" si="13"/>
        <v>#DIV/0!</v>
      </c>
      <c r="O62" s="58" t="e">
        <f>Links!B62</f>
        <v>#DIV/0!</v>
      </c>
      <c r="P62" s="58" t="e">
        <f>Links!C62+'On-Ramps'!AC62</f>
        <v>#DIV/0!</v>
      </c>
      <c r="Q62" s="58" t="e">
        <f>Links!D62</f>
        <v>#DIV/0!</v>
      </c>
      <c r="R62" s="58" t="e">
        <f>Links!E62+'On-Ramps'!AD62</f>
        <v>#DIV/0!</v>
      </c>
      <c r="S62" s="58" t="e">
        <f>Links!F62+'On-Ramps'!AE62</f>
        <v>#DIV/0!</v>
      </c>
      <c r="T62" s="58" t="e">
        <f>Links!I62+'On-Ramps'!AF62</f>
        <v>#DIV/0!</v>
      </c>
      <c r="U62" s="58" t="e">
        <f>Links!J62+'On-Ramps'!AG62</f>
        <v>#DIV/0!</v>
      </c>
      <c r="V62" s="58" t="e">
        <f>Links!L62+'On-Ramps'!AH62</f>
        <v>#DIV/0!</v>
      </c>
      <c r="W62" s="58" t="e">
        <f>Links!M62+'On-Ramps'!AI62</f>
        <v>#DIV/0!</v>
      </c>
      <c r="X62" s="58" t="e">
        <f>Links!P62+'On-Ramps'!AJ62</f>
        <v>#DIV/0!</v>
      </c>
      <c r="Y62" s="58" t="e">
        <f>Links!Q62</f>
        <v>#DIV/0!</v>
      </c>
      <c r="Z62" s="58" t="e">
        <f>Links!R62+'On-Ramps'!AK62</f>
        <v>#DIV/0!</v>
      </c>
      <c r="AA62" s="58" t="e">
        <f>Links!S62</f>
        <v>#DIV/0!</v>
      </c>
      <c r="AB62" s="57" t="e">
        <f t="shared" si="16"/>
        <v>#DIV/0!</v>
      </c>
      <c r="AC62" s="63"/>
      <c r="AD62" s="57" t="e">
        <f t="shared" si="17"/>
        <v>#DIV/0!</v>
      </c>
      <c r="AE62" s="63"/>
      <c r="AF62" s="57" t="e">
        <f t="shared" si="18"/>
        <v>#DIV/0!</v>
      </c>
      <c r="AG62" s="57" t="e">
        <f t="shared" si="19"/>
        <v>#DIV/0!</v>
      </c>
      <c r="AH62" s="57" t="e">
        <f t="shared" si="20"/>
        <v>#DIV/0!</v>
      </c>
      <c r="AI62" s="57" t="e">
        <f t="shared" si="21"/>
        <v>#DIV/0!</v>
      </c>
      <c r="AJ62" s="57" t="e">
        <f t="shared" si="22"/>
        <v>#DIV/0!</v>
      </c>
      <c r="AK62" s="57" t="e">
        <f t="shared" si="23"/>
        <v>#DIV/0!</v>
      </c>
      <c r="AL62" s="57" t="e">
        <f t="shared" si="24"/>
        <v>#DIV/0!</v>
      </c>
      <c r="AM62" s="63"/>
      <c r="AN62" s="57" t="e">
        <f t="shared" si="26"/>
        <v>#DIV/0!</v>
      </c>
      <c r="AO62" s="58" t="e">
        <f t="shared" si="29"/>
        <v>#DIV/0!</v>
      </c>
      <c r="AP62" s="63"/>
      <c r="AQ62" s="58" t="e">
        <f t="shared" si="28"/>
        <v>#DIV/0!</v>
      </c>
      <c r="AR62" s="63"/>
      <c r="AS62" s="58" t="e">
        <f t="shared" si="28"/>
        <v>#DIV/0!</v>
      </c>
      <c r="AT62" s="58" t="e">
        <f t="shared" si="28"/>
        <v>#DIV/0!</v>
      </c>
      <c r="AU62" s="58" t="e">
        <f t="shared" si="28"/>
        <v>#DIV/0!</v>
      </c>
      <c r="AV62" s="58" t="e">
        <f t="shared" si="28"/>
        <v>#DIV/0!</v>
      </c>
      <c r="AW62" s="58" t="e">
        <f t="shared" si="28"/>
        <v>#DIV/0!</v>
      </c>
      <c r="AX62" s="58" t="e">
        <f t="shared" si="28"/>
        <v>#DIV/0!</v>
      </c>
      <c r="AY62" s="58" t="e">
        <f t="shared" si="28"/>
        <v>#DIV/0!</v>
      </c>
      <c r="AZ62" s="63"/>
      <c r="BA62" s="58" t="e">
        <f t="shared" si="28"/>
        <v>#DIV/0!</v>
      </c>
      <c r="BB62" s="63"/>
      <c r="BC62" s="57" t="e">
        <f>(Links!C62*Links!AQ62+'On-Ramps'!AC62*'On-Ramps'!CE62)/('On-Ramps'!AC62+Links!C62)</f>
        <v>#DIV/0!</v>
      </c>
      <c r="BD62" s="63"/>
      <c r="BE62" s="57" t="e">
        <f>(Links!E62*Links!AS62+'On-Ramps'!AD62*'On-Ramps'!CF61)/('On-Ramps'!AD62+Links!E62)</f>
        <v>#DIV/0!</v>
      </c>
      <c r="BF62" s="57" t="e">
        <f>(Links!F62*Links!AT62+'On-Ramps'!AE62*'On-Ramps'!CG62)/('On-Ramps'!AE62+Links!F62)</f>
        <v>#DIV/0!</v>
      </c>
      <c r="BG62" s="57" t="e">
        <f>(Links!I62*Links!AW62+'On-Ramps'!AF62*'On-Ramps'!CH62)/('On-Ramps'!AF62+Links!I62)</f>
        <v>#DIV/0!</v>
      </c>
      <c r="BH62" s="57" t="e">
        <f>(#REF!*#REF!+'On-Ramps'!AG62*'On-Ramps'!CI62)/('On-Ramps'!AG62+#REF!)</f>
        <v>#REF!</v>
      </c>
      <c r="BI62" s="57" t="e">
        <f>(Links!L62*Links!AZ62+'On-Ramps'!AH62*'On-Ramps'!CJ62)/('On-Ramps'!AH62+Links!L62)</f>
        <v>#DIV/0!</v>
      </c>
      <c r="BJ62" s="57" t="e">
        <f>(Links!BA62*Links!M62+'On-Ramps'!AI62*'On-Ramps'!CK62)/('On-Ramps'!AI62+Links!M62)</f>
        <v>#DIV/0!</v>
      </c>
      <c r="BK62" s="57" t="e">
        <f>(Links!S62*Links!BG62+'On-Ramps'!AJ62*'On-Ramps'!CL62)/('On-Ramps'!AJ62+Links!S62)</f>
        <v>#DIV/0!</v>
      </c>
      <c r="BL62" s="63"/>
      <c r="BM62" s="57" t="e">
        <f>(Links!S62*Links!BG62+'On-Ramps'!AL62*'On-Ramps'!CM62)/(Links!S62+'On-Ramps'!AL62)</f>
        <v>#DIV/0!</v>
      </c>
      <c r="BN62" s="63"/>
      <c r="BO62" s="58" t="e">
        <f>(Links!W62^2+'Off-Ramp'!L62^2)/(Links!W62+'Off-Ramp'!L62)</f>
        <v>#DIV/0!</v>
      </c>
      <c r="BP62" s="63"/>
      <c r="BQ62" s="58" t="e">
        <f>(Links!Y62^2+'Off-Ramp'!C62^2)/(Links!Y62+'Off-Ramp'!C62)</f>
        <v>#DIV/0!</v>
      </c>
      <c r="BR62" s="63"/>
      <c r="BS62" s="58" t="e">
        <f>(Links!AA62^2+'Off-Ramp'!N62^2)/(Links!AA62+'Off-Ramp'!N62)</f>
        <v>#DIV/0!</v>
      </c>
      <c r="BT62" s="58" t="e">
        <f>(Links!AD62^2+'Off-Ramp'!O62^2)/(Links!AD62+'Off-Ramp'!O62)</f>
        <v>#DIV/0!</v>
      </c>
      <c r="BU62" s="58" t="e">
        <f>(Links!AE62^2+'Off-Ramp'!V62^2+'Off-Ramp'!W62^2+'Off-Ramp'!X62^2)/(Links!AE62+'Off-Ramp'!V62+'Off-Ramp'!W62+'Off-Ramp'!X62)</f>
        <v>#DIV/0!</v>
      </c>
      <c r="BV62" s="58" t="e">
        <f>(Links!AG62^2+'Off-Ramp'!Y62^2+'Off-Ramp'!Z62^2+'Off-Ramp'!AA62^2)/(Links!AG62+'Off-Ramp'!Y62+'Off-Ramp'!Z62+'Off-Ramp'!AA62)</f>
        <v>#DIV/0!</v>
      </c>
      <c r="BW62" s="58" t="e">
        <f>(Links!AH62^2+'Off-Ramp'!R62^2)/(Links!AH62+'Off-Ramp'!R62)</f>
        <v>#DIV/0!</v>
      </c>
      <c r="BX62" s="58" t="e">
        <f>(Links!AK62^2+'Off-Ramp'!S62^2)/(Links!AK62+'Off-Ramp'!S62)</f>
        <v>#DIV/0!</v>
      </c>
      <c r="BY62" s="58" t="e">
        <f>(Links!AL62^2+'Off-Ramp'!T62^2)/(Links!AL62+'Off-Ramp'!T62)</f>
        <v>#DIV/0!</v>
      </c>
      <c r="BZ62" s="63"/>
      <c r="CA62" s="58" t="e">
        <f>(Links!AN62^2+'Off-Ramp'!U62^2)/(Links!AN62+'Off-Ramp'!U62)</f>
        <v>#DIV/0!</v>
      </c>
    </row>
    <row r="63" spans="1:79" x14ac:dyDescent="0.15">
      <c r="A63" s="56">
        <v>61</v>
      </c>
      <c r="B63" s="57" t="e">
        <f t="shared" si="1"/>
        <v>#DIV/0!</v>
      </c>
      <c r="C63" s="57" t="e">
        <f t="shared" si="2"/>
        <v>#DIV/0!</v>
      </c>
      <c r="D63" s="57" t="e">
        <f t="shared" si="3"/>
        <v>#DIV/0!</v>
      </c>
      <c r="E63" s="57" t="e">
        <f t="shared" si="4"/>
        <v>#DIV/0!</v>
      </c>
      <c r="F63" s="57" t="e">
        <f t="shared" si="5"/>
        <v>#DIV/0!</v>
      </c>
      <c r="G63" s="57" t="e">
        <f t="shared" si="6"/>
        <v>#DIV/0!</v>
      </c>
      <c r="H63" s="57" t="e">
        <f t="shared" si="7"/>
        <v>#DIV/0!</v>
      </c>
      <c r="I63" s="57" t="e">
        <f t="shared" si="8"/>
        <v>#DIV/0!</v>
      </c>
      <c r="J63" s="57" t="e">
        <f t="shared" si="9"/>
        <v>#DIV/0!</v>
      </c>
      <c r="K63" s="57" t="e">
        <f t="shared" si="10"/>
        <v>#DIV/0!</v>
      </c>
      <c r="L63" s="57" t="e">
        <f t="shared" si="11"/>
        <v>#DIV/0!</v>
      </c>
      <c r="M63" s="57" t="e">
        <f t="shared" si="12"/>
        <v>#DIV/0!</v>
      </c>
      <c r="N63" s="57" t="e">
        <f t="shared" si="13"/>
        <v>#DIV/0!</v>
      </c>
      <c r="O63" s="58" t="e">
        <f>Links!B63</f>
        <v>#DIV/0!</v>
      </c>
      <c r="P63" s="58" t="e">
        <f>Links!C63+'On-Ramps'!AC63</f>
        <v>#DIV/0!</v>
      </c>
      <c r="Q63" s="58" t="e">
        <f>Links!D63</f>
        <v>#DIV/0!</v>
      </c>
      <c r="R63" s="58" t="e">
        <f>Links!E63+'On-Ramps'!AD63</f>
        <v>#DIV/0!</v>
      </c>
      <c r="S63" s="58" t="e">
        <f>Links!F63+'On-Ramps'!AE63</f>
        <v>#DIV/0!</v>
      </c>
      <c r="T63" s="58" t="e">
        <f>Links!I63+'On-Ramps'!AF63</f>
        <v>#DIV/0!</v>
      </c>
      <c r="U63" s="58" t="e">
        <f>Links!J63+'On-Ramps'!AG63</f>
        <v>#DIV/0!</v>
      </c>
      <c r="V63" s="58" t="e">
        <f>Links!L63+'On-Ramps'!AH63</f>
        <v>#DIV/0!</v>
      </c>
      <c r="W63" s="58" t="e">
        <f>Links!M63+'On-Ramps'!AI63</f>
        <v>#DIV/0!</v>
      </c>
      <c r="X63" s="58" t="e">
        <f>Links!P63+'On-Ramps'!AJ63</f>
        <v>#DIV/0!</v>
      </c>
      <c r="Y63" s="58" t="e">
        <f>Links!Q63</f>
        <v>#DIV/0!</v>
      </c>
      <c r="Z63" s="58" t="e">
        <f>Links!R63+'On-Ramps'!AK63</f>
        <v>#DIV/0!</v>
      </c>
      <c r="AA63" s="58" t="e">
        <f>Links!S63</f>
        <v>#DIV/0!</v>
      </c>
      <c r="AB63" s="57" t="e">
        <f t="shared" si="16"/>
        <v>#DIV/0!</v>
      </c>
      <c r="AC63" s="63"/>
      <c r="AD63" s="57" t="e">
        <f t="shared" si="17"/>
        <v>#DIV/0!</v>
      </c>
      <c r="AE63" s="63"/>
      <c r="AF63" s="57" t="e">
        <f t="shared" si="18"/>
        <v>#DIV/0!</v>
      </c>
      <c r="AG63" s="57" t="e">
        <f t="shared" si="19"/>
        <v>#DIV/0!</v>
      </c>
      <c r="AH63" s="57" t="e">
        <f t="shared" si="20"/>
        <v>#DIV/0!</v>
      </c>
      <c r="AI63" s="57" t="e">
        <f t="shared" si="21"/>
        <v>#DIV/0!</v>
      </c>
      <c r="AJ63" s="57" t="e">
        <f t="shared" si="22"/>
        <v>#DIV/0!</v>
      </c>
      <c r="AK63" s="57" t="e">
        <f t="shared" si="23"/>
        <v>#DIV/0!</v>
      </c>
      <c r="AL63" s="57" t="e">
        <f t="shared" si="24"/>
        <v>#DIV/0!</v>
      </c>
      <c r="AM63" s="63"/>
      <c r="AN63" s="57" t="e">
        <f t="shared" si="26"/>
        <v>#DIV/0!</v>
      </c>
      <c r="AO63" s="58" t="e">
        <f t="shared" si="29"/>
        <v>#DIV/0!</v>
      </c>
      <c r="AP63" s="63"/>
      <c r="AQ63" s="58" t="e">
        <f t="shared" si="28"/>
        <v>#DIV/0!</v>
      </c>
      <c r="AR63" s="63"/>
      <c r="AS63" s="58" t="e">
        <f t="shared" si="28"/>
        <v>#DIV/0!</v>
      </c>
      <c r="AT63" s="58" t="e">
        <f t="shared" si="28"/>
        <v>#DIV/0!</v>
      </c>
      <c r="AU63" s="58" t="e">
        <f t="shared" si="28"/>
        <v>#DIV/0!</v>
      </c>
      <c r="AV63" s="58" t="e">
        <f t="shared" si="28"/>
        <v>#DIV/0!</v>
      </c>
      <c r="AW63" s="58" t="e">
        <f t="shared" si="28"/>
        <v>#DIV/0!</v>
      </c>
      <c r="AX63" s="58" t="e">
        <f t="shared" si="28"/>
        <v>#DIV/0!</v>
      </c>
      <c r="AY63" s="58" t="e">
        <f t="shared" si="28"/>
        <v>#DIV/0!</v>
      </c>
      <c r="AZ63" s="63"/>
      <c r="BA63" s="58" t="e">
        <f t="shared" si="28"/>
        <v>#DIV/0!</v>
      </c>
      <c r="BB63" s="63"/>
      <c r="BC63" s="57" t="e">
        <f>(Links!C63*Links!AQ63+'On-Ramps'!AC63*'On-Ramps'!CE63)/('On-Ramps'!AC63+Links!C63)</f>
        <v>#DIV/0!</v>
      </c>
      <c r="BD63" s="63"/>
      <c r="BE63" s="57" t="e">
        <f>(Links!E63*Links!AS63+'On-Ramps'!AD63*'On-Ramps'!CF62)/('On-Ramps'!AD63+Links!E63)</f>
        <v>#DIV/0!</v>
      </c>
      <c r="BF63" s="57" t="e">
        <f>(Links!F63*Links!AT63+'On-Ramps'!AE63*'On-Ramps'!CG63)/('On-Ramps'!AE63+Links!F63)</f>
        <v>#DIV/0!</v>
      </c>
      <c r="BG63" s="57" t="e">
        <f>(Links!I63*Links!AW63+'On-Ramps'!AF63*'On-Ramps'!CH63)/('On-Ramps'!AF63+Links!I63)</f>
        <v>#DIV/0!</v>
      </c>
      <c r="BH63" s="57" t="e">
        <f>(#REF!*#REF!+'On-Ramps'!AG63*'On-Ramps'!CI63)/('On-Ramps'!AG63+#REF!)</f>
        <v>#REF!</v>
      </c>
      <c r="BI63" s="57" t="e">
        <f>(Links!L63*Links!AZ63+'On-Ramps'!AH63*'On-Ramps'!CJ63)/('On-Ramps'!AH63+Links!L63)</f>
        <v>#DIV/0!</v>
      </c>
      <c r="BJ63" s="57" t="e">
        <f>(Links!BA63*Links!M63+'On-Ramps'!AI63*'On-Ramps'!CK63)/('On-Ramps'!AI63+Links!M63)</f>
        <v>#DIV/0!</v>
      </c>
      <c r="BK63" s="57" t="e">
        <f>(Links!S63*Links!BG63+'On-Ramps'!AJ63*'On-Ramps'!CL63)/('On-Ramps'!AJ63+Links!S63)</f>
        <v>#DIV/0!</v>
      </c>
      <c r="BL63" s="63"/>
      <c r="BM63" s="57" t="e">
        <f>(Links!S63*Links!BG63+'On-Ramps'!AL63*'On-Ramps'!CM63)/(Links!S63+'On-Ramps'!AL63)</f>
        <v>#DIV/0!</v>
      </c>
      <c r="BN63" s="63"/>
      <c r="BO63" s="58" t="e">
        <f>(Links!W63^2+'Off-Ramp'!L63^2)/(Links!W63+'Off-Ramp'!L63)</f>
        <v>#DIV/0!</v>
      </c>
      <c r="BP63" s="63"/>
      <c r="BQ63" s="58" t="e">
        <f>(Links!Y63^2+'Off-Ramp'!C63^2)/(Links!Y63+'Off-Ramp'!C63)</f>
        <v>#DIV/0!</v>
      </c>
      <c r="BR63" s="63"/>
      <c r="BS63" s="58" t="e">
        <f>(Links!AA63^2+'Off-Ramp'!N63^2)/(Links!AA63+'Off-Ramp'!N63)</f>
        <v>#DIV/0!</v>
      </c>
      <c r="BT63" s="58" t="e">
        <f>(Links!AD63^2+'Off-Ramp'!O63^2)/(Links!AD63+'Off-Ramp'!O63)</f>
        <v>#DIV/0!</v>
      </c>
      <c r="BU63" s="58" t="e">
        <f>(Links!AE63^2+'Off-Ramp'!V63^2+'Off-Ramp'!W63^2+'Off-Ramp'!X63^2)/(Links!AE63+'Off-Ramp'!V63+'Off-Ramp'!W63+'Off-Ramp'!X63)</f>
        <v>#DIV/0!</v>
      </c>
      <c r="BV63" s="58" t="e">
        <f>(Links!AG63^2+'Off-Ramp'!Y63^2+'Off-Ramp'!Z63^2+'Off-Ramp'!AA63^2)/(Links!AG63+'Off-Ramp'!Y63+'Off-Ramp'!Z63+'Off-Ramp'!AA63)</f>
        <v>#DIV/0!</v>
      </c>
      <c r="BW63" s="58" t="e">
        <f>(Links!AH63^2+'Off-Ramp'!R63^2)/(Links!AH63+'Off-Ramp'!R63)</f>
        <v>#DIV/0!</v>
      </c>
      <c r="BX63" s="58" t="e">
        <f>(Links!AK63^2+'Off-Ramp'!S63^2)/(Links!AK63+'Off-Ramp'!S63)</f>
        <v>#DIV/0!</v>
      </c>
      <c r="BY63" s="58" t="e">
        <f>(Links!AL63^2+'Off-Ramp'!T63^2)/(Links!AL63+'Off-Ramp'!T63)</f>
        <v>#DIV/0!</v>
      </c>
      <c r="BZ63" s="63"/>
      <c r="CA63" s="58" t="e">
        <f>(Links!AN63^2+'Off-Ramp'!U63^2)/(Links!AN63+'Off-Ramp'!U63)</f>
        <v>#DIV/0!</v>
      </c>
    </row>
    <row r="64" spans="1:79" x14ac:dyDescent="0.15">
      <c r="A64" s="56">
        <v>62</v>
      </c>
      <c r="B64" s="57" t="e">
        <f t="shared" si="1"/>
        <v>#DIV/0!</v>
      </c>
      <c r="C64" s="57" t="e">
        <f t="shared" si="2"/>
        <v>#DIV/0!</v>
      </c>
      <c r="D64" s="57" t="e">
        <f t="shared" si="3"/>
        <v>#DIV/0!</v>
      </c>
      <c r="E64" s="57" t="e">
        <f t="shared" si="4"/>
        <v>#DIV/0!</v>
      </c>
      <c r="F64" s="57" t="e">
        <f t="shared" si="5"/>
        <v>#DIV/0!</v>
      </c>
      <c r="G64" s="57" t="e">
        <f t="shared" si="6"/>
        <v>#DIV/0!</v>
      </c>
      <c r="H64" s="57" t="e">
        <f t="shared" si="7"/>
        <v>#DIV/0!</v>
      </c>
      <c r="I64" s="57" t="e">
        <f t="shared" si="8"/>
        <v>#DIV/0!</v>
      </c>
      <c r="J64" s="57" t="e">
        <f t="shared" si="9"/>
        <v>#DIV/0!</v>
      </c>
      <c r="K64" s="57" t="e">
        <f t="shared" si="10"/>
        <v>#DIV/0!</v>
      </c>
      <c r="L64" s="57" t="e">
        <f t="shared" si="11"/>
        <v>#DIV/0!</v>
      </c>
      <c r="M64" s="57" t="e">
        <f t="shared" si="12"/>
        <v>#DIV/0!</v>
      </c>
      <c r="N64" s="57" t="e">
        <f t="shared" si="13"/>
        <v>#DIV/0!</v>
      </c>
      <c r="O64" s="58" t="e">
        <f>Links!B64</f>
        <v>#DIV/0!</v>
      </c>
      <c r="P64" s="58" t="e">
        <f>Links!C64+'On-Ramps'!AC64</f>
        <v>#DIV/0!</v>
      </c>
      <c r="Q64" s="58" t="e">
        <f>Links!D64</f>
        <v>#DIV/0!</v>
      </c>
      <c r="R64" s="58" t="e">
        <f>Links!E64+'On-Ramps'!AD64</f>
        <v>#DIV/0!</v>
      </c>
      <c r="S64" s="58" t="e">
        <f>Links!F64+'On-Ramps'!AE64</f>
        <v>#DIV/0!</v>
      </c>
      <c r="T64" s="58" t="e">
        <f>Links!I64+'On-Ramps'!AF64</f>
        <v>#DIV/0!</v>
      </c>
      <c r="U64" s="58" t="e">
        <f>Links!J64+'On-Ramps'!AG64</f>
        <v>#DIV/0!</v>
      </c>
      <c r="V64" s="58" t="e">
        <f>Links!L64+'On-Ramps'!AH64</f>
        <v>#DIV/0!</v>
      </c>
      <c r="W64" s="58" t="e">
        <f>Links!M64+'On-Ramps'!AI64</f>
        <v>#DIV/0!</v>
      </c>
      <c r="X64" s="58" t="e">
        <f>Links!P64+'On-Ramps'!AJ64</f>
        <v>#DIV/0!</v>
      </c>
      <c r="Y64" s="58" t="e">
        <f>Links!Q64</f>
        <v>#DIV/0!</v>
      </c>
      <c r="Z64" s="58" t="e">
        <f>Links!R64+'On-Ramps'!AK64</f>
        <v>#DIV/0!</v>
      </c>
      <c r="AA64" s="58" t="e">
        <f>Links!S64</f>
        <v>#DIV/0!</v>
      </c>
      <c r="AB64" s="57" t="e">
        <f t="shared" si="16"/>
        <v>#DIV/0!</v>
      </c>
      <c r="AC64" s="63"/>
      <c r="AD64" s="57" t="e">
        <f t="shared" si="17"/>
        <v>#DIV/0!</v>
      </c>
      <c r="AE64" s="63"/>
      <c r="AF64" s="57" t="e">
        <f t="shared" si="18"/>
        <v>#DIV/0!</v>
      </c>
      <c r="AG64" s="57" t="e">
        <f t="shared" si="19"/>
        <v>#DIV/0!</v>
      </c>
      <c r="AH64" s="57" t="e">
        <f t="shared" si="20"/>
        <v>#DIV/0!</v>
      </c>
      <c r="AI64" s="57" t="e">
        <f t="shared" si="21"/>
        <v>#DIV/0!</v>
      </c>
      <c r="AJ64" s="57" t="e">
        <f t="shared" si="22"/>
        <v>#DIV/0!</v>
      </c>
      <c r="AK64" s="57" t="e">
        <f t="shared" si="23"/>
        <v>#DIV/0!</v>
      </c>
      <c r="AL64" s="57" t="e">
        <f t="shared" si="24"/>
        <v>#DIV/0!</v>
      </c>
      <c r="AM64" s="63"/>
      <c r="AN64" s="57" t="e">
        <f t="shared" si="26"/>
        <v>#DIV/0!</v>
      </c>
      <c r="AO64" s="58" t="e">
        <f t="shared" si="29"/>
        <v>#DIV/0!</v>
      </c>
      <c r="AP64" s="63"/>
      <c r="AQ64" s="58" t="e">
        <f t="shared" si="28"/>
        <v>#DIV/0!</v>
      </c>
      <c r="AR64" s="63"/>
      <c r="AS64" s="58" t="e">
        <f t="shared" si="28"/>
        <v>#DIV/0!</v>
      </c>
      <c r="AT64" s="58" t="e">
        <f t="shared" si="28"/>
        <v>#DIV/0!</v>
      </c>
      <c r="AU64" s="58" t="e">
        <f t="shared" si="28"/>
        <v>#DIV/0!</v>
      </c>
      <c r="AV64" s="58" t="e">
        <f t="shared" si="28"/>
        <v>#DIV/0!</v>
      </c>
      <c r="AW64" s="58" t="e">
        <f t="shared" si="28"/>
        <v>#DIV/0!</v>
      </c>
      <c r="AX64" s="58" t="e">
        <f t="shared" si="28"/>
        <v>#DIV/0!</v>
      </c>
      <c r="AY64" s="58" t="e">
        <f t="shared" si="28"/>
        <v>#DIV/0!</v>
      </c>
      <c r="AZ64" s="63"/>
      <c r="BA64" s="58" t="e">
        <f t="shared" si="28"/>
        <v>#DIV/0!</v>
      </c>
      <c r="BB64" s="63"/>
      <c r="BC64" s="57" t="e">
        <f>(Links!C64*Links!AQ64+'On-Ramps'!AC64*'On-Ramps'!CE64)/('On-Ramps'!AC64+Links!C64)</f>
        <v>#DIV/0!</v>
      </c>
      <c r="BD64" s="63"/>
      <c r="BE64" s="57" t="e">
        <f>(Links!E64*Links!AS64+'On-Ramps'!AD64*'On-Ramps'!CF63)/('On-Ramps'!AD64+Links!E64)</f>
        <v>#DIV/0!</v>
      </c>
      <c r="BF64" s="57" t="e">
        <f>(Links!F64*Links!AT64+'On-Ramps'!AE64*'On-Ramps'!CG64)/('On-Ramps'!AE64+Links!F64)</f>
        <v>#DIV/0!</v>
      </c>
      <c r="BG64" s="57" t="e">
        <f>(Links!I64*Links!AW64+'On-Ramps'!AF64*'On-Ramps'!CH64)/('On-Ramps'!AF64+Links!I64)</f>
        <v>#DIV/0!</v>
      </c>
      <c r="BH64" s="57" t="e">
        <f>(#REF!*#REF!+'On-Ramps'!AG64*'On-Ramps'!CI64)/('On-Ramps'!AG64+#REF!)</f>
        <v>#REF!</v>
      </c>
      <c r="BI64" s="57" t="e">
        <f>(Links!L64*Links!AZ64+'On-Ramps'!AH64*'On-Ramps'!CJ64)/('On-Ramps'!AH64+Links!L64)</f>
        <v>#DIV/0!</v>
      </c>
      <c r="BJ64" s="57" t="e">
        <f>(Links!BA64*Links!M64+'On-Ramps'!AI64*'On-Ramps'!CK64)/('On-Ramps'!AI64+Links!M64)</f>
        <v>#DIV/0!</v>
      </c>
      <c r="BK64" s="57" t="e">
        <f>(Links!S64*Links!BG64+'On-Ramps'!AJ64*'On-Ramps'!CL64)/('On-Ramps'!AJ64+Links!S64)</f>
        <v>#DIV/0!</v>
      </c>
      <c r="BL64" s="63"/>
      <c r="BM64" s="57" t="e">
        <f>(Links!S64*Links!BG64+'On-Ramps'!AL64*'On-Ramps'!CM64)/(Links!S64+'On-Ramps'!AL64)</f>
        <v>#DIV/0!</v>
      </c>
      <c r="BN64" s="63"/>
      <c r="BO64" s="58" t="e">
        <f>(Links!W64^2+'Off-Ramp'!L64^2)/(Links!W64+'Off-Ramp'!L64)</f>
        <v>#DIV/0!</v>
      </c>
      <c r="BP64" s="63"/>
      <c r="BQ64" s="58" t="e">
        <f>(Links!Y64^2+'Off-Ramp'!C64^2)/(Links!Y64+'Off-Ramp'!C64)</f>
        <v>#DIV/0!</v>
      </c>
      <c r="BR64" s="63"/>
      <c r="BS64" s="58" t="e">
        <f>(Links!AA64^2+'Off-Ramp'!N64^2)/(Links!AA64+'Off-Ramp'!N64)</f>
        <v>#DIV/0!</v>
      </c>
      <c r="BT64" s="58" t="e">
        <f>(Links!AD64^2+'Off-Ramp'!O64^2)/(Links!AD64+'Off-Ramp'!O64)</f>
        <v>#DIV/0!</v>
      </c>
      <c r="BU64" s="58" t="e">
        <f>(Links!AE64^2+'Off-Ramp'!V64^2+'Off-Ramp'!W64^2+'Off-Ramp'!X64^2)/(Links!AE64+'Off-Ramp'!V64+'Off-Ramp'!W64+'Off-Ramp'!X64)</f>
        <v>#DIV/0!</v>
      </c>
      <c r="BV64" s="58" t="e">
        <f>(Links!AG64^2+'Off-Ramp'!Y64^2+'Off-Ramp'!Z64^2+'Off-Ramp'!AA64^2)/(Links!AG64+'Off-Ramp'!Y64+'Off-Ramp'!Z64+'Off-Ramp'!AA64)</f>
        <v>#DIV/0!</v>
      </c>
      <c r="BW64" s="58" t="e">
        <f>(Links!AH64^2+'Off-Ramp'!R64^2)/(Links!AH64+'Off-Ramp'!R64)</f>
        <v>#DIV/0!</v>
      </c>
      <c r="BX64" s="58" t="e">
        <f>(Links!AK64^2+'Off-Ramp'!S64^2)/(Links!AK64+'Off-Ramp'!S64)</f>
        <v>#DIV/0!</v>
      </c>
      <c r="BY64" s="58" t="e">
        <f>(Links!AL64^2+'Off-Ramp'!T64^2)/(Links!AL64+'Off-Ramp'!T64)</f>
        <v>#DIV/0!</v>
      </c>
      <c r="BZ64" s="63"/>
      <c r="CA64" s="58" t="e">
        <f>(Links!AN64^2+'Off-Ramp'!U64^2)/(Links!AN64+'Off-Ramp'!U64)</f>
        <v>#DIV/0!</v>
      </c>
    </row>
    <row r="65" spans="1:79" x14ac:dyDescent="0.15">
      <c r="A65" s="56">
        <v>63</v>
      </c>
      <c r="B65" s="57" t="e">
        <f t="shared" si="1"/>
        <v>#DIV/0!</v>
      </c>
      <c r="C65" s="57" t="e">
        <f t="shared" si="2"/>
        <v>#DIV/0!</v>
      </c>
      <c r="D65" s="57" t="e">
        <f t="shared" si="3"/>
        <v>#DIV/0!</v>
      </c>
      <c r="E65" s="57" t="e">
        <f t="shared" si="4"/>
        <v>#DIV/0!</v>
      </c>
      <c r="F65" s="57" t="e">
        <f t="shared" si="5"/>
        <v>#DIV/0!</v>
      </c>
      <c r="G65" s="57" t="e">
        <f t="shared" si="6"/>
        <v>#DIV/0!</v>
      </c>
      <c r="H65" s="57" t="e">
        <f t="shared" si="7"/>
        <v>#DIV/0!</v>
      </c>
      <c r="I65" s="57" t="e">
        <f t="shared" si="8"/>
        <v>#DIV/0!</v>
      </c>
      <c r="J65" s="57" t="e">
        <f t="shared" si="9"/>
        <v>#DIV/0!</v>
      </c>
      <c r="K65" s="57" t="e">
        <f t="shared" si="10"/>
        <v>#DIV/0!</v>
      </c>
      <c r="L65" s="57" t="e">
        <f t="shared" si="11"/>
        <v>#DIV/0!</v>
      </c>
      <c r="M65" s="57" t="e">
        <f t="shared" si="12"/>
        <v>#DIV/0!</v>
      </c>
      <c r="N65" s="57" t="e">
        <f t="shared" si="13"/>
        <v>#DIV/0!</v>
      </c>
      <c r="O65" s="58" t="e">
        <f>Links!B65</f>
        <v>#DIV/0!</v>
      </c>
      <c r="P65" s="58" t="e">
        <f>Links!C65+'On-Ramps'!AC65</f>
        <v>#DIV/0!</v>
      </c>
      <c r="Q65" s="58" t="e">
        <f>Links!D65</f>
        <v>#DIV/0!</v>
      </c>
      <c r="R65" s="58" t="e">
        <f>Links!E65+'On-Ramps'!AD65</f>
        <v>#DIV/0!</v>
      </c>
      <c r="S65" s="58" t="e">
        <f>Links!F65+'On-Ramps'!AE65</f>
        <v>#DIV/0!</v>
      </c>
      <c r="T65" s="58" t="e">
        <f>Links!I65+'On-Ramps'!AF65</f>
        <v>#DIV/0!</v>
      </c>
      <c r="U65" s="58" t="e">
        <f>Links!J65+'On-Ramps'!AG65</f>
        <v>#DIV/0!</v>
      </c>
      <c r="V65" s="58" t="e">
        <f>Links!L65+'On-Ramps'!AH65</f>
        <v>#DIV/0!</v>
      </c>
      <c r="W65" s="58" t="e">
        <f>Links!M65+'On-Ramps'!AI65</f>
        <v>#DIV/0!</v>
      </c>
      <c r="X65" s="58" t="e">
        <f>Links!P65+'On-Ramps'!AJ65</f>
        <v>#DIV/0!</v>
      </c>
      <c r="Y65" s="58" t="e">
        <f>Links!Q65</f>
        <v>#DIV/0!</v>
      </c>
      <c r="Z65" s="58" t="e">
        <f>Links!R65+'On-Ramps'!AK65</f>
        <v>#DIV/0!</v>
      </c>
      <c r="AA65" s="58" t="e">
        <f>Links!S65</f>
        <v>#DIV/0!</v>
      </c>
      <c r="AB65" s="57" t="e">
        <f t="shared" si="16"/>
        <v>#DIV/0!</v>
      </c>
      <c r="AC65" s="63"/>
      <c r="AD65" s="57" t="e">
        <f t="shared" si="17"/>
        <v>#DIV/0!</v>
      </c>
      <c r="AE65" s="63"/>
      <c r="AF65" s="57" t="e">
        <f t="shared" si="18"/>
        <v>#DIV/0!</v>
      </c>
      <c r="AG65" s="57" t="e">
        <f t="shared" si="19"/>
        <v>#DIV/0!</v>
      </c>
      <c r="AH65" s="57" t="e">
        <f t="shared" si="20"/>
        <v>#DIV/0!</v>
      </c>
      <c r="AI65" s="57" t="e">
        <f t="shared" si="21"/>
        <v>#DIV/0!</v>
      </c>
      <c r="AJ65" s="57" t="e">
        <f t="shared" si="22"/>
        <v>#DIV/0!</v>
      </c>
      <c r="AK65" s="57" t="e">
        <f t="shared" si="23"/>
        <v>#DIV/0!</v>
      </c>
      <c r="AL65" s="57" t="e">
        <f t="shared" si="24"/>
        <v>#DIV/0!</v>
      </c>
      <c r="AM65" s="63"/>
      <c r="AN65" s="57" t="e">
        <f t="shared" si="26"/>
        <v>#DIV/0!</v>
      </c>
      <c r="AO65" s="58" t="e">
        <f t="shared" si="29"/>
        <v>#DIV/0!</v>
      </c>
      <c r="AP65" s="63"/>
      <c r="AQ65" s="58" t="e">
        <f t="shared" si="28"/>
        <v>#DIV/0!</v>
      </c>
      <c r="AR65" s="63"/>
      <c r="AS65" s="58" t="e">
        <f t="shared" si="28"/>
        <v>#DIV/0!</v>
      </c>
      <c r="AT65" s="58" t="e">
        <f t="shared" si="28"/>
        <v>#DIV/0!</v>
      </c>
      <c r="AU65" s="58" t="e">
        <f t="shared" si="28"/>
        <v>#DIV/0!</v>
      </c>
      <c r="AV65" s="58" t="e">
        <f t="shared" si="28"/>
        <v>#DIV/0!</v>
      </c>
      <c r="AW65" s="58" t="e">
        <f t="shared" si="28"/>
        <v>#DIV/0!</v>
      </c>
      <c r="AX65" s="58" t="e">
        <f t="shared" si="28"/>
        <v>#DIV/0!</v>
      </c>
      <c r="AY65" s="58" t="e">
        <f t="shared" si="28"/>
        <v>#DIV/0!</v>
      </c>
      <c r="AZ65" s="63"/>
      <c r="BA65" s="58" t="e">
        <f t="shared" si="28"/>
        <v>#DIV/0!</v>
      </c>
      <c r="BB65" s="63"/>
      <c r="BC65" s="57" t="e">
        <f>(Links!C65*Links!AQ65+'On-Ramps'!AC65*'On-Ramps'!CE65)/('On-Ramps'!AC65+Links!C65)</f>
        <v>#DIV/0!</v>
      </c>
      <c r="BD65" s="63"/>
      <c r="BE65" s="57" t="e">
        <f>(Links!E65*Links!AS65+'On-Ramps'!AD65*'On-Ramps'!CF64)/('On-Ramps'!AD65+Links!E65)</f>
        <v>#DIV/0!</v>
      </c>
      <c r="BF65" s="57" t="e">
        <f>(Links!F65*Links!AT65+'On-Ramps'!AE65*'On-Ramps'!CG65)/('On-Ramps'!AE65+Links!F65)</f>
        <v>#DIV/0!</v>
      </c>
      <c r="BG65" s="57" t="e">
        <f>(Links!I65*Links!AW65+'On-Ramps'!AF65*'On-Ramps'!CH65)/('On-Ramps'!AF65+Links!I65)</f>
        <v>#DIV/0!</v>
      </c>
      <c r="BH65" s="57" t="e">
        <f>(#REF!*#REF!+'On-Ramps'!AG65*'On-Ramps'!CI65)/('On-Ramps'!AG65+#REF!)</f>
        <v>#REF!</v>
      </c>
      <c r="BI65" s="57" t="e">
        <f>(Links!L65*Links!AZ65+'On-Ramps'!AH65*'On-Ramps'!CJ65)/('On-Ramps'!AH65+Links!L65)</f>
        <v>#DIV/0!</v>
      </c>
      <c r="BJ65" s="57" t="e">
        <f>(Links!BA65*Links!M65+'On-Ramps'!AI65*'On-Ramps'!CK65)/('On-Ramps'!AI65+Links!M65)</f>
        <v>#DIV/0!</v>
      </c>
      <c r="BK65" s="57" t="e">
        <f>(Links!S65*Links!BG65+'On-Ramps'!AJ65*'On-Ramps'!CL65)/('On-Ramps'!AJ65+Links!S65)</f>
        <v>#DIV/0!</v>
      </c>
      <c r="BL65" s="63"/>
      <c r="BM65" s="57" t="e">
        <f>(Links!S65*Links!BG65+'On-Ramps'!AL65*'On-Ramps'!CM65)/(Links!S65+'On-Ramps'!AL65)</f>
        <v>#DIV/0!</v>
      </c>
      <c r="BN65" s="63"/>
      <c r="BO65" s="58" t="e">
        <f>(Links!W65^2+'Off-Ramp'!L65^2)/(Links!W65+'Off-Ramp'!L65)</f>
        <v>#DIV/0!</v>
      </c>
      <c r="BP65" s="63"/>
      <c r="BQ65" s="58" t="e">
        <f>(Links!Y65^2+'Off-Ramp'!C65^2)/(Links!Y65+'Off-Ramp'!C65)</f>
        <v>#DIV/0!</v>
      </c>
      <c r="BR65" s="63"/>
      <c r="BS65" s="58" t="e">
        <f>(Links!AA65^2+'Off-Ramp'!N65^2)/(Links!AA65+'Off-Ramp'!N65)</f>
        <v>#DIV/0!</v>
      </c>
      <c r="BT65" s="58" t="e">
        <f>(Links!AD65^2+'Off-Ramp'!O65^2)/(Links!AD65+'Off-Ramp'!O65)</f>
        <v>#DIV/0!</v>
      </c>
      <c r="BU65" s="58" t="e">
        <f>(Links!AE65^2+'Off-Ramp'!V65^2+'Off-Ramp'!W65^2+'Off-Ramp'!X65^2)/(Links!AE65+'Off-Ramp'!V65+'Off-Ramp'!W65+'Off-Ramp'!X65)</f>
        <v>#DIV/0!</v>
      </c>
      <c r="BV65" s="58" t="e">
        <f>(Links!AG65^2+'Off-Ramp'!Y65^2+'Off-Ramp'!Z65^2+'Off-Ramp'!AA65^2)/(Links!AG65+'Off-Ramp'!Y65+'Off-Ramp'!Z65+'Off-Ramp'!AA65)</f>
        <v>#DIV/0!</v>
      </c>
      <c r="BW65" s="58" t="e">
        <f>(Links!AH65^2+'Off-Ramp'!R65^2)/(Links!AH65+'Off-Ramp'!R65)</f>
        <v>#DIV/0!</v>
      </c>
      <c r="BX65" s="58" t="e">
        <f>(Links!AK65^2+'Off-Ramp'!S65^2)/(Links!AK65+'Off-Ramp'!S65)</f>
        <v>#DIV/0!</v>
      </c>
      <c r="BY65" s="58" t="e">
        <f>(Links!AL65^2+'Off-Ramp'!T65^2)/(Links!AL65+'Off-Ramp'!T65)</f>
        <v>#DIV/0!</v>
      </c>
      <c r="BZ65" s="63"/>
      <c r="CA65" s="58" t="e">
        <f>(Links!AN65^2+'Off-Ramp'!U65^2)/(Links!AN65+'Off-Ramp'!U65)</f>
        <v>#DIV/0!</v>
      </c>
    </row>
    <row r="66" spans="1:79" x14ac:dyDescent="0.15">
      <c r="A66" s="56">
        <v>64</v>
      </c>
      <c r="B66" s="57" t="e">
        <f t="shared" si="1"/>
        <v>#DIV/0!</v>
      </c>
      <c r="C66" s="57" t="e">
        <f t="shared" si="2"/>
        <v>#DIV/0!</v>
      </c>
      <c r="D66" s="57" t="e">
        <f t="shared" si="3"/>
        <v>#DIV/0!</v>
      </c>
      <c r="E66" s="57" t="e">
        <f t="shared" si="4"/>
        <v>#DIV/0!</v>
      </c>
      <c r="F66" s="57" t="e">
        <f t="shared" si="5"/>
        <v>#DIV/0!</v>
      </c>
      <c r="G66" s="57" t="e">
        <f t="shared" si="6"/>
        <v>#DIV/0!</v>
      </c>
      <c r="H66" s="57" t="e">
        <f t="shared" si="7"/>
        <v>#DIV/0!</v>
      </c>
      <c r="I66" s="57" t="e">
        <f t="shared" si="8"/>
        <v>#DIV/0!</v>
      </c>
      <c r="J66" s="57" t="e">
        <f t="shared" si="9"/>
        <v>#DIV/0!</v>
      </c>
      <c r="K66" s="57" t="e">
        <f t="shared" si="10"/>
        <v>#DIV/0!</v>
      </c>
      <c r="L66" s="57" t="e">
        <f t="shared" si="11"/>
        <v>#DIV/0!</v>
      </c>
      <c r="M66" s="57" t="e">
        <f t="shared" si="12"/>
        <v>#DIV/0!</v>
      </c>
      <c r="N66" s="57" t="e">
        <f t="shared" si="13"/>
        <v>#DIV/0!</v>
      </c>
      <c r="O66" s="58" t="e">
        <f>Links!B66</f>
        <v>#DIV/0!</v>
      </c>
      <c r="P66" s="58" t="e">
        <f>Links!C66+'On-Ramps'!AC66</f>
        <v>#DIV/0!</v>
      </c>
      <c r="Q66" s="58" t="e">
        <f>Links!D66</f>
        <v>#DIV/0!</v>
      </c>
      <c r="R66" s="58" t="e">
        <f>Links!E66+'On-Ramps'!AD66</f>
        <v>#DIV/0!</v>
      </c>
      <c r="S66" s="58" t="e">
        <f>Links!F66+'On-Ramps'!AE66</f>
        <v>#DIV/0!</v>
      </c>
      <c r="T66" s="58" t="e">
        <f>Links!I66+'On-Ramps'!AF66</f>
        <v>#DIV/0!</v>
      </c>
      <c r="U66" s="58" t="e">
        <f>Links!J66+'On-Ramps'!AG66</f>
        <v>#DIV/0!</v>
      </c>
      <c r="V66" s="58" t="e">
        <f>Links!L66+'On-Ramps'!AH66</f>
        <v>#DIV/0!</v>
      </c>
      <c r="W66" s="58" t="e">
        <f>Links!M66+'On-Ramps'!AI66</f>
        <v>#DIV/0!</v>
      </c>
      <c r="X66" s="58" t="e">
        <f>Links!P66+'On-Ramps'!AJ66</f>
        <v>#DIV/0!</v>
      </c>
      <c r="Y66" s="58" t="e">
        <f>Links!Q66</f>
        <v>#DIV/0!</v>
      </c>
      <c r="Z66" s="58" t="e">
        <f>Links!R66+'On-Ramps'!AK66</f>
        <v>#DIV/0!</v>
      </c>
      <c r="AA66" s="58" t="e">
        <f>Links!S66</f>
        <v>#DIV/0!</v>
      </c>
      <c r="AB66" s="57" t="e">
        <f t="shared" si="16"/>
        <v>#DIV/0!</v>
      </c>
      <c r="AC66" s="63"/>
      <c r="AD66" s="57" t="e">
        <f t="shared" si="17"/>
        <v>#DIV/0!</v>
      </c>
      <c r="AE66" s="63"/>
      <c r="AF66" s="57" t="e">
        <f t="shared" si="18"/>
        <v>#DIV/0!</v>
      </c>
      <c r="AG66" s="57" t="e">
        <f t="shared" si="19"/>
        <v>#DIV/0!</v>
      </c>
      <c r="AH66" s="57" t="e">
        <f t="shared" si="20"/>
        <v>#DIV/0!</v>
      </c>
      <c r="AI66" s="57" t="e">
        <f t="shared" si="21"/>
        <v>#DIV/0!</v>
      </c>
      <c r="AJ66" s="57" t="e">
        <f t="shared" si="22"/>
        <v>#DIV/0!</v>
      </c>
      <c r="AK66" s="57" t="e">
        <f t="shared" si="23"/>
        <v>#DIV/0!</v>
      </c>
      <c r="AL66" s="57" t="e">
        <f t="shared" si="24"/>
        <v>#DIV/0!</v>
      </c>
      <c r="AM66" s="63"/>
      <c r="AN66" s="57" t="e">
        <f t="shared" si="26"/>
        <v>#DIV/0!</v>
      </c>
      <c r="AO66" s="58" t="e">
        <f t="shared" si="29"/>
        <v>#DIV/0!</v>
      </c>
      <c r="AP66" s="63"/>
      <c r="AQ66" s="58" t="e">
        <f t="shared" si="28"/>
        <v>#DIV/0!</v>
      </c>
      <c r="AR66" s="63"/>
      <c r="AS66" s="58" t="e">
        <f t="shared" si="28"/>
        <v>#DIV/0!</v>
      </c>
      <c r="AT66" s="58" t="e">
        <f t="shared" si="28"/>
        <v>#DIV/0!</v>
      </c>
      <c r="AU66" s="58" t="e">
        <f t="shared" si="28"/>
        <v>#DIV/0!</v>
      </c>
      <c r="AV66" s="58" t="e">
        <f t="shared" si="28"/>
        <v>#DIV/0!</v>
      </c>
      <c r="AW66" s="58" t="e">
        <f t="shared" si="28"/>
        <v>#DIV/0!</v>
      </c>
      <c r="AX66" s="58" t="e">
        <f t="shared" si="28"/>
        <v>#DIV/0!</v>
      </c>
      <c r="AY66" s="58" t="e">
        <f t="shared" si="28"/>
        <v>#DIV/0!</v>
      </c>
      <c r="AZ66" s="63"/>
      <c r="BA66" s="58" t="e">
        <f t="shared" si="28"/>
        <v>#DIV/0!</v>
      </c>
      <c r="BB66" s="63"/>
      <c r="BC66" s="57" t="e">
        <f>(Links!C66*Links!AQ66+'On-Ramps'!AC66*'On-Ramps'!CE66)/('On-Ramps'!AC66+Links!C66)</f>
        <v>#DIV/0!</v>
      </c>
      <c r="BD66" s="63"/>
      <c r="BE66" s="57" t="e">
        <f>(Links!E66*Links!AS66+'On-Ramps'!AD66*'On-Ramps'!CF65)/('On-Ramps'!AD66+Links!E66)</f>
        <v>#DIV/0!</v>
      </c>
      <c r="BF66" s="57" t="e">
        <f>(Links!F66*Links!AT66+'On-Ramps'!AE66*'On-Ramps'!CG66)/('On-Ramps'!AE66+Links!F66)</f>
        <v>#DIV/0!</v>
      </c>
      <c r="BG66" s="57" t="e">
        <f>(Links!I66*Links!AW66+'On-Ramps'!AF66*'On-Ramps'!CH66)/('On-Ramps'!AF66+Links!I66)</f>
        <v>#DIV/0!</v>
      </c>
      <c r="BH66" s="57" t="e">
        <f>(#REF!*#REF!+'On-Ramps'!AG66*'On-Ramps'!CI66)/('On-Ramps'!AG66+#REF!)</f>
        <v>#REF!</v>
      </c>
      <c r="BI66" s="57" t="e">
        <f>(Links!L66*Links!AZ66+'On-Ramps'!AH66*'On-Ramps'!CJ66)/('On-Ramps'!AH66+Links!L66)</f>
        <v>#DIV/0!</v>
      </c>
      <c r="BJ66" s="57" t="e">
        <f>(Links!BA66*Links!M66+'On-Ramps'!AI66*'On-Ramps'!CK66)/('On-Ramps'!AI66+Links!M66)</f>
        <v>#DIV/0!</v>
      </c>
      <c r="BK66" s="57" t="e">
        <f>(Links!S66*Links!BG66+'On-Ramps'!AJ66*'On-Ramps'!CL66)/('On-Ramps'!AJ66+Links!S66)</f>
        <v>#DIV/0!</v>
      </c>
      <c r="BL66" s="63"/>
      <c r="BM66" s="57" t="e">
        <f>(Links!S66*Links!BG66+'On-Ramps'!AL66*'On-Ramps'!CM66)/(Links!S66+'On-Ramps'!AL66)</f>
        <v>#DIV/0!</v>
      </c>
      <c r="BN66" s="63"/>
      <c r="BO66" s="58" t="e">
        <f>(Links!W66^2+'Off-Ramp'!L66^2)/(Links!W66+'Off-Ramp'!L66)</f>
        <v>#DIV/0!</v>
      </c>
      <c r="BP66" s="63"/>
      <c r="BQ66" s="58" t="e">
        <f>(Links!Y66^2+'Off-Ramp'!C66^2)/(Links!Y66+'Off-Ramp'!C66)</f>
        <v>#DIV/0!</v>
      </c>
      <c r="BR66" s="63"/>
      <c r="BS66" s="58" t="e">
        <f>(Links!AA66^2+'Off-Ramp'!N66^2)/(Links!AA66+'Off-Ramp'!N66)</f>
        <v>#DIV/0!</v>
      </c>
      <c r="BT66" s="58" t="e">
        <f>(Links!AD66^2+'Off-Ramp'!O66^2)/(Links!AD66+'Off-Ramp'!O66)</f>
        <v>#DIV/0!</v>
      </c>
      <c r="BU66" s="58" t="e">
        <f>(Links!AE66^2+'Off-Ramp'!V66^2+'Off-Ramp'!W66^2+'Off-Ramp'!X66^2)/(Links!AE66+'Off-Ramp'!V66+'Off-Ramp'!W66+'Off-Ramp'!X66)</f>
        <v>#DIV/0!</v>
      </c>
      <c r="BV66" s="58" t="e">
        <f>(Links!AG66^2+'Off-Ramp'!Y66^2+'Off-Ramp'!Z66^2+'Off-Ramp'!AA66^2)/(Links!AG66+'Off-Ramp'!Y66+'Off-Ramp'!Z66+'Off-Ramp'!AA66)</f>
        <v>#DIV/0!</v>
      </c>
      <c r="BW66" s="58" t="e">
        <f>(Links!AH66^2+'Off-Ramp'!R66^2)/(Links!AH66+'Off-Ramp'!R66)</f>
        <v>#DIV/0!</v>
      </c>
      <c r="BX66" s="58" t="e">
        <f>(Links!AK66^2+'Off-Ramp'!S66^2)/(Links!AK66+'Off-Ramp'!S66)</f>
        <v>#DIV/0!</v>
      </c>
      <c r="BY66" s="58" t="e">
        <f>(Links!AL66^2+'Off-Ramp'!T66^2)/(Links!AL66+'Off-Ramp'!T66)</f>
        <v>#DIV/0!</v>
      </c>
      <c r="BZ66" s="63"/>
      <c r="CA66" s="58" t="e">
        <f>(Links!AN66^2+'Off-Ramp'!U66^2)/(Links!AN66+'Off-Ramp'!U66)</f>
        <v>#DIV/0!</v>
      </c>
    </row>
    <row r="67" spans="1:79" x14ac:dyDescent="0.15">
      <c r="A67" s="56">
        <v>65</v>
      </c>
      <c r="B67" s="57" t="e">
        <f t="shared" si="1"/>
        <v>#DIV/0!</v>
      </c>
      <c r="C67" s="57" t="e">
        <f t="shared" si="2"/>
        <v>#DIV/0!</v>
      </c>
      <c r="D67" s="57" t="e">
        <f t="shared" si="3"/>
        <v>#DIV/0!</v>
      </c>
      <c r="E67" s="57" t="e">
        <f t="shared" si="4"/>
        <v>#DIV/0!</v>
      </c>
      <c r="F67" s="57" t="e">
        <f t="shared" si="5"/>
        <v>#DIV/0!</v>
      </c>
      <c r="G67" s="57" t="e">
        <f t="shared" si="6"/>
        <v>#DIV/0!</v>
      </c>
      <c r="H67" s="57" t="e">
        <f t="shared" si="7"/>
        <v>#DIV/0!</v>
      </c>
      <c r="I67" s="57" t="e">
        <f t="shared" si="8"/>
        <v>#DIV/0!</v>
      </c>
      <c r="J67" s="57" t="e">
        <f t="shared" si="9"/>
        <v>#DIV/0!</v>
      </c>
      <c r="K67" s="57" t="e">
        <f t="shared" si="10"/>
        <v>#DIV/0!</v>
      </c>
      <c r="L67" s="57" t="e">
        <f t="shared" si="11"/>
        <v>#DIV/0!</v>
      </c>
      <c r="M67" s="57" t="e">
        <f t="shared" si="12"/>
        <v>#DIV/0!</v>
      </c>
      <c r="N67" s="57" t="e">
        <f t="shared" si="13"/>
        <v>#DIV/0!</v>
      </c>
      <c r="O67" s="58" t="e">
        <f>Links!B67</f>
        <v>#DIV/0!</v>
      </c>
      <c r="P67" s="58" t="e">
        <f>Links!C67+'On-Ramps'!AC67</f>
        <v>#DIV/0!</v>
      </c>
      <c r="Q67" s="58" t="e">
        <f>Links!D67</f>
        <v>#DIV/0!</v>
      </c>
      <c r="R67" s="58" t="e">
        <f>Links!E67+'On-Ramps'!AD67</f>
        <v>#DIV/0!</v>
      </c>
      <c r="S67" s="58" t="e">
        <f>Links!F67+'On-Ramps'!AE67</f>
        <v>#DIV/0!</v>
      </c>
      <c r="T67" s="58" t="e">
        <f>Links!I67+'On-Ramps'!AF67</f>
        <v>#DIV/0!</v>
      </c>
      <c r="U67" s="58" t="e">
        <f>Links!J67+'On-Ramps'!AG67</f>
        <v>#DIV/0!</v>
      </c>
      <c r="V67" s="58" t="e">
        <f>Links!L67+'On-Ramps'!AH67</f>
        <v>#DIV/0!</v>
      </c>
      <c r="W67" s="58" t="e">
        <f>Links!M67+'On-Ramps'!AI67</f>
        <v>#DIV/0!</v>
      </c>
      <c r="X67" s="58" t="e">
        <f>Links!P67+'On-Ramps'!AJ67</f>
        <v>#DIV/0!</v>
      </c>
      <c r="Y67" s="58" t="e">
        <f>Links!Q67</f>
        <v>#DIV/0!</v>
      </c>
      <c r="Z67" s="58" t="e">
        <f>Links!R67+'On-Ramps'!AK67</f>
        <v>#DIV/0!</v>
      </c>
      <c r="AA67" s="58" t="e">
        <f>Links!S67</f>
        <v>#DIV/0!</v>
      </c>
      <c r="AB67" s="57" t="e">
        <f t="shared" si="16"/>
        <v>#DIV/0!</v>
      </c>
      <c r="AC67" s="63"/>
      <c r="AD67" s="57" t="e">
        <f t="shared" si="17"/>
        <v>#DIV/0!</v>
      </c>
      <c r="AE67" s="63"/>
      <c r="AF67" s="57" t="e">
        <f t="shared" si="18"/>
        <v>#DIV/0!</v>
      </c>
      <c r="AG67" s="57" t="e">
        <f t="shared" si="19"/>
        <v>#DIV/0!</v>
      </c>
      <c r="AH67" s="57" t="e">
        <f t="shared" si="20"/>
        <v>#DIV/0!</v>
      </c>
      <c r="AI67" s="57" t="e">
        <f t="shared" si="21"/>
        <v>#DIV/0!</v>
      </c>
      <c r="AJ67" s="57" t="e">
        <f t="shared" si="22"/>
        <v>#DIV/0!</v>
      </c>
      <c r="AK67" s="57" t="e">
        <f t="shared" si="23"/>
        <v>#DIV/0!</v>
      </c>
      <c r="AL67" s="57" t="e">
        <f t="shared" si="24"/>
        <v>#DIV/0!</v>
      </c>
      <c r="AM67" s="63"/>
      <c r="AN67" s="57" t="e">
        <f t="shared" si="26"/>
        <v>#DIV/0!</v>
      </c>
      <c r="AO67" s="58" t="e">
        <f t="shared" si="29"/>
        <v>#DIV/0!</v>
      </c>
      <c r="AP67" s="63"/>
      <c r="AQ67" s="58" t="e">
        <f t="shared" si="28"/>
        <v>#DIV/0!</v>
      </c>
      <c r="AR67" s="63"/>
      <c r="AS67" s="58" t="e">
        <f t="shared" si="28"/>
        <v>#DIV/0!</v>
      </c>
      <c r="AT67" s="58" t="e">
        <f t="shared" si="28"/>
        <v>#DIV/0!</v>
      </c>
      <c r="AU67" s="58" t="e">
        <f t="shared" si="28"/>
        <v>#DIV/0!</v>
      </c>
      <c r="AV67" s="58" t="e">
        <f t="shared" si="28"/>
        <v>#DIV/0!</v>
      </c>
      <c r="AW67" s="58" t="e">
        <f t="shared" si="28"/>
        <v>#DIV/0!</v>
      </c>
      <c r="AX67" s="58" t="e">
        <f t="shared" si="28"/>
        <v>#DIV/0!</v>
      </c>
      <c r="AY67" s="58" t="e">
        <f t="shared" si="28"/>
        <v>#DIV/0!</v>
      </c>
      <c r="AZ67" s="63"/>
      <c r="BA67" s="58" t="e">
        <f t="shared" si="28"/>
        <v>#DIV/0!</v>
      </c>
      <c r="BB67" s="63"/>
      <c r="BC67" s="57" t="e">
        <f>(Links!C67*Links!AQ67+'On-Ramps'!AC67*'On-Ramps'!CE67)/('On-Ramps'!AC67+Links!C67)</f>
        <v>#DIV/0!</v>
      </c>
      <c r="BD67" s="63"/>
      <c r="BE67" s="57" t="e">
        <f>(Links!E67*Links!AS67+'On-Ramps'!AD67*'On-Ramps'!CF66)/('On-Ramps'!AD67+Links!E67)</f>
        <v>#DIV/0!</v>
      </c>
      <c r="BF67" s="57" t="e">
        <f>(Links!F67*Links!AT67+'On-Ramps'!AE67*'On-Ramps'!CG67)/('On-Ramps'!AE67+Links!F67)</f>
        <v>#DIV/0!</v>
      </c>
      <c r="BG67" s="57" t="e">
        <f>(Links!I67*Links!AW67+'On-Ramps'!AF67*'On-Ramps'!CH67)/('On-Ramps'!AF67+Links!I67)</f>
        <v>#DIV/0!</v>
      </c>
      <c r="BH67" s="57" t="e">
        <f>(#REF!*#REF!+'On-Ramps'!AG67*'On-Ramps'!CI67)/('On-Ramps'!AG67+#REF!)</f>
        <v>#REF!</v>
      </c>
      <c r="BI67" s="57" t="e">
        <f>(Links!L67*Links!AZ67+'On-Ramps'!AH67*'On-Ramps'!CJ67)/('On-Ramps'!AH67+Links!L67)</f>
        <v>#DIV/0!</v>
      </c>
      <c r="BJ67" s="57" t="e">
        <f>(Links!BA67*Links!M67+'On-Ramps'!AI67*'On-Ramps'!CK67)/('On-Ramps'!AI67+Links!M67)</f>
        <v>#DIV/0!</v>
      </c>
      <c r="BK67" s="57" t="e">
        <f>(Links!S67*Links!BG67+'On-Ramps'!AJ67*'On-Ramps'!CL67)/('On-Ramps'!AJ67+Links!S67)</f>
        <v>#DIV/0!</v>
      </c>
      <c r="BL67" s="63"/>
      <c r="BM67" s="57" t="e">
        <f>(Links!S67*Links!BG67+'On-Ramps'!AL67*'On-Ramps'!CM67)/(Links!S67+'On-Ramps'!AL67)</f>
        <v>#DIV/0!</v>
      </c>
      <c r="BN67" s="63"/>
      <c r="BO67" s="58" t="e">
        <f>(Links!W67^2+'Off-Ramp'!L67^2)/(Links!W67+'Off-Ramp'!L67)</f>
        <v>#DIV/0!</v>
      </c>
      <c r="BP67" s="63"/>
      <c r="BQ67" s="58" t="e">
        <f>(Links!Y67^2+'Off-Ramp'!C67^2)/(Links!Y67+'Off-Ramp'!C67)</f>
        <v>#DIV/0!</v>
      </c>
      <c r="BR67" s="63"/>
      <c r="BS67" s="58" t="e">
        <f>(Links!AA67^2+'Off-Ramp'!N67^2)/(Links!AA67+'Off-Ramp'!N67)</f>
        <v>#DIV/0!</v>
      </c>
      <c r="BT67" s="58" t="e">
        <f>(Links!AD67^2+'Off-Ramp'!O67^2)/(Links!AD67+'Off-Ramp'!O67)</f>
        <v>#DIV/0!</v>
      </c>
      <c r="BU67" s="58" t="e">
        <f>(Links!AE67^2+'Off-Ramp'!V67^2+'Off-Ramp'!W67^2+'Off-Ramp'!X67^2)/(Links!AE67+'Off-Ramp'!V67+'Off-Ramp'!W67+'Off-Ramp'!X67)</f>
        <v>#DIV/0!</v>
      </c>
      <c r="BV67" s="58" t="e">
        <f>(Links!AG67^2+'Off-Ramp'!Y67^2+'Off-Ramp'!Z67^2+'Off-Ramp'!AA67^2)/(Links!AG67+'Off-Ramp'!Y67+'Off-Ramp'!Z67+'Off-Ramp'!AA67)</f>
        <v>#DIV/0!</v>
      </c>
      <c r="BW67" s="58" t="e">
        <f>(Links!AH67^2+'Off-Ramp'!R67^2)/(Links!AH67+'Off-Ramp'!R67)</f>
        <v>#DIV/0!</v>
      </c>
      <c r="BX67" s="58" t="e">
        <f>(Links!AK67^2+'Off-Ramp'!S67^2)/(Links!AK67+'Off-Ramp'!S67)</f>
        <v>#DIV/0!</v>
      </c>
      <c r="BY67" s="58" t="e">
        <f>(Links!AL67^2+'Off-Ramp'!T67^2)/(Links!AL67+'Off-Ramp'!T67)</f>
        <v>#DIV/0!</v>
      </c>
      <c r="BZ67" s="63"/>
      <c r="CA67" s="58" t="e">
        <f>(Links!AN67^2+'Off-Ramp'!U67^2)/(Links!AN67+'Off-Ramp'!U67)</f>
        <v>#DIV/0!</v>
      </c>
    </row>
    <row r="68" spans="1:79" x14ac:dyDescent="0.15">
      <c r="A68" s="56">
        <v>66</v>
      </c>
      <c r="B68" s="57" t="e">
        <f t="shared" ref="B68:B131" si="30">O68+AB68</f>
        <v>#DIV/0!</v>
      </c>
      <c r="C68" s="57" t="e">
        <f t="shared" ref="C68:C131" si="31">P68+AC68</f>
        <v>#DIV/0!</v>
      </c>
      <c r="D68" s="57" t="e">
        <f t="shared" ref="D68:D131" si="32">Q68+AD68</f>
        <v>#DIV/0!</v>
      </c>
      <c r="E68" s="57" t="e">
        <f t="shared" ref="E68:E131" si="33">R68+AE68</f>
        <v>#DIV/0!</v>
      </c>
      <c r="F68" s="57" t="e">
        <f t="shared" ref="F68:F131" si="34">S68+AF68</f>
        <v>#DIV/0!</v>
      </c>
      <c r="G68" s="57" t="e">
        <f t="shared" ref="G68:G131" si="35">T68+AG68</f>
        <v>#DIV/0!</v>
      </c>
      <c r="H68" s="57" t="e">
        <f t="shared" ref="H68:H131" si="36">U68+AH68</f>
        <v>#DIV/0!</v>
      </c>
      <c r="I68" s="57" t="e">
        <f t="shared" ref="I68:I131" si="37">V68+AI68</f>
        <v>#DIV/0!</v>
      </c>
      <c r="J68" s="57" t="e">
        <f t="shared" ref="J68:J131" si="38">W68+AJ68</f>
        <v>#DIV/0!</v>
      </c>
      <c r="K68" s="57" t="e">
        <f t="shared" ref="K68:K131" si="39">X68+AK68</f>
        <v>#DIV/0!</v>
      </c>
      <c r="L68" s="57" t="e">
        <f t="shared" ref="L68:L131" si="40">Y68+AL68</f>
        <v>#DIV/0!</v>
      </c>
      <c r="M68" s="57" t="e">
        <f t="shared" ref="M68:M131" si="41">Z68+AM68</f>
        <v>#DIV/0!</v>
      </c>
      <c r="N68" s="57" t="e">
        <f t="shared" ref="N68:N131" si="42">AA68+AN68</f>
        <v>#DIV/0!</v>
      </c>
      <c r="O68" s="58" t="e">
        <f>Links!B68</f>
        <v>#DIV/0!</v>
      </c>
      <c r="P68" s="58" t="e">
        <f>Links!C68+'On-Ramps'!AC68</f>
        <v>#DIV/0!</v>
      </c>
      <c r="Q68" s="58" t="e">
        <f>Links!D68</f>
        <v>#DIV/0!</v>
      </c>
      <c r="R68" s="58" t="e">
        <f>Links!E68+'On-Ramps'!AD68</f>
        <v>#DIV/0!</v>
      </c>
      <c r="S68" s="58" t="e">
        <f>Links!F68+'On-Ramps'!AE68</f>
        <v>#DIV/0!</v>
      </c>
      <c r="T68" s="58" t="e">
        <f>Links!I68+'On-Ramps'!AF68</f>
        <v>#DIV/0!</v>
      </c>
      <c r="U68" s="58" t="e">
        <f>Links!J68+'On-Ramps'!AG68</f>
        <v>#DIV/0!</v>
      </c>
      <c r="V68" s="58" t="e">
        <f>Links!L68+'On-Ramps'!AH68</f>
        <v>#DIV/0!</v>
      </c>
      <c r="W68" s="58" t="e">
        <f>Links!M68+'On-Ramps'!AI68</f>
        <v>#DIV/0!</v>
      </c>
      <c r="X68" s="58" t="e">
        <f>Links!P68+'On-Ramps'!AJ68</f>
        <v>#DIV/0!</v>
      </c>
      <c r="Y68" s="58" t="e">
        <f>Links!Q68</f>
        <v>#DIV/0!</v>
      </c>
      <c r="Z68" s="58" t="e">
        <f>Links!R68+'On-Ramps'!AK68</f>
        <v>#DIV/0!</v>
      </c>
      <c r="AA68" s="58" t="e">
        <f>Links!S68</f>
        <v>#DIV/0!</v>
      </c>
      <c r="AB68" s="57" t="e">
        <f t="shared" si="16"/>
        <v>#DIV/0!</v>
      </c>
      <c r="AC68" s="63"/>
      <c r="AD68" s="57" t="e">
        <f t="shared" si="17"/>
        <v>#DIV/0!</v>
      </c>
      <c r="AE68" s="63"/>
      <c r="AF68" s="57" t="e">
        <f t="shared" si="18"/>
        <v>#DIV/0!</v>
      </c>
      <c r="AG68" s="57" t="e">
        <f t="shared" si="19"/>
        <v>#DIV/0!</v>
      </c>
      <c r="AH68" s="57" t="e">
        <f t="shared" si="20"/>
        <v>#DIV/0!</v>
      </c>
      <c r="AI68" s="57" t="e">
        <f t="shared" si="21"/>
        <v>#DIV/0!</v>
      </c>
      <c r="AJ68" s="57" t="e">
        <f t="shared" si="22"/>
        <v>#DIV/0!</v>
      </c>
      <c r="AK68" s="57" t="e">
        <f t="shared" si="23"/>
        <v>#DIV/0!</v>
      </c>
      <c r="AL68" s="57" t="e">
        <f t="shared" si="24"/>
        <v>#DIV/0!</v>
      </c>
      <c r="AM68" s="63"/>
      <c r="AN68" s="57" t="e">
        <f t="shared" si="26"/>
        <v>#DIV/0!</v>
      </c>
      <c r="AO68" s="58" t="e">
        <f t="shared" si="29"/>
        <v>#DIV/0!</v>
      </c>
      <c r="AP68" s="63"/>
      <c r="AQ68" s="58" t="e">
        <f t="shared" si="28"/>
        <v>#DIV/0!</v>
      </c>
      <c r="AR68" s="63"/>
      <c r="AS68" s="58" t="e">
        <f t="shared" si="28"/>
        <v>#DIV/0!</v>
      </c>
      <c r="AT68" s="58" t="e">
        <f t="shared" si="28"/>
        <v>#DIV/0!</v>
      </c>
      <c r="AU68" s="58" t="e">
        <f t="shared" si="28"/>
        <v>#DIV/0!</v>
      </c>
      <c r="AV68" s="58" t="e">
        <f t="shared" si="28"/>
        <v>#DIV/0!</v>
      </c>
      <c r="AW68" s="58" t="e">
        <f t="shared" si="28"/>
        <v>#DIV/0!</v>
      </c>
      <c r="AX68" s="58" t="e">
        <f t="shared" si="28"/>
        <v>#DIV/0!</v>
      </c>
      <c r="AY68" s="58" t="e">
        <f t="shared" si="28"/>
        <v>#DIV/0!</v>
      </c>
      <c r="AZ68" s="63"/>
      <c r="BA68" s="58" t="e">
        <f t="shared" si="28"/>
        <v>#DIV/0!</v>
      </c>
      <c r="BB68" s="63"/>
      <c r="BC68" s="57" t="e">
        <f>(Links!C68*Links!AQ68+'On-Ramps'!AC68*'On-Ramps'!CE68)/('On-Ramps'!AC68+Links!C68)</f>
        <v>#DIV/0!</v>
      </c>
      <c r="BD68" s="63"/>
      <c r="BE68" s="57" t="e">
        <f>(Links!E68*Links!AS68+'On-Ramps'!AD68*'On-Ramps'!CF67)/('On-Ramps'!AD68+Links!E68)</f>
        <v>#DIV/0!</v>
      </c>
      <c r="BF68" s="57" t="e">
        <f>(Links!F68*Links!AT68+'On-Ramps'!AE68*'On-Ramps'!CG68)/('On-Ramps'!AE68+Links!F68)</f>
        <v>#DIV/0!</v>
      </c>
      <c r="BG68" s="57" t="e">
        <f>(Links!I68*Links!AW68+'On-Ramps'!AF68*'On-Ramps'!CH68)/('On-Ramps'!AF68+Links!I68)</f>
        <v>#DIV/0!</v>
      </c>
      <c r="BH68" s="57" t="e">
        <f>(#REF!*#REF!+'On-Ramps'!AG68*'On-Ramps'!CI68)/('On-Ramps'!AG68+#REF!)</f>
        <v>#REF!</v>
      </c>
      <c r="BI68" s="57" t="e">
        <f>(Links!L68*Links!AZ68+'On-Ramps'!AH68*'On-Ramps'!CJ68)/('On-Ramps'!AH68+Links!L68)</f>
        <v>#DIV/0!</v>
      </c>
      <c r="BJ68" s="57" t="e">
        <f>(Links!BA68*Links!M68+'On-Ramps'!AI68*'On-Ramps'!CK68)/('On-Ramps'!AI68+Links!M68)</f>
        <v>#DIV/0!</v>
      </c>
      <c r="BK68" s="57" t="e">
        <f>(Links!S68*Links!BG68+'On-Ramps'!AJ68*'On-Ramps'!CL68)/('On-Ramps'!AJ68+Links!S68)</f>
        <v>#DIV/0!</v>
      </c>
      <c r="BL68" s="63"/>
      <c r="BM68" s="57" t="e">
        <f>(Links!S68*Links!BG68+'On-Ramps'!AL68*'On-Ramps'!CM68)/(Links!S68+'On-Ramps'!AL68)</f>
        <v>#DIV/0!</v>
      </c>
      <c r="BN68" s="63"/>
      <c r="BO68" s="58" t="e">
        <f>(Links!W68^2+'Off-Ramp'!L68^2)/(Links!W68+'Off-Ramp'!L68)</f>
        <v>#DIV/0!</v>
      </c>
      <c r="BP68" s="63"/>
      <c r="BQ68" s="58" t="e">
        <f>(Links!Y68^2+'Off-Ramp'!C68^2)/(Links!Y68+'Off-Ramp'!C68)</f>
        <v>#DIV/0!</v>
      </c>
      <c r="BR68" s="63"/>
      <c r="BS68" s="58" t="e">
        <f>(Links!AA68^2+'Off-Ramp'!N68^2)/(Links!AA68+'Off-Ramp'!N68)</f>
        <v>#DIV/0!</v>
      </c>
      <c r="BT68" s="58" t="e">
        <f>(Links!AD68^2+'Off-Ramp'!O68^2)/(Links!AD68+'Off-Ramp'!O68)</f>
        <v>#DIV/0!</v>
      </c>
      <c r="BU68" s="58" t="e">
        <f>(Links!AE68^2+'Off-Ramp'!V68^2+'Off-Ramp'!W68^2+'Off-Ramp'!X68^2)/(Links!AE68+'Off-Ramp'!V68+'Off-Ramp'!W68+'Off-Ramp'!X68)</f>
        <v>#DIV/0!</v>
      </c>
      <c r="BV68" s="58" t="e">
        <f>(Links!AG68^2+'Off-Ramp'!Y68^2+'Off-Ramp'!Z68^2+'Off-Ramp'!AA68^2)/(Links!AG68+'Off-Ramp'!Y68+'Off-Ramp'!Z68+'Off-Ramp'!AA68)</f>
        <v>#DIV/0!</v>
      </c>
      <c r="BW68" s="58" t="e">
        <f>(Links!AH68^2+'Off-Ramp'!R68^2)/(Links!AH68+'Off-Ramp'!R68)</f>
        <v>#DIV/0!</v>
      </c>
      <c r="BX68" s="58" t="e">
        <f>(Links!AK68^2+'Off-Ramp'!S68^2)/(Links!AK68+'Off-Ramp'!S68)</f>
        <v>#DIV/0!</v>
      </c>
      <c r="BY68" s="58" t="e">
        <f>(Links!AL68^2+'Off-Ramp'!T68^2)/(Links!AL68+'Off-Ramp'!T68)</f>
        <v>#DIV/0!</v>
      </c>
      <c r="BZ68" s="63"/>
      <c r="CA68" s="58" t="e">
        <f>(Links!AN68^2+'Off-Ramp'!U68^2)/(Links!AN68+'Off-Ramp'!U68)</f>
        <v>#DIV/0!</v>
      </c>
    </row>
    <row r="69" spans="1:79" x14ac:dyDescent="0.15">
      <c r="A69" s="56">
        <v>67</v>
      </c>
      <c r="B69" s="57" t="e">
        <f t="shared" si="30"/>
        <v>#DIV/0!</v>
      </c>
      <c r="C69" s="57" t="e">
        <f t="shared" si="31"/>
        <v>#DIV/0!</v>
      </c>
      <c r="D69" s="57" t="e">
        <f t="shared" si="32"/>
        <v>#DIV/0!</v>
      </c>
      <c r="E69" s="57" t="e">
        <f t="shared" si="33"/>
        <v>#DIV/0!</v>
      </c>
      <c r="F69" s="57" t="e">
        <f t="shared" si="34"/>
        <v>#DIV/0!</v>
      </c>
      <c r="G69" s="57" t="e">
        <f t="shared" si="35"/>
        <v>#DIV/0!</v>
      </c>
      <c r="H69" s="57" t="e">
        <f t="shared" si="36"/>
        <v>#DIV/0!</v>
      </c>
      <c r="I69" s="57" t="e">
        <f t="shared" si="37"/>
        <v>#DIV/0!</v>
      </c>
      <c r="J69" s="57" t="e">
        <f t="shared" si="38"/>
        <v>#DIV/0!</v>
      </c>
      <c r="K69" s="57" t="e">
        <f t="shared" si="39"/>
        <v>#DIV/0!</v>
      </c>
      <c r="L69" s="57" t="e">
        <f t="shared" si="40"/>
        <v>#DIV/0!</v>
      </c>
      <c r="M69" s="57" t="e">
        <f t="shared" si="41"/>
        <v>#DIV/0!</v>
      </c>
      <c r="N69" s="57" t="e">
        <f t="shared" si="42"/>
        <v>#DIV/0!</v>
      </c>
      <c r="O69" s="58" t="e">
        <f>Links!B69</f>
        <v>#DIV/0!</v>
      </c>
      <c r="P69" s="58" t="e">
        <f>Links!C69+'On-Ramps'!AC69</f>
        <v>#DIV/0!</v>
      </c>
      <c r="Q69" s="58" t="e">
        <f>Links!D69</f>
        <v>#DIV/0!</v>
      </c>
      <c r="R69" s="58" t="e">
        <f>Links!E69+'On-Ramps'!AD69</f>
        <v>#DIV/0!</v>
      </c>
      <c r="S69" s="58" t="e">
        <f>Links!F69+'On-Ramps'!AE69</f>
        <v>#DIV/0!</v>
      </c>
      <c r="T69" s="58" t="e">
        <f>Links!I69+'On-Ramps'!AF69</f>
        <v>#DIV/0!</v>
      </c>
      <c r="U69" s="58" t="e">
        <f>Links!J69+'On-Ramps'!AG69</f>
        <v>#DIV/0!</v>
      </c>
      <c r="V69" s="58" t="e">
        <f>Links!L69+'On-Ramps'!AH69</f>
        <v>#DIV/0!</v>
      </c>
      <c r="W69" s="58" t="e">
        <f>Links!M69+'On-Ramps'!AI69</f>
        <v>#DIV/0!</v>
      </c>
      <c r="X69" s="58" t="e">
        <f>Links!P69+'On-Ramps'!AJ69</f>
        <v>#DIV/0!</v>
      </c>
      <c r="Y69" s="58" t="e">
        <f>Links!Q69</f>
        <v>#DIV/0!</v>
      </c>
      <c r="Z69" s="58" t="e">
        <f>Links!R69+'On-Ramps'!AK69</f>
        <v>#DIV/0!</v>
      </c>
      <c r="AA69" s="58" t="e">
        <f>Links!S69</f>
        <v>#DIV/0!</v>
      </c>
      <c r="AB69" s="57" t="e">
        <f t="shared" ref="AB69:AB132" si="43">AO69*(1-AO69)*O69</f>
        <v>#DIV/0!</v>
      </c>
      <c r="AC69" s="63"/>
      <c r="AD69" s="57" t="e">
        <f t="shared" ref="AD69:AD132" si="44">AQ69*(1-AQ69)*Q69</f>
        <v>#DIV/0!</v>
      </c>
      <c r="AE69" s="63"/>
      <c r="AF69" s="57" t="e">
        <f t="shared" ref="AF69:AF132" si="45">AS69*(1-AS69)*S69</f>
        <v>#DIV/0!</v>
      </c>
      <c r="AG69" s="57" t="e">
        <f t="shared" ref="AG69:AG132" si="46">AT69*(1-AT69)*T69</f>
        <v>#DIV/0!</v>
      </c>
      <c r="AH69" s="57" t="e">
        <f t="shared" ref="AH69:AH132" si="47">AU69*(1-AU69)*U69</f>
        <v>#DIV/0!</v>
      </c>
      <c r="AI69" s="57" t="e">
        <f t="shared" ref="AI69:AI132" si="48">AV69*(1-AV69)*V69</f>
        <v>#DIV/0!</v>
      </c>
      <c r="AJ69" s="57" t="e">
        <f t="shared" ref="AJ69:AJ132" si="49">AW69*(1-AW69)*W69</f>
        <v>#DIV/0!</v>
      </c>
      <c r="AK69" s="57" t="e">
        <f t="shared" ref="AK69:AK132" si="50">AX69*(1-AX69)*X69</f>
        <v>#DIV/0!</v>
      </c>
      <c r="AL69" s="57" t="e">
        <f t="shared" ref="AL69:AL132" si="51">AY69*(1-AY69)*Y69</f>
        <v>#DIV/0!</v>
      </c>
      <c r="AM69" s="63"/>
      <c r="AN69" s="57" t="e">
        <f t="shared" si="26"/>
        <v>#DIV/0!</v>
      </c>
      <c r="AO69" s="58" t="e">
        <f t="shared" si="29"/>
        <v>#DIV/0!</v>
      </c>
      <c r="AP69" s="63"/>
      <c r="AQ69" s="58" t="e">
        <f t="shared" si="28"/>
        <v>#DIV/0!</v>
      </c>
      <c r="AR69" s="63"/>
      <c r="AS69" s="58" t="e">
        <f t="shared" si="28"/>
        <v>#DIV/0!</v>
      </c>
      <c r="AT69" s="58" t="e">
        <f t="shared" si="28"/>
        <v>#DIV/0!</v>
      </c>
      <c r="AU69" s="58" t="e">
        <f t="shared" si="28"/>
        <v>#DIV/0!</v>
      </c>
      <c r="AV69" s="58" t="e">
        <f t="shared" si="28"/>
        <v>#DIV/0!</v>
      </c>
      <c r="AW69" s="58" t="e">
        <f t="shared" si="28"/>
        <v>#DIV/0!</v>
      </c>
      <c r="AX69" s="58" t="e">
        <f t="shared" si="28"/>
        <v>#DIV/0!</v>
      </c>
      <c r="AY69" s="58" t="e">
        <f t="shared" si="28"/>
        <v>#DIV/0!</v>
      </c>
      <c r="AZ69" s="63"/>
      <c r="BA69" s="58" t="e">
        <f t="shared" si="28"/>
        <v>#DIV/0!</v>
      </c>
      <c r="BB69" s="63"/>
      <c r="BC69" s="57" t="e">
        <f>(Links!C69*Links!AQ69+'On-Ramps'!AC69*'On-Ramps'!CE69)/('On-Ramps'!AC69+Links!C69)</f>
        <v>#DIV/0!</v>
      </c>
      <c r="BD69" s="63"/>
      <c r="BE69" s="57" t="e">
        <f>(Links!E69*Links!AS69+'On-Ramps'!AD69*'On-Ramps'!CF68)/('On-Ramps'!AD69+Links!E69)</f>
        <v>#DIV/0!</v>
      </c>
      <c r="BF69" s="57" t="e">
        <f>(Links!F69*Links!AT69+'On-Ramps'!AE69*'On-Ramps'!CG69)/('On-Ramps'!AE69+Links!F69)</f>
        <v>#DIV/0!</v>
      </c>
      <c r="BG69" s="57" t="e">
        <f>(Links!I69*Links!AW69+'On-Ramps'!AF69*'On-Ramps'!CH69)/('On-Ramps'!AF69+Links!I69)</f>
        <v>#DIV/0!</v>
      </c>
      <c r="BH69" s="57" t="e">
        <f>(#REF!*#REF!+'On-Ramps'!AG69*'On-Ramps'!CI69)/('On-Ramps'!AG69+#REF!)</f>
        <v>#REF!</v>
      </c>
      <c r="BI69" s="57" t="e">
        <f>(Links!L69*Links!AZ69+'On-Ramps'!AH69*'On-Ramps'!CJ69)/('On-Ramps'!AH69+Links!L69)</f>
        <v>#DIV/0!</v>
      </c>
      <c r="BJ69" s="57" t="e">
        <f>(Links!BA69*Links!M69+'On-Ramps'!AI69*'On-Ramps'!CK69)/('On-Ramps'!AI69+Links!M69)</f>
        <v>#DIV/0!</v>
      </c>
      <c r="BK69" s="57" t="e">
        <f>(Links!S69*Links!BG69+'On-Ramps'!AJ69*'On-Ramps'!CL69)/('On-Ramps'!AJ69+Links!S69)</f>
        <v>#DIV/0!</v>
      </c>
      <c r="BL69" s="63"/>
      <c r="BM69" s="57" t="e">
        <f>(Links!S69*Links!BG69+'On-Ramps'!AL69*'On-Ramps'!CM69)/(Links!S69+'On-Ramps'!AL69)</f>
        <v>#DIV/0!</v>
      </c>
      <c r="BN69" s="63"/>
      <c r="BO69" s="58" t="e">
        <f>(Links!W69^2+'Off-Ramp'!L69^2)/(Links!W69+'Off-Ramp'!L69)</f>
        <v>#DIV/0!</v>
      </c>
      <c r="BP69" s="63"/>
      <c r="BQ69" s="58" t="e">
        <f>(Links!Y69^2+'Off-Ramp'!C69^2)/(Links!Y69+'Off-Ramp'!C69)</f>
        <v>#DIV/0!</v>
      </c>
      <c r="BR69" s="63"/>
      <c r="BS69" s="58" t="e">
        <f>(Links!AA69^2+'Off-Ramp'!N69^2)/(Links!AA69+'Off-Ramp'!N69)</f>
        <v>#DIV/0!</v>
      </c>
      <c r="BT69" s="58" t="e">
        <f>(Links!AD69^2+'Off-Ramp'!O69^2)/(Links!AD69+'Off-Ramp'!O69)</f>
        <v>#DIV/0!</v>
      </c>
      <c r="BU69" s="58" t="e">
        <f>(Links!AE69^2+'Off-Ramp'!V69^2+'Off-Ramp'!W69^2+'Off-Ramp'!X69^2)/(Links!AE69+'Off-Ramp'!V69+'Off-Ramp'!W69+'Off-Ramp'!X69)</f>
        <v>#DIV/0!</v>
      </c>
      <c r="BV69" s="58" t="e">
        <f>(Links!AG69^2+'Off-Ramp'!Y69^2+'Off-Ramp'!Z69^2+'Off-Ramp'!AA69^2)/(Links!AG69+'Off-Ramp'!Y69+'Off-Ramp'!Z69+'Off-Ramp'!AA69)</f>
        <v>#DIV/0!</v>
      </c>
      <c r="BW69" s="58" t="e">
        <f>(Links!AH69^2+'Off-Ramp'!R69^2)/(Links!AH69+'Off-Ramp'!R69)</f>
        <v>#DIV/0!</v>
      </c>
      <c r="BX69" s="58" t="e">
        <f>(Links!AK69^2+'Off-Ramp'!S69^2)/(Links!AK69+'Off-Ramp'!S69)</f>
        <v>#DIV/0!</v>
      </c>
      <c r="BY69" s="58" t="e">
        <f>(Links!AL69^2+'Off-Ramp'!T69^2)/(Links!AL69+'Off-Ramp'!T69)</f>
        <v>#DIV/0!</v>
      </c>
      <c r="BZ69" s="63"/>
      <c r="CA69" s="58" t="e">
        <f>(Links!AN69^2+'Off-Ramp'!U69^2)/(Links!AN69+'Off-Ramp'!U69)</f>
        <v>#DIV/0!</v>
      </c>
    </row>
    <row r="70" spans="1:79" x14ac:dyDescent="0.15">
      <c r="A70" s="56">
        <v>68</v>
      </c>
      <c r="B70" s="57" t="e">
        <f t="shared" si="30"/>
        <v>#DIV/0!</v>
      </c>
      <c r="C70" s="57" t="e">
        <f t="shared" si="31"/>
        <v>#DIV/0!</v>
      </c>
      <c r="D70" s="57" t="e">
        <f t="shared" si="32"/>
        <v>#DIV/0!</v>
      </c>
      <c r="E70" s="57" t="e">
        <f t="shared" si="33"/>
        <v>#DIV/0!</v>
      </c>
      <c r="F70" s="57" t="e">
        <f t="shared" si="34"/>
        <v>#DIV/0!</v>
      </c>
      <c r="G70" s="57" t="e">
        <f t="shared" si="35"/>
        <v>#DIV/0!</v>
      </c>
      <c r="H70" s="57" t="e">
        <f t="shared" si="36"/>
        <v>#DIV/0!</v>
      </c>
      <c r="I70" s="57" t="e">
        <f t="shared" si="37"/>
        <v>#DIV/0!</v>
      </c>
      <c r="J70" s="57" t="e">
        <f t="shared" si="38"/>
        <v>#DIV/0!</v>
      </c>
      <c r="K70" s="57" t="e">
        <f t="shared" si="39"/>
        <v>#DIV/0!</v>
      </c>
      <c r="L70" s="57" t="e">
        <f t="shared" si="40"/>
        <v>#DIV/0!</v>
      </c>
      <c r="M70" s="57" t="e">
        <f t="shared" si="41"/>
        <v>#DIV/0!</v>
      </c>
      <c r="N70" s="57" t="e">
        <f t="shared" si="42"/>
        <v>#DIV/0!</v>
      </c>
      <c r="O70" s="58" t="e">
        <f>Links!B70</f>
        <v>#DIV/0!</v>
      </c>
      <c r="P70" s="58" t="e">
        <f>Links!C70+'On-Ramps'!AC70</f>
        <v>#DIV/0!</v>
      </c>
      <c r="Q70" s="58" t="e">
        <f>Links!D70</f>
        <v>#DIV/0!</v>
      </c>
      <c r="R70" s="58" t="e">
        <f>Links!E70+'On-Ramps'!AD70</f>
        <v>#DIV/0!</v>
      </c>
      <c r="S70" s="58" t="e">
        <f>Links!F70+'On-Ramps'!AE70</f>
        <v>#DIV/0!</v>
      </c>
      <c r="T70" s="58" t="e">
        <f>Links!I70+'On-Ramps'!AF70</f>
        <v>#DIV/0!</v>
      </c>
      <c r="U70" s="58" t="e">
        <f>Links!J70+'On-Ramps'!AG70</f>
        <v>#DIV/0!</v>
      </c>
      <c r="V70" s="58" t="e">
        <f>Links!L70+'On-Ramps'!AH70</f>
        <v>#DIV/0!</v>
      </c>
      <c r="W70" s="58" t="e">
        <f>Links!M70+'On-Ramps'!AI70</f>
        <v>#DIV/0!</v>
      </c>
      <c r="X70" s="58" t="e">
        <f>Links!P70+'On-Ramps'!AJ70</f>
        <v>#DIV/0!</v>
      </c>
      <c r="Y70" s="58" t="e">
        <f>Links!Q70</f>
        <v>#DIV/0!</v>
      </c>
      <c r="Z70" s="58" t="e">
        <f>Links!R70+'On-Ramps'!AK70</f>
        <v>#DIV/0!</v>
      </c>
      <c r="AA70" s="58" t="e">
        <f>Links!S70</f>
        <v>#DIV/0!</v>
      </c>
      <c r="AB70" s="57" t="e">
        <f t="shared" si="43"/>
        <v>#DIV/0!</v>
      </c>
      <c r="AC70" s="63"/>
      <c r="AD70" s="57" t="e">
        <f t="shared" si="44"/>
        <v>#DIV/0!</v>
      </c>
      <c r="AE70" s="63"/>
      <c r="AF70" s="57" t="e">
        <f t="shared" si="45"/>
        <v>#DIV/0!</v>
      </c>
      <c r="AG70" s="57" t="e">
        <f t="shared" si="46"/>
        <v>#DIV/0!</v>
      </c>
      <c r="AH70" s="57" t="e">
        <f t="shared" si="47"/>
        <v>#DIV/0!</v>
      </c>
      <c r="AI70" s="57" t="e">
        <f t="shared" si="48"/>
        <v>#DIV/0!</v>
      </c>
      <c r="AJ70" s="57" t="e">
        <f t="shared" si="49"/>
        <v>#DIV/0!</v>
      </c>
      <c r="AK70" s="57" t="e">
        <f t="shared" si="50"/>
        <v>#DIV/0!</v>
      </c>
      <c r="AL70" s="57" t="e">
        <f t="shared" si="51"/>
        <v>#DIV/0!</v>
      </c>
      <c r="AM70" s="63"/>
      <c r="AN70" s="57" t="e">
        <f t="shared" si="26"/>
        <v>#DIV/0!</v>
      </c>
      <c r="AO70" s="58" t="e">
        <f t="shared" si="29"/>
        <v>#DIV/0!</v>
      </c>
      <c r="AP70" s="63"/>
      <c r="AQ70" s="58" t="e">
        <f t="shared" si="28"/>
        <v>#DIV/0!</v>
      </c>
      <c r="AR70" s="63"/>
      <c r="AS70" s="58" t="e">
        <f t="shared" si="28"/>
        <v>#DIV/0!</v>
      </c>
      <c r="AT70" s="58" t="e">
        <f t="shared" si="28"/>
        <v>#DIV/0!</v>
      </c>
      <c r="AU70" s="58" t="e">
        <f t="shared" si="28"/>
        <v>#DIV/0!</v>
      </c>
      <c r="AV70" s="58" t="e">
        <f t="shared" si="28"/>
        <v>#DIV/0!</v>
      </c>
      <c r="AW70" s="58" t="e">
        <f t="shared" si="28"/>
        <v>#DIV/0!</v>
      </c>
      <c r="AX70" s="58" t="e">
        <f t="shared" si="28"/>
        <v>#DIV/0!</v>
      </c>
      <c r="AY70" s="58" t="e">
        <f t="shared" si="28"/>
        <v>#DIV/0!</v>
      </c>
      <c r="AZ70" s="63"/>
      <c r="BA70" s="58" t="e">
        <f t="shared" si="28"/>
        <v>#DIV/0!</v>
      </c>
      <c r="BB70" s="63"/>
      <c r="BC70" s="57" t="e">
        <f>(Links!C70*Links!AQ70+'On-Ramps'!AC70*'On-Ramps'!CE70)/('On-Ramps'!AC70+Links!C70)</f>
        <v>#DIV/0!</v>
      </c>
      <c r="BD70" s="63"/>
      <c r="BE70" s="57" t="e">
        <f>(Links!E70*Links!AS70+'On-Ramps'!AD70*'On-Ramps'!CF69)/('On-Ramps'!AD70+Links!E70)</f>
        <v>#DIV/0!</v>
      </c>
      <c r="BF70" s="57" t="e">
        <f>(Links!F70*Links!AT70+'On-Ramps'!AE70*'On-Ramps'!CG70)/('On-Ramps'!AE70+Links!F70)</f>
        <v>#DIV/0!</v>
      </c>
      <c r="BG70" s="57" t="e">
        <f>(Links!I70*Links!AW70+'On-Ramps'!AF70*'On-Ramps'!CH70)/('On-Ramps'!AF70+Links!I70)</f>
        <v>#DIV/0!</v>
      </c>
      <c r="BH70" s="57" t="e">
        <f>(#REF!*#REF!+'On-Ramps'!AG70*'On-Ramps'!CI70)/('On-Ramps'!AG70+#REF!)</f>
        <v>#REF!</v>
      </c>
      <c r="BI70" s="57" t="e">
        <f>(Links!L70*Links!AZ70+'On-Ramps'!AH70*'On-Ramps'!CJ70)/('On-Ramps'!AH70+Links!L70)</f>
        <v>#DIV/0!</v>
      </c>
      <c r="BJ70" s="57" t="e">
        <f>(Links!BA70*Links!M70+'On-Ramps'!AI70*'On-Ramps'!CK70)/('On-Ramps'!AI70+Links!M70)</f>
        <v>#DIV/0!</v>
      </c>
      <c r="BK70" s="57" t="e">
        <f>(Links!S70*Links!BG70+'On-Ramps'!AJ70*'On-Ramps'!CL70)/('On-Ramps'!AJ70+Links!S70)</f>
        <v>#DIV/0!</v>
      </c>
      <c r="BL70" s="63"/>
      <c r="BM70" s="57" t="e">
        <f>(Links!S70*Links!BG70+'On-Ramps'!AL70*'On-Ramps'!CM70)/(Links!S70+'On-Ramps'!AL70)</f>
        <v>#DIV/0!</v>
      </c>
      <c r="BN70" s="63"/>
      <c r="BO70" s="58" t="e">
        <f>(Links!W70^2+'Off-Ramp'!L70^2)/(Links!W70+'Off-Ramp'!L70)</f>
        <v>#DIV/0!</v>
      </c>
      <c r="BP70" s="63"/>
      <c r="BQ70" s="58" t="e">
        <f>(Links!Y70^2+'Off-Ramp'!C70^2)/(Links!Y70+'Off-Ramp'!C70)</f>
        <v>#DIV/0!</v>
      </c>
      <c r="BR70" s="63"/>
      <c r="BS70" s="58" t="e">
        <f>(Links!AA70^2+'Off-Ramp'!N70^2)/(Links!AA70+'Off-Ramp'!N70)</f>
        <v>#DIV/0!</v>
      </c>
      <c r="BT70" s="58" t="e">
        <f>(Links!AD70^2+'Off-Ramp'!O70^2)/(Links!AD70+'Off-Ramp'!O70)</f>
        <v>#DIV/0!</v>
      </c>
      <c r="BU70" s="58" t="e">
        <f>(Links!AE70^2+'Off-Ramp'!V70^2+'Off-Ramp'!W70^2+'Off-Ramp'!X70^2)/(Links!AE70+'Off-Ramp'!V70+'Off-Ramp'!W70+'Off-Ramp'!X70)</f>
        <v>#DIV/0!</v>
      </c>
      <c r="BV70" s="58" t="e">
        <f>(Links!AG70^2+'Off-Ramp'!Y70^2+'Off-Ramp'!Z70^2+'Off-Ramp'!AA70^2)/(Links!AG70+'Off-Ramp'!Y70+'Off-Ramp'!Z70+'Off-Ramp'!AA70)</f>
        <v>#DIV/0!</v>
      </c>
      <c r="BW70" s="58" t="e">
        <f>(Links!AH70^2+'Off-Ramp'!R70^2)/(Links!AH70+'Off-Ramp'!R70)</f>
        <v>#DIV/0!</v>
      </c>
      <c r="BX70" s="58" t="e">
        <f>(Links!AK70^2+'Off-Ramp'!S70^2)/(Links!AK70+'Off-Ramp'!S70)</f>
        <v>#DIV/0!</v>
      </c>
      <c r="BY70" s="58" t="e">
        <f>(Links!AL70^2+'Off-Ramp'!T70^2)/(Links!AL70+'Off-Ramp'!T70)</f>
        <v>#DIV/0!</v>
      </c>
      <c r="BZ70" s="63"/>
      <c r="CA70" s="58" t="e">
        <f>(Links!AN70^2+'Off-Ramp'!U70^2)/(Links!AN70+'Off-Ramp'!U70)</f>
        <v>#DIV/0!</v>
      </c>
    </row>
    <row r="71" spans="1:79" x14ac:dyDescent="0.15">
      <c r="A71" s="56">
        <v>69</v>
      </c>
      <c r="B71" s="57" t="e">
        <f t="shared" si="30"/>
        <v>#DIV/0!</v>
      </c>
      <c r="C71" s="57" t="e">
        <f t="shared" si="31"/>
        <v>#DIV/0!</v>
      </c>
      <c r="D71" s="57" t="e">
        <f t="shared" si="32"/>
        <v>#DIV/0!</v>
      </c>
      <c r="E71" s="57" t="e">
        <f t="shared" si="33"/>
        <v>#DIV/0!</v>
      </c>
      <c r="F71" s="57" t="e">
        <f t="shared" si="34"/>
        <v>#DIV/0!</v>
      </c>
      <c r="G71" s="57" t="e">
        <f t="shared" si="35"/>
        <v>#DIV/0!</v>
      </c>
      <c r="H71" s="57" t="e">
        <f t="shared" si="36"/>
        <v>#DIV/0!</v>
      </c>
      <c r="I71" s="57" t="e">
        <f t="shared" si="37"/>
        <v>#DIV/0!</v>
      </c>
      <c r="J71" s="57" t="e">
        <f t="shared" si="38"/>
        <v>#DIV/0!</v>
      </c>
      <c r="K71" s="57" t="e">
        <f t="shared" si="39"/>
        <v>#DIV/0!</v>
      </c>
      <c r="L71" s="57" t="e">
        <f t="shared" si="40"/>
        <v>#DIV/0!</v>
      </c>
      <c r="M71" s="57" t="e">
        <f t="shared" si="41"/>
        <v>#DIV/0!</v>
      </c>
      <c r="N71" s="57" t="e">
        <f t="shared" si="42"/>
        <v>#DIV/0!</v>
      </c>
      <c r="O71" s="58" t="e">
        <f>Links!B71</f>
        <v>#DIV/0!</v>
      </c>
      <c r="P71" s="58" t="e">
        <f>Links!C71+'On-Ramps'!AC71</f>
        <v>#DIV/0!</v>
      </c>
      <c r="Q71" s="58" t="e">
        <f>Links!D71</f>
        <v>#DIV/0!</v>
      </c>
      <c r="R71" s="58" t="e">
        <f>Links!E71+'On-Ramps'!AD71</f>
        <v>#DIV/0!</v>
      </c>
      <c r="S71" s="58" t="e">
        <f>Links!F71+'On-Ramps'!AE71</f>
        <v>#DIV/0!</v>
      </c>
      <c r="T71" s="58" t="e">
        <f>Links!I71+'On-Ramps'!AF71</f>
        <v>#DIV/0!</v>
      </c>
      <c r="U71" s="58" t="e">
        <f>Links!J71+'On-Ramps'!AG71</f>
        <v>#DIV/0!</v>
      </c>
      <c r="V71" s="58" t="e">
        <f>Links!L71+'On-Ramps'!AH71</f>
        <v>#DIV/0!</v>
      </c>
      <c r="W71" s="58" t="e">
        <f>Links!M71+'On-Ramps'!AI71</f>
        <v>#DIV/0!</v>
      </c>
      <c r="X71" s="58" t="e">
        <f>Links!P71+'On-Ramps'!AJ71</f>
        <v>#DIV/0!</v>
      </c>
      <c r="Y71" s="58" t="e">
        <f>Links!Q71</f>
        <v>#DIV/0!</v>
      </c>
      <c r="Z71" s="58" t="e">
        <f>Links!R71+'On-Ramps'!AK71</f>
        <v>#DIV/0!</v>
      </c>
      <c r="AA71" s="58" t="e">
        <f>Links!S71</f>
        <v>#DIV/0!</v>
      </c>
      <c r="AB71" s="57" t="e">
        <f t="shared" si="43"/>
        <v>#DIV/0!</v>
      </c>
      <c r="AC71" s="63"/>
      <c r="AD71" s="57" t="e">
        <f t="shared" si="44"/>
        <v>#DIV/0!</v>
      </c>
      <c r="AE71" s="63"/>
      <c r="AF71" s="57" t="e">
        <f t="shared" si="45"/>
        <v>#DIV/0!</v>
      </c>
      <c r="AG71" s="57" t="e">
        <f t="shared" si="46"/>
        <v>#DIV/0!</v>
      </c>
      <c r="AH71" s="57" t="e">
        <f t="shared" si="47"/>
        <v>#DIV/0!</v>
      </c>
      <c r="AI71" s="57" t="e">
        <f t="shared" si="48"/>
        <v>#DIV/0!</v>
      </c>
      <c r="AJ71" s="57" t="e">
        <f t="shared" si="49"/>
        <v>#DIV/0!</v>
      </c>
      <c r="AK71" s="57" t="e">
        <f t="shared" si="50"/>
        <v>#DIV/0!</v>
      </c>
      <c r="AL71" s="57" t="e">
        <f t="shared" si="51"/>
        <v>#DIV/0!</v>
      </c>
      <c r="AM71" s="63"/>
      <c r="AN71" s="57" t="e">
        <f t="shared" si="26"/>
        <v>#DIV/0!</v>
      </c>
      <c r="AO71" s="58" t="e">
        <f t="shared" si="29"/>
        <v>#DIV/0!</v>
      </c>
      <c r="AP71" s="63"/>
      <c r="AQ71" s="58" t="e">
        <f t="shared" si="28"/>
        <v>#DIV/0!</v>
      </c>
      <c r="AR71" s="63"/>
      <c r="AS71" s="58" t="e">
        <f t="shared" si="28"/>
        <v>#DIV/0!</v>
      </c>
      <c r="AT71" s="58" t="e">
        <f t="shared" si="28"/>
        <v>#DIV/0!</v>
      </c>
      <c r="AU71" s="58" t="e">
        <f t="shared" si="28"/>
        <v>#DIV/0!</v>
      </c>
      <c r="AV71" s="58" t="e">
        <f t="shared" si="28"/>
        <v>#DIV/0!</v>
      </c>
      <c r="AW71" s="58" t="e">
        <f t="shared" si="28"/>
        <v>#DIV/0!</v>
      </c>
      <c r="AX71" s="58" t="e">
        <f t="shared" si="28"/>
        <v>#DIV/0!</v>
      </c>
      <c r="AY71" s="58" t="e">
        <f t="shared" si="28"/>
        <v>#DIV/0!</v>
      </c>
      <c r="AZ71" s="63"/>
      <c r="BA71" s="58" t="e">
        <f t="shared" si="28"/>
        <v>#DIV/0!</v>
      </c>
      <c r="BB71" s="63"/>
      <c r="BC71" s="57" t="e">
        <f>(Links!C71*Links!AQ71+'On-Ramps'!AC71*'On-Ramps'!CE71)/('On-Ramps'!AC71+Links!C71)</f>
        <v>#DIV/0!</v>
      </c>
      <c r="BD71" s="63"/>
      <c r="BE71" s="57" t="e">
        <f>(Links!E71*Links!AS71+'On-Ramps'!AD71*'On-Ramps'!CF70)/('On-Ramps'!AD71+Links!E71)</f>
        <v>#DIV/0!</v>
      </c>
      <c r="BF71" s="57" t="e">
        <f>(Links!F71*Links!AT71+'On-Ramps'!AE71*'On-Ramps'!CG71)/('On-Ramps'!AE71+Links!F71)</f>
        <v>#DIV/0!</v>
      </c>
      <c r="BG71" s="57" t="e">
        <f>(Links!I71*Links!AW71+'On-Ramps'!AF71*'On-Ramps'!CH71)/('On-Ramps'!AF71+Links!I71)</f>
        <v>#DIV/0!</v>
      </c>
      <c r="BH71" s="57" t="e">
        <f>(#REF!*#REF!+'On-Ramps'!AG71*'On-Ramps'!CI71)/('On-Ramps'!AG71+#REF!)</f>
        <v>#REF!</v>
      </c>
      <c r="BI71" s="57" t="e">
        <f>(Links!L71*Links!AZ71+'On-Ramps'!AH71*'On-Ramps'!CJ71)/('On-Ramps'!AH71+Links!L71)</f>
        <v>#DIV/0!</v>
      </c>
      <c r="BJ71" s="57" t="e">
        <f>(Links!BA71*Links!M71+'On-Ramps'!AI71*'On-Ramps'!CK71)/('On-Ramps'!AI71+Links!M71)</f>
        <v>#DIV/0!</v>
      </c>
      <c r="BK71" s="57" t="e">
        <f>(Links!S71*Links!BG71+'On-Ramps'!AJ71*'On-Ramps'!CL71)/('On-Ramps'!AJ71+Links!S71)</f>
        <v>#DIV/0!</v>
      </c>
      <c r="BL71" s="63"/>
      <c r="BM71" s="57" t="e">
        <f>(Links!S71*Links!BG71+'On-Ramps'!AL71*'On-Ramps'!CM71)/(Links!S71+'On-Ramps'!AL71)</f>
        <v>#DIV/0!</v>
      </c>
      <c r="BN71" s="63"/>
      <c r="BO71" s="58" t="e">
        <f>(Links!W71^2+'Off-Ramp'!L71^2)/(Links!W71+'Off-Ramp'!L71)</f>
        <v>#DIV/0!</v>
      </c>
      <c r="BP71" s="63"/>
      <c r="BQ71" s="58" t="e">
        <f>(Links!Y71^2+'Off-Ramp'!C71^2)/(Links!Y71+'Off-Ramp'!C71)</f>
        <v>#DIV/0!</v>
      </c>
      <c r="BR71" s="63"/>
      <c r="BS71" s="58" t="e">
        <f>(Links!AA71^2+'Off-Ramp'!N71^2)/(Links!AA71+'Off-Ramp'!N71)</f>
        <v>#DIV/0!</v>
      </c>
      <c r="BT71" s="58" t="e">
        <f>(Links!AD71^2+'Off-Ramp'!O71^2)/(Links!AD71+'Off-Ramp'!O71)</f>
        <v>#DIV/0!</v>
      </c>
      <c r="BU71" s="58" t="e">
        <f>(Links!AE71^2+'Off-Ramp'!V71^2+'Off-Ramp'!W71^2+'Off-Ramp'!X71^2)/(Links!AE71+'Off-Ramp'!V71+'Off-Ramp'!W71+'Off-Ramp'!X71)</f>
        <v>#DIV/0!</v>
      </c>
      <c r="BV71" s="58" t="e">
        <f>(Links!AG71^2+'Off-Ramp'!Y71^2+'Off-Ramp'!Z71^2+'Off-Ramp'!AA71^2)/(Links!AG71+'Off-Ramp'!Y71+'Off-Ramp'!Z71+'Off-Ramp'!AA71)</f>
        <v>#DIV/0!</v>
      </c>
      <c r="BW71" s="58" t="e">
        <f>(Links!AH71^2+'Off-Ramp'!R71^2)/(Links!AH71+'Off-Ramp'!R71)</f>
        <v>#DIV/0!</v>
      </c>
      <c r="BX71" s="58" t="e">
        <f>(Links!AK71^2+'Off-Ramp'!S71^2)/(Links!AK71+'Off-Ramp'!S71)</f>
        <v>#DIV/0!</v>
      </c>
      <c r="BY71" s="58" t="e">
        <f>(Links!AL71^2+'Off-Ramp'!T71^2)/(Links!AL71+'Off-Ramp'!T71)</f>
        <v>#DIV/0!</v>
      </c>
      <c r="BZ71" s="63"/>
      <c r="CA71" s="58" t="e">
        <f>(Links!AN71^2+'Off-Ramp'!U71^2)/(Links!AN71+'Off-Ramp'!U71)</f>
        <v>#DIV/0!</v>
      </c>
    </row>
    <row r="72" spans="1:79" x14ac:dyDescent="0.15">
      <c r="A72" s="56">
        <v>70</v>
      </c>
      <c r="B72" s="57" t="e">
        <f t="shared" si="30"/>
        <v>#DIV/0!</v>
      </c>
      <c r="C72" s="57" t="e">
        <f t="shared" si="31"/>
        <v>#DIV/0!</v>
      </c>
      <c r="D72" s="57" t="e">
        <f t="shared" si="32"/>
        <v>#DIV/0!</v>
      </c>
      <c r="E72" s="57" t="e">
        <f t="shared" si="33"/>
        <v>#DIV/0!</v>
      </c>
      <c r="F72" s="57" t="e">
        <f t="shared" si="34"/>
        <v>#DIV/0!</v>
      </c>
      <c r="G72" s="57" t="e">
        <f t="shared" si="35"/>
        <v>#DIV/0!</v>
      </c>
      <c r="H72" s="57" t="e">
        <f t="shared" si="36"/>
        <v>#DIV/0!</v>
      </c>
      <c r="I72" s="57" t="e">
        <f t="shared" si="37"/>
        <v>#DIV/0!</v>
      </c>
      <c r="J72" s="57" t="e">
        <f t="shared" si="38"/>
        <v>#DIV/0!</v>
      </c>
      <c r="K72" s="57" t="e">
        <f t="shared" si="39"/>
        <v>#DIV/0!</v>
      </c>
      <c r="L72" s="57" t="e">
        <f t="shared" si="40"/>
        <v>#DIV/0!</v>
      </c>
      <c r="M72" s="57" t="e">
        <f t="shared" si="41"/>
        <v>#DIV/0!</v>
      </c>
      <c r="N72" s="57" t="e">
        <f t="shared" si="42"/>
        <v>#DIV/0!</v>
      </c>
      <c r="O72" s="58" t="e">
        <f>Links!B72</f>
        <v>#DIV/0!</v>
      </c>
      <c r="P72" s="58" t="e">
        <f>Links!C72+'On-Ramps'!AC72</f>
        <v>#DIV/0!</v>
      </c>
      <c r="Q72" s="58" t="e">
        <f>Links!D72</f>
        <v>#DIV/0!</v>
      </c>
      <c r="R72" s="58" t="e">
        <f>Links!E72+'On-Ramps'!AD72</f>
        <v>#DIV/0!</v>
      </c>
      <c r="S72" s="58" t="e">
        <f>Links!F72+'On-Ramps'!AE72</f>
        <v>#DIV/0!</v>
      </c>
      <c r="T72" s="58" t="e">
        <f>Links!I72+'On-Ramps'!AF72</f>
        <v>#DIV/0!</v>
      </c>
      <c r="U72" s="58" t="e">
        <f>Links!J72+'On-Ramps'!AG72</f>
        <v>#DIV/0!</v>
      </c>
      <c r="V72" s="58" t="e">
        <f>Links!L72+'On-Ramps'!AH72</f>
        <v>#DIV/0!</v>
      </c>
      <c r="W72" s="58" t="e">
        <f>Links!M72+'On-Ramps'!AI72</f>
        <v>#DIV/0!</v>
      </c>
      <c r="X72" s="58" t="e">
        <f>Links!P72+'On-Ramps'!AJ72</f>
        <v>#DIV/0!</v>
      </c>
      <c r="Y72" s="58" t="e">
        <f>Links!Q72</f>
        <v>#DIV/0!</v>
      </c>
      <c r="Z72" s="58" t="e">
        <f>Links!R72+'On-Ramps'!AK72</f>
        <v>#DIV/0!</v>
      </c>
      <c r="AA72" s="58" t="e">
        <f>Links!S72</f>
        <v>#DIV/0!</v>
      </c>
      <c r="AB72" s="57" t="e">
        <f t="shared" si="43"/>
        <v>#DIV/0!</v>
      </c>
      <c r="AC72" s="63"/>
      <c r="AD72" s="57" t="e">
        <f t="shared" si="44"/>
        <v>#DIV/0!</v>
      </c>
      <c r="AE72" s="63"/>
      <c r="AF72" s="57" t="e">
        <f t="shared" si="45"/>
        <v>#DIV/0!</v>
      </c>
      <c r="AG72" s="57" t="e">
        <f t="shared" si="46"/>
        <v>#DIV/0!</v>
      </c>
      <c r="AH72" s="57" t="e">
        <f t="shared" si="47"/>
        <v>#DIV/0!</v>
      </c>
      <c r="AI72" s="57" t="e">
        <f t="shared" si="48"/>
        <v>#DIV/0!</v>
      </c>
      <c r="AJ72" s="57" t="e">
        <f t="shared" si="49"/>
        <v>#DIV/0!</v>
      </c>
      <c r="AK72" s="57" t="e">
        <f t="shared" si="50"/>
        <v>#DIV/0!</v>
      </c>
      <c r="AL72" s="57" t="e">
        <f t="shared" si="51"/>
        <v>#DIV/0!</v>
      </c>
      <c r="AM72" s="63"/>
      <c r="AN72" s="57" t="e">
        <f t="shared" si="26"/>
        <v>#DIV/0!</v>
      </c>
      <c r="AO72" s="58" t="e">
        <f t="shared" si="29"/>
        <v>#DIV/0!</v>
      </c>
      <c r="AP72" s="63"/>
      <c r="AQ72" s="58" t="e">
        <f t="shared" si="28"/>
        <v>#DIV/0!</v>
      </c>
      <c r="AR72" s="63"/>
      <c r="AS72" s="58" t="e">
        <f t="shared" si="28"/>
        <v>#DIV/0!</v>
      </c>
      <c r="AT72" s="58" t="e">
        <f t="shared" si="28"/>
        <v>#DIV/0!</v>
      </c>
      <c r="AU72" s="58" t="e">
        <f t="shared" si="28"/>
        <v>#DIV/0!</v>
      </c>
      <c r="AV72" s="58" t="e">
        <f t="shared" si="28"/>
        <v>#DIV/0!</v>
      </c>
      <c r="AW72" s="58" t="e">
        <f t="shared" si="28"/>
        <v>#DIV/0!</v>
      </c>
      <c r="AX72" s="58" t="e">
        <f t="shared" si="28"/>
        <v>#DIV/0!</v>
      </c>
      <c r="AY72" s="58" t="e">
        <f t="shared" si="28"/>
        <v>#DIV/0!</v>
      </c>
      <c r="AZ72" s="63"/>
      <c r="BA72" s="58" t="e">
        <f t="shared" si="28"/>
        <v>#DIV/0!</v>
      </c>
      <c r="BB72" s="63"/>
      <c r="BC72" s="57" t="e">
        <f>(Links!C72*Links!AQ72+'On-Ramps'!AC72*'On-Ramps'!CE72)/('On-Ramps'!AC72+Links!C72)</f>
        <v>#DIV/0!</v>
      </c>
      <c r="BD72" s="63"/>
      <c r="BE72" s="57" t="e">
        <f>(Links!E72*Links!AS72+'On-Ramps'!AD72*'On-Ramps'!CF71)/('On-Ramps'!AD72+Links!E72)</f>
        <v>#DIV/0!</v>
      </c>
      <c r="BF72" s="57" t="e">
        <f>(Links!F72*Links!AT72+'On-Ramps'!AE72*'On-Ramps'!CG72)/('On-Ramps'!AE72+Links!F72)</f>
        <v>#DIV/0!</v>
      </c>
      <c r="BG72" s="57" t="e">
        <f>(Links!I72*Links!AW72+'On-Ramps'!AF72*'On-Ramps'!CH72)/('On-Ramps'!AF72+Links!I72)</f>
        <v>#DIV/0!</v>
      </c>
      <c r="BH72" s="57" t="e">
        <f>(#REF!*#REF!+'On-Ramps'!AG72*'On-Ramps'!CI72)/('On-Ramps'!AG72+#REF!)</f>
        <v>#REF!</v>
      </c>
      <c r="BI72" s="57" t="e">
        <f>(Links!L72*Links!AZ72+'On-Ramps'!AH72*'On-Ramps'!CJ72)/('On-Ramps'!AH72+Links!L72)</f>
        <v>#DIV/0!</v>
      </c>
      <c r="BJ72" s="57" t="e">
        <f>(Links!BA72*Links!M72+'On-Ramps'!AI72*'On-Ramps'!CK72)/('On-Ramps'!AI72+Links!M72)</f>
        <v>#DIV/0!</v>
      </c>
      <c r="BK72" s="57" t="e">
        <f>(Links!S72*Links!BG72+'On-Ramps'!AJ72*'On-Ramps'!CL72)/('On-Ramps'!AJ72+Links!S72)</f>
        <v>#DIV/0!</v>
      </c>
      <c r="BL72" s="63"/>
      <c r="BM72" s="57" t="e">
        <f>(Links!S72*Links!BG72+'On-Ramps'!AL72*'On-Ramps'!CM72)/(Links!S72+'On-Ramps'!AL72)</f>
        <v>#DIV/0!</v>
      </c>
      <c r="BN72" s="63"/>
      <c r="BO72" s="58" t="e">
        <f>(Links!W72^2+'Off-Ramp'!L72^2)/(Links!W72+'Off-Ramp'!L72)</f>
        <v>#DIV/0!</v>
      </c>
      <c r="BP72" s="63"/>
      <c r="BQ72" s="58" t="e">
        <f>(Links!Y72^2+'Off-Ramp'!C72^2)/(Links!Y72+'Off-Ramp'!C72)</f>
        <v>#DIV/0!</v>
      </c>
      <c r="BR72" s="63"/>
      <c r="BS72" s="58" t="e">
        <f>(Links!AA72^2+'Off-Ramp'!N72^2)/(Links!AA72+'Off-Ramp'!N72)</f>
        <v>#DIV/0!</v>
      </c>
      <c r="BT72" s="58" t="e">
        <f>(Links!AD72^2+'Off-Ramp'!O72^2)/(Links!AD72+'Off-Ramp'!O72)</f>
        <v>#DIV/0!</v>
      </c>
      <c r="BU72" s="58" t="e">
        <f>(Links!AE72^2+'Off-Ramp'!V72^2+'Off-Ramp'!W72^2+'Off-Ramp'!X72^2)/(Links!AE72+'Off-Ramp'!V72+'Off-Ramp'!W72+'Off-Ramp'!X72)</f>
        <v>#DIV/0!</v>
      </c>
      <c r="BV72" s="58" t="e">
        <f>(Links!AG72^2+'Off-Ramp'!Y72^2+'Off-Ramp'!Z72^2+'Off-Ramp'!AA72^2)/(Links!AG72+'Off-Ramp'!Y72+'Off-Ramp'!Z72+'Off-Ramp'!AA72)</f>
        <v>#DIV/0!</v>
      </c>
      <c r="BW72" s="58" t="e">
        <f>(Links!AH72^2+'Off-Ramp'!R72^2)/(Links!AH72+'Off-Ramp'!R72)</f>
        <v>#DIV/0!</v>
      </c>
      <c r="BX72" s="58" t="e">
        <f>(Links!AK72^2+'Off-Ramp'!S72^2)/(Links!AK72+'Off-Ramp'!S72)</f>
        <v>#DIV/0!</v>
      </c>
      <c r="BY72" s="58" t="e">
        <f>(Links!AL72^2+'Off-Ramp'!T72^2)/(Links!AL72+'Off-Ramp'!T72)</f>
        <v>#DIV/0!</v>
      </c>
      <c r="BZ72" s="63"/>
      <c r="CA72" s="58" t="e">
        <f>(Links!AN72^2+'Off-Ramp'!U72^2)/(Links!AN72+'Off-Ramp'!U72)</f>
        <v>#DIV/0!</v>
      </c>
    </row>
    <row r="73" spans="1:79" x14ac:dyDescent="0.15">
      <c r="A73" s="56">
        <v>71</v>
      </c>
      <c r="B73" s="57" t="e">
        <f t="shared" si="30"/>
        <v>#DIV/0!</v>
      </c>
      <c r="C73" s="57" t="e">
        <f t="shared" si="31"/>
        <v>#DIV/0!</v>
      </c>
      <c r="D73" s="57" t="e">
        <f t="shared" si="32"/>
        <v>#DIV/0!</v>
      </c>
      <c r="E73" s="57" t="e">
        <f t="shared" si="33"/>
        <v>#DIV/0!</v>
      </c>
      <c r="F73" s="57" t="e">
        <f t="shared" si="34"/>
        <v>#DIV/0!</v>
      </c>
      <c r="G73" s="57" t="e">
        <f t="shared" si="35"/>
        <v>#DIV/0!</v>
      </c>
      <c r="H73" s="57" t="e">
        <f t="shared" si="36"/>
        <v>#DIV/0!</v>
      </c>
      <c r="I73" s="57" t="e">
        <f t="shared" si="37"/>
        <v>#DIV/0!</v>
      </c>
      <c r="J73" s="57" t="e">
        <f t="shared" si="38"/>
        <v>#DIV/0!</v>
      </c>
      <c r="K73" s="57" t="e">
        <f t="shared" si="39"/>
        <v>#DIV/0!</v>
      </c>
      <c r="L73" s="57" t="e">
        <f t="shared" si="40"/>
        <v>#DIV/0!</v>
      </c>
      <c r="M73" s="57" t="e">
        <f t="shared" si="41"/>
        <v>#DIV/0!</v>
      </c>
      <c r="N73" s="57" t="e">
        <f t="shared" si="42"/>
        <v>#DIV/0!</v>
      </c>
      <c r="O73" s="58" t="e">
        <f>Links!B73</f>
        <v>#DIV/0!</v>
      </c>
      <c r="P73" s="58" t="e">
        <f>Links!C73+'On-Ramps'!AC73</f>
        <v>#DIV/0!</v>
      </c>
      <c r="Q73" s="58" t="e">
        <f>Links!D73</f>
        <v>#DIV/0!</v>
      </c>
      <c r="R73" s="58" t="e">
        <f>Links!E73+'On-Ramps'!AD73</f>
        <v>#DIV/0!</v>
      </c>
      <c r="S73" s="58" t="e">
        <f>Links!F73+'On-Ramps'!AE73</f>
        <v>#DIV/0!</v>
      </c>
      <c r="T73" s="58" t="e">
        <f>Links!I73+'On-Ramps'!AF73</f>
        <v>#DIV/0!</v>
      </c>
      <c r="U73" s="58" t="e">
        <f>Links!J73+'On-Ramps'!AG73</f>
        <v>#DIV/0!</v>
      </c>
      <c r="V73" s="58" t="e">
        <f>Links!L73+'On-Ramps'!AH73</f>
        <v>#DIV/0!</v>
      </c>
      <c r="W73" s="58" t="e">
        <f>Links!M73+'On-Ramps'!AI73</f>
        <v>#DIV/0!</v>
      </c>
      <c r="X73" s="58" t="e">
        <f>Links!P73+'On-Ramps'!AJ73</f>
        <v>#DIV/0!</v>
      </c>
      <c r="Y73" s="58" t="e">
        <f>Links!Q73</f>
        <v>#DIV/0!</v>
      </c>
      <c r="Z73" s="58" t="e">
        <f>Links!R73+'On-Ramps'!AK73</f>
        <v>#DIV/0!</v>
      </c>
      <c r="AA73" s="58" t="e">
        <f>Links!S73</f>
        <v>#DIV/0!</v>
      </c>
      <c r="AB73" s="57" t="e">
        <f t="shared" si="43"/>
        <v>#DIV/0!</v>
      </c>
      <c r="AC73" s="63"/>
      <c r="AD73" s="57" t="e">
        <f t="shared" si="44"/>
        <v>#DIV/0!</v>
      </c>
      <c r="AE73" s="63"/>
      <c r="AF73" s="57" t="e">
        <f t="shared" si="45"/>
        <v>#DIV/0!</v>
      </c>
      <c r="AG73" s="57" t="e">
        <f t="shared" si="46"/>
        <v>#DIV/0!</v>
      </c>
      <c r="AH73" s="57" t="e">
        <f t="shared" si="47"/>
        <v>#DIV/0!</v>
      </c>
      <c r="AI73" s="57" t="e">
        <f t="shared" si="48"/>
        <v>#DIV/0!</v>
      </c>
      <c r="AJ73" s="57" t="e">
        <f t="shared" si="49"/>
        <v>#DIV/0!</v>
      </c>
      <c r="AK73" s="57" t="e">
        <f t="shared" si="50"/>
        <v>#DIV/0!</v>
      </c>
      <c r="AL73" s="57" t="e">
        <f t="shared" si="51"/>
        <v>#DIV/0!</v>
      </c>
      <c r="AM73" s="63"/>
      <c r="AN73" s="57" t="e">
        <f t="shared" si="26"/>
        <v>#DIV/0!</v>
      </c>
      <c r="AO73" s="58" t="e">
        <f t="shared" si="29"/>
        <v>#DIV/0!</v>
      </c>
      <c r="AP73" s="63"/>
      <c r="AQ73" s="58" t="e">
        <f t="shared" si="28"/>
        <v>#DIV/0!</v>
      </c>
      <c r="AR73" s="63"/>
      <c r="AS73" s="58" t="e">
        <f t="shared" si="28"/>
        <v>#DIV/0!</v>
      </c>
      <c r="AT73" s="58" t="e">
        <f t="shared" si="28"/>
        <v>#DIV/0!</v>
      </c>
      <c r="AU73" s="58" t="e">
        <f t="shared" si="28"/>
        <v>#DIV/0!</v>
      </c>
      <c r="AV73" s="58" t="e">
        <f t="shared" si="28"/>
        <v>#DIV/0!</v>
      </c>
      <c r="AW73" s="58" t="e">
        <f t="shared" si="28"/>
        <v>#DIV/0!</v>
      </c>
      <c r="AX73" s="58" t="e">
        <f t="shared" si="28"/>
        <v>#DIV/0!</v>
      </c>
      <c r="AY73" s="58" t="e">
        <f t="shared" si="28"/>
        <v>#DIV/0!</v>
      </c>
      <c r="AZ73" s="63"/>
      <c r="BA73" s="58" t="e">
        <f t="shared" si="28"/>
        <v>#DIV/0!</v>
      </c>
      <c r="BB73" s="63"/>
      <c r="BC73" s="57" t="e">
        <f>(Links!C73*Links!AQ73+'On-Ramps'!AC73*'On-Ramps'!CE73)/('On-Ramps'!AC73+Links!C73)</f>
        <v>#DIV/0!</v>
      </c>
      <c r="BD73" s="63"/>
      <c r="BE73" s="57" t="e">
        <f>(Links!E73*Links!AS73+'On-Ramps'!AD73*'On-Ramps'!CF72)/('On-Ramps'!AD73+Links!E73)</f>
        <v>#DIV/0!</v>
      </c>
      <c r="BF73" s="57" t="e">
        <f>(Links!F73*Links!AT73+'On-Ramps'!AE73*'On-Ramps'!CG73)/('On-Ramps'!AE73+Links!F73)</f>
        <v>#DIV/0!</v>
      </c>
      <c r="BG73" s="57" t="e">
        <f>(Links!I73*Links!AW73+'On-Ramps'!AF73*'On-Ramps'!CH73)/('On-Ramps'!AF73+Links!I73)</f>
        <v>#DIV/0!</v>
      </c>
      <c r="BH73" s="57" t="e">
        <f>(#REF!*#REF!+'On-Ramps'!AG73*'On-Ramps'!CI73)/('On-Ramps'!AG73+#REF!)</f>
        <v>#REF!</v>
      </c>
      <c r="BI73" s="57" t="e">
        <f>(Links!L73*Links!AZ73+'On-Ramps'!AH73*'On-Ramps'!CJ73)/('On-Ramps'!AH73+Links!L73)</f>
        <v>#DIV/0!</v>
      </c>
      <c r="BJ73" s="57" t="e">
        <f>(Links!BA73*Links!M73+'On-Ramps'!AI73*'On-Ramps'!CK73)/('On-Ramps'!AI73+Links!M73)</f>
        <v>#DIV/0!</v>
      </c>
      <c r="BK73" s="57" t="e">
        <f>(Links!S73*Links!BG73+'On-Ramps'!AJ73*'On-Ramps'!CL73)/('On-Ramps'!AJ73+Links!S73)</f>
        <v>#DIV/0!</v>
      </c>
      <c r="BL73" s="63"/>
      <c r="BM73" s="57" t="e">
        <f>(Links!S73*Links!BG73+'On-Ramps'!AL73*'On-Ramps'!CM73)/(Links!S73+'On-Ramps'!AL73)</f>
        <v>#DIV/0!</v>
      </c>
      <c r="BN73" s="63"/>
      <c r="BO73" s="58" t="e">
        <f>(Links!W73^2+'Off-Ramp'!L73^2)/(Links!W73+'Off-Ramp'!L73)</f>
        <v>#DIV/0!</v>
      </c>
      <c r="BP73" s="63"/>
      <c r="BQ73" s="58" t="e">
        <f>(Links!Y73^2+'Off-Ramp'!C73^2)/(Links!Y73+'Off-Ramp'!C73)</f>
        <v>#DIV/0!</v>
      </c>
      <c r="BR73" s="63"/>
      <c r="BS73" s="58" t="e">
        <f>(Links!AA73^2+'Off-Ramp'!N73^2)/(Links!AA73+'Off-Ramp'!N73)</f>
        <v>#DIV/0!</v>
      </c>
      <c r="BT73" s="58" t="e">
        <f>(Links!AD73^2+'Off-Ramp'!O73^2)/(Links!AD73+'Off-Ramp'!O73)</f>
        <v>#DIV/0!</v>
      </c>
      <c r="BU73" s="58" t="e">
        <f>(Links!AE73^2+'Off-Ramp'!V73^2+'Off-Ramp'!W73^2+'Off-Ramp'!X73^2)/(Links!AE73+'Off-Ramp'!V73+'Off-Ramp'!W73+'Off-Ramp'!X73)</f>
        <v>#DIV/0!</v>
      </c>
      <c r="BV73" s="58" t="e">
        <f>(Links!AG73^2+'Off-Ramp'!Y73^2+'Off-Ramp'!Z73^2+'Off-Ramp'!AA73^2)/(Links!AG73+'Off-Ramp'!Y73+'Off-Ramp'!Z73+'Off-Ramp'!AA73)</f>
        <v>#DIV/0!</v>
      </c>
      <c r="BW73" s="58" t="e">
        <f>(Links!AH73^2+'Off-Ramp'!R73^2)/(Links!AH73+'Off-Ramp'!R73)</f>
        <v>#DIV/0!</v>
      </c>
      <c r="BX73" s="58" t="e">
        <f>(Links!AK73^2+'Off-Ramp'!S73^2)/(Links!AK73+'Off-Ramp'!S73)</f>
        <v>#DIV/0!</v>
      </c>
      <c r="BY73" s="58" t="e">
        <f>(Links!AL73^2+'Off-Ramp'!T73^2)/(Links!AL73+'Off-Ramp'!T73)</f>
        <v>#DIV/0!</v>
      </c>
      <c r="BZ73" s="63"/>
      <c r="CA73" s="58" t="e">
        <f>(Links!AN73^2+'Off-Ramp'!U73^2)/(Links!AN73+'Off-Ramp'!U73)</f>
        <v>#DIV/0!</v>
      </c>
    </row>
    <row r="74" spans="1:79" x14ac:dyDescent="0.15">
      <c r="A74" s="56">
        <v>72</v>
      </c>
      <c r="B74" s="57" t="e">
        <f t="shared" si="30"/>
        <v>#DIV/0!</v>
      </c>
      <c r="C74" s="57" t="e">
        <f t="shared" si="31"/>
        <v>#DIV/0!</v>
      </c>
      <c r="D74" s="57" t="e">
        <f t="shared" si="32"/>
        <v>#DIV/0!</v>
      </c>
      <c r="E74" s="57" t="e">
        <f t="shared" si="33"/>
        <v>#DIV/0!</v>
      </c>
      <c r="F74" s="57" t="e">
        <f t="shared" si="34"/>
        <v>#DIV/0!</v>
      </c>
      <c r="G74" s="57" t="e">
        <f t="shared" si="35"/>
        <v>#DIV/0!</v>
      </c>
      <c r="H74" s="57" t="e">
        <f t="shared" si="36"/>
        <v>#DIV/0!</v>
      </c>
      <c r="I74" s="57" t="e">
        <f t="shared" si="37"/>
        <v>#DIV/0!</v>
      </c>
      <c r="J74" s="57" t="e">
        <f t="shared" si="38"/>
        <v>#DIV/0!</v>
      </c>
      <c r="K74" s="57" t="e">
        <f t="shared" si="39"/>
        <v>#DIV/0!</v>
      </c>
      <c r="L74" s="57" t="e">
        <f t="shared" si="40"/>
        <v>#DIV/0!</v>
      </c>
      <c r="M74" s="57" t="e">
        <f t="shared" si="41"/>
        <v>#DIV/0!</v>
      </c>
      <c r="N74" s="57" t="e">
        <f t="shared" si="42"/>
        <v>#DIV/0!</v>
      </c>
      <c r="O74" s="58" t="e">
        <f>Links!B74</f>
        <v>#DIV/0!</v>
      </c>
      <c r="P74" s="58" t="e">
        <f>Links!C74+'On-Ramps'!AC74</f>
        <v>#DIV/0!</v>
      </c>
      <c r="Q74" s="58" t="e">
        <f>Links!D74</f>
        <v>#DIV/0!</v>
      </c>
      <c r="R74" s="58" t="e">
        <f>Links!E74+'On-Ramps'!AD74</f>
        <v>#DIV/0!</v>
      </c>
      <c r="S74" s="58" t="e">
        <f>Links!F74+'On-Ramps'!AE74</f>
        <v>#DIV/0!</v>
      </c>
      <c r="T74" s="58" t="e">
        <f>Links!I74+'On-Ramps'!AF74</f>
        <v>#DIV/0!</v>
      </c>
      <c r="U74" s="58" t="e">
        <f>Links!J74+'On-Ramps'!AG74</f>
        <v>#DIV/0!</v>
      </c>
      <c r="V74" s="58" t="e">
        <f>Links!L74+'On-Ramps'!AH74</f>
        <v>#DIV/0!</v>
      </c>
      <c r="W74" s="58" t="e">
        <f>Links!M74+'On-Ramps'!AI74</f>
        <v>#DIV/0!</v>
      </c>
      <c r="X74" s="58" t="e">
        <f>Links!P74+'On-Ramps'!AJ74</f>
        <v>#DIV/0!</v>
      </c>
      <c r="Y74" s="58" t="e">
        <f>Links!Q74</f>
        <v>#DIV/0!</v>
      </c>
      <c r="Z74" s="58" t="e">
        <f>Links!R74+'On-Ramps'!AK74</f>
        <v>#DIV/0!</v>
      </c>
      <c r="AA74" s="58" t="e">
        <f>Links!S74</f>
        <v>#DIV/0!</v>
      </c>
      <c r="AB74" s="57" t="e">
        <f t="shared" si="43"/>
        <v>#DIV/0!</v>
      </c>
      <c r="AC74" s="63"/>
      <c r="AD74" s="57" t="e">
        <f t="shared" si="44"/>
        <v>#DIV/0!</v>
      </c>
      <c r="AE74" s="63"/>
      <c r="AF74" s="57" t="e">
        <f t="shared" si="45"/>
        <v>#DIV/0!</v>
      </c>
      <c r="AG74" s="57" t="e">
        <f t="shared" si="46"/>
        <v>#DIV/0!</v>
      </c>
      <c r="AH74" s="57" t="e">
        <f t="shared" si="47"/>
        <v>#DIV/0!</v>
      </c>
      <c r="AI74" s="57" t="e">
        <f t="shared" si="48"/>
        <v>#DIV/0!</v>
      </c>
      <c r="AJ74" s="57" t="e">
        <f t="shared" si="49"/>
        <v>#DIV/0!</v>
      </c>
      <c r="AK74" s="57" t="e">
        <f t="shared" si="50"/>
        <v>#DIV/0!</v>
      </c>
      <c r="AL74" s="57" t="e">
        <f t="shared" si="51"/>
        <v>#DIV/0!</v>
      </c>
      <c r="AM74" s="63"/>
      <c r="AN74" s="57" t="e">
        <f t="shared" si="26"/>
        <v>#DIV/0!</v>
      </c>
      <c r="AO74" s="58" t="e">
        <f t="shared" si="29"/>
        <v>#DIV/0!</v>
      </c>
      <c r="AP74" s="63"/>
      <c r="AQ74" s="58" t="e">
        <f t="shared" si="28"/>
        <v>#DIV/0!</v>
      </c>
      <c r="AR74" s="63"/>
      <c r="AS74" s="58" t="e">
        <f t="shared" si="28"/>
        <v>#DIV/0!</v>
      </c>
      <c r="AT74" s="58" t="e">
        <f t="shared" si="28"/>
        <v>#DIV/0!</v>
      </c>
      <c r="AU74" s="58" t="e">
        <f t="shared" si="28"/>
        <v>#DIV/0!</v>
      </c>
      <c r="AV74" s="58" t="e">
        <f t="shared" si="28"/>
        <v>#DIV/0!</v>
      </c>
      <c r="AW74" s="58" t="e">
        <f t="shared" si="28"/>
        <v>#DIV/0!</v>
      </c>
      <c r="AX74" s="58" t="e">
        <f t="shared" si="28"/>
        <v>#DIV/0!</v>
      </c>
      <c r="AY74" s="58" t="e">
        <f t="shared" si="28"/>
        <v>#DIV/0!</v>
      </c>
      <c r="AZ74" s="63"/>
      <c r="BA74" s="58" t="e">
        <f t="shared" si="28"/>
        <v>#DIV/0!</v>
      </c>
      <c r="BB74" s="63"/>
      <c r="BC74" s="57" t="e">
        <f>(Links!C74*Links!AQ74+'On-Ramps'!AC74*'On-Ramps'!CE74)/('On-Ramps'!AC74+Links!C74)</f>
        <v>#DIV/0!</v>
      </c>
      <c r="BD74" s="63"/>
      <c r="BE74" s="57" t="e">
        <f>(Links!E74*Links!AS74+'On-Ramps'!AD74*'On-Ramps'!CF73)/('On-Ramps'!AD74+Links!E74)</f>
        <v>#DIV/0!</v>
      </c>
      <c r="BF74" s="57" t="e">
        <f>(Links!F74*Links!AT74+'On-Ramps'!AE74*'On-Ramps'!CG74)/('On-Ramps'!AE74+Links!F74)</f>
        <v>#DIV/0!</v>
      </c>
      <c r="BG74" s="57" t="e">
        <f>(Links!I74*Links!AW74+'On-Ramps'!AF74*'On-Ramps'!CH74)/('On-Ramps'!AF74+Links!I74)</f>
        <v>#DIV/0!</v>
      </c>
      <c r="BH74" s="57" t="e">
        <f>(#REF!*#REF!+'On-Ramps'!AG74*'On-Ramps'!CI74)/('On-Ramps'!AG74+#REF!)</f>
        <v>#REF!</v>
      </c>
      <c r="BI74" s="57" t="e">
        <f>(Links!L74*Links!AZ74+'On-Ramps'!AH74*'On-Ramps'!CJ74)/('On-Ramps'!AH74+Links!L74)</f>
        <v>#DIV/0!</v>
      </c>
      <c r="BJ74" s="57" t="e">
        <f>(Links!BA74*Links!M74+'On-Ramps'!AI74*'On-Ramps'!CK74)/('On-Ramps'!AI74+Links!M74)</f>
        <v>#DIV/0!</v>
      </c>
      <c r="BK74" s="57" t="e">
        <f>(Links!S74*Links!BG74+'On-Ramps'!AJ74*'On-Ramps'!CL74)/('On-Ramps'!AJ74+Links!S74)</f>
        <v>#DIV/0!</v>
      </c>
      <c r="BL74" s="63"/>
      <c r="BM74" s="57" t="e">
        <f>(Links!S74*Links!BG74+'On-Ramps'!AL74*'On-Ramps'!CM74)/(Links!S74+'On-Ramps'!AL74)</f>
        <v>#DIV/0!</v>
      </c>
      <c r="BN74" s="63"/>
      <c r="BO74" s="58" t="e">
        <f>(Links!W74^2+'Off-Ramp'!L74^2)/(Links!W74+'Off-Ramp'!L74)</f>
        <v>#DIV/0!</v>
      </c>
      <c r="BP74" s="63"/>
      <c r="BQ74" s="58" t="e">
        <f>(Links!Y74^2+'Off-Ramp'!C74^2)/(Links!Y74+'Off-Ramp'!C74)</f>
        <v>#DIV/0!</v>
      </c>
      <c r="BR74" s="63"/>
      <c r="BS74" s="58" t="e">
        <f>(Links!AA74^2+'Off-Ramp'!N74^2)/(Links!AA74+'Off-Ramp'!N74)</f>
        <v>#DIV/0!</v>
      </c>
      <c r="BT74" s="58" t="e">
        <f>(Links!AD74^2+'Off-Ramp'!O74^2)/(Links!AD74+'Off-Ramp'!O74)</f>
        <v>#DIV/0!</v>
      </c>
      <c r="BU74" s="58" t="e">
        <f>(Links!AE74^2+'Off-Ramp'!V74^2+'Off-Ramp'!W74^2+'Off-Ramp'!X74^2)/(Links!AE74+'Off-Ramp'!V74+'Off-Ramp'!W74+'Off-Ramp'!X74)</f>
        <v>#DIV/0!</v>
      </c>
      <c r="BV74" s="58" t="e">
        <f>(Links!AG74^2+'Off-Ramp'!Y74^2+'Off-Ramp'!Z74^2+'Off-Ramp'!AA74^2)/(Links!AG74+'Off-Ramp'!Y74+'Off-Ramp'!Z74+'Off-Ramp'!AA74)</f>
        <v>#DIV/0!</v>
      </c>
      <c r="BW74" s="58" t="e">
        <f>(Links!AH74^2+'Off-Ramp'!R74^2)/(Links!AH74+'Off-Ramp'!R74)</f>
        <v>#DIV/0!</v>
      </c>
      <c r="BX74" s="58" t="e">
        <f>(Links!AK74^2+'Off-Ramp'!S74^2)/(Links!AK74+'Off-Ramp'!S74)</f>
        <v>#DIV/0!</v>
      </c>
      <c r="BY74" s="58" t="e">
        <f>(Links!AL74^2+'Off-Ramp'!T74^2)/(Links!AL74+'Off-Ramp'!T74)</f>
        <v>#DIV/0!</v>
      </c>
      <c r="BZ74" s="63"/>
      <c r="CA74" s="58" t="e">
        <f>(Links!AN74^2+'Off-Ramp'!U74^2)/(Links!AN74+'Off-Ramp'!U74)</f>
        <v>#DIV/0!</v>
      </c>
    </row>
    <row r="75" spans="1:79" x14ac:dyDescent="0.15">
      <c r="A75" s="56">
        <v>73</v>
      </c>
      <c r="B75" s="57" t="e">
        <f t="shared" si="30"/>
        <v>#DIV/0!</v>
      </c>
      <c r="C75" s="57" t="e">
        <f t="shared" si="31"/>
        <v>#DIV/0!</v>
      </c>
      <c r="D75" s="57" t="e">
        <f t="shared" si="32"/>
        <v>#DIV/0!</v>
      </c>
      <c r="E75" s="57" t="e">
        <f t="shared" si="33"/>
        <v>#DIV/0!</v>
      </c>
      <c r="F75" s="57" t="e">
        <f t="shared" si="34"/>
        <v>#DIV/0!</v>
      </c>
      <c r="G75" s="57" t="e">
        <f t="shared" si="35"/>
        <v>#DIV/0!</v>
      </c>
      <c r="H75" s="57" t="e">
        <f t="shared" si="36"/>
        <v>#DIV/0!</v>
      </c>
      <c r="I75" s="57" t="e">
        <f t="shared" si="37"/>
        <v>#DIV/0!</v>
      </c>
      <c r="J75" s="57" t="e">
        <f t="shared" si="38"/>
        <v>#DIV/0!</v>
      </c>
      <c r="K75" s="57" t="e">
        <f t="shared" si="39"/>
        <v>#DIV/0!</v>
      </c>
      <c r="L75" s="57" t="e">
        <f t="shared" si="40"/>
        <v>#DIV/0!</v>
      </c>
      <c r="M75" s="57" t="e">
        <f t="shared" si="41"/>
        <v>#DIV/0!</v>
      </c>
      <c r="N75" s="57" t="e">
        <f t="shared" si="42"/>
        <v>#DIV/0!</v>
      </c>
      <c r="O75" s="58" t="e">
        <f>Links!B75</f>
        <v>#DIV/0!</v>
      </c>
      <c r="P75" s="58" t="e">
        <f>Links!C75+'On-Ramps'!AC75</f>
        <v>#DIV/0!</v>
      </c>
      <c r="Q75" s="58" t="e">
        <f>Links!D75</f>
        <v>#DIV/0!</v>
      </c>
      <c r="R75" s="58" t="e">
        <f>Links!E75+'On-Ramps'!AD75</f>
        <v>#DIV/0!</v>
      </c>
      <c r="S75" s="58" t="e">
        <f>Links!F75+'On-Ramps'!AE75</f>
        <v>#DIV/0!</v>
      </c>
      <c r="T75" s="58" t="e">
        <f>Links!I75+'On-Ramps'!AF75</f>
        <v>#DIV/0!</v>
      </c>
      <c r="U75" s="58" t="e">
        <f>Links!J75+'On-Ramps'!AG75</f>
        <v>#DIV/0!</v>
      </c>
      <c r="V75" s="58" t="e">
        <f>Links!L75+'On-Ramps'!AH75</f>
        <v>#DIV/0!</v>
      </c>
      <c r="W75" s="58" t="e">
        <f>Links!M75+'On-Ramps'!AI75</f>
        <v>#DIV/0!</v>
      </c>
      <c r="X75" s="58" t="e">
        <f>Links!P75+'On-Ramps'!AJ75</f>
        <v>#DIV/0!</v>
      </c>
      <c r="Y75" s="58" t="e">
        <f>Links!Q75</f>
        <v>#DIV/0!</v>
      </c>
      <c r="Z75" s="58" t="e">
        <f>Links!R75+'On-Ramps'!AK75</f>
        <v>#DIV/0!</v>
      </c>
      <c r="AA75" s="58" t="e">
        <f>Links!S75</f>
        <v>#DIV/0!</v>
      </c>
      <c r="AB75" s="57" t="e">
        <f t="shared" si="43"/>
        <v>#DIV/0!</v>
      </c>
      <c r="AC75" s="63"/>
      <c r="AD75" s="57" t="e">
        <f t="shared" si="44"/>
        <v>#DIV/0!</v>
      </c>
      <c r="AE75" s="63"/>
      <c r="AF75" s="57" t="e">
        <f t="shared" si="45"/>
        <v>#DIV/0!</v>
      </c>
      <c r="AG75" s="57" t="e">
        <f t="shared" si="46"/>
        <v>#DIV/0!</v>
      </c>
      <c r="AH75" s="57" t="e">
        <f t="shared" si="47"/>
        <v>#DIV/0!</v>
      </c>
      <c r="AI75" s="57" t="e">
        <f t="shared" si="48"/>
        <v>#DIV/0!</v>
      </c>
      <c r="AJ75" s="57" t="e">
        <f t="shared" si="49"/>
        <v>#DIV/0!</v>
      </c>
      <c r="AK75" s="57" t="e">
        <f t="shared" si="50"/>
        <v>#DIV/0!</v>
      </c>
      <c r="AL75" s="57" t="e">
        <f t="shared" si="51"/>
        <v>#DIV/0!</v>
      </c>
      <c r="AM75" s="63"/>
      <c r="AN75" s="57" t="e">
        <f t="shared" si="26"/>
        <v>#DIV/0!</v>
      </c>
      <c r="AO75" s="58" t="e">
        <f t="shared" si="29"/>
        <v>#DIV/0!</v>
      </c>
      <c r="AP75" s="63"/>
      <c r="AQ75" s="58" t="e">
        <f t="shared" si="28"/>
        <v>#DIV/0!</v>
      </c>
      <c r="AR75" s="63"/>
      <c r="AS75" s="58" t="e">
        <f t="shared" si="28"/>
        <v>#DIV/0!</v>
      </c>
      <c r="AT75" s="58" t="e">
        <f t="shared" si="28"/>
        <v>#DIV/0!</v>
      </c>
      <c r="AU75" s="58" t="e">
        <f t="shared" si="28"/>
        <v>#DIV/0!</v>
      </c>
      <c r="AV75" s="58" t="e">
        <f t="shared" si="28"/>
        <v>#DIV/0!</v>
      </c>
      <c r="AW75" s="58" t="e">
        <f t="shared" si="28"/>
        <v>#DIV/0!</v>
      </c>
      <c r="AX75" s="58" t="e">
        <f t="shared" si="28"/>
        <v>#DIV/0!</v>
      </c>
      <c r="AY75" s="58" t="e">
        <f t="shared" si="28"/>
        <v>#DIV/0!</v>
      </c>
      <c r="AZ75" s="63"/>
      <c r="BA75" s="58" t="e">
        <f t="shared" si="28"/>
        <v>#DIV/0!</v>
      </c>
      <c r="BB75" s="63"/>
      <c r="BC75" s="57" t="e">
        <f>(Links!C75*Links!AQ75+'On-Ramps'!AC75*'On-Ramps'!CE75)/('On-Ramps'!AC75+Links!C75)</f>
        <v>#DIV/0!</v>
      </c>
      <c r="BD75" s="63"/>
      <c r="BE75" s="57" t="e">
        <f>(Links!E75*Links!AS75+'On-Ramps'!AD75*'On-Ramps'!CF74)/('On-Ramps'!AD75+Links!E75)</f>
        <v>#DIV/0!</v>
      </c>
      <c r="BF75" s="57" t="e">
        <f>(Links!F75*Links!AT75+'On-Ramps'!AE75*'On-Ramps'!CG75)/('On-Ramps'!AE75+Links!F75)</f>
        <v>#DIV/0!</v>
      </c>
      <c r="BG75" s="57" t="e">
        <f>(Links!I75*Links!AW75+'On-Ramps'!AF75*'On-Ramps'!CH75)/('On-Ramps'!AF75+Links!I75)</f>
        <v>#DIV/0!</v>
      </c>
      <c r="BH75" s="57" t="e">
        <f>(#REF!*#REF!+'On-Ramps'!AG75*'On-Ramps'!CI75)/('On-Ramps'!AG75+#REF!)</f>
        <v>#REF!</v>
      </c>
      <c r="BI75" s="57" t="e">
        <f>(Links!L75*Links!AZ75+'On-Ramps'!AH75*'On-Ramps'!CJ75)/('On-Ramps'!AH75+Links!L75)</f>
        <v>#DIV/0!</v>
      </c>
      <c r="BJ75" s="57" t="e">
        <f>(Links!BA75*Links!M75+'On-Ramps'!AI75*'On-Ramps'!CK75)/('On-Ramps'!AI75+Links!M75)</f>
        <v>#DIV/0!</v>
      </c>
      <c r="BK75" s="57" t="e">
        <f>(Links!S75*Links!BG75+'On-Ramps'!AJ75*'On-Ramps'!CL75)/('On-Ramps'!AJ75+Links!S75)</f>
        <v>#DIV/0!</v>
      </c>
      <c r="BL75" s="63"/>
      <c r="BM75" s="57" t="e">
        <f>(Links!S75*Links!BG75+'On-Ramps'!AL75*'On-Ramps'!CM75)/(Links!S75+'On-Ramps'!AL75)</f>
        <v>#DIV/0!</v>
      </c>
      <c r="BN75" s="63"/>
      <c r="BO75" s="58" t="e">
        <f>(Links!W75^2+'Off-Ramp'!L75^2)/(Links!W75+'Off-Ramp'!L75)</f>
        <v>#DIV/0!</v>
      </c>
      <c r="BP75" s="63"/>
      <c r="BQ75" s="58" t="e">
        <f>(Links!Y75^2+'Off-Ramp'!C75^2)/(Links!Y75+'Off-Ramp'!C75)</f>
        <v>#DIV/0!</v>
      </c>
      <c r="BR75" s="63"/>
      <c r="BS75" s="58" t="e">
        <f>(Links!AA75^2+'Off-Ramp'!N75^2)/(Links!AA75+'Off-Ramp'!N75)</f>
        <v>#DIV/0!</v>
      </c>
      <c r="BT75" s="58" t="e">
        <f>(Links!AD75^2+'Off-Ramp'!O75^2)/(Links!AD75+'Off-Ramp'!O75)</f>
        <v>#DIV/0!</v>
      </c>
      <c r="BU75" s="58" t="e">
        <f>(Links!AE75^2+'Off-Ramp'!V75^2+'Off-Ramp'!W75^2+'Off-Ramp'!X75^2)/(Links!AE75+'Off-Ramp'!V75+'Off-Ramp'!W75+'Off-Ramp'!X75)</f>
        <v>#DIV/0!</v>
      </c>
      <c r="BV75" s="58" t="e">
        <f>(Links!AG75^2+'Off-Ramp'!Y75^2+'Off-Ramp'!Z75^2+'Off-Ramp'!AA75^2)/(Links!AG75+'Off-Ramp'!Y75+'Off-Ramp'!Z75+'Off-Ramp'!AA75)</f>
        <v>#DIV/0!</v>
      </c>
      <c r="BW75" s="58" t="e">
        <f>(Links!AH75^2+'Off-Ramp'!R75^2)/(Links!AH75+'Off-Ramp'!R75)</f>
        <v>#DIV/0!</v>
      </c>
      <c r="BX75" s="58" t="e">
        <f>(Links!AK75^2+'Off-Ramp'!S75^2)/(Links!AK75+'Off-Ramp'!S75)</f>
        <v>#DIV/0!</v>
      </c>
      <c r="BY75" s="58" t="e">
        <f>(Links!AL75^2+'Off-Ramp'!T75^2)/(Links!AL75+'Off-Ramp'!T75)</f>
        <v>#DIV/0!</v>
      </c>
      <c r="BZ75" s="63"/>
      <c r="CA75" s="58" t="e">
        <f>(Links!AN75^2+'Off-Ramp'!U75^2)/(Links!AN75+'Off-Ramp'!U75)</f>
        <v>#DIV/0!</v>
      </c>
    </row>
    <row r="76" spans="1:79" x14ac:dyDescent="0.15">
      <c r="A76" s="56">
        <v>74</v>
      </c>
      <c r="B76" s="57" t="e">
        <f t="shared" si="30"/>
        <v>#DIV/0!</v>
      </c>
      <c r="C76" s="57" t="e">
        <f t="shared" si="31"/>
        <v>#DIV/0!</v>
      </c>
      <c r="D76" s="57" t="e">
        <f t="shared" si="32"/>
        <v>#DIV/0!</v>
      </c>
      <c r="E76" s="57" t="e">
        <f t="shared" si="33"/>
        <v>#DIV/0!</v>
      </c>
      <c r="F76" s="57" t="e">
        <f t="shared" si="34"/>
        <v>#DIV/0!</v>
      </c>
      <c r="G76" s="57" t="e">
        <f t="shared" si="35"/>
        <v>#DIV/0!</v>
      </c>
      <c r="H76" s="57" t="e">
        <f t="shared" si="36"/>
        <v>#DIV/0!</v>
      </c>
      <c r="I76" s="57" t="e">
        <f t="shared" si="37"/>
        <v>#DIV/0!</v>
      </c>
      <c r="J76" s="57" t="e">
        <f t="shared" si="38"/>
        <v>#DIV/0!</v>
      </c>
      <c r="K76" s="57" t="e">
        <f t="shared" si="39"/>
        <v>#DIV/0!</v>
      </c>
      <c r="L76" s="57" t="e">
        <f t="shared" si="40"/>
        <v>#DIV/0!</v>
      </c>
      <c r="M76" s="57" t="e">
        <f t="shared" si="41"/>
        <v>#DIV/0!</v>
      </c>
      <c r="N76" s="57" t="e">
        <f t="shared" si="42"/>
        <v>#DIV/0!</v>
      </c>
      <c r="O76" s="58" t="e">
        <f>Links!B76</f>
        <v>#DIV/0!</v>
      </c>
      <c r="P76" s="58" t="e">
        <f>Links!C76+'On-Ramps'!AC76</f>
        <v>#DIV/0!</v>
      </c>
      <c r="Q76" s="58" t="e">
        <f>Links!D76</f>
        <v>#DIV/0!</v>
      </c>
      <c r="R76" s="58" t="e">
        <f>Links!E76+'On-Ramps'!AD76</f>
        <v>#DIV/0!</v>
      </c>
      <c r="S76" s="58" t="e">
        <f>Links!F76+'On-Ramps'!AE76</f>
        <v>#DIV/0!</v>
      </c>
      <c r="T76" s="58" t="e">
        <f>Links!I76+'On-Ramps'!AF76</f>
        <v>#DIV/0!</v>
      </c>
      <c r="U76" s="58" t="e">
        <f>Links!J76+'On-Ramps'!AG76</f>
        <v>#DIV/0!</v>
      </c>
      <c r="V76" s="58" t="e">
        <f>Links!L76+'On-Ramps'!AH76</f>
        <v>#DIV/0!</v>
      </c>
      <c r="W76" s="58" t="e">
        <f>Links!M76+'On-Ramps'!AI76</f>
        <v>#DIV/0!</v>
      </c>
      <c r="X76" s="58" t="e">
        <f>Links!P76+'On-Ramps'!AJ76</f>
        <v>#DIV/0!</v>
      </c>
      <c r="Y76" s="58" t="e">
        <f>Links!Q76</f>
        <v>#DIV/0!</v>
      </c>
      <c r="Z76" s="58" t="e">
        <f>Links!R76+'On-Ramps'!AK76</f>
        <v>#DIV/0!</v>
      </c>
      <c r="AA76" s="58" t="e">
        <f>Links!S76</f>
        <v>#DIV/0!</v>
      </c>
      <c r="AB76" s="57" t="e">
        <f t="shared" si="43"/>
        <v>#DIV/0!</v>
      </c>
      <c r="AC76" s="63"/>
      <c r="AD76" s="57" t="e">
        <f t="shared" si="44"/>
        <v>#DIV/0!</v>
      </c>
      <c r="AE76" s="63"/>
      <c r="AF76" s="57" t="e">
        <f t="shared" si="45"/>
        <v>#DIV/0!</v>
      </c>
      <c r="AG76" s="57" t="e">
        <f t="shared" si="46"/>
        <v>#DIV/0!</v>
      </c>
      <c r="AH76" s="57" t="e">
        <f t="shared" si="47"/>
        <v>#DIV/0!</v>
      </c>
      <c r="AI76" s="57" t="e">
        <f t="shared" si="48"/>
        <v>#DIV/0!</v>
      </c>
      <c r="AJ76" s="57" t="e">
        <f t="shared" si="49"/>
        <v>#DIV/0!</v>
      </c>
      <c r="AK76" s="57" t="e">
        <f t="shared" si="50"/>
        <v>#DIV/0!</v>
      </c>
      <c r="AL76" s="57" t="e">
        <f t="shared" si="51"/>
        <v>#DIV/0!</v>
      </c>
      <c r="AM76" s="63"/>
      <c r="AN76" s="57" t="e">
        <f t="shared" si="26"/>
        <v>#DIV/0!</v>
      </c>
      <c r="AO76" s="58" t="e">
        <f t="shared" si="29"/>
        <v>#DIV/0!</v>
      </c>
      <c r="AP76" s="63"/>
      <c r="AQ76" s="58" t="e">
        <f t="shared" si="28"/>
        <v>#DIV/0!</v>
      </c>
      <c r="AR76" s="63"/>
      <c r="AS76" s="58" t="e">
        <f t="shared" si="28"/>
        <v>#DIV/0!</v>
      </c>
      <c r="AT76" s="58" t="e">
        <f t="shared" si="28"/>
        <v>#DIV/0!</v>
      </c>
      <c r="AU76" s="58" t="e">
        <f t="shared" si="28"/>
        <v>#DIV/0!</v>
      </c>
      <c r="AV76" s="58" t="e">
        <f t="shared" si="28"/>
        <v>#DIV/0!</v>
      </c>
      <c r="AW76" s="58" t="e">
        <f t="shared" si="28"/>
        <v>#DIV/0!</v>
      </c>
      <c r="AX76" s="58" t="e">
        <f t="shared" si="28"/>
        <v>#DIV/0!</v>
      </c>
      <c r="AY76" s="58" t="e">
        <f t="shared" si="28"/>
        <v>#DIV/0!</v>
      </c>
      <c r="AZ76" s="63"/>
      <c r="BA76" s="58" t="e">
        <f t="shared" si="28"/>
        <v>#DIV/0!</v>
      </c>
      <c r="BB76" s="63"/>
      <c r="BC76" s="57" t="e">
        <f>(Links!C76*Links!AQ76+'On-Ramps'!AC76*'On-Ramps'!CE76)/('On-Ramps'!AC76+Links!C76)</f>
        <v>#DIV/0!</v>
      </c>
      <c r="BD76" s="63"/>
      <c r="BE76" s="57" t="e">
        <f>(Links!E76*Links!AS76+'On-Ramps'!AD76*'On-Ramps'!CF75)/('On-Ramps'!AD76+Links!E76)</f>
        <v>#DIV/0!</v>
      </c>
      <c r="BF76" s="57" t="e">
        <f>(Links!F76*Links!AT76+'On-Ramps'!AE76*'On-Ramps'!CG76)/('On-Ramps'!AE76+Links!F76)</f>
        <v>#DIV/0!</v>
      </c>
      <c r="BG76" s="57" t="e">
        <f>(Links!I76*Links!AW76+'On-Ramps'!AF76*'On-Ramps'!CH76)/('On-Ramps'!AF76+Links!I76)</f>
        <v>#DIV/0!</v>
      </c>
      <c r="BH76" s="57" t="e">
        <f>(#REF!*#REF!+'On-Ramps'!AG76*'On-Ramps'!CI76)/('On-Ramps'!AG76+#REF!)</f>
        <v>#REF!</v>
      </c>
      <c r="BI76" s="57" t="e">
        <f>(Links!L76*Links!AZ76+'On-Ramps'!AH76*'On-Ramps'!CJ76)/('On-Ramps'!AH76+Links!L76)</f>
        <v>#DIV/0!</v>
      </c>
      <c r="BJ76" s="57" t="e">
        <f>(Links!BA76*Links!M76+'On-Ramps'!AI76*'On-Ramps'!CK76)/('On-Ramps'!AI76+Links!M76)</f>
        <v>#DIV/0!</v>
      </c>
      <c r="BK76" s="57" t="e">
        <f>(Links!S76*Links!BG76+'On-Ramps'!AJ76*'On-Ramps'!CL76)/('On-Ramps'!AJ76+Links!S76)</f>
        <v>#DIV/0!</v>
      </c>
      <c r="BL76" s="63"/>
      <c r="BM76" s="57" t="e">
        <f>(Links!S76*Links!BG76+'On-Ramps'!AL76*'On-Ramps'!CM76)/(Links!S76+'On-Ramps'!AL76)</f>
        <v>#DIV/0!</v>
      </c>
      <c r="BN76" s="63"/>
      <c r="BO76" s="58" t="e">
        <f>(Links!W76^2+'Off-Ramp'!L76^2)/(Links!W76+'Off-Ramp'!L76)</f>
        <v>#DIV/0!</v>
      </c>
      <c r="BP76" s="63"/>
      <c r="BQ76" s="58" t="e">
        <f>(Links!Y76^2+'Off-Ramp'!C76^2)/(Links!Y76+'Off-Ramp'!C76)</f>
        <v>#DIV/0!</v>
      </c>
      <c r="BR76" s="63"/>
      <c r="BS76" s="58" t="e">
        <f>(Links!AA76^2+'Off-Ramp'!N76^2)/(Links!AA76+'Off-Ramp'!N76)</f>
        <v>#DIV/0!</v>
      </c>
      <c r="BT76" s="58" t="e">
        <f>(Links!AD76^2+'Off-Ramp'!O76^2)/(Links!AD76+'Off-Ramp'!O76)</f>
        <v>#DIV/0!</v>
      </c>
      <c r="BU76" s="58" t="e">
        <f>(Links!AE76^2+'Off-Ramp'!V76^2+'Off-Ramp'!W76^2+'Off-Ramp'!X76^2)/(Links!AE76+'Off-Ramp'!V76+'Off-Ramp'!W76+'Off-Ramp'!X76)</f>
        <v>#DIV/0!</v>
      </c>
      <c r="BV76" s="58" t="e">
        <f>(Links!AG76^2+'Off-Ramp'!Y76^2+'Off-Ramp'!Z76^2+'Off-Ramp'!AA76^2)/(Links!AG76+'Off-Ramp'!Y76+'Off-Ramp'!Z76+'Off-Ramp'!AA76)</f>
        <v>#DIV/0!</v>
      </c>
      <c r="BW76" s="58" t="e">
        <f>(Links!AH76^2+'Off-Ramp'!R76^2)/(Links!AH76+'Off-Ramp'!R76)</f>
        <v>#DIV/0!</v>
      </c>
      <c r="BX76" s="58" t="e">
        <f>(Links!AK76^2+'Off-Ramp'!S76^2)/(Links!AK76+'Off-Ramp'!S76)</f>
        <v>#DIV/0!</v>
      </c>
      <c r="BY76" s="58" t="e">
        <f>(Links!AL76^2+'Off-Ramp'!T76^2)/(Links!AL76+'Off-Ramp'!T76)</f>
        <v>#DIV/0!</v>
      </c>
      <c r="BZ76" s="63"/>
      <c r="CA76" s="58" t="e">
        <f>(Links!AN76^2+'Off-Ramp'!U76^2)/(Links!AN76+'Off-Ramp'!U76)</f>
        <v>#DIV/0!</v>
      </c>
    </row>
    <row r="77" spans="1:79" x14ac:dyDescent="0.15">
      <c r="A77" s="56">
        <v>75</v>
      </c>
      <c r="B77" s="57" t="e">
        <f t="shared" si="30"/>
        <v>#DIV/0!</v>
      </c>
      <c r="C77" s="57" t="e">
        <f t="shared" si="31"/>
        <v>#DIV/0!</v>
      </c>
      <c r="D77" s="57" t="e">
        <f t="shared" si="32"/>
        <v>#DIV/0!</v>
      </c>
      <c r="E77" s="57" t="e">
        <f t="shared" si="33"/>
        <v>#DIV/0!</v>
      </c>
      <c r="F77" s="57" t="e">
        <f t="shared" si="34"/>
        <v>#DIV/0!</v>
      </c>
      <c r="G77" s="57" t="e">
        <f t="shared" si="35"/>
        <v>#DIV/0!</v>
      </c>
      <c r="H77" s="57" t="e">
        <f t="shared" si="36"/>
        <v>#DIV/0!</v>
      </c>
      <c r="I77" s="57" t="e">
        <f t="shared" si="37"/>
        <v>#DIV/0!</v>
      </c>
      <c r="J77" s="57" t="e">
        <f t="shared" si="38"/>
        <v>#DIV/0!</v>
      </c>
      <c r="K77" s="57" t="e">
        <f t="shared" si="39"/>
        <v>#DIV/0!</v>
      </c>
      <c r="L77" s="57" t="e">
        <f t="shared" si="40"/>
        <v>#DIV/0!</v>
      </c>
      <c r="M77" s="57" t="e">
        <f t="shared" si="41"/>
        <v>#DIV/0!</v>
      </c>
      <c r="N77" s="57" t="e">
        <f t="shared" si="42"/>
        <v>#DIV/0!</v>
      </c>
      <c r="O77" s="58" t="e">
        <f>Links!B77</f>
        <v>#DIV/0!</v>
      </c>
      <c r="P77" s="58" t="e">
        <f>Links!C77+'On-Ramps'!AC77</f>
        <v>#DIV/0!</v>
      </c>
      <c r="Q77" s="58" t="e">
        <f>Links!D77</f>
        <v>#DIV/0!</v>
      </c>
      <c r="R77" s="58" t="e">
        <f>Links!E77+'On-Ramps'!AD77</f>
        <v>#DIV/0!</v>
      </c>
      <c r="S77" s="58" t="e">
        <f>Links!F77+'On-Ramps'!AE77</f>
        <v>#DIV/0!</v>
      </c>
      <c r="T77" s="58" t="e">
        <f>Links!I77+'On-Ramps'!AF77</f>
        <v>#DIV/0!</v>
      </c>
      <c r="U77" s="58" t="e">
        <f>Links!J77+'On-Ramps'!AG77</f>
        <v>#DIV/0!</v>
      </c>
      <c r="V77" s="58" t="e">
        <f>Links!L77+'On-Ramps'!AH77</f>
        <v>#DIV/0!</v>
      </c>
      <c r="W77" s="58" t="e">
        <f>Links!M77+'On-Ramps'!AI77</f>
        <v>#DIV/0!</v>
      </c>
      <c r="X77" s="58" t="e">
        <f>Links!P77+'On-Ramps'!AJ77</f>
        <v>#DIV/0!</v>
      </c>
      <c r="Y77" s="58" t="e">
        <f>Links!Q77</f>
        <v>#DIV/0!</v>
      </c>
      <c r="Z77" s="58" t="e">
        <f>Links!R77+'On-Ramps'!AK77</f>
        <v>#DIV/0!</v>
      </c>
      <c r="AA77" s="58" t="e">
        <f>Links!S77</f>
        <v>#DIV/0!</v>
      </c>
      <c r="AB77" s="57" t="e">
        <f t="shared" si="43"/>
        <v>#DIV/0!</v>
      </c>
      <c r="AC77" s="63"/>
      <c r="AD77" s="57" t="e">
        <f t="shared" si="44"/>
        <v>#DIV/0!</v>
      </c>
      <c r="AE77" s="63"/>
      <c r="AF77" s="57" t="e">
        <f t="shared" si="45"/>
        <v>#DIV/0!</v>
      </c>
      <c r="AG77" s="57" t="e">
        <f t="shared" si="46"/>
        <v>#DIV/0!</v>
      </c>
      <c r="AH77" s="57" t="e">
        <f t="shared" si="47"/>
        <v>#DIV/0!</v>
      </c>
      <c r="AI77" s="57" t="e">
        <f t="shared" si="48"/>
        <v>#DIV/0!</v>
      </c>
      <c r="AJ77" s="57" t="e">
        <f t="shared" si="49"/>
        <v>#DIV/0!</v>
      </c>
      <c r="AK77" s="57" t="e">
        <f t="shared" si="50"/>
        <v>#DIV/0!</v>
      </c>
      <c r="AL77" s="57" t="e">
        <f t="shared" si="51"/>
        <v>#DIV/0!</v>
      </c>
      <c r="AM77" s="63"/>
      <c r="AN77" s="57" t="e">
        <f t="shared" si="26"/>
        <v>#DIV/0!</v>
      </c>
      <c r="AO77" s="58" t="e">
        <f t="shared" si="29"/>
        <v>#DIV/0!</v>
      </c>
      <c r="AP77" s="63"/>
      <c r="AQ77" s="58" t="e">
        <f t="shared" si="28"/>
        <v>#DIV/0!</v>
      </c>
      <c r="AR77" s="63"/>
      <c r="AS77" s="58" t="e">
        <f t="shared" si="28"/>
        <v>#DIV/0!</v>
      </c>
      <c r="AT77" s="58" t="e">
        <f t="shared" si="28"/>
        <v>#DIV/0!</v>
      </c>
      <c r="AU77" s="58" t="e">
        <f t="shared" si="28"/>
        <v>#DIV/0!</v>
      </c>
      <c r="AV77" s="58" t="e">
        <f t="shared" si="28"/>
        <v>#DIV/0!</v>
      </c>
      <c r="AW77" s="58" t="e">
        <f t="shared" si="28"/>
        <v>#DIV/0!</v>
      </c>
      <c r="AX77" s="58" t="e">
        <f t="shared" si="28"/>
        <v>#DIV/0!</v>
      </c>
      <c r="AY77" s="58" t="e">
        <f t="shared" si="28"/>
        <v>#DIV/0!</v>
      </c>
      <c r="AZ77" s="63"/>
      <c r="BA77" s="58" t="e">
        <f t="shared" ref="AQ77:BA98" si="52">BA$3</f>
        <v>#DIV/0!</v>
      </c>
      <c r="BB77" s="63"/>
      <c r="BC77" s="57" t="e">
        <f>(Links!C77*Links!AQ77+'On-Ramps'!AC77*'On-Ramps'!CE77)/('On-Ramps'!AC77+Links!C77)</f>
        <v>#DIV/0!</v>
      </c>
      <c r="BD77" s="63"/>
      <c r="BE77" s="57" t="e">
        <f>(Links!E77*Links!AS77+'On-Ramps'!AD77*'On-Ramps'!CF76)/('On-Ramps'!AD77+Links!E77)</f>
        <v>#DIV/0!</v>
      </c>
      <c r="BF77" s="57" t="e">
        <f>(Links!F77*Links!AT77+'On-Ramps'!AE77*'On-Ramps'!CG77)/('On-Ramps'!AE77+Links!F77)</f>
        <v>#DIV/0!</v>
      </c>
      <c r="BG77" s="57" t="e">
        <f>(Links!I77*Links!AW77+'On-Ramps'!AF77*'On-Ramps'!CH77)/('On-Ramps'!AF77+Links!I77)</f>
        <v>#DIV/0!</v>
      </c>
      <c r="BH77" s="57" t="e">
        <f>(#REF!*#REF!+'On-Ramps'!AG77*'On-Ramps'!CI77)/('On-Ramps'!AG77+#REF!)</f>
        <v>#REF!</v>
      </c>
      <c r="BI77" s="57" t="e">
        <f>(Links!L77*Links!AZ77+'On-Ramps'!AH77*'On-Ramps'!CJ77)/('On-Ramps'!AH77+Links!L77)</f>
        <v>#DIV/0!</v>
      </c>
      <c r="BJ77" s="57" t="e">
        <f>(Links!BA77*Links!M77+'On-Ramps'!AI77*'On-Ramps'!CK77)/('On-Ramps'!AI77+Links!M77)</f>
        <v>#DIV/0!</v>
      </c>
      <c r="BK77" s="57" t="e">
        <f>(Links!S77*Links!BG77+'On-Ramps'!AJ77*'On-Ramps'!CL77)/('On-Ramps'!AJ77+Links!S77)</f>
        <v>#DIV/0!</v>
      </c>
      <c r="BL77" s="63"/>
      <c r="BM77" s="57" t="e">
        <f>(Links!S77*Links!BG77+'On-Ramps'!AL77*'On-Ramps'!CM77)/(Links!S77+'On-Ramps'!AL77)</f>
        <v>#DIV/0!</v>
      </c>
      <c r="BN77" s="63"/>
      <c r="BO77" s="58" t="e">
        <f>(Links!W77^2+'Off-Ramp'!L77^2)/(Links!W77+'Off-Ramp'!L77)</f>
        <v>#DIV/0!</v>
      </c>
      <c r="BP77" s="63"/>
      <c r="BQ77" s="58" t="e">
        <f>(Links!Y77^2+'Off-Ramp'!C77^2)/(Links!Y77+'Off-Ramp'!C77)</f>
        <v>#DIV/0!</v>
      </c>
      <c r="BR77" s="63"/>
      <c r="BS77" s="58" t="e">
        <f>(Links!AA77^2+'Off-Ramp'!N77^2)/(Links!AA77+'Off-Ramp'!N77)</f>
        <v>#DIV/0!</v>
      </c>
      <c r="BT77" s="58" t="e">
        <f>(Links!AD77^2+'Off-Ramp'!O77^2)/(Links!AD77+'Off-Ramp'!O77)</f>
        <v>#DIV/0!</v>
      </c>
      <c r="BU77" s="58" t="e">
        <f>(Links!AE77^2+'Off-Ramp'!V77^2+'Off-Ramp'!W77^2+'Off-Ramp'!X77^2)/(Links!AE77+'Off-Ramp'!V77+'Off-Ramp'!W77+'Off-Ramp'!X77)</f>
        <v>#DIV/0!</v>
      </c>
      <c r="BV77" s="58" t="e">
        <f>(Links!AG77^2+'Off-Ramp'!Y77^2+'Off-Ramp'!Z77^2+'Off-Ramp'!AA77^2)/(Links!AG77+'Off-Ramp'!Y77+'Off-Ramp'!Z77+'Off-Ramp'!AA77)</f>
        <v>#DIV/0!</v>
      </c>
      <c r="BW77" s="58" t="e">
        <f>(Links!AH77^2+'Off-Ramp'!R77^2)/(Links!AH77+'Off-Ramp'!R77)</f>
        <v>#DIV/0!</v>
      </c>
      <c r="BX77" s="58" t="e">
        <f>(Links!AK77^2+'Off-Ramp'!S77^2)/(Links!AK77+'Off-Ramp'!S77)</f>
        <v>#DIV/0!</v>
      </c>
      <c r="BY77" s="58" t="e">
        <f>(Links!AL77^2+'Off-Ramp'!T77^2)/(Links!AL77+'Off-Ramp'!T77)</f>
        <v>#DIV/0!</v>
      </c>
      <c r="BZ77" s="63"/>
      <c r="CA77" s="58" t="e">
        <f>(Links!AN77^2+'Off-Ramp'!U77^2)/(Links!AN77+'Off-Ramp'!U77)</f>
        <v>#DIV/0!</v>
      </c>
    </row>
    <row r="78" spans="1:79" x14ac:dyDescent="0.15">
      <c r="A78" s="56">
        <v>76</v>
      </c>
      <c r="B78" s="57" t="e">
        <f t="shared" si="30"/>
        <v>#DIV/0!</v>
      </c>
      <c r="C78" s="57" t="e">
        <f t="shared" si="31"/>
        <v>#DIV/0!</v>
      </c>
      <c r="D78" s="57" t="e">
        <f t="shared" si="32"/>
        <v>#DIV/0!</v>
      </c>
      <c r="E78" s="57" t="e">
        <f t="shared" si="33"/>
        <v>#DIV/0!</v>
      </c>
      <c r="F78" s="57" t="e">
        <f t="shared" si="34"/>
        <v>#DIV/0!</v>
      </c>
      <c r="G78" s="57" t="e">
        <f t="shared" si="35"/>
        <v>#DIV/0!</v>
      </c>
      <c r="H78" s="57" t="e">
        <f t="shared" si="36"/>
        <v>#DIV/0!</v>
      </c>
      <c r="I78" s="57" t="e">
        <f t="shared" si="37"/>
        <v>#DIV/0!</v>
      </c>
      <c r="J78" s="57" t="e">
        <f t="shared" si="38"/>
        <v>#DIV/0!</v>
      </c>
      <c r="K78" s="57" t="e">
        <f t="shared" si="39"/>
        <v>#DIV/0!</v>
      </c>
      <c r="L78" s="57" t="e">
        <f t="shared" si="40"/>
        <v>#DIV/0!</v>
      </c>
      <c r="M78" s="57" t="e">
        <f t="shared" si="41"/>
        <v>#DIV/0!</v>
      </c>
      <c r="N78" s="57" t="e">
        <f t="shared" si="42"/>
        <v>#DIV/0!</v>
      </c>
      <c r="O78" s="58" t="e">
        <f>Links!B78</f>
        <v>#DIV/0!</v>
      </c>
      <c r="P78" s="58" t="e">
        <f>Links!C78+'On-Ramps'!AC78</f>
        <v>#DIV/0!</v>
      </c>
      <c r="Q78" s="58" t="e">
        <f>Links!D78</f>
        <v>#DIV/0!</v>
      </c>
      <c r="R78" s="58" t="e">
        <f>Links!E78+'On-Ramps'!AD78</f>
        <v>#DIV/0!</v>
      </c>
      <c r="S78" s="58" t="e">
        <f>Links!F78+'On-Ramps'!AE78</f>
        <v>#DIV/0!</v>
      </c>
      <c r="T78" s="58" t="e">
        <f>Links!I78+'On-Ramps'!AF78</f>
        <v>#DIV/0!</v>
      </c>
      <c r="U78" s="58" t="e">
        <f>Links!J78+'On-Ramps'!AG78</f>
        <v>#DIV/0!</v>
      </c>
      <c r="V78" s="58" t="e">
        <f>Links!L78+'On-Ramps'!AH78</f>
        <v>#DIV/0!</v>
      </c>
      <c r="W78" s="58" t="e">
        <f>Links!M78+'On-Ramps'!AI78</f>
        <v>#DIV/0!</v>
      </c>
      <c r="X78" s="58" t="e">
        <f>Links!P78+'On-Ramps'!AJ78</f>
        <v>#DIV/0!</v>
      </c>
      <c r="Y78" s="58" t="e">
        <f>Links!Q78</f>
        <v>#DIV/0!</v>
      </c>
      <c r="Z78" s="58" t="e">
        <f>Links!R78+'On-Ramps'!AK78</f>
        <v>#DIV/0!</v>
      </c>
      <c r="AA78" s="58" t="e">
        <f>Links!S78</f>
        <v>#DIV/0!</v>
      </c>
      <c r="AB78" s="57" t="e">
        <f t="shared" si="43"/>
        <v>#DIV/0!</v>
      </c>
      <c r="AC78" s="63"/>
      <c r="AD78" s="57" t="e">
        <f t="shared" si="44"/>
        <v>#DIV/0!</v>
      </c>
      <c r="AE78" s="63"/>
      <c r="AF78" s="57" t="e">
        <f t="shared" si="45"/>
        <v>#DIV/0!</v>
      </c>
      <c r="AG78" s="57" t="e">
        <f t="shared" si="46"/>
        <v>#DIV/0!</v>
      </c>
      <c r="AH78" s="57" t="e">
        <f t="shared" si="47"/>
        <v>#DIV/0!</v>
      </c>
      <c r="AI78" s="57" t="e">
        <f t="shared" si="48"/>
        <v>#DIV/0!</v>
      </c>
      <c r="AJ78" s="57" t="e">
        <f t="shared" si="49"/>
        <v>#DIV/0!</v>
      </c>
      <c r="AK78" s="57" t="e">
        <f t="shared" si="50"/>
        <v>#DIV/0!</v>
      </c>
      <c r="AL78" s="57" t="e">
        <f t="shared" si="51"/>
        <v>#DIV/0!</v>
      </c>
      <c r="AM78" s="63"/>
      <c r="AN78" s="57" t="e">
        <f t="shared" si="26"/>
        <v>#DIV/0!</v>
      </c>
      <c r="AO78" s="58" t="e">
        <f t="shared" si="29"/>
        <v>#DIV/0!</v>
      </c>
      <c r="AP78" s="63"/>
      <c r="AQ78" s="58" t="e">
        <f t="shared" si="52"/>
        <v>#DIV/0!</v>
      </c>
      <c r="AR78" s="63"/>
      <c r="AS78" s="58" t="e">
        <f t="shared" si="52"/>
        <v>#DIV/0!</v>
      </c>
      <c r="AT78" s="58" t="e">
        <f t="shared" si="52"/>
        <v>#DIV/0!</v>
      </c>
      <c r="AU78" s="58" t="e">
        <f t="shared" si="52"/>
        <v>#DIV/0!</v>
      </c>
      <c r="AV78" s="58" t="e">
        <f t="shared" si="52"/>
        <v>#DIV/0!</v>
      </c>
      <c r="AW78" s="58" t="e">
        <f t="shared" si="52"/>
        <v>#DIV/0!</v>
      </c>
      <c r="AX78" s="58" t="e">
        <f t="shared" si="52"/>
        <v>#DIV/0!</v>
      </c>
      <c r="AY78" s="58" t="e">
        <f t="shared" si="52"/>
        <v>#DIV/0!</v>
      </c>
      <c r="AZ78" s="63"/>
      <c r="BA78" s="58" t="e">
        <f t="shared" si="52"/>
        <v>#DIV/0!</v>
      </c>
      <c r="BB78" s="63"/>
      <c r="BC78" s="57" t="e">
        <f>(Links!C78*Links!AQ78+'On-Ramps'!AC78*'On-Ramps'!CE78)/('On-Ramps'!AC78+Links!C78)</f>
        <v>#DIV/0!</v>
      </c>
      <c r="BD78" s="63"/>
      <c r="BE78" s="57" t="e">
        <f>(Links!E78*Links!AS78+'On-Ramps'!AD78*'On-Ramps'!CF77)/('On-Ramps'!AD78+Links!E78)</f>
        <v>#DIV/0!</v>
      </c>
      <c r="BF78" s="57" t="e">
        <f>(Links!F78*Links!AT78+'On-Ramps'!AE78*'On-Ramps'!CG78)/('On-Ramps'!AE78+Links!F78)</f>
        <v>#DIV/0!</v>
      </c>
      <c r="BG78" s="57" t="e">
        <f>(Links!I78*Links!AW78+'On-Ramps'!AF78*'On-Ramps'!CH78)/('On-Ramps'!AF78+Links!I78)</f>
        <v>#DIV/0!</v>
      </c>
      <c r="BH78" s="57" t="e">
        <f>(#REF!*#REF!+'On-Ramps'!AG78*'On-Ramps'!CI78)/('On-Ramps'!AG78+#REF!)</f>
        <v>#REF!</v>
      </c>
      <c r="BI78" s="57" t="e">
        <f>(Links!L78*Links!AZ78+'On-Ramps'!AH78*'On-Ramps'!CJ78)/('On-Ramps'!AH78+Links!L78)</f>
        <v>#DIV/0!</v>
      </c>
      <c r="BJ78" s="57" t="e">
        <f>(Links!BA78*Links!M78+'On-Ramps'!AI78*'On-Ramps'!CK78)/('On-Ramps'!AI78+Links!M78)</f>
        <v>#DIV/0!</v>
      </c>
      <c r="BK78" s="57" t="e">
        <f>(Links!S78*Links!BG78+'On-Ramps'!AJ78*'On-Ramps'!CL78)/('On-Ramps'!AJ78+Links!S78)</f>
        <v>#DIV/0!</v>
      </c>
      <c r="BL78" s="63"/>
      <c r="BM78" s="57" t="e">
        <f>(Links!S78*Links!BG78+'On-Ramps'!AL78*'On-Ramps'!CM78)/(Links!S78+'On-Ramps'!AL78)</f>
        <v>#DIV/0!</v>
      </c>
      <c r="BN78" s="63"/>
      <c r="BO78" s="58" t="e">
        <f>(Links!W78^2+'Off-Ramp'!L78^2)/(Links!W78+'Off-Ramp'!L78)</f>
        <v>#DIV/0!</v>
      </c>
      <c r="BP78" s="63"/>
      <c r="BQ78" s="58" t="e">
        <f>(Links!Y78^2+'Off-Ramp'!C78^2)/(Links!Y78+'Off-Ramp'!C78)</f>
        <v>#DIV/0!</v>
      </c>
      <c r="BR78" s="63"/>
      <c r="BS78" s="58" t="e">
        <f>(Links!AA78^2+'Off-Ramp'!N78^2)/(Links!AA78+'Off-Ramp'!N78)</f>
        <v>#DIV/0!</v>
      </c>
      <c r="BT78" s="58" t="e">
        <f>(Links!AD78^2+'Off-Ramp'!O78^2)/(Links!AD78+'Off-Ramp'!O78)</f>
        <v>#DIV/0!</v>
      </c>
      <c r="BU78" s="58" t="e">
        <f>(Links!AE78^2+'Off-Ramp'!V78^2+'Off-Ramp'!W78^2+'Off-Ramp'!X78^2)/(Links!AE78+'Off-Ramp'!V78+'Off-Ramp'!W78+'Off-Ramp'!X78)</f>
        <v>#DIV/0!</v>
      </c>
      <c r="BV78" s="58" t="e">
        <f>(Links!AG78^2+'Off-Ramp'!Y78^2+'Off-Ramp'!Z78^2+'Off-Ramp'!AA78^2)/(Links!AG78+'Off-Ramp'!Y78+'Off-Ramp'!Z78+'Off-Ramp'!AA78)</f>
        <v>#DIV/0!</v>
      </c>
      <c r="BW78" s="58" t="e">
        <f>(Links!AH78^2+'Off-Ramp'!R78^2)/(Links!AH78+'Off-Ramp'!R78)</f>
        <v>#DIV/0!</v>
      </c>
      <c r="BX78" s="58" t="e">
        <f>(Links!AK78^2+'Off-Ramp'!S78^2)/(Links!AK78+'Off-Ramp'!S78)</f>
        <v>#DIV/0!</v>
      </c>
      <c r="BY78" s="58" t="e">
        <f>(Links!AL78^2+'Off-Ramp'!T78^2)/(Links!AL78+'Off-Ramp'!T78)</f>
        <v>#DIV/0!</v>
      </c>
      <c r="BZ78" s="63"/>
      <c r="CA78" s="58" t="e">
        <f>(Links!AN78^2+'Off-Ramp'!U78^2)/(Links!AN78+'Off-Ramp'!U78)</f>
        <v>#DIV/0!</v>
      </c>
    </row>
    <row r="79" spans="1:79" x14ac:dyDescent="0.15">
      <c r="A79" s="56">
        <v>77</v>
      </c>
      <c r="B79" s="57" t="e">
        <f t="shared" si="30"/>
        <v>#DIV/0!</v>
      </c>
      <c r="C79" s="57" t="e">
        <f t="shared" si="31"/>
        <v>#DIV/0!</v>
      </c>
      <c r="D79" s="57" t="e">
        <f t="shared" si="32"/>
        <v>#DIV/0!</v>
      </c>
      <c r="E79" s="57" t="e">
        <f t="shared" si="33"/>
        <v>#DIV/0!</v>
      </c>
      <c r="F79" s="57" t="e">
        <f t="shared" si="34"/>
        <v>#DIV/0!</v>
      </c>
      <c r="G79" s="57" t="e">
        <f t="shared" si="35"/>
        <v>#DIV/0!</v>
      </c>
      <c r="H79" s="57" t="e">
        <f t="shared" si="36"/>
        <v>#DIV/0!</v>
      </c>
      <c r="I79" s="57" t="e">
        <f t="shared" si="37"/>
        <v>#DIV/0!</v>
      </c>
      <c r="J79" s="57" t="e">
        <f t="shared" si="38"/>
        <v>#DIV/0!</v>
      </c>
      <c r="K79" s="57" t="e">
        <f t="shared" si="39"/>
        <v>#DIV/0!</v>
      </c>
      <c r="L79" s="57" t="e">
        <f t="shared" si="40"/>
        <v>#DIV/0!</v>
      </c>
      <c r="M79" s="57" t="e">
        <f t="shared" si="41"/>
        <v>#DIV/0!</v>
      </c>
      <c r="N79" s="57" t="e">
        <f t="shared" si="42"/>
        <v>#DIV/0!</v>
      </c>
      <c r="O79" s="58" t="e">
        <f>Links!B79</f>
        <v>#DIV/0!</v>
      </c>
      <c r="P79" s="58" t="e">
        <f>Links!C79+'On-Ramps'!AC79</f>
        <v>#DIV/0!</v>
      </c>
      <c r="Q79" s="58" t="e">
        <f>Links!D79</f>
        <v>#DIV/0!</v>
      </c>
      <c r="R79" s="58" t="e">
        <f>Links!E79+'On-Ramps'!AD79</f>
        <v>#DIV/0!</v>
      </c>
      <c r="S79" s="58" t="e">
        <f>Links!F79+'On-Ramps'!AE79</f>
        <v>#DIV/0!</v>
      </c>
      <c r="T79" s="58" t="e">
        <f>Links!I79+'On-Ramps'!AF79</f>
        <v>#DIV/0!</v>
      </c>
      <c r="U79" s="58" t="e">
        <f>Links!J79+'On-Ramps'!AG79</f>
        <v>#DIV/0!</v>
      </c>
      <c r="V79" s="58" t="e">
        <f>Links!L79+'On-Ramps'!AH79</f>
        <v>#DIV/0!</v>
      </c>
      <c r="W79" s="58" t="e">
        <f>Links!M79+'On-Ramps'!AI79</f>
        <v>#DIV/0!</v>
      </c>
      <c r="X79" s="58" t="e">
        <f>Links!P79+'On-Ramps'!AJ79</f>
        <v>#DIV/0!</v>
      </c>
      <c r="Y79" s="58" t="e">
        <f>Links!Q79</f>
        <v>#DIV/0!</v>
      </c>
      <c r="Z79" s="58" t="e">
        <f>Links!R79+'On-Ramps'!AK79</f>
        <v>#DIV/0!</v>
      </c>
      <c r="AA79" s="58" t="e">
        <f>Links!S79</f>
        <v>#DIV/0!</v>
      </c>
      <c r="AB79" s="57" t="e">
        <f t="shared" si="43"/>
        <v>#DIV/0!</v>
      </c>
      <c r="AC79" s="63"/>
      <c r="AD79" s="57" t="e">
        <f t="shared" si="44"/>
        <v>#DIV/0!</v>
      </c>
      <c r="AE79" s="63"/>
      <c r="AF79" s="57" t="e">
        <f t="shared" si="45"/>
        <v>#DIV/0!</v>
      </c>
      <c r="AG79" s="57" t="e">
        <f t="shared" si="46"/>
        <v>#DIV/0!</v>
      </c>
      <c r="AH79" s="57" t="e">
        <f t="shared" si="47"/>
        <v>#DIV/0!</v>
      </c>
      <c r="AI79" s="57" t="e">
        <f t="shared" si="48"/>
        <v>#DIV/0!</v>
      </c>
      <c r="AJ79" s="57" t="e">
        <f t="shared" si="49"/>
        <v>#DIV/0!</v>
      </c>
      <c r="AK79" s="57" t="e">
        <f t="shared" si="50"/>
        <v>#DIV/0!</v>
      </c>
      <c r="AL79" s="57" t="e">
        <f t="shared" si="51"/>
        <v>#DIV/0!</v>
      </c>
      <c r="AM79" s="63"/>
      <c r="AN79" s="57" t="e">
        <f t="shared" si="26"/>
        <v>#DIV/0!</v>
      </c>
      <c r="AO79" s="58" t="e">
        <f t="shared" si="29"/>
        <v>#DIV/0!</v>
      </c>
      <c r="AP79" s="63"/>
      <c r="AQ79" s="58" t="e">
        <f t="shared" si="52"/>
        <v>#DIV/0!</v>
      </c>
      <c r="AR79" s="63"/>
      <c r="AS79" s="58" t="e">
        <f t="shared" si="52"/>
        <v>#DIV/0!</v>
      </c>
      <c r="AT79" s="58" t="e">
        <f t="shared" si="52"/>
        <v>#DIV/0!</v>
      </c>
      <c r="AU79" s="58" t="e">
        <f t="shared" si="52"/>
        <v>#DIV/0!</v>
      </c>
      <c r="AV79" s="58" t="e">
        <f t="shared" si="52"/>
        <v>#DIV/0!</v>
      </c>
      <c r="AW79" s="58" t="e">
        <f t="shared" si="52"/>
        <v>#DIV/0!</v>
      </c>
      <c r="AX79" s="58" t="e">
        <f t="shared" si="52"/>
        <v>#DIV/0!</v>
      </c>
      <c r="AY79" s="58" t="e">
        <f t="shared" si="52"/>
        <v>#DIV/0!</v>
      </c>
      <c r="AZ79" s="63"/>
      <c r="BA79" s="58" t="e">
        <f t="shared" si="52"/>
        <v>#DIV/0!</v>
      </c>
      <c r="BB79" s="63"/>
      <c r="BC79" s="57" t="e">
        <f>(Links!C79*Links!AQ79+'On-Ramps'!AC79*'On-Ramps'!CE79)/('On-Ramps'!AC79+Links!C79)</f>
        <v>#DIV/0!</v>
      </c>
      <c r="BD79" s="63"/>
      <c r="BE79" s="57" t="e">
        <f>(Links!E79*Links!AS79+'On-Ramps'!AD79*'On-Ramps'!CF78)/('On-Ramps'!AD79+Links!E79)</f>
        <v>#DIV/0!</v>
      </c>
      <c r="BF79" s="57" t="e">
        <f>(Links!F79*Links!AT79+'On-Ramps'!AE79*'On-Ramps'!CG79)/('On-Ramps'!AE79+Links!F79)</f>
        <v>#DIV/0!</v>
      </c>
      <c r="BG79" s="57" t="e">
        <f>(Links!I79*Links!AW79+'On-Ramps'!AF79*'On-Ramps'!CH79)/('On-Ramps'!AF79+Links!I79)</f>
        <v>#DIV/0!</v>
      </c>
      <c r="BH79" s="57" t="e">
        <f>(#REF!*#REF!+'On-Ramps'!AG79*'On-Ramps'!CI79)/('On-Ramps'!AG79+#REF!)</f>
        <v>#REF!</v>
      </c>
      <c r="BI79" s="57" t="e">
        <f>(Links!L79*Links!AZ79+'On-Ramps'!AH79*'On-Ramps'!CJ79)/('On-Ramps'!AH79+Links!L79)</f>
        <v>#DIV/0!</v>
      </c>
      <c r="BJ79" s="57" t="e">
        <f>(Links!BA79*Links!M79+'On-Ramps'!AI79*'On-Ramps'!CK79)/('On-Ramps'!AI79+Links!M79)</f>
        <v>#DIV/0!</v>
      </c>
      <c r="BK79" s="57" t="e">
        <f>(Links!S79*Links!BG79+'On-Ramps'!AJ79*'On-Ramps'!CL79)/('On-Ramps'!AJ79+Links!S79)</f>
        <v>#DIV/0!</v>
      </c>
      <c r="BL79" s="63"/>
      <c r="BM79" s="57" t="e">
        <f>(Links!S79*Links!BG79+'On-Ramps'!AL79*'On-Ramps'!CM79)/(Links!S79+'On-Ramps'!AL79)</f>
        <v>#DIV/0!</v>
      </c>
      <c r="BN79" s="63"/>
      <c r="BO79" s="58" t="e">
        <f>(Links!W79^2+'Off-Ramp'!L79^2)/(Links!W79+'Off-Ramp'!L79)</f>
        <v>#DIV/0!</v>
      </c>
      <c r="BP79" s="63"/>
      <c r="BQ79" s="58" t="e">
        <f>(Links!Y79^2+'Off-Ramp'!C79^2)/(Links!Y79+'Off-Ramp'!C79)</f>
        <v>#DIV/0!</v>
      </c>
      <c r="BR79" s="63"/>
      <c r="BS79" s="58" t="e">
        <f>(Links!AA79^2+'Off-Ramp'!N79^2)/(Links!AA79+'Off-Ramp'!N79)</f>
        <v>#DIV/0!</v>
      </c>
      <c r="BT79" s="58" t="e">
        <f>(Links!AD79^2+'Off-Ramp'!O79^2)/(Links!AD79+'Off-Ramp'!O79)</f>
        <v>#DIV/0!</v>
      </c>
      <c r="BU79" s="58" t="e">
        <f>(Links!AE79^2+'Off-Ramp'!V79^2+'Off-Ramp'!W79^2+'Off-Ramp'!X79^2)/(Links!AE79+'Off-Ramp'!V79+'Off-Ramp'!W79+'Off-Ramp'!X79)</f>
        <v>#DIV/0!</v>
      </c>
      <c r="BV79" s="58" t="e">
        <f>(Links!AG79^2+'Off-Ramp'!Y79^2+'Off-Ramp'!Z79^2+'Off-Ramp'!AA79^2)/(Links!AG79+'Off-Ramp'!Y79+'Off-Ramp'!Z79+'Off-Ramp'!AA79)</f>
        <v>#DIV/0!</v>
      </c>
      <c r="BW79" s="58" t="e">
        <f>(Links!AH79^2+'Off-Ramp'!R79^2)/(Links!AH79+'Off-Ramp'!R79)</f>
        <v>#DIV/0!</v>
      </c>
      <c r="BX79" s="58" t="e">
        <f>(Links!AK79^2+'Off-Ramp'!S79^2)/(Links!AK79+'Off-Ramp'!S79)</f>
        <v>#DIV/0!</v>
      </c>
      <c r="BY79" s="58" t="e">
        <f>(Links!AL79^2+'Off-Ramp'!T79^2)/(Links!AL79+'Off-Ramp'!T79)</f>
        <v>#DIV/0!</v>
      </c>
      <c r="BZ79" s="63"/>
      <c r="CA79" s="58" t="e">
        <f>(Links!AN79^2+'Off-Ramp'!U79^2)/(Links!AN79+'Off-Ramp'!U79)</f>
        <v>#DIV/0!</v>
      </c>
    </row>
    <row r="80" spans="1:79" x14ac:dyDescent="0.15">
      <c r="A80" s="56">
        <v>78</v>
      </c>
      <c r="B80" s="57" t="e">
        <f t="shared" si="30"/>
        <v>#DIV/0!</v>
      </c>
      <c r="C80" s="57" t="e">
        <f t="shared" si="31"/>
        <v>#DIV/0!</v>
      </c>
      <c r="D80" s="57" t="e">
        <f t="shared" si="32"/>
        <v>#DIV/0!</v>
      </c>
      <c r="E80" s="57" t="e">
        <f t="shared" si="33"/>
        <v>#DIV/0!</v>
      </c>
      <c r="F80" s="57" t="e">
        <f t="shared" si="34"/>
        <v>#DIV/0!</v>
      </c>
      <c r="G80" s="57" t="e">
        <f t="shared" si="35"/>
        <v>#DIV/0!</v>
      </c>
      <c r="H80" s="57" t="e">
        <f t="shared" si="36"/>
        <v>#DIV/0!</v>
      </c>
      <c r="I80" s="57" t="e">
        <f t="shared" si="37"/>
        <v>#DIV/0!</v>
      </c>
      <c r="J80" s="57" t="e">
        <f t="shared" si="38"/>
        <v>#DIV/0!</v>
      </c>
      <c r="K80" s="57" t="e">
        <f t="shared" si="39"/>
        <v>#DIV/0!</v>
      </c>
      <c r="L80" s="57" t="e">
        <f t="shared" si="40"/>
        <v>#DIV/0!</v>
      </c>
      <c r="M80" s="57" t="e">
        <f t="shared" si="41"/>
        <v>#DIV/0!</v>
      </c>
      <c r="N80" s="57" t="e">
        <f t="shared" si="42"/>
        <v>#DIV/0!</v>
      </c>
      <c r="O80" s="58" t="e">
        <f>Links!B80</f>
        <v>#DIV/0!</v>
      </c>
      <c r="P80" s="58" t="e">
        <f>Links!C80+'On-Ramps'!AC80</f>
        <v>#DIV/0!</v>
      </c>
      <c r="Q80" s="58" t="e">
        <f>Links!D80</f>
        <v>#DIV/0!</v>
      </c>
      <c r="R80" s="58" t="e">
        <f>Links!E80+'On-Ramps'!AD80</f>
        <v>#DIV/0!</v>
      </c>
      <c r="S80" s="58" t="e">
        <f>Links!F80+'On-Ramps'!AE80</f>
        <v>#DIV/0!</v>
      </c>
      <c r="T80" s="58" t="e">
        <f>Links!I80+'On-Ramps'!AF80</f>
        <v>#DIV/0!</v>
      </c>
      <c r="U80" s="58" t="e">
        <f>Links!J80+'On-Ramps'!AG80</f>
        <v>#DIV/0!</v>
      </c>
      <c r="V80" s="58" t="e">
        <f>Links!L80+'On-Ramps'!AH80</f>
        <v>#DIV/0!</v>
      </c>
      <c r="W80" s="58" t="e">
        <f>Links!M80+'On-Ramps'!AI80</f>
        <v>#DIV/0!</v>
      </c>
      <c r="X80" s="58" t="e">
        <f>Links!P80+'On-Ramps'!AJ80</f>
        <v>#DIV/0!</v>
      </c>
      <c r="Y80" s="58" t="e">
        <f>Links!Q80</f>
        <v>#DIV/0!</v>
      </c>
      <c r="Z80" s="58" t="e">
        <f>Links!R80+'On-Ramps'!AK80</f>
        <v>#DIV/0!</v>
      </c>
      <c r="AA80" s="58" t="e">
        <f>Links!S80</f>
        <v>#DIV/0!</v>
      </c>
      <c r="AB80" s="57" t="e">
        <f t="shared" si="43"/>
        <v>#DIV/0!</v>
      </c>
      <c r="AC80" s="63"/>
      <c r="AD80" s="57" t="e">
        <f t="shared" si="44"/>
        <v>#DIV/0!</v>
      </c>
      <c r="AE80" s="63"/>
      <c r="AF80" s="57" t="e">
        <f t="shared" si="45"/>
        <v>#DIV/0!</v>
      </c>
      <c r="AG80" s="57" t="e">
        <f t="shared" si="46"/>
        <v>#DIV/0!</v>
      </c>
      <c r="AH80" s="57" t="e">
        <f t="shared" si="47"/>
        <v>#DIV/0!</v>
      </c>
      <c r="AI80" s="57" t="e">
        <f t="shared" si="48"/>
        <v>#DIV/0!</v>
      </c>
      <c r="AJ80" s="57" t="e">
        <f t="shared" si="49"/>
        <v>#DIV/0!</v>
      </c>
      <c r="AK80" s="57" t="e">
        <f t="shared" si="50"/>
        <v>#DIV/0!</v>
      </c>
      <c r="AL80" s="57" t="e">
        <f t="shared" si="51"/>
        <v>#DIV/0!</v>
      </c>
      <c r="AM80" s="63"/>
      <c r="AN80" s="57" t="e">
        <f t="shared" si="26"/>
        <v>#DIV/0!</v>
      </c>
      <c r="AO80" s="58" t="e">
        <f t="shared" si="29"/>
        <v>#DIV/0!</v>
      </c>
      <c r="AP80" s="63"/>
      <c r="AQ80" s="58" t="e">
        <f t="shared" si="52"/>
        <v>#DIV/0!</v>
      </c>
      <c r="AR80" s="63"/>
      <c r="AS80" s="58" t="e">
        <f t="shared" si="52"/>
        <v>#DIV/0!</v>
      </c>
      <c r="AT80" s="58" t="e">
        <f t="shared" si="52"/>
        <v>#DIV/0!</v>
      </c>
      <c r="AU80" s="58" t="e">
        <f t="shared" si="52"/>
        <v>#DIV/0!</v>
      </c>
      <c r="AV80" s="58" t="e">
        <f t="shared" si="52"/>
        <v>#DIV/0!</v>
      </c>
      <c r="AW80" s="58" t="e">
        <f t="shared" si="52"/>
        <v>#DIV/0!</v>
      </c>
      <c r="AX80" s="58" t="e">
        <f t="shared" si="52"/>
        <v>#DIV/0!</v>
      </c>
      <c r="AY80" s="58" t="e">
        <f t="shared" si="52"/>
        <v>#DIV/0!</v>
      </c>
      <c r="AZ80" s="63"/>
      <c r="BA80" s="58" t="e">
        <f t="shared" si="52"/>
        <v>#DIV/0!</v>
      </c>
      <c r="BB80" s="63"/>
      <c r="BC80" s="57" t="e">
        <f>(Links!C80*Links!AQ80+'On-Ramps'!AC80*'On-Ramps'!CE80)/('On-Ramps'!AC80+Links!C80)</f>
        <v>#DIV/0!</v>
      </c>
      <c r="BD80" s="63"/>
      <c r="BE80" s="57" t="e">
        <f>(Links!E80*Links!AS80+'On-Ramps'!AD80*'On-Ramps'!CF79)/('On-Ramps'!AD80+Links!E80)</f>
        <v>#DIV/0!</v>
      </c>
      <c r="BF80" s="57" t="e">
        <f>(Links!F80*Links!AT80+'On-Ramps'!AE80*'On-Ramps'!CG80)/('On-Ramps'!AE80+Links!F80)</f>
        <v>#DIV/0!</v>
      </c>
      <c r="BG80" s="57" t="e">
        <f>(Links!I80*Links!AW80+'On-Ramps'!AF80*'On-Ramps'!CH80)/('On-Ramps'!AF80+Links!I80)</f>
        <v>#DIV/0!</v>
      </c>
      <c r="BH80" s="57" t="e">
        <f>(#REF!*#REF!+'On-Ramps'!AG80*'On-Ramps'!CI80)/('On-Ramps'!AG80+#REF!)</f>
        <v>#REF!</v>
      </c>
      <c r="BI80" s="57" t="e">
        <f>(Links!L80*Links!AZ80+'On-Ramps'!AH80*'On-Ramps'!CJ80)/('On-Ramps'!AH80+Links!L80)</f>
        <v>#DIV/0!</v>
      </c>
      <c r="BJ80" s="57" t="e">
        <f>(Links!BA80*Links!M80+'On-Ramps'!AI80*'On-Ramps'!CK80)/('On-Ramps'!AI80+Links!M80)</f>
        <v>#DIV/0!</v>
      </c>
      <c r="BK80" s="57" t="e">
        <f>(Links!S80*Links!BG80+'On-Ramps'!AJ80*'On-Ramps'!CL80)/('On-Ramps'!AJ80+Links!S80)</f>
        <v>#DIV/0!</v>
      </c>
      <c r="BL80" s="63"/>
      <c r="BM80" s="57" t="e">
        <f>(Links!S80*Links!BG80+'On-Ramps'!AL80*'On-Ramps'!CM80)/(Links!S80+'On-Ramps'!AL80)</f>
        <v>#DIV/0!</v>
      </c>
      <c r="BN80" s="63"/>
      <c r="BO80" s="58" t="e">
        <f>(Links!W80^2+'Off-Ramp'!L80^2)/(Links!W80+'Off-Ramp'!L80)</f>
        <v>#DIV/0!</v>
      </c>
      <c r="BP80" s="63"/>
      <c r="BQ80" s="58" t="e">
        <f>(Links!Y80^2+'Off-Ramp'!C80^2)/(Links!Y80+'Off-Ramp'!C80)</f>
        <v>#DIV/0!</v>
      </c>
      <c r="BR80" s="63"/>
      <c r="BS80" s="58" t="e">
        <f>(Links!AA80^2+'Off-Ramp'!N80^2)/(Links!AA80+'Off-Ramp'!N80)</f>
        <v>#DIV/0!</v>
      </c>
      <c r="BT80" s="58" t="e">
        <f>(Links!AD80^2+'Off-Ramp'!O80^2)/(Links!AD80+'Off-Ramp'!O80)</f>
        <v>#DIV/0!</v>
      </c>
      <c r="BU80" s="58" t="e">
        <f>(Links!AE80^2+'Off-Ramp'!V80^2+'Off-Ramp'!W80^2+'Off-Ramp'!X80^2)/(Links!AE80+'Off-Ramp'!V80+'Off-Ramp'!W80+'Off-Ramp'!X80)</f>
        <v>#DIV/0!</v>
      </c>
      <c r="BV80" s="58" t="e">
        <f>(Links!AG80^2+'Off-Ramp'!Y80^2+'Off-Ramp'!Z80^2+'Off-Ramp'!AA80^2)/(Links!AG80+'Off-Ramp'!Y80+'Off-Ramp'!Z80+'Off-Ramp'!AA80)</f>
        <v>#DIV/0!</v>
      </c>
      <c r="BW80" s="58" t="e">
        <f>(Links!AH80^2+'Off-Ramp'!R80^2)/(Links!AH80+'Off-Ramp'!R80)</f>
        <v>#DIV/0!</v>
      </c>
      <c r="BX80" s="58" t="e">
        <f>(Links!AK80^2+'Off-Ramp'!S80^2)/(Links!AK80+'Off-Ramp'!S80)</f>
        <v>#DIV/0!</v>
      </c>
      <c r="BY80" s="58" t="e">
        <f>(Links!AL80^2+'Off-Ramp'!T80^2)/(Links!AL80+'Off-Ramp'!T80)</f>
        <v>#DIV/0!</v>
      </c>
      <c r="BZ80" s="63"/>
      <c r="CA80" s="58" t="e">
        <f>(Links!AN80^2+'Off-Ramp'!U80^2)/(Links!AN80+'Off-Ramp'!U80)</f>
        <v>#DIV/0!</v>
      </c>
    </row>
    <row r="81" spans="1:79" x14ac:dyDescent="0.15">
      <c r="A81" s="56">
        <v>79</v>
      </c>
      <c r="B81" s="57" t="e">
        <f t="shared" si="30"/>
        <v>#DIV/0!</v>
      </c>
      <c r="C81" s="57" t="e">
        <f t="shared" si="31"/>
        <v>#DIV/0!</v>
      </c>
      <c r="D81" s="57" t="e">
        <f t="shared" si="32"/>
        <v>#DIV/0!</v>
      </c>
      <c r="E81" s="57" t="e">
        <f t="shared" si="33"/>
        <v>#DIV/0!</v>
      </c>
      <c r="F81" s="57" t="e">
        <f t="shared" si="34"/>
        <v>#DIV/0!</v>
      </c>
      <c r="G81" s="57" t="e">
        <f t="shared" si="35"/>
        <v>#DIV/0!</v>
      </c>
      <c r="H81" s="57" t="e">
        <f t="shared" si="36"/>
        <v>#DIV/0!</v>
      </c>
      <c r="I81" s="57" t="e">
        <f t="shared" si="37"/>
        <v>#DIV/0!</v>
      </c>
      <c r="J81" s="57" t="e">
        <f t="shared" si="38"/>
        <v>#DIV/0!</v>
      </c>
      <c r="K81" s="57" t="e">
        <f t="shared" si="39"/>
        <v>#DIV/0!</v>
      </c>
      <c r="L81" s="57" t="e">
        <f t="shared" si="40"/>
        <v>#DIV/0!</v>
      </c>
      <c r="M81" s="57" t="e">
        <f t="shared" si="41"/>
        <v>#DIV/0!</v>
      </c>
      <c r="N81" s="57" t="e">
        <f t="shared" si="42"/>
        <v>#DIV/0!</v>
      </c>
      <c r="O81" s="58" t="e">
        <f>Links!B81</f>
        <v>#DIV/0!</v>
      </c>
      <c r="P81" s="58" t="e">
        <f>Links!C81+'On-Ramps'!AC81</f>
        <v>#DIV/0!</v>
      </c>
      <c r="Q81" s="58" t="e">
        <f>Links!D81</f>
        <v>#DIV/0!</v>
      </c>
      <c r="R81" s="58" t="e">
        <f>Links!E81+'On-Ramps'!AD81</f>
        <v>#DIV/0!</v>
      </c>
      <c r="S81" s="58" t="e">
        <f>Links!F81+'On-Ramps'!AE81</f>
        <v>#DIV/0!</v>
      </c>
      <c r="T81" s="58" t="e">
        <f>Links!I81+'On-Ramps'!AF81</f>
        <v>#DIV/0!</v>
      </c>
      <c r="U81" s="58" t="e">
        <f>Links!J81+'On-Ramps'!AG81</f>
        <v>#DIV/0!</v>
      </c>
      <c r="V81" s="58" t="e">
        <f>Links!L81+'On-Ramps'!AH81</f>
        <v>#DIV/0!</v>
      </c>
      <c r="W81" s="58" t="e">
        <f>Links!M81+'On-Ramps'!AI81</f>
        <v>#DIV/0!</v>
      </c>
      <c r="X81" s="58" t="e">
        <f>Links!P81+'On-Ramps'!AJ81</f>
        <v>#DIV/0!</v>
      </c>
      <c r="Y81" s="58" t="e">
        <f>Links!Q81</f>
        <v>#DIV/0!</v>
      </c>
      <c r="Z81" s="58" t="e">
        <f>Links!R81+'On-Ramps'!AK81</f>
        <v>#DIV/0!</v>
      </c>
      <c r="AA81" s="58" t="e">
        <f>Links!S81</f>
        <v>#DIV/0!</v>
      </c>
      <c r="AB81" s="57" t="e">
        <f t="shared" si="43"/>
        <v>#DIV/0!</v>
      </c>
      <c r="AC81" s="63"/>
      <c r="AD81" s="57" t="e">
        <f t="shared" si="44"/>
        <v>#DIV/0!</v>
      </c>
      <c r="AE81" s="63"/>
      <c r="AF81" s="57" t="e">
        <f t="shared" si="45"/>
        <v>#DIV/0!</v>
      </c>
      <c r="AG81" s="57" t="e">
        <f t="shared" si="46"/>
        <v>#DIV/0!</v>
      </c>
      <c r="AH81" s="57" t="e">
        <f t="shared" si="47"/>
        <v>#DIV/0!</v>
      </c>
      <c r="AI81" s="57" t="e">
        <f t="shared" si="48"/>
        <v>#DIV/0!</v>
      </c>
      <c r="AJ81" s="57" t="e">
        <f t="shared" si="49"/>
        <v>#DIV/0!</v>
      </c>
      <c r="AK81" s="57" t="e">
        <f t="shared" si="50"/>
        <v>#DIV/0!</v>
      </c>
      <c r="AL81" s="57" t="e">
        <f t="shared" si="51"/>
        <v>#DIV/0!</v>
      </c>
      <c r="AM81" s="63"/>
      <c r="AN81" s="57" t="e">
        <f t="shared" si="26"/>
        <v>#DIV/0!</v>
      </c>
      <c r="AO81" s="58" t="e">
        <f t="shared" si="29"/>
        <v>#DIV/0!</v>
      </c>
      <c r="AP81" s="63"/>
      <c r="AQ81" s="58" t="e">
        <f t="shared" si="52"/>
        <v>#DIV/0!</v>
      </c>
      <c r="AR81" s="63"/>
      <c r="AS81" s="58" t="e">
        <f t="shared" si="52"/>
        <v>#DIV/0!</v>
      </c>
      <c r="AT81" s="58" t="e">
        <f t="shared" si="52"/>
        <v>#DIV/0!</v>
      </c>
      <c r="AU81" s="58" t="e">
        <f t="shared" si="52"/>
        <v>#DIV/0!</v>
      </c>
      <c r="AV81" s="58" t="e">
        <f t="shared" si="52"/>
        <v>#DIV/0!</v>
      </c>
      <c r="AW81" s="58" t="e">
        <f t="shared" si="52"/>
        <v>#DIV/0!</v>
      </c>
      <c r="AX81" s="58" t="e">
        <f t="shared" si="52"/>
        <v>#DIV/0!</v>
      </c>
      <c r="AY81" s="58" t="e">
        <f t="shared" si="52"/>
        <v>#DIV/0!</v>
      </c>
      <c r="AZ81" s="63"/>
      <c r="BA81" s="58" t="e">
        <f t="shared" si="52"/>
        <v>#DIV/0!</v>
      </c>
      <c r="BB81" s="63"/>
      <c r="BC81" s="57" t="e">
        <f>(Links!C81*Links!AQ81+'On-Ramps'!AC81*'On-Ramps'!CE81)/('On-Ramps'!AC81+Links!C81)</f>
        <v>#DIV/0!</v>
      </c>
      <c r="BD81" s="63"/>
      <c r="BE81" s="57" t="e">
        <f>(Links!E81*Links!AS81+'On-Ramps'!AD81*'On-Ramps'!CF80)/('On-Ramps'!AD81+Links!E81)</f>
        <v>#DIV/0!</v>
      </c>
      <c r="BF81" s="57" t="e">
        <f>(Links!F81*Links!AT81+'On-Ramps'!AE81*'On-Ramps'!CG81)/('On-Ramps'!AE81+Links!F81)</f>
        <v>#DIV/0!</v>
      </c>
      <c r="BG81" s="57" t="e">
        <f>(Links!I81*Links!AW81+'On-Ramps'!AF81*'On-Ramps'!CH81)/('On-Ramps'!AF81+Links!I81)</f>
        <v>#DIV/0!</v>
      </c>
      <c r="BH81" s="57" t="e">
        <f>(#REF!*#REF!+'On-Ramps'!AG81*'On-Ramps'!CI81)/('On-Ramps'!AG81+#REF!)</f>
        <v>#REF!</v>
      </c>
      <c r="BI81" s="57" t="e">
        <f>(Links!L81*Links!AZ81+'On-Ramps'!AH81*'On-Ramps'!CJ81)/('On-Ramps'!AH81+Links!L81)</f>
        <v>#DIV/0!</v>
      </c>
      <c r="BJ81" s="57" t="e">
        <f>(Links!BA81*Links!M81+'On-Ramps'!AI81*'On-Ramps'!CK81)/('On-Ramps'!AI81+Links!M81)</f>
        <v>#DIV/0!</v>
      </c>
      <c r="BK81" s="57" t="e">
        <f>(Links!S81*Links!BG81+'On-Ramps'!AJ81*'On-Ramps'!CL81)/('On-Ramps'!AJ81+Links!S81)</f>
        <v>#DIV/0!</v>
      </c>
      <c r="BL81" s="63"/>
      <c r="BM81" s="57" t="e">
        <f>(Links!S81*Links!BG81+'On-Ramps'!AL81*'On-Ramps'!CM81)/(Links!S81+'On-Ramps'!AL81)</f>
        <v>#DIV/0!</v>
      </c>
      <c r="BN81" s="63"/>
      <c r="BO81" s="58" t="e">
        <f>(Links!W81^2+'Off-Ramp'!L81^2)/(Links!W81+'Off-Ramp'!L81)</f>
        <v>#DIV/0!</v>
      </c>
      <c r="BP81" s="63"/>
      <c r="BQ81" s="58" t="e">
        <f>(Links!Y81^2+'Off-Ramp'!C81^2)/(Links!Y81+'Off-Ramp'!C81)</f>
        <v>#DIV/0!</v>
      </c>
      <c r="BR81" s="63"/>
      <c r="BS81" s="58" t="e">
        <f>(Links!AA81^2+'Off-Ramp'!N81^2)/(Links!AA81+'Off-Ramp'!N81)</f>
        <v>#DIV/0!</v>
      </c>
      <c r="BT81" s="58" t="e">
        <f>(Links!AD81^2+'Off-Ramp'!O81^2)/(Links!AD81+'Off-Ramp'!O81)</f>
        <v>#DIV/0!</v>
      </c>
      <c r="BU81" s="58" t="e">
        <f>(Links!AE81^2+'Off-Ramp'!V81^2+'Off-Ramp'!W81^2+'Off-Ramp'!X81^2)/(Links!AE81+'Off-Ramp'!V81+'Off-Ramp'!W81+'Off-Ramp'!X81)</f>
        <v>#DIV/0!</v>
      </c>
      <c r="BV81" s="58" t="e">
        <f>(Links!AG81^2+'Off-Ramp'!Y81^2+'Off-Ramp'!Z81^2+'Off-Ramp'!AA81^2)/(Links!AG81+'Off-Ramp'!Y81+'Off-Ramp'!Z81+'Off-Ramp'!AA81)</f>
        <v>#DIV/0!</v>
      </c>
      <c r="BW81" s="58" t="e">
        <f>(Links!AH81^2+'Off-Ramp'!R81^2)/(Links!AH81+'Off-Ramp'!R81)</f>
        <v>#DIV/0!</v>
      </c>
      <c r="BX81" s="58" t="e">
        <f>(Links!AK81^2+'Off-Ramp'!S81^2)/(Links!AK81+'Off-Ramp'!S81)</f>
        <v>#DIV/0!</v>
      </c>
      <c r="BY81" s="58" t="e">
        <f>(Links!AL81^2+'Off-Ramp'!T81^2)/(Links!AL81+'Off-Ramp'!T81)</f>
        <v>#DIV/0!</v>
      </c>
      <c r="BZ81" s="63"/>
      <c r="CA81" s="58" t="e">
        <f>(Links!AN81^2+'Off-Ramp'!U81^2)/(Links!AN81+'Off-Ramp'!U81)</f>
        <v>#DIV/0!</v>
      </c>
    </row>
    <row r="82" spans="1:79" x14ac:dyDescent="0.15">
      <c r="A82" s="56">
        <v>80</v>
      </c>
      <c r="B82" s="57" t="e">
        <f t="shared" si="30"/>
        <v>#DIV/0!</v>
      </c>
      <c r="C82" s="57" t="e">
        <f t="shared" si="31"/>
        <v>#DIV/0!</v>
      </c>
      <c r="D82" s="57" t="e">
        <f t="shared" si="32"/>
        <v>#DIV/0!</v>
      </c>
      <c r="E82" s="57" t="e">
        <f t="shared" si="33"/>
        <v>#DIV/0!</v>
      </c>
      <c r="F82" s="57" t="e">
        <f t="shared" si="34"/>
        <v>#DIV/0!</v>
      </c>
      <c r="G82" s="57" t="e">
        <f t="shared" si="35"/>
        <v>#DIV/0!</v>
      </c>
      <c r="H82" s="57" t="e">
        <f t="shared" si="36"/>
        <v>#DIV/0!</v>
      </c>
      <c r="I82" s="57" t="e">
        <f t="shared" si="37"/>
        <v>#DIV/0!</v>
      </c>
      <c r="J82" s="57" t="e">
        <f t="shared" si="38"/>
        <v>#DIV/0!</v>
      </c>
      <c r="K82" s="57" t="e">
        <f t="shared" si="39"/>
        <v>#DIV/0!</v>
      </c>
      <c r="L82" s="57" t="e">
        <f t="shared" si="40"/>
        <v>#DIV/0!</v>
      </c>
      <c r="M82" s="57" t="e">
        <f t="shared" si="41"/>
        <v>#DIV/0!</v>
      </c>
      <c r="N82" s="57" t="e">
        <f t="shared" si="42"/>
        <v>#DIV/0!</v>
      </c>
      <c r="O82" s="58" t="e">
        <f>Links!B82</f>
        <v>#DIV/0!</v>
      </c>
      <c r="P82" s="58" t="e">
        <f>Links!C82+'On-Ramps'!AC82</f>
        <v>#DIV/0!</v>
      </c>
      <c r="Q82" s="58" t="e">
        <f>Links!D82</f>
        <v>#DIV/0!</v>
      </c>
      <c r="R82" s="58" t="e">
        <f>Links!E82+'On-Ramps'!AD82</f>
        <v>#DIV/0!</v>
      </c>
      <c r="S82" s="58" t="e">
        <f>Links!F82+'On-Ramps'!AE82</f>
        <v>#DIV/0!</v>
      </c>
      <c r="T82" s="58" t="e">
        <f>Links!I82+'On-Ramps'!AF82</f>
        <v>#DIV/0!</v>
      </c>
      <c r="U82" s="58" t="e">
        <f>Links!J82+'On-Ramps'!AG82</f>
        <v>#DIV/0!</v>
      </c>
      <c r="V82" s="58" t="e">
        <f>Links!L82+'On-Ramps'!AH82</f>
        <v>#DIV/0!</v>
      </c>
      <c r="W82" s="58" t="e">
        <f>Links!M82+'On-Ramps'!AI82</f>
        <v>#DIV/0!</v>
      </c>
      <c r="X82" s="58" t="e">
        <f>Links!P82+'On-Ramps'!AJ82</f>
        <v>#DIV/0!</v>
      </c>
      <c r="Y82" s="58" t="e">
        <f>Links!Q82</f>
        <v>#DIV/0!</v>
      </c>
      <c r="Z82" s="58" t="e">
        <f>Links!R82+'On-Ramps'!AK82</f>
        <v>#DIV/0!</v>
      </c>
      <c r="AA82" s="58" t="e">
        <f>Links!S82</f>
        <v>#DIV/0!</v>
      </c>
      <c r="AB82" s="57" t="e">
        <f t="shared" si="43"/>
        <v>#DIV/0!</v>
      </c>
      <c r="AC82" s="63"/>
      <c r="AD82" s="57" t="e">
        <f t="shared" si="44"/>
        <v>#DIV/0!</v>
      </c>
      <c r="AE82" s="63"/>
      <c r="AF82" s="57" t="e">
        <f t="shared" si="45"/>
        <v>#DIV/0!</v>
      </c>
      <c r="AG82" s="57" t="e">
        <f t="shared" si="46"/>
        <v>#DIV/0!</v>
      </c>
      <c r="AH82" s="57" t="e">
        <f t="shared" si="47"/>
        <v>#DIV/0!</v>
      </c>
      <c r="AI82" s="57" t="e">
        <f t="shared" si="48"/>
        <v>#DIV/0!</v>
      </c>
      <c r="AJ82" s="57" t="e">
        <f t="shared" si="49"/>
        <v>#DIV/0!</v>
      </c>
      <c r="AK82" s="57" t="e">
        <f t="shared" si="50"/>
        <v>#DIV/0!</v>
      </c>
      <c r="AL82" s="57" t="e">
        <f t="shared" si="51"/>
        <v>#DIV/0!</v>
      </c>
      <c r="AM82" s="63"/>
      <c r="AN82" s="57" t="e">
        <f t="shared" si="26"/>
        <v>#DIV/0!</v>
      </c>
      <c r="AO82" s="58" t="e">
        <f t="shared" si="29"/>
        <v>#DIV/0!</v>
      </c>
      <c r="AP82" s="63"/>
      <c r="AQ82" s="58" t="e">
        <f t="shared" si="52"/>
        <v>#DIV/0!</v>
      </c>
      <c r="AR82" s="63"/>
      <c r="AS82" s="58" t="e">
        <f t="shared" si="52"/>
        <v>#DIV/0!</v>
      </c>
      <c r="AT82" s="58" t="e">
        <f t="shared" si="52"/>
        <v>#DIV/0!</v>
      </c>
      <c r="AU82" s="58" t="e">
        <f t="shared" si="52"/>
        <v>#DIV/0!</v>
      </c>
      <c r="AV82" s="58" t="e">
        <f t="shared" si="52"/>
        <v>#DIV/0!</v>
      </c>
      <c r="AW82" s="58" t="e">
        <f t="shared" si="52"/>
        <v>#DIV/0!</v>
      </c>
      <c r="AX82" s="58" t="e">
        <f t="shared" si="52"/>
        <v>#DIV/0!</v>
      </c>
      <c r="AY82" s="58" t="e">
        <f t="shared" si="52"/>
        <v>#DIV/0!</v>
      </c>
      <c r="AZ82" s="63"/>
      <c r="BA82" s="58" t="e">
        <f t="shared" si="52"/>
        <v>#DIV/0!</v>
      </c>
      <c r="BB82" s="63"/>
      <c r="BC82" s="57" t="e">
        <f>(Links!C82*Links!AQ82+'On-Ramps'!AC82*'On-Ramps'!CE82)/('On-Ramps'!AC82+Links!C82)</f>
        <v>#DIV/0!</v>
      </c>
      <c r="BD82" s="63"/>
      <c r="BE82" s="57" t="e">
        <f>(Links!E82*Links!AS82+'On-Ramps'!AD82*'On-Ramps'!CF81)/('On-Ramps'!AD82+Links!E82)</f>
        <v>#DIV/0!</v>
      </c>
      <c r="BF82" s="57" t="e">
        <f>(Links!F82*Links!AT82+'On-Ramps'!AE82*'On-Ramps'!CG82)/('On-Ramps'!AE82+Links!F82)</f>
        <v>#DIV/0!</v>
      </c>
      <c r="BG82" s="57" t="e">
        <f>(Links!I82*Links!AW82+'On-Ramps'!AF82*'On-Ramps'!CH82)/('On-Ramps'!AF82+Links!I82)</f>
        <v>#DIV/0!</v>
      </c>
      <c r="BH82" s="57" t="e">
        <f>(#REF!*#REF!+'On-Ramps'!AG82*'On-Ramps'!CI82)/('On-Ramps'!AG82+#REF!)</f>
        <v>#REF!</v>
      </c>
      <c r="BI82" s="57" t="e">
        <f>(Links!L82*Links!AZ82+'On-Ramps'!AH82*'On-Ramps'!CJ82)/('On-Ramps'!AH82+Links!L82)</f>
        <v>#DIV/0!</v>
      </c>
      <c r="BJ82" s="57" t="e">
        <f>(Links!BA82*Links!M82+'On-Ramps'!AI82*'On-Ramps'!CK82)/('On-Ramps'!AI82+Links!M82)</f>
        <v>#DIV/0!</v>
      </c>
      <c r="BK82" s="57" t="e">
        <f>(Links!S82*Links!BG82+'On-Ramps'!AJ82*'On-Ramps'!CL82)/('On-Ramps'!AJ82+Links!S82)</f>
        <v>#DIV/0!</v>
      </c>
      <c r="BL82" s="63"/>
      <c r="BM82" s="57" t="e">
        <f>(Links!S82*Links!BG82+'On-Ramps'!AL82*'On-Ramps'!CM82)/(Links!S82+'On-Ramps'!AL82)</f>
        <v>#DIV/0!</v>
      </c>
      <c r="BN82" s="63"/>
      <c r="BO82" s="58" t="e">
        <f>(Links!W82^2+'Off-Ramp'!L82^2)/(Links!W82+'Off-Ramp'!L82)</f>
        <v>#DIV/0!</v>
      </c>
      <c r="BP82" s="63"/>
      <c r="BQ82" s="58" t="e">
        <f>(Links!Y82^2+'Off-Ramp'!C82^2)/(Links!Y82+'Off-Ramp'!C82)</f>
        <v>#DIV/0!</v>
      </c>
      <c r="BR82" s="63"/>
      <c r="BS82" s="58" t="e">
        <f>(Links!AA82^2+'Off-Ramp'!N82^2)/(Links!AA82+'Off-Ramp'!N82)</f>
        <v>#DIV/0!</v>
      </c>
      <c r="BT82" s="58" t="e">
        <f>(Links!AD82^2+'Off-Ramp'!O82^2)/(Links!AD82+'Off-Ramp'!O82)</f>
        <v>#DIV/0!</v>
      </c>
      <c r="BU82" s="58" t="e">
        <f>(Links!AE82^2+'Off-Ramp'!V82^2+'Off-Ramp'!W82^2+'Off-Ramp'!X82^2)/(Links!AE82+'Off-Ramp'!V82+'Off-Ramp'!W82+'Off-Ramp'!X82)</f>
        <v>#DIV/0!</v>
      </c>
      <c r="BV82" s="58" t="e">
        <f>(Links!AG82^2+'Off-Ramp'!Y82^2+'Off-Ramp'!Z82^2+'Off-Ramp'!AA82^2)/(Links!AG82+'Off-Ramp'!Y82+'Off-Ramp'!Z82+'Off-Ramp'!AA82)</f>
        <v>#DIV/0!</v>
      </c>
      <c r="BW82" s="58" t="e">
        <f>(Links!AH82^2+'Off-Ramp'!R82^2)/(Links!AH82+'Off-Ramp'!R82)</f>
        <v>#DIV/0!</v>
      </c>
      <c r="BX82" s="58" t="e">
        <f>(Links!AK82^2+'Off-Ramp'!S82^2)/(Links!AK82+'Off-Ramp'!S82)</f>
        <v>#DIV/0!</v>
      </c>
      <c r="BY82" s="58" t="e">
        <f>(Links!AL82^2+'Off-Ramp'!T82^2)/(Links!AL82+'Off-Ramp'!T82)</f>
        <v>#DIV/0!</v>
      </c>
      <c r="BZ82" s="63"/>
      <c r="CA82" s="58" t="e">
        <f>(Links!AN82^2+'Off-Ramp'!U82^2)/(Links!AN82+'Off-Ramp'!U82)</f>
        <v>#DIV/0!</v>
      </c>
    </row>
    <row r="83" spans="1:79" x14ac:dyDescent="0.15">
      <c r="A83" s="56">
        <v>81</v>
      </c>
      <c r="B83" s="57" t="e">
        <f t="shared" si="30"/>
        <v>#DIV/0!</v>
      </c>
      <c r="C83" s="57" t="e">
        <f t="shared" si="31"/>
        <v>#DIV/0!</v>
      </c>
      <c r="D83" s="57" t="e">
        <f t="shared" si="32"/>
        <v>#DIV/0!</v>
      </c>
      <c r="E83" s="57" t="e">
        <f t="shared" si="33"/>
        <v>#DIV/0!</v>
      </c>
      <c r="F83" s="57" t="e">
        <f t="shared" si="34"/>
        <v>#DIV/0!</v>
      </c>
      <c r="G83" s="57" t="e">
        <f t="shared" si="35"/>
        <v>#DIV/0!</v>
      </c>
      <c r="H83" s="57" t="e">
        <f t="shared" si="36"/>
        <v>#DIV/0!</v>
      </c>
      <c r="I83" s="57" t="e">
        <f t="shared" si="37"/>
        <v>#DIV/0!</v>
      </c>
      <c r="J83" s="57" t="e">
        <f t="shared" si="38"/>
        <v>#DIV/0!</v>
      </c>
      <c r="K83" s="57" t="e">
        <f t="shared" si="39"/>
        <v>#DIV/0!</v>
      </c>
      <c r="L83" s="57" t="e">
        <f t="shared" si="40"/>
        <v>#DIV/0!</v>
      </c>
      <c r="M83" s="57" t="e">
        <f t="shared" si="41"/>
        <v>#DIV/0!</v>
      </c>
      <c r="N83" s="57" t="e">
        <f t="shared" si="42"/>
        <v>#DIV/0!</v>
      </c>
      <c r="O83" s="58" t="e">
        <f>Links!B83</f>
        <v>#DIV/0!</v>
      </c>
      <c r="P83" s="58" t="e">
        <f>Links!C83+'On-Ramps'!AC83</f>
        <v>#DIV/0!</v>
      </c>
      <c r="Q83" s="58" t="e">
        <f>Links!D83</f>
        <v>#DIV/0!</v>
      </c>
      <c r="R83" s="58" t="e">
        <f>Links!E83+'On-Ramps'!AD83</f>
        <v>#DIV/0!</v>
      </c>
      <c r="S83" s="58" t="e">
        <f>Links!F83+'On-Ramps'!AE83</f>
        <v>#DIV/0!</v>
      </c>
      <c r="T83" s="58" t="e">
        <f>Links!I83+'On-Ramps'!AF83</f>
        <v>#DIV/0!</v>
      </c>
      <c r="U83" s="58" t="e">
        <f>Links!J83+'On-Ramps'!AG83</f>
        <v>#DIV/0!</v>
      </c>
      <c r="V83" s="58" t="e">
        <f>Links!L83+'On-Ramps'!AH83</f>
        <v>#DIV/0!</v>
      </c>
      <c r="W83" s="58" t="e">
        <f>Links!M83+'On-Ramps'!AI83</f>
        <v>#DIV/0!</v>
      </c>
      <c r="X83" s="58" t="e">
        <f>Links!P83+'On-Ramps'!AJ83</f>
        <v>#DIV/0!</v>
      </c>
      <c r="Y83" s="58" t="e">
        <f>Links!Q83</f>
        <v>#DIV/0!</v>
      </c>
      <c r="Z83" s="58" t="e">
        <f>Links!R83+'On-Ramps'!AK83</f>
        <v>#DIV/0!</v>
      </c>
      <c r="AA83" s="58" t="e">
        <f>Links!S83</f>
        <v>#DIV/0!</v>
      </c>
      <c r="AB83" s="57" t="e">
        <f t="shared" si="43"/>
        <v>#DIV/0!</v>
      </c>
      <c r="AC83" s="63"/>
      <c r="AD83" s="57" t="e">
        <f t="shared" si="44"/>
        <v>#DIV/0!</v>
      </c>
      <c r="AE83" s="63"/>
      <c r="AF83" s="57" t="e">
        <f t="shared" si="45"/>
        <v>#DIV/0!</v>
      </c>
      <c r="AG83" s="57" t="e">
        <f t="shared" si="46"/>
        <v>#DIV/0!</v>
      </c>
      <c r="AH83" s="57" t="e">
        <f t="shared" si="47"/>
        <v>#DIV/0!</v>
      </c>
      <c r="AI83" s="57" t="e">
        <f t="shared" si="48"/>
        <v>#DIV/0!</v>
      </c>
      <c r="AJ83" s="57" t="e">
        <f t="shared" si="49"/>
        <v>#DIV/0!</v>
      </c>
      <c r="AK83" s="57" t="e">
        <f t="shared" si="50"/>
        <v>#DIV/0!</v>
      </c>
      <c r="AL83" s="57" t="e">
        <f t="shared" si="51"/>
        <v>#DIV/0!</v>
      </c>
      <c r="AM83" s="63"/>
      <c r="AN83" s="57" t="e">
        <f t="shared" si="26"/>
        <v>#DIV/0!</v>
      </c>
      <c r="AO83" s="58" t="e">
        <f t="shared" si="29"/>
        <v>#DIV/0!</v>
      </c>
      <c r="AP83" s="63"/>
      <c r="AQ83" s="58" t="e">
        <f t="shared" si="52"/>
        <v>#DIV/0!</v>
      </c>
      <c r="AR83" s="63"/>
      <c r="AS83" s="58" t="e">
        <f t="shared" si="52"/>
        <v>#DIV/0!</v>
      </c>
      <c r="AT83" s="58" t="e">
        <f t="shared" si="52"/>
        <v>#DIV/0!</v>
      </c>
      <c r="AU83" s="58" t="e">
        <f t="shared" si="52"/>
        <v>#DIV/0!</v>
      </c>
      <c r="AV83" s="58" t="e">
        <f t="shared" si="52"/>
        <v>#DIV/0!</v>
      </c>
      <c r="AW83" s="58" t="e">
        <f t="shared" si="52"/>
        <v>#DIV/0!</v>
      </c>
      <c r="AX83" s="58" t="e">
        <f t="shared" si="52"/>
        <v>#DIV/0!</v>
      </c>
      <c r="AY83" s="58" t="e">
        <f t="shared" si="52"/>
        <v>#DIV/0!</v>
      </c>
      <c r="AZ83" s="63"/>
      <c r="BA83" s="58" t="e">
        <f t="shared" si="52"/>
        <v>#DIV/0!</v>
      </c>
      <c r="BB83" s="63"/>
      <c r="BC83" s="57" t="e">
        <f>(Links!C83*Links!AQ83+'On-Ramps'!AC83*'On-Ramps'!CE83)/('On-Ramps'!AC83+Links!C83)</f>
        <v>#DIV/0!</v>
      </c>
      <c r="BD83" s="63"/>
      <c r="BE83" s="57" t="e">
        <f>(Links!E83*Links!AS83+'On-Ramps'!AD83*'On-Ramps'!CF82)/('On-Ramps'!AD83+Links!E83)</f>
        <v>#DIV/0!</v>
      </c>
      <c r="BF83" s="57" t="e">
        <f>(Links!F83*Links!AT83+'On-Ramps'!AE83*'On-Ramps'!CG83)/('On-Ramps'!AE83+Links!F83)</f>
        <v>#DIV/0!</v>
      </c>
      <c r="BG83" s="57" t="e">
        <f>(Links!I83*Links!AW83+'On-Ramps'!AF83*'On-Ramps'!CH83)/('On-Ramps'!AF83+Links!I83)</f>
        <v>#DIV/0!</v>
      </c>
      <c r="BH83" s="57" t="e">
        <f>(#REF!*#REF!+'On-Ramps'!AG83*'On-Ramps'!CI83)/('On-Ramps'!AG83+#REF!)</f>
        <v>#REF!</v>
      </c>
      <c r="BI83" s="57" t="e">
        <f>(Links!L83*Links!AZ83+'On-Ramps'!AH83*'On-Ramps'!CJ83)/('On-Ramps'!AH83+Links!L83)</f>
        <v>#DIV/0!</v>
      </c>
      <c r="BJ83" s="57" t="e">
        <f>(Links!BA83*Links!M83+'On-Ramps'!AI83*'On-Ramps'!CK83)/('On-Ramps'!AI83+Links!M83)</f>
        <v>#DIV/0!</v>
      </c>
      <c r="BK83" s="57" t="e">
        <f>(Links!S83*Links!BG83+'On-Ramps'!AJ83*'On-Ramps'!CL83)/('On-Ramps'!AJ83+Links!S83)</f>
        <v>#DIV/0!</v>
      </c>
      <c r="BL83" s="63"/>
      <c r="BM83" s="57" t="e">
        <f>(Links!S83*Links!BG83+'On-Ramps'!AL83*'On-Ramps'!CM83)/(Links!S83+'On-Ramps'!AL83)</f>
        <v>#DIV/0!</v>
      </c>
      <c r="BN83" s="63"/>
      <c r="BO83" s="58" t="e">
        <f>(Links!W83^2+'Off-Ramp'!L83^2)/(Links!W83+'Off-Ramp'!L83)</f>
        <v>#DIV/0!</v>
      </c>
      <c r="BP83" s="63"/>
      <c r="BQ83" s="58" t="e">
        <f>(Links!Y83^2+'Off-Ramp'!C83^2)/(Links!Y83+'Off-Ramp'!C83)</f>
        <v>#DIV/0!</v>
      </c>
      <c r="BR83" s="63"/>
      <c r="BS83" s="58" t="e">
        <f>(Links!AA83^2+'Off-Ramp'!N83^2)/(Links!AA83+'Off-Ramp'!N83)</f>
        <v>#DIV/0!</v>
      </c>
      <c r="BT83" s="58" t="e">
        <f>(Links!AD83^2+'Off-Ramp'!O83^2)/(Links!AD83+'Off-Ramp'!O83)</f>
        <v>#DIV/0!</v>
      </c>
      <c r="BU83" s="58" t="e">
        <f>(Links!AE83^2+'Off-Ramp'!V83^2+'Off-Ramp'!W83^2+'Off-Ramp'!X83^2)/(Links!AE83+'Off-Ramp'!V83+'Off-Ramp'!W83+'Off-Ramp'!X83)</f>
        <v>#DIV/0!</v>
      </c>
      <c r="BV83" s="58" t="e">
        <f>(Links!AG83^2+'Off-Ramp'!Y83^2+'Off-Ramp'!Z83^2+'Off-Ramp'!AA83^2)/(Links!AG83+'Off-Ramp'!Y83+'Off-Ramp'!Z83+'Off-Ramp'!AA83)</f>
        <v>#DIV/0!</v>
      </c>
      <c r="BW83" s="58" t="e">
        <f>(Links!AH83^2+'Off-Ramp'!R83^2)/(Links!AH83+'Off-Ramp'!R83)</f>
        <v>#DIV/0!</v>
      </c>
      <c r="BX83" s="58" t="e">
        <f>(Links!AK83^2+'Off-Ramp'!S83^2)/(Links!AK83+'Off-Ramp'!S83)</f>
        <v>#DIV/0!</v>
      </c>
      <c r="BY83" s="58" t="e">
        <f>(Links!AL83^2+'Off-Ramp'!T83^2)/(Links!AL83+'Off-Ramp'!T83)</f>
        <v>#DIV/0!</v>
      </c>
      <c r="BZ83" s="63"/>
      <c r="CA83" s="58" t="e">
        <f>(Links!AN83^2+'Off-Ramp'!U83^2)/(Links!AN83+'Off-Ramp'!U83)</f>
        <v>#DIV/0!</v>
      </c>
    </row>
    <row r="84" spans="1:79" x14ac:dyDescent="0.15">
      <c r="A84" s="56">
        <v>82</v>
      </c>
      <c r="B84" s="57" t="e">
        <f t="shared" si="30"/>
        <v>#DIV/0!</v>
      </c>
      <c r="C84" s="57" t="e">
        <f t="shared" si="31"/>
        <v>#DIV/0!</v>
      </c>
      <c r="D84" s="57" t="e">
        <f t="shared" si="32"/>
        <v>#DIV/0!</v>
      </c>
      <c r="E84" s="57" t="e">
        <f t="shared" si="33"/>
        <v>#DIV/0!</v>
      </c>
      <c r="F84" s="57" t="e">
        <f t="shared" si="34"/>
        <v>#DIV/0!</v>
      </c>
      <c r="G84" s="57" t="e">
        <f t="shared" si="35"/>
        <v>#DIV/0!</v>
      </c>
      <c r="H84" s="57" t="e">
        <f t="shared" si="36"/>
        <v>#DIV/0!</v>
      </c>
      <c r="I84" s="57" t="e">
        <f t="shared" si="37"/>
        <v>#DIV/0!</v>
      </c>
      <c r="J84" s="57" t="e">
        <f t="shared" si="38"/>
        <v>#DIV/0!</v>
      </c>
      <c r="K84" s="57" t="e">
        <f t="shared" si="39"/>
        <v>#DIV/0!</v>
      </c>
      <c r="L84" s="57" t="e">
        <f t="shared" si="40"/>
        <v>#DIV/0!</v>
      </c>
      <c r="M84" s="57" t="e">
        <f t="shared" si="41"/>
        <v>#DIV/0!</v>
      </c>
      <c r="N84" s="57" t="e">
        <f t="shared" si="42"/>
        <v>#DIV/0!</v>
      </c>
      <c r="O84" s="58" t="e">
        <f>Links!B84</f>
        <v>#DIV/0!</v>
      </c>
      <c r="P84" s="58" t="e">
        <f>Links!C84+'On-Ramps'!AC84</f>
        <v>#DIV/0!</v>
      </c>
      <c r="Q84" s="58" t="e">
        <f>Links!D84</f>
        <v>#DIV/0!</v>
      </c>
      <c r="R84" s="58" t="e">
        <f>Links!E84+'On-Ramps'!AD84</f>
        <v>#DIV/0!</v>
      </c>
      <c r="S84" s="58" t="e">
        <f>Links!F84+'On-Ramps'!AE84</f>
        <v>#DIV/0!</v>
      </c>
      <c r="T84" s="58" t="e">
        <f>Links!I84+'On-Ramps'!AF84</f>
        <v>#DIV/0!</v>
      </c>
      <c r="U84" s="58" t="e">
        <f>Links!J84+'On-Ramps'!AG84</f>
        <v>#DIV/0!</v>
      </c>
      <c r="V84" s="58" t="e">
        <f>Links!L84+'On-Ramps'!AH84</f>
        <v>#DIV/0!</v>
      </c>
      <c r="W84" s="58" t="e">
        <f>Links!M84+'On-Ramps'!AI84</f>
        <v>#DIV/0!</v>
      </c>
      <c r="X84" s="58" t="e">
        <f>Links!P84+'On-Ramps'!AJ84</f>
        <v>#DIV/0!</v>
      </c>
      <c r="Y84" s="58" t="e">
        <f>Links!Q84</f>
        <v>#DIV/0!</v>
      </c>
      <c r="Z84" s="58" t="e">
        <f>Links!R84+'On-Ramps'!AK84</f>
        <v>#DIV/0!</v>
      </c>
      <c r="AA84" s="58" t="e">
        <f>Links!S84</f>
        <v>#DIV/0!</v>
      </c>
      <c r="AB84" s="57" t="e">
        <f t="shared" si="43"/>
        <v>#DIV/0!</v>
      </c>
      <c r="AC84" s="63"/>
      <c r="AD84" s="57" t="e">
        <f t="shared" si="44"/>
        <v>#DIV/0!</v>
      </c>
      <c r="AE84" s="63"/>
      <c r="AF84" s="57" t="e">
        <f t="shared" si="45"/>
        <v>#DIV/0!</v>
      </c>
      <c r="AG84" s="57" t="e">
        <f t="shared" si="46"/>
        <v>#DIV/0!</v>
      </c>
      <c r="AH84" s="57" t="e">
        <f t="shared" si="47"/>
        <v>#DIV/0!</v>
      </c>
      <c r="AI84" s="57" t="e">
        <f t="shared" si="48"/>
        <v>#DIV/0!</v>
      </c>
      <c r="AJ84" s="57" t="e">
        <f t="shared" si="49"/>
        <v>#DIV/0!</v>
      </c>
      <c r="AK84" s="57" t="e">
        <f t="shared" si="50"/>
        <v>#DIV/0!</v>
      </c>
      <c r="AL84" s="57" t="e">
        <f t="shared" si="51"/>
        <v>#DIV/0!</v>
      </c>
      <c r="AM84" s="63"/>
      <c r="AN84" s="57" t="e">
        <f t="shared" ref="AN84:AN147" si="53">BA84*(1-BA84)*AA84</f>
        <v>#DIV/0!</v>
      </c>
      <c r="AO84" s="58" t="e">
        <f t="shared" si="29"/>
        <v>#DIV/0!</v>
      </c>
      <c r="AP84" s="63"/>
      <c r="AQ84" s="58" t="e">
        <f t="shared" si="52"/>
        <v>#DIV/0!</v>
      </c>
      <c r="AR84" s="63"/>
      <c r="AS84" s="58" t="e">
        <f t="shared" si="52"/>
        <v>#DIV/0!</v>
      </c>
      <c r="AT84" s="58" t="e">
        <f t="shared" si="52"/>
        <v>#DIV/0!</v>
      </c>
      <c r="AU84" s="58" t="e">
        <f t="shared" si="52"/>
        <v>#DIV/0!</v>
      </c>
      <c r="AV84" s="58" t="e">
        <f t="shared" si="52"/>
        <v>#DIV/0!</v>
      </c>
      <c r="AW84" s="58" t="e">
        <f t="shared" si="52"/>
        <v>#DIV/0!</v>
      </c>
      <c r="AX84" s="58" t="e">
        <f t="shared" si="52"/>
        <v>#DIV/0!</v>
      </c>
      <c r="AY84" s="58" t="e">
        <f t="shared" si="52"/>
        <v>#DIV/0!</v>
      </c>
      <c r="AZ84" s="63"/>
      <c r="BA84" s="58" t="e">
        <f t="shared" si="52"/>
        <v>#DIV/0!</v>
      </c>
      <c r="BB84" s="63"/>
      <c r="BC84" s="57" t="e">
        <f>(Links!C84*Links!AQ84+'On-Ramps'!AC84*'On-Ramps'!CE84)/('On-Ramps'!AC84+Links!C84)</f>
        <v>#DIV/0!</v>
      </c>
      <c r="BD84" s="63"/>
      <c r="BE84" s="57" t="e">
        <f>(Links!E84*Links!AS84+'On-Ramps'!AD84*'On-Ramps'!CF83)/('On-Ramps'!AD84+Links!E84)</f>
        <v>#DIV/0!</v>
      </c>
      <c r="BF84" s="57" t="e">
        <f>(Links!F84*Links!AT84+'On-Ramps'!AE84*'On-Ramps'!CG84)/('On-Ramps'!AE84+Links!F84)</f>
        <v>#DIV/0!</v>
      </c>
      <c r="BG84" s="57" t="e">
        <f>(Links!I84*Links!AW84+'On-Ramps'!AF84*'On-Ramps'!CH84)/('On-Ramps'!AF84+Links!I84)</f>
        <v>#DIV/0!</v>
      </c>
      <c r="BH84" s="57" t="e">
        <f>(#REF!*#REF!+'On-Ramps'!AG84*'On-Ramps'!CI84)/('On-Ramps'!AG84+#REF!)</f>
        <v>#REF!</v>
      </c>
      <c r="BI84" s="57" t="e">
        <f>(Links!L84*Links!AZ84+'On-Ramps'!AH84*'On-Ramps'!CJ84)/('On-Ramps'!AH84+Links!L84)</f>
        <v>#DIV/0!</v>
      </c>
      <c r="BJ84" s="57" t="e">
        <f>(Links!BA84*Links!M84+'On-Ramps'!AI84*'On-Ramps'!CK84)/('On-Ramps'!AI84+Links!M84)</f>
        <v>#DIV/0!</v>
      </c>
      <c r="BK84" s="57" t="e">
        <f>(Links!S84*Links!BG84+'On-Ramps'!AJ84*'On-Ramps'!CL84)/('On-Ramps'!AJ84+Links!S84)</f>
        <v>#DIV/0!</v>
      </c>
      <c r="BL84" s="63"/>
      <c r="BM84" s="57" t="e">
        <f>(Links!S84*Links!BG84+'On-Ramps'!AL84*'On-Ramps'!CM84)/(Links!S84+'On-Ramps'!AL84)</f>
        <v>#DIV/0!</v>
      </c>
      <c r="BN84" s="63"/>
      <c r="BO84" s="58" t="e">
        <f>(Links!W84^2+'Off-Ramp'!L84^2)/(Links!W84+'Off-Ramp'!L84)</f>
        <v>#DIV/0!</v>
      </c>
      <c r="BP84" s="63"/>
      <c r="BQ84" s="58" t="e">
        <f>(Links!Y84^2+'Off-Ramp'!C84^2)/(Links!Y84+'Off-Ramp'!C84)</f>
        <v>#DIV/0!</v>
      </c>
      <c r="BR84" s="63"/>
      <c r="BS84" s="58" t="e">
        <f>(Links!AA84^2+'Off-Ramp'!N84^2)/(Links!AA84+'Off-Ramp'!N84)</f>
        <v>#DIV/0!</v>
      </c>
      <c r="BT84" s="58" t="e">
        <f>(Links!AD84^2+'Off-Ramp'!O84^2)/(Links!AD84+'Off-Ramp'!O84)</f>
        <v>#DIV/0!</v>
      </c>
      <c r="BU84" s="58" t="e">
        <f>(Links!AE84^2+'Off-Ramp'!V84^2+'Off-Ramp'!W84^2+'Off-Ramp'!X84^2)/(Links!AE84+'Off-Ramp'!V84+'Off-Ramp'!W84+'Off-Ramp'!X84)</f>
        <v>#DIV/0!</v>
      </c>
      <c r="BV84" s="58" t="e">
        <f>(Links!AG84^2+'Off-Ramp'!Y84^2+'Off-Ramp'!Z84^2+'Off-Ramp'!AA84^2)/(Links!AG84+'Off-Ramp'!Y84+'Off-Ramp'!Z84+'Off-Ramp'!AA84)</f>
        <v>#DIV/0!</v>
      </c>
      <c r="BW84" s="58" t="e">
        <f>(Links!AH84^2+'Off-Ramp'!R84^2)/(Links!AH84+'Off-Ramp'!R84)</f>
        <v>#DIV/0!</v>
      </c>
      <c r="BX84" s="58" t="e">
        <f>(Links!AK84^2+'Off-Ramp'!S84^2)/(Links!AK84+'Off-Ramp'!S84)</f>
        <v>#DIV/0!</v>
      </c>
      <c r="BY84" s="58" t="e">
        <f>(Links!AL84^2+'Off-Ramp'!T84^2)/(Links!AL84+'Off-Ramp'!T84)</f>
        <v>#DIV/0!</v>
      </c>
      <c r="BZ84" s="63"/>
      <c r="CA84" s="58" t="e">
        <f>(Links!AN84^2+'Off-Ramp'!U84^2)/(Links!AN84+'Off-Ramp'!U84)</f>
        <v>#DIV/0!</v>
      </c>
    </row>
    <row r="85" spans="1:79" x14ac:dyDescent="0.15">
      <c r="A85" s="56">
        <v>83</v>
      </c>
      <c r="B85" s="57" t="e">
        <f t="shared" si="30"/>
        <v>#DIV/0!</v>
      </c>
      <c r="C85" s="57" t="e">
        <f t="shared" si="31"/>
        <v>#DIV/0!</v>
      </c>
      <c r="D85" s="57" t="e">
        <f t="shared" si="32"/>
        <v>#DIV/0!</v>
      </c>
      <c r="E85" s="57" t="e">
        <f t="shared" si="33"/>
        <v>#DIV/0!</v>
      </c>
      <c r="F85" s="57" t="e">
        <f t="shared" si="34"/>
        <v>#DIV/0!</v>
      </c>
      <c r="G85" s="57" t="e">
        <f t="shared" si="35"/>
        <v>#DIV/0!</v>
      </c>
      <c r="H85" s="57" t="e">
        <f t="shared" si="36"/>
        <v>#DIV/0!</v>
      </c>
      <c r="I85" s="57" t="e">
        <f t="shared" si="37"/>
        <v>#DIV/0!</v>
      </c>
      <c r="J85" s="57" t="e">
        <f t="shared" si="38"/>
        <v>#DIV/0!</v>
      </c>
      <c r="K85" s="57" t="e">
        <f t="shared" si="39"/>
        <v>#DIV/0!</v>
      </c>
      <c r="L85" s="57" t="e">
        <f t="shared" si="40"/>
        <v>#DIV/0!</v>
      </c>
      <c r="M85" s="57" t="e">
        <f t="shared" si="41"/>
        <v>#DIV/0!</v>
      </c>
      <c r="N85" s="57" t="e">
        <f t="shared" si="42"/>
        <v>#DIV/0!</v>
      </c>
      <c r="O85" s="58" t="e">
        <f>Links!B85</f>
        <v>#DIV/0!</v>
      </c>
      <c r="P85" s="58" t="e">
        <f>Links!C85+'On-Ramps'!AC85</f>
        <v>#DIV/0!</v>
      </c>
      <c r="Q85" s="58" t="e">
        <f>Links!D85</f>
        <v>#DIV/0!</v>
      </c>
      <c r="R85" s="58" t="e">
        <f>Links!E85+'On-Ramps'!AD85</f>
        <v>#DIV/0!</v>
      </c>
      <c r="S85" s="58" t="e">
        <f>Links!F85+'On-Ramps'!AE85</f>
        <v>#DIV/0!</v>
      </c>
      <c r="T85" s="58" t="e">
        <f>Links!I85+'On-Ramps'!AF85</f>
        <v>#DIV/0!</v>
      </c>
      <c r="U85" s="58" t="e">
        <f>Links!J85+'On-Ramps'!AG85</f>
        <v>#DIV/0!</v>
      </c>
      <c r="V85" s="58" t="e">
        <f>Links!L85+'On-Ramps'!AH85</f>
        <v>#DIV/0!</v>
      </c>
      <c r="W85" s="58" t="e">
        <f>Links!M85+'On-Ramps'!AI85</f>
        <v>#DIV/0!</v>
      </c>
      <c r="X85" s="58" t="e">
        <f>Links!P85+'On-Ramps'!AJ85</f>
        <v>#DIV/0!</v>
      </c>
      <c r="Y85" s="58" t="e">
        <f>Links!Q85</f>
        <v>#DIV/0!</v>
      </c>
      <c r="Z85" s="58" t="e">
        <f>Links!R85+'On-Ramps'!AK85</f>
        <v>#DIV/0!</v>
      </c>
      <c r="AA85" s="58" t="e">
        <f>Links!S85</f>
        <v>#DIV/0!</v>
      </c>
      <c r="AB85" s="57" t="e">
        <f t="shared" si="43"/>
        <v>#DIV/0!</v>
      </c>
      <c r="AC85" s="63"/>
      <c r="AD85" s="57" t="e">
        <f t="shared" si="44"/>
        <v>#DIV/0!</v>
      </c>
      <c r="AE85" s="63"/>
      <c r="AF85" s="57" t="e">
        <f t="shared" si="45"/>
        <v>#DIV/0!</v>
      </c>
      <c r="AG85" s="57" t="e">
        <f t="shared" si="46"/>
        <v>#DIV/0!</v>
      </c>
      <c r="AH85" s="57" t="e">
        <f t="shared" si="47"/>
        <v>#DIV/0!</v>
      </c>
      <c r="AI85" s="57" t="e">
        <f t="shared" si="48"/>
        <v>#DIV/0!</v>
      </c>
      <c r="AJ85" s="57" t="e">
        <f t="shared" si="49"/>
        <v>#DIV/0!</v>
      </c>
      <c r="AK85" s="57" t="e">
        <f t="shared" si="50"/>
        <v>#DIV/0!</v>
      </c>
      <c r="AL85" s="57" t="e">
        <f t="shared" si="51"/>
        <v>#DIV/0!</v>
      </c>
      <c r="AM85" s="63"/>
      <c r="AN85" s="57" t="e">
        <f t="shared" si="53"/>
        <v>#DIV/0!</v>
      </c>
      <c r="AO85" s="58" t="e">
        <f t="shared" si="29"/>
        <v>#DIV/0!</v>
      </c>
      <c r="AP85" s="63"/>
      <c r="AQ85" s="58" t="e">
        <f t="shared" si="52"/>
        <v>#DIV/0!</v>
      </c>
      <c r="AR85" s="63"/>
      <c r="AS85" s="58" t="e">
        <f t="shared" si="52"/>
        <v>#DIV/0!</v>
      </c>
      <c r="AT85" s="58" t="e">
        <f t="shared" si="52"/>
        <v>#DIV/0!</v>
      </c>
      <c r="AU85" s="58" t="e">
        <f t="shared" si="52"/>
        <v>#DIV/0!</v>
      </c>
      <c r="AV85" s="58" t="e">
        <f t="shared" si="52"/>
        <v>#DIV/0!</v>
      </c>
      <c r="AW85" s="58" t="e">
        <f t="shared" si="52"/>
        <v>#DIV/0!</v>
      </c>
      <c r="AX85" s="58" t="e">
        <f t="shared" si="52"/>
        <v>#DIV/0!</v>
      </c>
      <c r="AY85" s="58" t="e">
        <f t="shared" si="52"/>
        <v>#DIV/0!</v>
      </c>
      <c r="AZ85" s="63"/>
      <c r="BA85" s="58" t="e">
        <f t="shared" si="52"/>
        <v>#DIV/0!</v>
      </c>
      <c r="BB85" s="63"/>
      <c r="BC85" s="57" t="e">
        <f>(Links!C85*Links!AQ85+'On-Ramps'!AC85*'On-Ramps'!CE85)/('On-Ramps'!AC85+Links!C85)</f>
        <v>#DIV/0!</v>
      </c>
      <c r="BD85" s="63"/>
      <c r="BE85" s="57" t="e">
        <f>(Links!E85*Links!AS85+'On-Ramps'!AD85*'On-Ramps'!CF84)/('On-Ramps'!AD85+Links!E85)</f>
        <v>#DIV/0!</v>
      </c>
      <c r="BF85" s="57" t="e">
        <f>(Links!F85*Links!AT85+'On-Ramps'!AE85*'On-Ramps'!CG85)/('On-Ramps'!AE85+Links!F85)</f>
        <v>#DIV/0!</v>
      </c>
      <c r="BG85" s="57" t="e">
        <f>(Links!I85*Links!AW85+'On-Ramps'!AF85*'On-Ramps'!CH85)/('On-Ramps'!AF85+Links!I85)</f>
        <v>#DIV/0!</v>
      </c>
      <c r="BH85" s="57" t="e">
        <f>(#REF!*#REF!+'On-Ramps'!AG85*'On-Ramps'!CI85)/('On-Ramps'!AG85+#REF!)</f>
        <v>#REF!</v>
      </c>
      <c r="BI85" s="57" t="e">
        <f>(Links!L85*Links!AZ85+'On-Ramps'!AH85*'On-Ramps'!CJ85)/('On-Ramps'!AH85+Links!L85)</f>
        <v>#DIV/0!</v>
      </c>
      <c r="BJ85" s="57" t="e">
        <f>(Links!BA85*Links!M85+'On-Ramps'!AI85*'On-Ramps'!CK85)/('On-Ramps'!AI85+Links!M85)</f>
        <v>#DIV/0!</v>
      </c>
      <c r="BK85" s="57" t="e">
        <f>(Links!S85*Links!BG85+'On-Ramps'!AJ85*'On-Ramps'!CL85)/('On-Ramps'!AJ85+Links!S85)</f>
        <v>#DIV/0!</v>
      </c>
      <c r="BL85" s="63"/>
      <c r="BM85" s="57" t="e">
        <f>(Links!S85*Links!BG85+'On-Ramps'!AL85*'On-Ramps'!CM85)/(Links!S85+'On-Ramps'!AL85)</f>
        <v>#DIV/0!</v>
      </c>
      <c r="BN85" s="63"/>
      <c r="BO85" s="58" t="e">
        <f>(Links!W85^2+'Off-Ramp'!L85^2)/(Links!W85+'Off-Ramp'!L85)</f>
        <v>#DIV/0!</v>
      </c>
      <c r="BP85" s="63"/>
      <c r="BQ85" s="58" t="e">
        <f>(Links!Y85^2+'Off-Ramp'!C85^2)/(Links!Y85+'Off-Ramp'!C85)</f>
        <v>#DIV/0!</v>
      </c>
      <c r="BR85" s="63"/>
      <c r="BS85" s="58" t="e">
        <f>(Links!AA85^2+'Off-Ramp'!N85^2)/(Links!AA85+'Off-Ramp'!N85)</f>
        <v>#DIV/0!</v>
      </c>
      <c r="BT85" s="58" t="e">
        <f>(Links!AD85^2+'Off-Ramp'!O85^2)/(Links!AD85+'Off-Ramp'!O85)</f>
        <v>#DIV/0!</v>
      </c>
      <c r="BU85" s="58" t="e">
        <f>(Links!AE85^2+'Off-Ramp'!V85^2+'Off-Ramp'!W85^2+'Off-Ramp'!X85^2)/(Links!AE85+'Off-Ramp'!V85+'Off-Ramp'!W85+'Off-Ramp'!X85)</f>
        <v>#DIV/0!</v>
      </c>
      <c r="BV85" s="58" t="e">
        <f>(Links!AG85^2+'Off-Ramp'!Y85^2+'Off-Ramp'!Z85^2+'Off-Ramp'!AA85^2)/(Links!AG85+'Off-Ramp'!Y85+'Off-Ramp'!Z85+'Off-Ramp'!AA85)</f>
        <v>#DIV/0!</v>
      </c>
      <c r="BW85" s="58" t="e">
        <f>(Links!AH85^2+'Off-Ramp'!R85^2)/(Links!AH85+'Off-Ramp'!R85)</f>
        <v>#DIV/0!</v>
      </c>
      <c r="BX85" s="58" t="e">
        <f>(Links!AK85^2+'Off-Ramp'!S85^2)/(Links!AK85+'Off-Ramp'!S85)</f>
        <v>#DIV/0!</v>
      </c>
      <c r="BY85" s="58" t="e">
        <f>(Links!AL85^2+'Off-Ramp'!T85^2)/(Links!AL85+'Off-Ramp'!T85)</f>
        <v>#DIV/0!</v>
      </c>
      <c r="BZ85" s="63"/>
      <c r="CA85" s="58" t="e">
        <f>(Links!AN85^2+'Off-Ramp'!U85^2)/(Links!AN85+'Off-Ramp'!U85)</f>
        <v>#DIV/0!</v>
      </c>
    </row>
    <row r="86" spans="1:79" x14ac:dyDescent="0.15">
      <c r="A86" s="56">
        <v>84</v>
      </c>
      <c r="B86" s="57" t="e">
        <f t="shared" si="30"/>
        <v>#DIV/0!</v>
      </c>
      <c r="C86" s="57" t="e">
        <f t="shared" si="31"/>
        <v>#DIV/0!</v>
      </c>
      <c r="D86" s="57" t="e">
        <f t="shared" si="32"/>
        <v>#DIV/0!</v>
      </c>
      <c r="E86" s="57" t="e">
        <f t="shared" si="33"/>
        <v>#DIV/0!</v>
      </c>
      <c r="F86" s="57" t="e">
        <f t="shared" si="34"/>
        <v>#DIV/0!</v>
      </c>
      <c r="G86" s="57" t="e">
        <f t="shared" si="35"/>
        <v>#DIV/0!</v>
      </c>
      <c r="H86" s="57" t="e">
        <f t="shared" si="36"/>
        <v>#DIV/0!</v>
      </c>
      <c r="I86" s="57" t="e">
        <f t="shared" si="37"/>
        <v>#DIV/0!</v>
      </c>
      <c r="J86" s="57" t="e">
        <f t="shared" si="38"/>
        <v>#DIV/0!</v>
      </c>
      <c r="K86" s="57" t="e">
        <f t="shared" si="39"/>
        <v>#DIV/0!</v>
      </c>
      <c r="L86" s="57" t="e">
        <f t="shared" si="40"/>
        <v>#DIV/0!</v>
      </c>
      <c r="M86" s="57" t="e">
        <f t="shared" si="41"/>
        <v>#DIV/0!</v>
      </c>
      <c r="N86" s="57" t="e">
        <f t="shared" si="42"/>
        <v>#DIV/0!</v>
      </c>
      <c r="O86" s="58" t="e">
        <f>Links!B86</f>
        <v>#DIV/0!</v>
      </c>
      <c r="P86" s="58" t="e">
        <f>Links!C86+'On-Ramps'!AC86</f>
        <v>#DIV/0!</v>
      </c>
      <c r="Q86" s="58" t="e">
        <f>Links!D86</f>
        <v>#DIV/0!</v>
      </c>
      <c r="R86" s="58" t="e">
        <f>Links!E86+'On-Ramps'!AD86</f>
        <v>#DIV/0!</v>
      </c>
      <c r="S86" s="58" t="e">
        <f>Links!F86+'On-Ramps'!AE86</f>
        <v>#DIV/0!</v>
      </c>
      <c r="T86" s="58" t="e">
        <f>Links!I86+'On-Ramps'!AF86</f>
        <v>#DIV/0!</v>
      </c>
      <c r="U86" s="58" t="e">
        <f>Links!J86+'On-Ramps'!AG86</f>
        <v>#DIV/0!</v>
      </c>
      <c r="V86" s="58" t="e">
        <f>Links!L86+'On-Ramps'!AH86</f>
        <v>#DIV/0!</v>
      </c>
      <c r="W86" s="58" t="e">
        <f>Links!M86+'On-Ramps'!AI86</f>
        <v>#DIV/0!</v>
      </c>
      <c r="X86" s="58" t="e">
        <f>Links!P86+'On-Ramps'!AJ86</f>
        <v>#DIV/0!</v>
      </c>
      <c r="Y86" s="58" t="e">
        <f>Links!Q86</f>
        <v>#DIV/0!</v>
      </c>
      <c r="Z86" s="58" t="e">
        <f>Links!R86+'On-Ramps'!AK86</f>
        <v>#DIV/0!</v>
      </c>
      <c r="AA86" s="58" t="e">
        <f>Links!S86</f>
        <v>#DIV/0!</v>
      </c>
      <c r="AB86" s="57" t="e">
        <f t="shared" si="43"/>
        <v>#DIV/0!</v>
      </c>
      <c r="AC86" s="63"/>
      <c r="AD86" s="57" t="e">
        <f t="shared" si="44"/>
        <v>#DIV/0!</v>
      </c>
      <c r="AE86" s="63"/>
      <c r="AF86" s="57" t="e">
        <f t="shared" si="45"/>
        <v>#DIV/0!</v>
      </c>
      <c r="AG86" s="57" t="e">
        <f t="shared" si="46"/>
        <v>#DIV/0!</v>
      </c>
      <c r="AH86" s="57" t="e">
        <f t="shared" si="47"/>
        <v>#DIV/0!</v>
      </c>
      <c r="AI86" s="57" t="e">
        <f t="shared" si="48"/>
        <v>#DIV/0!</v>
      </c>
      <c r="AJ86" s="57" t="e">
        <f t="shared" si="49"/>
        <v>#DIV/0!</v>
      </c>
      <c r="AK86" s="57" t="e">
        <f t="shared" si="50"/>
        <v>#DIV/0!</v>
      </c>
      <c r="AL86" s="57" t="e">
        <f t="shared" si="51"/>
        <v>#DIV/0!</v>
      </c>
      <c r="AM86" s="63"/>
      <c r="AN86" s="57" t="e">
        <f t="shared" si="53"/>
        <v>#DIV/0!</v>
      </c>
      <c r="AO86" s="58" t="e">
        <f t="shared" si="29"/>
        <v>#DIV/0!</v>
      </c>
      <c r="AP86" s="63"/>
      <c r="AQ86" s="58" t="e">
        <f t="shared" si="52"/>
        <v>#DIV/0!</v>
      </c>
      <c r="AR86" s="63"/>
      <c r="AS86" s="58" t="e">
        <f t="shared" si="52"/>
        <v>#DIV/0!</v>
      </c>
      <c r="AT86" s="58" t="e">
        <f t="shared" si="52"/>
        <v>#DIV/0!</v>
      </c>
      <c r="AU86" s="58" t="e">
        <f t="shared" si="52"/>
        <v>#DIV/0!</v>
      </c>
      <c r="AV86" s="58" t="e">
        <f t="shared" si="52"/>
        <v>#DIV/0!</v>
      </c>
      <c r="AW86" s="58" t="e">
        <f t="shared" si="52"/>
        <v>#DIV/0!</v>
      </c>
      <c r="AX86" s="58" t="e">
        <f t="shared" si="52"/>
        <v>#DIV/0!</v>
      </c>
      <c r="AY86" s="58" t="e">
        <f t="shared" si="52"/>
        <v>#DIV/0!</v>
      </c>
      <c r="AZ86" s="63"/>
      <c r="BA86" s="58" t="e">
        <f t="shared" si="52"/>
        <v>#DIV/0!</v>
      </c>
      <c r="BB86" s="63"/>
      <c r="BC86" s="57" t="e">
        <f>(Links!C86*Links!AQ86+'On-Ramps'!AC86*'On-Ramps'!CE86)/('On-Ramps'!AC86+Links!C86)</f>
        <v>#DIV/0!</v>
      </c>
      <c r="BD86" s="63"/>
      <c r="BE86" s="57" t="e">
        <f>(Links!E86*Links!AS86+'On-Ramps'!AD86*'On-Ramps'!CF85)/('On-Ramps'!AD86+Links!E86)</f>
        <v>#DIV/0!</v>
      </c>
      <c r="BF86" s="57" t="e">
        <f>(Links!F86*Links!AT86+'On-Ramps'!AE86*'On-Ramps'!CG86)/('On-Ramps'!AE86+Links!F86)</f>
        <v>#DIV/0!</v>
      </c>
      <c r="BG86" s="57" t="e">
        <f>(Links!I86*Links!AW86+'On-Ramps'!AF86*'On-Ramps'!CH86)/('On-Ramps'!AF86+Links!I86)</f>
        <v>#DIV/0!</v>
      </c>
      <c r="BH86" s="57" t="e">
        <f>(#REF!*#REF!+'On-Ramps'!AG86*'On-Ramps'!CI86)/('On-Ramps'!AG86+#REF!)</f>
        <v>#REF!</v>
      </c>
      <c r="BI86" s="57" t="e">
        <f>(Links!L86*Links!AZ86+'On-Ramps'!AH86*'On-Ramps'!CJ86)/('On-Ramps'!AH86+Links!L86)</f>
        <v>#DIV/0!</v>
      </c>
      <c r="BJ86" s="57" t="e">
        <f>(Links!BA86*Links!M86+'On-Ramps'!AI86*'On-Ramps'!CK86)/('On-Ramps'!AI86+Links!M86)</f>
        <v>#DIV/0!</v>
      </c>
      <c r="BK86" s="57" t="e">
        <f>(Links!S86*Links!BG86+'On-Ramps'!AJ86*'On-Ramps'!CL86)/('On-Ramps'!AJ86+Links!S86)</f>
        <v>#DIV/0!</v>
      </c>
      <c r="BL86" s="63"/>
      <c r="BM86" s="57" t="e">
        <f>(Links!S86*Links!BG86+'On-Ramps'!AL86*'On-Ramps'!CM86)/(Links!S86+'On-Ramps'!AL86)</f>
        <v>#DIV/0!</v>
      </c>
      <c r="BN86" s="63"/>
      <c r="BO86" s="58" t="e">
        <f>(Links!W86^2+'Off-Ramp'!L86^2)/(Links!W86+'Off-Ramp'!L86)</f>
        <v>#DIV/0!</v>
      </c>
      <c r="BP86" s="63"/>
      <c r="BQ86" s="58" t="e">
        <f>(Links!Y86^2+'Off-Ramp'!C86^2)/(Links!Y86+'Off-Ramp'!C86)</f>
        <v>#DIV/0!</v>
      </c>
      <c r="BR86" s="63"/>
      <c r="BS86" s="58" t="e">
        <f>(Links!AA86^2+'Off-Ramp'!N86^2)/(Links!AA86+'Off-Ramp'!N86)</f>
        <v>#DIV/0!</v>
      </c>
      <c r="BT86" s="58" t="e">
        <f>(Links!AD86^2+'Off-Ramp'!O86^2)/(Links!AD86+'Off-Ramp'!O86)</f>
        <v>#DIV/0!</v>
      </c>
      <c r="BU86" s="58" t="e">
        <f>(Links!AE86^2+'Off-Ramp'!V86^2+'Off-Ramp'!W86^2+'Off-Ramp'!X86^2)/(Links!AE86+'Off-Ramp'!V86+'Off-Ramp'!W86+'Off-Ramp'!X86)</f>
        <v>#DIV/0!</v>
      </c>
      <c r="BV86" s="58" t="e">
        <f>(Links!AG86^2+'Off-Ramp'!Y86^2+'Off-Ramp'!Z86^2+'Off-Ramp'!AA86^2)/(Links!AG86+'Off-Ramp'!Y86+'Off-Ramp'!Z86+'Off-Ramp'!AA86)</f>
        <v>#DIV/0!</v>
      </c>
      <c r="BW86" s="58" t="e">
        <f>(Links!AH86^2+'Off-Ramp'!R86^2)/(Links!AH86+'Off-Ramp'!R86)</f>
        <v>#DIV/0!</v>
      </c>
      <c r="BX86" s="58" t="e">
        <f>(Links!AK86^2+'Off-Ramp'!S86^2)/(Links!AK86+'Off-Ramp'!S86)</f>
        <v>#DIV/0!</v>
      </c>
      <c r="BY86" s="58" t="e">
        <f>(Links!AL86^2+'Off-Ramp'!T86^2)/(Links!AL86+'Off-Ramp'!T86)</f>
        <v>#DIV/0!</v>
      </c>
      <c r="BZ86" s="63"/>
      <c r="CA86" s="58" t="e">
        <f>(Links!AN86^2+'Off-Ramp'!U86^2)/(Links!AN86+'Off-Ramp'!U86)</f>
        <v>#DIV/0!</v>
      </c>
    </row>
    <row r="87" spans="1:79" x14ac:dyDescent="0.15">
      <c r="A87" s="56">
        <v>85</v>
      </c>
      <c r="B87" s="57" t="e">
        <f t="shared" si="30"/>
        <v>#DIV/0!</v>
      </c>
      <c r="C87" s="57" t="e">
        <f t="shared" si="31"/>
        <v>#DIV/0!</v>
      </c>
      <c r="D87" s="57" t="e">
        <f t="shared" si="32"/>
        <v>#DIV/0!</v>
      </c>
      <c r="E87" s="57" t="e">
        <f t="shared" si="33"/>
        <v>#DIV/0!</v>
      </c>
      <c r="F87" s="57" t="e">
        <f t="shared" si="34"/>
        <v>#DIV/0!</v>
      </c>
      <c r="G87" s="57" t="e">
        <f t="shared" si="35"/>
        <v>#DIV/0!</v>
      </c>
      <c r="H87" s="57" t="e">
        <f t="shared" si="36"/>
        <v>#DIV/0!</v>
      </c>
      <c r="I87" s="57" t="e">
        <f t="shared" si="37"/>
        <v>#DIV/0!</v>
      </c>
      <c r="J87" s="57" t="e">
        <f t="shared" si="38"/>
        <v>#DIV/0!</v>
      </c>
      <c r="K87" s="57" t="e">
        <f t="shared" si="39"/>
        <v>#DIV/0!</v>
      </c>
      <c r="L87" s="57" t="e">
        <f t="shared" si="40"/>
        <v>#DIV/0!</v>
      </c>
      <c r="M87" s="57" t="e">
        <f t="shared" si="41"/>
        <v>#DIV/0!</v>
      </c>
      <c r="N87" s="57" t="e">
        <f t="shared" si="42"/>
        <v>#DIV/0!</v>
      </c>
      <c r="O87" s="58" t="e">
        <f>Links!B87</f>
        <v>#DIV/0!</v>
      </c>
      <c r="P87" s="58" t="e">
        <f>Links!C87+'On-Ramps'!AC87</f>
        <v>#DIV/0!</v>
      </c>
      <c r="Q87" s="58" t="e">
        <f>Links!D87</f>
        <v>#DIV/0!</v>
      </c>
      <c r="R87" s="58" t="e">
        <f>Links!E87+'On-Ramps'!AD87</f>
        <v>#DIV/0!</v>
      </c>
      <c r="S87" s="58" t="e">
        <f>Links!F87+'On-Ramps'!AE87</f>
        <v>#DIV/0!</v>
      </c>
      <c r="T87" s="58" t="e">
        <f>Links!I87+'On-Ramps'!AF87</f>
        <v>#DIV/0!</v>
      </c>
      <c r="U87" s="58" t="e">
        <f>Links!J87+'On-Ramps'!AG87</f>
        <v>#DIV/0!</v>
      </c>
      <c r="V87" s="58" t="e">
        <f>Links!L87+'On-Ramps'!AH87</f>
        <v>#DIV/0!</v>
      </c>
      <c r="W87" s="58" t="e">
        <f>Links!M87+'On-Ramps'!AI87</f>
        <v>#DIV/0!</v>
      </c>
      <c r="X87" s="58" t="e">
        <f>Links!P87+'On-Ramps'!AJ87</f>
        <v>#DIV/0!</v>
      </c>
      <c r="Y87" s="58" t="e">
        <f>Links!Q87</f>
        <v>#DIV/0!</v>
      </c>
      <c r="Z87" s="58" t="e">
        <f>Links!R87+'On-Ramps'!AK87</f>
        <v>#DIV/0!</v>
      </c>
      <c r="AA87" s="58" t="e">
        <f>Links!S87</f>
        <v>#DIV/0!</v>
      </c>
      <c r="AB87" s="57" t="e">
        <f t="shared" si="43"/>
        <v>#DIV/0!</v>
      </c>
      <c r="AC87" s="63"/>
      <c r="AD87" s="57" t="e">
        <f t="shared" si="44"/>
        <v>#DIV/0!</v>
      </c>
      <c r="AE87" s="63"/>
      <c r="AF87" s="57" t="e">
        <f t="shared" si="45"/>
        <v>#DIV/0!</v>
      </c>
      <c r="AG87" s="57" t="e">
        <f t="shared" si="46"/>
        <v>#DIV/0!</v>
      </c>
      <c r="AH87" s="57" t="e">
        <f t="shared" si="47"/>
        <v>#DIV/0!</v>
      </c>
      <c r="AI87" s="57" t="e">
        <f t="shared" si="48"/>
        <v>#DIV/0!</v>
      </c>
      <c r="AJ87" s="57" t="e">
        <f t="shared" si="49"/>
        <v>#DIV/0!</v>
      </c>
      <c r="AK87" s="57" t="e">
        <f t="shared" si="50"/>
        <v>#DIV/0!</v>
      </c>
      <c r="AL87" s="57" t="e">
        <f t="shared" si="51"/>
        <v>#DIV/0!</v>
      </c>
      <c r="AM87" s="63"/>
      <c r="AN87" s="57" t="e">
        <f t="shared" si="53"/>
        <v>#DIV/0!</v>
      </c>
      <c r="AO87" s="58" t="e">
        <f t="shared" si="29"/>
        <v>#DIV/0!</v>
      </c>
      <c r="AP87" s="63"/>
      <c r="AQ87" s="58" t="e">
        <f t="shared" si="52"/>
        <v>#DIV/0!</v>
      </c>
      <c r="AR87" s="63"/>
      <c r="AS87" s="58" t="e">
        <f t="shared" si="52"/>
        <v>#DIV/0!</v>
      </c>
      <c r="AT87" s="58" t="e">
        <f t="shared" si="52"/>
        <v>#DIV/0!</v>
      </c>
      <c r="AU87" s="58" t="e">
        <f t="shared" si="52"/>
        <v>#DIV/0!</v>
      </c>
      <c r="AV87" s="58" t="e">
        <f t="shared" si="52"/>
        <v>#DIV/0!</v>
      </c>
      <c r="AW87" s="58" t="e">
        <f t="shared" si="52"/>
        <v>#DIV/0!</v>
      </c>
      <c r="AX87" s="58" t="e">
        <f t="shared" si="52"/>
        <v>#DIV/0!</v>
      </c>
      <c r="AY87" s="58" t="e">
        <f t="shared" si="52"/>
        <v>#DIV/0!</v>
      </c>
      <c r="AZ87" s="63"/>
      <c r="BA87" s="58" t="e">
        <f t="shared" si="52"/>
        <v>#DIV/0!</v>
      </c>
      <c r="BB87" s="63"/>
      <c r="BC87" s="57" t="e">
        <f>(Links!C87*Links!AQ87+'On-Ramps'!AC87*'On-Ramps'!CE87)/('On-Ramps'!AC87+Links!C87)</f>
        <v>#DIV/0!</v>
      </c>
      <c r="BD87" s="63"/>
      <c r="BE87" s="57" t="e">
        <f>(Links!E87*Links!AS87+'On-Ramps'!AD87*'On-Ramps'!CF86)/('On-Ramps'!AD87+Links!E87)</f>
        <v>#DIV/0!</v>
      </c>
      <c r="BF87" s="57" t="e">
        <f>(Links!F87*Links!AT87+'On-Ramps'!AE87*'On-Ramps'!CG87)/('On-Ramps'!AE87+Links!F87)</f>
        <v>#DIV/0!</v>
      </c>
      <c r="BG87" s="57" t="e">
        <f>(Links!I87*Links!AW87+'On-Ramps'!AF87*'On-Ramps'!CH87)/('On-Ramps'!AF87+Links!I87)</f>
        <v>#DIV/0!</v>
      </c>
      <c r="BH87" s="57" t="e">
        <f>(#REF!*#REF!+'On-Ramps'!AG87*'On-Ramps'!CI87)/('On-Ramps'!AG87+#REF!)</f>
        <v>#REF!</v>
      </c>
      <c r="BI87" s="57" t="e">
        <f>(Links!L87*Links!AZ87+'On-Ramps'!AH87*'On-Ramps'!CJ87)/('On-Ramps'!AH87+Links!L87)</f>
        <v>#DIV/0!</v>
      </c>
      <c r="BJ87" s="57" t="e">
        <f>(Links!BA87*Links!M87+'On-Ramps'!AI87*'On-Ramps'!CK87)/('On-Ramps'!AI87+Links!M87)</f>
        <v>#DIV/0!</v>
      </c>
      <c r="BK87" s="57" t="e">
        <f>(Links!S87*Links!BG87+'On-Ramps'!AJ87*'On-Ramps'!CL87)/('On-Ramps'!AJ87+Links!S87)</f>
        <v>#DIV/0!</v>
      </c>
      <c r="BL87" s="63"/>
      <c r="BM87" s="57" t="e">
        <f>(Links!S87*Links!BG87+'On-Ramps'!AL87*'On-Ramps'!CM87)/(Links!S87+'On-Ramps'!AL87)</f>
        <v>#DIV/0!</v>
      </c>
      <c r="BN87" s="63"/>
      <c r="BO87" s="58" t="e">
        <f>(Links!W87^2+'Off-Ramp'!L87^2)/(Links!W87+'Off-Ramp'!L87)</f>
        <v>#DIV/0!</v>
      </c>
      <c r="BP87" s="63"/>
      <c r="BQ87" s="58" t="e">
        <f>(Links!Y87^2+'Off-Ramp'!C87^2)/(Links!Y87+'Off-Ramp'!C87)</f>
        <v>#DIV/0!</v>
      </c>
      <c r="BR87" s="63"/>
      <c r="BS87" s="58" t="e">
        <f>(Links!AA87^2+'Off-Ramp'!N87^2)/(Links!AA87+'Off-Ramp'!N87)</f>
        <v>#DIV/0!</v>
      </c>
      <c r="BT87" s="58" t="e">
        <f>(Links!AD87^2+'Off-Ramp'!O87^2)/(Links!AD87+'Off-Ramp'!O87)</f>
        <v>#DIV/0!</v>
      </c>
      <c r="BU87" s="58" t="e">
        <f>(Links!AE87^2+'Off-Ramp'!V87^2+'Off-Ramp'!W87^2+'Off-Ramp'!X87^2)/(Links!AE87+'Off-Ramp'!V87+'Off-Ramp'!W87+'Off-Ramp'!X87)</f>
        <v>#DIV/0!</v>
      </c>
      <c r="BV87" s="58" t="e">
        <f>(Links!AG87^2+'Off-Ramp'!Y87^2+'Off-Ramp'!Z87^2+'Off-Ramp'!AA87^2)/(Links!AG87+'Off-Ramp'!Y87+'Off-Ramp'!Z87+'Off-Ramp'!AA87)</f>
        <v>#DIV/0!</v>
      </c>
      <c r="BW87" s="58" t="e">
        <f>(Links!AH87^2+'Off-Ramp'!R87^2)/(Links!AH87+'Off-Ramp'!R87)</f>
        <v>#DIV/0!</v>
      </c>
      <c r="BX87" s="58" t="e">
        <f>(Links!AK87^2+'Off-Ramp'!S87^2)/(Links!AK87+'Off-Ramp'!S87)</f>
        <v>#DIV/0!</v>
      </c>
      <c r="BY87" s="58" t="e">
        <f>(Links!AL87^2+'Off-Ramp'!T87^2)/(Links!AL87+'Off-Ramp'!T87)</f>
        <v>#DIV/0!</v>
      </c>
      <c r="BZ87" s="63"/>
      <c r="CA87" s="58" t="e">
        <f>(Links!AN87^2+'Off-Ramp'!U87^2)/(Links!AN87+'Off-Ramp'!U87)</f>
        <v>#DIV/0!</v>
      </c>
    </row>
    <row r="88" spans="1:79" x14ac:dyDescent="0.15">
      <c r="A88" s="56">
        <v>86</v>
      </c>
      <c r="B88" s="57" t="e">
        <f t="shared" si="30"/>
        <v>#DIV/0!</v>
      </c>
      <c r="C88" s="57" t="e">
        <f t="shared" si="31"/>
        <v>#DIV/0!</v>
      </c>
      <c r="D88" s="57" t="e">
        <f t="shared" si="32"/>
        <v>#DIV/0!</v>
      </c>
      <c r="E88" s="57" t="e">
        <f t="shared" si="33"/>
        <v>#DIV/0!</v>
      </c>
      <c r="F88" s="57" t="e">
        <f t="shared" si="34"/>
        <v>#DIV/0!</v>
      </c>
      <c r="G88" s="57" t="e">
        <f t="shared" si="35"/>
        <v>#DIV/0!</v>
      </c>
      <c r="H88" s="57" t="e">
        <f t="shared" si="36"/>
        <v>#DIV/0!</v>
      </c>
      <c r="I88" s="57" t="e">
        <f t="shared" si="37"/>
        <v>#DIV/0!</v>
      </c>
      <c r="J88" s="57" t="e">
        <f t="shared" si="38"/>
        <v>#DIV/0!</v>
      </c>
      <c r="K88" s="57" t="e">
        <f t="shared" si="39"/>
        <v>#DIV/0!</v>
      </c>
      <c r="L88" s="57" t="e">
        <f t="shared" si="40"/>
        <v>#DIV/0!</v>
      </c>
      <c r="M88" s="57" t="e">
        <f t="shared" si="41"/>
        <v>#DIV/0!</v>
      </c>
      <c r="N88" s="57" t="e">
        <f t="shared" si="42"/>
        <v>#DIV/0!</v>
      </c>
      <c r="O88" s="58" t="e">
        <f>Links!B88</f>
        <v>#DIV/0!</v>
      </c>
      <c r="P88" s="58" t="e">
        <f>Links!C88+'On-Ramps'!AC88</f>
        <v>#DIV/0!</v>
      </c>
      <c r="Q88" s="58" t="e">
        <f>Links!D88</f>
        <v>#DIV/0!</v>
      </c>
      <c r="R88" s="58" t="e">
        <f>Links!E88+'On-Ramps'!AD88</f>
        <v>#DIV/0!</v>
      </c>
      <c r="S88" s="58" t="e">
        <f>Links!F88+'On-Ramps'!AE88</f>
        <v>#DIV/0!</v>
      </c>
      <c r="T88" s="58" t="e">
        <f>Links!I88+'On-Ramps'!AF88</f>
        <v>#DIV/0!</v>
      </c>
      <c r="U88" s="58" t="e">
        <f>Links!J88+'On-Ramps'!AG88</f>
        <v>#DIV/0!</v>
      </c>
      <c r="V88" s="58" t="e">
        <f>Links!L88+'On-Ramps'!AH88</f>
        <v>#DIV/0!</v>
      </c>
      <c r="W88" s="58" t="e">
        <f>Links!M88+'On-Ramps'!AI88</f>
        <v>#DIV/0!</v>
      </c>
      <c r="X88" s="58" t="e">
        <f>Links!P88+'On-Ramps'!AJ88</f>
        <v>#DIV/0!</v>
      </c>
      <c r="Y88" s="58" t="e">
        <f>Links!Q88</f>
        <v>#DIV/0!</v>
      </c>
      <c r="Z88" s="58" t="e">
        <f>Links!R88+'On-Ramps'!AK88</f>
        <v>#DIV/0!</v>
      </c>
      <c r="AA88" s="58" t="e">
        <f>Links!S88</f>
        <v>#DIV/0!</v>
      </c>
      <c r="AB88" s="57" t="e">
        <f t="shared" si="43"/>
        <v>#DIV/0!</v>
      </c>
      <c r="AC88" s="63"/>
      <c r="AD88" s="57" t="e">
        <f t="shared" si="44"/>
        <v>#DIV/0!</v>
      </c>
      <c r="AE88" s="63"/>
      <c r="AF88" s="57" t="e">
        <f t="shared" si="45"/>
        <v>#DIV/0!</v>
      </c>
      <c r="AG88" s="57" t="e">
        <f t="shared" si="46"/>
        <v>#DIV/0!</v>
      </c>
      <c r="AH88" s="57" t="e">
        <f t="shared" si="47"/>
        <v>#DIV/0!</v>
      </c>
      <c r="AI88" s="57" t="e">
        <f t="shared" si="48"/>
        <v>#DIV/0!</v>
      </c>
      <c r="AJ88" s="57" t="e">
        <f t="shared" si="49"/>
        <v>#DIV/0!</v>
      </c>
      <c r="AK88" s="57" t="e">
        <f t="shared" si="50"/>
        <v>#DIV/0!</v>
      </c>
      <c r="AL88" s="57" t="e">
        <f t="shared" si="51"/>
        <v>#DIV/0!</v>
      </c>
      <c r="AM88" s="63"/>
      <c r="AN88" s="57" t="e">
        <f t="shared" si="53"/>
        <v>#DIV/0!</v>
      </c>
      <c r="AO88" s="58" t="e">
        <f t="shared" si="29"/>
        <v>#DIV/0!</v>
      </c>
      <c r="AP88" s="63"/>
      <c r="AQ88" s="58" t="e">
        <f t="shared" si="52"/>
        <v>#DIV/0!</v>
      </c>
      <c r="AR88" s="63"/>
      <c r="AS88" s="58" t="e">
        <f t="shared" si="52"/>
        <v>#DIV/0!</v>
      </c>
      <c r="AT88" s="58" t="e">
        <f t="shared" si="52"/>
        <v>#DIV/0!</v>
      </c>
      <c r="AU88" s="58" t="e">
        <f t="shared" si="52"/>
        <v>#DIV/0!</v>
      </c>
      <c r="AV88" s="58" t="e">
        <f t="shared" si="52"/>
        <v>#DIV/0!</v>
      </c>
      <c r="AW88" s="58" t="e">
        <f t="shared" si="52"/>
        <v>#DIV/0!</v>
      </c>
      <c r="AX88" s="58" t="e">
        <f t="shared" si="52"/>
        <v>#DIV/0!</v>
      </c>
      <c r="AY88" s="58" t="e">
        <f t="shared" si="52"/>
        <v>#DIV/0!</v>
      </c>
      <c r="AZ88" s="63"/>
      <c r="BA88" s="58" t="e">
        <f t="shared" si="52"/>
        <v>#DIV/0!</v>
      </c>
      <c r="BB88" s="63"/>
      <c r="BC88" s="57" t="e">
        <f>(Links!C88*Links!AQ88+'On-Ramps'!AC88*'On-Ramps'!CE88)/('On-Ramps'!AC88+Links!C88)</f>
        <v>#DIV/0!</v>
      </c>
      <c r="BD88" s="63"/>
      <c r="BE88" s="57" t="e">
        <f>(Links!E88*Links!AS88+'On-Ramps'!AD88*'On-Ramps'!CF87)/('On-Ramps'!AD88+Links!E88)</f>
        <v>#DIV/0!</v>
      </c>
      <c r="BF88" s="57" t="e">
        <f>(Links!F88*Links!AT88+'On-Ramps'!AE88*'On-Ramps'!CG88)/('On-Ramps'!AE88+Links!F88)</f>
        <v>#DIV/0!</v>
      </c>
      <c r="BG88" s="57" t="e">
        <f>(Links!I88*Links!AW88+'On-Ramps'!AF88*'On-Ramps'!CH88)/('On-Ramps'!AF88+Links!I88)</f>
        <v>#DIV/0!</v>
      </c>
      <c r="BH88" s="57" t="e">
        <f>(#REF!*#REF!+'On-Ramps'!AG88*'On-Ramps'!CI88)/('On-Ramps'!AG88+#REF!)</f>
        <v>#REF!</v>
      </c>
      <c r="BI88" s="57" t="e">
        <f>(Links!L88*Links!AZ88+'On-Ramps'!AH88*'On-Ramps'!CJ88)/('On-Ramps'!AH88+Links!L88)</f>
        <v>#DIV/0!</v>
      </c>
      <c r="BJ88" s="57" t="e">
        <f>(Links!BA88*Links!M88+'On-Ramps'!AI88*'On-Ramps'!CK88)/('On-Ramps'!AI88+Links!M88)</f>
        <v>#DIV/0!</v>
      </c>
      <c r="BK88" s="57" t="e">
        <f>(Links!S88*Links!BG88+'On-Ramps'!AJ88*'On-Ramps'!CL88)/('On-Ramps'!AJ88+Links!S88)</f>
        <v>#DIV/0!</v>
      </c>
      <c r="BL88" s="63"/>
      <c r="BM88" s="57" t="e">
        <f>(Links!S88*Links!BG88+'On-Ramps'!AL88*'On-Ramps'!CM88)/(Links!S88+'On-Ramps'!AL88)</f>
        <v>#DIV/0!</v>
      </c>
      <c r="BN88" s="63"/>
      <c r="BO88" s="58" t="e">
        <f>(Links!W88^2+'Off-Ramp'!L88^2)/(Links!W88+'Off-Ramp'!L88)</f>
        <v>#DIV/0!</v>
      </c>
      <c r="BP88" s="63"/>
      <c r="BQ88" s="58" t="e">
        <f>(Links!Y88^2+'Off-Ramp'!C88^2)/(Links!Y88+'Off-Ramp'!C88)</f>
        <v>#DIV/0!</v>
      </c>
      <c r="BR88" s="63"/>
      <c r="BS88" s="58" t="e">
        <f>(Links!AA88^2+'Off-Ramp'!N88^2)/(Links!AA88+'Off-Ramp'!N88)</f>
        <v>#DIV/0!</v>
      </c>
      <c r="BT88" s="58" t="e">
        <f>(Links!AD88^2+'Off-Ramp'!O88^2)/(Links!AD88+'Off-Ramp'!O88)</f>
        <v>#DIV/0!</v>
      </c>
      <c r="BU88" s="58" t="e">
        <f>(Links!AE88^2+'Off-Ramp'!V88^2+'Off-Ramp'!W88^2+'Off-Ramp'!X88^2)/(Links!AE88+'Off-Ramp'!V88+'Off-Ramp'!W88+'Off-Ramp'!X88)</f>
        <v>#DIV/0!</v>
      </c>
      <c r="BV88" s="58" t="e">
        <f>(Links!AG88^2+'Off-Ramp'!Y88^2+'Off-Ramp'!Z88^2+'Off-Ramp'!AA88^2)/(Links!AG88+'Off-Ramp'!Y88+'Off-Ramp'!Z88+'Off-Ramp'!AA88)</f>
        <v>#DIV/0!</v>
      </c>
      <c r="BW88" s="58" t="e">
        <f>(Links!AH88^2+'Off-Ramp'!R88^2)/(Links!AH88+'Off-Ramp'!R88)</f>
        <v>#DIV/0!</v>
      </c>
      <c r="BX88" s="58" t="e">
        <f>(Links!AK88^2+'Off-Ramp'!S88^2)/(Links!AK88+'Off-Ramp'!S88)</f>
        <v>#DIV/0!</v>
      </c>
      <c r="BY88" s="58" t="e">
        <f>(Links!AL88^2+'Off-Ramp'!T88^2)/(Links!AL88+'Off-Ramp'!T88)</f>
        <v>#DIV/0!</v>
      </c>
      <c r="BZ88" s="63"/>
      <c r="CA88" s="58" t="e">
        <f>(Links!AN88^2+'Off-Ramp'!U88^2)/(Links!AN88+'Off-Ramp'!U88)</f>
        <v>#DIV/0!</v>
      </c>
    </row>
    <row r="89" spans="1:79" x14ac:dyDescent="0.15">
      <c r="A89" s="56">
        <v>87</v>
      </c>
      <c r="B89" s="57" t="e">
        <f t="shared" si="30"/>
        <v>#DIV/0!</v>
      </c>
      <c r="C89" s="57" t="e">
        <f t="shared" si="31"/>
        <v>#DIV/0!</v>
      </c>
      <c r="D89" s="57" t="e">
        <f t="shared" si="32"/>
        <v>#DIV/0!</v>
      </c>
      <c r="E89" s="57" t="e">
        <f t="shared" si="33"/>
        <v>#DIV/0!</v>
      </c>
      <c r="F89" s="57" t="e">
        <f t="shared" si="34"/>
        <v>#DIV/0!</v>
      </c>
      <c r="G89" s="57" t="e">
        <f t="shared" si="35"/>
        <v>#DIV/0!</v>
      </c>
      <c r="H89" s="57" t="e">
        <f t="shared" si="36"/>
        <v>#DIV/0!</v>
      </c>
      <c r="I89" s="57" t="e">
        <f t="shared" si="37"/>
        <v>#DIV/0!</v>
      </c>
      <c r="J89" s="57" t="e">
        <f t="shared" si="38"/>
        <v>#DIV/0!</v>
      </c>
      <c r="K89" s="57" t="e">
        <f t="shared" si="39"/>
        <v>#DIV/0!</v>
      </c>
      <c r="L89" s="57" t="e">
        <f t="shared" si="40"/>
        <v>#DIV/0!</v>
      </c>
      <c r="M89" s="57" t="e">
        <f t="shared" si="41"/>
        <v>#DIV/0!</v>
      </c>
      <c r="N89" s="57" t="e">
        <f t="shared" si="42"/>
        <v>#DIV/0!</v>
      </c>
      <c r="O89" s="58" t="e">
        <f>Links!B89</f>
        <v>#DIV/0!</v>
      </c>
      <c r="P89" s="58" t="e">
        <f>Links!C89+'On-Ramps'!AC89</f>
        <v>#DIV/0!</v>
      </c>
      <c r="Q89" s="58" t="e">
        <f>Links!D89</f>
        <v>#DIV/0!</v>
      </c>
      <c r="R89" s="58" t="e">
        <f>Links!E89+'On-Ramps'!AD89</f>
        <v>#DIV/0!</v>
      </c>
      <c r="S89" s="58" t="e">
        <f>Links!F89+'On-Ramps'!AE89</f>
        <v>#DIV/0!</v>
      </c>
      <c r="T89" s="58" t="e">
        <f>Links!I89+'On-Ramps'!AF89</f>
        <v>#DIV/0!</v>
      </c>
      <c r="U89" s="58" t="e">
        <f>Links!J89+'On-Ramps'!AG89</f>
        <v>#DIV/0!</v>
      </c>
      <c r="V89" s="58" t="e">
        <f>Links!L89+'On-Ramps'!AH89</f>
        <v>#DIV/0!</v>
      </c>
      <c r="W89" s="58" t="e">
        <f>Links!M89+'On-Ramps'!AI89</f>
        <v>#DIV/0!</v>
      </c>
      <c r="X89" s="58" t="e">
        <f>Links!P89+'On-Ramps'!AJ89</f>
        <v>#DIV/0!</v>
      </c>
      <c r="Y89" s="58" t="e">
        <f>Links!Q89</f>
        <v>#DIV/0!</v>
      </c>
      <c r="Z89" s="58" t="e">
        <f>Links!R89+'On-Ramps'!AK89</f>
        <v>#DIV/0!</v>
      </c>
      <c r="AA89" s="58" t="e">
        <f>Links!S89</f>
        <v>#DIV/0!</v>
      </c>
      <c r="AB89" s="57" t="e">
        <f t="shared" si="43"/>
        <v>#DIV/0!</v>
      </c>
      <c r="AC89" s="63"/>
      <c r="AD89" s="57" t="e">
        <f t="shared" si="44"/>
        <v>#DIV/0!</v>
      </c>
      <c r="AE89" s="63"/>
      <c r="AF89" s="57" t="e">
        <f t="shared" si="45"/>
        <v>#DIV/0!</v>
      </c>
      <c r="AG89" s="57" t="e">
        <f t="shared" si="46"/>
        <v>#DIV/0!</v>
      </c>
      <c r="AH89" s="57" t="e">
        <f t="shared" si="47"/>
        <v>#DIV/0!</v>
      </c>
      <c r="AI89" s="57" t="e">
        <f t="shared" si="48"/>
        <v>#DIV/0!</v>
      </c>
      <c r="AJ89" s="57" t="e">
        <f t="shared" si="49"/>
        <v>#DIV/0!</v>
      </c>
      <c r="AK89" s="57" t="e">
        <f t="shared" si="50"/>
        <v>#DIV/0!</v>
      </c>
      <c r="AL89" s="57" t="e">
        <f t="shared" si="51"/>
        <v>#DIV/0!</v>
      </c>
      <c r="AM89" s="63"/>
      <c r="AN89" s="57" t="e">
        <f t="shared" si="53"/>
        <v>#DIV/0!</v>
      </c>
      <c r="AO89" s="58" t="e">
        <f t="shared" si="29"/>
        <v>#DIV/0!</v>
      </c>
      <c r="AP89" s="63"/>
      <c r="AQ89" s="58" t="e">
        <f t="shared" si="52"/>
        <v>#DIV/0!</v>
      </c>
      <c r="AR89" s="63"/>
      <c r="AS89" s="58" t="e">
        <f t="shared" si="52"/>
        <v>#DIV/0!</v>
      </c>
      <c r="AT89" s="58" t="e">
        <f t="shared" si="52"/>
        <v>#DIV/0!</v>
      </c>
      <c r="AU89" s="58" t="e">
        <f t="shared" si="52"/>
        <v>#DIV/0!</v>
      </c>
      <c r="AV89" s="58" t="e">
        <f t="shared" si="52"/>
        <v>#DIV/0!</v>
      </c>
      <c r="AW89" s="58" t="e">
        <f t="shared" si="52"/>
        <v>#DIV/0!</v>
      </c>
      <c r="AX89" s="58" t="e">
        <f t="shared" si="52"/>
        <v>#DIV/0!</v>
      </c>
      <c r="AY89" s="58" t="e">
        <f t="shared" si="52"/>
        <v>#DIV/0!</v>
      </c>
      <c r="AZ89" s="63"/>
      <c r="BA89" s="58" t="e">
        <f t="shared" si="52"/>
        <v>#DIV/0!</v>
      </c>
      <c r="BB89" s="63"/>
      <c r="BC89" s="57" t="e">
        <f>(Links!C89*Links!AQ89+'On-Ramps'!AC89*'On-Ramps'!CE89)/('On-Ramps'!AC89+Links!C89)</f>
        <v>#DIV/0!</v>
      </c>
      <c r="BD89" s="63"/>
      <c r="BE89" s="57" t="e">
        <f>(Links!E89*Links!AS89+'On-Ramps'!AD89*'On-Ramps'!CF88)/('On-Ramps'!AD89+Links!E89)</f>
        <v>#DIV/0!</v>
      </c>
      <c r="BF89" s="57" t="e">
        <f>(Links!F89*Links!AT89+'On-Ramps'!AE89*'On-Ramps'!CG89)/('On-Ramps'!AE89+Links!F89)</f>
        <v>#DIV/0!</v>
      </c>
      <c r="BG89" s="57" t="e">
        <f>(Links!I89*Links!AW89+'On-Ramps'!AF89*'On-Ramps'!CH89)/('On-Ramps'!AF89+Links!I89)</f>
        <v>#DIV/0!</v>
      </c>
      <c r="BH89" s="57" t="e">
        <f>(#REF!*#REF!+'On-Ramps'!AG89*'On-Ramps'!CI89)/('On-Ramps'!AG89+#REF!)</f>
        <v>#REF!</v>
      </c>
      <c r="BI89" s="57" t="e">
        <f>(Links!L89*Links!AZ89+'On-Ramps'!AH89*'On-Ramps'!CJ89)/('On-Ramps'!AH89+Links!L89)</f>
        <v>#DIV/0!</v>
      </c>
      <c r="BJ89" s="57" t="e">
        <f>(Links!BA89*Links!M89+'On-Ramps'!AI89*'On-Ramps'!CK89)/('On-Ramps'!AI89+Links!M89)</f>
        <v>#DIV/0!</v>
      </c>
      <c r="BK89" s="57" t="e">
        <f>(Links!S89*Links!BG89+'On-Ramps'!AJ89*'On-Ramps'!CL89)/('On-Ramps'!AJ89+Links!S89)</f>
        <v>#DIV/0!</v>
      </c>
      <c r="BL89" s="63"/>
      <c r="BM89" s="57" t="e">
        <f>(Links!S89*Links!BG89+'On-Ramps'!AL89*'On-Ramps'!CM89)/(Links!S89+'On-Ramps'!AL89)</f>
        <v>#DIV/0!</v>
      </c>
      <c r="BN89" s="63"/>
      <c r="BO89" s="58" t="e">
        <f>(Links!W89^2+'Off-Ramp'!L89^2)/(Links!W89+'Off-Ramp'!L89)</f>
        <v>#DIV/0!</v>
      </c>
      <c r="BP89" s="63"/>
      <c r="BQ89" s="58" t="e">
        <f>(Links!Y89^2+'Off-Ramp'!C89^2)/(Links!Y89+'Off-Ramp'!C89)</f>
        <v>#DIV/0!</v>
      </c>
      <c r="BR89" s="63"/>
      <c r="BS89" s="58" t="e">
        <f>(Links!AA89^2+'Off-Ramp'!N89^2)/(Links!AA89+'Off-Ramp'!N89)</f>
        <v>#DIV/0!</v>
      </c>
      <c r="BT89" s="58" t="e">
        <f>(Links!AD89^2+'Off-Ramp'!O89^2)/(Links!AD89+'Off-Ramp'!O89)</f>
        <v>#DIV/0!</v>
      </c>
      <c r="BU89" s="58" t="e">
        <f>(Links!AE89^2+'Off-Ramp'!V89^2+'Off-Ramp'!W89^2+'Off-Ramp'!X89^2)/(Links!AE89+'Off-Ramp'!V89+'Off-Ramp'!W89+'Off-Ramp'!X89)</f>
        <v>#DIV/0!</v>
      </c>
      <c r="BV89" s="58" t="e">
        <f>(Links!AG89^2+'Off-Ramp'!Y89^2+'Off-Ramp'!Z89^2+'Off-Ramp'!AA89^2)/(Links!AG89+'Off-Ramp'!Y89+'Off-Ramp'!Z89+'Off-Ramp'!AA89)</f>
        <v>#DIV/0!</v>
      </c>
      <c r="BW89" s="58" t="e">
        <f>(Links!AH89^2+'Off-Ramp'!R89^2)/(Links!AH89+'Off-Ramp'!R89)</f>
        <v>#DIV/0!</v>
      </c>
      <c r="BX89" s="58" t="e">
        <f>(Links!AK89^2+'Off-Ramp'!S89^2)/(Links!AK89+'Off-Ramp'!S89)</f>
        <v>#DIV/0!</v>
      </c>
      <c r="BY89" s="58" t="e">
        <f>(Links!AL89^2+'Off-Ramp'!T89^2)/(Links!AL89+'Off-Ramp'!T89)</f>
        <v>#DIV/0!</v>
      </c>
      <c r="BZ89" s="63"/>
      <c r="CA89" s="58" t="e">
        <f>(Links!AN89^2+'Off-Ramp'!U89^2)/(Links!AN89+'Off-Ramp'!U89)</f>
        <v>#DIV/0!</v>
      </c>
    </row>
    <row r="90" spans="1:79" x14ac:dyDescent="0.15">
      <c r="A90" s="56">
        <v>88</v>
      </c>
      <c r="B90" s="57" t="e">
        <f t="shared" si="30"/>
        <v>#DIV/0!</v>
      </c>
      <c r="C90" s="57" t="e">
        <f t="shared" si="31"/>
        <v>#DIV/0!</v>
      </c>
      <c r="D90" s="57" t="e">
        <f t="shared" si="32"/>
        <v>#DIV/0!</v>
      </c>
      <c r="E90" s="57" t="e">
        <f t="shared" si="33"/>
        <v>#DIV/0!</v>
      </c>
      <c r="F90" s="57" t="e">
        <f t="shared" si="34"/>
        <v>#DIV/0!</v>
      </c>
      <c r="G90" s="57" t="e">
        <f t="shared" si="35"/>
        <v>#DIV/0!</v>
      </c>
      <c r="H90" s="57" t="e">
        <f t="shared" si="36"/>
        <v>#DIV/0!</v>
      </c>
      <c r="I90" s="57" t="e">
        <f t="shared" si="37"/>
        <v>#DIV/0!</v>
      </c>
      <c r="J90" s="57" t="e">
        <f t="shared" si="38"/>
        <v>#DIV/0!</v>
      </c>
      <c r="K90" s="57" t="e">
        <f t="shared" si="39"/>
        <v>#DIV/0!</v>
      </c>
      <c r="L90" s="57" t="e">
        <f t="shared" si="40"/>
        <v>#DIV/0!</v>
      </c>
      <c r="M90" s="57" t="e">
        <f t="shared" si="41"/>
        <v>#DIV/0!</v>
      </c>
      <c r="N90" s="57" t="e">
        <f t="shared" si="42"/>
        <v>#DIV/0!</v>
      </c>
      <c r="O90" s="58" t="e">
        <f>Links!B90</f>
        <v>#DIV/0!</v>
      </c>
      <c r="P90" s="58" t="e">
        <f>Links!C90+'On-Ramps'!AC90</f>
        <v>#DIV/0!</v>
      </c>
      <c r="Q90" s="58" t="e">
        <f>Links!D90</f>
        <v>#DIV/0!</v>
      </c>
      <c r="R90" s="58" t="e">
        <f>Links!E90+'On-Ramps'!AD90</f>
        <v>#DIV/0!</v>
      </c>
      <c r="S90" s="58" t="e">
        <f>Links!F90+'On-Ramps'!AE90</f>
        <v>#DIV/0!</v>
      </c>
      <c r="T90" s="58" t="e">
        <f>Links!I90+'On-Ramps'!AF90</f>
        <v>#DIV/0!</v>
      </c>
      <c r="U90" s="58" t="e">
        <f>Links!J90+'On-Ramps'!AG90</f>
        <v>#DIV/0!</v>
      </c>
      <c r="V90" s="58" t="e">
        <f>Links!L90+'On-Ramps'!AH90</f>
        <v>#DIV/0!</v>
      </c>
      <c r="W90" s="58" t="e">
        <f>Links!M90+'On-Ramps'!AI90</f>
        <v>#DIV/0!</v>
      </c>
      <c r="X90" s="58" t="e">
        <f>Links!P90+'On-Ramps'!AJ90</f>
        <v>#DIV/0!</v>
      </c>
      <c r="Y90" s="58" t="e">
        <f>Links!Q90</f>
        <v>#DIV/0!</v>
      </c>
      <c r="Z90" s="58" t="e">
        <f>Links!R90+'On-Ramps'!AK90</f>
        <v>#DIV/0!</v>
      </c>
      <c r="AA90" s="58" t="e">
        <f>Links!S90</f>
        <v>#DIV/0!</v>
      </c>
      <c r="AB90" s="57" t="e">
        <f t="shared" si="43"/>
        <v>#DIV/0!</v>
      </c>
      <c r="AC90" s="63"/>
      <c r="AD90" s="57" t="e">
        <f t="shared" si="44"/>
        <v>#DIV/0!</v>
      </c>
      <c r="AE90" s="63"/>
      <c r="AF90" s="57" t="e">
        <f t="shared" si="45"/>
        <v>#DIV/0!</v>
      </c>
      <c r="AG90" s="57" t="e">
        <f t="shared" si="46"/>
        <v>#DIV/0!</v>
      </c>
      <c r="AH90" s="57" t="e">
        <f t="shared" si="47"/>
        <v>#DIV/0!</v>
      </c>
      <c r="AI90" s="57" t="e">
        <f t="shared" si="48"/>
        <v>#DIV/0!</v>
      </c>
      <c r="AJ90" s="57" t="e">
        <f t="shared" si="49"/>
        <v>#DIV/0!</v>
      </c>
      <c r="AK90" s="57" t="e">
        <f t="shared" si="50"/>
        <v>#DIV/0!</v>
      </c>
      <c r="AL90" s="57" t="e">
        <f t="shared" si="51"/>
        <v>#DIV/0!</v>
      </c>
      <c r="AM90" s="63"/>
      <c r="AN90" s="57" t="e">
        <f t="shared" si="53"/>
        <v>#DIV/0!</v>
      </c>
      <c r="AO90" s="58" t="e">
        <f t="shared" si="29"/>
        <v>#DIV/0!</v>
      </c>
      <c r="AP90" s="63"/>
      <c r="AQ90" s="58" t="e">
        <f t="shared" si="52"/>
        <v>#DIV/0!</v>
      </c>
      <c r="AR90" s="63"/>
      <c r="AS90" s="58" t="e">
        <f t="shared" si="52"/>
        <v>#DIV/0!</v>
      </c>
      <c r="AT90" s="58" t="e">
        <f t="shared" si="52"/>
        <v>#DIV/0!</v>
      </c>
      <c r="AU90" s="58" t="e">
        <f t="shared" si="52"/>
        <v>#DIV/0!</v>
      </c>
      <c r="AV90" s="58" t="e">
        <f t="shared" si="52"/>
        <v>#DIV/0!</v>
      </c>
      <c r="AW90" s="58" t="e">
        <f t="shared" si="52"/>
        <v>#DIV/0!</v>
      </c>
      <c r="AX90" s="58" t="e">
        <f t="shared" si="52"/>
        <v>#DIV/0!</v>
      </c>
      <c r="AY90" s="58" t="e">
        <f t="shared" si="52"/>
        <v>#DIV/0!</v>
      </c>
      <c r="AZ90" s="63"/>
      <c r="BA90" s="58" t="e">
        <f t="shared" si="52"/>
        <v>#DIV/0!</v>
      </c>
      <c r="BB90" s="63"/>
      <c r="BC90" s="57" t="e">
        <f>(Links!C90*Links!AQ90+'On-Ramps'!AC90*'On-Ramps'!CE90)/('On-Ramps'!AC90+Links!C90)</f>
        <v>#DIV/0!</v>
      </c>
      <c r="BD90" s="63"/>
      <c r="BE90" s="57" t="e">
        <f>(Links!E90*Links!AS90+'On-Ramps'!AD90*'On-Ramps'!CF89)/('On-Ramps'!AD90+Links!E90)</f>
        <v>#DIV/0!</v>
      </c>
      <c r="BF90" s="57" t="e">
        <f>(Links!F90*Links!AT90+'On-Ramps'!AE90*'On-Ramps'!CG90)/('On-Ramps'!AE90+Links!F90)</f>
        <v>#DIV/0!</v>
      </c>
      <c r="BG90" s="57" t="e">
        <f>(Links!I90*Links!AW90+'On-Ramps'!AF90*'On-Ramps'!CH90)/('On-Ramps'!AF90+Links!I90)</f>
        <v>#DIV/0!</v>
      </c>
      <c r="BH90" s="57" t="e">
        <f>(#REF!*#REF!+'On-Ramps'!AG90*'On-Ramps'!CI90)/('On-Ramps'!AG90+#REF!)</f>
        <v>#REF!</v>
      </c>
      <c r="BI90" s="57" t="e">
        <f>(Links!L90*Links!AZ90+'On-Ramps'!AH90*'On-Ramps'!CJ90)/('On-Ramps'!AH90+Links!L90)</f>
        <v>#DIV/0!</v>
      </c>
      <c r="BJ90" s="57" t="e">
        <f>(Links!BA90*Links!M90+'On-Ramps'!AI90*'On-Ramps'!CK90)/('On-Ramps'!AI90+Links!M90)</f>
        <v>#DIV/0!</v>
      </c>
      <c r="BK90" s="57" t="e">
        <f>(Links!S90*Links!BG90+'On-Ramps'!AJ90*'On-Ramps'!CL90)/('On-Ramps'!AJ90+Links!S90)</f>
        <v>#DIV/0!</v>
      </c>
      <c r="BL90" s="63"/>
      <c r="BM90" s="57" t="e">
        <f>(Links!S90*Links!BG90+'On-Ramps'!AL90*'On-Ramps'!CM90)/(Links!S90+'On-Ramps'!AL90)</f>
        <v>#DIV/0!</v>
      </c>
      <c r="BN90" s="63"/>
      <c r="BO90" s="58" t="e">
        <f>(Links!W90^2+'Off-Ramp'!L90^2)/(Links!W90+'Off-Ramp'!L90)</f>
        <v>#DIV/0!</v>
      </c>
      <c r="BP90" s="63"/>
      <c r="BQ90" s="58" t="e">
        <f>(Links!Y90^2+'Off-Ramp'!C90^2)/(Links!Y90+'Off-Ramp'!C90)</f>
        <v>#DIV/0!</v>
      </c>
      <c r="BR90" s="63"/>
      <c r="BS90" s="58" t="e">
        <f>(Links!AA90^2+'Off-Ramp'!N90^2)/(Links!AA90+'Off-Ramp'!N90)</f>
        <v>#DIV/0!</v>
      </c>
      <c r="BT90" s="58" t="e">
        <f>(Links!AD90^2+'Off-Ramp'!O90^2)/(Links!AD90+'Off-Ramp'!O90)</f>
        <v>#DIV/0!</v>
      </c>
      <c r="BU90" s="58" t="e">
        <f>(Links!AE90^2+'Off-Ramp'!V90^2+'Off-Ramp'!W90^2+'Off-Ramp'!X90^2)/(Links!AE90+'Off-Ramp'!V90+'Off-Ramp'!W90+'Off-Ramp'!X90)</f>
        <v>#DIV/0!</v>
      </c>
      <c r="BV90" s="58" t="e">
        <f>(Links!AG90^2+'Off-Ramp'!Y90^2+'Off-Ramp'!Z90^2+'Off-Ramp'!AA90^2)/(Links!AG90+'Off-Ramp'!Y90+'Off-Ramp'!Z90+'Off-Ramp'!AA90)</f>
        <v>#DIV/0!</v>
      </c>
      <c r="BW90" s="58" t="e">
        <f>(Links!AH90^2+'Off-Ramp'!R90^2)/(Links!AH90+'Off-Ramp'!R90)</f>
        <v>#DIV/0!</v>
      </c>
      <c r="BX90" s="58" t="e">
        <f>(Links!AK90^2+'Off-Ramp'!S90^2)/(Links!AK90+'Off-Ramp'!S90)</f>
        <v>#DIV/0!</v>
      </c>
      <c r="BY90" s="58" t="e">
        <f>(Links!AL90^2+'Off-Ramp'!T90^2)/(Links!AL90+'Off-Ramp'!T90)</f>
        <v>#DIV/0!</v>
      </c>
      <c r="BZ90" s="63"/>
      <c r="CA90" s="58" t="e">
        <f>(Links!AN90^2+'Off-Ramp'!U90^2)/(Links!AN90+'Off-Ramp'!U90)</f>
        <v>#DIV/0!</v>
      </c>
    </row>
    <row r="91" spans="1:79" x14ac:dyDescent="0.15">
      <c r="A91" s="56">
        <v>89</v>
      </c>
      <c r="B91" s="57" t="e">
        <f t="shared" si="30"/>
        <v>#DIV/0!</v>
      </c>
      <c r="C91" s="57" t="e">
        <f t="shared" si="31"/>
        <v>#DIV/0!</v>
      </c>
      <c r="D91" s="57" t="e">
        <f t="shared" si="32"/>
        <v>#DIV/0!</v>
      </c>
      <c r="E91" s="57" t="e">
        <f t="shared" si="33"/>
        <v>#DIV/0!</v>
      </c>
      <c r="F91" s="57" t="e">
        <f t="shared" si="34"/>
        <v>#DIV/0!</v>
      </c>
      <c r="G91" s="57" t="e">
        <f t="shared" si="35"/>
        <v>#DIV/0!</v>
      </c>
      <c r="H91" s="57" t="e">
        <f t="shared" si="36"/>
        <v>#DIV/0!</v>
      </c>
      <c r="I91" s="57" t="e">
        <f t="shared" si="37"/>
        <v>#DIV/0!</v>
      </c>
      <c r="J91" s="57" t="e">
        <f t="shared" si="38"/>
        <v>#DIV/0!</v>
      </c>
      <c r="K91" s="57" t="e">
        <f t="shared" si="39"/>
        <v>#DIV/0!</v>
      </c>
      <c r="L91" s="57" t="e">
        <f t="shared" si="40"/>
        <v>#DIV/0!</v>
      </c>
      <c r="M91" s="57" t="e">
        <f t="shared" si="41"/>
        <v>#DIV/0!</v>
      </c>
      <c r="N91" s="57" t="e">
        <f t="shared" si="42"/>
        <v>#DIV/0!</v>
      </c>
      <c r="O91" s="58" t="e">
        <f>Links!B91</f>
        <v>#DIV/0!</v>
      </c>
      <c r="P91" s="58" t="e">
        <f>Links!C91+'On-Ramps'!AC91</f>
        <v>#DIV/0!</v>
      </c>
      <c r="Q91" s="58" t="e">
        <f>Links!D91</f>
        <v>#DIV/0!</v>
      </c>
      <c r="R91" s="58" t="e">
        <f>Links!E91+'On-Ramps'!AD91</f>
        <v>#DIV/0!</v>
      </c>
      <c r="S91" s="58" t="e">
        <f>Links!F91+'On-Ramps'!AE91</f>
        <v>#DIV/0!</v>
      </c>
      <c r="T91" s="58" t="e">
        <f>Links!I91+'On-Ramps'!AF91</f>
        <v>#DIV/0!</v>
      </c>
      <c r="U91" s="58" t="e">
        <f>Links!J91+'On-Ramps'!AG91</f>
        <v>#DIV/0!</v>
      </c>
      <c r="V91" s="58" t="e">
        <f>Links!L91+'On-Ramps'!AH91</f>
        <v>#DIV/0!</v>
      </c>
      <c r="W91" s="58" t="e">
        <f>Links!M91+'On-Ramps'!AI91</f>
        <v>#DIV/0!</v>
      </c>
      <c r="X91" s="58" t="e">
        <f>Links!P91+'On-Ramps'!AJ91</f>
        <v>#DIV/0!</v>
      </c>
      <c r="Y91" s="58" t="e">
        <f>Links!Q91</f>
        <v>#DIV/0!</v>
      </c>
      <c r="Z91" s="58" t="e">
        <f>Links!R91+'On-Ramps'!AK91</f>
        <v>#DIV/0!</v>
      </c>
      <c r="AA91" s="58" t="e">
        <f>Links!S91</f>
        <v>#DIV/0!</v>
      </c>
      <c r="AB91" s="57" t="e">
        <f t="shared" si="43"/>
        <v>#DIV/0!</v>
      </c>
      <c r="AC91" s="63"/>
      <c r="AD91" s="57" t="e">
        <f t="shared" si="44"/>
        <v>#DIV/0!</v>
      </c>
      <c r="AE91" s="63"/>
      <c r="AF91" s="57" t="e">
        <f t="shared" si="45"/>
        <v>#DIV/0!</v>
      </c>
      <c r="AG91" s="57" t="e">
        <f t="shared" si="46"/>
        <v>#DIV/0!</v>
      </c>
      <c r="AH91" s="57" t="e">
        <f t="shared" si="47"/>
        <v>#DIV/0!</v>
      </c>
      <c r="AI91" s="57" t="e">
        <f t="shared" si="48"/>
        <v>#DIV/0!</v>
      </c>
      <c r="AJ91" s="57" t="e">
        <f t="shared" si="49"/>
        <v>#DIV/0!</v>
      </c>
      <c r="AK91" s="57" t="e">
        <f t="shared" si="50"/>
        <v>#DIV/0!</v>
      </c>
      <c r="AL91" s="57" t="e">
        <f t="shared" si="51"/>
        <v>#DIV/0!</v>
      </c>
      <c r="AM91" s="63"/>
      <c r="AN91" s="57" t="e">
        <f t="shared" si="53"/>
        <v>#DIV/0!</v>
      </c>
      <c r="AO91" s="58" t="e">
        <f t="shared" si="29"/>
        <v>#DIV/0!</v>
      </c>
      <c r="AP91" s="63"/>
      <c r="AQ91" s="58" t="e">
        <f t="shared" si="52"/>
        <v>#DIV/0!</v>
      </c>
      <c r="AR91" s="63"/>
      <c r="AS91" s="58" t="e">
        <f t="shared" si="52"/>
        <v>#DIV/0!</v>
      </c>
      <c r="AT91" s="58" t="e">
        <f t="shared" si="52"/>
        <v>#DIV/0!</v>
      </c>
      <c r="AU91" s="58" t="e">
        <f t="shared" si="52"/>
        <v>#DIV/0!</v>
      </c>
      <c r="AV91" s="58" t="e">
        <f t="shared" si="52"/>
        <v>#DIV/0!</v>
      </c>
      <c r="AW91" s="58" t="e">
        <f t="shared" si="52"/>
        <v>#DIV/0!</v>
      </c>
      <c r="AX91" s="58" t="e">
        <f t="shared" si="52"/>
        <v>#DIV/0!</v>
      </c>
      <c r="AY91" s="58" t="e">
        <f t="shared" si="52"/>
        <v>#DIV/0!</v>
      </c>
      <c r="AZ91" s="63"/>
      <c r="BA91" s="58" t="e">
        <f t="shared" si="52"/>
        <v>#DIV/0!</v>
      </c>
      <c r="BB91" s="63"/>
      <c r="BC91" s="57" t="e">
        <f>(Links!C91*Links!AQ91+'On-Ramps'!AC91*'On-Ramps'!CE91)/('On-Ramps'!AC91+Links!C91)</f>
        <v>#DIV/0!</v>
      </c>
      <c r="BD91" s="63"/>
      <c r="BE91" s="57" t="e">
        <f>(Links!E91*Links!AS91+'On-Ramps'!AD91*'On-Ramps'!CF90)/('On-Ramps'!AD91+Links!E91)</f>
        <v>#DIV/0!</v>
      </c>
      <c r="BF91" s="57" t="e">
        <f>(Links!F91*Links!AT91+'On-Ramps'!AE91*'On-Ramps'!CG91)/('On-Ramps'!AE91+Links!F91)</f>
        <v>#DIV/0!</v>
      </c>
      <c r="BG91" s="57" t="e">
        <f>(Links!I91*Links!AW91+'On-Ramps'!AF91*'On-Ramps'!CH91)/('On-Ramps'!AF91+Links!I91)</f>
        <v>#DIV/0!</v>
      </c>
      <c r="BH91" s="57" t="e">
        <f>(#REF!*#REF!+'On-Ramps'!AG91*'On-Ramps'!CI91)/('On-Ramps'!AG91+#REF!)</f>
        <v>#REF!</v>
      </c>
      <c r="BI91" s="57" t="e">
        <f>(Links!L91*Links!AZ91+'On-Ramps'!AH91*'On-Ramps'!CJ91)/('On-Ramps'!AH91+Links!L91)</f>
        <v>#DIV/0!</v>
      </c>
      <c r="BJ91" s="57" t="e">
        <f>(Links!BA91*Links!M91+'On-Ramps'!AI91*'On-Ramps'!CK91)/('On-Ramps'!AI91+Links!M91)</f>
        <v>#DIV/0!</v>
      </c>
      <c r="BK91" s="57" t="e">
        <f>(Links!S91*Links!BG91+'On-Ramps'!AJ91*'On-Ramps'!CL91)/('On-Ramps'!AJ91+Links!S91)</f>
        <v>#DIV/0!</v>
      </c>
      <c r="BL91" s="63"/>
      <c r="BM91" s="57" t="e">
        <f>(Links!S91*Links!BG91+'On-Ramps'!AL91*'On-Ramps'!CM91)/(Links!S91+'On-Ramps'!AL91)</f>
        <v>#DIV/0!</v>
      </c>
      <c r="BN91" s="63"/>
      <c r="BO91" s="58" t="e">
        <f>(Links!W91^2+'Off-Ramp'!L91^2)/(Links!W91+'Off-Ramp'!L91)</f>
        <v>#DIV/0!</v>
      </c>
      <c r="BP91" s="63"/>
      <c r="BQ91" s="58" t="e">
        <f>(Links!Y91^2+'Off-Ramp'!C91^2)/(Links!Y91+'Off-Ramp'!C91)</f>
        <v>#DIV/0!</v>
      </c>
      <c r="BR91" s="63"/>
      <c r="BS91" s="58" t="e">
        <f>(Links!AA91^2+'Off-Ramp'!N91^2)/(Links!AA91+'Off-Ramp'!N91)</f>
        <v>#DIV/0!</v>
      </c>
      <c r="BT91" s="58" t="e">
        <f>(Links!AD91^2+'Off-Ramp'!O91^2)/(Links!AD91+'Off-Ramp'!O91)</f>
        <v>#DIV/0!</v>
      </c>
      <c r="BU91" s="58" t="e">
        <f>(Links!AE91^2+'Off-Ramp'!V91^2+'Off-Ramp'!W91^2+'Off-Ramp'!X91^2)/(Links!AE91+'Off-Ramp'!V91+'Off-Ramp'!W91+'Off-Ramp'!X91)</f>
        <v>#DIV/0!</v>
      </c>
      <c r="BV91" s="58" t="e">
        <f>(Links!AG91^2+'Off-Ramp'!Y91^2+'Off-Ramp'!Z91^2+'Off-Ramp'!AA91^2)/(Links!AG91+'Off-Ramp'!Y91+'Off-Ramp'!Z91+'Off-Ramp'!AA91)</f>
        <v>#DIV/0!</v>
      </c>
      <c r="BW91" s="58" t="e">
        <f>(Links!AH91^2+'Off-Ramp'!R91^2)/(Links!AH91+'Off-Ramp'!R91)</f>
        <v>#DIV/0!</v>
      </c>
      <c r="BX91" s="58" t="e">
        <f>(Links!AK91^2+'Off-Ramp'!S91^2)/(Links!AK91+'Off-Ramp'!S91)</f>
        <v>#DIV/0!</v>
      </c>
      <c r="BY91" s="58" t="e">
        <f>(Links!AL91^2+'Off-Ramp'!T91^2)/(Links!AL91+'Off-Ramp'!T91)</f>
        <v>#DIV/0!</v>
      </c>
      <c r="BZ91" s="63"/>
      <c r="CA91" s="58" t="e">
        <f>(Links!AN91^2+'Off-Ramp'!U91^2)/(Links!AN91+'Off-Ramp'!U91)</f>
        <v>#DIV/0!</v>
      </c>
    </row>
    <row r="92" spans="1:79" x14ac:dyDescent="0.15">
      <c r="A92" s="56">
        <v>90</v>
      </c>
      <c r="B92" s="57" t="e">
        <f t="shared" si="30"/>
        <v>#DIV/0!</v>
      </c>
      <c r="C92" s="57" t="e">
        <f t="shared" si="31"/>
        <v>#DIV/0!</v>
      </c>
      <c r="D92" s="57" t="e">
        <f t="shared" si="32"/>
        <v>#DIV/0!</v>
      </c>
      <c r="E92" s="57" t="e">
        <f t="shared" si="33"/>
        <v>#DIV/0!</v>
      </c>
      <c r="F92" s="57" t="e">
        <f t="shared" si="34"/>
        <v>#DIV/0!</v>
      </c>
      <c r="G92" s="57" t="e">
        <f t="shared" si="35"/>
        <v>#DIV/0!</v>
      </c>
      <c r="H92" s="57" t="e">
        <f t="shared" si="36"/>
        <v>#DIV/0!</v>
      </c>
      <c r="I92" s="57" t="e">
        <f t="shared" si="37"/>
        <v>#DIV/0!</v>
      </c>
      <c r="J92" s="57" t="e">
        <f t="shared" si="38"/>
        <v>#DIV/0!</v>
      </c>
      <c r="K92" s="57" t="e">
        <f t="shared" si="39"/>
        <v>#DIV/0!</v>
      </c>
      <c r="L92" s="57" t="e">
        <f t="shared" si="40"/>
        <v>#DIV/0!</v>
      </c>
      <c r="M92" s="57" t="e">
        <f t="shared" si="41"/>
        <v>#DIV/0!</v>
      </c>
      <c r="N92" s="57" t="e">
        <f t="shared" si="42"/>
        <v>#DIV/0!</v>
      </c>
      <c r="O92" s="58" t="e">
        <f>Links!B92</f>
        <v>#DIV/0!</v>
      </c>
      <c r="P92" s="58" t="e">
        <f>Links!C92+'On-Ramps'!AC92</f>
        <v>#DIV/0!</v>
      </c>
      <c r="Q92" s="58" t="e">
        <f>Links!D92</f>
        <v>#DIV/0!</v>
      </c>
      <c r="R92" s="58" t="e">
        <f>Links!E92+'On-Ramps'!AD92</f>
        <v>#DIV/0!</v>
      </c>
      <c r="S92" s="58" t="e">
        <f>Links!F92+'On-Ramps'!AE92</f>
        <v>#DIV/0!</v>
      </c>
      <c r="T92" s="58" t="e">
        <f>Links!I92+'On-Ramps'!AF92</f>
        <v>#DIV/0!</v>
      </c>
      <c r="U92" s="58" t="e">
        <f>Links!J92+'On-Ramps'!AG92</f>
        <v>#DIV/0!</v>
      </c>
      <c r="V92" s="58" t="e">
        <f>Links!L92+'On-Ramps'!AH92</f>
        <v>#DIV/0!</v>
      </c>
      <c r="W92" s="58" t="e">
        <f>Links!M92+'On-Ramps'!AI92</f>
        <v>#DIV/0!</v>
      </c>
      <c r="X92" s="58" t="e">
        <f>Links!P92+'On-Ramps'!AJ92</f>
        <v>#DIV/0!</v>
      </c>
      <c r="Y92" s="58" t="e">
        <f>Links!Q92</f>
        <v>#DIV/0!</v>
      </c>
      <c r="Z92" s="58" t="e">
        <f>Links!R92+'On-Ramps'!AK92</f>
        <v>#DIV/0!</v>
      </c>
      <c r="AA92" s="58" t="e">
        <f>Links!S92</f>
        <v>#DIV/0!</v>
      </c>
      <c r="AB92" s="57" t="e">
        <f t="shared" si="43"/>
        <v>#DIV/0!</v>
      </c>
      <c r="AC92" s="63"/>
      <c r="AD92" s="57" t="e">
        <f t="shared" si="44"/>
        <v>#DIV/0!</v>
      </c>
      <c r="AE92" s="63"/>
      <c r="AF92" s="57" t="e">
        <f t="shared" si="45"/>
        <v>#DIV/0!</v>
      </c>
      <c r="AG92" s="57" t="e">
        <f t="shared" si="46"/>
        <v>#DIV/0!</v>
      </c>
      <c r="AH92" s="57" t="e">
        <f t="shared" si="47"/>
        <v>#DIV/0!</v>
      </c>
      <c r="AI92" s="57" t="e">
        <f t="shared" si="48"/>
        <v>#DIV/0!</v>
      </c>
      <c r="AJ92" s="57" t="e">
        <f t="shared" si="49"/>
        <v>#DIV/0!</v>
      </c>
      <c r="AK92" s="57" t="e">
        <f t="shared" si="50"/>
        <v>#DIV/0!</v>
      </c>
      <c r="AL92" s="57" t="e">
        <f t="shared" si="51"/>
        <v>#DIV/0!</v>
      </c>
      <c r="AM92" s="63"/>
      <c r="AN92" s="57" t="e">
        <f t="shared" si="53"/>
        <v>#DIV/0!</v>
      </c>
      <c r="AO92" s="58" t="e">
        <f t="shared" si="29"/>
        <v>#DIV/0!</v>
      </c>
      <c r="AP92" s="63"/>
      <c r="AQ92" s="58" t="e">
        <f t="shared" si="52"/>
        <v>#DIV/0!</v>
      </c>
      <c r="AR92" s="63"/>
      <c r="AS92" s="58" t="e">
        <f t="shared" si="52"/>
        <v>#DIV/0!</v>
      </c>
      <c r="AT92" s="58" t="e">
        <f t="shared" si="52"/>
        <v>#DIV/0!</v>
      </c>
      <c r="AU92" s="58" t="e">
        <f t="shared" si="52"/>
        <v>#DIV/0!</v>
      </c>
      <c r="AV92" s="58" t="e">
        <f t="shared" si="52"/>
        <v>#DIV/0!</v>
      </c>
      <c r="AW92" s="58" t="e">
        <f t="shared" si="52"/>
        <v>#DIV/0!</v>
      </c>
      <c r="AX92" s="58" t="e">
        <f t="shared" si="52"/>
        <v>#DIV/0!</v>
      </c>
      <c r="AY92" s="58" t="e">
        <f t="shared" si="52"/>
        <v>#DIV/0!</v>
      </c>
      <c r="AZ92" s="63"/>
      <c r="BA92" s="58" t="e">
        <f t="shared" si="52"/>
        <v>#DIV/0!</v>
      </c>
      <c r="BB92" s="63"/>
      <c r="BC92" s="57" t="e">
        <f>(Links!C92*Links!AQ92+'On-Ramps'!AC92*'On-Ramps'!CE92)/('On-Ramps'!AC92+Links!C92)</f>
        <v>#DIV/0!</v>
      </c>
      <c r="BD92" s="63"/>
      <c r="BE92" s="57" t="e">
        <f>(Links!E92*Links!AS92+'On-Ramps'!AD92*'On-Ramps'!CF91)/('On-Ramps'!AD92+Links!E92)</f>
        <v>#DIV/0!</v>
      </c>
      <c r="BF92" s="57" t="e">
        <f>(Links!F92*Links!AT92+'On-Ramps'!AE92*'On-Ramps'!CG92)/('On-Ramps'!AE92+Links!F92)</f>
        <v>#DIV/0!</v>
      </c>
      <c r="BG92" s="57" t="e">
        <f>(Links!I92*Links!AW92+'On-Ramps'!AF92*'On-Ramps'!CH92)/('On-Ramps'!AF92+Links!I92)</f>
        <v>#DIV/0!</v>
      </c>
      <c r="BH92" s="57" t="e">
        <f>(#REF!*#REF!+'On-Ramps'!AG92*'On-Ramps'!CI92)/('On-Ramps'!AG92+#REF!)</f>
        <v>#REF!</v>
      </c>
      <c r="BI92" s="57" t="e">
        <f>(Links!L92*Links!AZ92+'On-Ramps'!AH92*'On-Ramps'!CJ92)/('On-Ramps'!AH92+Links!L92)</f>
        <v>#DIV/0!</v>
      </c>
      <c r="BJ92" s="57" t="e">
        <f>(Links!BA92*Links!M92+'On-Ramps'!AI92*'On-Ramps'!CK92)/('On-Ramps'!AI92+Links!M92)</f>
        <v>#DIV/0!</v>
      </c>
      <c r="BK92" s="57" t="e">
        <f>(Links!S92*Links!BG92+'On-Ramps'!AJ92*'On-Ramps'!CL92)/('On-Ramps'!AJ92+Links!S92)</f>
        <v>#DIV/0!</v>
      </c>
      <c r="BL92" s="63"/>
      <c r="BM92" s="57" t="e">
        <f>(Links!S92*Links!BG92+'On-Ramps'!AL92*'On-Ramps'!CM92)/(Links!S92+'On-Ramps'!AL92)</f>
        <v>#DIV/0!</v>
      </c>
      <c r="BN92" s="63"/>
      <c r="BO92" s="58" t="e">
        <f>(Links!W92^2+'Off-Ramp'!L92^2)/(Links!W92+'Off-Ramp'!L92)</f>
        <v>#DIV/0!</v>
      </c>
      <c r="BP92" s="63"/>
      <c r="BQ92" s="58" t="e">
        <f>(Links!Y92^2+'Off-Ramp'!C92^2)/(Links!Y92+'Off-Ramp'!C92)</f>
        <v>#DIV/0!</v>
      </c>
      <c r="BR92" s="63"/>
      <c r="BS92" s="58" t="e">
        <f>(Links!AA92^2+'Off-Ramp'!N92^2)/(Links!AA92+'Off-Ramp'!N92)</f>
        <v>#DIV/0!</v>
      </c>
      <c r="BT92" s="58" t="e">
        <f>(Links!AD92^2+'Off-Ramp'!O92^2)/(Links!AD92+'Off-Ramp'!O92)</f>
        <v>#DIV/0!</v>
      </c>
      <c r="BU92" s="58" t="e">
        <f>(Links!AE92^2+'Off-Ramp'!V92^2+'Off-Ramp'!W92^2+'Off-Ramp'!X92^2)/(Links!AE92+'Off-Ramp'!V92+'Off-Ramp'!W92+'Off-Ramp'!X92)</f>
        <v>#DIV/0!</v>
      </c>
      <c r="BV92" s="58" t="e">
        <f>(Links!AG92^2+'Off-Ramp'!Y92^2+'Off-Ramp'!Z92^2+'Off-Ramp'!AA92^2)/(Links!AG92+'Off-Ramp'!Y92+'Off-Ramp'!Z92+'Off-Ramp'!AA92)</f>
        <v>#DIV/0!</v>
      </c>
      <c r="BW92" s="58" t="e">
        <f>(Links!AH92^2+'Off-Ramp'!R92^2)/(Links!AH92+'Off-Ramp'!R92)</f>
        <v>#DIV/0!</v>
      </c>
      <c r="BX92" s="58" t="e">
        <f>(Links!AK92^2+'Off-Ramp'!S92^2)/(Links!AK92+'Off-Ramp'!S92)</f>
        <v>#DIV/0!</v>
      </c>
      <c r="BY92" s="58" t="e">
        <f>(Links!AL92^2+'Off-Ramp'!T92^2)/(Links!AL92+'Off-Ramp'!T92)</f>
        <v>#DIV/0!</v>
      </c>
      <c r="BZ92" s="63"/>
      <c r="CA92" s="58" t="e">
        <f>(Links!AN92^2+'Off-Ramp'!U92^2)/(Links!AN92+'Off-Ramp'!U92)</f>
        <v>#DIV/0!</v>
      </c>
    </row>
    <row r="93" spans="1:79" x14ac:dyDescent="0.15">
      <c r="A93" s="56">
        <v>91</v>
      </c>
      <c r="B93" s="57" t="e">
        <f t="shared" si="30"/>
        <v>#DIV/0!</v>
      </c>
      <c r="C93" s="57" t="e">
        <f t="shared" si="31"/>
        <v>#DIV/0!</v>
      </c>
      <c r="D93" s="57" t="e">
        <f t="shared" si="32"/>
        <v>#DIV/0!</v>
      </c>
      <c r="E93" s="57" t="e">
        <f t="shared" si="33"/>
        <v>#DIV/0!</v>
      </c>
      <c r="F93" s="57" t="e">
        <f t="shared" si="34"/>
        <v>#DIV/0!</v>
      </c>
      <c r="G93" s="57" t="e">
        <f t="shared" si="35"/>
        <v>#DIV/0!</v>
      </c>
      <c r="H93" s="57" t="e">
        <f t="shared" si="36"/>
        <v>#DIV/0!</v>
      </c>
      <c r="I93" s="57" t="e">
        <f t="shared" si="37"/>
        <v>#DIV/0!</v>
      </c>
      <c r="J93" s="57" t="e">
        <f t="shared" si="38"/>
        <v>#DIV/0!</v>
      </c>
      <c r="K93" s="57" t="e">
        <f t="shared" si="39"/>
        <v>#DIV/0!</v>
      </c>
      <c r="L93" s="57" t="e">
        <f t="shared" si="40"/>
        <v>#DIV/0!</v>
      </c>
      <c r="M93" s="57" t="e">
        <f t="shared" si="41"/>
        <v>#DIV/0!</v>
      </c>
      <c r="N93" s="57" t="e">
        <f t="shared" si="42"/>
        <v>#DIV/0!</v>
      </c>
      <c r="O93" s="58" t="e">
        <f>Links!B93</f>
        <v>#DIV/0!</v>
      </c>
      <c r="P93" s="58" t="e">
        <f>Links!C93+'On-Ramps'!AC93</f>
        <v>#DIV/0!</v>
      </c>
      <c r="Q93" s="58" t="e">
        <f>Links!D93</f>
        <v>#DIV/0!</v>
      </c>
      <c r="R93" s="58" t="e">
        <f>Links!E93+'On-Ramps'!AD93</f>
        <v>#DIV/0!</v>
      </c>
      <c r="S93" s="58" t="e">
        <f>Links!F93+'On-Ramps'!AE93</f>
        <v>#DIV/0!</v>
      </c>
      <c r="T93" s="58" t="e">
        <f>Links!I93+'On-Ramps'!AF93</f>
        <v>#DIV/0!</v>
      </c>
      <c r="U93" s="58" t="e">
        <f>Links!J93+'On-Ramps'!AG93</f>
        <v>#DIV/0!</v>
      </c>
      <c r="V93" s="58" t="e">
        <f>Links!L93+'On-Ramps'!AH93</f>
        <v>#DIV/0!</v>
      </c>
      <c r="W93" s="58" t="e">
        <f>Links!M93+'On-Ramps'!AI93</f>
        <v>#DIV/0!</v>
      </c>
      <c r="X93" s="58" t="e">
        <f>Links!P93+'On-Ramps'!AJ93</f>
        <v>#DIV/0!</v>
      </c>
      <c r="Y93" s="58" t="e">
        <f>Links!Q93</f>
        <v>#DIV/0!</v>
      </c>
      <c r="Z93" s="58" t="e">
        <f>Links!R93+'On-Ramps'!AK93</f>
        <v>#DIV/0!</v>
      </c>
      <c r="AA93" s="58" t="e">
        <f>Links!S93</f>
        <v>#DIV/0!</v>
      </c>
      <c r="AB93" s="57" t="e">
        <f t="shared" si="43"/>
        <v>#DIV/0!</v>
      </c>
      <c r="AC93" s="63"/>
      <c r="AD93" s="57" t="e">
        <f t="shared" si="44"/>
        <v>#DIV/0!</v>
      </c>
      <c r="AE93" s="63"/>
      <c r="AF93" s="57" t="e">
        <f t="shared" si="45"/>
        <v>#DIV/0!</v>
      </c>
      <c r="AG93" s="57" t="e">
        <f t="shared" si="46"/>
        <v>#DIV/0!</v>
      </c>
      <c r="AH93" s="57" t="e">
        <f t="shared" si="47"/>
        <v>#DIV/0!</v>
      </c>
      <c r="AI93" s="57" t="e">
        <f t="shared" si="48"/>
        <v>#DIV/0!</v>
      </c>
      <c r="AJ93" s="57" t="e">
        <f t="shared" si="49"/>
        <v>#DIV/0!</v>
      </c>
      <c r="AK93" s="57" t="e">
        <f t="shared" si="50"/>
        <v>#DIV/0!</v>
      </c>
      <c r="AL93" s="57" t="e">
        <f t="shared" si="51"/>
        <v>#DIV/0!</v>
      </c>
      <c r="AM93" s="63"/>
      <c r="AN93" s="57" t="e">
        <f t="shared" si="53"/>
        <v>#DIV/0!</v>
      </c>
      <c r="AO93" s="58" t="e">
        <f t="shared" si="29"/>
        <v>#DIV/0!</v>
      </c>
      <c r="AP93" s="63"/>
      <c r="AQ93" s="58" t="e">
        <f t="shared" si="52"/>
        <v>#DIV/0!</v>
      </c>
      <c r="AR93" s="63"/>
      <c r="AS93" s="58" t="e">
        <f t="shared" si="52"/>
        <v>#DIV/0!</v>
      </c>
      <c r="AT93" s="58" t="e">
        <f t="shared" si="52"/>
        <v>#DIV/0!</v>
      </c>
      <c r="AU93" s="58" t="e">
        <f t="shared" si="52"/>
        <v>#DIV/0!</v>
      </c>
      <c r="AV93" s="58" t="e">
        <f t="shared" si="52"/>
        <v>#DIV/0!</v>
      </c>
      <c r="AW93" s="58" t="e">
        <f t="shared" si="52"/>
        <v>#DIV/0!</v>
      </c>
      <c r="AX93" s="58" t="e">
        <f t="shared" si="52"/>
        <v>#DIV/0!</v>
      </c>
      <c r="AY93" s="58" t="e">
        <f t="shared" si="52"/>
        <v>#DIV/0!</v>
      </c>
      <c r="AZ93" s="63"/>
      <c r="BA93" s="58" t="e">
        <f t="shared" si="52"/>
        <v>#DIV/0!</v>
      </c>
      <c r="BB93" s="63"/>
      <c r="BC93" s="57" t="e">
        <f>(Links!C93*Links!AQ93+'On-Ramps'!AC93*'On-Ramps'!CE93)/('On-Ramps'!AC93+Links!C93)</f>
        <v>#DIV/0!</v>
      </c>
      <c r="BD93" s="63"/>
      <c r="BE93" s="57" t="e">
        <f>(Links!E93*Links!AS93+'On-Ramps'!AD93*'On-Ramps'!CF92)/('On-Ramps'!AD93+Links!E93)</f>
        <v>#DIV/0!</v>
      </c>
      <c r="BF93" s="57" t="e">
        <f>(Links!F93*Links!AT93+'On-Ramps'!AE93*'On-Ramps'!CG93)/('On-Ramps'!AE93+Links!F93)</f>
        <v>#DIV/0!</v>
      </c>
      <c r="BG93" s="57" t="e">
        <f>(Links!I93*Links!AW93+'On-Ramps'!AF93*'On-Ramps'!CH93)/('On-Ramps'!AF93+Links!I93)</f>
        <v>#DIV/0!</v>
      </c>
      <c r="BH93" s="57" t="e">
        <f>(#REF!*#REF!+'On-Ramps'!AG93*'On-Ramps'!CI93)/('On-Ramps'!AG93+#REF!)</f>
        <v>#REF!</v>
      </c>
      <c r="BI93" s="57" t="e">
        <f>(Links!L93*Links!AZ93+'On-Ramps'!AH93*'On-Ramps'!CJ93)/('On-Ramps'!AH93+Links!L93)</f>
        <v>#DIV/0!</v>
      </c>
      <c r="BJ93" s="57" t="e">
        <f>(Links!BA93*Links!M93+'On-Ramps'!AI93*'On-Ramps'!CK93)/('On-Ramps'!AI93+Links!M93)</f>
        <v>#DIV/0!</v>
      </c>
      <c r="BK93" s="57" t="e">
        <f>(Links!S93*Links!BG93+'On-Ramps'!AJ93*'On-Ramps'!CL93)/('On-Ramps'!AJ93+Links!S93)</f>
        <v>#DIV/0!</v>
      </c>
      <c r="BL93" s="63"/>
      <c r="BM93" s="57" t="e">
        <f>(Links!S93*Links!BG93+'On-Ramps'!AL93*'On-Ramps'!CM93)/(Links!S93+'On-Ramps'!AL93)</f>
        <v>#DIV/0!</v>
      </c>
      <c r="BN93" s="63"/>
      <c r="BO93" s="58" t="e">
        <f>(Links!W93^2+'Off-Ramp'!L93^2)/(Links!W93+'Off-Ramp'!L93)</f>
        <v>#DIV/0!</v>
      </c>
      <c r="BP93" s="63"/>
      <c r="BQ93" s="58" t="e">
        <f>(Links!Y93^2+'Off-Ramp'!C93^2)/(Links!Y93+'Off-Ramp'!C93)</f>
        <v>#DIV/0!</v>
      </c>
      <c r="BR93" s="63"/>
      <c r="BS93" s="58" t="e">
        <f>(Links!AA93^2+'Off-Ramp'!N93^2)/(Links!AA93+'Off-Ramp'!N93)</f>
        <v>#DIV/0!</v>
      </c>
      <c r="BT93" s="58" t="e">
        <f>(Links!AD93^2+'Off-Ramp'!O93^2)/(Links!AD93+'Off-Ramp'!O93)</f>
        <v>#DIV/0!</v>
      </c>
      <c r="BU93" s="58" t="e">
        <f>(Links!AE93^2+'Off-Ramp'!V93^2+'Off-Ramp'!W93^2+'Off-Ramp'!X93^2)/(Links!AE93+'Off-Ramp'!V93+'Off-Ramp'!W93+'Off-Ramp'!X93)</f>
        <v>#DIV/0!</v>
      </c>
      <c r="BV93" s="58" t="e">
        <f>(Links!AG93^2+'Off-Ramp'!Y93^2+'Off-Ramp'!Z93^2+'Off-Ramp'!AA93^2)/(Links!AG93+'Off-Ramp'!Y93+'Off-Ramp'!Z93+'Off-Ramp'!AA93)</f>
        <v>#DIV/0!</v>
      </c>
      <c r="BW93" s="58" t="e">
        <f>(Links!AH93^2+'Off-Ramp'!R93^2)/(Links!AH93+'Off-Ramp'!R93)</f>
        <v>#DIV/0!</v>
      </c>
      <c r="BX93" s="58" t="e">
        <f>(Links!AK93^2+'Off-Ramp'!S93^2)/(Links!AK93+'Off-Ramp'!S93)</f>
        <v>#DIV/0!</v>
      </c>
      <c r="BY93" s="58" t="e">
        <f>(Links!AL93^2+'Off-Ramp'!T93^2)/(Links!AL93+'Off-Ramp'!T93)</f>
        <v>#DIV/0!</v>
      </c>
      <c r="BZ93" s="63"/>
      <c r="CA93" s="58" t="e">
        <f>(Links!AN93^2+'Off-Ramp'!U93^2)/(Links!AN93+'Off-Ramp'!U93)</f>
        <v>#DIV/0!</v>
      </c>
    </row>
    <row r="94" spans="1:79" x14ac:dyDescent="0.15">
      <c r="A94" s="56">
        <v>92</v>
      </c>
      <c r="B94" s="57" t="e">
        <f t="shared" si="30"/>
        <v>#DIV/0!</v>
      </c>
      <c r="C94" s="57" t="e">
        <f t="shared" si="31"/>
        <v>#DIV/0!</v>
      </c>
      <c r="D94" s="57" t="e">
        <f t="shared" si="32"/>
        <v>#DIV/0!</v>
      </c>
      <c r="E94" s="57" t="e">
        <f t="shared" si="33"/>
        <v>#DIV/0!</v>
      </c>
      <c r="F94" s="57" t="e">
        <f t="shared" si="34"/>
        <v>#DIV/0!</v>
      </c>
      <c r="G94" s="57" t="e">
        <f t="shared" si="35"/>
        <v>#DIV/0!</v>
      </c>
      <c r="H94" s="57" t="e">
        <f t="shared" si="36"/>
        <v>#DIV/0!</v>
      </c>
      <c r="I94" s="57" t="e">
        <f t="shared" si="37"/>
        <v>#DIV/0!</v>
      </c>
      <c r="J94" s="57" t="e">
        <f t="shared" si="38"/>
        <v>#DIV/0!</v>
      </c>
      <c r="K94" s="57" t="e">
        <f t="shared" si="39"/>
        <v>#DIV/0!</v>
      </c>
      <c r="L94" s="57" t="e">
        <f t="shared" si="40"/>
        <v>#DIV/0!</v>
      </c>
      <c r="M94" s="57" t="e">
        <f t="shared" si="41"/>
        <v>#DIV/0!</v>
      </c>
      <c r="N94" s="57" t="e">
        <f t="shared" si="42"/>
        <v>#DIV/0!</v>
      </c>
      <c r="O94" s="58" t="e">
        <f>Links!B94</f>
        <v>#DIV/0!</v>
      </c>
      <c r="P94" s="58" t="e">
        <f>Links!C94+'On-Ramps'!AC94</f>
        <v>#DIV/0!</v>
      </c>
      <c r="Q94" s="58" t="e">
        <f>Links!D94</f>
        <v>#DIV/0!</v>
      </c>
      <c r="R94" s="58" t="e">
        <f>Links!E94+'On-Ramps'!AD94</f>
        <v>#DIV/0!</v>
      </c>
      <c r="S94" s="58" t="e">
        <f>Links!F94+'On-Ramps'!AE94</f>
        <v>#DIV/0!</v>
      </c>
      <c r="T94" s="58" t="e">
        <f>Links!I94+'On-Ramps'!AF94</f>
        <v>#DIV/0!</v>
      </c>
      <c r="U94" s="58" t="e">
        <f>Links!J94+'On-Ramps'!AG94</f>
        <v>#DIV/0!</v>
      </c>
      <c r="V94" s="58" t="e">
        <f>Links!L94+'On-Ramps'!AH94</f>
        <v>#DIV/0!</v>
      </c>
      <c r="W94" s="58" t="e">
        <f>Links!M94+'On-Ramps'!AI94</f>
        <v>#DIV/0!</v>
      </c>
      <c r="X94" s="58" t="e">
        <f>Links!P94+'On-Ramps'!AJ94</f>
        <v>#DIV/0!</v>
      </c>
      <c r="Y94" s="58" t="e">
        <f>Links!Q94</f>
        <v>#DIV/0!</v>
      </c>
      <c r="Z94" s="58" t="e">
        <f>Links!R94+'On-Ramps'!AK94</f>
        <v>#DIV/0!</v>
      </c>
      <c r="AA94" s="58" t="e">
        <f>Links!S94</f>
        <v>#DIV/0!</v>
      </c>
      <c r="AB94" s="57" t="e">
        <f t="shared" si="43"/>
        <v>#DIV/0!</v>
      </c>
      <c r="AC94" s="63"/>
      <c r="AD94" s="57" t="e">
        <f t="shared" si="44"/>
        <v>#DIV/0!</v>
      </c>
      <c r="AE94" s="63"/>
      <c r="AF94" s="57" t="e">
        <f t="shared" si="45"/>
        <v>#DIV/0!</v>
      </c>
      <c r="AG94" s="57" t="e">
        <f t="shared" si="46"/>
        <v>#DIV/0!</v>
      </c>
      <c r="AH94" s="57" t="e">
        <f t="shared" si="47"/>
        <v>#DIV/0!</v>
      </c>
      <c r="AI94" s="57" t="e">
        <f t="shared" si="48"/>
        <v>#DIV/0!</v>
      </c>
      <c r="AJ94" s="57" t="e">
        <f t="shared" si="49"/>
        <v>#DIV/0!</v>
      </c>
      <c r="AK94" s="57" t="e">
        <f t="shared" si="50"/>
        <v>#DIV/0!</v>
      </c>
      <c r="AL94" s="57" t="e">
        <f t="shared" si="51"/>
        <v>#DIV/0!</v>
      </c>
      <c r="AM94" s="63"/>
      <c r="AN94" s="57" t="e">
        <f t="shared" si="53"/>
        <v>#DIV/0!</v>
      </c>
      <c r="AO94" s="58" t="e">
        <f t="shared" si="29"/>
        <v>#DIV/0!</v>
      </c>
      <c r="AP94" s="63"/>
      <c r="AQ94" s="58" t="e">
        <f t="shared" si="52"/>
        <v>#DIV/0!</v>
      </c>
      <c r="AR94" s="63"/>
      <c r="AS94" s="58" t="e">
        <f t="shared" si="52"/>
        <v>#DIV/0!</v>
      </c>
      <c r="AT94" s="58" t="e">
        <f t="shared" si="52"/>
        <v>#DIV/0!</v>
      </c>
      <c r="AU94" s="58" t="e">
        <f t="shared" si="52"/>
        <v>#DIV/0!</v>
      </c>
      <c r="AV94" s="58" t="e">
        <f t="shared" si="52"/>
        <v>#DIV/0!</v>
      </c>
      <c r="AW94" s="58" t="e">
        <f t="shared" si="52"/>
        <v>#DIV/0!</v>
      </c>
      <c r="AX94" s="58" t="e">
        <f t="shared" si="52"/>
        <v>#DIV/0!</v>
      </c>
      <c r="AY94" s="58" t="e">
        <f t="shared" si="52"/>
        <v>#DIV/0!</v>
      </c>
      <c r="AZ94" s="63"/>
      <c r="BA94" s="58" t="e">
        <f t="shared" si="52"/>
        <v>#DIV/0!</v>
      </c>
      <c r="BB94" s="63"/>
      <c r="BC94" s="57" t="e">
        <f>(Links!C94*Links!AQ94+'On-Ramps'!AC94*'On-Ramps'!CE94)/('On-Ramps'!AC94+Links!C94)</f>
        <v>#DIV/0!</v>
      </c>
      <c r="BD94" s="63"/>
      <c r="BE94" s="57" t="e">
        <f>(Links!E94*Links!AS94+'On-Ramps'!AD94*'On-Ramps'!CF93)/('On-Ramps'!AD94+Links!E94)</f>
        <v>#DIV/0!</v>
      </c>
      <c r="BF94" s="57" t="e">
        <f>(Links!F94*Links!AT94+'On-Ramps'!AE94*'On-Ramps'!CG94)/('On-Ramps'!AE94+Links!F94)</f>
        <v>#DIV/0!</v>
      </c>
      <c r="BG94" s="57" t="e">
        <f>(Links!I94*Links!AW94+'On-Ramps'!AF94*'On-Ramps'!CH94)/('On-Ramps'!AF94+Links!I94)</f>
        <v>#DIV/0!</v>
      </c>
      <c r="BH94" s="57" t="e">
        <f>(#REF!*#REF!+'On-Ramps'!AG94*'On-Ramps'!CI94)/('On-Ramps'!AG94+#REF!)</f>
        <v>#REF!</v>
      </c>
      <c r="BI94" s="57" t="e">
        <f>(Links!L94*Links!AZ94+'On-Ramps'!AH94*'On-Ramps'!CJ94)/('On-Ramps'!AH94+Links!L94)</f>
        <v>#DIV/0!</v>
      </c>
      <c r="BJ94" s="57" t="e">
        <f>(Links!BA94*Links!M94+'On-Ramps'!AI94*'On-Ramps'!CK94)/('On-Ramps'!AI94+Links!M94)</f>
        <v>#DIV/0!</v>
      </c>
      <c r="BK94" s="57" t="e">
        <f>(Links!S94*Links!BG94+'On-Ramps'!AJ94*'On-Ramps'!CL94)/('On-Ramps'!AJ94+Links!S94)</f>
        <v>#DIV/0!</v>
      </c>
      <c r="BL94" s="63"/>
      <c r="BM94" s="57" t="e">
        <f>(Links!S94*Links!BG94+'On-Ramps'!AL94*'On-Ramps'!CM94)/(Links!S94+'On-Ramps'!AL94)</f>
        <v>#DIV/0!</v>
      </c>
      <c r="BN94" s="63"/>
      <c r="BO94" s="58" t="e">
        <f>(Links!W94^2+'Off-Ramp'!L94^2)/(Links!W94+'Off-Ramp'!L94)</f>
        <v>#DIV/0!</v>
      </c>
      <c r="BP94" s="63"/>
      <c r="BQ94" s="58" t="e">
        <f>(Links!Y94^2+'Off-Ramp'!C94^2)/(Links!Y94+'Off-Ramp'!C94)</f>
        <v>#DIV/0!</v>
      </c>
      <c r="BR94" s="63"/>
      <c r="BS94" s="58" t="e">
        <f>(Links!AA94^2+'Off-Ramp'!N94^2)/(Links!AA94+'Off-Ramp'!N94)</f>
        <v>#DIV/0!</v>
      </c>
      <c r="BT94" s="58" t="e">
        <f>(Links!AD94^2+'Off-Ramp'!O94^2)/(Links!AD94+'Off-Ramp'!O94)</f>
        <v>#DIV/0!</v>
      </c>
      <c r="BU94" s="58" t="e">
        <f>(Links!AE94^2+'Off-Ramp'!V94^2+'Off-Ramp'!W94^2+'Off-Ramp'!X94^2)/(Links!AE94+'Off-Ramp'!V94+'Off-Ramp'!W94+'Off-Ramp'!X94)</f>
        <v>#DIV/0!</v>
      </c>
      <c r="BV94" s="58" t="e">
        <f>(Links!AG94^2+'Off-Ramp'!Y94^2+'Off-Ramp'!Z94^2+'Off-Ramp'!AA94^2)/(Links!AG94+'Off-Ramp'!Y94+'Off-Ramp'!Z94+'Off-Ramp'!AA94)</f>
        <v>#DIV/0!</v>
      </c>
      <c r="BW94" s="58" t="e">
        <f>(Links!AH94^2+'Off-Ramp'!R94^2)/(Links!AH94+'Off-Ramp'!R94)</f>
        <v>#DIV/0!</v>
      </c>
      <c r="BX94" s="58" t="e">
        <f>(Links!AK94^2+'Off-Ramp'!S94^2)/(Links!AK94+'Off-Ramp'!S94)</f>
        <v>#DIV/0!</v>
      </c>
      <c r="BY94" s="58" t="e">
        <f>(Links!AL94^2+'Off-Ramp'!T94^2)/(Links!AL94+'Off-Ramp'!T94)</f>
        <v>#DIV/0!</v>
      </c>
      <c r="BZ94" s="63"/>
      <c r="CA94" s="58" t="e">
        <f>(Links!AN94^2+'Off-Ramp'!U94^2)/(Links!AN94+'Off-Ramp'!U94)</f>
        <v>#DIV/0!</v>
      </c>
    </row>
    <row r="95" spans="1:79" x14ac:dyDescent="0.15">
      <c r="A95" s="56">
        <v>93</v>
      </c>
      <c r="B95" s="57" t="e">
        <f t="shared" si="30"/>
        <v>#DIV/0!</v>
      </c>
      <c r="C95" s="57" t="e">
        <f t="shared" si="31"/>
        <v>#DIV/0!</v>
      </c>
      <c r="D95" s="57" t="e">
        <f t="shared" si="32"/>
        <v>#DIV/0!</v>
      </c>
      <c r="E95" s="57" t="e">
        <f t="shared" si="33"/>
        <v>#DIV/0!</v>
      </c>
      <c r="F95" s="57" t="e">
        <f t="shared" si="34"/>
        <v>#DIV/0!</v>
      </c>
      <c r="G95" s="57" t="e">
        <f t="shared" si="35"/>
        <v>#DIV/0!</v>
      </c>
      <c r="H95" s="57" t="e">
        <f t="shared" si="36"/>
        <v>#DIV/0!</v>
      </c>
      <c r="I95" s="57" t="e">
        <f t="shared" si="37"/>
        <v>#DIV/0!</v>
      </c>
      <c r="J95" s="57" t="e">
        <f t="shared" si="38"/>
        <v>#DIV/0!</v>
      </c>
      <c r="K95" s="57" t="e">
        <f t="shared" si="39"/>
        <v>#DIV/0!</v>
      </c>
      <c r="L95" s="57" t="e">
        <f t="shared" si="40"/>
        <v>#DIV/0!</v>
      </c>
      <c r="M95" s="57" t="e">
        <f t="shared" si="41"/>
        <v>#DIV/0!</v>
      </c>
      <c r="N95" s="57" t="e">
        <f t="shared" si="42"/>
        <v>#DIV/0!</v>
      </c>
      <c r="O95" s="58" t="e">
        <f>Links!B95</f>
        <v>#DIV/0!</v>
      </c>
      <c r="P95" s="58" t="e">
        <f>Links!C95+'On-Ramps'!AC95</f>
        <v>#DIV/0!</v>
      </c>
      <c r="Q95" s="58" t="e">
        <f>Links!D95</f>
        <v>#DIV/0!</v>
      </c>
      <c r="R95" s="58" t="e">
        <f>Links!E95+'On-Ramps'!AD95</f>
        <v>#DIV/0!</v>
      </c>
      <c r="S95" s="58" t="e">
        <f>Links!F95+'On-Ramps'!AE95</f>
        <v>#DIV/0!</v>
      </c>
      <c r="T95" s="58" t="e">
        <f>Links!I95+'On-Ramps'!AF95</f>
        <v>#DIV/0!</v>
      </c>
      <c r="U95" s="58" t="e">
        <f>Links!J95+'On-Ramps'!AG95</f>
        <v>#DIV/0!</v>
      </c>
      <c r="V95" s="58" t="e">
        <f>Links!L95+'On-Ramps'!AH95</f>
        <v>#DIV/0!</v>
      </c>
      <c r="W95" s="58" t="e">
        <f>Links!M95+'On-Ramps'!AI95</f>
        <v>#DIV/0!</v>
      </c>
      <c r="X95" s="58" t="e">
        <f>Links!P95+'On-Ramps'!AJ95</f>
        <v>#DIV/0!</v>
      </c>
      <c r="Y95" s="58" t="e">
        <f>Links!Q95</f>
        <v>#DIV/0!</v>
      </c>
      <c r="Z95" s="58" t="e">
        <f>Links!R95+'On-Ramps'!AK95</f>
        <v>#DIV/0!</v>
      </c>
      <c r="AA95" s="58" t="e">
        <f>Links!S95</f>
        <v>#DIV/0!</v>
      </c>
      <c r="AB95" s="57" t="e">
        <f t="shared" si="43"/>
        <v>#DIV/0!</v>
      </c>
      <c r="AC95" s="63"/>
      <c r="AD95" s="57" t="e">
        <f t="shared" si="44"/>
        <v>#DIV/0!</v>
      </c>
      <c r="AE95" s="63"/>
      <c r="AF95" s="57" t="e">
        <f t="shared" si="45"/>
        <v>#DIV/0!</v>
      </c>
      <c r="AG95" s="57" t="e">
        <f t="shared" si="46"/>
        <v>#DIV/0!</v>
      </c>
      <c r="AH95" s="57" t="e">
        <f t="shared" si="47"/>
        <v>#DIV/0!</v>
      </c>
      <c r="AI95" s="57" t="e">
        <f t="shared" si="48"/>
        <v>#DIV/0!</v>
      </c>
      <c r="AJ95" s="57" t="e">
        <f t="shared" si="49"/>
        <v>#DIV/0!</v>
      </c>
      <c r="AK95" s="57" t="e">
        <f t="shared" si="50"/>
        <v>#DIV/0!</v>
      </c>
      <c r="AL95" s="57" t="e">
        <f t="shared" si="51"/>
        <v>#DIV/0!</v>
      </c>
      <c r="AM95" s="63"/>
      <c r="AN95" s="57" t="e">
        <f t="shared" si="53"/>
        <v>#DIV/0!</v>
      </c>
      <c r="AO95" s="58" t="e">
        <f t="shared" si="29"/>
        <v>#DIV/0!</v>
      </c>
      <c r="AP95" s="63"/>
      <c r="AQ95" s="58" t="e">
        <f t="shared" si="52"/>
        <v>#DIV/0!</v>
      </c>
      <c r="AR95" s="63"/>
      <c r="AS95" s="58" t="e">
        <f t="shared" si="52"/>
        <v>#DIV/0!</v>
      </c>
      <c r="AT95" s="58" t="e">
        <f t="shared" si="52"/>
        <v>#DIV/0!</v>
      </c>
      <c r="AU95" s="58" t="e">
        <f t="shared" si="52"/>
        <v>#DIV/0!</v>
      </c>
      <c r="AV95" s="58" t="e">
        <f t="shared" si="52"/>
        <v>#DIV/0!</v>
      </c>
      <c r="AW95" s="58" t="e">
        <f t="shared" si="52"/>
        <v>#DIV/0!</v>
      </c>
      <c r="AX95" s="58" t="e">
        <f t="shared" si="52"/>
        <v>#DIV/0!</v>
      </c>
      <c r="AY95" s="58" t="e">
        <f t="shared" si="52"/>
        <v>#DIV/0!</v>
      </c>
      <c r="AZ95" s="63"/>
      <c r="BA95" s="58" t="e">
        <f t="shared" si="52"/>
        <v>#DIV/0!</v>
      </c>
      <c r="BB95" s="63"/>
      <c r="BC95" s="57" t="e">
        <f>(Links!C95*Links!AQ95+'On-Ramps'!AC95*'On-Ramps'!CE95)/('On-Ramps'!AC95+Links!C95)</f>
        <v>#DIV/0!</v>
      </c>
      <c r="BD95" s="63"/>
      <c r="BE95" s="57" t="e">
        <f>(Links!E95*Links!AS95+'On-Ramps'!AD95*'On-Ramps'!CF94)/('On-Ramps'!AD95+Links!E95)</f>
        <v>#DIV/0!</v>
      </c>
      <c r="BF95" s="57" t="e">
        <f>(Links!F95*Links!AT95+'On-Ramps'!AE95*'On-Ramps'!CG95)/('On-Ramps'!AE95+Links!F95)</f>
        <v>#DIV/0!</v>
      </c>
      <c r="BG95" s="57" t="e">
        <f>(Links!I95*Links!AW95+'On-Ramps'!AF95*'On-Ramps'!CH95)/('On-Ramps'!AF95+Links!I95)</f>
        <v>#DIV/0!</v>
      </c>
      <c r="BH95" s="57" t="e">
        <f>(#REF!*#REF!+'On-Ramps'!AG95*'On-Ramps'!CI95)/('On-Ramps'!AG95+#REF!)</f>
        <v>#REF!</v>
      </c>
      <c r="BI95" s="57" t="e">
        <f>(Links!L95*Links!AZ95+'On-Ramps'!AH95*'On-Ramps'!CJ95)/('On-Ramps'!AH95+Links!L95)</f>
        <v>#DIV/0!</v>
      </c>
      <c r="BJ95" s="57" t="e">
        <f>(Links!BA95*Links!M95+'On-Ramps'!AI95*'On-Ramps'!CK95)/('On-Ramps'!AI95+Links!M95)</f>
        <v>#DIV/0!</v>
      </c>
      <c r="BK95" s="57" t="e">
        <f>(Links!S95*Links!BG95+'On-Ramps'!AJ95*'On-Ramps'!CL95)/('On-Ramps'!AJ95+Links!S95)</f>
        <v>#DIV/0!</v>
      </c>
      <c r="BL95" s="63"/>
      <c r="BM95" s="57" t="e">
        <f>(Links!S95*Links!BG95+'On-Ramps'!AL95*'On-Ramps'!CM95)/(Links!S95+'On-Ramps'!AL95)</f>
        <v>#DIV/0!</v>
      </c>
      <c r="BN95" s="63"/>
      <c r="BO95" s="58" t="e">
        <f>(Links!W95^2+'Off-Ramp'!L95^2)/(Links!W95+'Off-Ramp'!L95)</f>
        <v>#DIV/0!</v>
      </c>
      <c r="BP95" s="63"/>
      <c r="BQ95" s="58" t="e">
        <f>(Links!Y95^2+'Off-Ramp'!C95^2)/(Links!Y95+'Off-Ramp'!C95)</f>
        <v>#DIV/0!</v>
      </c>
      <c r="BR95" s="63"/>
      <c r="BS95" s="58" t="e">
        <f>(Links!AA95^2+'Off-Ramp'!N95^2)/(Links!AA95+'Off-Ramp'!N95)</f>
        <v>#DIV/0!</v>
      </c>
      <c r="BT95" s="58" t="e">
        <f>(Links!AD95^2+'Off-Ramp'!O95^2)/(Links!AD95+'Off-Ramp'!O95)</f>
        <v>#DIV/0!</v>
      </c>
      <c r="BU95" s="58" t="e">
        <f>(Links!AE95^2+'Off-Ramp'!V95^2+'Off-Ramp'!W95^2+'Off-Ramp'!X95^2)/(Links!AE95+'Off-Ramp'!V95+'Off-Ramp'!W95+'Off-Ramp'!X95)</f>
        <v>#DIV/0!</v>
      </c>
      <c r="BV95" s="58" t="e">
        <f>(Links!AG95^2+'Off-Ramp'!Y95^2+'Off-Ramp'!Z95^2+'Off-Ramp'!AA95^2)/(Links!AG95+'Off-Ramp'!Y95+'Off-Ramp'!Z95+'Off-Ramp'!AA95)</f>
        <v>#DIV/0!</v>
      </c>
      <c r="BW95" s="58" t="e">
        <f>(Links!AH95^2+'Off-Ramp'!R95^2)/(Links!AH95+'Off-Ramp'!R95)</f>
        <v>#DIV/0!</v>
      </c>
      <c r="BX95" s="58" t="e">
        <f>(Links!AK95^2+'Off-Ramp'!S95^2)/(Links!AK95+'Off-Ramp'!S95)</f>
        <v>#DIV/0!</v>
      </c>
      <c r="BY95" s="58" t="e">
        <f>(Links!AL95^2+'Off-Ramp'!T95^2)/(Links!AL95+'Off-Ramp'!T95)</f>
        <v>#DIV/0!</v>
      </c>
      <c r="BZ95" s="63"/>
      <c r="CA95" s="58" t="e">
        <f>(Links!AN95^2+'Off-Ramp'!U95^2)/(Links!AN95+'Off-Ramp'!U95)</f>
        <v>#DIV/0!</v>
      </c>
    </row>
    <row r="96" spans="1:79" x14ac:dyDescent="0.15">
      <c r="A96" s="56">
        <v>94</v>
      </c>
      <c r="B96" s="57" t="e">
        <f t="shared" si="30"/>
        <v>#DIV/0!</v>
      </c>
      <c r="C96" s="57" t="e">
        <f t="shared" si="31"/>
        <v>#DIV/0!</v>
      </c>
      <c r="D96" s="57" t="e">
        <f t="shared" si="32"/>
        <v>#DIV/0!</v>
      </c>
      <c r="E96" s="57" t="e">
        <f t="shared" si="33"/>
        <v>#DIV/0!</v>
      </c>
      <c r="F96" s="57" t="e">
        <f t="shared" si="34"/>
        <v>#DIV/0!</v>
      </c>
      <c r="G96" s="57" t="e">
        <f t="shared" si="35"/>
        <v>#DIV/0!</v>
      </c>
      <c r="H96" s="57" t="e">
        <f t="shared" si="36"/>
        <v>#DIV/0!</v>
      </c>
      <c r="I96" s="57" t="e">
        <f t="shared" si="37"/>
        <v>#DIV/0!</v>
      </c>
      <c r="J96" s="57" t="e">
        <f t="shared" si="38"/>
        <v>#DIV/0!</v>
      </c>
      <c r="K96" s="57" t="e">
        <f t="shared" si="39"/>
        <v>#DIV/0!</v>
      </c>
      <c r="L96" s="57" t="e">
        <f t="shared" si="40"/>
        <v>#DIV/0!</v>
      </c>
      <c r="M96" s="57" t="e">
        <f t="shared" si="41"/>
        <v>#DIV/0!</v>
      </c>
      <c r="N96" s="57" t="e">
        <f t="shared" si="42"/>
        <v>#DIV/0!</v>
      </c>
      <c r="O96" s="58" t="e">
        <f>Links!B96</f>
        <v>#DIV/0!</v>
      </c>
      <c r="P96" s="58" t="e">
        <f>Links!C96+'On-Ramps'!AC96</f>
        <v>#DIV/0!</v>
      </c>
      <c r="Q96" s="58" t="e">
        <f>Links!D96</f>
        <v>#DIV/0!</v>
      </c>
      <c r="R96" s="58" t="e">
        <f>Links!E96+'On-Ramps'!AD96</f>
        <v>#DIV/0!</v>
      </c>
      <c r="S96" s="58" t="e">
        <f>Links!F96+'On-Ramps'!AE96</f>
        <v>#DIV/0!</v>
      </c>
      <c r="T96" s="58" t="e">
        <f>Links!I96+'On-Ramps'!AF96</f>
        <v>#DIV/0!</v>
      </c>
      <c r="U96" s="58" t="e">
        <f>Links!J96+'On-Ramps'!AG96</f>
        <v>#DIV/0!</v>
      </c>
      <c r="V96" s="58" t="e">
        <f>Links!L96+'On-Ramps'!AH96</f>
        <v>#DIV/0!</v>
      </c>
      <c r="W96" s="58" t="e">
        <f>Links!M96+'On-Ramps'!AI96</f>
        <v>#DIV/0!</v>
      </c>
      <c r="X96" s="58" t="e">
        <f>Links!P96+'On-Ramps'!AJ96</f>
        <v>#DIV/0!</v>
      </c>
      <c r="Y96" s="58" t="e">
        <f>Links!Q96</f>
        <v>#DIV/0!</v>
      </c>
      <c r="Z96" s="58" t="e">
        <f>Links!R96+'On-Ramps'!AK96</f>
        <v>#DIV/0!</v>
      </c>
      <c r="AA96" s="58" t="e">
        <f>Links!S96</f>
        <v>#DIV/0!</v>
      </c>
      <c r="AB96" s="57" t="e">
        <f t="shared" si="43"/>
        <v>#DIV/0!</v>
      </c>
      <c r="AC96" s="63"/>
      <c r="AD96" s="57" t="e">
        <f t="shared" si="44"/>
        <v>#DIV/0!</v>
      </c>
      <c r="AE96" s="63"/>
      <c r="AF96" s="57" t="e">
        <f t="shared" si="45"/>
        <v>#DIV/0!</v>
      </c>
      <c r="AG96" s="57" t="e">
        <f t="shared" si="46"/>
        <v>#DIV/0!</v>
      </c>
      <c r="AH96" s="57" t="e">
        <f t="shared" si="47"/>
        <v>#DIV/0!</v>
      </c>
      <c r="AI96" s="57" t="e">
        <f t="shared" si="48"/>
        <v>#DIV/0!</v>
      </c>
      <c r="AJ96" s="57" t="e">
        <f t="shared" si="49"/>
        <v>#DIV/0!</v>
      </c>
      <c r="AK96" s="57" t="e">
        <f t="shared" si="50"/>
        <v>#DIV/0!</v>
      </c>
      <c r="AL96" s="57" t="e">
        <f t="shared" si="51"/>
        <v>#DIV/0!</v>
      </c>
      <c r="AM96" s="63"/>
      <c r="AN96" s="57" t="e">
        <f t="shared" si="53"/>
        <v>#DIV/0!</v>
      </c>
      <c r="AO96" s="58" t="e">
        <f t="shared" si="29"/>
        <v>#DIV/0!</v>
      </c>
      <c r="AP96" s="63"/>
      <c r="AQ96" s="58" t="e">
        <f t="shared" si="52"/>
        <v>#DIV/0!</v>
      </c>
      <c r="AR96" s="63"/>
      <c r="AS96" s="58" t="e">
        <f t="shared" si="52"/>
        <v>#DIV/0!</v>
      </c>
      <c r="AT96" s="58" t="e">
        <f t="shared" si="52"/>
        <v>#DIV/0!</v>
      </c>
      <c r="AU96" s="58" t="e">
        <f t="shared" si="52"/>
        <v>#DIV/0!</v>
      </c>
      <c r="AV96" s="58" t="e">
        <f t="shared" si="52"/>
        <v>#DIV/0!</v>
      </c>
      <c r="AW96" s="58" t="e">
        <f t="shared" si="52"/>
        <v>#DIV/0!</v>
      </c>
      <c r="AX96" s="58" t="e">
        <f t="shared" si="52"/>
        <v>#DIV/0!</v>
      </c>
      <c r="AY96" s="58" t="e">
        <f t="shared" si="52"/>
        <v>#DIV/0!</v>
      </c>
      <c r="AZ96" s="63"/>
      <c r="BA96" s="58" t="e">
        <f t="shared" si="52"/>
        <v>#DIV/0!</v>
      </c>
      <c r="BB96" s="63"/>
      <c r="BC96" s="57" t="e">
        <f>(Links!C96*Links!AQ96+'On-Ramps'!AC96*'On-Ramps'!CE96)/('On-Ramps'!AC96+Links!C96)</f>
        <v>#DIV/0!</v>
      </c>
      <c r="BD96" s="63"/>
      <c r="BE96" s="57" t="e">
        <f>(Links!E96*Links!AS96+'On-Ramps'!AD96*'On-Ramps'!CF95)/('On-Ramps'!AD96+Links!E96)</f>
        <v>#DIV/0!</v>
      </c>
      <c r="BF96" s="57" t="e">
        <f>(Links!F96*Links!AT96+'On-Ramps'!AE96*'On-Ramps'!CG96)/('On-Ramps'!AE96+Links!F96)</f>
        <v>#DIV/0!</v>
      </c>
      <c r="BG96" s="57" t="e">
        <f>(Links!I96*Links!AW96+'On-Ramps'!AF96*'On-Ramps'!CH96)/('On-Ramps'!AF96+Links!I96)</f>
        <v>#DIV/0!</v>
      </c>
      <c r="BH96" s="57" t="e">
        <f>(#REF!*#REF!+'On-Ramps'!AG96*'On-Ramps'!CI96)/('On-Ramps'!AG96+#REF!)</f>
        <v>#REF!</v>
      </c>
      <c r="BI96" s="57" t="e">
        <f>(Links!L96*Links!AZ96+'On-Ramps'!AH96*'On-Ramps'!CJ96)/('On-Ramps'!AH96+Links!L96)</f>
        <v>#DIV/0!</v>
      </c>
      <c r="BJ96" s="57" t="e">
        <f>(Links!BA96*Links!M96+'On-Ramps'!AI96*'On-Ramps'!CK96)/('On-Ramps'!AI96+Links!M96)</f>
        <v>#DIV/0!</v>
      </c>
      <c r="BK96" s="57" t="e">
        <f>(Links!S96*Links!BG96+'On-Ramps'!AJ96*'On-Ramps'!CL96)/('On-Ramps'!AJ96+Links!S96)</f>
        <v>#DIV/0!</v>
      </c>
      <c r="BL96" s="63"/>
      <c r="BM96" s="57" t="e">
        <f>(Links!S96*Links!BG96+'On-Ramps'!AL96*'On-Ramps'!CM96)/(Links!S96+'On-Ramps'!AL96)</f>
        <v>#DIV/0!</v>
      </c>
      <c r="BN96" s="63"/>
      <c r="BO96" s="58" t="e">
        <f>(Links!W96^2+'Off-Ramp'!L96^2)/(Links!W96+'Off-Ramp'!L96)</f>
        <v>#DIV/0!</v>
      </c>
      <c r="BP96" s="63"/>
      <c r="BQ96" s="58" t="e">
        <f>(Links!Y96^2+'Off-Ramp'!C96^2)/(Links!Y96+'Off-Ramp'!C96)</f>
        <v>#DIV/0!</v>
      </c>
      <c r="BR96" s="63"/>
      <c r="BS96" s="58" t="e">
        <f>(Links!AA96^2+'Off-Ramp'!N96^2)/(Links!AA96+'Off-Ramp'!N96)</f>
        <v>#DIV/0!</v>
      </c>
      <c r="BT96" s="58" t="e">
        <f>(Links!AD96^2+'Off-Ramp'!O96^2)/(Links!AD96+'Off-Ramp'!O96)</f>
        <v>#DIV/0!</v>
      </c>
      <c r="BU96" s="58" t="e">
        <f>(Links!AE96^2+'Off-Ramp'!V96^2+'Off-Ramp'!W96^2+'Off-Ramp'!X96^2)/(Links!AE96+'Off-Ramp'!V96+'Off-Ramp'!W96+'Off-Ramp'!X96)</f>
        <v>#DIV/0!</v>
      </c>
      <c r="BV96" s="58" t="e">
        <f>(Links!AG96^2+'Off-Ramp'!Y96^2+'Off-Ramp'!Z96^2+'Off-Ramp'!AA96^2)/(Links!AG96+'Off-Ramp'!Y96+'Off-Ramp'!Z96+'Off-Ramp'!AA96)</f>
        <v>#DIV/0!</v>
      </c>
      <c r="BW96" s="58" t="e">
        <f>(Links!AH96^2+'Off-Ramp'!R96^2)/(Links!AH96+'Off-Ramp'!R96)</f>
        <v>#DIV/0!</v>
      </c>
      <c r="BX96" s="58" t="e">
        <f>(Links!AK96^2+'Off-Ramp'!S96^2)/(Links!AK96+'Off-Ramp'!S96)</f>
        <v>#DIV/0!</v>
      </c>
      <c r="BY96" s="58" t="e">
        <f>(Links!AL96^2+'Off-Ramp'!T96^2)/(Links!AL96+'Off-Ramp'!T96)</f>
        <v>#DIV/0!</v>
      </c>
      <c r="BZ96" s="63"/>
      <c r="CA96" s="58" t="e">
        <f>(Links!AN96^2+'Off-Ramp'!U96^2)/(Links!AN96+'Off-Ramp'!U96)</f>
        <v>#DIV/0!</v>
      </c>
    </row>
    <row r="97" spans="1:79" x14ac:dyDescent="0.15">
      <c r="A97" s="56">
        <v>95</v>
      </c>
      <c r="B97" s="57" t="e">
        <f t="shared" si="30"/>
        <v>#DIV/0!</v>
      </c>
      <c r="C97" s="57" t="e">
        <f t="shared" si="31"/>
        <v>#DIV/0!</v>
      </c>
      <c r="D97" s="57" t="e">
        <f t="shared" si="32"/>
        <v>#DIV/0!</v>
      </c>
      <c r="E97" s="57" t="e">
        <f t="shared" si="33"/>
        <v>#DIV/0!</v>
      </c>
      <c r="F97" s="57" t="e">
        <f t="shared" si="34"/>
        <v>#DIV/0!</v>
      </c>
      <c r="G97" s="57" t="e">
        <f t="shared" si="35"/>
        <v>#DIV/0!</v>
      </c>
      <c r="H97" s="57" t="e">
        <f t="shared" si="36"/>
        <v>#DIV/0!</v>
      </c>
      <c r="I97" s="57" t="e">
        <f t="shared" si="37"/>
        <v>#DIV/0!</v>
      </c>
      <c r="J97" s="57" t="e">
        <f t="shared" si="38"/>
        <v>#DIV/0!</v>
      </c>
      <c r="K97" s="57" t="e">
        <f t="shared" si="39"/>
        <v>#DIV/0!</v>
      </c>
      <c r="L97" s="57" t="e">
        <f t="shared" si="40"/>
        <v>#DIV/0!</v>
      </c>
      <c r="M97" s="57" t="e">
        <f t="shared" si="41"/>
        <v>#DIV/0!</v>
      </c>
      <c r="N97" s="57" t="e">
        <f t="shared" si="42"/>
        <v>#DIV/0!</v>
      </c>
      <c r="O97" s="58" t="e">
        <f>Links!B97</f>
        <v>#DIV/0!</v>
      </c>
      <c r="P97" s="58" t="e">
        <f>Links!C97+'On-Ramps'!AC97</f>
        <v>#DIV/0!</v>
      </c>
      <c r="Q97" s="58" t="e">
        <f>Links!D97</f>
        <v>#DIV/0!</v>
      </c>
      <c r="R97" s="58" t="e">
        <f>Links!E97+'On-Ramps'!AD97</f>
        <v>#DIV/0!</v>
      </c>
      <c r="S97" s="58" t="e">
        <f>Links!F97+'On-Ramps'!AE97</f>
        <v>#DIV/0!</v>
      </c>
      <c r="T97" s="58" t="e">
        <f>Links!I97+'On-Ramps'!AF97</f>
        <v>#DIV/0!</v>
      </c>
      <c r="U97" s="58" t="e">
        <f>Links!J97+'On-Ramps'!AG97</f>
        <v>#DIV/0!</v>
      </c>
      <c r="V97" s="58" t="e">
        <f>Links!L97+'On-Ramps'!AH97</f>
        <v>#DIV/0!</v>
      </c>
      <c r="W97" s="58" t="e">
        <f>Links!M97+'On-Ramps'!AI97</f>
        <v>#DIV/0!</v>
      </c>
      <c r="X97" s="58" t="e">
        <f>Links!P97+'On-Ramps'!AJ97</f>
        <v>#DIV/0!</v>
      </c>
      <c r="Y97" s="58" t="e">
        <f>Links!Q97</f>
        <v>#DIV/0!</v>
      </c>
      <c r="Z97" s="58" t="e">
        <f>Links!R97+'On-Ramps'!AK97</f>
        <v>#DIV/0!</v>
      </c>
      <c r="AA97" s="58" t="e">
        <f>Links!S97</f>
        <v>#DIV/0!</v>
      </c>
      <c r="AB97" s="57" t="e">
        <f t="shared" si="43"/>
        <v>#DIV/0!</v>
      </c>
      <c r="AC97" s="63"/>
      <c r="AD97" s="57" t="e">
        <f t="shared" si="44"/>
        <v>#DIV/0!</v>
      </c>
      <c r="AE97" s="63"/>
      <c r="AF97" s="57" t="e">
        <f t="shared" si="45"/>
        <v>#DIV/0!</v>
      </c>
      <c r="AG97" s="57" t="e">
        <f t="shared" si="46"/>
        <v>#DIV/0!</v>
      </c>
      <c r="AH97" s="57" t="e">
        <f t="shared" si="47"/>
        <v>#DIV/0!</v>
      </c>
      <c r="AI97" s="57" t="e">
        <f t="shared" si="48"/>
        <v>#DIV/0!</v>
      </c>
      <c r="AJ97" s="57" t="e">
        <f t="shared" si="49"/>
        <v>#DIV/0!</v>
      </c>
      <c r="AK97" s="57" t="e">
        <f t="shared" si="50"/>
        <v>#DIV/0!</v>
      </c>
      <c r="AL97" s="57" t="e">
        <f t="shared" si="51"/>
        <v>#DIV/0!</v>
      </c>
      <c r="AM97" s="63"/>
      <c r="AN97" s="57" t="e">
        <f t="shared" si="53"/>
        <v>#DIV/0!</v>
      </c>
      <c r="AO97" s="58" t="e">
        <f t="shared" si="29"/>
        <v>#DIV/0!</v>
      </c>
      <c r="AP97" s="63"/>
      <c r="AQ97" s="58" t="e">
        <f t="shared" si="52"/>
        <v>#DIV/0!</v>
      </c>
      <c r="AR97" s="63"/>
      <c r="AS97" s="58" t="e">
        <f t="shared" si="52"/>
        <v>#DIV/0!</v>
      </c>
      <c r="AT97" s="58" t="e">
        <f t="shared" si="52"/>
        <v>#DIV/0!</v>
      </c>
      <c r="AU97" s="58" t="e">
        <f t="shared" si="52"/>
        <v>#DIV/0!</v>
      </c>
      <c r="AV97" s="58" t="e">
        <f t="shared" si="52"/>
        <v>#DIV/0!</v>
      </c>
      <c r="AW97" s="58" t="e">
        <f t="shared" si="52"/>
        <v>#DIV/0!</v>
      </c>
      <c r="AX97" s="58" t="e">
        <f t="shared" si="52"/>
        <v>#DIV/0!</v>
      </c>
      <c r="AY97" s="58" t="e">
        <f t="shared" si="52"/>
        <v>#DIV/0!</v>
      </c>
      <c r="AZ97" s="63"/>
      <c r="BA97" s="58" t="e">
        <f t="shared" si="52"/>
        <v>#DIV/0!</v>
      </c>
      <c r="BB97" s="63"/>
      <c r="BC97" s="57" t="e">
        <f>(Links!C97*Links!AQ97+'On-Ramps'!AC97*'On-Ramps'!CE97)/('On-Ramps'!AC97+Links!C97)</f>
        <v>#DIV/0!</v>
      </c>
      <c r="BD97" s="63"/>
      <c r="BE97" s="57" t="e">
        <f>(Links!E97*Links!AS97+'On-Ramps'!AD97*'On-Ramps'!CF96)/('On-Ramps'!AD97+Links!E97)</f>
        <v>#DIV/0!</v>
      </c>
      <c r="BF97" s="57" t="e">
        <f>(Links!F97*Links!AT97+'On-Ramps'!AE97*'On-Ramps'!CG97)/('On-Ramps'!AE97+Links!F97)</f>
        <v>#DIV/0!</v>
      </c>
      <c r="BG97" s="57" t="e">
        <f>(Links!I97*Links!AW97+'On-Ramps'!AF97*'On-Ramps'!CH97)/('On-Ramps'!AF97+Links!I97)</f>
        <v>#DIV/0!</v>
      </c>
      <c r="BH97" s="57" t="e">
        <f>(#REF!*#REF!+'On-Ramps'!AG97*'On-Ramps'!CI97)/('On-Ramps'!AG97+#REF!)</f>
        <v>#REF!</v>
      </c>
      <c r="BI97" s="57" t="e">
        <f>(Links!L97*Links!AZ97+'On-Ramps'!AH97*'On-Ramps'!CJ97)/('On-Ramps'!AH97+Links!L97)</f>
        <v>#DIV/0!</v>
      </c>
      <c r="BJ97" s="57" t="e">
        <f>(Links!BA97*Links!M97+'On-Ramps'!AI97*'On-Ramps'!CK97)/('On-Ramps'!AI97+Links!M97)</f>
        <v>#DIV/0!</v>
      </c>
      <c r="BK97" s="57" t="e">
        <f>(Links!S97*Links!BG97+'On-Ramps'!AJ97*'On-Ramps'!CL97)/('On-Ramps'!AJ97+Links!S97)</f>
        <v>#DIV/0!</v>
      </c>
      <c r="BL97" s="63"/>
      <c r="BM97" s="57" t="e">
        <f>(Links!S97*Links!BG97+'On-Ramps'!AL97*'On-Ramps'!CM97)/(Links!S97+'On-Ramps'!AL97)</f>
        <v>#DIV/0!</v>
      </c>
      <c r="BN97" s="63"/>
      <c r="BO97" s="58" t="e">
        <f>(Links!W97^2+'Off-Ramp'!L97^2)/(Links!W97+'Off-Ramp'!L97)</f>
        <v>#DIV/0!</v>
      </c>
      <c r="BP97" s="63"/>
      <c r="BQ97" s="58" t="e">
        <f>(Links!Y97^2+'Off-Ramp'!C97^2)/(Links!Y97+'Off-Ramp'!C97)</f>
        <v>#DIV/0!</v>
      </c>
      <c r="BR97" s="63"/>
      <c r="BS97" s="58" t="e">
        <f>(Links!AA97^2+'Off-Ramp'!N97^2)/(Links!AA97+'Off-Ramp'!N97)</f>
        <v>#DIV/0!</v>
      </c>
      <c r="BT97" s="58" t="e">
        <f>(Links!AD97^2+'Off-Ramp'!O97^2)/(Links!AD97+'Off-Ramp'!O97)</f>
        <v>#DIV/0!</v>
      </c>
      <c r="BU97" s="58" t="e">
        <f>(Links!AE97^2+'Off-Ramp'!V97^2+'Off-Ramp'!W97^2+'Off-Ramp'!X97^2)/(Links!AE97+'Off-Ramp'!V97+'Off-Ramp'!W97+'Off-Ramp'!X97)</f>
        <v>#DIV/0!</v>
      </c>
      <c r="BV97" s="58" t="e">
        <f>(Links!AG97^2+'Off-Ramp'!Y97^2+'Off-Ramp'!Z97^2+'Off-Ramp'!AA97^2)/(Links!AG97+'Off-Ramp'!Y97+'Off-Ramp'!Z97+'Off-Ramp'!AA97)</f>
        <v>#DIV/0!</v>
      </c>
      <c r="BW97" s="58" t="e">
        <f>(Links!AH97^2+'Off-Ramp'!R97^2)/(Links!AH97+'Off-Ramp'!R97)</f>
        <v>#DIV/0!</v>
      </c>
      <c r="BX97" s="58" t="e">
        <f>(Links!AK97^2+'Off-Ramp'!S97^2)/(Links!AK97+'Off-Ramp'!S97)</f>
        <v>#DIV/0!</v>
      </c>
      <c r="BY97" s="58" t="e">
        <f>(Links!AL97^2+'Off-Ramp'!T97^2)/(Links!AL97+'Off-Ramp'!T97)</f>
        <v>#DIV/0!</v>
      </c>
      <c r="BZ97" s="63"/>
      <c r="CA97" s="58" t="e">
        <f>(Links!AN97^2+'Off-Ramp'!U97^2)/(Links!AN97+'Off-Ramp'!U97)</f>
        <v>#DIV/0!</v>
      </c>
    </row>
    <row r="98" spans="1:79" x14ac:dyDescent="0.15">
      <c r="A98" s="56">
        <v>96</v>
      </c>
      <c r="B98" s="57" t="e">
        <f t="shared" si="30"/>
        <v>#DIV/0!</v>
      </c>
      <c r="C98" s="57" t="e">
        <f t="shared" si="31"/>
        <v>#DIV/0!</v>
      </c>
      <c r="D98" s="57" t="e">
        <f t="shared" si="32"/>
        <v>#DIV/0!</v>
      </c>
      <c r="E98" s="57" t="e">
        <f t="shared" si="33"/>
        <v>#DIV/0!</v>
      </c>
      <c r="F98" s="57" t="e">
        <f t="shared" si="34"/>
        <v>#DIV/0!</v>
      </c>
      <c r="G98" s="57" t="e">
        <f t="shared" si="35"/>
        <v>#DIV/0!</v>
      </c>
      <c r="H98" s="57" t="e">
        <f t="shared" si="36"/>
        <v>#DIV/0!</v>
      </c>
      <c r="I98" s="57" t="e">
        <f t="shared" si="37"/>
        <v>#DIV/0!</v>
      </c>
      <c r="J98" s="57" t="e">
        <f t="shared" si="38"/>
        <v>#DIV/0!</v>
      </c>
      <c r="K98" s="57" t="e">
        <f t="shared" si="39"/>
        <v>#DIV/0!</v>
      </c>
      <c r="L98" s="57" t="e">
        <f t="shared" si="40"/>
        <v>#DIV/0!</v>
      </c>
      <c r="M98" s="57" t="e">
        <f t="shared" si="41"/>
        <v>#DIV/0!</v>
      </c>
      <c r="N98" s="57" t="e">
        <f t="shared" si="42"/>
        <v>#DIV/0!</v>
      </c>
      <c r="O98" s="58" t="e">
        <f>Links!B98</f>
        <v>#DIV/0!</v>
      </c>
      <c r="P98" s="58" t="e">
        <f>Links!C98+'On-Ramps'!AC98</f>
        <v>#DIV/0!</v>
      </c>
      <c r="Q98" s="58" t="e">
        <f>Links!D98</f>
        <v>#DIV/0!</v>
      </c>
      <c r="R98" s="58" t="e">
        <f>Links!E98+'On-Ramps'!AD98</f>
        <v>#DIV/0!</v>
      </c>
      <c r="S98" s="58" t="e">
        <f>Links!F98+'On-Ramps'!AE98</f>
        <v>#DIV/0!</v>
      </c>
      <c r="T98" s="58" t="e">
        <f>Links!I98+'On-Ramps'!AF98</f>
        <v>#DIV/0!</v>
      </c>
      <c r="U98" s="58" t="e">
        <f>Links!J98+'On-Ramps'!AG98</f>
        <v>#DIV/0!</v>
      </c>
      <c r="V98" s="58" t="e">
        <f>Links!L98+'On-Ramps'!AH98</f>
        <v>#DIV/0!</v>
      </c>
      <c r="W98" s="58" t="e">
        <f>Links!M98+'On-Ramps'!AI98</f>
        <v>#DIV/0!</v>
      </c>
      <c r="X98" s="58" t="e">
        <f>Links!P98+'On-Ramps'!AJ98</f>
        <v>#DIV/0!</v>
      </c>
      <c r="Y98" s="58" t="e">
        <f>Links!Q98</f>
        <v>#DIV/0!</v>
      </c>
      <c r="Z98" s="58" t="e">
        <f>Links!R98+'On-Ramps'!AK98</f>
        <v>#DIV/0!</v>
      </c>
      <c r="AA98" s="58" t="e">
        <f>Links!S98</f>
        <v>#DIV/0!</v>
      </c>
      <c r="AB98" s="57" t="e">
        <f t="shared" si="43"/>
        <v>#DIV/0!</v>
      </c>
      <c r="AC98" s="63"/>
      <c r="AD98" s="57" t="e">
        <f t="shared" si="44"/>
        <v>#DIV/0!</v>
      </c>
      <c r="AE98" s="63"/>
      <c r="AF98" s="57" t="e">
        <f t="shared" si="45"/>
        <v>#DIV/0!</v>
      </c>
      <c r="AG98" s="57" t="e">
        <f t="shared" si="46"/>
        <v>#DIV/0!</v>
      </c>
      <c r="AH98" s="57" t="e">
        <f t="shared" si="47"/>
        <v>#DIV/0!</v>
      </c>
      <c r="AI98" s="57" t="e">
        <f t="shared" si="48"/>
        <v>#DIV/0!</v>
      </c>
      <c r="AJ98" s="57" t="e">
        <f t="shared" si="49"/>
        <v>#DIV/0!</v>
      </c>
      <c r="AK98" s="57" t="e">
        <f t="shared" si="50"/>
        <v>#DIV/0!</v>
      </c>
      <c r="AL98" s="57" t="e">
        <f t="shared" si="51"/>
        <v>#DIV/0!</v>
      </c>
      <c r="AM98" s="63"/>
      <c r="AN98" s="57" t="e">
        <f t="shared" si="53"/>
        <v>#DIV/0!</v>
      </c>
      <c r="AO98" s="58" t="e">
        <f t="shared" si="29"/>
        <v>#DIV/0!</v>
      </c>
      <c r="AP98" s="63"/>
      <c r="AQ98" s="58" t="e">
        <f t="shared" si="52"/>
        <v>#DIV/0!</v>
      </c>
      <c r="AR98" s="63"/>
      <c r="AS98" s="58" t="e">
        <f t="shared" si="52"/>
        <v>#DIV/0!</v>
      </c>
      <c r="AT98" s="58" t="e">
        <f t="shared" si="52"/>
        <v>#DIV/0!</v>
      </c>
      <c r="AU98" s="58" t="e">
        <f t="shared" si="52"/>
        <v>#DIV/0!</v>
      </c>
      <c r="AV98" s="58" t="e">
        <f t="shared" si="52"/>
        <v>#DIV/0!</v>
      </c>
      <c r="AW98" s="58" t="e">
        <f t="shared" si="52"/>
        <v>#DIV/0!</v>
      </c>
      <c r="AX98" s="58" t="e">
        <f t="shared" si="52"/>
        <v>#DIV/0!</v>
      </c>
      <c r="AY98" s="58" t="e">
        <f t="shared" si="52"/>
        <v>#DIV/0!</v>
      </c>
      <c r="AZ98" s="63"/>
      <c r="BA98" s="58" t="e">
        <f t="shared" si="52"/>
        <v>#DIV/0!</v>
      </c>
      <c r="BB98" s="63"/>
      <c r="BC98" s="57" t="e">
        <f>(Links!C98*Links!AQ98+'On-Ramps'!AC98*'On-Ramps'!CE98)/('On-Ramps'!AC98+Links!C98)</f>
        <v>#DIV/0!</v>
      </c>
      <c r="BD98" s="63"/>
      <c r="BE98" s="57" t="e">
        <f>(Links!E98*Links!AS98+'On-Ramps'!AD98*'On-Ramps'!CF97)/('On-Ramps'!AD98+Links!E98)</f>
        <v>#DIV/0!</v>
      </c>
      <c r="BF98" s="57" t="e">
        <f>(Links!F98*Links!AT98+'On-Ramps'!AE98*'On-Ramps'!CG98)/('On-Ramps'!AE98+Links!F98)</f>
        <v>#DIV/0!</v>
      </c>
      <c r="BG98" s="57" t="e">
        <f>(Links!I98*Links!AW98+'On-Ramps'!AF98*'On-Ramps'!CH98)/('On-Ramps'!AF98+Links!I98)</f>
        <v>#DIV/0!</v>
      </c>
      <c r="BH98" s="57" t="e">
        <f>(#REF!*#REF!+'On-Ramps'!AG98*'On-Ramps'!CI98)/('On-Ramps'!AG98+#REF!)</f>
        <v>#REF!</v>
      </c>
      <c r="BI98" s="57" t="e">
        <f>(Links!L98*Links!AZ98+'On-Ramps'!AH98*'On-Ramps'!CJ98)/('On-Ramps'!AH98+Links!L98)</f>
        <v>#DIV/0!</v>
      </c>
      <c r="BJ98" s="57" t="e">
        <f>(Links!BA98*Links!M98+'On-Ramps'!AI98*'On-Ramps'!CK98)/('On-Ramps'!AI98+Links!M98)</f>
        <v>#DIV/0!</v>
      </c>
      <c r="BK98" s="57" t="e">
        <f>(Links!S98*Links!BG98+'On-Ramps'!AJ98*'On-Ramps'!CL98)/('On-Ramps'!AJ98+Links!S98)</f>
        <v>#DIV/0!</v>
      </c>
      <c r="BL98" s="63"/>
      <c r="BM98" s="57" t="e">
        <f>(Links!S98*Links!BG98+'On-Ramps'!AL98*'On-Ramps'!CM98)/(Links!S98+'On-Ramps'!AL98)</f>
        <v>#DIV/0!</v>
      </c>
      <c r="BN98" s="63"/>
      <c r="BO98" s="58" t="e">
        <f>(Links!W98^2+'Off-Ramp'!L98^2)/(Links!W98+'Off-Ramp'!L98)</f>
        <v>#DIV/0!</v>
      </c>
      <c r="BP98" s="63"/>
      <c r="BQ98" s="58" t="e">
        <f>(Links!Y98^2+'Off-Ramp'!C98^2)/(Links!Y98+'Off-Ramp'!C98)</f>
        <v>#DIV/0!</v>
      </c>
      <c r="BR98" s="63"/>
      <c r="BS98" s="58" t="e">
        <f>(Links!AA98^2+'Off-Ramp'!N98^2)/(Links!AA98+'Off-Ramp'!N98)</f>
        <v>#DIV/0!</v>
      </c>
      <c r="BT98" s="58" t="e">
        <f>(Links!AD98^2+'Off-Ramp'!O98^2)/(Links!AD98+'Off-Ramp'!O98)</f>
        <v>#DIV/0!</v>
      </c>
      <c r="BU98" s="58" t="e">
        <f>(Links!AE98^2+'Off-Ramp'!V98^2+'Off-Ramp'!W98^2+'Off-Ramp'!X98^2)/(Links!AE98+'Off-Ramp'!V98+'Off-Ramp'!W98+'Off-Ramp'!X98)</f>
        <v>#DIV/0!</v>
      </c>
      <c r="BV98" s="58" t="e">
        <f>(Links!AG98^2+'Off-Ramp'!Y98^2+'Off-Ramp'!Z98^2+'Off-Ramp'!AA98^2)/(Links!AG98+'Off-Ramp'!Y98+'Off-Ramp'!Z98+'Off-Ramp'!AA98)</f>
        <v>#DIV/0!</v>
      </c>
      <c r="BW98" s="58" t="e">
        <f>(Links!AH98^2+'Off-Ramp'!R98^2)/(Links!AH98+'Off-Ramp'!R98)</f>
        <v>#DIV/0!</v>
      </c>
      <c r="BX98" s="58" t="e">
        <f>(Links!AK98^2+'Off-Ramp'!S98^2)/(Links!AK98+'Off-Ramp'!S98)</f>
        <v>#DIV/0!</v>
      </c>
      <c r="BY98" s="58" t="e">
        <f>(Links!AL98^2+'Off-Ramp'!T98^2)/(Links!AL98+'Off-Ramp'!T98)</f>
        <v>#DIV/0!</v>
      </c>
      <c r="BZ98" s="63"/>
      <c r="CA98" s="58" t="e">
        <f>(Links!AN98^2+'Off-Ramp'!U98^2)/(Links!AN98+'Off-Ramp'!U98)</f>
        <v>#DIV/0!</v>
      </c>
    </row>
    <row r="99" spans="1:79" x14ac:dyDescent="0.15">
      <c r="A99" s="56">
        <v>97</v>
      </c>
      <c r="B99" s="57" t="e">
        <f t="shared" si="30"/>
        <v>#DIV/0!</v>
      </c>
      <c r="C99" s="57" t="e">
        <f t="shared" si="31"/>
        <v>#DIV/0!</v>
      </c>
      <c r="D99" s="57" t="e">
        <f t="shared" si="32"/>
        <v>#DIV/0!</v>
      </c>
      <c r="E99" s="57" t="e">
        <f t="shared" si="33"/>
        <v>#DIV/0!</v>
      </c>
      <c r="F99" s="57" t="e">
        <f t="shared" si="34"/>
        <v>#DIV/0!</v>
      </c>
      <c r="G99" s="57" t="e">
        <f t="shared" si="35"/>
        <v>#DIV/0!</v>
      </c>
      <c r="H99" s="57" t="e">
        <f t="shared" si="36"/>
        <v>#DIV/0!</v>
      </c>
      <c r="I99" s="57" t="e">
        <f t="shared" si="37"/>
        <v>#DIV/0!</v>
      </c>
      <c r="J99" s="57" t="e">
        <f t="shared" si="38"/>
        <v>#DIV/0!</v>
      </c>
      <c r="K99" s="57" t="e">
        <f t="shared" si="39"/>
        <v>#DIV/0!</v>
      </c>
      <c r="L99" s="57" t="e">
        <f t="shared" si="40"/>
        <v>#DIV/0!</v>
      </c>
      <c r="M99" s="57" t="e">
        <f t="shared" si="41"/>
        <v>#DIV/0!</v>
      </c>
      <c r="N99" s="57" t="e">
        <f t="shared" si="42"/>
        <v>#DIV/0!</v>
      </c>
      <c r="O99" s="58" t="e">
        <f>Links!B99</f>
        <v>#DIV/0!</v>
      </c>
      <c r="P99" s="58" t="e">
        <f>Links!C99+'On-Ramps'!AC99</f>
        <v>#DIV/0!</v>
      </c>
      <c r="Q99" s="58" t="e">
        <f>Links!D99</f>
        <v>#DIV/0!</v>
      </c>
      <c r="R99" s="58" t="e">
        <f>Links!E99+'On-Ramps'!AD99</f>
        <v>#DIV/0!</v>
      </c>
      <c r="S99" s="58" t="e">
        <f>Links!F99+'On-Ramps'!AE99</f>
        <v>#DIV/0!</v>
      </c>
      <c r="T99" s="58" t="e">
        <f>Links!I99+'On-Ramps'!AF99</f>
        <v>#DIV/0!</v>
      </c>
      <c r="U99" s="58" t="e">
        <f>Links!J99+'On-Ramps'!AG99</f>
        <v>#DIV/0!</v>
      </c>
      <c r="V99" s="58" t="e">
        <f>Links!L99+'On-Ramps'!AH99</f>
        <v>#DIV/0!</v>
      </c>
      <c r="W99" s="58" t="e">
        <f>Links!M99+'On-Ramps'!AI99</f>
        <v>#DIV/0!</v>
      </c>
      <c r="X99" s="58" t="e">
        <f>Links!P99+'On-Ramps'!AJ99</f>
        <v>#DIV/0!</v>
      </c>
      <c r="Y99" s="58" t="e">
        <f>Links!Q99</f>
        <v>#DIV/0!</v>
      </c>
      <c r="Z99" s="58" t="e">
        <f>Links!R99+'On-Ramps'!AK99</f>
        <v>#DIV/0!</v>
      </c>
      <c r="AA99" s="58" t="e">
        <f>Links!S99</f>
        <v>#DIV/0!</v>
      </c>
      <c r="AB99" s="57" t="e">
        <f t="shared" si="43"/>
        <v>#DIV/0!</v>
      </c>
      <c r="AC99" s="63"/>
      <c r="AD99" s="57" t="e">
        <f t="shared" si="44"/>
        <v>#DIV/0!</v>
      </c>
      <c r="AE99" s="63"/>
      <c r="AF99" s="57" t="e">
        <f t="shared" si="45"/>
        <v>#DIV/0!</v>
      </c>
      <c r="AG99" s="57" t="e">
        <f t="shared" si="46"/>
        <v>#DIV/0!</v>
      </c>
      <c r="AH99" s="57" t="e">
        <f t="shared" si="47"/>
        <v>#DIV/0!</v>
      </c>
      <c r="AI99" s="57" t="e">
        <f t="shared" si="48"/>
        <v>#DIV/0!</v>
      </c>
      <c r="AJ99" s="57" t="e">
        <f t="shared" si="49"/>
        <v>#DIV/0!</v>
      </c>
      <c r="AK99" s="57" t="e">
        <f t="shared" si="50"/>
        <v>#DIV/0!</v>
      </c>
      <c r="AL99" s="57" t="e">
        <f t="shared" si="51"/>
        <v>#DIV/0!</v>
      </c>
      <c r="AM99" s="63"/>
      <c r="AN99" s="57" t="e">
        <f t="shared" si="53"/>
        <v>#DIV/0!</v>
      </c>
      <c r="AO99" s="58" t="e">
        <f t="shared" si="29"/>
        <v>#DIV/0!</v>
      </c>
      <c r="AP99" s="63"/>
      <c r="AQ99" s="58" t="e">
        <f t="shared" ref="AQ99:BA120" si="54">AQ$3</f>
        <v>#DIV/0!</v>
      </c>
      <c r="AR99" s="63"/>
      <c r="AS99" s="58" t="e">
        <f t="shared" si="54"/>
        <v>#DIV/0!</v>
      </c>
      <c r="AT99" s="58" t="e">
        <f t="shared" si="54"/>
        <v>#DIV/0!</v>
      </c>
      <c r="AU99" s="58" t="e">
        <f t="shared" si="54"/>
        <v>#DIV/0!</v>
      </c>
      <c r="AV99" s="58" t="e">
        <f t="shared" si="54"/>
        <v>#DIV/0!</v>
      </c>
      <c r="AW99" s="58" t="e">
        <f t="shared" si="54"/>
        <v>#DIV/0!</v>
      </c>
      <c r="AX99" s="58" t="e">
        <f t="shared" si="54"/>
        <v>#DIV/0!</v>
      </c>
      <c r="AY99" s="58" t="e">
        <f t="shared" si="54"/>
        <v>#DIV/0!</v>
      </c>
      <c r="AZ99" s="63"/>
      <c r="BA99" s="58" t="e">
        <f t="shared" si="54"/>
        <v>#DIV/0!</v>
      </c>
      <c r="BB99" s="63"/>
      <c r="BC99" s="57" t="e">
        <f>(Links!C99*Links!AQ99+'On-Ramps'!AC99*'On-Ramps'!CE99)/('On-Ramps'!AC99+Links!C99)</f>
        <v>#DIV/0!</v>
      </c>
      <c r="BD99" s="63"/>
      <c r="BE99" s="57" t="e">
        <f>(Links!E99*Links!AS99+'On-Ramps'!AD99*'On-Ramps'!CF98)/('On-Ramps'!AD99+Links!E99)</f>
        <v>#DIV/0!</v>
      </c>
      <c r="BF99" s="57" t="e">
        <f>(Links!F99*Links!AT99+'On-Ramps'!AE99*'On-Ramps'!CG99)/('On-Ramps'!AE99+Links!F99)</f>
        <v>#DIV/0!</v>
      </c>
      <c r="BG99" s="57" t="e">
        <f>(Links!I99*Links!AW99+'On-Ramps'!AF99*'On-Ramps'!CH99)/('On-Ramps'!AF99+Links!I99)</f>
        <v>#DIV/0!</v>
      </c>
      <c r="BH99" s="57" t="e">
        <f>(#REF!*#REF!+'On-Ramps'!AG99*'On-Ramps'!CI99)/('On-Ramps'!AG99+#REF!)</f>
        <v>#REF!</v>
      </c>
      <c r="BI99" s="57" t="e">
        <f>(Links!L99*Links!AZ99+'On-Ramps'!AH99*'On-Ramps'!CJ99)/('On-Ramps'!AH99+Links!L99)</f>
        <v>#DIV/0!</v>
      </c>
      <c r="BJ99" s="57" t="e">
        <f>(Links!BA99*Links!M99+'On-Ramps'!AI99*'On-Ramps'!CK99)/('On-Ramps'!AI99+Links!M99)</f>
        <v>#DIV/0!</v>
      </c>
      <c r="BK99" s="57" t="e">
        <f>(Links!S99*Links!BG99+'On-Ramps'!AJ99*'On-Ramps'!CL99)/('On-Ramps'!AJ99+Links!S99)</f>
        <v>#DIV/0!</v>
      </c>
      <c r="BL99" s="63"/>
      <c r="BM99" s="57" t="e">
        <f>(Links!S99*Links!BG99+'On-Ramps'!AL99*'On-Ramps'!CM99)/(Links!S99+'On-Ramps'!AL99)</f>
        <v>#DIV/0!</v>
      </c>
      <c r="BN99" s="63"/>
      <c r="BO99" s="58" t="e">
        <f>(Links!W99^2+'Off-Ramp'!L99^2)/(Links!W99+'Off-Ramp'!L99)</f>
        <v>#DIV/0!</v>
      </c>
      <c r="BP99" s="63"/>
      <c r="BQ99" s="58" t="e">
        <f>(Links!Y99^2+'Off-Ramp'!C99^2)/(Links!Y99+'Off-Ramp'!C99)</f>
        <v>#DIV/0!</v>
      </c>
      <c r="BR99" s="63"/>
      <c r="BS99" s="58" t="e">
        <f>(Links!AA99^2+'Off-Ramp'!N99^2)/(Links!AA99+'Off-Ramp'!N99)</f>
        <v>#DIV/0!</v>
      </c>
      <c r="BT99" s="58" t="e">
        <f>(Links!AD99^2+'Off-Ramp'!O99^2)/(Links!AD99+'Off-Ramp'!O99)</f>
        <v>#DIV/0!</v>
      </c>
      <c r="BU99" s="58" t="e">
        <f>(Links!AE99^2+'Off-Ramp'!V99^2+'Off-Ramp'!W99^2+'Off-Ramp'!X99^2)/(Links!AE99+'Off-Ramp'!V99+'Off-Ramp'!W99+'Off-Ramp'!X99)</f>
        <v>#DIV/0!</v>
      </c>
      <c r="BV99" s="58" t="e">
        <f>(Links!AG99^2+'Off-Ramp'!Y99^2+'Off-Ramp'!Z99^2+'Off-Ramp'!AA99^2)/(Links!AG99+'Off-Ramp'!Y99+'Off-Ramp'!Z99+'Off-Ramp'!AA99)</f>
        <v>#DIV/0!</v>
      </c>
      <c r="BW99" s="58" t="e">
        <f>(Links!AH99^2+'Off-Ramp'!R99^2)/(Links!AH99+'Off-Ramp'!R99)</f>
        <v>#DIV/0!</v>
      </c>
      <c r="BX99" s="58" t="e">
        <f>(Links!AK99^2+'Off-Ramp'!S99^2)/(Links!AK99+'Off-Ramp'!S99)</f>
        <v>#DIV/0!</v>
      </c>
      <c r="BY99" s="58" t="e">
        <f>(Links!AL99^2+'Off-Ramp'!T99^2)/(Links!AL99+'Off-Ramp'!T99)</f>
        <v>#DIV/0!</v>
      </c>
      <c r="BZ99" s="63"/>
      <c r="CA99" s="58" t="e">
        <f>(Links!AN99^2+'Off-Ramp'!U99^2)/(Links!AN99+'Off-Ramp'!U99)</f>
        <v>#DIV/0!</v>
      </c>
    </row>
    <row r="100" spans="1:79" x14ac:dyDescent="0.15">
      <c r="A100" s="56">
        <v>98</v>
      </c>
      <c r="B100" s="57" t="e">
        <f t="shared" si="30"/>
        <v>#DIV/0!</v>
      </c>
      <c r="C100" s="57" t="e">
        <f t="shared" si="31"/>
        <v>#DIV/0!</v>
      </c>
      <c r="D100" s="57" t="e">
        <f t="shared" si="32"/>
        <v>#DIV/0!</v>
      </c>
      <c r="E100" s="57" t="e">
        <f t="shared" si="33"/>
        <v>#DIV/0!</v>
      </c>
      <c r="F100" s="57" t="e">
        <f t="shared" si="34"/>
        <v>#DIV/0!</v>
      </c>
      <c r="G100" s="57" t="e">
        <f t="shared" si="35"/>
        <v>#DIV/0!</v>
      </c>
      <c r="H100" s="57" t="e">
        <f t="shared" si="36"/>
        <v>#DIV/0!</v>
      </c>
      <c r="I100" s="57" t="e">
        <f t="shared" si="37"/>
        <v>#DIV/0!</v>
      </c>
      <c r="J100" s="57" t="e">
        <f t="shared" si="38"/>
        <v>#DIV/0!</v>
      </c>
      <c r="K100" s="57" t="e">
        <f t="shared" si="39"/>
        <v>#DIV/0!</v>
      </c>
      <c r="L100" s="57" t="e">
        <f t="shared" si="40"/>
        <v>#DIV/0!</v>
      </c>
      <c r="M100" s="57" t="e">
        <f t="shared" si="41"/>
        <v>#DIV/0!</v>
      </c>
      <c r="N100" s="57" t="e">
        <f t="shared" si="42"/>
        <v>#DIV/0!</v>
      </c>
      <c r="O100" s="58" t="e">
        <f>Links!B100</f>
        <v>#DIV/0!</v>
      </c>
      <c r="P100" s="58" t="e">
        <f>Links!C100+'On-Ramps'!AC100</f>
        <v>#DIV/0!</v>
      </c>
      <c r="Q100" s="58" t="e">
        <f>Links!D100</f>
        <v>#DIV/0!</v>
      </c>
      <c r="R100" s="58" t="e">
        <f>Links!E100+'On-Ramps'!AD100</f>
        <v>#DIV/0!</v>
      </c>
      <c r="S100" s="58" t="e">
        <f>Links!F100+'On-Ramps'!AE100</f>
        <v>#DIV/0!</v>
      </c>
      <c r="T100" s="58" t="e">
        <f>Links!I100+'On-Ramps'!AF100</f>
        <v>#DIV/0!</v>
      </c>
      <c r="U100" s="58" t="e">
        <f>Links!J100+'On-Ramps'!AG100</f>
        <v>#DIV/0!</v>
      </c>
      <c r="V100" s="58" t="e">
        <f>Links!L100+'On-Ramps'!AH100</f>
        <v>#DIV/0!</v>
      </c>
      <c r="W100" s="58" t="e">
        <f>Links!M100+'On-Ramps'!AI100</f>
        <v>#DIV/0!</v>
      </c>
      <c r="X100" s="58" t="e">
        <f>Links!P100+'On-Ramps'!AJ100</f>
        <v>#DIV/0!</v>
      </c>
      <c r="Y100" s="58" t="e">
        <f>Links!Q100</f>
        <v>#DIV/0!</v>
      </c>
      <c r="Z100" s="58" t="e">
        <f>Links!R100+'On-Ramps'!AK100</f>
        <v>#DIV/0!</v>
      </c>
      <c r="AA100" s="58" t="e">
        <f>Links!S100</f>
        <v>#DIV/0!</v>
      </c>
      <c r="AB100" s="57" t="e">
        <f t="shared" si="43"/>
        <v>#DIV/0!</v>
      </c>
      <c r="AC100" s="63"/>
      <c r="AD100" s="57" t="e">
        <f t="shared" si="44"/>
        <v>#DIV/0!</v>
      </c>
      <c r="AE100" s="63"/>
      <c r="AF100" s="57" t="e">
        <f t="shared" si="45"/>
        <v>#DIV/0!</v>
      </c>
      <c r="AG100" s="57" t="e">
        <f t="shared" si="46"/>
        <v>#DIV/0!</v>
      </c>
      <c r="AH100" s="57" t="e">
        <f t="shared" si="47"/>
        <v>#DIV/0!</v>
      </c>
      <c r="AI100" s="57" t="e">
        <f t="shared" si="48"/>
        <v>#DIV/0!</v>
      </c>
      <c r="AJ100" s="57" t="e">
        <f t="shared" si="49"/>
        <v>#DIV/0!</v>
      </c>
      <c r="AK100" s="57" t="e">
        <f t="shared" si="50"/>
        <v>#DIV/0!</v>
      </c>
      <c r="AL100" s="57" t="e">
        <f t="shared" si="51"/>
        <v>#DIV/0!</v>
      </c>
      <c r="AM100" s="63"/>
      <c r="AN100" s="57" t="e">
        <f t="shared" si="53"/>
        <v>#DIV/0!</v>
      </c>
      <c r="AO100" s="58" t="e">
        <f t="shared" si="29"/>
        <v>#DIV/0!</v>
      </c>
      <c r="AP100" s="63"/>
      <c r="AQ100" s="58" t="e">
        <f t="shared" si="54"/>
        <v>#DIV/0!</v>
      </c>
      <c r="AR100" s="63"/>
      <c r="AS100" s="58" t="e">
        <f t="shared" si="54"/>
        <v>#DIV/0!</v>
      </c>
      <c r="AT100" s="58" t="e">
        <f t="shared" si="54"/>
        <v>#DIV/0!</v>
      </c>
      <c r="AU100" s="58" t="e">
        <f t="shared" si="54"/>
        <v>#DIV/0!</v>
      </c>
      <c r="AV100" s="58" t="e">
        <f t="shared" si="54"/>
        <v>#DIV/0!</v>
      </c>
      <c r="AW100" s="58" t="e">
        <f t="shared" si="54"/>
        <v>#DIV/0!</v>
      </c>
      <c r="AX100" s="58" t="e">
        <f t="shared" si="54"/>
        <v>#DIV/0!</v>
      </c>
      <c r="AY100" s="58" t="e">
        <f t="shared" si="54"/>
        <v>#DIV/0!</v>
      </c>
      <c r="AZ100" s="63"/>
      <c r="BA100" s="58" t="e">
        <f t="shared" si="54"/>
        <v>#DIV/0!</v>
      </c>
      <c r="BB100" s="63"/>
      <c r="BC100" s="57" t="e">
        <f>(Links!C100*Links!AQ100+'On-Ramps'!AC100*'On-Ramps'!CE100)/('On-Ramps'!AC100+Links!C100)</f>
        <v>#DIV/0!</v>
      </c>
      <c r="BD100" s="63"/>
      <c r="BE100" s="57" t="e">
        <f>(Links!E100*Links!AS100+'On-Ramps'!AD100*'On-Ramps'!CF99)/('On-Ramps'!AD100+Links!E100)</f>
        <v>#DIV/0!</v>
      </c>
      <c r="BF100" s="57" t="e">
        <f>(Links!F100*Links!AT100+'On-Ramps'!AE100*'On-Ramps'!CG100)/('On-Ramps'!AE100+Links!F100)</f>
        <v>#DIV/0!</v>
      </c>
      <c r="BG100" s="57" t="e">
        <f>(Links!I100*Links!AW100+'On-Ramps'!AF100*'On-Ramps'!CH100)/('On-Ramps'!AF100+Links!I100)</f>
        <v>#DIV/0!</v>
      </c>
      <c r="BH100" s="57" t="e">
        <f>(#REF!*#REF!+'On-Ramps'!AG100*'On-Ramps'!CI100)/('On-Ramps'!AG100+#REF!)</f>
        <v>#REF!</v>
      </c>
      <c r="BI100" s="57" t="e">
        <f>(Links!L100*Links!AZ100+'On-Ramps'!AH100*'On-Ramps'!CJ100)/('On-Ramps'!AH100+Links!L100)</f>
        <v>#DIV/0!</v>
      </c>
      <c r="BJ100" s="57" t="e">
        <f>(Links!BA100*Links!M100+'On-Ramps'!AI100*'On-Ramps'!CK100)/('On-Ramps'!AI100+Links!M100)</f>
        <v>#DIV/0!</v>
      </c>
      <c r="BK100" s="57" t="e">
        <f>(Links!S100*Links!BG100+'On-Ramps'!AJ100*'On-Ramps'!CL100)/('On-Ramps'!AJ100+Links!S100)</f>
        <v>#DIV/0!</v>
      </c>
      <c r="BL100" s="63"/>
      <c r="BM100" s="57" t="e">
        <f>(Links!S100*Links!BG100+'On-Ramps'!AL100*'On-Ramps'!CM100)/(Links!S100+'On-Ramps'!AL100)</f>
        <v>#DIV/0!</v>
      </c>
      <c r="BN100" s="63"/>
      <c r="BO100" s="58" t="e">
        <f>(Links!W100^2+'Off-Ramp'!L100^2)/(Links!W100+'Off-Ramp'!L100)</f>
        <v>#DIV/0!</v>
      </c>
      <c r="BP100" s="63"/>
      <c r="BQ100" s="58" t="e">
        <f>(Links!Y100^2+'Off-Ramp'!C100^2)/(Links!Y100+'Off-Ramp'!C100)</f>
        <v>#DIV/0!</v>
      </c>
      <c r="BR100" s="63"/>
      <c r="BS100" s="58" t="e">
        <f>(Links!AA100^2+'Off-Ramp'!N100^2)/(Links!AA100+'Off-Ramp'!N100)</f>
        <v>#DIV/0!</v>
      </c>
      <c r="BT100" s="58" t="e">
        <f>(Links!AD100^2+'Off-Ramp'!O100^2)/(Links!AD100+'Off-Ramp'!O100)</f>
        <v>#DIV/0!</v>
      </c>
      <c r="BU100" s="58" t="e">
        <f>(Links!AE100^2+'Off-Ramp'!V100^2+'Off-Ramp'!W100^2+'Off-Ramp'!X100^2)/(Links!AE100+'Off-Ramp'!V100+'Off-Ramp'!W100+'Off-Ramp'!X100)</f>
        <v>#DIV/0!</v>
      </c>
      <c r="BV100" s="58" t="e">
        <f>(Links!AG100^2+'Off-Ramp'!Y100^2+'Off-Ramp'!Z100^2+'Off-Ramp'!AA100^2)/(Links!AG100+'Off-Ramp'!Y100+'Off-Ramp'!Z100+'Off-Ramp'!AA100)</f>
        <v>#DIV/0!</v>
      </c>
      <c r="BW100" s="58" t="e">
        <f>(Links!AH100^2+'Off-Ramp'!R100^2)/(Links!AH100+'Off-Ramp'!R100)</f>
        <v>#DIV/0!</v>
      </c>
      <c r="BX100" s="58" t="e">
        <f>(Links!AK100^2+'Off-Ramp'!S100^2)/(Links!AK100+'Off-Ramp'!S100)</f>
        <v>#DIV/0!</v>
      </c>
      <c r="BY100" s="58" t="e">
        <f>(Links!AL100^2+'Off-Ramp'!T100^2)/(Links!AL100+'Off-Ramp'!T100)</f>
        <v>#DIV/0!</v>
      </c>
      <c r="BZ100" s="63"/>
      <c r="CA100" s="58" t="e">
        <f>(Links!AN100^2+'Off-Ramp'!U100^2)/(Links!AN100+'Off-Ramp'!U100)</f>
        <v>#DIV/0!</v>
      </c>
    </row>
    <row r="101" spans="1:79" x14ac:dyDescent="0.15">
      <c r="A101" s="56">
        <v>99</v>
      </c>
      <c r="B101" s="57" t="e">
        <f t="shared" si="30"/>
        <v>#DIV/0!</v>
      </c>
      <c r="C101" s="57" t="e">
        <f t="shared" si="31"/>
        <v>#DIV/0!</v>
      </c>
      <c r="D101" s="57" t="e">
        <f t="shared" si="32"/>
        <v>#DIV/0!</v>
      </c>
      <c r="E101" s="57" t="e">
        <f t="shared" si="33"/>
        <v>#DIV/0!</v>
      </c>
      <c r="F101" s="57" t="e">
        <f t="shared" si="34"/>
        <v>#DIV/0!</v>
      </c>
      <c r="G101" s="57" t="e">
        <f t="shared" si="35"/>
        <v>#DIV/0!</v>
      </c>
      <c r="H101" s="57" t="e">
        <f t="shared" si="36"/>
        <v>#DIV/0!</v>
      </c>
      <c r="I101" s="57" t="e">
        <f t="shared" si="37"/>
        <v>#DIV/0!</v>
      </c>
      <c r="J101" s="57" t="e">
        <f t="shared" si="38"/>
        <v>#DIV/0!</v>
      </c>
      <c r="K101" s="57" t="e">
        <f t="shared" si="39"/>
        <v>#DIV/0!</v>
      </c>
      <c r="L101" s="57" t="e">
        <f t="shared" si="40"/>
        <v>#DIV/0!</v>
      </c>
      <c r="M101" s="57" t="e">
        <f t="shared" si="41"/>
        <v>#DIV/0!</v>
      </c>
      <c r="N101" s="57" t="e">
        <f t="shared" si="42"/>
        <v>#DIV/0!</v>
      </c>
      <c r="O101" s="58" t="e">
        <f>Links!B101</f>
        <v>#DIV/0!</v>
      </c>
      <c r="P101" s="58" t="e">
        <f>Links!C101+'On-Ramps'!AC101</f>
        <v>#DIV/0!</v>
      </c>
      <c r="Q101" s="58" t="e">
        <f>Links!D101</f>
        <v>#DIV/0!</v>
      </c>
      <c r="R101" s="58" t="e">
        <f>Links!E101+'On-Ramps'!AD101</f>
        <v>#DIV/0!</v>
      </c>
      <c r="S101" s="58" t="e">
        <f>Links!F101+'On-Ramps'!AE101</f>
        <v>#DIV/0!</v>
      </c>
      <c r="T101" s="58" t="e">
        <f>Links!I101+'On-Ramps'!AF101</f>
        <v>#DIV/0!</v>
      </c>
      <c r="U101" s="58" t="e">
        <f>Links!J101+'On-Ramps'!AG101</f>
        <v>#DIV/0!</v>
      </c>
      <c r="V101" s="58" t="e">
        <f>Links!L101+'On-Ramps'!AH101</f>
        <v>#DIV/0!</v>
      </c>
      <c r="W101" s="58" t="e">
        <f>Links!M101+'On-Ramps'!AI101</f>
        <v>#DIV/0!</v>
      </c>
      <c r="X101" s="58" t="e">
        <f>Links!P101+'On-Ramps'!AJ101</f>
        <v>#DIV/0!</v>
      </c>
      <c r="Y101" s="58" t="e">
        <f>Links!Q101</f>
        <v>#DIV/0!</v>
      </c>
      <c r="Z101" s="58" t="e">
        <f>Links!R101+'On-Ramps'!AK101</f>
        <v>#DIV/0!</v>
      </c>
      <c r="AA101" s="58" t="e">
        <f>Links!S101</f>
        <v>#DIV/0!</v>
      </c>
      <c r="AB101" s="57" t="e">
        <f t="shared" si="43"/>
        <v>#DIV/0!</v>
      </c>
      <c r="AC101" s="63"/>
      <c r="AD101" s="57" t="e">
        <f t="shared" si="44"/>
        <v>#DIV/0!</v>
      </c>
      <c r="AE101" s="63"/>
      <c r="AF101" s="57" t="e">
        <f t="shared" si="45"/>
        <v>#DIV/0!</v>
      </c>
      <c r="AG101" s="57" t="e">
        <f t="shared" si="46"/>
        <v>#DIV/0!</v>
      </c>
      <c r="AH101" s="57" t="e">
        <f t="shared" si="47"/>
        <v>#DIV/0!</v>
      </c>
      <c r="AI101" s="57" t="e">
        <f t="shared" si="48"/>
        <v>#DIV/0!</v>
      </c>
      <c r="AJ101" s="57" t="e">
        <f t="shared" si="49"/>
        <v>#DIV/0!</v>
      </c>
      <c r="AK101" s="57" t="e">
        <f t="shared" si="50"/>
        <v>#DIV/0!</v>
      </c>
      <c r="AL101" s="57" t="e">
        <f t="shared" si="51"/>
        <v>#DIV/0!</v>
      </c>
      <c r="AM101" s="63"/>
      <c r="AN101" s="57" t="e">
        <f t="shared" si="53"/>
        <v>#DIV/0!</v>
      </c>
      <c r="AO101" s="58" t="e">
        <f t="shared" si="29"/>
        <v>#DIV/0!</v>
      </c>
      <c r="AP101" s="63"/>
      <c r="AQ101" s="58" t="e">
        <f t="shared" si="54"/>
        <v>#DIV/0!</v>
      </c>
      <c r="AR101" s="63"/>
      <c r="AS101" s="58" t="e">
        <f t="shared" si="54"/>
        <v>#DIV/0!</v>
      </c>
      <c r="AT101" s="58" t="e">
        <f t="shared" si="54"/>
        <v>#DIV/0!</v>
      </c>
      <c r="AU101" s="58" t="e">
        <f t="shared" si="54"/>
        <v>#DIV/0!</v>
      </c>
      <c r="AV101" s="58" t="e">
        <f t="shared" si="54"/>
        <v>#DIV/0!</v>
      </c>
      <c r="AW101" s="58" t="e">
        <f t="shared" si="54"/>
        <v>#DIV/0!</v>
      </c>
      <c r="AX101" s="58" t="e">
        <f t="shared" si="54"/>
        <v>#DIV/0!</v>
      </c>
      <c r="AY101" s="58" t="e">
        <f t="shared" si="54"/>
        <v>#DIV/0!</v>
      </c>
      <c r="AZ101" s="63"/>
      <c r="BA101" s="58" t="e">
        <f t="shared" si="54"/>
        <v>#DIV/0!</v>
      </c>
      <c r="BB101" s="63"/>
      <c r="BC101" s="57" t="e">
        <f>(Links!C101*Links!AQ101+'On-Ramps'!AC101*'On-Ramps'!CE101)/('On-Ramps'!AC101+Links!C101)</f>
        <v>#DIV/0!</v>
      </c>
      <c r="BD101" s="63"/>
      <c r="BE101" s="57" t="e">
        <f>(Links!E101*Links!AS101+'On-Ramps'!AD101*'On-Ramps'!CF100)/('On-Ramps'!AD101+Links!E101)</f>
        <v>#DIV/0!</v>
      </c>
      <c r="BF101" s="57" t="e">
        <f>(Links!F101*Links!AT101+'On-Ramps'!AE101*'On-Ramps'!CG101)/('On-Ramps'!AE101+Links!F101)</f>
        <v>#DIV/0!</v>
      </c>
      <c r="BG101" s="57" t="e">
        <f>(Links!I101*Links!AW101+'On-Ramps'!AF101*'On-Ramps'!CH101)/('On-Ramps'!AF101+Links!I101)</f>
        <v>#DIV/0!</v>
      </c>
      <c r="BH101" s="57" t="e">
        <f>(#REF!*#REF!+'On-Ramps'!AG101*'On-Ramps'!CI101)/('On-Ramps'!AG101+#REF!)</f>
        <v>#REF!</v>
      </c>
      <c r="BI101" s="57" t="e">
        <f>(Links!L101*Links!AZ101+'On-Ramps'!AH101*'On-Ramps'!CJ101)/('On-Ramps'!AH101+Links!L101)</f>
        <v>#DIV/0!</v>
      </c>
      <c r="BJ101" s="57" t="e">
        <f>(Links!BA101*Links!M101+'On-Ramps'!AI101*'On-Ramps'!CK101)/('On-Ramps'!AI101+Links!M101)</f>
        <v>#DIV/0!</v>
      </c>
      <c r="BK101" s="57" t="e">
        <f>(Links!S101*Links!BG101+'On-Ramps'!AJ101*'On-Ramps'!CL101)/('On-Ramps'!AJ101+Links!S101)</f>
        <v>#DIV/0!</v>
      </c>
      <c r="BL101" s="63"/>
      <c r="BM101" s="57" t="e">
        <f>(Links!S101*Links!BG101+'On-Ramps'!AL101*'On-Ramps'!CM101)/(Links!S101+'On-Ramps'!AL101)</f>
        <v>#DIV/0!</v>
      </c>
      <c r="BN101" s="63"/>
      <c r="BO101" s="58" t="e">
        <f>(Links!W101^2+'Off-Ramp'!L101^2)/(Links!W101+'Off-Ramp'!L101)</f>
        <v>#DIV/0!</v>
      </c>
      <c r="BP101" s="63"/>
      <c r="BQ101" s="58" t="e">
        <f>(Links!Y101^2+'Off-Ramp'!C101^2)/(Links!Y101+'Off-Ramp'!C101)</f>
        <v>#DIV/0!</v>
      </c>
      <c r="BR101" s="63"/>
      <c r="BS101" s="58" t="e">
        <f>(Links!AA101^2+'Off-Ramp'!N101^2)/(Links!AA101+'Off-Ramp'!N101)</f>
        <v>#DIV/0!</v>
      </c>
      <c r="BT101" s="58" t="e">
        <f>(Links!AD101^2+'Off-Ramp'!O101^2)/(Links!AD101+'Off-Ramp'!O101)</f>
        <v>#DIV/0!</v>
      </c>
      <c r="BU101" s="58" t="e">
        <f>(Links!AE101^2+'Off-Ramp'!V101^2+'Off-Ramp'!W101^2+'Off-Ramp'!X101^2)/(Links!AE101+'Off-Ramp'!V101+'Off-Ramp'!W101+'Off-Ramp'!X101)</f>
        <v>#DIV/0!</v>
      </c>
      <c r="BV101" s="58" t="e">
        <f>(Links!AG101^2+'Off-Ramp'!Y101^2+'Off-Ramp'!Z101^2+'Off-Ramp'!AA101^2)/(Links!AG101+'Off-Ramp'!Y101+'Off-Ramp'!Z101+'Off-Ramp'!AA101)</f>
        <v>#DIV/0!</v>
      </c>
      <c r="BW101" s="58" t="e">
        <f>(Links!AH101^2+'Off-Ramp'!R101^2)/(Links!AH101+'Off-Ramp'!R101)</f>
        <v>#DIV/0!</v>
      </c>
      <c r="BX101" s="58" t="e">
        <f>(Links!AK101^2+'Off-Ramp'!S101^2)/(Links!AK101+'Off-Ramp'!S101)</f>
        <v>#DIV/0!</v>
      </c>
      <c r="BY101" s="58" t="e">
        <f>(Links!AL101^2+'Off-Ramp'!T101^2)/(Links!AL101+'Off-Ramp'!T101)</f>
        <v>#DIV/0!</v>
      </c>
      <c r="BZ101" s="63"/>
      <c r="CA101" s="58" t="e">
        <f>(Links!AN101^2+'Off-Ramp'!U101^2)/(Links!AN101+'Off-Ramp'!U101)</f>
        <v>#DIV/0!</v>
      </c>
    </row>
    <row r="102" spans="1:79" x14ac:dyDescent="0.15">
      <c r="A102" s="56">
        <v>100</v>
      </c>
      <c r="B102" s="57" t="e">
        <f t="shared" si="30"/>
        <v>#DIV/0!</v>
      </c>
      <c r="C102" s="57" t="e">
        <f t="shared" si="31"/>
        <v>#DIV/0!</v>
      </c>
      <c r="D102" s="57" t="e">
        <f t="shared" si="32"/>
        <v>#DIV/0!</v>
      </c>
      <c r="E102" s="57" t="e">
        <f t="shared" si="33"/>
        <v>#DIV/0!</v>
      </c>
      <c r="F102" s="57" t="e">
        <f t="shared" si="34"/>
        <v>#DIV/0!</v>
      </c>
      <c r="G102" s="57" t="e">
        <f t="shared" si="35"/>
        <v>#DIV/0!</v>
      </c>
      <c r="H102" s="57" t="e">
        <f t="shared" si="36"/>
        <v>#DIV/0!</v>
      </c>
      <c r="I102" s="57" t="e">
        <f t="shared" si="37"/>
        <v>#DIV/0!</v>
      </c>
      <c r="J102" s="57" t="e">
        <f t="shared" si="38"/>
        <v>#DIV/0!</v>
      </c>
      <c r="K102" s="57" t="e">
        <f t="shared" si="39"/>
        <v>#DIV/0!</v>
      </c>
      <c r="L102" s="57" t="e">
        <f t="shared" si="40"/>
        <v>#DIV/0!</v>
      </c>
      <c r="M102" s="57" t="e">
        <f t="shared" si="41"/>
        <v>#DIV/0!</v>
      </c>
      <c r="N102" s="57" t="e">
        <f t="shared" si="42"/>
        <v>#DIV/0!</v>
      </c>
      <c r="O102" s="58" t="e">
        <f>Links!B102</f>
        <v>#DIV/0!</v>
      </c>
      <c r="P102" s="58" t="e">
        <f>Links!C102+'On-Ramps'!AC102</f>
        <v>#DIV/0!</v>
      </c>
      <c r="Q102" s="58" t="e">
        <f>Links!D102</f>
        <v>#DIV/0!</v>
      </c>
      <c r="R102" s="58" t="e">
        <f>Links!E102+'On-Ramps'!AD102</f>
        <v>#DIV/0!</v>
      </c>
      <c r="S102" s="58" t="e">
        <f>Links!F102+'On-Ramps'!AE102</f>
        <v>#DIV/0!</v>
      </c>
      <c r="T102" s="58" t="e">
        <f>Links!I102+'On-Ramps'!AF102</f>
        <v>#DIV/0!</v>
      </c>
      <c r="U102" s="58" t="e">
        <f>Links!J102+'On-Ramps'!AG102</f>
        <v>#DIV/0!</v>
      </c>
      <c r="V102" s="58" t="e">
        <f>Links!L102+'On-Ramps'!AH102</f>
        <v>#DIV/0!</v>
      </c>
      <c r="W102" s="58" t="e">
        <f>Links!M102+'On-Ramps'!AI102</f>
        <v>#DIV/0!</v>
      </c>
      <c r="X102" s="58" t="e">
        <f>Links!P102+'On-Ramps'!AJ102</f>
        <v>#DIV/0!</v>
      </c>
      <c r="Y102" s="58" t="e">
        <f>Links!Q102</f>
        <v>#DIV/0!</v>
      </c>
      <c r="Z102" s="58" t="e">
        <f>Links!R102+'On-Ramps'!AK102</f>
        <v>#DIV/0!</v>
      </c>
      <c r="AA102" s="58" t="e">
        <f>Links!S102</f>
        <v>#DIV/0!</v>
      </c>
      <c r="AB102" s="57" t="e">
        <f t="shared" si="43"/>
        <v>#DIV/0!</v>
      </c>
      <c r="AC102" s="63"/>
      <c r="AD102" s="57" t="e">
        <f t="shared" si="44"/>
        <v>#DIV/0!</v>
      </c>
      <c r="AE102" s="63"/>
      <c r="AF102" s="57" t="e">
        <f t="shared" si="45"/>
        <v>#DIV/0!</v>
      </c>
      <c r="AG102" s="57" t="e">
        <f t="shared" si="46"/>
        <v>#DIV/0!</v>
      </c>
      <c r="AH102" s="57" t="e">
        <f t="shared" si="47"/>
        <v>#DIV/0!</v>
      </c>
      <c r="AI102" s="57" t="e">
        <f t="shared" si="48"/>
        <v>#DIV/0!</v>
      </c>
      <c r="AJ102" s="57" t="e">
        <f t="shared" si="49"/>
        <v>#DIV/0!</v>
      </c>
      <c r="AK102" s="57" t="e">
        <f t="shared" si="50"/>
        <v>#DIV/0!</v>
      </c>
      <c r="AL102" s="57" t="e">
        <f t="shared" si="51"/>
        <v>#DIV/0!</v>
      </c>
      <c r="AM102" s="63"/>
      <c r="AN102" s="57" t="e">
        <f t="shared" si="53"/>
        <v>#DIV/0!</v>
      </c>
      <c r="AO102" s="58" t="e">
        <f t="shared" si="29"/>
        <v>#DIV/0!</v>
      </c>
      <c r="AP102" s="63"/>
      <c r="AQ102" s="58" t="e">
        <f t="shared" si="54"/>
        <v>#DIV/0!</v>
      </c>
      <c r="AR102" s="63"/>
      <c r="AS102" s="58" t="e">
        <f t="shared" si="54"/>
        <v>#DIV/0!</v>
      </c>
      <c r="AT102" s="58" t="e">
        <f t="shared" si="54"/>
        <v>#DIV/0!</v>
      </c>
      <c r="AU102" s="58" t="e">
        <f t="shared" si="54"/>
        <v>#DIV/0!</v>
      </c>
      <c r="AV102" s="58" t="e">
        <f t="shared" si="54"/>
        <v>#DIV/0!</v>
      </c>
      <c r="AW102" s="58" t="e">
        <f t="shared" si="54"/>
        <v>#DIV/0!</v>
      </c>
      <c r="AX102" s="58" t="e">
        <f t="shared" si="54"/>
        <v>#DIV/0!</v>
      </c>
      <c r="AY102" s="58" t="e">
        <f t="shared" si="54"/>
        <v>#DIV/0!</v>
      </c>
      <c r="AZ102" s="63"/>
      <c r="BA102" s="58" t="e">
        <f t="shared" si="54"/>
        <v>#DIV/0!</v>
      </c>
      <c r="BB102" s="63"/>
      <c r="BC102" s="57" t="e">
        <f>(Links!C102*Links!AQ102+'On-Ramps'!AC102*'On-Ramps'!CE102)/('On-Ramps'!AC102+Links!C102)</f>
        <v>#DIV/0!</v>
      </c>
      <c r="BD102" s="63"/>
      <c r="BE102" s="57" t="e">
        <f>(Links!E102*Links!AS102+'On-Ramps'!AD102*'On-Ramps'!CF101)/('On-Ramps'!AD102+Links!E102)</f>
        <v>#DIV/0!</v>
      </c>
      <c r="BF102" s="57" t="e">
        <f>(Links!F102*Links!AT102+'On-Ramps'!AE102*'On-Ramps'!CG102)/('On-Ramps'!AE102+Links!F102)</f>
        <v>#DIV/0!</v>
      </c>
      <c r="BG102" s="57" t="e">
        <f>(Links!I102*Links!AW102+'On-Ramps'!AF102*'On-Ramps'!CH102)/('On-Ramps'!AF102+Links!I102)</f>
        <v>#DIV/0!</v>
      </c>
      <c r="BH102" s="57" t="e">
        <f>(#REF!*#REF!+'On-Ramps'!AG102*'On-Ramps'!CI102)/('On-Ramps'!AG102+#REF!)</f>
        <v>#REF!</v>
      </c>
      <c r="BI102" s="57" t="e">
        <f>(Links!L102*Links!AZ102+'On-Ramps'!AH102*'On-Ramps'!CJ102)/('On-Ramps'!AH102+Links!L102)</f>
        <v>#DIV/0!</v>
      </c>
      <c r="BJ102" s="57" t="e">
        <f>(Links!BA102*Links!M102+'On-Ramps'!AI102*'On-Ramps'!CK102)/('On-Ramps'!AI102+Links!M102)</f>
        <v>#DIV/0!</v>
      </c>
      <c r="BK102" s="57" t="e">
        <f>(Links!S102*Links!BG102+'On-Ramps'!AJ102*'On-Ramps'!CL102)/('On-Ramps'!AJ102+Links!S102)</f>
        <v>#DIV/0!</v>
      </c>
      <c r="BL102" s="63"/>
      <c r="BM102" s="57" t="e">
        <f>(Links!S102*Links!BG102+'On-Ramps'!AL102*'On-Ramps'!CM102)/(Links!S102+'On-Ramps'!AL102)</f>
        <v>#DIV/0!</v>
      </c>
      <c r="BN102" s="63"/>
      <c r="BO102" s="58" t="e">
        <f>(Links!W102^2+'Off-Ramp'!L102^2)/(Links!W102+'Off-Ramp'!L102)</f>
        <v>#DIV/0!</v>
      </c>
      <c r="BP102" s="63"/>
      <c r="BQ102" s="58" t="e">
        <f>(Links!Y102^2+'Off-Ramp'!C102^2)/(Links!Y102+'Off-Ramp'!C102)</f>
        <v>#DIV/0!</v>
      </c>
      <c r="BR102" s="63"/>
      <c r="BS102" s="58" t="e">
        <f>(Links!AA102^2+'Off-Ramp'!N102^2)/(Links!AA102+'Off-Ramp'!N102)</f>
        <v>#DIV/0!</v>
      </c>
      <c r="BT102" s="58" t="e">
        <f>(Links!AD102^2+'Off-Ramp'!O102^2)/(Links!AD102+'Off-Ramp'!O102)</f>
        <v>#DIV/0!</v>
      </c>
      <c r="BU102" s="58" t="e">
        <f>(Links!AE102^2+'Off-Ramp'!V102^2+'Off-Ramp'!W102^2+'Off-Ramp'!X102^2)/(Links!AE102+'Off-Ramp'!V102+'Off-Ramp'!W102+'Off-Ramp'!X102)</f>
        <v>#DIV/0!</v>
      </c>
      <c r="BV102" s="58" t="e">
        <f>(Links!AG102^2+'Off-Ramp'!Y102^2+'Off-Ramp'!Z102^2+'Off-Ramp'!AA102^2)/(Links!AG102+'Off-Ramp'!Y102+'Off-Ramp'!Z102+'Off-Ramp'!AA102)</f>
        <v>#DIV/0!</v>
      </c>
      <c r="BW102" s="58" t="e">
        <f>(Links!AH102^2+'Off-Ramp'!R102^2)/(Links!AH102+'Off-Ramp'!R102)</f>
        <v>#DIV/0!</v>
      </c>
      <c r="BX102" s="58" t="e">
        <f>(Links!AK102^2+'Off-Ramp'!S102^2)/(Links!AK102+'Off-Ramp'!S102)</f>
        <v>#DIV/0!</v>
      </c>
      <c r="BY102" s="58" t="e">
        <f>(Links!AL102^2+'Off-Ramp'!T102^2)/(Links!AL102+'Off-Ramp'!T102)</f>
        <v>#DIV/0!</v>
      </c>
      <c r="BZ102" s="63"/>
      <c r="CA102" s="58" t="e">
        <f>(Links!AN102^2+'Off-Ramp'!U102^2)/(Links!AN102+'Off-Ramp'!U102)</f>
        <v>#DIV/0!</v>
      </c>
    </row>
    <row r="103" spans="1:79" x14ac:dyDescent="0.15">
      <c r="A103" s="56">
        <v>101</v>
      </c>
      <c r="B103" s="57" t="e">
        <f t="shared" si="30"/>
        <v>#DIV/0!</v>
      </c>
      <c r="C103" s="57" t="e">
        <f t="shared" si="31"/>
        <v>#DIV/0!</v>
      </c>
      <c r="D103" s="57" t="e">
        <f t="shared" si="32"/>
        <v>#DIV/0!</v>
      </c>
      <c r="E103" s="57" t="e">
        <f t="shared" si="33"/>
        <v>#DIV/0!</v>
      </c>
      <c r="F103" s="57" t="e">
        <f t="shared" si="34"/>
        <v>#DIV/0!</v>
      </c>
      <c r="G103" s="57" t="e">
        <f t="shared" si="35"/>
        <v>#DIV/0!</v>
      </c>
      <c r="H103" s="57" t="e">
        <f t="shared" si="36"/>
        <v>#DIV/0!</v>
      </c>
      <c r="I103" s="57" t="e">
        <f t="shared" si="37"/>
        <v>#DIV/0!</v>
      </c>
      <c r="J103" s="57" t="e">
        <f t="shared" si="38"/>
        <v>#DIV/0!</v>
      </c>
      <c r="K103" s="57" t="e">
        <f t="shared" si="39"/>
        <v>#DIV/0!</v>
      </c>
      <c r="L103" s="57" t="e">
        <f t="shared" si="40"/>
        <v>#DIV/0!</v>
      </c>
      <c r="M103" s="57" t="e">
        <f t="shared" si="41"/>
        <v>#DIV/0!</v>
      </c>
      <c r="N103" s="57" t="e">
        <f t="shared" si="42"/>
        <v>#DIV/0!</v>
      </c>
      <c r="O103" s="58" t="e">
        <f>Links!B103</f>
        <v>#DIV/0!</v>
      </c>
      <c r="P103" s="58" t="e">
        <f>Links!C103+'On-Ramps'!AC103</f>
        <v>#DIV/0!</v>
      </c>
      <c r="Q103" s="58" t="e">
        <f>Links!D103</f>
        <v>#DIV/0!</v>
      </c>
      <c r="R103" s="58" t="e">
        <f>Links!E103+'On-Ramps'!AD103</f>
        <v>#DIV/0!</v>
      </c>
      <c r="S103" s="58" t="e">
        <f>Links!F103+'On-Ramps'!AE103</f>
        <v>#DIV/0!</v>
      </c>
      <c r="T103" s="58" t="e">
        <f>Links!I103+'On-Ramps'!AF103</f>
        <v>#DIV/0!</v>
      </c>
      <c r="U103" s="58" t="e">
        <f>Links!J103+'On-Ramps'!AG103</f>
        <v>#DIV/0!</v>
      </c>
      <c r="V103" s="58" t="e">
        <f>Links!L103+'On-Ramps'!AH103</f>
        <v>#DIV/0!</v>
      </c>
      <c r="W103" s="58" t="e">
        <f>Links!M103+'On-Ramps'!AI103</f>
        <v>#DIV/0!</v>
      </c>
      <c r="X103" s="58" t="e">
        <f>Links!P103+'On-Ramps'!AJ103</f>
        <v>#DIV/0!</v>
      </c>
      <c r="Y103" s="58" t="e">
        <f>Links!Q103</f>
        <v>#DIV/0!</v>
      </c>
      <c r="Z103" s="58" t="e">
        <f>Links!R103+'On-Ramps'!AK103</f>
        <v>#DIV/0!</v>
      </c>
      <c r="AA103" s="58" t="e">
        <f>Links!S103</f>
        <v>#DIV/0!</v>
      </c>
      <c r="AB103" s="57" t="e">
        <f t="shared" si="43"/>
        <v>#DIV/0!</v>
      </c>
      <c r="AC103" s="63"/>
      <c r="AD103" s="57" t="e">
        <f t="shared" si="44"/>
        <v>#DIV/0!</v>
      </c>
      <c r="AE103" s="63"/>
      <c r="AF103" s="57" t="e">
        <f t="shared" si="45"/>
        <v>#DIV/0!</v>
      </c>
      <c r="AG103" s="57" t="e">
        <f t="shared" si="46"/>
        <v>#DIV/0!</v>
      </c>
      <c r="AH103" s="57" t="e">
        <f t="shared" si="47"/>
        <v>#DIV/0!</v>
      </c>
      <c r="AI103" s="57" t="e">
        <f t="shared" si="48"/>
        <v>#DIV/0!</v>
      </c>
      <c r="AJ103" s="57" t="e">
        <f t="shared" si="49"/>
        <v>#DIV/0!</v>
      </c>
      <c r="AK103" s="57" t="e">
        <f t="shared" si="50"/>
        <v>#DIV/0!</v>
      </c>
      <c r="AL103" s="57" t="e">
        <f t="shared" si="51"/>
        <v>#DIV/0!</v>
      </c>
      <c r="AM103" s="63"/>
      <c r="AN103" s="57" t="e">
        <f t="shared" si="53"/>
        <v>#DIV/0!</v>
      </c>
      <c r="AO103" s="58" t="e">
        <f t="shared" si="29"/>
        <v>#DIV/0!</v>
      </c>
      <c r="AP103" s="63"/>
      <c r="AQ103" s="58" t="e">
        <f t="shared" si="54"/>
        <v>#DIV/0!</v>
      </c>
      <c r="AR103" s="63"/>
      <c r="AS103" s="58" t="e">
        <f t="shared" si="54"/>
        <v>#DIV/0!</v>
      </c>
      <c r="AT103" s="58" t="e">
        <f t="shared" si="54"/>
        <v>#DIV/0!</v>
      </c>
      <c r="AU103" s="58" t="e">
        <f t="shared" si="54"/>
        <v>#DIV/0!</v>
      </c>
      <c r="AV103" s="58" t="e">
        <f t="shared" si="54"/>
        <v>#DIV/0!</v>
      </c>
      <c r="AW103" s="58" t="e">
        <f t="shared" si="54"/>
        <v>#DIV/0!</v>
      </c>
      <c r="AX103" s="58" t="e">
        <f t="shared" si="54"/>
        <v>#DIV/0!</v>
      </c>
      <c r="AY103" s="58" t="e">
        <f t="shared" si="54"/>
        <v>#DIV/0!</v>
      </c>
      <c r="AZ103" s="63"/>
      <c r="BA103" s="58" t="e">
        <f t="shared" si="54"/>
        <v>#DIV/0!</v>
      </c>
      <c r="BB103" s="63"/>
      <c r="BC103" s="57" t="e">
        <f>(Links!C103*Links!AQ103+'On-Ramps'!AC103*'On-Ramps'!CE103)/('On-Ramps'!AC103+Links!C103)</f>
        <v>#DIV/0!</v>
      </c>
      <c r="BD103" s="63"/>
      <c r="BE103" s="57" t="e">
        <f>(Links!E103*Links!AS103+'On-Ramps'!AD103*'On-Ramps'!CF102)/('On-Ramps'!AD103+Links!E103)</f>
        <v>#DIV/0!</v>
      </c>
      <c r="BF103" s="57" t="e">
        <f>(Links!F103*Links!AT103+'On-Ramps'!AE103*'On-Ramps'!CG103)/('On-Ramps'!AE103+Links!F103)</f>
        <v>#DIV/0!</v>
      </c>
      <c r="BG103" s="57" t="e">
        <f>(Links!I103*Links!AW103+'On-Ramps'!AF103*'On-Ramps'!CH103)/('On-Ramps'!AF103+Links!I103)</f>
        <v>#DIV/0!</v>
      </c>
      <c r="BH103" s="57" t="e">
        <f>(#REF!*#REF!+'On-Ramps'!AG103*'On-Ramps'!CI103)/('On-Ramps'!AG103+#REF!)</f>
        <v>#REF!</v>
      </c>
      <c r="BI103" s="57" t="e">
        <f>(Links!L103*Links!AZ103+'On-Ramps'!AH103*'On-Ramps'!CJ103)/('On-Ramps'!AH103+Links!L103)</f>
        <v>#DIV/0!</v>
      </c>
      <c r="BJ103" s="57" t="e">
        <f>(Links!BA103*Links!M103+'On-Ramps'!AI103*'On-Ramps'!CK103)/('On-Ramps'!AI103+Links!M103)</f>
        <v>#DIV/0!</v>
      </c>
      <c r="BK103" s="57" t="e">
        <f>(Links!S103*Links!BG103+'On-Ramps'!AJ103*'On-Ramps'!CL103)/('On-Ramps'!AJ103+Links!S103)</f>
        <v>#DIV/0!</v>
      </c>
      <c r="BL103" s="63"/>
      <c r="BM103" s="57" t="e">
        <f>(Links!S103*Links!BG103+'On-Ramps'!AL103*'On-Ramps'!CM103)/(Links!S103+'On-Ramps'!AL103)</f>
        <v>#DIV/0!</v>
      </c>
      <c r="BN103" s="63"/>
      <c r="BO103" s="58" t="e">
        <f>(Links!W103^2+'Off-Ramp'!L103^2)/(Links!W103+'Off-Ramp'!L103)</f>
        <v>#DIV/0!</v>
      </c>
      <c r="BP103" s="63"/>
      <c r="BQ103" s="58" t="e">
        <f>(Links!Y103^2+'Off-Ramp'!C103^2)/(Links!Y103+'Off-Ramp'!C103)</f>
        <v>#DIV/0!</v>
      </c>
      <c r="BR103" s="63"/>
      <c r="BS103" s="58" t="e">
        <f>(Links!AA103^2+'Off-Ramp'!N103^2)/(Links!AA103+'Off-Ramp'!N103)</f>
        <v>#DIV/0!</v>
      </c>
      <c r="BT103" s="58" t="e">
        <f>(Links!AD103^2+'Off-Ramp'!O103^2)/(Links!AD103+'Off-Ramp'!O103)</f>
        <v>#DIV/0!</v>
      </c>
      <c r="BU103" s="58" t="e">
        <f>(Links!AE103^2+'Off-Ramp'!V103^2+'Off-Ramp'!W103^2+'Off-Ramp'!X103^2)/(Links!AE103+'Off-Ramp'!V103+'Off-Ramp'!W103+'Off-Ramp'!X103)</f>
        <v>#DIV/0!</v>
      </c>
      <c r="BV103" s="58" t="e">
        <f>(Links!AG103^2+'Off-Ramp'!Y103^2+'Off-Ramp'!Z103^2+'Off-Ramp'!AA103^2)/(Links!AG103+'Off-Ramp'!Y103+'Off-Ramp'!Z103+'Off-Ramp'!AA103)</f>
        <v>#DIV/0!</v>
      </c>
      <c r="BW103" s="58" t="e">
        <f>(Links!AH103^2+'Off-Ramp'!R103^2)/(Links!AH103+'Off-Ramp'!R103)</f>
        <v>#DIV/0!</v>
      </c>
      <c r="BX103" s="58" t="e">
        <f>(Links!AK103^2+'Off-Ramp'!S103^2)/(Links!AK103+'Off-Ramp'!S103)</f>
        <v>#DIV/0!</v>
      </c>
      <c r="BY103" s="58" t="e">
        <f>(Links!AL103^2+'Off-Ramp'!T103^2)/(Links!AL103+'Off-Ramp'!T103)</f>
        <v>#DIV/0!</v>
      </c>
      <c r="BZ103" s="63"/>
      <c r="CA103" s="58" t="e">
        <f>(Links!AN103^2+'Off-Ramp'!U103^2)/(Links!AN103+'Off-Ramp'!U103)</f>
        <v>#DIV/0!</v>
      </c>
    </row>
    <row r="104" spans="1:79" x14ac:dyDescent="0.15">
      <c r="A104" s="56">
        <v>102</v>
      </c>
      <c r="B104" s="57" t="e">
        <f t="shared" si="30"/>
        <v>#DIV/0!</v>
      </c>
      <c r="C104" s="57" t="e">
        <f t="shared" si="31"/>
        <v>#DIV/0!</v>
      </c>
      <c r="D104" s="57" t="e">
        <f t="shared" si="32"/>
        <v>#DIV/0!</v>
      </c>
      <c r="E104" s="57" t="e">
        <f t="shared" si="33"/>
        <v>#DIV/0!</v>
      </c>
      <c r="F104" s="57" t="e">
        <f t="shared" si="34"/>
        <v>#DIV/0!</v>
      </c>
      <c r="G104" s="57" t="e">
        <f t="shared" si="35"/>
        <v>#DIV/0!</v>
      </c>
      <c r="H104" s="57" t="e">
        <f t="shared" si="36"/>
        <v>#DIV/0!</v>
      </c>
      <c r="I104" s="57" t="e">
        <f t="shared" si="37"/>
        <v>#DIV/0!</v>
      </c>
      <c r="J104" s="57" t="e">
        <f t="shared" si="38"/>
        <v>#DIV/0!</v>
      </c>
      <c r="K104" s="57" t="e">
        <f t="shared" si="39"/>
        <v>#DIV/0!</v>
      </c>
      <c r="L104" s="57" t="e">
        <f t="shared" si="40"/>
        <v>#DIV/0!</v>
      </c>
      <c r="M104" s="57" t="e">
        <f t="shared" si="41"/>
        <v>#DIV/0!</v>
      </c>
      <c r="N104" s="57" t="e">
        <f t="shared" si="42"/>
        <v>#DIV/0!</v>
      </c>
      <c r="O104" s="58" t="e">
        <f>Links!B104</f>
        <v>#DIV/0!</v>
      </c>
      <c r="P104" s="58" t="e">
        <f>Links!C104+'On-Ramps'!AC104</f>
        <v>#DIV/0!</v>
      </c>
      <c r="Q104" s="58" t="e">
        <f>Links!D104</f>
        <v>#DIV/0!</v>
      </c>
      <c r="R104" s="58" t="e">
        <f>Links!E104+'On-Ramps'!AD104</f>
        <v>#DIV/0!</v>
      </c>
      <c r="S104" s="58" t="e">
        <f>Links!F104+'On-Ramps'!AE104</f>
        <v>#DIV/0!</v>
      </c>
      <c r="T104" s="58" t="e">
        <f>Links!I104+'On-Ramps'!AF104</f>
        <v>#DIV/0!</v>
      </c>
      <c r="U104" s="58" t="e">
        <f>Links!J104+'On-Ramps'!AG104</f>
        <v>#DIV/0!</v>
      </c>
      <c r="V104" s="58" t="e">
        <f>Links!L104+'On-Ramps'!AH104</f>
        <v>#DIV/0!</v>
      </c>
      <c r="W104" s="58" t="e">
        <f>Links!M104+'On-Ramps'!AI104</f>
        <v>#DIV/0!</v>
      </c>
      <c r="X104" s="58" t="e">
        <f>Links!P104+'On-Ramps'!AJ104</f>
        <v>#DIV/0!</v>
      </c>
      <c r="Y104" s="58" t="e">
        <f>Links!Q104</f>
        <v>#DIV/0!</v>
      </c>
      <c r="Z104" s="58" t="e">
        <f>Links!R104+'On-Ramps'!AK104</f>
        <v>#DIV/0!</v>
      </c>
      <c r="AA104" s="58" t="e">
        <f>Links!S104</f>
        <v>#DIV/0!</v>
      </c>
      <c r="AB104" s="57" t="e">
        <f t="shared" si="43"/>
        <v>#DIV/0!</v>
      </c>
      <c r="AC104" s="63"/>
      <c r="AD104" s="57" t="e">
        <f t="shared" si="44"/>
        <v>#DIV/0!</v>
      </c>
      <c r="AE104" s="63"/>
      <c r="AF104" s="57" t="e">
        <f t="shared" si="45"/>
        <v>#DIV/0!</v>
      </c>
      <c r="AG104" s="57" t="e">
        <f t="shared" si="46"/>
        <v>#DIV/0!</v>
      </c>
      <c r="AH104" s="57" t="e">
        <f t="shared" si="47"/>
        <v>#DIV/0!</v>
      </c>
      <c r="AI104" s="57" t="e">
        <f t="shared" si="48"/>
        <v>#DIV/0!</v>
      </c>
      <c r="AJ104" s="57" t="e">
        <f t="shared" si="49"/>
        <v>#DIV/0!</v>
      </c>
      <c r="AK104" s="57" t="e">
        <f t="shared" si="50"/>
        <v>#DIV/0!</v>
      </c>
      <c r="AL104" s="57" t="e">
        <f t="shared" si="51"/>
        <v>#DIV/0!</v>
      </c>
      <c r="AM104" s="63"/>
      <c r="AN104" s="57" t="e">
        <f t="shared" si="53"/>
        <v>#DIV/0!</v>
      </c>
      <c r="AO104" s="58" t="e">
        <f t="shared" si="29"/>
        <v>#DIV/0!</v>
      </c>
      <c r="AP104" s="63"/>
      <c r="AQ104" s="58" t="e">
        <f t="shared" si="54"/>
        <v>#DIV/0!</v>
      </c>
      <c r="AR104" s="63"/>
      <c r="AS104" s="58" t="e">
        <f t="shared" si="54"/>
        <v>#DIV/0!</v>
      </c>
      <c r="AT104" s="58" t="e">
        <f t="shared" si="54"/>
        <v>#DIV/0!</v>
      </c>
      <c r="AU104" s="58" t="e">
        <f t="shared" si="54"/>
        <v>#DIV/0!</v>
      </c>
      <c r="AV104" s="58" t="e">
        <f t="shared" si="54"/>
        <v>#DIV/0!</v>
      </c>
      <c r="AW104" s="58" t="e">
        <f t="shared" si="54"/>
        <v>#DIV/0!</v>
      </c>
      <c r="AX104" s="58" t="e">
        <f t="shared" si="54"/>
        <v>#DIV/0!</v>
      </c>
      <c r="AY104" s="58" t="e">
        <f t="shared" si="54"/>
        <v>#DIV/0!</v>
      </c>
      <c r="AZ104" s="63"/>
      <c r="BA104" s="58" t="e">
        <f t="shared" si="54"/>
        <v>#DIV/0!</v>
      </c>
      <c r="BB104" s="63"/>
      <c r="BC104" s="57" t="e">
        <f>(Links!C104*Links!AQ104+'On-Ramps'!AC104*'On-Ramps'!CE104)/('On-Ramps'!AC104+Links!C104)</f>
        <v>#DIV/0!</v>
      </c>
      <c r="BD104" s="63"/>
      <c r="BE104" s="57" t="e">
        <f>(Links!E104*Links!AS104+'On-Ramps'!AD104*'On-Ramps'!CF103)/('On-Ramps'!AD104+Links!E104)</f>
        <v>#DIV/0!</v>
      </c>
      <c r="BF104" s="57" t="e">
        <f>(Links!F104*Links!AT104+'On-Ramps'!AE104*'On-Ramps'!CG104)/('On-Ramps'!AE104+Links!F104)</f>
        <v>#DIV/0!</v>
      </c>
      <c r="BG104" s="57" t="e">
        <f>(Links!I104*Links!AW104+'On-Ramps'!AF104*'On-Ramps'!CH104)/('On-Ramps'!AF104+Links!I104)</f>
        <v>#DIV/0!</v>
      </c>
      <c r="BH104" s="57" t="e">
        <f>(#REF!*#REF!+'On-Ramps'!AG104*'On-Ramps'!CI104)/('On-Ramps'!AG104+#REF!)</f>
        <v>#REF!</v>
      </c>
      <c r="BI104" s="57" t="e">
        <f>(Links!L104*Links!AZ104+'On-Ramps'!AH104*'On-Ramps'!CJ104)/('On-Ramps'!AH104+Links!L104)</f>
        <v>#DIV/0!</v>
      </c>
      <c r="BJ104" s="57" t="e">
        <f>(Links!BA104*Links!M104+'On-Ramps'!AI104*'On-Ramps'!CK104)/('On-Ramps'!AI104+Links!M104)</f>
        <v>#DIV/0!</v>
      </c>
      <c r="BK104" s="57" t="e">
        <f>(Links!S104*Links!BG104+'On-Ramps'!AJ104*'On-Ramps'!CL104)/('On-Ramps'!AJ104+Links!S104)</f>
        <v>#DIV/0!</v>
      </c>
      <c r="BL104" s="63"/>
      <c r="BM104" s="57" t="e">
        <f>(Links!S104*Links!BG104+'On-Ramps'!AL104*'On-Ramps'!CM104)/(Links!S104+'On-Ramps'!AL104)</f>
        <v>#DIV/0!</v>
      </c>
      <c r="BN104" s="63"/>
      <c r="BO104" s="58" t="e">
        <f>(Links!W104^2+'Off-Ramp'!L104^2)/(Links!W104+'Off-Ramp'!L104)</f>
        <v>#DIV/0!</v>
      </c>
      <c r="BP104" s="63"/>
      <c r="BQ104" s="58" t="e">
        <f>(Links!Y104^2+'Off-Ramp'!C104^2)/(Links!Y104+'Off-Ramp'!C104)</f>
        <v>#DIV/0!</v>
      </c>
      <c r="BR104" s="63"/>
      <c r="BS104" s="58" t="e">
        <f>(Links!AA104^2+'Off-Ramp'!N104^2)/(Links!AA104+'Off-Ramp'!N104)</f>
        <v>#DIV/0!</v>
      </c>
      <c r="BT104" s="58" t="e">
        <f>(Links!AD104^2+'Off-Ramp'!O104^2)/(Links!AD104+'Off-Ramp'!O104)</f>
        <v>#DIV/0!</v>
      </c>
      <c r="BU104" s="58" t="e">
        <f>(Links!AE104^2+'Off-Ramp'!V104^2+'Off-Ramp'!W104^2+'Off-Ramp'!X104^2)/(Links!AE104+'Off-Ramp'!V104+'Off-Ramp'!W104+'Off-Ramp'!X104)</f>
        <v>#DIV/0!</v>
      </c>
      <c r="BV104" s="58" t="e">
        <f>(Links!AG104^2+'Off-Ramp'!Y104^2+'Off-Ramp'!Z104^2+'Off-Ramp'!AA104^2)/(Links!AG104+'Off-Ramp'!Y104+'Off-Ramp'!Z104+'Off-Ramp'!AA104)</f>
        <v>#DIV/0!</v>
      </c>
      <c r="BW104" s="58" t="e">
        <f>(Links!AH104^2+'Off-Ramp'!R104^2)/(Links!AH104+'Off-Ramp'!R104)</f>
        <v>#DIV/0!</v>
      </c>
      <c r="BX104" s="58" t="e">
        <f>(Links!AK104^2+'Off-Ramp'!S104^2)/(Links!AK104+'Off-Ramp'!S104)</f>
        <v>#DIV/0!</v>
      </c>
      <c r="BY104" s="58" t="e">
        <f>(Links!AL104^2+'Off-Ramp'!T104^2)/(Links!AL104+'Off-Ramp'!T104)</f>
        <v>#DIV/0!</v>
      </c>
      <c r="BZ104" s="63"/>
      <c r="CA104" s="58" t="e">
        <f>(Links!AN104^2+'Off-Ramp'!U104^2)/(Links!AN104+'Off-Ramp'!U104)</f>
        <v>#DIV/0!</v>
      </c>
    </row>
    <row r="105" spans="1:79" x14ac:dyDescent="0.15">
      <c r="A105" s="56">
        <v>103</v>
      </c>
      <c r="B105" s="57" t="e">
        <f t="shared" si="30"/>
        <v>#DIV/0!</v>
      </c>
      <c r="C105" s="57" t="e">
        <f t="shared" si="31"/>
        <v>#DIV/0!</v>
      </c>
      <c r="D105" s="57" t="e">
        <f t="shared" si="32"/>
        <v>#DIV/0!</v>
      </c>
      <c r="E105" s="57" t="e">
        <f t="shared" si="33"/>
        <v>#DIV/0!</v>
      </c>
      <c r="F105" s="57" t="e">
        <f t="shared" si="34"/>
        <v>#DIV/0!</v>
      </c>
      <c r="G105" s="57" t="e">
        <f t="shared" si="35"/>
        <v>#DIV/0!</v>
      </c>
      <c r="H105" s="57" t="e">
        <f t="shared" si="36"/>
        <v>#DIV/0!</v>
      </c>
      <c r="I105" s="57" t="e">
        <f t="shared" si="37"/>
        <v>#DIV/0!</v>
      </c>
      <c r="J105" s="57" t="e">
        <f t="shared" si="38"/>
        <v>#DIV/0!</v>
      </c>
      <c r="K105" s="57" t="e">
        <f t="shared" si="39"/>
        <v>#DIV/0!</v>
      </c>
      <c r="L105" s="57" t="e">
        <f t="shared" si="40"/>
        <v>#DIV/0!</v>
      </c>
      <c r="M105" s="57" t="e">
        <f t="shared" si="41"/>
        <v>#DIV/0!</v>
      </c>
      <c r="N105" s="57" t="e">
        <f t="shared" si="42"/>
        <v>#DIV/0!</v>
      </c>
      <c r="O105" s="58" t="e">
        <f>Links!B105</f>
        <v>#DIV/0!</v>
      </c>
      <c r="P105" s="58" t="e">
        <f>Links!C105+'On-Ramps'!AC105</f>
        <v>#DIV/0!</v>
      </c>
      <c r="Q105" s="58" t="e">
        <f>Links!D105</f>
        <v>#DIV/0!</v>
      </c>
      <c r="R105" s="58" t="e">
        <f>Links!E105+'On-Ramps'!AD105</f>
        <v>#DIV/0!</v>
      </c>
      <c r="S105" s="58" t="e">
        <f>Links!F105+'On-Ramps'!AE105</f>
        <v>#DIV/0!</v>
      </c>
      <c r="T105" s="58" t="e">
        <f>Links!I105+'On-Ramps'!AF105</f>
        <v>#DIV/0!</v>
      </c>
      <c r="U105" s="58" t="e">
        <f>Links!J105+'On-Ramps'!AG105</f>
        <v>#DIV/0!</v>
      </c>
      <c r="V105" s="58" t="e">
        <f>Links!L105+'On-Ramps'!AH105</f>
        <v>#DIV/0!</v>
      </c>
      <c r="W105" s="58" t="e">
        <f>Links!M105+'On-Ramps'!AI105</f>
        <v>#DIV/0!</v>
      </c>
      <c r="X105" s="58" t="e">
        <f>Links!P105+'On-Ramps'!AJ105</f>
        <v>#DIV/0!</v>
      </c>
      <c r="Y105" s="58" t="e">
        <f>Links!Q105</f>
        <v>#DIV/0!</v>
      </c>
      <c r="Z105" s="58" t="e">
        <f>Links!R105+'On-Ramps'!AK105</f>
        <v>#DIV/0!</v>
      </c>
      <c r="AA105" s="58" t="e">
        <f>Links!S105</f>
        <v>#DIV/0!</v>
      </c>
      <c r="AB105" s="57" t="e">
        <f t="shared" si="43"/>
        <v>#DIV/0!</v>
      </c>
      <c r="AC105" s="63"/>
      <c r="AD105" s="57" t="e">
        <f t="shared" si="44"/>
        <v>#DIV/0!</v>
      </c>
      <c r="AE105" s="63"/>
      <c r="AF105" s="57" t="e">
        <f t="shared" si="45"/>
        <v>#DIV/0!</v>
      </c>
      <c r="AG105" s="57" t="e">
        <f t="shared" si="46"/>
        <v>#DIV/0!</v>
      </c>
      <c r="AH105" s="57" t="e">
        <f t="shared" si="47"/>
        <v>#DIV/0!</v>
      </c>
      <c r="AI105" s="57" t="e">
        <f t="shared" si="48"/>
        <v>#DIV/0!</v>
      </c>
      <c r="AJ105" s="57" t="e">
        <f t="shared" si="49"/>
        <v>#DIV/0!</v>
      </c>
      <c r="AK105" s="57" t="e">
        <f t="shared" si="50"/>
        <v>#DIV/0!</v>
      </c>
      <c r="AL105" s="57" t="e">
        <f t="shared" si="51"/>
        <v>#DIV/0!</v>
      </c>
      <c r="AM105" s="63"/>
      <c r="AN105" s="57" t="e">
        <f t="shared" si="53"/>
        <v>#DIV/0!</v>
      </c>
      <c r="AO105" s="58" t="e">
        <f t="shared" si="29"/>
        <v>#DIV/0!</v>
      </c>
      <c r="AP105" s="63"/>
      <c r="AQ105" s="58" t="e">
        <f t="shared" si="54"/>
        <v>#DIV/0!</v>
      </c>
      <c r="AR105" s="63"/>
      <c r="AS105" s="58" t="e">
        <f t="shared" si="54"/>
        <v>#DIV/0!</v>
      </c>
      <c r="AT105" s="58" t="e">
        <f t="shared" si="54"/>
        <v>#DIV/0!</v>
      </c>
      <c r="AU105" s="58" t="e">
        <f t="shared" si="54"/>
        <v>#DIV/0!</v>
      </c>
      <c r="AV105" s="58" t="e">
        <f t="shared" si="54"/>
        <v>#DIV/0!</v>
      </c>
      <c r="AW105" s="58" t="e">
        <f t="shared" si="54"/>
        <v>#DIV/0!</v>
      </c>
      <c r="AX105" s="58" t="e">
        <f t="shared" si="54"/>
        <v>#DIV/0!</v>
      </c>
      <c r="AY105" s="58" t="e">
        <f t="shared" si="54"/>
        <v>#DIV/0!</v>
      </c>
      <c r="AZ105" s="63"/>
      <c r="BA105" s="58" t="e">
        <f t="shared" si="54"/>
        <v>#DIV/0!</v>
      </c>
      <c r="BB105" s="63"/>
      <c r="BC105" s="57" t="e">
        <f>(Links!C105*Links!AQ105+'On-Ramps'!AC105*'On-Ramps'!CE105)/('On-Ramps'!AC105+Links!C105)</f>
        <v>#DIV/0!</v>
      </c>
      <c r="BD105" s="63"/>
      <c r="BE105" s="57" t="e">
        <f>(Links!E105*Links!AS105+'On-Ramps'!AD105*'On-Ramps'!CF104)/('On-Ramps'!AD105+Links!E105)</f>
        <v>#DIV/0!</v>
      </c>
      <c r="BF105" s="57" t="e">
        <f>(Links!F105*Links!AT105+'On-Ramps'!AE105*'On-Ramps'!CG105)/('On-Ramps'!AE105+Links!F105)</f>
        <v>#DIV/0!</v>
      </c>
      <c r="BG105" s="57" t="e">
        <f>(Links!I105*Links!AW105+'On-Ramps'!AF105*'On-Ramps'!CH105)/('On-Ramps'!AF105+Links!I105)</f>
        <v>#DIV/0!</v>
      </c>
      <c r="BH105" s="57" t="e">
        <f>(#REF!*#REF!+'On-Ramps'!AG105*'On-Ramps'!CI105)/('On-Ramps'!AG105+#REF!)</f>
        <v>#REF!</v>
      </c>
      <c r="BI105" s="57" t="e">
        <f>(Links!L105*Links!AZ105+'On-Ramps'!AH105*'On-Ramps'!CJ105)/('On-Ramps'!AH105+Links!L105)</f>
        <v>#DIV/0!</v>
      </c>
      <c r="BJ105" s="57" t="e">
        <f>(Links!BA105*Links!M105+'On-Ramps'!AI105*'On-Ramps'!CK105)/('On-Ramps'!AI105+Links!M105)</f>
        <v>#DIV/0!</v>
      </c>
      <c r="BK105" s="57" t="e">
        <f>(Links!S105*Links!BG105+'On-Ramps'!AJ105*'On-Ramps'!CL105)/('On-Ramps'!AJ105+Links!S105)</f>
        <v>#DIV/0!</v>
      </c>
      <c r="BL105" s="63"/>
      <c r="BM105" s="57" t="e">
        <f>(Links!S105*Links!BG105+'On-Ramps'!AL105*'On-Ramps'!CM105)/(Links!S105+'On-Ramps'!AL105)</f>
        <v>#DIV/0!</v>
      </c>
      <c r="BN105" s="63"/>
      <c r="BO105" s="58" t="e">
        <f>(Links!W105^2+'Off-Ramp'!L105^2)/(Links!W105+'Off-Ramp'!L105)</f>
        <v>#DIV/0!</v>
      </c>
      <c r="BP105" s="63"/>
      <c r="BQ105" s="58" t="e">
        <f>(Links!Y105^2+'Off-Ramp'!C105^2)/(Links!Y105+'Off-Ramp'!C105)</f>
        <v>#DIV/0!</v>
      </c>
      <c r="BR105" s="63"/>
      <c r="BS105" s="58" t="e">
        <f>(Links!AA105^2+'Off-Ramp'!N105^2)/(Links!AA105+'Off-Ramp'!N105)</f>
        <v>#DIV/0!</v>
      </c>
      <c r="BT105" s="58" t="e">
        <f>(Links!AD105^2+'Off-Ramp'!O105^2)/(Links!AD105+'Off-Ramp'!O105)</f>
        <v>#DIV/0!</v>
      </c>
      <c r="BU105" s="58" t="e">
        <f>(Links!AE105^2+'Off-Ramp'!V105^2+'Off-Ramp'!W105^2+'Off-Ramp'!X105^2)/(Links!AE105+'Off-Ramp'!V105+'Off-Ramp'!W105+'Off-Ramp'!X105)</f>
        <v>#DIV/0!</v>
      </c>
      <c r="BV105" s="58" t="e">
        <f>(Links!AG105^2+'Off-Ramp'!Y105^2+'Off-Ramp'!Z105^2+'Off-Ramp'!AA105^2)/(Links!AG105+'Off-Ramp'!Y105+'Off-Ramp'!Z105+'Off-Ramp'!AA105)</f>
        <v>#DIV/0!</v>
      </c>
      <c r="BW105" s="58" t="e">
        <f>(Links!AH105^2+'Off-Ramp'!R105^2)/(Links!AH105+'Off-Ramp'!R105)</f>
        <v>#DIV/0!</v>
      </c>
      <c r="BX105" s="58" t="e">
        <f>(Links!AK105^2+'Off-Ramp'!S105^2)/(Links!AK105+'Off-Ramp'!S105)</f>
        <v>#DIV/0!</v>
      </c>
      <c r="BY105" s="58" t="e">
        <f>(Links!AL105^2+'Off-Ramp'!T105^2)/(Links!AL105+'Off-Ramp'!T105)</f>
        <v>#DIV/0!</v>
      </c>
      <c r="BZ105" s="63"/>
      <c r="CA105" s="58" t="e">
        <f>(Links!AN105^2+'Off-Ramp'!U105^2)/(Links!AN105+'Off-Ramp'!U105)</f>
        <v>#DIV/0!</v>
      </c>
    </row>
    <row r="106" spans="1:79" x14ac:dyDescent="0.15">
      <c r="A106" s="56">
        <v>104</v>
      </c>
      <c r="B106" s="57" t="e">
        <f t="shared" si="30"/>
        <v>#DIV/0!</v>
      </c>
      <c r="C106" s="57" t="e">
        <f t="shared" si="31"/>
        <v>#DIV/0!</v>
      </c>
      <c r="D106" s="57" t="e">
        <f t="shared" si="32"/>
        <v>#DIV/0!</v>
      </c>
      <c r="E106" s="57" t="e">
        <f t="shared" si="33"/>
        <v>#DIV/0!</v>
      </c>
      <c r="F106" s="57" t="e">
        <f t="shared" si="34"/>
        <v>#DIV/0!</v>
      </c>
      <c r="G106" s="57" t="e">
        <f t="shared" si="35"/>
        <v>#DIV/0!</v>
      </c>
      <c r="H106" s="57" t="e">
        <f t="shared" si="36"/>
        <v>#DIV/0!</v>
      </c>
      <c r="I106" s="57" t="e">
        <f t="shared" si="37"/>
        <v>#DIV/0!</v>
      </c>
      <c r="J106" s="57" t="e">
        <f t="shared" si="38"/>
        <v>#DIV/0!</v>
      </c>
      <c r="K106" s="57" t="e">
        <f t="shared" si="39"/>
        <v>#DIV/0!</v>
      </c>
      <c r="L106" s="57" t="e">
        <f t="shared" si="40"/>
        <v>#DIV/0!</v>
      </c>
      <c r="M106" s="57" t="e">
        <f t="shared" si="41"/>
        <v>#DIV/0!</v>
      </c>
      <c r="N106" s="57" t="e">
        <f t="shared" si="42"/>
        <v>#DIV/0!</v>
      </c>
      <c r="O106" s="58" t="e">
        <f>Links!B106</f>
        <v>#DIV/0!</v>
      </c>
      <c r="P106" s="58" t="e">
        <f>Links!C106+'On-Ramps'!AC106</f>
        <v>#DIV/0!</v>
      </c>
      <c r="Q106" s="58" t="e">
        <f>Links!D106</f>
        <v>#DIV/0!</v>
      </c>
      <c r="R106" s="58" t="e">
        <f>Links!E106+'On-Ramps'!AD106</f>
        <v>#DIV/0!</v>
      </c>
      <c r="S106" s="58" t="e">
        <f>Links!F106+'On-Ramps'!AE106</f>
        <v>#DIV/0!</v>
      </c>
      <c r="T106" s="58" t="e">
        <f>Links!I106+'On-Ramps'!AF106</f>
        <v>#DIV/0!</v>
      </c>
      <c r="U106" s="58" t="e">
        <f>Links!J106+'On-Ramps'!AG106</f>
        <v>#DIV/0!</v>
      </c>
      <c r="V106" s="58" t="e">
        <f>Links!L106+'On-Ramps'!AH106</f>
        <v>#DIV/0!</v>
      </c>
      <c r="W106" s="58" t="e">
        <f>Links!M106+'On-Ramps'!AI106</f>
        <v>#DIV/0!</v>
      </c>
      <c r="X106" s="58" t="e">
        <f>Links!P106+'On-Ramps'!AJ106</f>
        <v>#DIV/0!</v>
      </c>
      <c r="Y106" s="58" t="e">
        <f>Links!Q106</f>
        <v>#DIV/0!</v>
      </c>
      <c r="Z106" s="58" t="e">
        <f>Links!R106+'On-Ramps'!AK106</f>
        <v>#DIV/0!</v>
      </c>
      <c r="AA106" s="58" t="e">
        <f>Links!S106</f>
        <v>#DIV/0!</v>
      </c>
      <c r="AB106" s="57" t="e">
        <f t="shared" si="43"/>
        <v>#DIV/0!</v>
      </c>
      <c r="AC106" s="63"/>
      <c r="AD106" s="57" t="e">
        <f t="shared" si="44"/>
        <v>#DIV/0!</v>
      </c>
      <c r="AE106" s="63"/>
      <c r="AF106" s="57" t="e">
        <f t="shared" si="45"/>
        <v>#DIV/0!</v>
      </c>
      <c r="AG106" s="57" t="e">
        <f t="shared" si="46"/>
        <v>#DIV/0!</v>
      </c>
      <c r="AH106" s="57" t="e">
        <f t="shared" si="47"/>
        <v>#DIV/0!</v>
      </c>
      <c r="AI106" s="57" t="e">
        <f t="shared" si="48"/>
        <v>#DIV/0!</v>
      </c>
      <c r="AJ106" s="57" t="e">
        <f t="shared" si="49"/>
        <v>#DIV/0!</v>
      </c>
      <c r="AK106" s="57" t="e">
        <f t="shared" si="50"/>
        <v>#DIV/0!</v>
      </c>
      <c r="AL106" s="57" t="e">
        <f t="shared" si="51"/>
        <v>#DIV/0!</v>
      </c>
      <c r="AM106" s="63"/>
      <c r="AN106" s="57" t="e">
        <f t="shared" si="53"/>
        <v>#DIV/0!</v>
      </c>
      <c r="AO106" s="58" t="e">
        <f t="shared" si="29"/>
        <v>#DIV/0!</v>
      </c>
      <c r="AP106" s="63"/>
      <c r="AQ106" s="58" t="e">
        <f t="shared" si="54"/>
        <v>#DIV/0!</v>
      </c>
      <c r="AR106" s="63"/>
      <c r="AS106" s="58" t="e">
        <f t="shared" si="54"/>
        <v>#DIV/0!</v>
      </c>
      <c r="AT106" s="58" t="e">
        <f t="shared" si="54"/>
        <v>#DIV/0!</v>
      </c>
      <c r="AU106" s="58" t="e">
        <f t="shared" si="54"/>
        <v>#DIV/0!</v>
      </c>
      <c r="AV106" s="58" t="e">
        <f t="shared" si="54"/>
        <v>#DIV/0!</v>
      </c>
      <c r="AW106" s="58" t="e">
        <f t="shared" si="54"/>
        <v>#DIV/0!</v>
      </c>
      <c r="AX106" s="58" t="e">
        <f t="shared" si="54"/>
        <v>#DIV/0!</v>
      </c>
      <c r="AY106" s="58" t="e">
        <f t="shared" si="54"/>
        <v>#DIV/0!</v>
      </c>
      <c r="AZ106" s="63"/>
      <c r="BA106" s="58" t="e">
        <f t="shared" si="54"/>
        <v>#DIV/0!</v>
      </c>
      <c r="BB106" s="63"/>
      <c r="BC106" s="57" t="e">
        <f>(Links!C106*Links!AQ106+'On-Ramps'!AC106*'On-Ramps'!CE106)/('On-Ramps'!AC106+Links!C106)</f>
        <v>#DIV/0!</v>
      </c>
      <c r="BD106" s="63"/>
      <c r="BE106" s="57" t="e">
        <f>(Links!E106*Links!AS106+'On-Ramps'!AD106*'On-Ramps'!CF105)/('On-Ramps'!AD106+Links!E106)</f>
        <v>#DIV/0!</v>
      </c>
      <c r="BF106" s="57" t="e">
        <f>(Links!F106*Links!AT106+'On-Ramps'!AE106*'On-Ramps'!CG106)/('On-Ramps'!AE106+Links!F106)</f>
        <v>#DIV/0!</v>
      </c>
      <c r="BG106" s="57" t="e">
        <f>(Links!I106*Links!AW106+'On-Ramps'!AF106*'On-Ramps'!CH106)/('On-Ramps'!AF106+Links!I106)</f>
        <v>#DIV/0!</v>
      </c>
      <c r="BH106" s="57" t="e">
        <f>(#REF!*#REF!+'On-Ramps'!AG106*'On-Ramps'!CI106)/('On-Ramps'!AG106+#REF!)</f>
        <v>#REF!</v>
      </c>
      <c r="BI106" s="57" t="e">
        <f>(Links!L106*Links!AZ106+'On-Ramps'!AH106*'On-Ramps'!CJ106)/('On-Ramps'!AH106+Links!L106)</f>
        <v>#DIV/0!</v>
      </c>
      <c r="BJ106" s="57" t="e">
        <f>(Links!BA106*Links!M106+'On-Ramps'!AI106*'On-Ramps'!CK106)/('On-Ramps'!AI106+Links!M106)</f>
        <v>#DIV/0!</v>
      </c>
      <c r="BK106" s="57" t="e">
        <f>(Links!S106*Links!BG106+'On-Ramps'!AJ106*'On-Ramps'!CL106)/('On-Ramps'!AJ106+Links!S106)</f>
        <v>#DIV/0!</v>
      </c>
      <c r="BL106" s="63"/>
      <c r="BM106" s="57" t="e">
        <f>(Links!S106*Links!BG106+'On-Ramps'!AL106*'On-Ramps'!CM106)/(Links!S106+'On-Ramps'!AL106)</f>
        <v>#DIV/0!</v>
      </c>
      <c r="BN106" s="63"/>
      <c r="BO106" s="58" t="e">
        <f>(Links!W106^2+'Off-Ramp'!L106^2)/(Links!W106+'Off-Ramp'!L106)</f>
        <v>#DIV/0!</v>
      </c>
      <c r="BP106" s="63"/>
      <c r="BQ106" s="58" t="e">
        <f>(Links!Y106^2+'Off-Ramp'!C106^2)/(Links!Y106+'Off-Ramp'!C106)</f>
        <v>#DIV/0!</v>
      </c>
      <c r="BR106" s="63"/>
      <c r="BS106" s="58" t="e">
        <f>(Links!AA106^2+'Off-Ramp'!N106^2)/(Links!AA106+'Off-Ramp'!N106)</f>
        <v>#DIV/0!</v>
      </c>
      <c r="BT106" s="58" t="e">
        <f>(Links!AD106^2+'Off-Ramp'!O106^2)/(Links!AD106+'Off-Ramp'!O106)</f>
        <v>#DIV/0!</v>
      </c>
      <c r="BU106" s="58" t="e">
        <f>(Links!AE106^2+'Off-Ramp'!V106^2+'Off-Ramp'!W106^2+'Off-Ramp'!X106^2)/(Links!AE106+'Off-Ramp'!V106+'Off-Ramp'!W106+'Off-Ramp'!X106)</f>
        <v>#DIV/0!</v>
      </c>
      <c r="BV106" s="58" t="e">
        <f>(Links!AG106^2+'Off-Ramp'!Y106^2+'Off-Ramp'!Z106^2+'Off-Ramp'!AA106^2)/(Links!AG106+'Off-Ramp'!Y106+'Off-Ramp'!Z106+'Off-Ramp'!AA106)</f>
        <v>#DIV/0!</v>
      </c>
      <c r="BW106" s="58" t="e">
        <f>(Links!AH106^2+'Off-Ramp'!R106^2)/(Links!AH106+'Off-Ramp'!R106)</f>
        <v>#DIV/0!</v>
      </c>
      <c r="BX106" s="58" t="e">
        <f>(Links!AK106^2+'Off-Ramp'!S106^2)/(Links!AK106+'Off-Ramp'!S106)</f>
        <v>#DIV/0!</v>
      </c>
      <c r="BY106" s="58" t="e">
        <f>(Links!AL106^2+'Off-Ramp'!T106^2)/(Links!AL106+'Off-Ramp'!T106)</f>
        <v>#DIV/0!</v>
      </c>
      <c r="BZ106" s="63"/>
      <c r="CA106" s="58" t="e">
        <f>(Links!AN106^2+'Off-Ramp'!U106^2)/(Links!AN106+'Off-Ramp'!U106)</f>
        <v>#DIV/0!</v>
      </c>
    </row>
    <row r="107" spans="1:79" x14ac:dyDescent="0.15">
      <c r="A107" s="56">
        <v>105</v>
      </c>
      <c r="B107" s="57" t="e">
        <f t="shared" si="30"/>
        <v>#DIV/0!</v>
      </c>
      <c r="C107" s="57" t="e">
        <f t="shared" si="31"/>
        <v>#DIV/0!</v>
      </c>
      <c r="D107" s="57" t="e">
        <f t="shared" si="32"/>
        <v>#DIV/0!</v>
      </c>
      <c r="E107" s="57" t="e">
        <f t="shared" si="33"/>
        <v>#DIV/0!</v>
      </c>
      <c r="F107" s="57" t="e">
        <f t="shared" si="34"/>
        <v>#DIV/0!</v>
      </c>
      <c r="G107" s="57" t="e">
        <f t="shared" si="35"/>
        <v>#DIV/0!</v>
      </c>
      <c r="H107" s="57" t="e">
        <f t="shared" si="36"/>
        <v>#DIV/0!</v>
      </c>
      <c r="I107" s="57" t="e">
        <f t="shared" si="37"/>
        <v>#DIV/0!</v>
      </c>
      <c r="J107" s="57" t="e">
        <f t="shared" si="38"/>
        <v>#DIV/0!</v>
      </c>
      <c r="K107" s="57" t="e">
        <f t="shared" si="39"/>
        <v>#DIV/0!</v>
      </c>
      <c r="L107" s="57" t="e">
        <f t="shared" si="40"/>
        <v>#DIV/0!</v>
      </c>
      <c r="M107" s="57" t="e">
        <f t="shared" si="41"/>
        <v>#DIV/0!</v>
      </c>
      <c r="N107" s="57" t="e">
        <f t="shared" si="42"/>
        <v>#DIV/0!</v>
      </c>
      <c r="O107" s="58" t="e">
        <f>Links!B107</f>
        <v>#DIV/0!</v>
      </c>
      <c r="P107" s="58" t="e">
        <f>Links!C107+'On-Ramps'!AC107</f>
        <v>#DIV/0!</v>
      </c>
      <c r="Q107" s="58" t="e">
        <f>Links!D107</f>
        <v>#DIV/0!</v>
      </c>
      <c r="R107" s="58" t="e">
        <f>Links!E107+'On-Ramps'!AD107</f>
        <v>#DIV/0!</v>
      </c>
      <c r="S107" s="58" t="e">
        <f>Links!F107+'On-Ramps'!AE107</f>
        <v>#DIV/0!</v>
      </c>
      <c r="T107" s="58" t="e">
        <f>Links!I107+'On-Ramps'!AF107</f>
        <v>#DIV/0!</v>
      </c>
      <c r="U107" s="58" t="e">
        <f>Links!J107+'On-Ramps'!AG107</f>
        <v>#DIV/0!</v>
      </c>
      <c r="V107" s="58" t="e">
        <f>Links!L107+'On-Ramps'!AH107</f>
        <v>#DIV/0!</v>
      </c>
      <c r="W107" s="58" t="e">
        <f>Links!M107+'On-Ramps'!AI107</f>
        <v>#DIV/0!</v>
      </c>
      <c r="X107" s="58" t="e">
        <f>Links!P107+'On-Ramps'!AJ107</f>
        <v>#DIV/0!</v>
      </c>
      <c r="Y107" s="58" t="e">
        <f>Links!Q107</f>
        <v>#DIV/0!</v>
      </c>
      <c r="Z107" s="58" t="e">
        <f>Links!R107+'On-Ramps'!AK107</f>
        <v>#DIV/0!</v>
      </c>
      <c r="AA107" s="58" t="e">
        <f>Links!S107</f>
        <v>#DIV/0!</v>
      </c>
      <c r="AB107" s="57" t="e">
        <f t="shared" si="43"/>
        <v>#DIV/0!</v>
      </c>
      <c r="AC107" s="63"/>
      <c r="AD107" s="57" t="e">
        <f t="shared" si="44"/>
        <v>#DIV/0!</v>
      </c>
      <c r="AE107" s="63"/>
      <c r="AF107" s="57" t="e">
        <f t="shared" si="45"/>
        <v>#DIV/0!</v>
      </c>
      <c r="AG107" s="57" t="e">
        <f t="shared" si="46"/>
        <v>#DIV/0!</v>
      </c>
      <c r="AH107" s="57" t="e">
        <f t="shared" si="47"/>
        <v>#DIV/0!</v>
      </c>
      <c r="AI107" s="57" t="e">
        <f t="shared" si="48"/>
        <v>#DIV/0!</v>
      </c>
      <c r="AJ107" s="57" t="e">
        <f t="shared" si="49"/>
        <v>#DIV/0!</v>
      </c>
      <c r="AK107" s="57" t="e">
        <f t="shared" si="50"/>
        <v>#DIV/0!</v>
      </c>
      <c r="AL107" s="57" t="e">
        <f t="shared" si="51"/>
        <v>#DIV/0!</v>
      </c>
      <c r="AM107" s="63"/>
      <c r="AN107" s="57" t="e">
        <f t="shared" si="53"/>
        <v>#DIV/0!</v>
      </c>
      <c r="AO107" s="58" t="e">
        <f t="shared" si="29"/>
        <v>#DIV/0!</v>
      </c>
      <c r="AP107" s="63"/>
      <c r="AQ107" s="58" t="e">
        <f t="shared" si="54"/>
        <v>#DIV/0!</v>
      </c>
      <c r="AR107" s="63"/>
      <c r="AS107" s="58" t="e">
        <f t="shared" si="54"/>
        <v>#DIV/0!</v>
      </c>
      <c r="AT107" s="58" t="e">
        <f t="shared" si="54"/>
        <v>#DIV/0!</v>
      </c>
      <c r="AU107" s="58" t="e">
        <f t="shared" si="54"/>
        <v>#DIV/0!</v>
      </c>
      <c r="AV107" s="58" t="e">
        <f t="shared" si="54"/>
        <v>#DIV/0!</v>
      </c>
      <c r="AW107" s="58" t="e">
        <f t="shared" si="54"/>
        <v>#DIV/0!</v>
      </c>
      <c r="AX107" s="58" t="e">
        <f t="shared" si="54"/>
        <v>#DIV/0!</v>
      </c>
      <c r="AY107" s="58" t="e">
        <f t="shared" si="54"/>
        <v>#DIV/0!</v>
      </c>
      <c r="AZ107" s="63"/>
      <c r="BA107" s="58" t="e">
        <f t="shared" si="54"/>
        <v>#DIV/0!</v>
      </c>
      <c r="BB107" s="63"/>
      <c r="BC107" s="57" t="e">
        <f>(Links!C107*Links!AQ107+'On-Ramps'!AC107*'On-Ramps'!CE107)/('On-Ramps'!AC107+Links!C107)</f>
        <v>#DIV/0!</v>
      </c>
      <c r="BD107" s="63"/>
      <c r="BE107" s="57" t="e">
        <f>(Links!E107*Links!AS107+'On-Ramps'!AD107*'On-Ramps'!CF106)/('On-Ramps'!AD107+Links!E107)</f>
        <v>#DIV/0!</v>
      </c>
      <c r="BF107" s="57" t="e">
        <f>(Links!F107*Links!AT107+'On-Ramps'!AE107*'On-Ramps'!CG107)/('On-Ramps'!AE107+Links!F107)</f>
        <v>#DIV/0!</v>
      </c>
      <c r="BG107" s="57" t="e">
        <f>(Links!I107*Links!AW107+'On-Ramps'!AF107*'On-Ramps'!CH107)/('On-Ramps'!AF107+Links!I107)</f>
        <v>#DIV/0!</v>
      </c>
      <c r="BH107" s="57" t="e">
        <f>(#REF!*#REF!+'On-Ramps'!AG107*'On-Ramps'!CI107)/('On-Ramps'!AG107+#REF!)</f>
        <v>#REF!</v>
      </c>
      <c r="BI107" s="57" t="e">
        <f>(Links!L107*Links!AZ107+'On-Ramps'!AH107*'On-Ramps'!CJ107)/('On-Ramps'!AH107+Links!L107)</f>
        <v>#DIV/0!</v>
      </c>
      <c r="BJ107" s="57" t="e">
        <f>(Links!BA107*Links!M107+'On-Ramps'!AI107*'On-Ramps'!CK107)/('On-Ramps'!AI107+Links!M107)</f>
        <v>#DIV/0!</v>
      </c>
      <c r="BK107" s="57" t="e">
        <f>(Links!S107*Links!BG107+'On-Ramps'!AJ107*'On-Ramps'!CL107)/('On-Ramps'!AJ107+Links!S107)</f>
        <v>#DIV/0!</v>
      </c>
      <c r="BL107" s="63"/>
      <c r="BM107" s="57" t="e">
        <f>(Links!S107*Links!BG107+'On-Ramps'!AL107*'On-Ramps'!CM107)/(Links!S107+'On-Ramps'!AL107)</f>
        <v>#DIV/0!</v>
      </c>
      <c r="BN107" s="63"/>
      <c r="BO107" s="58" t="e">
        <f>(Links!W107^2+'Off-Ramp'!L107^2)/(Links!W107+'Off-Ramp'!L107)</f>
        <v>#DIV/0!</v>
      </c>
      <c r="BP107" s="63"/>
      <c r="BQ107" s="58" t="e">
        <f>(Links!Y107^2+'Off-Ramp'!C107^2)/(Links!Y107+'Off-Ramp'!C107)</f>
        <v>#DIV/0!</v>
      </c>
      <c r="BR107" s="63"/>
      <c r="BS107" s="58" t="e">
        <f>(Links!AA107^2+'Off-Ramp'!N107^2)/(Links!AA107+'Off-Ramp'!N107)</f>
        <v>#DIV/0!</v>
      </c>
      <c r="BT107" s="58" t="e">
        <f>(Links!AD107^2+'Off-Ramp'!O107^2)/(Links!AD107+'Off-Ramp'!O107)</f>
        <v>#DIV/0!</v>
      </c>
      <c r="BU107" s="58" t="e">
        <f>(Links!AE107^2+'Off-Ramp'!V107^2+'Off-Ramp'!W107^2+'Off-Ramp'!X107^2)/(Links!AE107+'Off-Ramp'!V107+'Off-Ramp'!W107+'Off-Ramp'!X107)</f>
        <v>#DIV/0!</v>
      </c>
      <c r="BV107" s="58" t="e">
        <f>(Links!AG107^2+'Off-Ramp'!Y107^2+'Off-Ramp'!Z107^2+'Off-Ramp'!AA107^2)/(Links!AG107+'Off-Ramp'!Y107+'Off-Ramp'!Z107+'Off-Ramp'!AA107)</f>
        <v>#DIV/0!</v>
      </c>
      <c r="BW107" s="58" t="e">
        <f>(Links!AH107^2+'Off-Ramp'!R107^2)/(Links!AH107+'Off-Ramp'!R107)</f>
        <v>#DIV/0!</v>
      </c>
      <c r="BX107" s="58" t="e">
        <f>(Links!AK107^2+'Off-Ramp'!S107^2)/(Links!AK107+'Off-Ramp'!S107)</f>
        <v>#DIV/0!</v>
      </c>
      <c r="BY107" s="58" t="e">
        <f>(Links!AL107^2+'Off-Ramp'!T107^2)/(Links!AL107+'Off-Ramp'!T107)</f>
        <v>#DIV/0!</v>
      </c>
      <c r="BZ107" s="63"/>
      <c r="CA107" s="58" t="e">
        <f>(Links!AN107^2+'Off-Ramp'!U107^2)/(Links!AN107+'Off-Ramp'!U107)</f>
        <v>#DIV/0!</v>
      </c>
    </row>
    <row r="108" spans="1:79" x14ac:dyDescent="0.15">
      <c r="A108" s="56">
        <v>106</v>
      </c>
      <c r="B108" s="57" t="e">
        <f t="shared" si="30"/>
        <v>#DIV/0!</v>
      </c>
      <c r="C108" s="57" t="e">
        <f t="shared" si="31"/>
        <v>#DIV/0!</v>
      </c>
      <c r="D108" s="57" t="e">
        <f t="shared" si="32"/>
        <v>#DIV/0!</v>
      </c>
      <c r="E108" s="57" t="e">
        <f t="shared" si="33"/>
        <v>#DIV/0!</v>
      </c>
      <c r="F108" s="57" t="e">
        <f t="shared" si="34"/>
        <v>#DIV/0!</v>
      </c>
      <c r="G108" s="57" t="e">
        <f t="shared" si="35"/>
        <v>#DIV/0!</v>
      </c>
      <c r="H108" s="57" t="e">
        <f t="shared" si="36"/>
        <v>#DIV/0!</v>
      </c>
      <c r="I108" s="57" t="e">
        <f t="shared" si="37"/>
        <v>#DIV/0!</v>
      </c>
      <c r="J108" s="57" t="e">
        <f t="shared" si="38"/>
        <v>#DIV/0!</v>
      </c>
      <c r="K108" s="57" t="e">
        <f t="shared" si="39"/>
        <v>#DIV/0!</v>
      </c>
      <c r="L108" s="57" t="e">
        <f t="shared" si="40"/>
        <v>#DIV/0!</v>
      </c>
      <c r="M108" s="57" t="e">
        <f t="shared" si="41"/>
        <v>#DIV/0!</v>
      </c>
      <c r="N108" s="57" t="e">
        <f t="shared" si="42"/>
        <v>#DIV/0!</v>
      </c>
      <c r="O108" s="58" t="e">
        <f>Links!B108</f>
        <v>#DIV/0!</v>
      </c>
      <c r="P108" s="58" t="e">
        <f>Links!C108+'On-Ramps'!AC108</f>
        <v>#DIV/0!</v>
      </c>
      <c r="Q108" s="58" t="e">
        <f>Links!D108</f>
        <v>#DIV/0!</v>
      </c>
      <c r="R108" s="58" t="e">
        <f>Links!E108+'On-Ramps'!AD108</f>
        <v>#DIV/0!</v>
      </c>
      <c r="S108" s="58" t="e">
        <f>Links!F108+'On-Ramps'!AE108</f>
        <v>#DIV/0!</v>
      </c>
      <c r="T108" s="58" t="e">
        <f>Links!I108+'On-Ramps'!AF108</f>
        <v>#DIV/0!</v>
      </c>
      <c r="U108" s="58" t="e">
        <f>Links!J108+'On-Ramps'!AG108</f>
        <v>#DIV/0!</v>
      </c>
      <c r="V108" s="58" t="e">
        <f>Links!L108+'On-Ramps'!AH108</f>
        <v>#DIV/0!</v>
      </c>
      <c r="W108" s="58" t="e">
        <f>Links!M108+'On-Ramps'!AI108</f>
        <v>#DIV/0!</v>
      </c>
      <c r="X108" s="58" t="e">
        <f>Links!P108+'On-Ramps'!AJ108</f>
        <v>#DIV/0!</v>
      </c>
      <c r="Y108" s="58" t="e">
        <f>Links!Q108</f>
        <v>#DIV/0!</v>
      </c>
      <c r="Z108" s="58" t="e">
        <f>Links!R108+'On-Ramps'!AK108</f>
        <v>#DIV/0!</v>
      </c>
      <c r="AA108" s="58" t="e">
        <f>Links!S108</f>
        <v>#DIV/0!</v>
      </c>
      <c r="AB108" s="57" t="e">
        <f t="shared" si="43"/>
        <v>#DIV/0!</v>
      </c>
      <c r="AC108" s="63"/>
      <c r="AD108" s="57" t="e">
        <f t="shared" si="44"/>
        <v>#DIV/0!</v>
      </c>
      <c r="AE108" s="63"/>
      <c r="AF108" s="57" t="e">
        <f t="shared" si="45"/>
        <v>#DIV/0!</v>
      </c>
      <c r="AG108" s="57" t="e">
        <f t="shared" si="46"/>
        <v>#DIV/0!</v>
      </c>
      <c r="AH108" s="57" t="e">
        <f t="shared" si="47"/>
        <v>#DIV/0!</v>
      </c>
      <c r="AI108" s="57" t="e">
        <f t="shared" si="48"/>
        <v>#DIV/0!</v>
      </c>
      <c r="AJ108" s="57" t="e">
        <f t="shared" si="49"/>
        <v>#DIV/0!</v>
      </c>
      <c r="AK108" s="57" t="e">
        <f t="shared" si="50"/>
        <v>#DIV/0!</v>
      </c>
      <c r="AL108" s="57" t="e">
        <f t="shared" si="51"/>
        <v>#DIV/0!</v>
      </c>
      <c r="AM108" s="63"/>
      <c r="AN108" s="57" t="e">
        <f t="shared" si="53"/>
        <v>#DIV/0!</v>
      </c>
      <c r="AO108" s="58" t="e">
        <f t="shared" si="29"/>
        <v>#DIV/0!</v>
      </c>
      <c r="AP108" s="63"/>
      <c r="AQ108" s="58" t="e">
        <f t="shared" si="54"/>
        <v>#DIV/0!</v>
      </c>
      <c r="AR108" s="63"/>
      <c r="AS108" s="58" t="e">
        <f t="shared" si="54"/>
        <v>#DIV/0!</v>
      </c>
      <c r="AT108" s="58" t="e">
        <f t="shared" si="54"/>
        <v>#DIV/0!</v>
      </c>
      <c r="AU108" s="58" t="e">
        <f t="shared" si="54"/>
        <v>#DIV/0!</v>
      </c>
      <c r="AV108" s="58" t="e">
        <f t="shared" si="54"/>
        <v>#DIV/0!</v>
      </c>
      <c r="AW108" s="58" t="e">
        <f t="shared" si="54"/>
        <v>#DIV/0!</v>
      </c>
      <c r="AX108" s="58" t="e">
        <f t="shared" si="54"/>
        <v>#DIV/0!</v>
      </c>
      <c r="AY108" s="58" t="e">
        <f t="shared" si="54"/>
        <v>#DIV/0!</v>
      </c>
      <c r="AZ108" s="63"/>
      <c r="BA108" s="58" t="e">
        <f t="shared" si="54"/>
        <v>#DIV/0!</v>
      </c>
      <c r="BB108" s="63"/>
      <c r="BC108" s="57" t="e">
        <f>(Links!C108*Links!AQ108+'On-Ramps'!AC108*'On-Ramps'!CE108)/('On-Ramps'!AC108+Links!C108)</f>
        <v>#DIV/0!</v>
      </c>
      <c r="BD108" s="63"/>
      <c r="BE108" s="57" t="e">
        <f>(Links!E108*Links!AS108+'On-Ramps'!AD108*'On-Ramps'!CF107)/('On-Ramps'!AD108+Links!E108)</f>
        <v>#DIV/0!</v>
      </c>
      <c r="BF108" s="57" t="e">
        <f>(Links!F108*Links!AT108+'On-Ramps'!AE108*'On-Ramps'!CG108)/('On-Ramps'!AE108+Links!F108)</f>
        <v>#DIV/0!</v>
      </c>
      <c r="BG108" s="57" t="e">
        <f>(Links!I108*Links!AW108+'On-Ramps'!AF108*'On-Ramps'!CH108)/('On-Ramps'!AF108+Links!I108)</f>
        <v>#DIV/0!</v>
      </c>
      <c r="BH108" s="57" t="e">
        <f>(#REF!*#REF!+'On-Ramps'!AG108*'On-Ramps'!CI108)/('On-Ramps'!AG108+#REF!)</f>
        <v>#REF!</v>
      </c>
      <c r="BI108" s="57" t="e">
        <f>(Links!L108*Links!AZ108+'On-Ramps'!AH108*'On-Ramps'!CJ108)/('On-Ramps'!AH108+Links!L108)</f>
        <v>#DIV/0!</v>
      </c>
      <c r="BJ108" s="57" t="e">
        <f>(Links!BA108*Links!M108+'On-Ramps'!AI108*'On-Ramps'!CK108)/('On-Ramps'!AI108+Links!M108)</f>
        <v>#DIV/0!</v>
      </c>
      <c r="BK108" s="57" t="e">
        <f>(Links!S108*Links!BG108+'On-Ramps'!AJ108*'On-Ramps'!CL108)/('On-Ramps'!AJ108+Links!S108)</f>
        <v>#DIV/0!</v>
      </c>
      <c r="BL108" s="63"/>
      <c r="BM108" s="57" t="e">
        <f>(Links!S108*Links!BG108+'On-Ramps'!AL108*'On-Ramps'!CM108)/(Links!S108+'On-Ramps'!AL108)</f>
        <v>#DIV/0!</v>
      </c>
      <c r="BN108" s="63"/>
      <c r="BO108" s="58" t="e">
        <f>(Links!W108^2+'Off-Ramp'!L108^2)/(Links!W108+'Off-Ramp'!L108)</f>
        <v>#DIV/0!</v>
      </c>
      <c r="BP108" s="63"/>
      <c r="BQ108" s="58" t="e">
        <f>(Links!Y108^2+'Off-Ramp'!C108^2)/(Links!Y108+'Off-Ramp'!C108)</f>
        <v>#DIV/0!</v>
      </c>
      <c r="BR108" s="63"/>
      <c r="BS108" s="58" t="e">
        <f>(Links!AA108^2+'Off-Ramp'!N108^2)/(Links!AA108+'Off-Ramp'!N108)</f>
        <v>#DIV/0!</v>
      </c>
      <c r="BT108" s="58" t="e">
        <f>(Links!AD108^2+'Off-Ramp'!O108^2)/(Links!AD108+'Off-Ramp'!O108)</f>
        <v>#DIV/0!</v>
      </c>
      <c r="BU108" s="58" t="e">
        <f>(Links!AE108^2+'Off-Ramp'!V108^2+'Off-Ramp'!W108^2+'Off-Ramp'!X108^2)/(Links!AE108+'Off-Ramp'!V108+'Off-Ramp'!W108+'Off-Ramp'!X108)</f>
        <v>#DIV/0!</v>
      </c>
      <c r="BV108" s="58" t="e">
        <f>(Links!AG108^2+'Off-Ramp'!Y108^2+'Off-Ramp'!Z108^2+'Off-Ramp'!AA108^2)/(Links!AG108+'Off-Ramp'!Y108+'Off-Ramp'!Z108+'Off-Ramp'!AA108)</f>
        <v>#DIV/0!</v>
      </c>
      <c r="BW108" s="58" t="e">
        <f>(Links!AH108^2+'Off-Ramp'!R108^2)/(Links!AH108+'Off-Ramp'!R108)</f>
        <v>#DIV/0!</v>
      </c>
      <c r="BX108" s="58" t="e">
        <f>(Links!AK108^2+'Off-Ramp'!S108^2)/(Links!AK108+'Off-Ramp'!S108)</f>
        <v>#DIV/0!</v>
      </c>
      <c r="BY108" s="58" t="e">
        <f>(Links!AL108^2+'Off-Ramp'!T108^2)/(Links!AL108+'Off-Ramp'!T108)</f>
        <v>#DIV/0!</v>
      </c>
      <c r="BZ108" s="63"/>
      <c r="CA108" s="58" t="e">
        <f>(Links!AN108^2+'Off-Ramp'!U108^2)/(Links!AN108+'Off-Ramp'!U108)</f>
        <v>#DIV/0!</v>
      </c>
    </row>
    <row r="109" spans="1:79" x14ac:dyDescent="0.15">
      <c r="A109" s="56">
        <v>107</v>
      </c>
      <c r="B109" s="57" t="e">
        <f t="shared" si="30"/>
        <v>#DIV/0!</v>
      </c>
      <c r="C109" s="57" t="e">
        <f t="shared" si="31"/>
        <v>#DIV/0!</v>
      </c>
      <c r="D109" s="57" t="e">
        <f t="shared" si="32"/>
        <v>#DIV/0!</v>
      </c>
      <c r="E109" s="57" t="e">
        <f t="shared" si="33"/>
        <v>#DIV/0!</v>
      </c>
      <c r="F109" s="57" t="e">
        <f t="shared" si="34"/>
        <v>#DIV/0!</v>
      </c>
      <c r="G109" s="57" t="e">
        <f t="shared" si="35"/>
        <v>#DIV/0!</v>
      </c>
      <c r="H109" s="57" t="e">
        <f t="shared" si="36"/>
        <v>#DIV/0!</v>
      </c>
      <c r="I109" s="57" t="e">
        <f t="shared" si="37"/>
        <v>#DIV/0!</v>
      </c>
      <c r="J109" s="57" t="e">
        <f t="shared" si="38"/>
        <v>#DIV/0!</v>
      </c>
      <c r="K109" s="57" t="e">
        <f t="shared" si="39"/>
        <v>#DIV/0!</v>
      </c>
      <c r="L109" s="57" t="e">
        <f t="shared" si="40"/>
        <v>#DIV/0!</v>
      </c>
      <c r="M109" s="57" t="e">
        <f t="shared" si="41"/>
        <v>#DIV/0!</v>
      </c>
      <c r="N109" s="57" t="e">
        <f t="shared" si="42"/>
        <v>#DIV/0!</v>
      </c>
      <c r="O109" s="58" t="e">
        <f>Links!B109</f>
        <v>#DIV/0!</v>
      </c>
      <c r="P109" s="58" t="e">
        <f>Links!C109+'On-Ramps'!AC109</f>
        <v>#DIV/0!</v>
      </c>
      <c r="Q109" s="58" t="e">
        <f>Links!D109</f>
        <v>#DIV/0!</v>
      </c>
      <c r="R109" s="58" t="e">
        <f>Links!E109+'On-Ramps'!AD109</f>
        <v>#DIV/0!</v>
      </c>
      <c r="S109" s="58" t="e">
        <f>Links!F109+'On-Ramps'!AE109</f>
        <v>#DIV/0!</v>
      </c>
      <c r="T109" s="58" t="e">
        <f>Links!I109+'On-Ramps'!AF109</f>
        <v>#DIV/0!</v>
      </c>
      <c r="U109" s="58" t="e">
        <f>Links!J109+'On-Ramps'!AG109</f>
        <v>#DIV/0!</v>
      </c>
      <c r="V109" s="58" t="e">
        <f>Links!L109+'On-Ramps'!AH109</f>
        <v>#DIV/0!</v>
      </c>
      <c r="W109" s="58" t="e">
        <f>Links!M109+'On-Ramps'!AI109</f>
        <v>#DIV/0!</v>
      </c>
      <c r="X109" s="58" t="e">
        <f>Links!P109+'On-Ramps'!AJ109</f>
        <v>#DIV/0!</v>
      </c>
      <c r="Y109" s="58" t="e">
        <f>Links!Q109</f>
        <v>#DIV/0!</v>
      </c>
      <c r="Z109" s="58" t="e">
        <f>Links!R109+'On-Ramps'!AK109</f>
        <v>#DIV/0!</v>
      </c>
      <c r="AA109" s="58" t="e">
        <f>Links!S109</f>
        <v>#DIV/0!</v>
      </c>
      <c r="AB109" s="57" t="e">
        <f t="shared" si="43"/>
        <v>#DIV/0!</v>
      </c>
      <c r="AC109" s="63"/>
      <c r="AD109" s="57" t="e">
        <f t="shared" si="44"/>
        <v>#DIV/0!</v>
      </c>
      <c r="AE109" s="63"/>
      <c r="AF109" s="57" t="e">
        <f t="shared" si="45"/>
        <v>#DIV/0!</v>
      </c>
      <c r="AG109" s="57" t="e">
        <f t="shared" si="46"/>
        <v>#DIV/0!</v>
      </c>
      <c r="AH109" s="57" t="e">
        <f t="shared" si="47"/>
        <v>#DIV/0!</v>
      </c>
      <c r="AI109" s="57" t="e">
        <f t="shared" si="48"/>
        <v>#DIV/0!</v>
      </c>
      <c r="AJ109" s="57" t="e">
        <f t="shared" si="49"/>
        <v>#DIV/0!</v>
      </c>
      <c r="AK109" s="57" t="e">
        <f t="shared" si="50"/>
        <v>#DIV/0!</v>
      </c>
      <c r="AL109" s="57" t="e">
        <f t="shared" si="51"/>
        <v>#DIV/0!</v>
      </c>
      <c r="AM109" s="63"/>
      <c r="AN109" s="57" t="e">
        <f t="shared" si="53"/>
        <v>#DIV/0!</v>
      </c>
      <c r="AO109" s="58" t="e">
        <f t="shared" si="29"/>
        <v>#DIV/0!</v>
      </c>
      <c r="AP109" s="63"/>
      <c r="AQ109" s="58" t="e">
        <f t="shared" si="54"/>
        <v>#DIV/0!</v>
      </c>
      <c r="AR109" s="63"/>
      <c r="AS109" s="58" t="e">
        <f t="shared" si="54"/>
        <v>#DIV/0!</v>
      </c>
      <c r="AT109" s="58" t="e">
        <f t="shared" si="54"/>
        <v>#DIV/0!</v>
      </c>
      <c r="AU109" s="58" t="e">
        <f t="shared" si="54"/>
        <v>#DIV/0!</v>
      </c>
      <c r="AV109" s="58" t="e">
        <f t="shared" si="54"/>
        <v>#DIV/0!</v>
      </c>
      <c r="AW109" s="58" t="e">
        <f t="shared" si="54"/>
        <v>#DIV/0!</v>
      </c>
      <c r="AX109" s="58" t="e">
        <f t="shared" si="54"/>
        <v>#DIV/0!</v>
      </c>
      <c r="AY109" s="58" t="e">
        <f t="shared" si="54"/>
        <v>#DIV/0!</v>
      </c>
      <c r="AZ109" s="63"/>
      <c r="BA109" s="58" t="e">
        <f t="shared" si="54"/>
        <v>#DIV/0!</v>
      </c>
      <c r="BB109" s="63"/>
      <c r="BC109" s="57" t="e">
        <f>(Links!C109*Links!AQ109+'On-Ramps'!AC109*'On-Ramps'!CE109)/('On-Ramps'!AC109+Links!C109)</f>
        <v>#DIV/0!</v>
      </c>
      <c r="BD109" s="63"/>
      <c r="BE109" s="57" t="e">
        <f>(Links!E109*Links!AS109+'On-Ramps'!AD109*'On-Ramps'!CF108)/('On-Ramps'!AD109+Links!E109)</f>
        <v>#DIV/0!</v>
      </c>
      <c r="BF109" s="57" t="e">
        <f>(Links!F109*Links!AT109+'On-Ramps'!AE109*'On-Ramps'!CG109)/('On-Ramps'!AE109+Links!F109)</f>
        <v>#DIV/0!</v>
      </c>
      <c r="BG109" s="57" t="e">
        <f>(Links!I109*Links!AW109+'On-Ramps'!AF109*'On-Ramps'!CH109)/('On-Ramps'!AF109+Links!I109)</f>
        <v>#DIV/0!</v>
      </c>
      <c r="BH109" s="57" t="e">
        <f>(#REF!*#REF!+'On-Ramps'!AG109*'On-Ramps'!CI109)/('On-Ramps'!AG109+#REF!)</f>
        <v>#REF!</v>
      </c>
      <c r="BI109" s="57" t="e">
        <f>(Links!L109*Links!AZ109+'On-Ramps'!AH109*'On-Ramps'!CJ109)/('On-Ramps'!AH109+Links!L109)</f>
        <v>#DIV/0!</v>
      </c>
      <c r="BJ109" s="57" t="e">
        <f>(Links!BA109*Links!M109+'On-Ramps'!AI109*'On-Ramps'!CK109)/('On-Ramps'!AI109+Links!M109)</f>
        <v>#DIV/0!</v>
      </c>
      <c r="BK109" s="57" t="e">
        <f>(Links!S109*Links!BG109+'On-Ramps'!AJ109*'On-Ramps'!CL109)/('On-Ramps'!AJ109+Links!S109)</f>
        <v>#DIV/0!</v>
      </c>
      <c r="BL109" s="63"/>
      <c r="BM109" s="57" t="e">
        <f>(Links!S109*Links!BG109+'On-Ramps'!AL109*'On-Ramps'!CM109)/(Links!S109+'On-Ramps'!AL109)</f>
        <v>#DIV/0!</v>
      </c>
      <c r="BN109" s="63"/>
      <c r="BO109" s="58" t="e">
        <f>(Links!W109^2+'Off-Ramp'!L109^2)/(Links!W109+'Off-Ramp'!L109)</f>
        <v>#DIV/0!</v>
      </c>
      <c r="BP109" s="63"/>
      <c r="BQ109" s="58" t="e">
        <f>(Links!Y109^2+'Off-Ramp'!C109^2)/(Links!Y109+'Off-Ramp'!C109)</f>
        <v>#DIV/0!</v>
      </c>
      <c r="BR109" s="63"/>
      <c r="BS109" s="58" t="e">
        <f>(Links!AA109^2+'Off-Ramp'!N109^2)/(Links!AA109+'Off-Ramp'!N109)</f>
        <v>#DIV/0!</v>
      </c>
      <c r="BT109" s="58" t="e">
        <f>(Links!AD109^2+'Off-Ramp'!O109^2)/(Links!AD109+'Off-Ramp'!O109)</f>
        <v>#DIV/0!</v>
      </c>
      <c r="BU109" s="58" t="e">
        <f>(Links!AE109^2+'Off-Ramp'!V109^2+'Off-Ramp'!W109^2+'Off-Ramp'!X109^2)/(Links!AE109+'Off-Ramp'!V109+'Off-Ramp'!W109+'Off-Ramp'!X109)</f>
        <v>#DIV/0!</v>
      </c>
      <c r="BV109" s="58" t="e">
        <f>(Links!AG109^2+'Off-Ramp'!Y109^2+'Off-Ramp'!Z109^2+'Off-Ramp'!AA109^2)/(Links!AG109+'Off-Ramp'!Y109+'Off-Ramp'!Z109+'Off-Ramp'!AA109)</f>
        <v>#DIV/0!</v>
      </c>
      <c r="BW109" s="58" t="e">
        <f>(Links!AH109^2+'Off-Ramp'!R109^2)/(Links!AH109+'Off-Ramp'!R109)</f>
        <v>#DIV/0!</v>
      </c>
      <c r="BX109" s="58" t="e">
        <f>(Links!AK109^2+'Off-Ramp'!S109^2)/(Links!AK109+'Off-Ramp'!S109)</f>
        <v>#DIV/0!</v>
      </c>
      <c r="BY109" s="58" t="e">
        <f>(Links!AL109^2+'Off-Ramp'!T109^2)/(Links!AL109+'Off-Ramp'!T109)</f>
        <v>#DIV/0!</v>
      </c>
      <c r="BZ109" s="63"/>
      <c r="CA109" s="58" t="e">
        <f>(Links!AN109^2+'Off-Ramp'!U109^2)/(Links!AN109+'Off-Ramp'!U109)</f>
        <v>#DIV/0!</v>
      </c>
    </row>
    <row r="110" spans="1:79" x14ac:dyDescent="0.15">
      <c r="A110" s="56">
        <v>108</v>
      </c>
      <c r="B110" s="57" t="e">
        <f t="shared" si="30"/>
        <v>#DIV/0!</v>
      </c>
      <c r="C110" s="57" t="e">
        <f t="shared" si="31"/>
        <v>#DIV/0!</v>
      </c>
      <c r="D110" s="57" t="e">
        <f t="shared" si="32"/>
        <v>#DIV/0!</v>
      </c>
      <c r="E110" s="57" t="e">
        <f t="shared" si="33"/>
        <v>#DIV/0!</v>
      </c>
      <c r="F110" s="57" t="e">
        <f t="shared" si="34"/>
        <v>#DIV/0!</v>
      </c>
      <c r="G110" s="57" t="e">
        <f t="shared" si="35"/>
        <v>#DIV/0!</v>
      </c>
      <c r="H110" s="57" t="e">
        <f t="shared" si="36"/>
        <v>#DIV/0!</v>
      </c>
      <c r="I110" s="57" t="e">
        <f t="shared" si="37"/>
        <v>#DIV/0!</v>
      </c>
      <c r="J110" s="57" t="e">
        <f t="shared" si="38"/>
        <v>#DIV/0!</v>
      </c>
      <c r="K110" s="57" t="e">
        <f t="shared" si="39"/>
        <v>#DIV/0!</v>
      </c>
      <c r="L110" s="57" t="e">
        <f t="shared" si="40"/>
        <v>#DIV/0!</v>
      </c>
      <c r="M110" s="57" t="e">
        <f t="shared" si="41"/>
        <v>#DIV/0!</v>
      </c>
      <c r="N110" s="57" t="e">
        <f t="shared" si="42"/>
        <v>#DIV/0!</v>
      </c>
      <c r="O110" s="58" t="e">
        <f>Links!B110</f>
        <v>#DIV/0!</v>
      </c>
      <c r="P110" s="58" t="e">
        <f>Links!C110+'On-Ramps'!AC110</f>
        <v>#DIV/0!</v>
      </c>
      <c r="Q110" s="58" t="e">
        <f>Links!D110</f>
        <v>#DIV/0!</v>
      </c>
      <c r="R110" s="58" t="e">
        <f>Links!E110+'On-Ramps'!AD110</f>
        <v>#DIV/0!</v>
      </c>
      <c r="S110" s="58" t="e">
        <f>Links!F110+'On-Ramps'!AE110</f>
        <v>#DIV/0!</v>
      </c>
      <c r="T110" s="58" t="e">
        <f>Links!I110+'On-Ramps'!AF110</f>
        <v>#DIV/0!</v>
      </c>
      <c r="U110" s="58" t="e">
        <f>Links!J110+'On-Ramps'!AG110</f>
        <v>#DIV/0!</v>
      </c>
      <c r="V110" s="58" t="e">
        <f>Links!L110+'On-Ramps'!AH110</f>
        <v>#DIV/0!</v>
      </c>
      <c r="W110" s="58" t="e">
        <f>Links!M110+'On-Ramps'!AI110</f>
        <v>#DIV/0!</v>
      </c>
      <c r="X110" s="58" t="e">
        <f>Links!P110+'On-Ramps'!AJ110</f>
        <v>#DIV/0!</v>
      </c>
      <c r="Y110" s="58" t="e">
        <f>Links!Q110</f>
        <v>#DIV/0!</v>
      </c>
      <c r="Z110" s="58" t="e">
        <f>Links!R110+'On-Ramps'!AK110</f>
        <v>#DIV/0!</v>
      </c>
      <c r="AA110" s="58" t="e">
        <f>Links!S110</f>
        <v>#DIV/0!</v>
      </c>
      <c r="AB110" s="57" t="e">
        <f t="shared" si="43"/>
        <v>#DIV/0!</v>
      </c>
      <c r="AC110" s="63"/>
      <c r="AD110" s="57" t="e">
        <f t="shared" si="44"/>
        <v>#DIV/0!</v>
      </c>
      <c r="AE110" s="63"/>
      <c r="AF110" s="57" t="e">
        <f t="shared" si="45"/>
        <v>#DIV/0!</v>
      </c>
      <c r="AG110" s="57" t="e">
        <f t="shared" si="46"/>
        <v>#DIV/0!</v>
      </c>
      <c r="AH110" s="57" t="e">
        <f t="shared" si="47"/>
        <v>#DIV/0!</v>
      </c>
      <c r="AI110" s="57" t="e">
        <f t="shared" si="48"/>
        <v>#DIV/0!</v>
      </c>
      <c r="AJ110" s="57" t="e">
        <f t="shared" si="49"/>
        <v>#DIV/0!</v>
      </c>
      <c r="AK110" s="57" t="e">
        <f t="shared" si="50"/>
        <v>#DIV/0!</v>
      </c>
      <c r="AL110" s="57" t="e">
        <f t="shared" si="51"/>
        <v>#DIV/0!</v>
      </c>
      <c r="AM110" s="63"/>
      <c r="AN110" s="57" t="e">
        <f t="shared" si="53"/>
        <v>#DIV/0!</v>
      </c>
      <c r="AO110" s="58" t="e">
        <f t="shared" si="29"/>
        <v>#DIV/0!</v>
      </c>
      <c r="AP110" s="63"/>
      <c r="AQ110" s="58" t="e">
        <f t="shared" si="54"/>
        <v>#DIV/0!</v>
      </c>
      <c r="AR110" s="63"/>
      <c r="AS110" s="58" t="e">
        <f t="shared" si="54"/>
        <v>#DIV/0!</v>
      </c>
      <c r="AT110" s="58" t="e">
        <f t="shared" si="54"/>
        <v>#DIV/0!</v>
      </c>
      <c r="AU110" s="58" t="e">
        <f t="shared" si="54"/>
        <v>#DIV/0!</v>
      </c>
      <c r="AV110" s="58" t="e">
        <f t="shared" si="54"/>
        <v>#DIV/0!</v>
      </c>
      <c r="AW110" s="58" t="e">
        <f t="shared" si="54"/>
        <v>#DIV/0!</v>
      </c>
      <c r="AX110" s="58" t="e">
        <f t="shared" si="54"/>
        <v>#DIV/0!</v>
      </c>
      <c r="AY110" s="58" t="e">
        <f t="shared" si="54"/>
        <v>#DIV/0!</v>
      </c>
      <c r="AZ110" s="63"/>
      <c r="BA110" s="58" t="e">
        <f t="shared" si="54"/>
        <v>#DIV/0!</v>
      </c>
      <c r="BB110" s="63"/>
      <c r="BC110" s="57" t="e">
        <f>(Links!C110*Links!AQ110+'On-Ramps'!AC110*'On-Ramps'!CE110)/('On-Ramps'!AC110+Links!C110)</f>
        <v>#DIV/0!</v>
      </c>
      <c r="BD110" s="63"/>
      <c r="BE110" s="57" t="e">
        <f>(Links!E110*Links!AS110+'On-Ramps'!AD110*'On-Ramps'!CF109)/('On-Ramps'!AD110+Links!E110)</f>
        <v>#DIV/0!</v>
      </c>
      <c r="BF110" s="57" t="e">
        <f>(Links!F110*Links!AT110+'On-Ramps'!AE110*'On-Ramps'!CG110)/('On-Ramps'!AE110+Links!F110)</f>
        <v>#DIV/0!</v>
      </c>
      <c r="BG110" s="57" t="e">
        <f>(Links!I110*Links!AW110+'On-Ramps'!AF110*'On-Ramps'!CH110)/('On-Ramps'!AF110+Links!I110)</f>
        <v>#DIV/0!</v>
      </c>
      <c r="BH110" s="57" t="e">
        <f>(#REF!*#REF!+'On-Ramps'!AG110*'On-Ramps'!CI110)/('On-Ramps'!AG110+#REF!)</f>
        <v>#REF!</v>
      </c>
      <c r="BI110" s="57" t="e">
        <f>(Links!L110*Links!AZ110+'On-Ramps'!AH110*'On-Ramps'!CJ110)/('On-Ramps'!AH110+Links!L110)</f>
        <v>#DIV/0!</v>
      </c>
      <c r="BJ110" s="57" t="e">
        <f>(Links!BA110*Links!M110+'On-Ramps'!AI110*'On-Ramps'!CK110)/('On-Ramps'!AI110+Links!M110)</f>
        <v>#DIV/0!</v>
      </c>
      <c r="BK110" s="57" t="e">
        <f>(Links!S110*Links!BG110+'On-Ramps'!AJ110*'On-Ramps'!CL110)/('On-Ramps'!AJ110+Links!S110)</f>
        <v>#DIV/0!</v>
      </c>
      <c r="BL110" s="63"/>
      <c r="BM110" s="57" t="e">
        <f>(Links!S110*Links!BG110+'On-Ramps'!AL110*'On-Ramps'!CM110)/(Links!S110+'On-Ramps'!AL110)</f>
        <v>#DIV/0!</v>
      </c>
      <c r="BN110" s="63"/>
      <c r="BO110" s="58" t="e">
        <f>(Links!W110^2+'Off-Ramp'!L110^2)/(Links!W110+'Off-Ramp'!L110)</f>
        <v>#DIV/0!</v>
      </c>
      <c r="BP110" s="63"/>
      <c r="BQ110" s="58" t="e">
        <f>(Links!Y110^2+'Off-Ramp'!C110^2)/(Links!Y110+'Off-Ramp'!C110)</f>
        <v>#DIV/0!</v>
      </c>
      <c r="BR110" s="63"/>
      <c r="BS110" s="58" t="e">
        <f>(Links!AA110^2+'Off-Ramp'!N110^2)/(Links!AA110+'Off-Ramp'!N110)</f>
        <v>#DIV/0!</v>
      </c>
      <c r="BT110" s="58" t="e">
        <f>(Links!AD110^2+'Off-Ramp'!O110^2)/(Links!AD110+'Off-Ramp'!O110)</f>
        <v>#DIV/0!</v>
      </c>
      <c r="BU110" s="58" t="e">
        <f>(Links!AE110^2+'Off-Ramp'!V110^2+'Off-Ramp'!W110^2+'Off-Ramp'!X110^2)/(Links!AE110+'Off-Ramp'!V110+'Off-Ramp'!W110+'Off-Ramp'!X110)</f>
        <v>#DIV/0!</v>
      </c>
      <c r="BV110" s="58" t="e">
        <f>(Links!AG110^2+'Off-Ramp'!Y110^2+'Off-Ramp'!Z110^2+'Off-Ramp'!AA110^2)/(Links!AG110+'Off-Ramp'!Y110+'Off-Ramp'!Z110+'Off-Ramp'!AA110)</f>
        <v>#DIV/0!</v>
      </c>
      <c r="BW110" s="58" t="e">
        <f>(Links!AH110^2+'Off-Ramp'!R110^2)/(Links!AH110+'Off-Ramp'!R110)</f>
        <v>#DIV/0!</v>
      </c>
      <c r="BX110" s="58" t="e">
        <f>(Links!AK110^2+'Off-Ramp'!S110^2)/(Links!AK110+'Off-Ramp'!S110)</f>
        <v>#DIV/0!</v>
      </c>
      <c r="BY110" s="58" t="e">
        <f>(Links!AL110^2+'Off-Ramp'!T110^2)/(Links!AL110+'Off-Ramp'!T110)</f>
        <v>#DIV/0!</v>
      </c>
      <c r="BZ110" s="63"/>
      <c r="CA110" s="58" t="e">
        <f>(Links!AN110^2+'Off-Ramp'!U110^2)/(Links!AN110+'Off-Ramp'!U110)</f>
        <v>#DIV/0!</v>
      </c>
    </row>
    <row r="111" spans="1:79" x14ac:dyDescent="0.15">
      <c r="A111" s="56">
        <v>109</v>
      </c>
      <c r="B111" s="57" t="e">
        <f t="shared" si="30"/>
        <v>#DIV/0!</v>
      </c>
      <c r="C111" s="57" t="e">
        <f t="shared" si="31"/>
        <v>#DIV/0!</v>
      </c>
      <c r="D111" s="57" t="e">
        <f t="shared" si="32"/>
        <v>#DIV/0!</v>
      </c>
      <c r="E111" s="57" t="e">
        <f t="shared" si="33"/>
        <v>#DIV/0!</v>
      </c>
      <c r="F111" s="57" t="e">
        <f t="shared" si="34"/>
        <v>#DIV/0!</v>
      </c>
      <c r="G111" s="57" t="e">
        <f t="shared" si="35"/>
        <v>#DIV/0!</v>
      </c>
      <c r="H111" s="57" t="e">
        <f t="shared" si="36"/>
        <v>#DIV/0!</v>
      </c>
      <c r="I111" s="57" t="e">
        <f t="shared" si="37"/>
        <v>#DIV/0!</v>
      </c>
      <c r="J111" s="57" t="e">
        <f t="shared" si="38"/>
        <v>#DIV/0!</v>
      </c>
      <c r="K111" s="57" t="e">
        <f t="shared" si="39"/>
        <v>#DIV/0!</v>
      </c>
      <c r="L111" s="57" t="e">
        <f t="shared" si="40"/>
        <v>#DIV/0!</v>
      </c>
      <c r="M111" s="57" t="e">
        <f t="shared" si="41"/>
        <v>#DIV/0!</v>
      </c>
      <c r="N111" s="57" t="e">
        <f t="shared" si="42"/>
        <v>#DIV/0!</v>
      </c>
      <c r="O111" s="58" t="e">
        <f>Links!B111</f>
        <v>#DIV/0!</v>
      </c>
      <c r="P111" s="58" t="e">
        <f>Links!C111+'On-Ramps'!AC111</f>
        <v>#DIV/0!</v>
      </c>
      <c r="Q111" s="58" t="e">
        <f>Links!D111</f>
        <v>#DIV/0!</v>
      </c>
      <c r="R111" s="58" t="e">
        <f>Links!E111+'On-Ramps'!AD111</f>
        <v>#DIV/0!</v>
      </c>
      <c r="S111" s="58" t="e">
        <f>Links!F111+'On-Ramps'!AE111</f>
        <v>#DIV/0!</v>
      </c>
      <c r="T111" s="58" t="e">
        <f>Links!I111+'On-Ramps'!AF111</f>
        <v>#DIV/0!</v>
      </c>
      <c r="U111" s="58" t="e">
        <f>Links!J111+'On-Ramps'!AG111</f>
        <v>#DIV/0!</v>
      </c>
      <c r="V111" s="58" t="e">
        <f>Links!L111+'On-Ramps'!AH111</f>
        <v>#DIV/0!</v>
      </c>
      <c r="W111" s="58" t="e">
        <f>Links!M111+'On-Ramps'!AI111</f>
        <v>#DIV/0!</v>
      </c>
      <c r="X111" s="58" t="e">
        <f>Links!P111+'On-Ramps'!AJ111</f>
        <v>#DIV/0!</v>
      </c>
      <c r="Y111" s="58" t="e">
        <f>Links!Q111</f>
        <v>#DIV/0!</v>
      </c>
      <c r="Z111" s="58" t="e">
        <f>Links!R111+'On-Ramps'!AK111</f>
        <v>#DIV/0!</v>
      </c>
      <c r="AA111" s="58" t="e">
        <f>Links!S111</f>
        <v>#DIV/0!</v>
      </c>
      <c r="AB111" s="57" t="e">
        <f t="shared" si="43"/>
        <v>#DIV/0!</v>
      </c>
      <c r="AC111" s="63"/>
      <c r="AD111" s="57" t="e">
        <f t="shared" si="44"/>
        <v>#DIV/0!</v>
      </c>
      <c r="AE111" s="63"/>
      <c r="AF111" s="57" t="e">
        <f t="shared" si="45"/>
        <v>#DIV/0!</v>
      </c>
      <c r="AG111" s="57" t="e">
        <f t="shared" si="46"/>
        <v>#DIV/0!</v>
      </c>
      <c r="AH111" s="57" t="e">
        <f t="shared" si="47"/>
        <v>#DIV/0!</v>
      </c>
      <c r="AI111" s="57" t="e">
        <f t="shared" si="48"/>
        <v>#DIV/0!</v>
      </c>
      <c r="AJ111" s="57" t="e">
        <f t="shared" si="49"/>
        <v>#DIV/0!</v>
      </c>
      <c r="AK111" s="57" t="e">
        <f t="shared" si="50"/>
        <v>#DIV/0!</v>
      </c>
      <c r="AL111" s="57" t="e">
        <f t="shared" si="51"/>
        <v>#DIV/0!</v>
      </c>
      <c r="AM111" s="63"/>
      <c r="AN111" s="57" t="e">
        <f t="shared" si="53"/>
        <v>#DIV/0!</v>
      </c>
      <c r="AO111" s="58" t="e">
        <f t="shared" si="29"/>
        <v>#DIV/0!</v>
      </c>
      <c r="AP111" s="63"/>
      <c r="AQ111" s="58" t="e">
        <f t="shared" si="54"/>
        <v>#DIV/0!</v>
      </c>
      <c r="AR111" s="63"/>
      <c r="AS111" s="58" t="e">
        <f t="shared" si="54"/>
        <v>#DIV/0!</v>
      </c>
      <c r="AT111" s="58" t="e">
        <f t="shared" si="54"/>
        <v>#DIV/0!</v>
      </c>
      <c r="AU111" s="58" t="e">
        <f t="shared" si="54"/>
        <v>#DIV/0!</v>
      </c>
      <c r="AV111" s="58" t="e">
        <f t="shared" si="54"/>
        <v>#DIV/0!</v>
      </c>
      <c r="AW111" s="58" t="e">
        <f t="shared" si="54"/>
        <v>#DIV/0!</v>
      </c>
      <c r="AX111" s="58" t="e">
        <f t="shared" si="54"/>
        <v>#DIV/0!</v>
      </c>
      <c r="AY111" s="58" t="e">
        <f t="shared" si="54"/>
        <v>#DIV/0!</v>
      </c>
      <c r="AZ111" s="63"/>
      <c r="BA111" s="58" t="e">
        <f t="shared" si="54"/>
        <v>#DIV/0!</v>
      </c>
      <c r="BB111" s="63"/>
      <c r="BC111" s="57" t="e">
        <f>(Links!C111*Links!AQ111+'On-Ramps'!AC111*'On-Ramps'!CE111)/('On-Ramps'!AC111+Links!C111)</f>
        <v>#DIV/0!</v>
      </c>
      <c r="BD111" s="63"/>
      <c r="BE111" s="57" t="e">
        <f>(Links!E111*Links!AS111+'On-Ramps'!AD111*'On-Ramps'!CF110)/('On-Ramps'!AD111+Links!E111)</f>
        <v>#DIV/0!</v>
      </c>
      <c r="BF111" s="57" t="e">
        <f>(Links!F111*Links!AT111+'On-Ramps'!AE111*'On-Ramps'!CG111)/('On-Ramps'!AE111+Links!F111)</f>
        <v>#DIV/0!</v>
      </c>
      <c r="BG111" s="57" t="e">
        <f>(Links!I111*Links!AW111+'On-Ramps'!AF111*'On-Ramps'!CH111)/('On-Ramps'!AF111+Links!I111)</f>
        <v>#DIV/0!</v>
      </c>
      <c r="BH111" s="57" t="e">
        <f>(#REF!*#REF!+'On-Ramps'!AG111*'On-Ramps'!CI111)/('On-Ramps'!AG111+#REF!)</f>
        <v>#REF!</v>
      </c>
      <c r="BI111" s="57" t="e">
        <f>(Links!L111*Links!AZ111+'On-Ramps'!AH111*'On-Ramps'!CJ111)/('On-Ramps'!AH111+Links!L111)</f>
        <v>#DIV/0!</v>
      </c>
      <c r="BJ111" s="57" t="e">
        <f>(Links!BA111*Links!M111+'On-Ramps'!AI111*'On-Ramps'!CK111)/('On-Ramps'!AI111+Links!M111)</f>
        <v>#DIV/0!</v>
      </c>
      <c r="BK111" s="57" t="e">
        <f>(Links!S111*Links!BG111+'On-Ramps'!AJ111*'On-Ramps'!CL111)/('On-Ramps'!AJ111+Links!S111)</f>
        <v>#DIV/0!</v>
      </c>
      <c r="BL111" s="63"/>
      <c r="BM111" s="57" t="e">
        <f>(Links!S111*Links!BG111+'On-Ramps'!AL111*'On-Ramps'!CM111)/(Links!S111+'On-Ramps'!AL111)</f>
        <v>#DIV/0!</v>
      </c>
      <c r="BN111" s="63"/>
      <c r="BO111" s="58" t="e">
        <f>(Links!W111^2+'Off-Ramp'!L111^2)/(Links!W111+'Off-Ramp'!L111)</f>
        <v>#DIV/0!</v>
      </c>
      <c r="BP111" s="63"/>
      <c r="BQ111" s="58" t="e">
        <f>(Links!Y111^2+'Off-Ramp'!C111^2)/(Links!Y111+'Off-Ramp'!C111)</f>
        <v>#DIV/0!</v>
      </c>
      <c r="BR111" s="63"/>
      <c r="BS111" s="58" t="e">
        <f>(Links!AA111^2+'Off-Ramp'!N111^2)/(Links!AA111+'Off-Ramp'!N111)</f>
        <v>#DIV/0!</v>
      </c>
      <c r="BT111" s="58" t="e">
        <f>(Links!AD111^2+'Off-Ramp'!O111^2)/(Links!AD111+'Off-Ramp'!O111)</f>
        <v>#DIV/0!</v>
      </c>
      <c r="BU111" s="58" t="e">
        <f>(Links!AE111^2+'Off-Ramp'!V111^2+'Off-Ramp'!W111^2+'Off-Ramp'!X111^2)/(Links!AE111+'Off-Ramp'!V111+'Off-Ramp'!W111+'Off-Ramp'!X111)</f>
        <v>#DIV/0!</v>
      </c>
      <c r="BV111" s="58" t="e">
        <f>(Links!AG111^2+'Off-Ramp'!Y111^2+'Off-Ramp'!Z111^2+'Off-Ramp'!AA111^2)/(Links!AG111+'Off-Ramp'!Y111+'Off-Ramp'!Z111+'Off-Ramp'!AA111)</f>
        <v>#DIV/0!</v>
      </c>
      <c r="BW111" s="58" t="e">
        <f>(Links!AH111^2+'Off-Ramp'!R111^2)/(Links!AH111+'Off-Ramp'!R111)</f>
        <v>#DIV/0!</v>
      </c>
      <c r="BX111" s="58" t="e">
        <f>(Links!AK111^2+'Off-Ramp'!S111^2)/(Links!AK111+'Off-Ramp'!S111)</f>
        <v>#DIV/0!</v>
      </c>
      <c r="BY111" s="58" t="e">
        <f>(Links!AL111^2+'Off-Ramp'!T111^2)/(Links!AL111+'Off-Ramp'!T111)</f>
        <v>#DIV/0!</v>
      </c>
      <c r="BZ111" s="63"/>
      <c r="CA111" s="58" t="e">
        <f>(Links!AN111^2+'Off-Ramp'!U111^2)/(Links!AN111+'Off-Ramp'!U111)</f>
        <v>#DIV/0!</v>
      </c>
    </row>
    <row r="112" spans="1:79" x14ac:dyDescent="0.15">
      <c r="A112" s="56">
        <v>110</v>
      </c>
      <c r="B112" s="57" t="e">
        <f t="shared" si="30"/>
        <v>#DIV/0!</v>
      </c>
      <c r="C112" s="57" t="e">
        <f t="shared" si="31"/>
        <v>#DIV/0!</v>
      </c>
      <c r="D112" s="57" t="e">
        <f t="shared" si="32"/>
        <v>#DIV/0!</v>
      </c>
      <c r="E112" s="57" t="e">
        <f t="shared" si="33"/>
        <v>#DIV/0!</v>
      </c>
      <c r="F112" s="57" t="e">
        <f t="shared" si="34"/>
        <v>#DIV/0!</v>
      </c>
      <c r="G112" s="57" t="e">
        <f t="shared" si="35"/>
        <v>#DIV/0!</v>
      </c>
      <c r="H112" s="57" t="e">
        <f t="shared" si="36"/>
        <v>#DIV/0!</v>
      </c>
      <c r="I112" s="57" t="e">
        <f t="shared" si="37"/>
        <v>#DIV/0!</v>
      </c>
      <c r="J112" s="57" t="e">
        <f t="shared" si="38"/>
        <v>#DIV/0!</v>
      </c>
      <c r="K112" s="57" t="e">
        <f t="shared" si="39"/>
        <v>#DIV/0!</v>
      </c>
      <c r="L112" s="57" t="e">
        <f t="shared" si="40"/>
        <v>#DIV/0!</v>
      </c>
      <c r="M112" s="57" t="e">
        <f t="shared" si="41"/>
        <v>#DIV/0!</v>
      </c>
      <c r="N112" s="57" t="e">
        <f t="shared" si="42"/>
        <v>#DIV/0!</v>
      </c>
      <c r="O112" s="58" t="e">
        <f>Links!B112</f>
        <v>#DIV/0!</v>
      </c>
      <c r="P112" s="58" t="e">
        <f>Links!C112+'On-Ramps'!AC112</f>
        <v>#DIV/0!</v>
      </c>
      <c r="Q112" s="58" t="e">
        <f>Links!D112</f>
        <v>#DIV/0!</v>
      </c>
      <c r="R112" s="58" t="e">
        <f>Links!E112+'On-Ramps'!AD112</f>
        <v>#DIV/0!</v>
      </c>
      <c r="S112" s="58" t="e">
        <f>Links!F112+'On-Ramps'!AE112</f>
        <v>#DIV/0!</v>
      </c>
      <c r="T112" s="58" t="e">
        <f>Links!I112+'On-Ramps'!AF112</f>
        <v>#DIV/0!</v>
      </c>
      <c r="U112" s="58" t="e">
        <f>Links!J112+'On-Ramps'!AG112</f>
        <v>#DIV/0!</v>
      </c>
      <c r="V112" s="58" t="e">
        <f>Links!L112+'On-Ramps'!AH112</f>
        <v>#DIV/0!</v>
      </c>
      <c r="W112" s="58" t="e">
        <f>Links!M112+'On-Ramps'!AI112</f>
        <v>#DIV/0!</v>
      </c>
      <c r="X112" s="58" t="e">
        <f>Links!P112+'On-Ramps'!AJ112</f>
        <v>#DIV/0!</v>
      </c>
      <c r="Y112" s="58" t="e">
        <f>Links!Q112</f>
        <v>#DIV/0!</v>
      </c>
      <c r="Z112" s="58" t="e">
        <f>Links!R112+'On-Ramps'!AK112</f>
        <v>#DIV/0!</v>
      </c>
      <c r="AA112" s="58" t="e">
        <f>Links!S112</f>
        <v>#DIV/0!</v>
      </c>
      <c r="AB112" s="57" t="e">
        <f t="shared" si="43"/>
        <v>#DIV/0!</v>
      </c>
      <c r="AC112" s="63"/>
      <c r="AD112" s="57" t="e">
        <f t="shared" si="44"/>
        <v>#DIV/0!</v>
      </c>
      <c r="AE112" s="63"/>
      <c r="AF112" s="57" t="e">
        <f t="shared" si="45"/>
        <v>#DIV/0!</v>
      </c>
      <c r="AG112" s="57" t="e">
        <f t="shared" si="46"/>
        <v>#DIV/0!</v>
      </c>
      <c r="AH112" s="57" t="e">
        <f t="shared" si="47"/>
        <v>#DIV/0!</v>
      </c>
      <c r="AI112" s="57" t="e">
        <f t="shared" si="48"/>
        <v>#DIV/0!</v>
      </c>
      <c r="AJ112" s="57" t="e">
        <f t="shared" si="49"/>
        <v>#DIV/0!</v>
      </c>
      <c r="AK112" s="57" t="e">
        <f t="shared" si="50"/>
        <v>#DIV/0!</v>
      </c>
      <c r="AL112" s="57" t="e">
        <f t="shared" si="51"/>
        <v>#DIV/0!</v>
      </c>
      <c r="AM112" s="63"/>
      <c r="AN112" s="57" t="e">
        <f t="shared" si="53"/>
        <v>#DIV/0!</v>
      </c>
      <c r="AO112" s="58" t="e">
        <f t="shared" si="29"/>
        <v>#DIV/0!</v>
      </c>
      <c r="AP112" s="63"/>
      <c r="AQ112" s="58" t="e">
        <f t="shared" si="54"/>
        <v>#DIV/0!</v>
      </c>
      <c r="AR112" s="63"/>
      <c r="AS112" s="58" t="e">
        <f t="shared" si="54"/>
        <v>#DIV/0!</v>
      </c>
      <c r="AT112" s="58" t="e">
        <f t="shared" si="54"/>
        <v>#DIV/0!</v>
      </c>
      <c r="AU112" s="58" t="e">
        <f t="shared" si="54"/>
        <v>#DIV/0!</v>
      </c>
      <c r="AV112" s="58" t="e">
        <f t="shared" si="54"/>
        <v>#DIV/0!</v>
      </c>
      <c r="AW112" s="58" t="e">
        <f t="shared" si="54"/>
        <v>#DIV/0!</v>
      </c>
      <c r="AX112" s="58" t="e">
        <f t="shared" si="54"/>
        <v>#DIV/0!</v>
      </c>
      <c r="AY112" s="58" t="e">
        <f t="shared" si="54"/>
        <v>#DIV/0!</v>
      </c>
      <c r="AZ112" s="63"/>
      <c r="BA112" s="58" t="e">
        <f t="shared" si="54"/>
        <v>#DIV/0!</v>
      </c>
      <c r="BB112" s="63"/>
      <c r="BC112" s="57" t="e">
        <f>(Links!C112*Links!AQ112+'On-Ramps'!AC112*'On-Ramps'!CE112)/('On-Ramps'!AC112+Links!C112)</f>
        <v>#DIV/0!</v>
      </c>
      <c r="BD112" s="63"/>
      <c r="BE112" s="57" t="e">
        <f>(Links!E112*Links!AS112+'On-Ramps'!AD112*'On-Ramps'!CF111)/('On-Ramps'!AD112+Links!E112)</f>
        <v>#DIV/0!</v>
      </c>
      <c r="BF112" s="57" t="e">
        <f>(Links!F112*Links!AT112+'On-Ramps'!AE112*'On-Ramps'!CG112)/('On-Ramps'!AE112+Links!F112)</f>
        <v>#DIV/0!</v>
      </c>
      <c r="BG112" s="57" t="e">
        <f>(Links!I112*Links!AW112+'On-Ramps'!AF112*'On-Ramps'!CH112)/('On-Ramps'!AF112+Links!I112)</f>
        <v>#DIV/0!</v>
      </c>
      <c r="BH112" s="57" t="e">
        <f>(#REF!*#REF!+'On-Ramps'!AG112*'On-Ramps'!CI112)/('On-Ramps'!AG112+#REF!)</f>
        <v>#REF!</v>
      </c>
      <c r="BI112" s="57" t="e">
        <f>(Links!L112*Links!AZ112+'On-Ramps'!AH112*'On-Ramps'!CJ112)/('On-Ramps'!AH112+Links!L112)</f>
        <v>#DIV/0!</v>
      </c>
      <c r="BJ112" s="57" t="e">
        <f>(Links!BA112*Links!M112+'On-Ramps'!AI112*'On-Ramps'!CK112)/('On-Ramps'!AI112+Links!M112)</f>
        <v>#DIV/0!</v>
      </c>
      <c r="BK112" s="57" t="e">
        <f>(Links!S112*Links!BG112+'On-Ramps'!AJ112*'On-Ramps'!CL112)/('On-Ramps'!AJ112+Links!S112)</f>
        <v>#DIV/0!</v>
      </c>
      <c r="BL112" s="63"/>
      <c r="BM112" s="57" t="e">
        <f>(Links!S112*Links!BG112+'On-Ramps'!AL112*'On-Ramps'!CM112)/(Links!S112+'On-Ramps'!AL112)</f>
        <v>#DIV/0!</v>
      </c>
      <c r="BN112" s="63"/>
      <c r="BO112" s="58" t="e">
        <f>(Links!W112^2+'Off-Ramp'!L112^2)/(Links!W112+'Off-Ramp'!L112)</f>
        <v>#DIV/0!</v>
      </c>
      <c r="BP112" s="63"/>
      <c r="BQ112" s="58" t="e">
        <f>(Links!Y112^2+'Off-Ramp'!C112^2)/(Links!Y112+'Off-Ramp'!C112)</f>
        <v>#DIV/0!</v>
      </c>
      <c r="BR112" s="63"/>
      <c r="BS112" s="58" t="e">
        <f>(Links!AA112^2+'Off-Ramp'!N112^2)/(Links!AA112+'Off-Ramp'!N112)</f>
        <v>#DIV/0!</v>
      </c>
      <c r="BT112" s="58" t="e">
        <f>(Links!AD112^2+'Off-Ramp'!O112^2)/(Links!AD112+'Off-Ramp'!O112)</f>
        <v>#DIV/0!</v>
      </c>
      <c r="BU112" s="58" t="e">
        <f>(Links!AE112^2+'Off-Ramp'!V112^2+'Off-Ramp'!W112^2+'Off-Ramp'!X112^2)/(Links!AE112+'Off-Ramp'!V112+'Off-Ramp'!W112+'Off-Ramp'!X112)</f>
        <v>#DIV/0!</v>
      </c>
      <c r="BV112" s="58" t="e">
        <f>(Links!AG112^2+'Off-Ramp'!Y112^2+'Off-Ramp'!Z112^2+'Off-Ramp'!AA112^2)/(Links!AG112+'Off-Ramp'!Y112+'Off-Ramp'!Z112+'Off-Ramp'!AA112)</f>
        <v>#DIV/0!</v>
      </c>
      <c r="BW112" s="58" t="e">
        <f>(Links!AH112^2+'Off-Ramp'!R112^2)/(Links!AH112+'Off-Ramp'!R112)</f>
        <v>#DIV/0!</v>
      </c>
      <c r="BX112" s="58" t="e">
        <f>(Links!AK112^2+'Off-Ramp'!S112^2)/(Links!AK112+'Off-Ramp'!S112)</f>
        <v>#DIV/0!</v>
      </c>
      <c r="BY112" s="58" t="e">
        <f>(Links!AL112^2+'Off-Ramp'!T112^2)/(Links!AL112+'Off-Ramp'!T112)</f>
        <v>#DIV/0!</v>
      </c>
      <c r="BZ112" s="63"/>
      <c r="CA112" s="58" t="e">
        <f>(Links!AN112^2+'Off-Ramp'!U112^2)/(Links!AN112+'Off-Ramp'!U112)</f>
        <v>#DIV/0!</v>
      </c>
    </row>
    <row r="113" spans="1:79" x14ac:dyDescent="0.15">
      <c r="A113" s="56">
        <v>111</v>
      </c>
      <c r="B113" s="57" t="e">
        <f t="shared" si="30"/>
        <v>#DIV/0!</v>
      </c>
      <c r="C113" s="57" t="e">
        <f t="shared" si="31"/>
        <v>#DIV/0!</v>
      </c>
      <c r="D113" s="57" t="e">
        <f t="shared" si="32"/>
        <v>#DIV/0!</v>
      </c>
      <c r="E113" s="57" t="e">
        <f t="shared" si="33"/>
        <v>#DIV/0!</v>
      </c>
      <c r="F113" s="57" t="e">
        <f t="shared" si="34"/>
        <v>#DIV/0!</v>
      </c>
      <c r="G113" s="57" t="e">
        <f t="shared" si="35"/>
        <v>#DIV/0!</v>
      </c>
      <c r="H113" s="57" t="e">
        <f t="shared" si="36"/>
        <v>#DIV/0!</v>
      </c>
      <c r="I113" s="57" t="e">
        <f t="shared" si="37"/>
        <v>#DIV/0!</v>
      </c>
      <c r="J113" s="57" t="e">
        <f t="shared" si="38"/>
        <v>#DIV/0!</v>
      </c>
      <c r="K113" s="57" t="e">
        <f t="shared" si="39"/>
        <v>#DIV/0!</v>
      </c>
      <c r="L113" s="57" t="e">
        <f t="shared" si="40"/>
        <v>#DIV/0!</v>
      </c>
      <c r="M113" s="57" t="e">
        <f t="shared" si="41"/>
        <v>#DIV/0!</v>
      </c>
      <c r="N113" s="57" t="e">
        <f t="shared" si="42"/>
        <v>#DIV/0!</v>
      </c>
      <c r="O113" s="58" t="e">
        <f>Links!B113</f>
        <v>#DIV/0!</v>
      </c>
      <c r="P113" s="58" t="e">
        <f>Links!C113+'On-Ramps'!AC113</f>
        <v>#DIV/0!</v>
      </c>
      <c r="Q113" s="58" t="e">
        <f>Links!D113</f>
        <v>#DIV/0!</v>
      </c>
      <c r="R113" s="58" t="e">
        <f>Links!E113+'On-Ramps'!AD113</f>
        <v>#DIV/0!</v>
      </c>
      <c r="S113" s="58" t="e">
        <f>Links!F113+'On-Ramps'!AE113</f>
        <v>#DIV/0!</v>
      </c>
      <c r="T113" s="58" t="e">
        <f>Links!I113+'On-Ramps'!AF113</f>
        <v>#DIV/0!</v>
      </c>
      <c r="U113" s="58" t="e">
        <f>Links!J113+'On-Ramps'!AG113</f>
        <v>#DIV/0!</v>
      </c>
      <c r="V113" s="58" t="e">
        <f>Links!L113+'On-Ramps'!AH113</f>
        <v>#DIV/0!</v>
      </c>
      <c r="W113" s="58" t="e">
        <f>Links!M113+'On-Ramps'!AI113</f>
        <v>#DIV/0!</v>
      </c>
      <c r="X113" s="58" t="e">
        <f>Links!P113+'On-Ramps'!AJ113</f>
        <v>#DIV/0!</v>
      </c>
      <c r="Y113" s="58" t="e">
        <f>Links!Q113</f>
        <v>#DIV/0!</v>
      </c>
      <c r="Z113" s="58" t="e">
        <f>Links!R113+'On-Ramps'!AK113</f>
        <v>#DIV/0!</v>
      </c>
      <c r="AA113" s="58" t="e">
        <f>Links!S113</f>
        <v>#DIV/0!</v>
      </c>
      <c r="AB113" s="57" t="e">
        <f t="shared" si="43"/>
        <v>#DIV/0!</v>
      </c>
      <c r="AC113" s="63"/>
      <c r="AD113" s="57" t="e">
        <f t="shared" si="44"/>
        <v>#DIV/0!</v>
      </c>
      <c r="AE113" s="63"/>
      <c r="AF113" s="57" t="e">
        <f t="shared" si="45"/>
        <v>#DIV/0!</v>
      </c>
      <c r="AG113" s="57" t="e">
        <f t="shared" si="46"/>
        <v>#DIV/0!</v>
      </c>
      <c r="AH113" s="57" t="e">
        <f t="shared" si="47"/>
        <v>#DIV/0!</v>
      </c>
      <c r="AI113" s="57" t="e">
        <f t="shared" si="48"/>
        <v>#DIV/0!</v>
      </c>
      <c r="AJ113" s="57" t="e">
        <f t="shared" si="49"/>
        <v>#DIV/0!</v>
      </c>
      <c r="AK113" s="57" t="e">
        <f t="shared" si="50"/>
        <v>#DIV/0!</v>
      </c>
      <c r="AL113" s="57" t="e">
        <f t="shared" si="51"/>
        <v>#DIV/0!</v>
      </c>
      <c r="AM113" s="63"/>
      <c r="AN113" s="57" t="e">
        <f t="shared" si="53"/>
        <v>#DIV/0!</v>
      </c>
      <c r="AO113" s="58" t="e">
        <f t="shared" si="29"/>
        <v>#DIV/0!</v>
      </c>
      <c r="AP113" s="63"/>
      <c r="AQ113" s="58" t="e">
        <f t="shared" si="54"/>
        <v>#DIV/0!</v>
      </c>
      <c r="AR113" s="63"/>
      <c r="AS113" s="58" t="e">
        <f t="shared" si="54"/>
        <v>#DIV/0!</v>
      </c>
      <c r="AT113" s="58" t="e">
        <f t="shared" si="54"/>
        <v>#DIV/0!</v>
      </c>
      <c r="AU113" s="58" t="e">
        <f t="shared" si="54"/>
        <v>#DIV/0!</v>
      </c>
      <c r="AV113" s="58" t="e">
        <f t="shared" si="54"/>
        <v>#DIV/0!</v>
      </c>
      <c r="AW113" s="58" t="e">
        <f t="shared" si="54"/>
        <v>#DIV/0!</v>
      </c>
      <c r="AX113" s="58" t="e">
        <f t="shared" si="54"/>
        <v>#DIV/0!</v>
      </c>
      <c r="AY113" s="58" t="e">
        <f t="shared" si="54"/>
        <v>#DIV/0!</v>
      </c>
      <c r="AZ113" s="63"/>
      <c r="BA113" s="58" t="e">
        <f t="shared" si="54"/>
        <v>#DIV/0!</v>
      </c>
      <c r="BB113" s="63"/>
      <c r="BC113" s="57" t="e">
        <f>(Links!C113*Links!AQ113+'On-Ramps'!AC113*'On-Ramps'!CE113)/('On-Ramps'!AC113+Links!C113)</f>
        <v>#DIV/0!</v>
      </c>
      <c r="BD113" s="63"/>
      <c r="BE113" s="57" t="e">
        <f>(Links!E113*Links!AS113+'On-Ramps'!AD113*'On-Ramps'!CF112)/('On-Ramps'!AD113+Links!E113)</f>
        <v>#DIV/0!</v>
      </c>
      <c r="BF113" s="57" t="e">
        <f>(Links!F113*Links!AT113+'On-Ramps'!AE113*'On-Ramps'!CG113)/('On-Ramps'!AE113+Links!F113)</f>
        <v>#DIV/0!</v>
      </c>
      <c r="BG113" s="57" t="e">
        <f>(Links!I113*Links!AW113+'On-Ramps'!AF113*'On-Ramps'!CH113)/('On-Ramps'!AF113+Links!I113)</f>
        <v>#DIV/0!</v>
      </c>
      <c r="BH113" s="57" t="e">
        <f>(#REF!*#REF!+'On-Ramps'!AG113*'On-Ramps'!CI113)/('On-Ramps'!AG113+#REF!)</f>
        <v>#REF!</v>
      </c>
      <c r="BI113" s="57" t="e">
        <f>(Links!L113*Links!AZ113+'On-Ramps'!AH113*'On-Ramps'!CJ113)/('On-Ramps'!AH113+Links!L113)</f>
        <v>#DIV/0!</v>
      </c>
      <c r="BJ113" s="57" t="e">
        <f>(Links!BA113*Links!M113+'On-Ramps'!AI113*'On-Ramps'!CK113)/('On-Ramps'!AI113+Links!M113)</f>
        <v>#DIV/0!</v>
      </c>
      <c r="BK113" s="57" t="e">
        <f>(Links!S113*Links!BG113+'On-Ramps'!AJ113*'On-Ramps'!CL113)/('On-Ramps'!AJ113+Links!S113)</f>
        <v>#DIV/0!</v>
      </c>
      <c r="BL113" s="63"/>
      <c r="BM113" s="57" t="e">
        <f>(Links!S113*Links!BG113+'On-Ramps'!AL113*'On-Ramps'!CM113)/(Links!S113+'On-Ramps'!AL113)</f>
        <v>#DIV/0!</v>
      </c>
      <c r="BN113" s="63"/>
      <c r="BO113" s="58" t="e">
        <f>(Links!W113^2+'Off-Ramp'!L113^2)/(Links!W113+'Off-Ramp'!L113)</f>
        <v>#DIV/0!</v>
      </c>
      <c r="BP113" s="63"/>
      <c r="BQ113" s="58" t="e">
        <f>(Links!Y113^2+'Off-Ramp'!C113^2)/(Links!Y113+'Off-Ramp'!C113)</f>
        <v>#DIV/0!</v>
      </c>
      <c r="BR113" s="63"/>
      <c r="BS113" s="58" t="e">
        <f>(Links!AA113^2+'Off-Ramp'!N113^2)/(Links!AA113+'Off-Ramp'!N113)</f>
        <v>#DIV/0!</v>
      </c>
      <c r="BT113" s="58" t="e">
        <f>(Links!AD113^2+'Off-Ramp'!O113^2)/(Links!AD113+'Off-Ramp'!O113)</f>
        <v>#DIV/0!</v>
      </c>
      <c r="BU113" s="58" t="e">
        <f>(Links!AE113^2+'Off-Ramp'!V113^2+'Off-Ramp'!W113^2+'Off-Ramp'!X113^2)/(Links!AE113+'Off-Ramp'!V113+'Off-Ramp'!W113+'Off-Ramp'!X113)</f>
        <v>#DIV/0!</v>
      </c>
      <c r="BV113" s="58" t="e">
        <f>(Links!AG113^2+'Off-Ramp'!Y113^2+'Off-Ramp'!Z113^2+'Off-Ramp'!AA113^2)/(Links!AG113+'Off-Ramp'!Y113+'Off-Ramp'!Z113+'Off-Ramp'!AA113)</f>
        <v>#DIV/0!</v>
      </c>
      <c r="BW113" s="58" t="e">
        <f>(Links!AH113^2+'Off-Ramp'!R113^2)/(Links!AH113+'Off-Ramp'!R113)</f>
        <v>#DIV/0!</v>
      </c>
      <c r="BX113" s="58" t="e">
        <f>(Links!AK113^2+'Off-Ramp'!S113^2)/(Links!AK113+'Off-Ramp'!S113)</f>
        <v>#DIV/0!</v>
      </c>
      <c r="BY113" s="58" t="e">
        <f>(Links!AL113^2+'Off-Ramp'!T113^2)/(Links!AL113+'Off-Ramp'!T113)</f>
        <v>#DIV/0!</v>
      </c>
      <c r="BZ113" s="63"/>
      <c r="CA113" s="58" t="e">
        <f>(Links!AN113^2+'Off-Ramp'!U113^2)/(Links!AN113+'Off-Ramp'!U113)</f>
        <v>#DIV/0!</v>
      </c>
    </row>
    <row r="114" spans="1:79" x14ac:dyDescent="0.15">
      <c r="A114" s="56">
        <v>112</v>
      </c>
      <c r="B114" s="57" t="e">
        <f t="shared" si="30"/>
        <v>#DIV/0!</v>
      </c>
      <c r="C114" s="57" t="e">
        <f t="shared" si="31"/>
        <v>#DIV/0!</v>
      </c>
      <c r="D114" s="57" t="e">
        <f t="shared" si="32"/>
        <v>#DIV/0!</v>
      </c>
      <c r="E114" s="57" t="e">
        <f t="shared" si="33"/>
        <v>#DIV/0!</v>
      </c>
      <c r="F114" s="57" t="e">
        <f t="shared" si="34"/>
        <v>#DIV/0!</v>
      </c>
      <c r="G114" s="57" t="e">
        <f t="shared" si="35"/>
        <v>#DIV/0!</v>
      </c>
      <c r="H114" s="57" t="e">
        <f t="shared" si="36"/>
        <v>#DIV/0!</v>
      </c>
      <c r="I114" s="57" t="e">
        <f t="shared" si="37"/>
        <v>#DIV/0!</v>
      </c>
      <c r="J114" s="57" t="e">
        <f t="shared" si="38"/>
        <v>#DIV/0!</v>
      </c>
      <c r="K114" s="57" t="e">
        <f t="shared" si="39"/>
        <v>#DIV/0!</v>
      </c>
      <c r="L114" s="57" t="e">
        <f t="shared" si="40"/>
        <v>#DIV/0!</v>
      </c>
      <c r="M114" s="57" t="e">
        <f t="shared" si="41"/>
        <v>#DIV/0!</v>
      </c>
      <c r="N114" s="57" t="e">
        <f t="shared" si="42"/>
        <v>#DIV/0!</v>
      </c>
      <c r="O114" s="58" t="e">
        <f>Links!B114</f>
        <v>#DIV/0!</v>
      </c>
      <c r="P114" s="58" t="e">
        <f>Links!C114+'On-Ramps'!AC114</f>
        <v>#DIV/0!</v>
      </c>
      <c r="Q114" s="58" t="e">
        <f>Links!D114</f>
        <v>#DIV/0!</v>
      </c>
      <c r="R114" s="58" t="e">
        <f>Links!E114+'On-Ramps'!AD114</f>
        <v>#DIV/0!</v>
      </c>
      <c r="S114" s="58" t="e">
        <f>Links!F114+'On-Ramps'!AE114</f>
        <v>#DIV/0!</v>
      </c>
      <c r="T114" s="58" t="e">
        <f>Links!I114+'On-Ramps'!AF114</f>
        <v>#DIV/0!</v>
      </c>
      <c r="U114" s="58" t="e">
        <f>Links!J114+'On-Ramps'!AG114</f>
        <v>#DIV/0!</v>
      </c>
      <c r="V114" s="58" t="e">
        <f>Links!L114+'On-Ramps'!AH114</f>
        <v>#DIV/0!</v>
      </c>
      <c r="W114" s="58" t="e">
        <f>Links!M114+'On-Ramps'!AI114</f>
        <v>#DIV/0!</v>
      </c>
      <c r="X114" s="58" t="e">
        <f>Links!P114+'On-Ramps'!AJ114</f>
        <v>#DIV/0!</v>
      </c>
      <c r="Y114" s="58" t="e">
        <f>Links!Q114</f>
        <v>#DIV/0!</v>
      </c>
      <c r="Z114" s="58" t="e">
        <f>Links!R114+'On-Ramps'!AK114</f>
        <v>#DIV/0!</v>
      </c>
      <c r="AA114" s="58" t="e">
        <f>Links!S114</f>
        <v>#DIV/0!</v>
      </c>
      <c r="AB114" s="57" t="e">
        <f t="shared" si="43"/>
        <v>#DIV/0!</v>
      </c>
      <c r="AC114" s="63"/>
      <c r="AD114" s="57" t="e">
        <f t="shared" si="44"/>
        <v>#DIV/0!</v>
      </c>
      <c r="AE114" s="63"/>
      <c r="AF114" s="57" t="e">
        <f t="shared" si="45"/>
        <v>#DIV/0!</v>
      </c>
      <c r="AG114" s="57" t="e">
        <f t="shared" si="46"/>
        <v>#DIV/0!</v>
      </c>
      <c r="AH114" s="57" t="e">
        <f t="shared" si="47"/>
        <v>#DIV/0!</v>
      </c>
      <c r="AI114" s="57" t="e">
        <f t="shared" si="48"/>
        <v>#DIV/0!</v>
      </c>
      <c r="AJ114" s="57" t="e">
        <f t="shared" si="49"/>
        <v>#DIV/0!</v>
      </c>
      <c r="AK114" s="57" t="e">
        <f t="shared" si="50"/>
        <v>#DIV/0!</v>
      </c>
      <c r="AL114" s="57" t="e">
        <f t="shared" si="51"/>
        <v>#DIV/0!</v>
      </c>
      <c r="AM114" s="63"/>
      <c r="AN114" s="57" t="e">
        <f t="shared" si="53"/>
        <v>#DIV/0!</v>
      </c>
      <c r="AO114" s="58" t="e">
        <f t="shared" si="29"/>
        <v>#DIV/0!</v>
      </c>
      <c r="AP114" s="63"/>
      <c r="AQ114" s="58" t="e">
        <f t="shared" si="54"/>
        <v>#DIV/0!</v>
      </c>
      <c r="AR114" s="63"/>
      <c r="AS114" s="58" t="e">
        <f t="shared" si="54"/>
        <v>#DIV/0!</v>
      </c>
      <c r="AT114" s="58" t="e">
        <f t="shared" si="54"/>
        <v>#DIV/0!</v>
      </c>
      <c r="AU114" s="58" t="e">
        <f t="shared" si="54"/>
        <v>#DIV/0!</v>
      </c>
      <c r="AV114" s="58" t="e">
        <f t="shared" si="54"/>
        <v>#DIV/0!</v>
      </c>
      <c r="AW114" s="58" t="e">
        <f t="shared" si="54"/>
        <v>#DIV/0!</v>
      </c>
      <c r="AX114" s="58" t="e">
        <f t="shared" si="54"/>
        <v>#DIV/0!</v>
      </c>
      <c r="AY114" s="58" t="e">
        <f t="shared" si="54"/>
        <v>#DIV/0!</v>
      </c>
      <c r="AZ114" s="63"/>
      <c r="BA114" s="58" t="e">
        <f t="shared" si="54"/>
        <v>#DIV/0!</v>
      </c>
      <c r="BB114" s="63"/>
      <c r="BC114" s="57" t="e">
        <f>(Links!C114*Links!AQ114+'On-Ramps'!AC114*'On-Ramps'!CE114)/('On-Ramps'!AC114+Links!C114)</f>
        <v>#DIV/0!</v>
      </c>
      <c r="BD114" s="63"/>
      <c r="BE114" s="57" t="e">
        <f>(Links!E114*Links!AS114+'On-Ramps'!AD114*'On-Ramps'!CF113)/('On-Ramps'!AD114+Links!E114)</f>
        <v>#DIV/0!</v>
      </c>
      <c r="BF114" s="57" t="e">
        <f>(Links!F114*Links!AT114+'On-Ramps'!AE114*'On-Ramps'!CG114)/('On-Ramps'!AE114+Links!F114)</f>
        <v>#DIV/0!</v>
      </c>
      <c r="BG114" s="57" t="e">
        <f>(Links!I114*Links!AW114+'On-Ramps'!AF114*'On-Ramps'!CH114)/('On-Ramps'!AF114+Links!I114)</f>
        <v>#DIV/0!</v>
      </c>
      <c r="BH114" s="57" t="e">
        <f>(#REF!*#REF!+'On-Ramps'!AG114*'On-Ramps'!CI114)/('On-Ramps'!AG114+#REF!)</f>
        <v>#REF!</v>
      </c>
      <c r="BI114" s="57" t="e">
        <f>(Links!L114*Links!AZ114+'On-Ramps'!AH114*'On-Ramps'!CJ114)/('On-Ramps'!AH114+Links!L114)</f>
        <v>#DIV/0!</v>
      </c>
      <c r="BJ114" s="57" t="e">
        <f>(Links!BA114*Links!M114+'On-Ramps'!AI114*'On-Ramps'!CK114)/('On-Ramps'!AI114+Links!M114)</f>
        <v>#DIV/0!</v>
      </c>
      <c r="BK114" s="57" t="e">
        <f>(Links!S114*Links!BG114+'On-Ramps'!AJ114*'On-Ramps'!CL114)/('On-Ramps'!AJ114+Links!S114)</f>
        <v>#DIV/0!</v>
      </c>
      <c r="BL114" s="63"/>
      <c r="BM114" s="57" t="e">
        <f>(Links!S114*Links!BG114+'On-Ramps'!AL114*'On-Ramps'!CM114)/(Links!S114+'On-Ramps'!AL114)</f>
        <v>#DIV/0!</v>
      </c>
      <c r="BN114" s="63"/>
      <c r="BO114" s="58" t="e">
        <f>(Links!W114^2+'Off-Ramp'!L114^2)/(Links!W114+'Off-Ramp'!L114)</f>
        <v>#DIV/0!</v>
      </c>
      <c r="BP114" s="63"/>
      <c r="BQ114" s="58" t="e">
        <f>(Links!Y114^2+'Off-Ramp'!C114^2)/(Links!Y114+'Off-Ramp'!C114)</f>
        <v>#DIV/0!</v>
      </c>
      <c r="BR114" s="63"/>
      <c r="BS114" s="58" t="e">
        <f>(Links!AA114^2+'Off-Ramp'!N114^2)/(Links!AA114+'Off-Ramp'!N114)</f>
        <v>#DIV/0!</v>
      </c>
      <c r="BT114" s="58" t="e">
        <f>(Links!AD114^2+'Off-Ramp'!O114^2)/(Links!AD114+'Off-Ramp'!O114)</f>
        <v>#DIV/0!</v>
      </c>
      <c r="BU114" s="58" t="e">
        <f>(Links!AE114^2+'Off-Ramp'!V114^2+'Off-Ramp'!W114^2+'Off-Ramp'!X114^2)/(Links!AE114+'Off-Ramp'!V114+'Off-Ramp'!W114+'Off-Ramp'!X114)</f>
        <v>#DIV/0!</v>
      </c>
      <c r="BV114" s="58" t="e">
        <f>(Links!AG114^2+'Off-Ramp'!Y114^2+'Off-Ramp'!Z114^2+'Off-Ramp'!AA114^2)/(Links!AG114+'Off-Ramp'!Y114+'Off-Ramp'!Z114+'Off-Ramp'!AA114)</f>
        <v>#DIV/0!</v>
      </c>
      <c r="BW114" s="58" t="e">
        <f>(Links!AH114^2+'Off-Ramp'!R114^2)/(Links!AH114+'Off-Ramp'!R114)</f>
        <v>#DIV/0!</v>
      </c>
      <c r="BX114" s="58" t="e">
        <f>(Links!AK114^2+'Off-Ramp'!S114^2)/(Links!AK114+'Off-Ramp'!S114)</f>
        <v>#DIV/0!</v>
      </c>
      <c r="BY114" s="58" t="e">
        <f>(Links!AL114^2+'Off-Ramp'!T114^2)/(Links!AL114+'Off-Ramp'!T114)</f>
        <v>#DIV/0!</v>
      </c>
      <c r="BZ114" s="63"/>
      <c r="CA114" s="58" t="e">
        <f>(Links!AN114^2+'Off-Ramp'!U114^2)/(Links!AN114+'Off-Ramp'!U114)</f>
        <v>#DIV/0!</v>
      </c>
    </row>
    <row r="115" spans="1:79" x14ac:dyDescent="0.15">
      <c r="A115" s="56">
        <v>113</v>
      </c>
      <c r="B115" s="57" t="e">
        <f t="shared" si="30"/>
        <v>#DIV/0!</v>
      </c>
      <c r="C115" s="57" t="e">
        <f t="shared" si="31"/>
        <v>#DIV/0!</v>
      </c>
      <c r="D115" s="57" t="e">
        <f t="shared" si="32"/>
        <v>#DIV/0!</v>
      </c>
      <c r="E115" s="57" t="e">
        <f t="shared" si="33"/>
        <v>#DIV/0!</v>
      </c>
      <c r="F115" s="57" t="e">
        <f t="shared" si="34"/>
        <v>#DIV/0!</v>
      </c>
      <c r="G115" s="57" t="e">
        <f t="shared" si="35"/>
        <v>#DIV/0!</v>
      </c>
      <c r="H115" s="57" t="e">
        <f t="shared" si="36"/>
        <v>#DIV/0!</v>
      </c>
      <c r="I115" s="57" t="e">
        <f t="shared" si="37"/>
        <v>#DIV/0!</v>
      </c>
      <c r="J115" s="57" t="e">
        <f t="shared" si="38"/>
        <v>#DIV/0!</v>
      </c>
      <c r="K115" s="57" t="e">
        <f t="shared" si="39"/>
        <v>#DIV/0!</v>
      </c>
      <c r="L115" s="57" t="e">
        <f t="shared" si="40"/>
        <v>#DIV/0!</v>
      </c>
      <c r="M115" s="57" t="e">
        <f t="shared" si="41"/>
        <v>#DIV/0!</v>
      </c>
      <c r="N115" s="57" t="e">
        <f t="shared" si="42"/>
        <v>#DIV/0!</v>
      </c>
      <c r="O115" s="58" t="e">
        <f>Links!B115</f>
        <v>#DIV/0!</v>
      </c>
      <c r="P115" s="58" t="e">
        <f>Links!C115+'On-Ramps'!AC115</f>
        <v>#DIV/0!</v>
      </c>
      <c r="Q115" s="58" t="e">
        <f>Links!D115</f>
        <v>#DIV/0!</v>
      </c>
      <c r="R115" s="58" t="e">
        <f>Links!E115+'On-Ramps'!AD115</f>
        <v>#DIV/0!</v>
      </c>
      <c r="S115" s="58" t="e">
        <f>Links!F115+'On-Ramps'!AE115</f>
        <v>#DIV/0!</v>
      </c>
      <c r="T115" s="58" t="e">
        <f>Links!I115+'On-Ramps'!AF115</f>
        <v>#DIV/0!</v>
      </c>
      <c r="U115" s="58" t="e">
        <f>Links!J115+'On-Ramps'!AG115</f>
        <v>#DIV/0!</v>
      </c>
      <c r="V115" s="58" t="e">
        <f>Links!L115+'On-Ramps'!AH115</f>
        <v>#DIV/0!</v>
      </c>
      <c r="W115" s="58" t="e">
        <f>Links!M115+'On-Ramps'!AI115</f>
        <v>#DIV/0!</v>
      </c>
      <c r="X115" s="58" t="e">
        <f>Links!P115+'On-Ramps'!AJ115</f>
        <v>#DIV/0!</v>
      </c>
      <c r="Y115" s="58" t="e">
        <f>Links!Q115</f>
        <v>#DIV/0!</v>
      </c>
      <c r="Z115" s="58" t="e">
        <f>Links!R115+'On-Ramps'!AK115</f>
        <v>#DIV/0!</v>
      </c>
      <c r="AA115" s="58" t="e">
        <f>Links!S115</f>
        <v>#DIV/0!</v>
      </c>
      <c r="AB115" s="57" t="e">
        <f t="shared" si="43"/>
        <v>#DIV/0!</v>
      </c>
      <c r="AC115" s="63"/>
      <c r="AD115" s="57" t="e">
        <f t="shared" si="44"/>
        <v>#DIV/0!</v>
      </c>
      <c r="AE115" s="63"/>
      <c r="AF115" s="57" t="e">
        <f t="shared" si="45"/>
        <v>#DIV/0!</v>
      </c>
      <c r="AG115" s="57" t="e">
        <f t="shared" si="46"/>
        <v>#DIV/0!</v>
      </c>
      <c r="AH115" s="57" t="e">
        <f t="shared" si="47"/>
        <v>#DIV/0!</v>
      </c>
      <c r="AI115" s="57" t="e">
        <f t="shared" si="48"/>
        <v>#DIV/0!</v>
      </c>
      <c r="AJ115" s="57" t="e">
        <f t="shared" si="49"/>
        <v>#DIV/0!</v>
      </c>
      <c r="AK115" s="57" t="e">
        <f t="shared" si="50"/>
        <v>#DIV/0!</v>
      </c>
      <c r="AL115" s="57" t="e">
        <f t="shared" si="51"/>
        <v>#DIV/0!</v>
      </c>
      <c r="AM115" s="63"/>
      <c r="AN115" s="57" t="e">
        <f t="shared" si="53"/>
        <v>#DIV/0!</v>
      </c>
      <c r="AO115" s="58" t="e">
        <f t="shared" si="29"/>
        <v>#DIV/0!</v>
      </c>
      <c r="AP115" s="63"/>
      <c r="AQ115" s="58" t="e">
        <f t="shared" si="54"/>
        <v>#DIV/0!</v>
      </c>
      <c r="AR115" s="63"/>
      <c r="AS115" s="58" t="e">
        <f t="shared" si="54"/>
        <v>#DIV/0!</v>
      </c>
      <c r="AT115" s="58" t="e">
        <f t="shared" si="54"/>
        <v>#DIV/0!</v>
      </c>
      <c r="AU115" s="58" t="e">
        <f t="shared" si="54"/>
        <v>#DIV/0!</v>
      </c>
      <c r="AV115" s="58" t="e">
        <f t="shared" si="54"/>
        <v>#DIV/0!</v>
      </c>
      <c r="AW115" s="58" t="e">
        <f t="shared" si="54"/>
        <v>#DIV/0!</v>
      </c>
      <c r="AX115" s="58" t="e">
        <f t="shared" si="54"/>
        <v>#DIV/0!</v>
      </c>
      <c r="AY115" s="58" t="e">
        <f t="shared" si="54"/>
        <v>#DIV/0!</v>
      </c>
      <c r="AZ115" s="63"/>
      <c r="BA115" s="58" t="e">
        <f t="shared" si="54"/>
        <v>#DIV/0!</v>
      </c>
      <c r="BB115" s="63"/>
      <c r="BC115" s="57" t="e">
        <f>(Links!C115*Links!AQ115+'On-Ramps'!AC115*'On-Ramps'!CE115)/('On-Ramps'!AC115+Links!C115)</f>
        <v>#DIV/0!</v>
      </c>
      <c r="BD115" s="63"/>
      <c r="BE115" s="57" t="e">
        <f>(Links!E115*Links!AS115+'On-Ramps'!AD115*'On-Ramps'!CF114)/('On-Ramps'!AD115+Links!E115)</f>
        <v>#DIV/0!</v>
      </c>
      <c r="BF115" s="57" t="e">
        <f>(Links!F115*Links!AT115+'On-Ramps'!AE115*'On-Ramps'!CG115)/('On-Ramps'!AE115+Links!F115)</f>
        <v>#DIV/0!</v>
      </c>
      <c r="BG115" s="57" t="e">
        <f>(Links!I115*Links!AW115+'On-Ramps'!AF115*'On-Ramps'!CH115)/('On-Ramps'!AF115+Links!I115)</f>
        <v>#DIV/0!</v>
      </c>
      <c r="BH115" s="57" t="e">
        <f>(#REF!*#REF!+'On-Ramps'!AG115*'On-Ramps'!CI115)/('On-Ramps'!AG115+#REF!)</f>
        <v>#REF!</v>
      </c>
      <c r="BI115" s="57" t="e">
        <f>(Links!L115*Links!AZ115+'On-Ramps'!AH115*'On-Ramps'!CJ115)/('On-Ramps'!AH115+Links!L115)</f>
        <v>#DIV/0!</v>
      </c>
      <c r="BJ115" s="57" t="e">
        <f>(Links!BA115*Links!M115+'On-Ramps'!AI115*'On-Ramps'!CK115)/('On-Ramps'!AI115+Links!M115)</f>
        <v>#DIV/0!</v>
      </c>
      <c r="BK115" s="57" t="e">
        <f>(Links!S115*Links!BG115+'On-Ramps'!AJ115*'On-Ramps'!CL115)/('On-Ramps'!AJ115+Links!S115)</f>
        <v>#DIV/0!</v>
      </c>
      <c r="BL115" s="63"/>
      <c r="BM115" s="57" t="e">
        <f>(Links!S115*Links!BG115+'On-Ramps'!AL115*'On-Ramps'!CM115)/(Links!S115+'On-Ramps'!AL115)</f>
        <v>#DIV/0!</v>
      </c>
      <c r="BN115" s="63"/>
      <c r="BO115" s="58" t="e">
        <f>(Links!W115^2+'Off-Ramp'!L115^2)/(Links!W115+'Off-Ramp'!L115)</f>
        <v>#DIV/0!</v>
      </c>
      <c r="BP115" s="63"/>
      <c r="BQ115" s="58" t="e">
        <f>(Links!Y115^2+'Off-Ramp'!C115^2)/(Links!Y115+'Off-Ramp'!C115)</f>
        <v>#DIV/0!</v>
      </c>
      <c r="BR115" s="63"/>
      <c r="BS115" s="58" t="e">
        <f>(Links!AA115^2+'Off-Ramp'!N115^2)/(Links!AA115+'Off-Ramp'!N115)</f>
        <v>#DIV/0!</v>
      </c>
      <c r="BT115" s="58" t="e">
        <f>(Links!AD115^2+'Off-Ramp'!O115^2)/(Links!AD115+'Off-Ramp'!O115)</f>
        <v>#DIV/0!</v>
      </c>
      <c r="BU115" s="58" t="e">
        <f>(Links!AE115^2+'Off-Ramp'!V115^2+'Off-Ramp'!W115^2+'Off-Ramp'!X115^2)/(Links!AE115+'Off-Ramp'!V115+'Off-Ramp'!W115+'Off-Ramp'!X115)</f>
        <v>#DIV/0!</v>
      </c>
      <c r="BV115" s="58" t="e">
        <f>(Links!AG115^2+'Off-Ramp'!Y115^2+'Off-Ramp'!Z115^2+'Off-Ramp'!AA115^2)/(Links!AG115+'Off-Ramp'!Y115+'Off-Ramp'!Z115+'Off-Ramp'!AA115)</f>
        <v>#DIV/0!</v>
      </c>
      <c r="BW115" s="58" t="e">
        <f>(Links!AH115^2+'Off-Ramp'!R115^2)/(Links!AH115+'Off-Ramp'!R115)</f>
        <v>#DIV/0!</v>
      </c>
      <c r="BX115" s="58" t="e">
        <f>(Links!AK115^2+'Off-Ramp'!S115^2)/(Links!AK115+'Off-Ramp'!S115)</f>
        <v>#DIV/0!</v>
      </c>
      <c r="BY115" s="58" t="e">
        <f>(Links!AL115^2+'Off-Ramp'!T115^2)/(Links!AL115+'Off-Ramp'!T115)</f>
        <v>#DIV/0!</v>
      </c>
      <c r="BZ115" s="63"/>
      <c r="CA115" s="58" t="e">
        <f>(Links!AN115^2+'Off-Ramp'!U115^2)/(Links!AN115+'Off-Ramp'!U115)</f>
        <v>#DIV/0!</v>
      </c>
    </row>
    <row r="116" spans="1:79" x14ac:dyDescent="0.15">
      <c r="A116" s="56">
        <v>114</v>
      </c>
      <c r="B116" s="57" t="e">
        <f t="shared" si="30"/>
        <v>#DIV/0!</v>
      </c>
      <c r="C116" s="57" t="e">
        <f t="shared" si="31"/>
        <v>#DIV/0!</v>
      </c>
      <c r="D116" s="57" t="e">
        <f t="shared" si="32"/>
        <v>#DIV/0!</v>
      </c>
      <c r="E116" s="57" t="e">
        <f t="shared" si="33"/>
        <v>#DIV/0!</v>
      </c>
      <c r="F116" s="57" t="e">
        <f t="shared" si="34"/>
        <v>#DIV/0!</v>
      </c>
      <c r="G116" s="57" t="e">
        <f t="shared" si="35"/>
        <v>#DIV/0!</v>
      </c>
      <c r="H116" s="57" t="e">
        <f t="shared" si="36"/>
        <v>#DIV/0!</v>
      </c>
      <c r="I116" s="57" t="e">
        <f t="shared" si="37"/>
        <v>#DIV/0!</v>
      </c>
      <c r="J116" s="57" t="e">
        <f t="shared" si="38"/>
        <v>#DIV/0!</v>
      </c>
      <c r="K116" s="57" t="e">
        <f t="shared" si="39"/>
        <v>#DIV/0!</v>
      </c>
      <c r="L116" s="57" t="e">
        <f t="shared" si="40"/>
        <v>#DIV/0!</v>
      </c>
      <c r="M116" s="57" t="e">
        <f t="shared" si="41"/>
        <v>#DIV/0!</v>
      </c>
      <c r="N116" s="57" t="e">
        <f t="shared" si="42"/>
        <v>#DIV/0!</v>
      </c>
      <c r="O116" s="58" t="e">
        <f>Links!B116</f>
        <v>#DIV/0!</v>
      </c>
      <c r="P116" s="58" t="e">
        <f>Links!C116+'On-Ramps'!AC116</f>
        <v>#DIV/0!</v>
      </c>
      <c r="Q116" s="58" t="e">
        <f>Links!D116</f>
        <v>#DIV/0!</v>
      </c>
      <c r="R116" s="58" t="e">
        <f>Links!E116+'On-Ramps'!AD116</f>
        <v>#DIV/0!</v>
      </c>
      <c r="S116" s="58" t="e">
        <f>Links!F116+'On-Ramps'!AE116</f>
        <v>#DIV/0!</v>
      </c>
      <c r="T116" s="58" t="e">
        <f>Links!I116+'On-Ramps'!AF116</f>
        <v>#DIV/0!</v>
      </c>
      <c r="U116" s="58" t="e">
        <f>Links!J116+'On-Ramps'!AG116</f>
        <v>#DIV/0!</v>
      </c>
      <c r="V116" s="58" t="e">
        <f>Links!L116+'On-Ramps'!AH116</f>
        <v>#DIV/0!</v>
      </c>
      <c r="W116" s="58" t="e">
        <f>Links!M116+'On-Ramps'!AI116</f>
        <v>#DIV/0!</v>
      </c>
      <c r="X116" s="58" t="e">
        <f>Links!P116+'On-Ramps'!AJ116</f>
        <v>#DIV/0!</v>
      </c>
      <c r="Y116" s="58" t="e">
        <f>Links!Q116</f>
        <v>#DIV/0!</v>
      </c>
      <c r="Z116" s="58" t="e">
        <f>Links!R116+'On-Ramps'!AK116</f>
        <v>#DIV/0!</v>
      </c>
      <c r="AA116" s="58" t="e">
        <f>Links!S116</f>
        <v>#DIV/0!</v>
      </c>
      <c r="AB116" s="57" t="e">
        <f t="shared" si="43"/>
        <v>#DIV/0!</v>
      </c>
      <c r="AC116" s="63"/>
      <c r="AD116" s="57" t="e">
        <f t="shared" si="44"/>
        <v>#DIV/0!</v>
      </c>
      <c r="AE116" s="63"/>
      <c r="AF116" s="57" t="e">
        <f t="shared" si="45"/>
        <v>#DIV/0!</v>
      </c>
      <c r="AG116" s="57" t="e">
        <f t="shared" si="46"/>
        <v>#DIV/0!</v>
      </c>
      <c r="AH116" s="57" t="e">
        <f t="shared" si="47"/>
        <v>#DIV/0!</v>
      </c>
      <c r="AI116" s="57" t="e">
        <f t="shared" si="48"/>
        <v>#DIV/0!</v>
      </c>
      <c r="AJ116" s="57" t="e">
        <f t="shared" si="49"/>
        <v>#DIV/0!</v>
      </c>
      <c r="AK116" s="57" t="e">
        <f t="shared" si="50"/>
        <v>#DIV/0!</v>
      </c>
      <c r="AL116" s="57" t="e">
        <f t="shared" si="51"/>
        <v>#DIV/0!</v>
      </c>
      <c r="AM116" s="63"/>
      <c r="AN116" s="57" t="e">
        <f t="shared" si="53"/>
        <v>#DIV/0!</v>
      </c>
      <c r="AO116" s="58" t="e">
        <f t="shared" si="29"/>
        <v>#DIV/0!</v>
      </c>
      <c r="AP116" s="63"/>
      <c r="AQ116" s="58" t="e">
        <f t="shared" si="54"/>
        <v>#DIV/0!</v>
      </c>
      <c r="AR116" s="63"/>
      <c r="AS116" s="58" t="e">
        <f t="shared" si="54"/>
        <v>#DIV/0!</v>
      </c>
      <c r="AT116" s="58" t="e">
        <f t="shared" si="54"/>
        <v>#DIV/0!</v>
      </c>
      <c r="AU116" s="58" t="e">
        <f t="shared" si="54"/>
        <v>#DIV/0!</v>
      </c>
      <c r="AV116" s="58" t="e">
        <f t="shared" si="54"/>
        <v>#DIV/0!</v>
      </c>
      <c r="AW116" s="58" t="e">
        <f t="shared" si="54"/>
        <v>#DIV/0!</v>
      </c>
      <c r="AX116" s="58" t="e">
        <f t="shared" si="54"/>
        <v>#DIV/0!</v>
      </c>
      <c r="AY116" s="58" t="e">
        <f t="shared" si="54"/>
        <v>#DIV/0!</v>
      </c>
      <c r="AZ116" s="63"/>
      <c r="BA116" s="58" t="e">
        <f t="shared" si="54"/>
        <v>#DIV/0!</v>
      </c>
      <c r="BB116" s="63"/>
      <c r="BC116" s="57" t="e">
        <f>(Links!C116*Links!AQ116+'On-Ramps'!AC116*'On-Ramps'!CE116)/('On-Ramps'!AC116+Links!C116)</f>
        <v>#DIV/0!</v>
      </c>
      <c r="BD116" s="63"/>
      <c r="BE116" s="57" t="e">
        <f>(Links!E116*Links!AS116+'On-Ramps'!AD116*'On-Ramps'!CF115)/('On-Ramps'!AD116+Links!E116)</f>
        <v>#DIV/0!</v>
      </c>
      <c r="BF116" s="57" t="e">
        <f>(Links!F116*Links!AT116+'On-Ramps'!AE116*'On-Ramps'!CG116)/('On-Ramps'!AE116+Links!F116)</f>
        <v>#DIV/0!</v>
      </c>
      <c r="BG116" s="57" t="e">
        <f>(Links!I116*Links!AW116+'On-Ramps'!AF116*'On-Ramps'!CH116)/('On-Ramps'!AF116+Links!I116)</f>
        <v>#DIV/0!</v>
      </c>
      <c r="BH116" s="57" t="e">
        <f>(#REF!*#REF!+'On-Ramps'!AG116*'On-Ramps'!CI116)/('On-Ramps'!AG116+#REF!)</f>
        <v>#REF!</v>
      </c>
      <c r="BI116" s="57" t="e">
        <f>(Links!L116*Links!AZ116+'On-Ramps'!AH116*'On-Ramps'!CJ116)/('On-Ramps'!AH116+Links!L116)</f>
        <v>#DIV/0!</v>
      </c>
      <c r="BJ116" s="57" t="e">
        <f>(Links!BA116*Links!M116+'On-Ramps'!AI116*'On-Ramps'!CK116)/('On-Ramps'!AI116+Links!M116)</f>
        <v>#DIV/0!</v>
      </c>
      <c r="BK116" s="57" t="e">
        <f>(Links!S116*Links!BG116+'On-Ramps'!AJ116*'On-Ramps'!CL116)/('On-Ramps'!AJ116+Links!S116)</f>
        <v>#DIV/0!</v>
      </c>
      <c r="BL116" s="63"/>
      <c r="BM116" s="57" t="e">
        <f>(Links!S116*Links!BG116+'On-Ramps'!AL116*'On-Ramps'!CM116)/(Links!S116+'On-Ramps'!AL116)</f>
        <v>#DIV/0!</v>
      </c>
      <c r="BN116" s="63"/>
      <c r="BO116" s="58" t="e">
        <f>(Links!W116^2+'Off-Ramp'!L116^2)/(Links!W116+'Off-Ramp'!L116)</f>
        <v>#DIV/0!</v>
      </c>
      <c r="BP116" s="63"/>
      <c r="BQ116" s="58" t="e">
        <f>(Links!Y116^2+'Off-Ramp'!C116^2)/(Links!Y116+'Off-Ramp'!C116)</f>
        <v>#DIV/0!</v>
      </c>
      <c r="BR116" s="63"/>
      <c r="BS116" s="58" t="e">
        <f>(Links!AA116^2+'Off-Ramp'!N116^2)/(Links!AA116+'Off-Ramp'!N116)</f>
        <v>#DIV/0!</v>
      </c>
      <c r="BT116" s="58" t="e">
        <f>(Links!AD116^2+'Off-Ramp'!O116^2)/(Links!AD116+'Off-Ramp'!O116)</f>
        <v>#DIV/0!</v>
      </c>
      <c r="BU116" s="58" t="e">
        <f>(Links!AE116^2+'Off-Ramp'!V116^2+'Off-Ramp'!W116^2+'Off-Ramp'!X116^2)/(Links!AE116+'Off-Ramp'!V116+'Off-Ramp'!W116+'Off-Ramp'!X116)</f>
        <v>#DIV/0!</v>
      </c>
      <c r="BV116" s="58" t="e">
        <f>(Links!AG116^2+'Off-Ramp'!Y116^2+'Off-Ramp'!Z116^2+'Off-Ramp'!AA116^2)/(Links!AG116+'Off-Ramp'!Y116+'Off-Ramp'!Z116+'Off-Ramp'!AA116)</f>
        <v>#DIV/0!</v>
      </c>
      <c r="BW116" s="58" t="e">
        <f>(Links!AH116^2+'Off-Ramp'!R116^2)/(Links!AH116+'Off-Ramp'!R116)</f>
        <v>#DIV/0!</v>
      </c>
      <c r="BX116" s="58" t="e">
        <f>(Links!AK116^2+'Off-Ramp'!S116^2)/(Links!AK116+'Off-Ramp'!S116)</f>
        <v>#DIV/0!</v>
      </c>
      <c r="BY116" s="58" t="e">
        <f>(Links!AL116^2+'Off-Ramp'!T116^2)/(Links!AL116+'Off-Ramp'!T116)</f>
        <v>#DIV/0!</v>
      </c>
      <c r="BZ116" s="63"/>
      <c r="CA116" s="58" t="e">
        <f>(Links!AN116^2+'Off-Ramp'!U116^2)/(Links!AN116+'Off-Ramp'!U116)</f>
        <v>#DIV/0!</v>
      </c>
    </row>
    <row r="117" spans="1:79" x14ac:dyDescent="0.15">
      <c r="A117" s="56">
        <v>115</v>
      </c>
      <c r="B117" s="57" t="e">
        <f t="shared" si="30"/>
        <v>#DIV/0!</v>
      </c>
      <c r="C117" s="57" t="e">
        <f t="shared" si="31"/>
        <v>#DIV/0!</v>
      </c>
      <c r="D117" s="57" t="e">
        <f t="shared" si="32"/>
        <v>#DIV/0!</v>
      </c>
      <c r="E117" s="57" t="e">
        <f t="shared" si="33"/>
        <v>#DIV/0!</v>
      </c>
      <c r="F117" s="57" t="e">
        <f t="shared" si="34"/>
        <v>#DIV/0!</v>
      </c>
      <c r="G117" s="57" t="e">
        <f t="shared" si="35"/>
        <v>#DIV/0!</v>
      </c>
      <c r="H117" s="57" t="e">
        <f t="shared" si="36"/>
        <v>#DIV/0!</v>
      </c>
      <c r="I117" s="57" t="e">
        <f t="shared" si="37"/>
        <v>#DIV/0!</v>
      </c>
      <c r="J117" s="57" t="e">
        <f t="shared" si="38"/>
        <v>#DIV/0!</v>
      </c>
      <c r="K117" s="57" t="e">
        <f t="shared" si="39"/>
        <v>#DIV/0!</v>
      </c>
      <c r="L117" s="57" t="e">
        <f t="shared" si="40"/>
        <v>#DIV/0!</v>
      </c>
      <c r="M117" s="57" t="e">
        <f t="shared" si="41"/>
        <v>#DIV/0!</v>
      </c>
      <c r="N117" s="57" t="e">
        <f t="shared" si="42"/>
        <v>#DIV/0!</v>
      </c>
      <c r="O117" s="58" t="e">
        <f>Links!B117</f>
        <v>#DIV/0!</v>
      </c>
      <c r="P117" s="58" t="e">
        <f>Links!C117+'On-Ramps'!AC117</f>
        <v>#DIV/0!</v>
      </c>
      <c r="Q117" s="58" t="e">
        <f>Links!D117</f>
        <v>#DIV/0!</v>
      </c>
      <c r="R117" s="58" t="e">
        <f>Links!E117+'On-Ramps'!AD117</f>
        <v>#DIV/0!</v>
      </c>
      <c r="S117" s="58" t="e">
        <f>Links!F117+'On-Ramps'!AE117</f>
        <v>#DIV/0!</v>
      </c>
      <c r="T117" s="58" t="e">
        <f>Links!I117+'On-Ramps'!AF117</f>
        <v>#DIV/0!</v>
      </c>
      <c r="U117" s="58" t="e">
        <f>Links!J117+'On-Ramps'!AG117</f>
        <v>#DIV/0!</v>
      </c>
      <c r="V117" s="58" t="e">
        <f>Links!L117+'On-Ramps'!AH117</f>
        <v>#DIV/0!</v>
      </c>
      <c r="W117" s="58" t="e">
        <f>Links!M117+'On-Ramps'!AI117</f>
        <v>#DIV/0!</v>
      </c>
      <c r="X117" s="58" t="e">
        <f>Links!P117+'On-Ramps'!AJ117</f>
        <v>#DIV/0!</v>
      </c>
      <c r="Y117" s="58" t="e">
        <f>Links!Q117</f>
        <v>#DIV/0!</v>
      </c>
      <c r="Z117" s="58" t="e">
        <f>Links!R117+'On-Ramps'!AK117</f>
        <v>#DIV/0!</v>
      </c>
      <c r="AA117" s="58" t="e">
        <f>Links!S117</f>
        <v>#DIV/0!</v>
      </c>
      <c r="AB117" s="57" t="e">
        <f t="shared" si="43"/>
        <v>#DIV/0!</v>
      </c>
      <c r="AC117" s="63"/>
      <c r="AD117" s="57" t="e">
        <f t="shared" si="44"/>
        <v>#DIV/0!</v>
      </c>
      <c r="AE117" s="63"/>
      <c r="AF117" s="57" t="e">
        <f t="shared" si="45"/>
        <v>#DIV/0!</v>
      </c>
      <c r="AG117" s="57" t="e">
        <f t="shared" si="46"/>
        <v>#DIV/0!</v>
      </c>
      <c r="AH117" s="57" t="e">
        <f t="shared" si="47"/>
        <v>#DIV/0!</v>
      </c>
      <c r="AI117" s="57" t="e">
        <f t="shared" si="48"/>
        <v>#DIV/0!</v>
      </c>
      <c r="AJ117" s="57" t="e">
        <f t="shared" si="49"/>
        <v>#DIV/0!</v>
      </c>
      <c r="AK117" s="57" t="e">
        <f t="shared" si="50"/>
        <v>#DIV/0!</v>
      </c>
      <c r="AL117" s="57" t="e">
        <f t="shared" si="51"/>
        <v>#DIV/0!</v>
      </c>
      <c r="AM117" s="63"/>
      <c r="AN117" s="57" t="e">
        <f t="shared" si="53"/>
        <v>#DIV/0!</v>
      </c>
      <c r="AO117" s="58" t="e">
        <f t="shared" si="29"/>
        <v>#DIV/0!</v>
      </c>
      <c r="AP117" s="63"/>
      <c r="AQ117" s="58" t="e">
        <f t="shared" si="54"/>
        <v>#DIV/0!</v>
      </c>
      <c r="AR117" s="63"/>
      <c r="AS117" s="58" t="e">
        <f t="shared" si="54"/>
        <v>#DIV/0!</v>
      </c>
      <c r="AT117" s="58" t="e">
        <f t="shared" si="54"/>
        <v>#DIV/0!</v>
      </c>
      <c r="AU117" s="58" t="e">
        <f t="shared" si="54"/>
        <v>#DIV/0!</v>
      </c>
      <c r="AV117" s="58" t="e">
        <f t="shared" si="54"/>
        <v>#DIV/0!</v>
      </c>
      <c r="AW117" s="58" t="e">
        <f t="shared" si="54"/>
        <v>#DIV/0!</v>
      </c>
      <c r="AX117" s="58" t="e">
        <f t="shared" si="54"/>
        <v>#DIV/0!</v>
      </c>
      <c r="AY117" s="58" t="e">
        <f t="shared" si="54"/>
        <v>#DIV/0!</v>
      </c>
      <c r="AZ117" s="63"/>
      <c r="BA117" s="58" t="e">
        <f t="shared" si="54"/>
        <v>#DIV/0!</v>
      </c>
      <c r="BB117" s="63"/>
      <c r="BC117" s="57" t="e">
        <f>(Links!C117*Links!AQ117+'On-Ramps'!AC117*'On-Ramps'!CE117)/('On-Ramps'!AC117+Links!C117)</f>
        <v>#DIV/0!</v>
      </c>
      <c r="BD117" s="63"/>
      <c r="BE117" s="57" t="e">
        <f>(Links!E117*Links!AS117+'On-Ramps'!AD117*'On-Ramps'!CF116)/('On-Ramps'!AD117+Links!E117)</f>
        <v>#DIV/0!</v>
      </c>
      <c r="BF117" s="57" t="e">
        <f>(Links!F117*Links!AT117+'On-Ramps'!AE117*'On-Ramps'!CG117)/('On-Ramps'!AE117+Links!F117)</f>
        <v>#DIV/0!</v>
      </c>
      <c r="BG117" s="57" t="e">
        <f>(Links!I117*Links!AW117+'On-Ramps'!AF117*'On-Ramps'!CH117)/('On-Ramps'!AF117+Links!I117)</f>
        <v>#DIV/0!</v>
      </c>
      <c r="BH117" s="57" t="e">
        <f>(#REF!*#REF!+'On-Ramps'!AG117*'On-Ramps'!CI117)/('On-Ramps'!AG117+#REF!)</f>
        <v>#REF!</v>
      </c>
      <c r="BI117" s="57" t="e">
        <f>(Links!L117*Links!AZ117+'On-Ramps'!AH117*'On-Ramps'!CJ117)/('On-Ramps'!AH117+Links!L117)</f>
        <v>#DIV/0!</v>
      </c>
      <c r="BJ117" s="57" t="e">
        <f>(Links!BA117*Links!M117+'On-Ramps'!AI117*'On-Ramps'!CK117)/('On-Ramps'!AI117+Links!M117)</f>
        <v>#DIV/0!</v>
      </c>
      <c r="BK117" s="57" t="e">
        <f>(Links!S117*Links!BG117+'On-Ramps'!AJ117*'On-Ramps'!CL117)/('On-Ramps'!AJ117+Links!S117)</f>
        <v>#DIV/0!</v>
      </c>
      <c r="BL117" s="63"/>
      <c r="BM117" s="57" t="e">
        <f>(Links!S117*Links!BG117+'On-Ramps'!AL117*'On-Ramps'!CM117)/(Links!S117+'On-Ramps'!AL117)</f>
        <v>#DIV/0!</v>
      </c>
      <c r="BN117" s="63"/>
      <c r="BO117" s="58" t="e">
        <f>(Links!W117^2+'Off-Ramp'!L117^2)/(Links!W117+'Off-Ramp'!L117)</f>
        <v>#DIV/0!</v>
      </c>
      <c r="BP117" s="63"/>
      <c r="BQ117" s="58" t="e">
        <f>(Links!Y117^2+'Off-Ramp'!C117^2)/(Links!Y117+'Off-Ramp'!C117)</f>
        <v>#DIV/0!</v>
      </c>
      <c r="BR117" s="63"/>
      <c r="BS117" s="58" t="e">
        <f>(Links!AA117^2+'Off-Ramp'!N117^2)/(Links!AA117+'Off-Ramp'!N117)</f>
        <v>#DIV/0!</v>
      </c>
      <c r="BT117" s="58" t="e">
        <f>(Links!AD117^2+'Off-Ramp'!O117^2)/(Links!AD117+'Off-Ramp'!O117)</f>
        <v>#DIV/0!</v>
      </c>
      <c r="BU117" s="58" t="e">
        <f>(Links!AE117^2+'Off-Ramp'!V117^2+'Off-Ramp'!W117^2+'Off-Ramp'!X117^2)/(Links!AE117+'Off-Ramp'!V117+'Off-Ramp'!W117+'Off-Ramp'!X117)</f>
        <v>#DIV/0!</v>
      </c>
      <c r="BV117" s="58" t="e">
        <f>(Links!AG117^2+'Off-Ramp'!Y117^2+'Off-Ramp'!Z117^2+'Off-Ramp'!AA117^2)/(Links!AG117+'Off-Ramp'!Y117+'Off-Ramp'!Z117+'Off-Ramp'!AA117)</f>
        <v>#DIV/0!</v>
      </c>
      <c r="BW117" s="58" t="e">
        <f>(Links!AH117^2+'Off-Ramp'!R117^2)/(Links!AH117+'Off-Ramp'!R117)</f>
        <v>#DIV/0!</v>
      </c>
      <c r="BX117" s="58" t="e">
        <f>(Links!AK117^2+'Off-Ramp'!S117^2)/(Links!AK117+'Off-Ramp'!S117)</f>
        <v>#DIV/0!</v>
      </c>
      <c r="BY117" s="58" t="e">
        <f>(Links!AL117^2+'Off-Ramp'!T117^2)/(Links!AL117+'Off-Ramp'!T117)</f>
        <v>#DIV/0!</v>
      </c>
      <c r="BZ117" s="63"/>
      <c r="CA117" s="58" t="e">
        <f>(Links!AN117^2+'Off-Ramp'!U117^2)/(Links!AN117+'Off-Ramp'!U117)</f>
        <v>#DIV/0!</v>
      </c>
    </row>
    <row r="118" spans="1:79" x14ac:dyDescent="0.15">
      <c r="A118" s="56">
        <v>116</v>
      </c>
      <c r="B118" s="57" t="e">
        <f t="shared" si="30"/>
        <v>#DIV/0!</v>
      </c>
      <c r="C118" s="57" t="e">
        <f t="shared" si="31"/>
        <v>#DIV/0!</v>
      </c>
      <c r="D118" s="57" t="e">
        <f t="shared" si="32"/>
        <v>#DIV/0!</v>
      </c>
      <c r="E118" s="57" t="e">
        <f t="shared" si="33"/>
        <v>#DIV/0!</v>
      </c>
      <c r="F118" s="57" t="e">
        <f t="shared" si="34"/>
        <v>#DIV/0!</v>
      </c>
      <c r="G118" s="57" t="e">
        <f t="shared" si="35"/>
        <v>#DIV/0!</v>
      </c>
      <c r="H118" s="57" t="e">
        <f t="shared" si="36"/>
        <v>#DIV/0!</v>
      </c>
      <c r="I118" s="57" t="e">
        <f t="shared" si="37"/>
        <v>#DIV/0!</v>
      </c>
      <c r="J118" s="57" t="e">
        <f t="shared" si="38"/>
        <v>#DIV/0!</v>
      </c>
      <c r="K118" s="57" t="e">
        <f t="shared" si="39"/>
        <v>#DIV/0!</v>
      </c>
      <c r="L118" s="57" t="e">
        <f t="shared" si="40"/>
        <v>#DIV/0!</v>
      </c>
      <c r="M118" s="57" t="e">
        <f t="shared" si="41"/>
        <v>#DIV/0!</v>
      </c>
      <c r="N118" s="57" t="e">
        <f t="shared" si="42"/>
        <v>#DIV/0!</v>
      </c>
      <c r="O118" s="58" t="e">
        <f>Links!B118</f>
        <v>#DIV/0!</v>
      </c>
      <c r="P118" s="58" t="e">
        <f>Links!C118+'On-Ramps'!AC118</f>
        <v>#DIV/0!</v>
      </c>
      <c r="Q118" s="58" t="e">
        <f>Links!D118</f>
        <v>#DIV/0!</v>
      </c>
      <c r="R118" s="58" t="e">
        <f>Links!E118+'On-Ramps'!AD118</f>
        <v>#DIV/0!</v>
      </c>
      <c r="S118" s="58" t="e">
        <f>Links!F118+'On-Ramps'!AE118</f>
        <v>#DIV/0!</v>
      </c>
      <c r="T118" s="58" t="e">
        <f>Links!I118+'On-Ramps'!AF118</f>
        <v>#DIV/0!</v>
      </c>
      <c r="U118" s="58" t="e">
        <f>Links!J118+'On-Ramps'!AG118</f>
        <v>#DIV/0!</v>
      </c>
      <c r="V118" s="58" t="e">
        <f>Links!L118+'On-Ramps'!AH118</f>
        <v>#DIV/0!</v>
      </c>
      <c r="W118" s="58" t="e">
        <f>Links!M118+'On-Ramps'!AI118</f>
        <v>#DIV/0!</v>
      </c>
      <c r="X118" s="58" t="e">
        <f>Links!P118+'On-Ramps'!AJ118</f>
        <v>#DIV/0!</v>
      </c>
      <c r="Y118" s="58" t="e">
        <f>Links!Q118</f>
        <v>#DIV/0!</v>
      </c>
      <c r="Z118" s="58" t="e">
        <f>Links!R118+'On-Ramps'!AK118</f>
        <v>#DIV/0!</v>
      </c>
      <c r="AA118" s="58" t="e">
        <f>Links!S118</f>
        <v>#DIV/0!</v>
      </c>
      <c r="AB118" s="57" t="e">
        <f t="shared" si="43"/>
        <v>#DIV/0!</v>
      </c>
      <c r="AC118" s="63"/>
      <c r="AD118" s="57" t="e">
        <f t="shared" si="44"/>
        <v>#DIV/0!</v>
      </c>
      <c r="AE118" s="63"/>
      <c r="AF118" s="57" t="e">
        <f t="shared" si="45"/>
        <v>#DIV/0!</v>
      </c>
      <c r="AG118" s="57" t="e">
        <f t="shared" si="46"/>
        <v>#DIV/0!</v>
      </c>
      <c r="AH118" s="57" t="e">
        <f t="shared" si="47"/>
        <v>#DIV/0!</v>
      </c>
      <c r="AI118" s="57" t="e">
        <f t="shared" si="48"/>
        <v>#DIV/0!</v>
      </c>
      <c r="AJ118" s="57" t="e">
        <f t="shared" si="49"/>
        <v>#DIV/0!</v>
      </c>
      <c r="AK118" s="57" t="e">
        <f t="shared" si="50"/>
        <v>#DIV/0!</v>
      </c>
      <c r="AL118" s="57" t="e">
        <f t="shared" si="51"/>
        <v>#DIV/0!</v>
      </c>
      <c r="AM118" s="63"/>
      <c r="AN118" s="57" t="e">
        <f t="shared" si="53"/>
        <v>#DIV/0!</v>
      </c>
      <c r="AO118" s="58" t="e">
        <f t="shared" si="29"/>
        <v>#DIV/0!</v>
      </c>
      <c r="AP118" s="63"/>
      <c r="AQ118" s="58" t="e">
        <f t="shared" si="54"/>
        <v>#DIV/0!</v>
      </c>
      <c r="AR118" s="63"/>
      <c r="AS118" s="58" t="e">
        <f t="shared" si="54"/>
        <v>#DIV/0!</v>
      </c>
      <c r="AT118" s="58" t="e">
        <f t="shared" si="54"/>
        <v>#DIV/0!</v>
      </c>
      <c r="AU118" s="58" t="e">
        <f t="shared" si="54"/>
        <v>#DIV/0!</v>
      </c>
      <c r="AV118" s="58" t="e">
        <f t="shared" si="54"/>
        <v>#DIV/0!</v>
      </c>
      <c r="AW118" s="58" t="e">
        <f t="shared" si="54"/>
        <v>#DIV/0!</v>
      </c>
      <c r="AX118" s="58" t="e">
        <f t="shared" si="54"/>
        <v>#DIV/0!</v>
      </c>
      <c r="AY118" s="58" t="e">
        <f t="shared" si="54"/>
        <v>#DIV/0!</v>
      </c>
      <c r="AZ118" s="63"/>
      <c r="BA118" s="58" t="e">
        <f t="shared" si="54"/>
        <v>#DIV/0!</v>
      </c>
      <c r="BB118" s="63"/>
      <c r="BC118" s="57" t="e">
        <f>(Links!C118*Links!AQ118+'On-Ramps'!AC118*'On-Ramps'!CE118)/('On-Ramps'!AC118+Links!C118)</f>
        <v>#DIV/0!</v>
      </c>
      <c r="BD118" s="63"/>
      <c r="BE118" s="57" t="e">
        <f>(Links!E118*Links!AS118+'On-Ramps'!AD118*'On-Ramps'!CF117)/('On-Ramps'!AD118+Links!E118)</f>
        <v>#DIV/0!</v>
      </c>
      <c r="BF118" s="57" t="e">
        <f>(Links!F118*Links!AT118+'On-Ramps'!AE118*'On-Ramps'!CG118)/('On-Ramps'!AE118+Links!F118)</f>
        <v>#DIV/0!</v>
      </c>
      <c r="BG118" s="57" t="e">
        <f>(Links!I118*Links!AW118+'On-Ramps'!AF118*'On-Ramps'!CH118)/('On-Ramps'!AF118+Links!I118)</f>
        <v>#DIV/0!</v>
      </c>
      <c r="BH118" s="57" t="e">
        <f>(#REF!*#REF!+'On-Ramps'!AG118*'On-Ramps'!CI118)/('On-Ramps'!AG118+#REF!)</f>
        <v>#REF!</v>
      </c>
      <c r="BI118" s="57" t="e">
        <f>(Links!L118*Links!AZ118+'On-Ramps'!AH118*'On-Ramps'!CJ118)/('On-Ramps'!AH118+Links!L118)</f>
        <v>#DIV/0!</v>
      </c>
      <c r="BJ118" s="57" t="e">
        <f>(Links!BA118*Links!M118+'On-Ramps'!AI118*'On-Ramps'!CK118)/('On-Ramps'!AI118+Links!M118)</f>
        <v>#DIV/0!</v>
      </c>
      <c r="BK118" s="57" t="e">
        <f>(Links!S118*Links!BG118+'On-Ramps'!AJ118*'On-Ramps'!CL118)/('On-Ramps'!AJ118+Links!S118)</f>
        <v>#DIV/0!</v>
      </c>
      <c r="BL118" s="63"/>
      <c r="BM118" s="57" t="e">
        <f>(Links!S118*Links!BG118+'On-Ramps'!AL118*'On-Ramps'!CM118)/(Links!S118+'On-Ramps'!AL118)</f>
        <v>#DIV/0!</v>
      </c>
      <c r="BN118" s="63"/>
      <c r="BO118" s="58" t="e">
        <f>(Links!W118^2+'Off-Ramp'!L118^2)/(Links!W118+'Off-Ramp'!L118)</f>
        <v>#DIV/0!</v>
      </c>
      <c r="BP118" s="63"/>
      <c r="BQ118" s="58" t="e">
        <f>(Links!Y118^2+'Off-Ramp'!C118^2)/(Links!Y118+'Off-Ramp'!C118)</f>
        <v>#DIV/0!</v>
      </c>
      <c r="BR118" s="63"/>
      <c r="BS118" s="58" t="e">
        <f>(Links!AA118^2+'Off-Ramp'!N118^2)/(Links!AA118+'Off-Ramp'!N118)</f>
        <v>#DIV/0!</v>
      </c>
      <c r="BT118" s="58" t="e">
        <f>(Links!AD118^2+'Off-Ramp'!O118^2)/(Links!AD118+'Off-Ramp'!O118)</f>
        <v>#DIV/0!</v>
      </c>
      <c r="BU118" s="58" t="e">
        <f>(Links!AE118^2+'Off-Ramp'!V118^2+'Off-Ramp'!W118^2+'Off-Ramp'!X118^2)/(Links!AE118+'Off-Ramp'!V118+'Off-Ramp'!W118+'Off-Ramp'!X118)</f>
        <v>#DIV/0!</v>
      </c>
      <c r="BV118" s="58" t="e">
        <f>(Links!AG118^2+'Off-Ramp'!Y118^2+'Off-Ramp'!Z118^2+'Off-Ramp'!AA118^2)/(Links!AG118+'Off-Ramp'!Y118+'Off-Ramp'!Z118+'Off-Ramp'!AA118)</f>
        <v>#DIV/0!</v>
      </c>
      <c r="BW118" s="58" t="e">
        <f>(Links!AH118^2+'Off-Ramp'!R118^2)/(Links!AH118+'Off-Ramp'!R118)</f>
        <v>#DIV/0!</v>
      </c>
      <c r="BX118" s="58" t="e">
        <f>(Links!AK118^2+'Off-Ramp'!S118^2)/(Links!AK118+'Off-Ramp'!S118)</f>
        <v>#DIV/0!</v>
      </c>
      <c r="BY118" s="58" t="e">
        <f>(Links!AL118^2+'Off-Ramp'!T118^2)/(Links!AL118+'Off-Ramp'!T118)</f>
        <v>#DIV/0!</v>
      </c>
      <c r="BZ118" s="63"/>
      <c r="CA118" s="58" t="e">
        <f>(Links!AN118^2+'Off-Ramp'!U118^2)/(Links!AN118+'Off-Ramp'!U118)</f>
        <v>#DIV/0!</v>
      </c>
    </row>
    <row r="119" spans="1:79" x14ac:dyDescent="0.15">
      <c r="A119" s="56">
        <v>117</v>
      </c>
      <c r="B119" s="57" t="e">
        <f t="shared" si="30"/>
        <v>#DIV/0!</v>
      </c>
      <c r="C119" s="57" t="e">
        <f t="shared" si="31"/>
        <v>#DIV/0!</v>
      </c>
      <c r="D119" s="57" t="e">
        <f t="shared" si="32"/>
        <v>#DIV/0!</v>
      </c>
      <c r="E119" s="57" t="e">
        <f t="shared" si="33"/>
        <v>#DIV/0!</v>
      </c>
      <c r="F119" s="57" t="e">
        <f t="shared" si="34"/>
        <v>#DIV/0!</v>
      </c>
      <c r="G119" s="57" t="e">
        <f t="shared" si="35"/>
        <v>#DIV/0!</v>
      </c>
      <c r="H119" s="57" t="e">
        <f t="shared" si="36"/>
        <v>#DIV/0!</v>
      </c>
      <c r="I119" s="57" t="e">
        <f t="shared" si="37"/>
        <v>#DIV/0!</v>
      </c>
      <c r="J119" s="57" t="e">
        <f t="shared" si="38"/>
        <v>#DIV/0!</v>
      </c>
      <c r="K119" s="57" t="e">
        <f t="shared" si="39"/>
        <v>#DIV/0!</v>
      </c>
      <c r="L119" s="57" t="e">
        <f t="shared" si="40"/>
        <v>#DIV/0!</v>
      </c>
      <c r="M119" s="57" t="e">
        <f t="shared" si="41"/>
        <v>#DIV/0!</v>
      </c>
      <c r="N119" s="57" t="e">
        <f t="shared" si="42"/>
        <v>#DIV/0!</v>
      </c>
      <c r="O119" s="58" t="e">
        <f>Links!B119</f>
        <v>#DIV/0!</v>
      </c>
      <c r="P119" s="58" t="e">
        <f>Links!C119+'On-Ramps'!AC119</f>
        <v>#DIV/0!</v>
      </c>
      <c r="Q119" s="58" t="e">
        <f>Links!D119</f>
        <v>#DIV/0!</v>
      </c>
      <c r="R119" s="58" t="e">
        <f>Links!E119+'On-Ramps'!AD119</f>
        <v>#DIV/0!</v>
      </c>
      <c r="S119" s="58" t="e">
        <f>Links!F119+'On-Ramps'!AE119</f>
        <v>#DIV/0!</v>
      </c>
      <c r="T119" s="58" t="e">
        <f>Links!I119+'On-Ramps'!AF119</f>
        <v>#DIV/0!</v>
      </c>
      <c r="U119" s="58" t="e">
        <f>Links!J119+'On-Ramps'!AG119</f>
        <v>#DIV/0!</v>
      </c>
      <c r="V119" s="58" t="e">
        <f>Links!L119+'On-Ramps'!AH119</f>
        <v>#DIV/0!</v>
      </c>
      <c r="W119" s="58" t="e">
        <f>Links!M119+'On-Ramps'!AI119</f>
        <v>#DIV/0!</v>
      </c>
      <c r="X119" s="58" t="e">
        <f>Links!P119+'On-Ramps'!AJ119</f>
        <v>#DIV/0!</v>
      </c>
      <c r="Y119" s="58" t="e">
        <f>Links!Q119</f>
        <v>#DIV/0!</v>
      </c>
      <c r="Z119" s="58" t="e">
        <f>Links!R119+'On-Ramps'!AK119</f>
        <v>#DIV/0!</v>
      </c>
      <c r="AA119" s="58" t="e">
        <f>Links!S119</f>
        <v>#DIV/0!</v>
      </c>
      <c r="AB119" s="57" t="e">
        <f t="shared" si="43"/>
        <v>#DIV/0!</v>
      </c>
      <c r="AC119" s="63"/>
      <c r="AD119" s="57" t="e">
        <f t="shared" si="44"/>
        <v>#DIV/0!</v>
      </c>
      <c r="AE119" s="63"/>
      <c r="AF119" s="57" t="e">
        <f t="shared" si="45"/>
        <v>#DIV/0!</v>
      </c>
      <c r="AG119" s="57" t="e">
        <f t="shared" si="46"/>
        <v>#DIV/0!</v>
      </c>
      <c r="AH119" s="57" t="e">
        <f t="shared" si="47"/>
        <v>#DIV/0!</v>
      </c>
      <c r="AI119" s="57" t="e">
        <f t="shared" si="48"/>
        <v>#DIV/0!</v>
      </c>
      <c r="AJ119" s="57" t="e">
        <f t="shared" si="49"/>
        <v>#DIV/0!</v>
      </c>
      <c r="AK119" s="57" t="e">
        <f t="shared" si="50"/>
        <v>#DIV/0!</v>
      </c>
      <c r="AL119" s="57" t="e">
        <f t="shared" si="51"/>
        <v>#DIV/0!</v>
      </c>
      <c r="AM119" s="63"/>
      <c r="AN119" s="57" t="e">
        <f t="shared" si="53"/>
        <v>#DIV/0!</v>
      </c>
      <c r="AO119" s="58" t="e">
        <f t="shared" si="29"/>
        <v>#DIV/0!</v>
      </c>
      <c r="AP119" s="63"/>
      <c r="AQ119" s="58" t="e">
        <f t="shared" si="54"/>
        <v>#DIV/0!</v>
      </c>
      <c r="AR119" s="63"/>
      <c r="AS119" s="58" t="e">
        <f t="shared" si="54"/>
        <v>#DIV/0!</v>
      </c>
      <c r="AT119" s="58" t="e">
        <f t="shared" si="54"/>
        <v>#DIV/0!</v>
      </c>
      <c r="AU119" s="58" t="e">
        <f t="shared" si="54"/>
        <v>#DIV/0!</v>
      </c>
      <c r="AV119" s="58" t="e">
        <f t="shared" si="54"/>
        <v>#DIV/0!</v>
      </c>
      <c r="AW119" s="58" t="e">
        <f t="shared" si="54"/>
        <v>#DIV/0!</v>
      </c>
      <c r="AX119" s="58" t="e">
        <f t="shared" si="54"/>
        <v>#DIV/0!</v>
      </c>
      <c r="AY119" s="58" t="e">
        <f t="shared" si="54"/>
        <v>#DIV/0!</v>
      </c>
      <c r="AZ119" s="63"/>
      <c r="BA119" s="58" t="e">
        <f t="shared" si="54"/>
        <v>#DIV/0!</v>
      </c>
      <c r="BB119" s="63"/>
      <c r="BC119" s="57" t="e">
        <f>(Links!C119*Links!AQ119+'On-Ramps'!AC119*'On-Ramps'!CE119)/('On-Ramps'!AC119+Links!C119)</f>
        <v>#DIV/0!</v>
      </c>
      <c r="BD119" s="63"/>
      <c r="BE119" s="57" t="e">
        <f>(Links!E119*Links!AS119+'On-Ramps'!AD119*'On-Ramps'!CF118)/('On-Ramps'!AD119+Links!E119)</f>
        <v>#DIV/0!</v>
      </c>
      <c r="BF119" s="57" t="e">
        <f>(Links!F119*Links!AT119+'On-Ramps'!AE119*'On-Ramps'!CG119)/('On-Ramps'!AE119+Links!F119)</f>
        <v>#DIV/0!</v>
      </c>
      <c r="BG119" s="57" t="e">
        <f>(Links!I119*Links!AW119+'On-Ramps'!AF119*'On-Ramps'!CH119)/('On-Ramps'!AF119+Links!I119)</f>
        <v>#DIV/0!</v>
      </c>
      <c r="BH119" s="57" t="e">
        <f>(#REF!*#REF!+'On-Ramps'!AG119*'On-Ramps'!CI119)/('On-Ramps'!AG119+#REF!)</f>
        <v>#REF!</v>
      </c>
      <c r="BI119" s="57" t="e">
        <f>(Links!L119*Links!AZ119+'On-Ramps'!AH119*'On-Ramps'!CJ119)/('On-Ramps'!AH119+Links!L119)</f>
        <v>#DIV/0!</v>
      </c>
      <c r="BJ119" s="57" t="e">
        <f>(Links!BA119*Links!M119+'On-Ramps'!AI119*'On-Ramps'!CK119)/('On-Ramps'!AI119+Links!M119)</f>
        <v>#DIV/0!</v>
      </c>
      <c r="BK119" s="57" t="e">
        <f>(Links!S119*Links!BG119+'On-Ramps'!AJ119*'On-Ramps'!CL119)/('On-Ramps'!AJ119+Links!S119)</f>
        <v>#DIV/0!</v>
      </c>
      <c r="BL119" s="63"/>
      <c r="BM119" s="57" t="e">
        <f>(Links!S119*Links!BG119+'On-Ramps'!AL119*'On-Ramps'!CM119)/(Links!S119+'On-Ramps'!AL119)</f>
        <v>#DIV/0!</v>
      </c>
      <c r="BN119" s="63"/>
      <c r="BO119" s="58" t="e">
        <f>(Links!W119^2+'Off-Ramp'!L119^2)/(Links!W119+'Off-Ramp'!L119)</f>
        <v>#DIV/0!</v>
      </c>
      <c r="BP119" s="63"/>
      <c r="BQ119" s="58" t="e">
        <f>(Links!Y119^2+'Off-Ramp'!C119^2)/(Links!Y119+'Off-Ramp'!C119)</f>
        <v>#DIV/0!</v>
      </c>
      <c r="BR119" s="63"/>
      <c r="BS119" s="58" t="e">
        <f>(Links!AA119^2+'Off-Ramp'!N119^2)/(Links!AA119+'Off-Ramp'!N119)</f>
        <v>#DIV/0!</v>
      </c>
      <c r="BT119" s="58" t="e">
        <f>(Links!AD119^2+'Off-Ramp'!O119^2)/(Links!AD119+'Off-Ramp'!O119)</f>
        <v>#DIV/0!</v>
      </c>
      <c r="BU119" s="58" t="e">
        <f>(Links!AE119^2+'Off-Ramp'!V119^2+'Off-Ramp'!W119^2+'Off-Ramp'!X119^2)/(Links!AE119+'Off-Ramp'!V119+'Off-Ramp'!W119+'Off-Ramp'!X119)</f>
        <v>#DIV/0!</v>
      </c>
      <c r="BV119" s="58" t="e">
        <f>(Links!AG119^2+'Off-Ramp'!Y119^2+'Off-Ramp'!Z119^2+'Off-Ramp'!AA119^2)/(Links!AG119+'Off-Ramp'!Y119+'Off-Ramp'!Z119+'Off-Ramp'!AA119)</f>
        <v>#DIV/0!</v>
      </c>
      <c r="BW119" s="58" t="e">
        <f>(Links!AH119^2+'Off-Ramp'!R119^2)/(Links!AH119+'Off-Ramp'!R119)</f>
        <v>#DIV/0!</v>
      </c>
      <c r="BX119" s="58" t="e">
        <f>(Links!AK119^2+'Off-Ramp'!S119^2)/(Links!AK119+'Off-Ramp'!S119)</f>
        <v>#DIV/0!</v>
      </c>
      <c r="BY119" s="58" t="e">
        <f>(Links!AL119^2+'Off-Ramp'!T119^2)/(Links!AL119+'Off-Ramp'!T119)</f>
        <v>#DIV/0!</v>
      </c>
      <c r="BZ119" s="63"/>
      <c r="CA119" s="58" t="e">
        <f>(Links!AN119^2+'Off-Ramp'!U119^2)/(Links!AN119+'Off-Ramp'!U119)</f>
        <v>#DIV/0!</v>
      </c>
    </row>
    <row r="120" spans="1:79" x14ac:dyDescent="0.15">
      <c r="A120" s="56">
        <v>118</v>
      </c>
      <c r="B120" s="57" t="e">
        <f t="shared" si="30"/>
        <v>#DIV/0!</v>
      </c>
      <c r="C120" s="57" t="e">
        <f t="shared" si="31"/>
        <v>#DIV/0!</v>
      </c>
      <c r="D120" s="57" t="e">
        <f t="shared" si="32"/>
        <v>#DIV/0!</v>
      </c>
      <c r="E120" s="57" t="e">
        <f t="shared" si="33"/>
        <v>#DIV/0!</v>
      </c>
      <c r="F120" s="57" t="e">
        <f t="shared" si="34"/>
        <v>#DIV/0!</v>
      </c>
      <c r="G120" s="57" t="e">
        <f t="shared" si="35"/>
        <v>#DIV/0!</v>
      </c>
      <c r="H120" s="57" t="e">
        <f t="shared" si="36"/>
        <v>#DIV/0!</v>
      </c>
      <c r="I120" s="57" t="e">
        <f t="shared" si="37"/>
        <v>#DIV/0!</v>
      </c>
      <c r="J120" s="57" t="e">
        <f t="shared" si="38"/>
        <v>#DIV/0!</v>
      </c>
      <c r="K120" s="57" t="e">
        <f t="shared" si="39"/>
        <v>#DIV/0!</v>
      </c>
      <c r="L120" s="57" t="e">
        <f t="shared" si="40"/>
        <v>#DIV/0!</v>
      </c>
      <c r="M120" s="57" t="e">
        <f t="shared" si="41"/>
        <v>#DIV/0!</v>
      </c>
      <c r="N120" s="57" t="e">
        <f t="shared" si="42"/>
        <v>#DIV/0!</v>
      </c>
      <c r="O120" s="58" t="e">
        <f>Links!B120</f>
        <v>#DIV/0!</v>
      </c>
      <c r="P120" s="58" t="e">
        <f>Links!C120+'On-Ramps'!AC120</f>
        <v>#DIV/0!</v>
      </c>
      <c r="Q120" s="58" t="e">
        <f>Links!D120</f>
        <v>#DIV/0!</v>
      </c>
      <c r="R120" s="58" t="e">
        <f>Links!E120+'On-Ramps'!AD120</f>
        <v>#DIV/0!</v>
      </c>
      <c r="S120" s="58" t="e">
        <f>Links!F120+'On-Ramps'!AE120</f>
        <v>#DIV/0!</v>
      </c>
      <c r="T120" s="58" t="e">
        <f>Links!I120+'On-Ramps'!AF120</f>
        <v>#DIV/0!</v>
      </c>
      <c r="U120" s="58" t="e">
        <f>Links!J120+'On-Ramps'!AG120</f>
        <v>#DIV/0!</v>
      </c>
      <c r="V120" s="58" t="e">
        <f>Links!L120+'On-Ramps'!AH120</f>
        <v>#DIV/0!</v>
      </c>
      <c r="W120" s="58" t="e">
        <f>Links!M120+'On-Ramps'!AI120</f>
        <v>#DIV/0!</v>
      </c>
      <c r="X120" s="58" t="e">
        <f>Links!P120+'On-Ramps'!AJ120</f>
        <v>#DIV/0!</v>
      </c>
      <c r="Y120" s="58" t="e">
        <f>Links!Q120</f>
        <v>#DIV/0!</v>
      </c>
      <c r="Z120" s="58" t="e">
        <f>Links!R120+'On-Ramps'!AK120</f>
        <v>#DIV/0!</v>
      </c>
      <c r="AA120" s="58" t="e">
        <f>Links!S120</f>
        <v>#DIV/0!</v>
      </c>
      <c r="AB120" s="57" t="e">
        <f t="shared" si="43"/>
        <v>#DIV/0!</v>
      </c>
      <c r="AC120" s="63"/>
      <c r="AD120" s="57" t="e">
        <f t="shared" si="44"/>
        <v>#DIV/0!</v>
      </c>
      <c r="AE120" s="63"/>
      <c r="AF120" s="57" t="e">
        <f t="shared" si="45"/>
        <v>#DIV/0!</v>
      </c>
      <c r="AG120" s="57" t="e">
        <f t="shared" si="46"/>
        <v>#DIV/0!</v>
      </c>
      <c r="AH120" s="57" t="e">
        <f t="shared" si="47"/>
        <v>#DIV/0!</v>
      </c>
      <c r="AI120" s="57" t="e">
        <f t="shared" si="48"/>
        <v>#DIV/0!</v>
      </c>
      <c r="AJ120" s="57" t="e">
        <f t="shared" si="49"/>
        <v>#DIV/0!</v>
      </c>
      <c r="AK120" s="57" t="e">
        <f t="shared" si="50"/>
        <v>#DIV/0!</v>
      </c>
      <c r="AL120" s="57" t="e">
        <f t="shared" si="51"/>
        <v>#DIV/0!</v>
      </c>
      <c r="AM120" s="63"/>
      <c r="AN120" s="57" t="e">
        <f t="shared" si="53"/>
        <v>#DIV/0!</v>
      </c>
      <c r="AO120" s="58" t="e">
        <f t="shared" si="29"/>
        <v>#DIV/0!</v>
      </c>
      <c r="AP120" s="63"/>
      <c r="AQ120" s="58" t="e">
        <f t="shared" si="54"/>
        <v>#DIV/0!</v>
      </c>
      <c r="AR120" s="63"/>
      <c r="AS120" s="58" t="e">
        <f t="shared" si="54"/>
        <v>#DIV/0!</v>
      </c>
      <c r="AT120" s="58" t="e">
        <f t="shared" ref="AQ120:BA141" si="55">AT$3</f>
        <v>#DIV/0!</v>
      </c>
      <c r="AU120" s="58" t="e">
        <f t="shared" si="55"/>
        <v>#DIV/0!</v>
      </c>
      <c r="AV120" s="58" t="e">
        <f t="shared" si="55"/>
        <v>#DIV/0!</v>
      </c>
      <c r="AW120" s="58" t="e">
        <f t="shared" si="55"/>
        <v>#DIV/0!</v>
      </c>
      <c r="AX120" s="58" t="e">
        <f t="shared" si="55"/>
        <v>#DIV/0!</v>
      </c>
      <c r="AY120" s="58" t="e">
        <f t="shared" si="55"/>
        <v>#DIV/0!</v>
      </c>
      <c r="AZ120" s="63"/>
      <c r="BA120" s="58" t="e">
        <f t="shared" si="55"/>
        <v>#DIV/0!</v>
      </c>
      <c r="BB120" s="63"/>
      <c r="BC120" s="57" t="e">
        <f>(Links!C120*Links!AQ120+'On-Ramps'!AC120*'On-Ramps'!CE120)/('On-Ramps'!AC120+Links!C120)</f>
        <v>#DIV/0!</v>
      </c>
      <c r="BD120" s="63"/>
      <c r="BE120" s="57" t="e">
        <f>(Links!E120*Links!AS120+'On-Ramps'!AD120*'On-Ramps'!CF119)/('On-Ramps'!AD120+Links!E120)</f>
        <v>#DIV/0!</v>
      </c>
      <c r="BF120" s="57" t="e">
        <f>(Links!F120*Links!AT120+'On-Ramps'!AE120*'On-Ramps'!CG120)/('On-Ramps'!AE120+Links!F120)</f>
        <v>#DIV/0!</v>
      </c>
      <c r="BG120" s="57" t="e">
        <f>(Links!I120*Links!AW120+'On-Ramps'!AF120*'On-Ramps'!CH120)/('On-Ramps'!AF120+Links!I120)</f>
        <v>#DIV/0!</v>
      </c>
      <c r="BH120" s="57" t="e">
        <f>(#REF!*#REF!+'On-Ramps'!AG120*'On-Ramps'!CI120)/('On-Ramps'!AG120+#REF!)</f>
        <v>#REF!</v>
      </c>
      <c r="BI120" s="57" t="e">
        <f>(Links!L120*Links!AZ120+'On-Ramps'!AH120*'On-Ramps'!CJ120)/('On-Ramps'!AH120+Links!L120)</f>
        <v>#DIV/0!</v>
      </c>
      <c r="BJ120" s="57" t="e">
        <f>(Links!BA120*Links!M120+'On-Ramps'!AI120*'On-Ramps'!CK120)/('On-Ramps'!AI120+Links!M120)</f>
        <v>#DIV/0!</v>
      </c>
      <c r="BK120" s="57" t="e">
        <f>(Links!S120*Links!BG120+'On-Ramps'!AJ120*'On-Ramps'!CL120)/('On-Ramps'!AJ120+Links!S120)</f>
        <v>#DIV/0!</v>
      </c>
      <c r="BL120" s="63"/>
      <c r="BM120" s="57" t="e">
        <f>(Links!S120*Links!BG120+'On-Ramps'!AL120*'On-Ramps'!CM120)/(Links!S120+'On-Ramps'!AL120)</f>
        <v>#DIV/0!</v>
      </c>
      <c r="BN120" s="63"/>
      <c r="BO120" s="58" t="e">
        <f>(Links!W120^2+'Off-Ramp'!L120^2)/(Links!W120+'Off-Ramp'!L120)</f>
        <v>#DIV/0!</v>
      </c>
      <c r="BP120" s="63"/>
      <c r="BQ120" s="58" t="e">
        <f>(Links!Y120^2+'Off-Ramp'!C120^2)/(Links!Y120+'Off-Ramp'!C120)</f>
        <v>#DIV/0!</v>
      </c>
      <c r="BR120" s="63"/>
      <c r="BS120" s="58" t="e">
        <f>(Links!AA120^2+'Off-Ramp'!N120^2)/(Links!AA120+'Off-Ramp'!N120)</f>
        <v>#DIV/0!</v>
      </c>
      <c r="BT120" s="58" t="e">
        <f>(Links!AD120^2+'Off-Ramp'!O120^2)/(Links!AD120+'Off-Ramp'!O120)</f>
        <v>#DIV/0!</v>
      </c>
      <c r="BU120" s="58" t="e">
        <f>(Links!AE120^2+'Off-Ramp'!V120^2+'Off-Ramp'!W120^2+'Off-Ramp'!X120^2)/(Links!AE120+'Off-Ramp'!V120+'Off-Ramp'!W120+'Off-Ramp'!X120)</f>
        <v>#DIV/0!</v>
      </c>
      <c r="BV120" s="58" t="e">
        <f>(Links!AG120^2+'Off-Ramp'!Y120^2+'Off-Ramp'!Z120^2+'Off-Ramp'!AA120^2)/(Links!AG120+'Off-Ramp'!Y120+'Off-Ramp'!Z120+'Off-Ramp'!AA120)</f>
        <v>#DIV/0!</v>
      </c>
      <c r="BW120" s="58" t="e">
        <f>(Links!AH120^2+'Off-Ramp'!R120^2)/(Links!AH120+'Off-Ramp'!R120)</f>
        <v>#DIV/0!</v>
      </c>
      <c r="BX120" s="58" t="e">
        <f>(Links!AK120^2+'Off-Ramp'!S120^2)/(Links!AK120+'Off-Ramp'!S120)</f>
        <v>#DIV/0!</v>
      </c>
      <c r="BY120" s="58" t="e">
        <f>(Links!AL120^2+'Off-Ramp'!T120^2)/(Links!AL120+'Off-Ramp'!T120)</f>
        <v>#DIV/0!</v>
      </c>
      <c r="BZ120" s="63"/>
      <c r="CA120" s="58" t="e">
        <f>(Links!AN120^2+'Off-Ramp'!U120^2)/(Links!AN120+'Off-Ramp'!U120)</f>
        <v>#DIV/0!</v>
      </c>
    </row>
    <row r="121" spans="1:79" x14ac:dyDescent="0.15">
      <c r="A121" s="56">
        <v>119</v>
      </c>
      <c r="B121" s="57" t="e">
        <f t="shared" si="30"/>
        <v>#DIV/0!</v>
      </c>
      <c r="C121" s="57" t="e">
        <f t="shared" si="31"/>
        <v>#DIV/0!</v>
      </c>
      <c r="D121" s="57" t="e">
        <f t="shared" si="32"/>
        <v>#DIV/0!</v>
      </c>
      <c r="E121" s="57" t="e">
        <f t="shared" si="33"/>
        <v>#DIV/0!</v>
      </c>
      <c r="F121" s="57" t="e">
        <f t="shared" si="34"/>
        <v>#DIV/0!</v>
      </c>
      <c r="G121" s="57" t="e">
        <f t="shared" si="35"/>
        <v>#DIV/0!</v>
      </c>
      <c r="H121" s="57" t="e">
        <f t="shared" si="36"/>
        <v>#DIV/0!</v>
      </c>
      <c r="I121" s="57" t="e">
        <f t="shared" si="37"/>
        <v>#DIV/0!</v>
      </c>
      <c r="J121" s="57" t="e">
        <f t="shared" si="38"/>
        <v>#DIV/0!</v>
      </c>
      <c r="K121" s="57" t="e">
        <f t="shared" si="39"/>
        <v>#DIV/0!</v>
      </c>
      <c r="L121" s="57" t="e">
        <f t="shared" si="40"/>
        <v>#DIV/0!</v>
      </c>
      <c r="M121" s="57" t="e">
        <f t="shared" si="41"/>
        <v>#DIV/0!</v>
      </c>
      <c r="N121" s="57" t="e">
        <f t="shared" si="42"/>
        <v>#DIV/0!</v>
      </c>
      <c r="O121" s="58" t="e">
        <f>Links!B121</f>
        <v>#DIV/0!</v>
      </c>
      <c r="P121" s="58" t="e">
        <f>Links!C121+'On-Ramps'!AC121</f>
        <v>#DIV/0!</v>
      </c>
      <c r="Q121" s="58" t="e">
        <f>Links!D121</f>
        <v>#DIV/0!</v>
      </c>
      <c r="R121" s="58" t="e">
        <f>Links!E121+'On-Ramps'!AD121</f>
        <v>#DIV/0!</v>
      </c>
      <c r="S121" s="58" t="e">
        <f>Links!F121+'On-Ramps'!AE121</f>
        <v>#DIV/0!</v>
      </c>
      <c r="T121" s="58" t="e">
        <f>Links!I121+'On-Ramps'!AF121</f>
        <v>#DIV/0!</v>
      </c>
      <c r="U121" s="58" t="e">
        <f>Links!J121+'On-Ramps'!AG121</f>
        <v>#DIV/0!</v>
      </c>
      <c r="V121" s="58" t="e">
        <f>Links!L121+'On-Ramps'!AH121</f>
        <v>#DIV/0!</v>
      </c>
      <c r="W121" s="58" t="e">
        <f>Links!M121+'On-Ramps'!AI121</f>
        <v>#DIV/0!</v>
      </c>
      <c r="X121" s="58" t="e">
        <f>Links!P121+'On-Ramps'!AJ121</f>
        <v>#DIV/0!</v>
      </c>
      <c r="Y121" s="58" t="e">
        <f>Links!Q121</f>
        <v>#DIV/0!</v>
      </c>
      <c r="Z121" s="58" t="e">
        <f>Links!R121+'On-Ramps'!AK121</f>
        <v>#DIV/0!</v>
      </c>
      <c r="AA121" s="58" t="e">
        <f>Links!S121</f>
        <v>#DIV/0!</v>
      </c>
      <c r="AB121" s="57" t="e">
        <f t="shared" si="43"/>
        <v>#DIV/0!</v>
      </c>
      <c r="AC121" s="63"/>
      <c r="AD121" s="57" t="e">
        <f t="shared" si="44"/>
        <v>#DIV/0!</v>
      </c>
      <c r="AE121" s="63"/>
      <c r="AF121" s="57" t="e">
        <f t="shared" si="45"/>
        <v>#DIV/0!</v>
      </c>
      <c r="AG121" s="57" t="e">
        <f t="shared" si="46"/>
        <v>#DIV/0!</v>
      </c>
      <c r="AH121" s="57" t="e">
        <f t="shared" si="47"/>
        <v>#DIV/0!</v>
      </c>
      <c r="AI121" s="57" t="e">
        <f t="shared" si="48"/>
        <v>#DIV/0!</v>
      </c>
      <c r="AJ121" s="57" t="e">
        <f t="shared" si="49"/>
        <v>#DIV/0!</v>
      </c>
      <c r="AK121" s="57" t="e">
        <f t="shared" si="50"/>
        <v>#DIV/0!</v>
      </c>
      <c r="AL121" s="57" t="e">
        <f t="shared" si="51"/>
        <v>#DIV/0!</v>
      </c>
      <c r="AM121" s="63"/>
      <c r="AN121" s="57" t="e">
        <f t="shared" si="53"/>
        <v>#DIV/0!</v>
      </c>
      <c r="AO121" s="58" t="e">
        <f t="shared" ref="AO121:AO182" si="56">AO$3</f>
        <v>#DIV/0!</v>
      </c>
      <c r="AP121" s="63"/>
      <c r="AQ121" s="58" t="e">
        <f t="shared" si="55"/>
        <v>#DIV/0!</v>
      </c>
      <c r="AR121" s="63"/>
      <c r="AS121" s="58" t="e">
        <f t="shared" si="55"/>
        <v>#DIV/0!</v>
      </c>
      <c r="AT121" s="58" t="e">
        <f t="shared" si="55"/>
        <v>#DIV/0!</v>
      </c>
      <c r="AU121" s="58" t="e">
        <f t="shared" si="55"/>
        <v>#DIV/0!</v>
      </c>
      <c r="AV121" s="58" t="e">
        <f t="shared" si="55"/>
        <v>#DIV/0!</v>
      </c>
      <c r="AW121" s="58" t="e">
        <f t="shared" si="55"/>
        <v>#DIV/0!</v>
      </c>
      <c r="AX121" s="58" t="e">
        <f t="shared" si="55"/>
        <v>#DIV/0!</v>
      </c>
      <c r="AY121" s="58" t="e">
        <f t="shared" si="55"/>
        <v>#DIV/0!</v>
      </c>
      <c r="AZ121" s="63"/>
      <c r="BA121" s="58" t="e">
        <f t="shared" si="55"/>
        <v>#DIV/0!</v>
      </c>
      <c r="BB121" s="63"/>
      <c r="BC121" s="57" t="e">
        <f>(Links!C121*Links!AQ121+'On-Ramps'!AC121*'On-Ramps'!CE121)/('On-Ramps'!AC121+Links!C121)</f>
        <v>#DIV/0!</v>
      </c>
      <c r="BD121" s="63"/>
      <c r="BE121" s="57" t="e">
        <f>(Links!E121*Links!AS121+'On-Ramps'!AD121*'On-Ramps'!CF120)/('On-Ramps'!AD121+Links!E121)</f>
        <v>#DIV/0!</v>
      </c>
      <c r="BF121" s="57" t="e">
        <f>(Links!F121*Links!AT121+'On-Ramps'!AE121*'On-Ramps'!CG121)/('On-Ramps'!AE121+Links!F121)</f>
        <v>#DIV/0!</v>
      </c>
      <c r="BG121" s="57" t="e">
        <f>(Links!I121*Links!AW121+'On-Ramps'!AF121*'On-Ramps'!CH121)/('On-Ramps'!AF121+Links!I121)</f>
        <v>#DIV/0!</v>
      </c>
      <c r="BH121" s="57" t="e">
        <f>(#REF!*#REF!+'On-Ramps'!AG121*'On-Ramps'!CI121)/('On-Ramps'!AG121+#REF!)</f>
        <v>#REF!</v>
      </c>
      <c r="BI121" s="57" t="e">
        <f>(Links!L121*Links!AZ121+'On-Ramps'!AH121*'On-Ramps'!CJ121)/('On-Ramps'!AH121+Links!L121)</f>
        <v>#DIV/0!</v>
      </c>
      <c r="BJ121" s="57" t="e">
        <f>(Links!BA121*Links!M121+'On-Ramps'!AI121*'On-Ramps'!CK121)/('On-Ramps'!AI121+Links!M121)</f>
        <v>#DIV/0!</v>
      </c>
      <c r="BK121" s="57" t="e">
        <f>(Links!S121*Links!BG121+'On-Ramps'!AJ121*'On-Ramps'!CL121)/('On-Ramps'!AJ121+Links!S121)</f>
        <v>#DIV/0!</v>
      </c>
      <c r="BL121" s="63"/>
      <c r="BM121" s="57" t="e">
        <f>(Links!S121*Links!BG121+'On-Ramps'!AL121*'On-Ramps'!CM121)/(Links!S121+'On-Ramps'!AL121)</f>
        <v>#DIV/0!</v>
      </c>
      <c r="BN121" s="63"/>
      <c r="BO121" s="58" t="e">
        <f>(Links!W121^2+'Off-Ramp'!L121^2)/(Links!W121+'Off-Ramp'!L121)</f>
        <v>#DIV/0!</v>
      </c>
      <c r="BP121" s="63"/>
      <c r="BQ121" s="58" t="e">
        <f>(Links!Y121^2+'Off-Ramp'!C121^2)/(Links!Y121+'Off-Ramp'!C121)</f>
        <v>#DIV/0!</v>
      </c>
      <c r="BR121" s="63"/>
      <c r="BS121" s="58" t="e">
        <f>(Links!AA121^2+'Off-Ramp'!N121^2)/(Links!AA121+'Off-Ramp'!N121)</f>
        <v>#DIV/0!</v>
      </c>
      <c r="BT121" s="58" t="e">
        <f>(Links!AD121^2+'Off-Ramp'!O121^2)/(Links!AD121+'Off-Ramp'!O121)</f>
        <v>#DIV/0!</v>
      </c>
      <c r="BU121" s="58" t="e">
        <f>(Links!AE121^2+'Off-Ramp'!V121^2+'Off-Ramp'!W121^2+'Off-Ramp'!X121^2)/(Links!AE121+'Off-Ramp'!V121+'Off-Ramp'!W121+'Off-Ramp'!X121)</f>
        <v>#DIV/0!</v>
      </c>
      <c r="BV121" s="58" t="e">
        <f>(Links!AG121^2+'Off-Ramp'!Y121^2+'Off-Ramp'!Z121^2+'Off-Ramp'!AA121^2)/(Links!AG121+'Off-Ramp'!Y121+'Off-Ramp'!Z121+'Off-Ramp'!AA121)</f>
        <v>#DIV/0!</v>
      </c>
      <c r="BW121" s="58" t="e">
        <f>(Links!AH121^2+'Off-Ramp'!R121^2)/(Links!AH121+'Off-Ramp'!R121)</f>
        <v>#DIV/0!</v>
      </c>
      <c r="BX121" s="58" t="e">
        <f>(Links!AK121^2+'Off-Ramp'!S121^2)/(Links!AK121+'Off-Ramp'!S121)</f>
        <v>#DIV/0!</v>
      </c>
      <c r="BY121" s="58" t="e">
        <f>(Links!AL121^2+'Off-Ramp'!T121^2)/(Links!AL121+'Off-Ramp'!T121)</f>
        <v>#DIV/0!</v>
      </c>
      <c r="BZ121" s="63"/>
      <c r="CA121" s="58" t="e">
        <f>(Links!AN121^2+'Off-Ramp'!U121^2)/(Links!AN121+'Off-Ramp'!U121)</f>
        <v>#DIV/0!</v>
      </c>
    </row>
    <row r="122" spans="1:79" x14ac:dyDescent="0.15">
      <c r="A122" s="56">
        <v>120</v>
      </c>
      <c r="B122" s="57" t="e">
        <f t="shared" si="30"/>
        <v>#DIV/0!</v>
      </c>
      <c r="C122" s="57" t="e">
        <f t="shared" si="31"/>
        <v>#DIV/0!</v>
      </c>
      <c r="D122" s="57" t="e">
        <f t="shared" si="32"/>
        <v>#DIV/0!</v>
      </c>
      <c r="E122" s="57" t="e">
        <f t="shared" si="33"/>
        <v>#DIV/0!</v>
      </c>
      <c r="F122" s="57" t="e">
        <f t="shared" si="34"/>
        <v>#DIV/0!</v>
      </c>
      <c r="G122" s="57" t="e">
        <f t="shared" si="35"/>
        <v>#DIV/0!</v>
      </c>
      <c r="H122" s="57" t="e">
        <f t="shared" si="36"/>
        <v>#DIV/0!</v>
      </c>
      <c r="I122" s="57" t="e">
        <f t="shared" si="37"/>
        <v>#DIV/0!</v>
      </c>
      <c r="J122" s="57" t="e">
        <f t="shared" si="38"/>
        <v>#DIV/0!</v>
      </c>
      <c r="K122" s="57" t="e">
        <f t="shared" si="39"/>
        <v>#DIV/0!</v>
      </c>
      <c r="L122" s="57" t="e">
        <f t="shared" si="40"/>
        <v>#DIV/0!</v>
      </c>
      <c r="M122" s="57" t="e">
        <f t="shared" si="41"/>
        <v>#DIV/0!</v>
      </c>
      <c r="N122" s="57" t="e">
        <f t="shared" si="42"/>
        <v>#DIV/0!</v>
      </c>
      <c r="O122" s="58" t="e">
        <f>Links!B122</f>
        <v>#DIV/0!</v>
      </c>
      <c r="P122" s="58" t="e">
        <f>Links!C122+'On-Ramps'!AC122</f>
        <v>#DIV/0!</v>
      </c>
      <c r="Q122" s="58" t="e">
        <f>Links!D122</f>
        <v>#DIV/0!</v>
      </c>
      <c r="R122" s="58" t="e">
        <f>Links!E122+'On-Ramps'!AD122</f>
        <v>#DIV/0!</v>
      </c>
      <c r="S122" s="58" t="e">
        <f>Links!F122+'On-Ramps'!AE122</f>
        <v>#DIV/0!</v>
      </c>
      <c r="T122" s="58" t="e">
        <f>Links!I122+'On-Ramps'!AF122</f>
        <v>#DIV/0!</v>
      </c>
      <c r="U122" s="58" t="e">
        <f>Links!J122+'On-Ramps'!AG122</f>
        <v>#DIV/0!</v>
      </c>
      <c r="V122" s="58" t="e">
        <f>Links!L122+'On-Ramps'!AH122</f>
        <v>#DIV/0!</v>
      </c>
      <c r="W122" s="58" t="e">
        <f>Links!M122+'On-Ramps'!AI122</f>
        <v>#DIV/0!</v>
      </c>
      <c r="X122" s="58" t="e">
        <f>Links!P122+'On-Ramps'!AJ122</f>
        <v>#DIV/0!</v>
      </c>
      <c r="Y122" s="58" t="e">
        <f>Links!Q122</f>
        <v>#DIV/0!</v>
      </c>
      <c r="Z122" s="58" t="e">
        <f>Links!R122+'On-Ramps'!AK122</f>
        <v>#DIV/0!</v>
      </c>
      <c r="AA122" s="58" t="e">
        <f>Links!S122</f>
        <v>#DIV/0!</v>
      </c>
      <c r="AB122" s="57" t="e">
        <f t="shared" si="43"/>
        <v>#DIV/0!</v>
      </c>
      <c r="AC122" s="63"/>
      <c r="AD122" s="57" t="e">
        <f t="shared" si="44"/>
        <v>#DIV/0!</v>
      </c>
      <c r="AE122" s="63"/>
      <c r="AF122" s="57" t="e">
        <f t="shared" si="45"/>
        <v>#DIV/0!</v>
      </c>
      <c r="AG122" s="57" t="e">
        <f t="shared" si="46"/>
        <v>#DIV/0!</v>
      </c>
      <c r="AH122" s="57" t="e">
        <f t="shared" si="47"/>
        <v>#DIV/0!</v>
      </c>
      <c r="AI122" s="57" t="e">
        <f t="shared" si="48"/>
        <v>#DIV/0!</v>
      </c>
      <c r="AJ122" s="57" t="e">
        <f t="shared" si="49"/>
        <v>#DIV/0!</v>
      </c>
      <c r="AK122" s="57" t="e">
        <f t="shared" si="50"/>
        <v>#DIV/0!</v>
      </c>
      <c r="AL122" s="57" t="e">
        <f t="shared" si="51"/>
        <v>#DIV/0!</v>
      </c>
      <c r="AM122" s="63"/>
      <c r="AN122" s="57" t="e">
        <f t="shared" si="53"/>
        <v>#DIV/0!</v>
      </c>
      <c r="AO122" s="58" t="e">
        <f t="shared" si="56"/>
        <v>#DIV/0!</v>
      </c>
      <c r="AP122" s="63"/>
      <c r="AQ122" s="58" t="e">
        <f t="shared" si="55"/>
        <v>#DIV/0!</v>
      </c>
      <c r="AR122" s="63"/>
      <c r="AS122" s="58" t="e">
        <f t="shared" si="55"/>
        <v>#DIV/0!</v>
      </c>
      <c r="AT122" s="58" t="e">
        <f t="shared" si="55"/>
        <v>#DIV/0!</v>
      </c>
      <c r="AU122" s="58" t="e">
        <f t="shared" si="55"/>
        <v>#DIV/0!</v>
      </c>
      <c r="AV122" s="58" t="e">
        <f t="shared" si="55"/>
        <v>#DIV/0!</v>
      </c>
      <c r="AW122" s="58" t="e">
        <f t="shared" si="55"/>
        <v>#DIV/0!</v>
      </c>
      <c r="AX122" s="58" t="e">
        <f t="shared" si="55"/>
        <v>#DIV/0!</v>
      </c>
      <c r="AY122" s="58" t="e">
        <f t="shared" si="55"/>
        <v>#DIV/0!</v>
      </c>
      <c r="AZ122" s="63"/>
      <c r="BA122" s="58" t="e">
        <f t="shared" si="55"/>
        <v>#DIV/0!</v>
      </c>
      <c r="BB122" s="63"/>
      <c r="BC122" s="57" t="e">
        <f>(Links!C122*Links!AQ122+'On-Ramps'!AC122*'On-Ramps'!CE122)/('On-Ramps'!AC122+Links!C122)</f>
        <v>#DIV/0!</v>
      </c>
      <c r="BD122" s="63"/>
      <c r="BE122" s="57" t="e">
        <f>(Links!E122*Links!AS122+'On-Ramps'!AD122*'On-Ramps'!CF121)/('On-Ramps'!AD122+Links!E122)</f>
        <v>#DIV/0!</v>
      </c>
      <c r="BF122" s="57" t="e">
        <f>(Links!F122*Links!AT122+'On-Ramps'!AE122*'On-Ramps'!CG122)/('On-Ramps'!AE122+Links!F122)</f>
        <v>#DIV/0!</v>
      </c>
      <c r="BG122" s="57" t="e">
        <f>(Links!I122*Links!AW122+'On-Ramps'!AF122*'On-Ramps'!CH122)/('On-Ramps'!AF122+Links!I122)</f>
        <v>#DIV/0!</v>
      </c>
      <c r="BH122" s="57" t="e">
        <f>(#REF!*#REF!+'On-Ramps'!AG122*'On-Ramps'!CI122)/('On-Ramps'!AG122+#REF!)</f>
        <v>#REF!</v>
      </c>
      <c r="BI122" s="57" t="e">
        <f>(Links!L122*Links!AZ122+'On-Ramps'!AH122*'On-Ramps'!CJ122)/('On-Ramps'!AH122+Links!L122)</f>
        <v>#DIV/0!</v>
      </c>
      <c r="BJ122" s="57" t="e">
        <f>(Links!BA122*Links!M122+'On-Ramps'!AI122*'On-Ramps'!CK122)/('On-Ramps'!AI122+Links!M122)</f>
        <v>#DIV/0!</v>
      </c>
      <c r="BK122" s="57" t="e">
        <f>(Links!S122*Links!BG122+'On-Ramps'!AJ122*'On-Ramps'!CL122)/('On-Ramps'!AJ122+Links!S122)</f>
        <v>#DIV/0!</v>
      </c>
      <c r="BL122" s="63"/>
      <c r="BM122" s="57" t="e">
        <f>(Links!S122*Links!BG122+'On-Ramps'!AL122*'On-Ramps'!CM122)/(Links!S122+'On-Ramps'!AL122)</f>
        <v>#DIV/0!</v>
      </c>
      <c r="BN122" s="63"/>
      <c r="BO122" s="58" t="e">
        <f>(Links!W122^2+'Off-Ramp'!L122^2)/(Links!W122+'Off-Ramp'!L122)</f>
        <v>#DIV/0!</v>
      </c>
      <c r="BP122" s="63"/>
      <c r="BQ122" s="58" t="e">
        <f>(Links!Y122^2+'Off-Ramp'!C122^2)/(Links!Y122+'Off-Ramp'!C122)</f>
        <v>#DIV/0!</v>
      </c>
      <c r="BR122" s="63"/>
      <c r="BS122" s="58" t="e">
        <f>(Links!AA122^2+'Off-Ramp'!N122^2)/(Links!AA122+'Off-Ramp'!N122)</f>
        <v>#DIV/0!</v>
      </c>
      <c r="BT122" s="58" t="e">
        <f>(Links!AD122^2+'Off-Ramp'!O122^2)/(Links!AD122+'Off-Ramp'!O122)</f>
        <v>#DIV/0!</v>
      </c>
      <c r="BU122" s="58" t="e">
        <f>(Links!AE122^2+'Off-Ramp'!V122^2+'Off-Ramp'!W122^2+'Off-Ramp'!X122^2)/(Links!AE122+'Off-Ramp'!V122+'Off-Ramp'!W122+'Off-Ramp'!X122)</f>
        <v>#DIV/0!</v>
      </c>
      <c r="BV122" s="58" t="e">
        <f>(Links!AG122^2+'Off-Ramp'!Y122^2+'Off-Ramp'!Z122^2+'Off-Ramp'!AA122^2)/(Links!AG122+'Off-Ramp'!Y122+'Off-Ramp'!Z122+'Off-Ramp'!AA122)</f>
        <v>#DIV/0!</v>
      </c>
      <c r="BW122" s="58" t="e">
        <f>(Links!AH122^2+'Off-Ramp'!R122^2)/(Links!AH122+'Off-Ramp'!R122)</f>
        <v>#DIV/0!</v>
      </c>
      <c r="BX122" s="58" t="e">
        <f>(Links!AK122^2+'Off-Ramp'!S122^2)/(Links!AK122+'Off-Ramp'!S122)</f>
        <v>#DIV/0!</v>
      </c>
      <c r="BY122" s="58" t="e">
        <f>(Links!AL122^2+'Off-Ramp'!T122^2)/(Links!AL122+'Off-Ramp'!T122)</f>
        <v>#DIV/0!</v>
      </c>
      <c r="BZ122" s="63"/>
      <c r="CA122" s="58" t="e">
        <f>(Links!AN122^2+'Off-Ramp'!U122^2)/(Links!AN122+'Off-Ramp'!U122)</f>
        <v>#DIV/0!</v>
      </c>
    </row>
    <row r="123" spans="1:79" x14ac:dyDescent="0.15">
      <c r="A123" s="56">
        <v>121</v>
      </c>
      <c r="B123" s="57" t="e">
        <f t="shared" si="30"/>
        <v>#DIV/0!</v>
      </c>
      <c r="C123" s="57" t="e">
        <f t="shared" si="31"/>
        <v>#DIV/0!</v>
      </c>
      <c r="D123" s="57" t="e">
        <f t="shared" si="32"/>
        <v>#DIV/0!</v>
      </c>
      <c r="E123" s="57" t="e">
        <f t="shared" si="33"/>
        <v>#DIV/0!</v>
      </c>
      <c r="F123" s="57" t="e">
        <f t="shared" si="34"/>
        <v>#DIV/0!</v>
      </c>
      <c r="G123" s="57" t="e">
        <f t="shared" si="35"/>
        <v>#DIV/0!</v>
      </c>
      <c r="H123" s="57" t="e">
        <f t="shared" si="36"/>
        <v>#DIV/0!</v>
      </c>
      <c r="I123" s="57" t="e">
        <f t="shared" si="37"/>
        <v>#DIV/0!</v>
      </c>
      <c r="J123" s="57" t="e">
        <f t="shared" si="38"/>
        <v>#DIV/0!</v>
      </c>
      <c r="K123" s="57" t="e">
        <f t="shared" si="39"/>
        <v>#DIV/0!</v>
      </c>
      <c r="L123" s="57" t="e">
        <f t="shared" si="40"/>
        <v>#DIV/0!</v>
      </c>
      <c r="M123" s="57" t="e">
        <f t="shared" si="41"/>
        <v>#DIV/0!</v>
      </c>
      <c r="N123" s="57" t="e">
        <f t="shared" si="42"/>
        <v>#DIV/0!</v>
      </c>
      <c r="O123" s="58" t="e">
        <f>Links!B123</f>
        <v>#DIV/0!</v>
      </c>
      <c r="P123" s="58" t="e">
        <f>Links!C123+'On-Ramps'!AC123</f>
        <v>#DIV/0!</v>
      </c>
      <c r="Q123" s="58" t="e">
        <f>Links!D123</f>
        <v>#DIV/0!</v>
      </c>
      <c r="R123" s="58" t="e">
        <f>Links!E123+'On-Ramps'!AD123</f>
        <v>#DIV/0!</v>
      </c>
      <c r="S123" s="58" t="e">
        <f>Links!F123+'On-Ramps'!AE123</f>
        <v>#DIV/0!</v>
      </c>
      <c r="T123" s="58" t="e">
        <f>Links!I123+'On-Ramps'!AF123</f>
        <v>#DIV/0!</v>
      </c>
      <c r="U123" s="58" t="e">
        <f>Links!J123+'On-Ramps'!AG123</f>
        <v>#DIV/0!</v>
      </c>
      <c r="V123" s="58" t="e">
        <f>Links!L123+'On-Ramps'!AH123</f>
        <v>#DIV/0!</v>
      </c>
      <c r="W123" s="58" t="e">
        <f>Links!M123+'On-Ramps'!AI123</f>
        <v>#DIV/0!</v>
      </c>
      <c r="X123" s="58" t="e">
        <f>Links!P123+'On-Ramps'!AJ123</f>
        <v>#DIV/0!</v>
      </c>
      <c r="Y123" s="58" t="e">
        <f>Links!Q123</f>
        <v>#DIV/0!</v>
      </c>
      <c r="Z123" s="58" t="e">
        <f>Links!R123+'On-Ramps'!AK123</f>
        <v>#DIV/0!</v>
      </c>
      <c r="AA123" s="58" t="e">
        <f>Links!S123</f>
        <v>#DIV/0!</v>
      </c>
      <c r="AB123" s="57" t="e">
        <f t="shared" si="43"/>
        <v>#DIV/0!</v>
      </c>
      <c r="AC123" s="63"/>
      <c r="AD123" s="57" t="e">
        <f t="shared" si="44"/>
        <v>#DIV/0!</v>
      </c>
      <c r="AE123" s="63"/>
      <c r="AF123" s="57" t="e">
        <f t="shared" si="45"/>
        <v>#DIV/0!</v>
      </c>
      <c r="AG123" s="57" t="e">
        <f t="shared" si="46"/>
        <v>#DIV/0!</v>
      </c>
      <c r="AH123" s="57" t="e">
        <f t="shared" si="47"/>
        <v>#DIV/0!</v>
      </c>
      <c r="AI123" s="57" t="e">
        <f t="shared" si="48"/>
        <v>#DIV/0!</v>
      </c>
      <c r="AJ123" s="57" t="e">
        <f t="shared" si="49"/>
        <v>#DIV/0!</v>
      </c>
      <c r="AK123" s="57" t="e">
        <f t="shared" si="50"/>
        <v>#DIV/0!</v>
      </c>
      <c r="AL123" s="57" t="e">
        <f t="shared" si="51"/>
        <v>#DIV/0!</v>
      </c>
      <c r="AM123" s="63"/>
      <c r="AN123" s="57" t="e">
        <f t="shared" si="53"/>
        <v>#DIV/0!</v>
      </c>
      <c r="AO123" s="58" t="e">
        <f t="shared" si="56"/>
        <v>#DIV/0!</v>
      </c>
      <c r="AP123" s="63"/>
      <c r="AQ123" s="58" t="e">
        <f t="shared" si="55"/>
        <v>#DIV/0!</v>
      </c>
      <c r="AR123" s="63"/>
      <c r="AS123" s="58" t="e">
        <f t="shared" si="55"/>
        <v>#DIV/0!</v>
      </c>
      <c r="AT123" s="58" t="e">
        <f t="shared" si="55"/>
        <v>#DIV/0!</v>
      </c>
      <c r="AU123" s="58" t="e">
        <f t="shared" si="55"/>
        <v>#DIV/0!</v>
      </c>
      <c r="AV123" s="58" t="e">
        <f t="shared" si="55"/>
        <v>#DIV/0!</v>
      </c>
      <c r="AW123" s="58" t="e">
        <f t="shared" si="55"/>
        <v>#DIV/0!</v>
      </c>
      <c r="AX123" s="58" t="e">
        <f t="shared" si="55"/>
        <v>#DIV/0!</v>
      </c>
      <c r="AY123" s="58" t="e">
        <f t="shared" si="55"/>
        <v>#DIV/0!</v>
      </c>
      <c r="AZ123" s="63"/>
      <c r="BA123" s="58" t="e">
        <f t="shared" si="55"/>
        <v>#DIV/0!</v>
      </c>
      <c r="BB123" s="63"/>
      <c r="BC123" s="57" t="e">
        <f>(Links!C123*Links!AQ123+'On-Ramps'!AC123*'On-Ramps'!CE123)/('On-Ramps'!AC123+Links!C123)</f>
        <v>#DIV/0!</v>
      </c>
      <c r="BD123" s="63"/>
      <c r="BE123" s="57" t="e">
        <f>(Links!E123*Links!AS123+'On-Ramps'!AD123*'On-Ramps'!CF122)/('On-Ramps'!AD123+Links!E123)</f>
        <v>#DIV/0!</v>
      </c>
      <c r="BF123" s="57" t="e">
        <f>(Links!F123*Links!AT123+'On-Ramps'!AE123*'On-Ramps'!CG123)/('On-Ramps'!AE123+Links!F123)</f>
        <v>#DIV/0!</v>
      </c>
      <c r="BG123" s="57" t="e">
        <f>(Links!I123*Links!AW123+'On-Ramps'!AF123*'On-Ramps'!CH123)/('On-Ramps'!AF123+Links!I123)</f>
        <v>#DIV/0!</v>
      </c>
      <c r="BH123" s="57" t="e">
        <f>(#REF!*#REF!+'On-Ramps'!AG123*'On-Ramps'!CI123)/('On-Ramps'!AG123+#REF!)</f>
        <v>#REF!</v>
      </c>
      <c r="BI123" s="57" t="e">
        <f>(Links!L123*Links!AZ123+'On-Ramps'!AH123*'On-Ramps'!CJ123)/('On-Ramps'!AH123+Links!L123)</f>
        <v>#DIV/0!</v>
      </c>
      <c r="BJ123" s="57" t="e">
        <f>(Links!BA123*Links!M123+'On-Ramps'!AI123*'On-Ramps'!CK123)/('On-Ramps'!AI123+Links!M123)</f>
        <v>#DIV/0!</v>
      </c>
      <c r="BK123" s="57" t="e">
        <f>(Links!S123*Links!BG123+'On-Ramps'!AJ123*'On-Ramps'!CL123)/('On-Ramps'!AJ123+Links!S123)</f>
        <v>#DIV/0!</v>
      </c>
      <c r="BL123" s="63"/>
      <c r="BM123" s="57" t="e">
        <f>(Links!S123*Links!BG123+'On-Ramps'!AL123*'On-Ramps'!CM123)/(Links!S123+'On-Ramps'!AL123)</f>
        <v>#DIV/0!</v>
      </c>
      <c r="BN123" s="63"/>
      <c r="BO123" s="58" t="e">
        <f>(Links!W123^2+'Off-Ramp'!L123^2)/(Links!W123+'Off-Ramp'!L123)</f>
        <v>#DIV/0!</v>
      </c>
      <c r="BP123" s="63"/>
      <c r="BQ123" s="58" t="e">
        <f>(Links!Y123^2+'Off-Ramp'!C123^2)/(Links!Y123+'Off-Ramp'!C123)</f>
        <v>#DIV/0!</v>
      </c>
      <c r="BR123" s="63"/>
      <c r="BS123" s="58" t="e">
        <f>(Links!AA123^2+'Off-Ramp'!N123^2)/(Links!AA123+'Off-Ramp'!N123)</f>
        <v>#DIV/0!</v>
      </c>
      <c r="BT123" s="58" t="e">
        <f>(Links!AD123^2+'Off-Ramp'!O123^2)/(Links!AD123+'Off-Ramp'!O123)</f>
        <v>#DIV/0!</v>
      </c>
      <c r="BU123" s="58" t="e">
        <f>(Links!AE123^2+'Off-Ramp'!V123^2+'Off-Ramp'!W123^2+'Off-Ramp'!X123^2)/(Links!AE123+'Off-Ramp'!V123+'Off-Ramp'!W123+'Off-Ramp'!X123)</f>
        <v>#DIV/0!</v>
      </c>
      <c r="BV123" s="58" t="e">
        <f>(Links!AG123^2+'Off-Ramp'!Y123^2+'Off-Ramp'!Z123^2+'Off-Ramp'!AA123^2)/(Links!AG123+'Off-Ramp'!Y123+'Off-Ramp'!Z123+'Off-Ramp'!AA123)</f>
        <v>#DIV/0!</v>
      </c>
      <c r="BW123" s="58" t="e">
        <f>(Links!AH123^2+'Off-Ramp'!R123^2)/(Links!AH123+'Off-Ramp'!R123)</f>
        <v>#DIV/0!</v>
      </c>
      <c r="BX123" s="58" t="e">
        <f>(Links!AK123^2+'Off-Ramp'!S123^2)/(Links!AK123+'Off-Ramp'!S123)</f>
        <v>#DIV/0!</v>
      </c>
      <c r="BY123" s="58" t="e">
        <f>(Links!AL123^2+'Off-Ramp'!T123^2)/(Links!AL123+'Off-Ramp'!T123)</f>
        <v>#DIV/0!</v>
      </c>
      <c r="BZ123" s="63"/>
      <c r="CA123" s="58" t="e">
        <f>(Links!AN123^2+'Off-Ramp'!U123^2)/(Links!AN123+'Off-Ramp'!U123)</f>
        <v>#DIV/0!</v>
      </c>
    </row>
    <row r="124" spans="1:79" x14ac:dyDescent="0.15">
      <c r="A124" s="56">
        <v>122</v>
      </c>
      <c r="B124" s="57" t="e">
        <f t="shared" si="30"/>
        <v>#DIV/0!</v>
      </c>
      <c r="C124" s="57" t="e">
        <f t="shared" si="31"/>
        <v>#DIV/0!</v>
      </c>
      <c r="D124" s="57" t="e">
        <f t="shared" si="32"/>
        <v>#DIV/0!</v>
      </c>
      <c r="E124" s="57" t="e">
        <f t="shared" si="33"/>
        <v>#DIV/0!</v>
      </c>
      <c r="F124" s="57" t="e">
        <f t="shared" si="34"/>
        <v>#DIV/0!</v>
      </c>
      <c r="G124" s="57" t="e">
        <f t="shared" si="35"/>
        <v>#DIV/0!</v>
      </c>
      <c r="H124" s="57" t="e">
        <f t="shared" si="36"/>
        <v>#DIV/0!</v>
      </c>
      <c r="I124" s="57" t="e">
        <f t="shared" si="37"/>
        <v>#DIV/0!</v>
      </c>
      <c r="J124" s="57" t="e">
        <f t="shared" si="38"/>
        <v>#DIV/0!</v>
      </c>
      <c r="K124" s="57" t="e">
        <f t="shared" si="39"/>
        <v>#DIV/0!</v>
      </c>
      <c r="L124" s="57" t="e">
        <f t="shared" si="40"/>
        <v>#DIV/0!</v>
      </c>
      <c r="M124" s="57" t="e">
        <f t="shared" si="41"/>
        <v>#DIV/0!</v>
      </c>
      <c r="N124" s="57" t="e">
        <f t="shared" si="42"/>
        <v>#DIV/0!</v>
      </c>
      <c r="O124" s="58" t="e">
        <f>Links!B124</f>
        <v>#DIV/0!</v>
      </c>
      <c r="P124" s="58" t="e">
        <f>Links!C124+'On-Ramps'!AC124</f>
        <v>#DIV/0!</v>
      </c>
      <c r="Q124" s="58" t="e">
        <f>Links!D124</f>
        <v>#DIV/0!</v>
      </c>
      <c r="R124" s="58" t="e">
        <f>Links!E124+'On-Ramps'!AD124</f>
        <v>#DIV/0!</v>
      </c>
      <c r="S124" s="58" t="e">
        <f>Links!F124+'On-Ramps'!AE124</f>
        <v>#DIV/0!</v>
      </c>
      <c r="T124" s="58" t="e">
        <f>Links!I124+'On-Ramps'!AF124</f>
        <v>#DIV/0!</v>
      </c>
      <c r="U124" s="58" t="e">
        <f>Links!J124+'On-Ramps'!AG124</f>
        <v>#DIV/0!</v>
      </c>
      <c r="V124" s="58" t="e">
        <f>Links!L124+'On-Ramps'!AH124</f>
        <v>#DIV/0!</v>
      </c>
      <c r="W124" s="58" t="e">
        <f>Links!M124+'On-Ramps'!AI124</f>
        <v>#DIV/0!</v>
      </c>
      <c r="X124" s="58" t="e">
        <f>Links!P124+'On-Ramps'!AJ124</f>
        <v>#DIV/0!</v>
      </c>
      <c r="Y124" s="58" t="e">
        <f>Links!Q124</f>
        <v>#DIV/0!</v>
      </c>
      <c r="Z124" s="58" t="e">
        <f>Links!R124+'On-Ramps'!AK124</f>
        <v>#DIV/0!</v>
      </c>
      <c r="AA124" s="58" t="e">
        <f>Links!S124</f>
        <v>#DIV/0!</v>
      </c>
      <c r="AB124" s="57" t="e">
        <f t="shared" si="43"/>
        <v>#DIV/0!</v>
      </c>
      <c r="AC124" s="63"/>
      <c r="AD124" s="57" t="e">
        <f t="shared" si="44"/>
        <v>#DIV/0!</v>
      </c>
      <c r="AE124" s="63"/>
      <c r="AF124" s="57" t="e">
        <f t="shared" si="45"/>
        <v>#DIV/0!</v>
      </c>
      <c r="AG124" s="57" t="e">
        <f t="shared" si="46"/>
        <v>#DIV/0!</v>
      </c>
      <c r="AH124" s="57" t="e">
        <f t="shared" si="47"/>
        <v>#DIV/0!</v>
      </c>
      <c r="AI124" s="57" t="e">
        <f t="shared" si="48"/>
        <v>#DIV/0!</v>
      </c>
      <c r="AJ124" s="57" t="e">
        <f t="shared" si="49"/>
        <v>#DIV/0!</v>
      </c>
      <c r="AK124" s="57" t="e">
        <f t="shared" si="50"/>
        <v>#DIV/0!</v>
      </c>
      <c r="AL124" s="57" t="e">
        <f t="shared" si="51"/>
        <v>#DIV/0!</v>
      </c>
      <c r="AM124" s="63"/>
      <c r="AN124" s="57" t="e">
        <f t="shared" si="53"/>
        <v>#DIV/0!</v>
      </c>
      <c r="AO124" s="58" t="e">
        <f t="shared" si="56"/>
        <v>#DIV/0!</v>
      </c>
      <c r="AP124" s="63"/>
      <c r="AQ124" s="58" t="e">
        <f t="shared" si="55"/>
        <v>#DIV/0!</v>
      </c>
      <c r="AR124" s="63"/>
      <c r="AS124" s="58" t="e">
        <f t="shared" si="55"/>
        <v>#DIV/0!</v>
      </c>
      <c r="AT124" s="58" t="e">
        <f t="shared" si="55"/>
        <v>#DIV/0!</v>
      </c>
      <c r="AU124" s="58" t="e">
        <f t="shared" si="55"/>
        <v>#DIV/0!</v>
      </c>
      <c r="AV124" s="58" t="e">
        <f t="shared" si="55"/>
        <v>#DIV/0!</v>
      </c>
      <c r="AW124" s="58" t="e">
        <f t="shared" si="55"/>
        <v>#DIV/0!</v>
      </c>
      <c r="AX124" s="58" t="e">
        <f t="shared" si="55"/>
        <v>#DIV/0!</v>
      </c>
      <c r="AY124" s="58" t="e">
        <f t="shared" si="55"/>
        <v>#DIV/0!</v>
      </c>
      <c r="AZ124" s="63"/>
      <c r="BA124" s="58" t="e">
        <f t="shared" si="55"/>
        <v>#DIV/0!</v>
      </c>
      <c r="BB124" s="63"/>
      <c r="BC124" s="57" t="e">
        <f>(Links!C124*Links!AQ124+'On-Ramps'!AC124*'On-Ramps'!CE124)/('On-Ramps'!AC124+Links!C124)</f>
        <v>#DIV/0!</v>
      </c>
      <c r="BD124" s="63"/>
      <c r="BE124" s="57" t="e">
        <f>(Links!E124*Links!AS124+'On-Ramps'!AD124*'On-Ramps'!CF123)/('On-Ramps'!AD124+Links!E124)</f>
        <v>#DIV/0!</v>
      </c>
      <c r="BF124" s="57" t="e">
        <f>(Links!F124*Links!AT124+'On-Ramps'!AE124*'On-Ramps'!CG124)/('On-Ramps'!AE124+Links!F124)</f>
        <v>#DIV/0!</v>
      </c>
      <c r="BG124" s="57" t="e">
        <f>(Links!I124*Links!AW124+'On-Ramps'!AF124*'On-Ramps'!CH124)/('On-Ramps'!AF124+Links!I124)</f>
        <v>#DIV/0!</v>
      </c>
      <c r="BH124" s="57" t="e">
        <f>(#REF!*#REF!+'On-Ramps'!AG124*'On-Ramps'!CI124)/('On-Ramps'!AG124+#REF!)</f>
        <v>#REF!</v>
      </c>
      <c r="BI124" s="57" t="e">
        <f>(Links!L124*Links!AZ124+'On-Ramps'!AH124*'On-Ramps'!CJ124)/('On-Ramps'!AH124+Links!L124)</f>
        <v>#DIV/0!</v>
      </c>
      <c r="BJ124" s="57" t="e">
        <f>(Links!BA124*Links!M124+'On-Ramps'!AI124*'On-Ramps'!CK124)/('On-Ramps'!AI124+Links!M124)</f>
        <v>#DIV/0!</v>
      </c>
      <c r="BK124" s="57" t="e">
        <f>(Links!S124*Links!BG124+'On-Ramps'!AJ124*'On-Ramps'!CL124)/('On-Ramps'!AJ124+Links!S124)</f>
        <v>#DIV/0!</v>
      </c>
      <c r="BL124" s="63"/>
      <c r="BM124" s="57" t="e">
        <f>(Links!S124*Links!BG124+'On-Ramps'!AL124*'On-Ramps'!CM124)/(Links!S124+'On-Ramps'!AL124)</f>
        <v>#DIV/0!</v>
      </c>
      <c r="BN124" s="63"/>
      <c r="BO124" s="58" t="e">
        <f>(Links!W124^2+'Off-Ramp'!L124^2)/(Links!W124+'Off-Ramp'!L124)</f>
        <v>#DIV/0!</v>
      </c>
      <c r="BP124" s="63"/>
      <c r="BQ124" s="58" t="e">
        <f>(Links!Y124^2+'Off-Ramp'!C124^2)/(Links!Y124+'Off-Ramp'!C124)</f>
        <v>#DIV/0!</v>
      </c>
      <c r="BR124" s="63"/>
      <c r="BS124" s="58" t="e">
        <f>(Links!AA124^2+'Off-Ramp'!N124^2)/(Links!AA124+'Off-Ramp'!N124)</f>
        <v>#DIV/0!</v>
      </c>
      <c r="BT124" s="58" t="e">
        <f>(Links!AD124^2+'Off-Ramp'!O124^2)/(Links!AD124+'Off-Ramp'!O124)</f>
        <v>#DIV/0!</v>
      </c>
      <c r="BU124" s="58" t="e">
        <f>(Links!AE124^2+'Off-Ramp'!V124^2+'Off-Ramp'!W124^2+'Off-Ramp'!X124^2)/(Links!AE124+'Off-Ramp'!V124+'Off-Ramp'!W124+'Off-Ramp'!X124)</f>
        <v>#DIV/0!</v>
      </c>
      <c r="BV124" s="58" t="e">
        <f>(Links!AG124^2+'Off-Ramp'!Y124^2+'Off-Ramp'!Z124^2+'Off-Ramp'!AA124^2)/(Links!AG124+'Off-Ramp'!Y124+'Off-Ramp'!Z124+'Off-Ramp'!AA124)</f>
        <v>#DIV/0!</v>
      </c>
      <c r="BW124" s="58" t="e">
        <f>(Links!AH124^2+'Off-Ramp'!R124^2)/(Links!AH124+'Off-Ramp'!R124)</f>
        <v>#DIV/0!</v>
      </c>
      <c r="BX124" s="58" t="e">
        <f>(Links!AK124^2+'Off-Ramp'!S124^2)/(Links!AK124+'Off-Ramp'!S124)</f>
        <v>#DIV/0!</v>
      </c>
      <c r="BY124" s="58" t="e">
        <f>(Links!AL124^2+'Off-Ramp'!T124^2)/(Links!AL124+'Off-Ramp'!T124)</f>
        <v>#DIV/0!</v>
      </c>
      <c r="BZ124" s="63"/>
      <c r="CA124" s="58" t="e">
        <f>(Links!AN124^2+'Off-Ramp'!U124^2)/(Links!AN124+'Off-Ramp'!U124)</f>
        <v>#DIV/0!</v>
      </c>
    </row>
    <row r="125" spans="1:79" x14ac:dyDescent="0.15">
      <c r="A125" s="56">
        <v>123</v>
      </c>
      <c r="B125" s="57" t="e">
        <f t="shared" si="30"/>
        <v>#DIV/0!</v>
      </c>
      <c r="C125" s="57" t="e">
        <f t="shared" si="31"/>
        <v>#DIV/0!</v>
      </c>
      <c r="D125" s="57" t="e">
        <f t="shared" si="32"/>
        <v>#DIV/0!</v>
      </c>
      <c r="E125" s="57" t="e">
        <f t="shared" si="33"/>
        <v>#DIV/0!</v>
      </c>
      <c r="F125" s="57" t="e">
        <f t="shared" si="34"/>
        <v>#DIV/0!</v>
      </c>
      <c r="G125" s="57" t="e">
        <f t="shared" si="35"/>
        <v>#DIV/0!</v>
      </c>
      <c r="H125" s="57" t="e">
        <f t="shared" si="36"/>
        <v>#DIV/0!</v>
      </c>
      <c r="I125" s="57" t="e">
        <f t="shared" si="37"/>
        <v>#DIV/0!</v>
      </c>
      <c r="J125" s="57" t="e">
        <f t="shared" si="38"/>
        <v>#DIV/0!</v>
      </c>
      <c r="K125" s="57" t="e">
        <f t="shared" si="39"/>
        <v>#DIV/0!</v>
      </c>
      <c r="L125" s="57" t="e">
        <f t="shared" si="40"/>
        <v>#DIV/0!</v>
      </c>
      <c r="M125" s="57" t="e">
        <f t="shared" si="41"/>
        <v>#DIV/0!</v>
      </c>
      <c r="N125" s="57" t="e">
        <f t="shared" si="42"/>
        <v>#DIV/0!</v>
      </c>
      <c r="O125" s="58" t="e">
        <f>Links!B125</f>
        <v>#DIV/0!</v>
      </c>
      <c r="P125" s="58" t="e">
        <f>Links!C125+'On-Ramps'!AC125</f>
        <v>#DIV/0!</v>
      </c>
      <c r="Q125" s="58" t="e">
        <f>Links!D125</f>
        <v>#DIV/0!</v>
      </c>
      <c r="R125" s="58" t="e">
        <f>Links!E125+'On-Ramps'!AD125</f>
        <v>#DIV/0!</v>
      </c>
      <c r="S125" s="58" t="e">
        <f>Links!F125+'On-Ramps'!AE125</f>
        <v>#DIV/0!</v>
      </c>
      <c r="T125" s="58" t="e">
        <f>Links!I125+'On-Ramps'!AF125</f>
        <v>#DIV/0!</v>
      </c>
      <c r="U125" s="58" t="e">
        <f>Links!J125+'On-Ramps'!AG125</f>
        <v>#DIV/0!</v>
      </c>
      <c r="V125" s="58" t="e">
        <f>Links!L125+'On-Ramps'!AH125</f>
        <v>#DIV/0!</v>
      </c>
      <c r="W125" s="58" t="e">
        <f>Links!M125+'On-Ramps'!AI125</f>
        <v>#DIV/0!</v>
      </c>
      <c r="X125" s="58" t="e">
        <f>Links!P125+'On-Ramps'!AJ125</f>
        <v>#DIV/0!</v>
      </c>
      <c r="Y125" s="58" t="e">
        <f>Links!Q125</f>
        <v>#DIV/0!</v>
      </c>
      <c r="Z125" s="58" t="e">
        <f>Links!R125+'On-Ramps'!AK125</f>
        <v>#DIV/0!</v>
      </c>
      <c r="AA125" s="58" t="e">
        <f>Links!S125</f>
        <v>#DIV/0!</v>
      </c>
      <c r="AB125" s="57" t="e">
        <f t="shared" si="43"/>
        <v>#DIV/0!</v>
      </c>
      <c r="AC125" s="63"/>
      <c r="AD125" s="57" t="e">
        <f t="shared" si="44"/>
        <v>#DIV/0!</v>
      </c>
      <c r="AE125" s="63"/>
      <c r="AF125" s="57" t="e">
        <f t="shared" si="45"/>
        <v>#DIV/0!</v>
      </c>
      <c r="AG125" s="57" t="e">
        <f t="shared" si="46"/>
        <v>#DIV/0!</v>
      </c>
      <c r="AH125" s="57" t="e">
        <f t="shared" si="47"/>
        <v>#DIV/0!</v>
      </c>
      <c r="AI125" s="57" t="e">
        <f t="shared" si="48"/>
        <v>#DIV/0!</v>
      </c>
      <c r="AJ125" s="57" t="e">
        <f t="shared" si="49"/>
        <v>#DIV/0!</v>
      </c>
      <c r="AK125" s="57" t="e">
        <f t="shared" si="50"/>
        <v>#DIV/0!</v>
      </c>
      <c r="AL125" s="57" t="e">
        <f t="shared" si="51"/>
        <v>#DIV/0!</v>
      </c>
      <c r="AM125" s="63"/>
      <c r="AN125" s="57" t="e">
        <f t="shared" si="53"/>
        <v>#DIV/0!</v>
      </c>
      <c r="AO125" s="58" t="e">
        <f t="shared" si="56"/>
        <v>#DIV/0!</v>
      </c>
      <c r="AP125" s="63"/>
      <c r="AQ125" s="58" t="e">
        <f t="shared" si="55"/>
        <v>#DIV/0!</v>
      </c>
      <c r="AR125" s="63"/>
      <c r="AS125" s="58" t="e">
        <f t="shared" si="55"/>
        <v>#DIV/0!</v>
      </c>
      <c r="AT125" s="58" t="e">
        <f t="shared" si="55"/>
        <v>#DIV/0!</v>
      </c>
      <c r="AU125" s="58" t="e">
        <f t="shared" si="55"/>
        <v>#DIV/0!</v>
      </c>
      <c r="AV125" s="58" t="e">
        <f t="shared" si="55"/>
        <v>#DIV/0!</v>
      </c>
      <c r="AW125" s="58" t="e">
        <f t="shared" si="55"/>
        <v>#DIV/0!</v>
      </c>
      <c r="AX125" s="58" t="e">
        <f t="shared" si="55"/>
        <v>#DIV/0!</v>
      </c>
      <c r="AY125" s="58" t="e">
        <f t="shared" si="55"/>
        <v>#DIV/0!</v>
      </c>
      <c r="AZ125" s="63"/>
      <c r="BA125" s="58" t="e">
        <f t="shared" si="55"/>
        <v>#DIV/0!</v>
      </c>
      <c r="BB125" s="63"/>
      <c r="BC125" s="57" t="e">
        <f>(Links!C125*Links!AQ125+'On-Ramps'!AC125*'On-Ramps'!CE125)/('On-Ramps'!AC125+Links!C125)</f>
        <v>#DIV/0!</v>
      </c>
      <c r="BD125" s="63"/>
      <c r="BE125" s="57" t="e">
        <f>(Links!E125*Links!AS125+'On-Ramps'!AD125*'On-Ramps'!CF124)/('On-Ramps'!AD125+Links!E125)</f>
        <v>#DIV/0!</v>
      </c>
      <c r="BF125" s="57" t="e">
        <f>(Links!F125*Links!AT125+'On-Ramps'!AE125*'On-Ramps'!CG125)/('On-Ramps'!AE125+Links!F125)</f>
        <v>#DIV/0!</v>
      </c>
      <c r="BG125" s="57" t="e">
        <f>(Links!I125*Links!AW125+'On-Ramps'!AF125*'On-Ramps'!CH125)/('On-Ramps'!AF125+Links!I125)</f>
        <v>#DIV/0!</v>
      </c>
      <c r="BH125" s="57" t="e">
        <f>(#REF!*#REF!+'On-Ramps'!AG125*'On-Ramps'!CI125)/('On-Ramps'!AG125+#REF!)</f>
        <v>#REF!</v>
      </c>
      <c r="BI125" s="57" t="e">
        <f>(Links!L125*Links!AZ125+'On-Ramps'!AH125*'On-Ramps'!CJ125)/('On-Ramps'!AH125+Links!L125)</f>
        <v>#DIV/0!</v>
      </c>
      <c r="BJ125" s="57" t="e">
        <f>(Links!BA125*Links!M125+'On-Ramps'!AI125*'On-Ramps'!CK125)/('On-Ramps'!AI125+Links!M125)</f>
        <v>#DIV/0!</v>
      </c>
      <c r="BK125" s="57" t="e">
        <f>(Links!S125*Links!BG125+'On-Ramps'!AJ125*'On-Ramps'!CL125)/('On-Ramps'!AJ125+Links!S125)</f>
        <v>#DIV/0!</v>
      </c>
      <c r="BL125" s="63"/>
      <c r="BM125" s="57" t="e">
        <f>(Links!S125*Links!BG125+'On-Ramps'!AL125*'On-Ramps'!CM125)/(Links!S125+'On-Ramps'!AL125)</f>
        <v>#DIV/0!</v>
      </c>
      <c r="BN125" s="63"/>
      <c r="BO125" s="58" t="e">
        <f>(Links!W125^2+'Off-Ramp'!L125^2)/(Links!W125+'Off-Ramp'!L125)</f>
        <v>#DIV/0!</v>
      </c>
      <c r="BP125" s="63"/>
      <c r="BQ125" s="58" t="e">
        <f>(Links!Y125^2+'Off-Ramp'!C125^2)/(Links!Y125+'Off-Ramp'!C125)</f>
        <v>#DIV/0!</v>
      </c>
      <c r="BR125" s="63"/>
      <c r="BS125" s="58" t="e">
        <f>(Links!AA125^2+'Off-Ramp'!N125^2)/(Links!AA125+'Off-Ramp'!N125)</f>
        <v>#DIV/0!</v>
      </c>
      <c r="BT125" s="58" t="e">
        <f>(Links!AD125^2+'Off-Ramp'!O125^2)/(Links!AD125+'Off-Ramp'!O125)</f>
        <v>#DIV/0!</v>
      </c>
      <c r="BU125" s="58" t="e">
        <f>(Links!AE125^2+'Off-Ramp'!V125^2+'Off-Ramp'!W125^2+'Off-Ramp'!X125^2)/(Links!AE125+'Off-Ramp'!V125+'Off-Ramp'!W125+'Off-Ramp'!X125)</f>
        <v>#DIV/0!</v>
      </c>
      <c r="BV125" s="58" t="e">
        <f>(Links!AG125^2+'Off-Ramp'!Y125^2+'Off-Ramp'!Z125^2+'Off-Ramp'!AA125^2)/(Links!AG125+'Off-Ramp'!Y125+'Off-Ramp'!Z125+'Off-Ramp'!AA125)</f>
        <v>#DIV/0!</v>
      </c>
      <c r="BW125" s="58" t="e">
        <f>(Links!AH125^2+'Off-Ramp'!R125^2)/(Links!AH125+'Off-Ramp'!R125)</f>
        <v>#DIV/0!</v>
      </c>
      <c r="BX125" s="58" t="e">
        <f>(Links!AK125^2+'Off-Ramp'!S125^2)/(Links!AK125+'Off-Ramp'!S125)</f>
        <v>#DIV/0!</v>
      </c>
      <c r="BY125" s="58" t="e">
        <f>(Links!AL125^2+'Off-Ramp'!T125^2)/(Links!AL125+'Off-Ramp'!T125)</f>
        <v>#DIV/0!</v>
      </c>
      <c r="BZ125" s="63"/>
      <c r="CA125" s="58" t="e">
        <f>(Links!AN125^2+'Off-Ramp'!U125^2)/(Links!AN125+'Off-Ramp'!U125)</f>
        <v>#DIV/0!</v>
      </c>
    </row>
    <row r="126" spans="1:79" x14ac:dyDescent="0.15">
      <c r="A126" s="56">
        <v>124</v>
      </c>
      <c r="B126" s="57" t="e">
        <f t="shared" si="30"/>
        <v>#DIV/0!</v>
      </c>
      <c r="C126" s="57" t="e">
        <f t="shared" si="31"/>
        <v>#DIV/0!</v>
      </c>
      <c r="D126" s="57" t="e">
        <f t="shared" si="32"/>
        <v>#DIV/0!</v>
      </c>
      <c r="E126" s="57" t="e">
        <f t="shared" si="33"/>
        <v>#DIV/0!</v>
      </c>
      <c r="F126" s="57" t="e">
        <f t="shared" si="34"/>
        <v>#DIV/0!</v>
      </c>
      <c r="G126" s="57" t="e">
        <f t="shared" si="35"/>
        <v>#DIV/0!</v>
      </c>
      <c r="H126" s="57" t="e">
        <f t="shared" si="36"/>
        <v>#DIV/0!</v>
      </c>
      <c r="I126" s="57" t="e">
        <f t="shared" si="37"/>
        <v>#DIV/0!</v>
      </c>
      <c r="J126" s="57" t="e">
        <f t="shared" si="38"/>
        <v>#DIV/0!</v>
      </c>
      <c r="K126" s="57" t="e">
        <f t="shared" si="39"/>
        <v>#DIV/0!</v>
      </c>
      <c r="L126" s="57" t="e">
        <f t="shared" si="40"/>
        <v>#DIV/0!</v>
      </c>
      <c r="M126" s="57" t="e">
        <f t="shared" si="41"/>
        <v>#DIV/0!</v>
      </c>
      <c r="N126" s="57" t="e">
        <f t="shared" si="42"/>
        <v>#DIV/0!</v>
      </c>
      <c r="O126" s="58" t="e">
        <f>Links!B126</f>
        <v>#DIV/0!</v>
      </c>
      <c r="P126" s="58" t="e">
        <f>Links!C126+'On-Ramps'!AC126</f>
        <v>#DIV/0!</v>
      </c>
      <c r="Q126" s="58" t="e">
        <f>Links!D126</f>
        <v>#DIV/0!</v>
      </c>
      <c r="R126" s="58" t="e">
        <f>Links!E126+'On-Ramps'!AD126</f>
        <v>#DIV/0!</v>
      </c>
      <c r="S126" s="58" t="e">
        <f>Links!F126+'On-Ramps'!AE126</f>
        <v>#DIV/0!</v>
      </c>
      <c r="T126" s="58" t="e">
        <f>Links!I126+'On-Ramps'!AF126</f>
        <v>#DIV/0!</v>
      </c>
      <c r="U126" s="58" t="e">
        <f>Links!J126+'On-Ramps'!AG126</f>
        <v>#DIV/0!</v>
      </c>
      <c r="V126" s="58" t="e">
        <f>Links!L126+'On-Ramps'!AH126</f>
        <v>#DIV/0!</v>
      </c>
      <c r="W126" s="58" t="e">
        <f>Links!M126+'On-Ramps'!AI126</f>
        <v>#DIV/0!</v>
      </c>
      <c r="X126" s="58" t="e">
        <f>Links!P126+'On-Ramps'!AJ126</f>
        <v>#DIV/0!</v>
      </c>
      <c r="Y126" s="58" t="e">
        <f>Links!Q126</f>
        <v>#DIV/0!</v>
      </c>
      <c r="Z126" s="58" t="e">
        <f>Links!R126+'On-Ramps'!AK126</f>
        <v>#DIV/0!</v>
      </c>
      <c r="AA126" s="58" t="e">
        <f>Links!S126</f>
        <v>#DIV/0!</v>
      </c>
      <c r="AB126" s="57" t="e">
        <f t="shared" si="43"/>
        <v>#DIV/0!</v>
      </c>
      <c r="AC126" s="63"/>
      <c r="AD126" s="57" t="e">
        <f t="shared" si="44"/>
        <v>#DIV/0!</v>
      </c>
      <c r="AE126" s="63"/>
      <c r="AF126" s="57" t="e">
        <f t="shared" si="45"/>
        <v>#DIV/0!</v>
      </c>
      <c r="AG126" s="57" t="e">
        <f t="shared" si="46"/>
        <v>#DIV/0!</v>
      </c>
      <c r="AH126" s="57" t="e">
        <f t="shared" si="47"/>
        <v>#DIV/0!</v>
      </c>
      <c r="AI126" s="57" t="e">
        <f t="shared" si="48"/>
        <v>#DIV/0!</v>
      </c>
      <c r="AJ126" s="57" t="e">
        <f t="shared" si="49"/>
        <v>#DIV/0!</v>
      </c>
      <c r="AK126" s="57" t="e">
        <f t="shared" si="50"/>
        <v>#DIV/0!</v>
      </c>
      <c r="AL126" s="57" t="e">
        <f t="shared" si="51"/>
        <v>#DIV/0!</v>
      </c>
      <c r="AM126" s="63"/>
      <c r="AN126" s="57" t="e">
        <f t="shared" si="53"/>
        <v>#DIV/0!</v>
      </c>
      <c r="AO126" s="58" t="e">
        <f t="shared" si="56"/>
        <v>#DIV/0!</v>
      </c>
      <c r="AP126" s="63"/>
      <c r="AQ126" s="58" t="e">
        <f t="shared" si="55"/>
        <v>#DIV/0!</v>
      </c>
      <c r="AR126" s="63"/>
      <c r="AS126" s="58" t="e">
        <f t="shared" si="55"/>
        <v>#DIV/0!</v>
      </c>
      <c r="AT126" s="58" t="e">
        <f t="shared" si="55"/>
        <v>#DIV/0!</v>
      </c>
      <c r="AU126" s="58" t="e">
        <f t="shared" si="55"/>
        <v>#DIV/0!</v>
      </c>
      <c r="AV126" s="58" t="e">
        <f t="shared" si="55"/>
        <v>#DIV/0!</v>
      </c>
      <c r="AW126" s="58" t="e">
        <f t="shared" si="55"/>
        <v>#DIV/0!</v>
      </c>
      <c r="AX126" s="58" t="e">
        <f t="shared" si="55"/>
        <v>#DIV/0!</v>
      </c>
      <c r="AY126" s="58" t="e">
        <f t="shared" si="55"/>
        <v>#DIV/0!</v>
      </c>
      <c r="AZ126" s="63"/>
      <c r="BA126" s="58" t="e">
        <f t="shared" si="55"/>
        <v>#DIV/0!</v>
      </c>
      <c r="BB126" s="63"/>
      <c r="BC126" s="57" t="e">
        <f>(Links!C126*Links!AQ126+'On-Ramps'!AC126*'On-Ramps'!CE126)/('On-Ramps'!AC126+Links!C126)</f>
        <v>#DIV/0!</v>
      </c>
      <c r="BD126" s="63"/>
      <c r="BE126" s="57" t="e">
        <f>(Links!E126*Links!AS126+'On-Ramps'!AD126*'On-Ramps'!CF125)/('On-Ramps'!AD126+Links!E126)</f>
        <v>#DIV/0!</v>
      </c>
      <c r="BF126" s="57" t="e">
        <f>(Links!F126*Links!AT126+'On-Ramps'!AE126*'On-Ramps'!CG126)/('On-Ramps'!AE126+Links!F126)</f>
        <v>#DIV/0!</v>
      </c>
      <c r="BG126" s="57" t="e">
        <f>(Links!I126*Links!AW126+'On-Ramps'!AF126*'On-Ramps'!CH126)/('On-Ramps'!AF126+Links!I126)</f>
        <v>#DIV/0!</v>
      </c>
      <c r="BH126" s="57" t="e">
        <f>(#REF!*#REF!+'On-Ramps'!AG126*'On-Ramps'!CI126)/('On-Ramps'!AG126+#REF!)</f>
        <v>#REF!</v>
      </c>
      <c r="BI126" s="57" t="e">
        <f>(Links!L126*Links!AZ126+'On-Ramps'!AH126*'On-Ramps'!CJ126)/('On-Ramps'!AH126+Links!L126)</f>
        <v>#DIV/0!</v>
      </c>
      <c r="BJ126" s="57" t="e">
        <f>(Links!BA126*Links!M126+'On-Ramps'!AI126*'On-Ramps'!CK126)/('On-Ramps'!AI126+Links!M126)</f>
        <v>#DIV/0!</v>
      </c>
      <c r="BK126" s="57" t="e">
        <f>(Links!S126*Links!BG126+'On-Ramps'!AJ126*'On-Ramps'!CL126)/('On-Ramps'!AJ126+Links!S126)</f>
        <v>#DIV/0!</v>
      </c>
      <c r="BL126" s="63"/>
      <c r="BM126" s="57" t="e">
        <f>(Links!S126*Links!BG126+'On-Ramps'!AL126*'On-Ramps'!CM126)/(Links!S126+'On-Ramps'!AL126)</f>
        <v>#DIV/0!</v>
      </c>
      <c r="BN126" s="63"/>
      <c r="BO126" s="58" t="e">
        <f>(Links!W126^2+'Off-Ramp'!L126^2)/(Links!W126+'Off-Ramp'!L126)</f>
        <v>#DIV/0!</v>
      </c>
      <c r="BP126" s="63"/>
      <c r="BQ126" s="58" t="e">
        <f>(Links!Y126^2+'Off-Ramp'!C126^2)/(Links!Y126+'Off-Ramp'!C126)</f>
        <v>#DIV/0!</v>
      </c>
      <c r="BR126" s="63"/>
      <c r="BS126" s="58" t="e">
        <f>(Links!AA126^2+'Off-Ramp'!N126^2)/(Links!AA126+'Off-Ramp'!N126)</f>
        <v>#DIV/0!</v>
      </c>
      <c r="BT126" s="58" t="e">
        <f>(Links!AD126^2+'Off-Ramp'!O126^2)/(Links!AD126+'Off-Ramp'!O126)</f>
        <v>#DIV/0!</v>
      </c>
      <c r="BU126" s="58" t="e">
        <f>(Links!AE126^2+'Off-Ramp'!V126^2+'Off-Ramp'!W126^2+'Off-Ramp'!X126^2)/(Links!AE126+'Off-Ramp'!V126+'Off-Ramp'!W126+'Off-Ramp'!X126)</f>
        <v>#DIV/0!</v>
      </c>
      <c r="BV126" s="58" t="e">
        <f>(Links!AG126^2+'Off-Ramp'!Y126^2+'Off-Ramp'!Z126^2+'Off-Ramp'!AA126^2)/(Links!AG126+'Off-Ramp'!Y126+'Off-Ramp'!Z126+'Off-Ramp'!AA126)</f>
        <v>#DIV/0!</v>
      </c>
      <c r="BW126" s="58" t="e">
        <f>(Links!AH126^2+'Off-Ramp'!R126^2)/(Links!AH126+'Off-Ramp'!R126)</f>
        <v>#DIV/0!</v>
      </c>
      <c r="BX126" s="58" t="e">
        <f>(Links!AK126^2+'Off-Ramp'!S126^2)/(Links!AK126+'Off-Ramp'!S126)</f>
        <v>#DIV/0!</v>
      </c>
      <c r="BY126" s="58" t="e">
        <f>(Links!AL126^2+'Off-Ramp'!T126^2)/(Links!AL126+'Off-Ramp'!T126)</f>
        <v>#DIV/0!</v>
      </c>
      <c r="BZ126" s="63"/>
      <c r="CA126" s="58" t="e">
        <f>(Links!AN126^2+'Off-Ramp'!U126^2)/(Links!AN126+'Off-Ramp'!U126)</f>
        <v>#DIV/0!</v>
      </c>
    </row>
    <row r="127" spans="1:79" x14ac:dyDescent="0.15">
      <c r="A127" s="56">
        <v>125</v>
      </c>
      <c r="B127" s="57" t="e">
        <f t="shared" si="30"/>
        <v>#DIV/0!</v>
      </c>
      <c r="C127" s="57" t="e">
        <f t="shared" si="31"/>
        <v>#DIV/0!</v>
      </c>
      <c r="D127" s="57" t="e">
        <f t="shared" si="32"/>
        <v>#DIV/0!</v>
      </c>
      <c r="E127" s="57" t="e">
        <f t="shared" si="33"/>
        <v>#DIV/0!</v>
      </c>
      <c r="F127" s="57" t="e">
        <f t="shared" si="34"/>
        <v>#DIV/0!</v>
      </c>
      <c r="G127" s="57" t="e">
        <f t="shared" si="35"/>
        <v>#DIV/0!</v>
      </c>
      <c r="H127" s="57" t="e">
        <f t="shared" si="36"/>
        <v>#DIV/0!</v>
      </c>
      <c r="I127" s="57" t="e">
        <f t="shared" si="37"/>
        <v>#DIV/0!</v>
      </c>
      <c r="J127" s="57" t="e">
        <f t="shared" si="38"/>
        <v>#DIV/0!</v>
      </c>
      <c r="K127" s="57" t="e">
        <f t="shared" si="39"/>
        <v>#DIV/0!</v>
      </c>
      <c r="L127" s="57" t="e">
        <f t="shared" si="40"/>
        <v>#DIV/0!</v>
      </c>
      <c r="M127" s="57" t="e">
        <f t="shared" si="41"/>
        <v>#DIV/0!</v>
      </c>
      <c r="N127" s="57" t="e">
        <f t="shared" si="42"/>
        <v>#DIV/0!</v>
      </c>
      <c r="O127" s="58" t="e">
        <f>Links!B127</f>
        <v>#DIV/0!</v>
      </c>
      <c r="P127" s="58" t="e">
        <f>Links!C127+'On-Ramps'!AC127</f>
        <v>#DIV/0!</v>
      </c>
      <c r="Q127" s="58" t="e">
        <f>Links!D127</f>
        <v>#DIV/0!</v>
      </c>
      <c r="R127" s="58" t="e">
        <f>Links!E127+'On-Ramps'!AD127</f>
        <v>#DIV/0!</v>
      </c>
      <c r="S127" s="58" t="e">
        <f>Links!F127+'On-Ramps'!AE127</f>
        <v>#DIV/0!</v>
      </c>
      <c r="T127" s="58" t="e">
        <f>Links!I127+'On-Ramps'!AF127</f>
        <v>#DIV/0!</v>
      </c>
      <c r="U127" s="58" t="e">
        <f>Links!J127+'On-Ramps'!AG127</f>
        <v>#DIV/0!</v>
      </c>
      <c r="V127" s="58" t="e">
        <f>Links!L127+'On-Ramps'!AH127</f>
        <v>#DIV/0!</v>
      </c>
      <c r="W127" s="58" t="e">
        <f>Links!M127+'On-Ramps'!AI127</f>
        <v>#DIV/0!</v>
      </c>
      <c r="X127" s="58" t="e">
        <f>Links!P127+'On-Ramps'!AJ127</f>
        <v>#DIV/0!</v>
      </c>
      <c r="Y127" s="58" t="e">
        <f>Links!Q127</f>
        <v>#DIV/0!</v>
      </c>
      <c r="Z127" s="58" t="e">
        <f>Links!R127+'On-Ramps'!AK127</f>
        <v>#DIV/0!</v>
      </c>
      <c r="AA127" s="58" t="e">
        <f>Links!S127</f>
        <v>#DIV/0!</v>
      </c>
      <c r="AB127" s="57" t="e">
        <f t="shared" si="43"/>
        <v>#DIV/0!</v>
      </c>
      <c r="AC127" s="63"/>
      <c r="AD127" s="57" t="e">
        <f t="shared" si="44"/>
        <v>#DIV/0!</v>
      </c>
      <c r="AE127" s="63"/>
      <c r="AF127" s="57" t="e">
        <f t="shared" si="45"/>
        <v>#DIV/0!</v>
      </c>
      <c r="AG127" s="57" t="e">
        <f t="shared" si="46"/>
        <v>#DIV/0!</v>
      </c>
      <c r="AH127" s="57" t="e">
        <f t="shared" si="47"/>
        <v>#DIV/0!</v>
      </c>
      <c r="AI127" s="57" t="e">
        <f t="shared" si="48"/>
        <v>#DIV/0!</v>
      </c>
      <c r="AJ127" s="57" t="e">
        <f t="shared" si="49"/>
        <v>#DIV/0!</v>
      </c>
      <c r="AK127" s="57" t="e">
        <f t="shared" si="50"/>
        <v>#DIV/0!</v>
      </c>
      <c r="AL127" s="57" t="e">
        <f t="shared" si="51"/>
        <v>#DIV/0!</v>
      </c>
      <c r="AM127" s="63"/>
      <c r="AN127" s="57" t="e">
        <f t="shared" si="53"/>
        <v>#DIV/0!</v>
      </c>
      <c r="AO127" s="58" t="e">
        <f t="shared" si="56"/>
        <v>#DIV/0!</v>
      </c>
      <c r="AP127" s="63"/>
      <c r="AQ127" s="58" t="e">
        <f t="shared" si="55"/>
        <v>#DIV/0!</v>
      </c>
      <c r="AR127" s="63"/>
      <c r="AS127" s="58" t="e">
        <f t="shared" si="55"/>
        <v>#DIV/0!</v>
      </c>
      <c r="AT127" s="58" t="e">
        <f t="shared" si="55"/>
        <v>#DIV/0!</v>
      </c>
      <c r="AU127" s="58" t="e">
        <f t="shared" si="55"/>
        <v>#DIV/0!</v>
      </c>
      <c r="AV127" s="58" t="e">
        <f t="shared" si="55"/>
        <v>#DIV/0!</v>
      </c>
      <c r="AW127" s="58" t="e">
        <f t="shared" si="55"/>
        <v>#DIV/0!</v>
      </c>
      <c r="AX127" s="58" t="e">
        <f t="shared" si="55"/>
        <v>#DIV/0!</v>
      </c>
      <c r="AY127" s="58" t="e">
        <f t="shared" si="55"/>
        <v>#DIV/0!</v>
      </c>
      <c r="AZ127" s="63"/>
      <c r="BA127" s="58" t="e">
        <f t="shared" si="55"/>
        <v>#DIV/0!</v>
      </c>
      <c r="BB127" s="63"/>
      <c r="BC127" s="57" t="e">
        <f>(Links!C127*Links!AQ127+'On-Ramps'!AC127*'On-Ramps'!CE127)/('On-Ramps'!AC127+Links!C127)</f>
        <v>#DIV/0!</v>
      </c>
      <c r="BD127" s="63"/>
      <c r="BE127" s="57" t="e">
        <f>(Links!E127*Links!AS127+'On-Ramps'!AD127*'On-Ramps'!CF126)/('On-Ramps'!AD127+Links!E127)</f>
        <v>#DIV/0!</v>
      </c>
      <c r="BF127" s="57" t="e">
        <f>(Links!F127*Links!AT127+'On-Ramps'!AE127*'On-Ramps'!CG127)/('On-Ramps'!AE127+Links!F127)</f>
        <v>#DIV/0!</v>
      </c>
      <c r="BG127" s="57" t="e">
        <f>(Links!I127*Links!AW127+'On-Ramps'!AF127*'On-Ramps'!CH127)/('On-Ramps'!AF127+Links!I127)</f>
        <v>#DIV/0!</v>
      </c>
      <c r="BH127" s="57" t="e">
        <f>(#REF!*#REF!+'On-Ramps'!AG127*'On-Ramps'!CI127)/('On-Ramps'!AG127+#REF!)</f>
        <v>#REF!</v>
      </c>
      <c r="BI127" s="57" t="e">
        <f>(Links!L127*Links!AZ127+'On-Ramps'!AH127*'On-Ramps'!CJ127)/('On-Ramps'!AH127+Links!L127)</f>
        <v>#DIV/0!</v>
      </c>
      <c r="BJ127" s="57" t="e">
        <f>(Links!BA127*Links!M127+'On-Ramps'!AI127*'On-Ramps'!CK127)/('On-Ramps'!AI127+Links!M127)</f>
        <v>#DIV/0!</v>
      </c>
      <c r="BK127" s="57" t="e">
        <f>(Links!S127*Links!BG127+'On-Ramps'!AJ127*'On-Ramps'!CL127)/('On-Ramps'!AJ127+Links!S127)</f>
        <v>#DIV/0!</v>
      </c>
      <c r="BL127" s="63"/>
      <c r="BM127" s="57" t="e">
        <f>(Links!S127*Links!BG127+'On-Ramps'!AL127*'On-Ramps'!CM127)/(Links!S127+'On-Ramps'!AL127)</f>
        <v>#DIV/0!</v>
      </c>
      <c r="BN127" s="63"/>
      <c r="BO127" s="58" t="e">
        <f>(Links!W127^2+'Off-Ramp'!L127^2)/(Links!W127+'Off-Ramp'!L127)</f>
        <v>#DIV/0!</v>
      </c>
      <c r="BP127" s="63"/>
      <c r="BQ127" s="58" t="e">
        <f>(Links!Y127^2+'Off-Ramp'!C127^2)/(Links!Y127+'Off-Ramp'!C127)</f>
        <v>#DIV/0!</v>
      </c>
      <c r="BR127" s="63"/>
      <c r="BS127" s="58" t="e">
        <f>(Links!AA127^2+'Off-Ramp'!N127^2)/(Links!AA127+'Off-Ramp'!N127)</f>
        <v>#DIV/0!</v>
      </c>
      <c r="BT127" s="58" t="e">
        <f>(Links!AD127^2+'Off-Ramp'!O127^2)/(Links!AD127+'Off-Ramp'!O127)</f>
        <v>#DIV/0!</v>
      </c>
      <c r="BU127" s="58" t="e">
        <f>(Links!AE127^2+'Off-Ramp'!V127^2+'Off-Ramp'!W127^2+'Off-Ramp'!X127^2)/(Links!AE127+'Off-Ramp'!V127+'Off-Ramp'!W127+'Off-Ramp'!X127)</f>
        <v>#DIV/0!</v>
      </c>
      <c r="BV127" s="58" t="e">
        <f>(Links!AG127^2+'Off-Ramp'!Y127^2+'Off-Ramp'!Z127^2+'Off-Ramp'!AA127^2)/(Links!AG127+'Off-Ramp'!Y127+'Off-Ramp'!Z127+'Off-Ramp'!AA127)</f>
        <v>#DIV/0!</v>
      </c>
      <c r="BW127" s="58" t="e">
        <f>(Links!AH127^2+'Off-Ramp'!R127^2)/(Links!AH127+'Off-Ramp'!R127)</f>
        <v>#DIV/0!</v>
      </c>
      <c r="BX127" s="58" t="e">
        <f>(Links!AK127^2+'Off-Ramp'!S127^2)/(Links!AK127+'Off-Ramp'!S127)</f>
        <v>#DIV/0!</v>
      </c>
      <c r="BY127" s="58" t="e">
        <f>(Links!AL127^2+'Off-Ramp'!T127^2)/(Links!AL127+'Off-Ramp'!T127)</f>
        <v>#DIV/0!</v>
      </c>
      <c r="BZ127" s="63"/>
      <c r="CA127" s="58" t="e">
        <f>(Links!AN127^2+'Off-Ramp'!U127^2)/(Links!AN127+'Off-Ramp'!U127)</f>
        <v>#DIV/0!</v>
      </c>
    </row>
    <row r="128" spans="1:79" x14ac:dyDescent="0.15">
      <c r="A128" s="56">
        <v>126</v>
      </c>
      <c r="B128" s="57" t="e">
        <f t="shared" si="30"/>
        <v>#DIV/0!</v>
      </c>
      <c r="C128" s="57" t="e">
        <f t="shared" si="31"/>
        <v>#DIV/0!</v>
      </c>
      <c r="D128" s="57" t="e">
        <f t="shared" si="32"/>
        <v>#DIV/0!</v>
      </c>
      <c r="E128" s="57" t="e">
        <f t="shared" si="33"/>
        <v>#DIV/0!</v>
      </c>
      <c r="F128" s="57" t="e">
        <f t="shared" si="34"/>
        <v>#DIV/0!</v>
      </c>
      <c r="G128" s="57" t="e">
        <f t="shared" si="35"/>
        <v>#DIV/0!</v>
      </c>
      <c r="H128" s="57" t="e">
        <f t="shared" si="36"/>
        <v>#DIV/0!</v>
      </c>
      <c r="I128" s="57" t="e">
        <f t="shared" si="37"/>
        <v>#DIV/0!</v>
      </c>
      <c r="J128" s="57" t="e">
        <f t="shared" si="38"/>
        <v>#DIV/0!</v>
      </c>
      <c r="K128" s="57" t="e">
        <f t="shared" si="39"/>
        <v>#DIV/0!</v>
      </c>
      <c r="L128" s="57" t="e">
        <f t="shared" si="40"/>
        <v>#DIV/0!</v>
      </c>
      <c r="M128" s="57" t="e">
        <f t="shared" si="41"/>
        <v>#DIV/0!</v>
      </c>
      <c r="N128" s="57" t="e">
        <f t="shared" si="42"/>
        <v>#DIV/0!</v>
      </c>
      <c r="O128" s="58" t="e">
        <f>Links!B128</f>
        <v>#DIV/0!</v>
      </c>
      <c r="P128" s="58" t="e">
        <f>Links!C128+'On-Ramps'!AC128</f>
        <v>#DIV/0!</v>
      </c>
      <c r="Q128" s="58" t="e">
        <f>Links!D128</f>
        <v>#DIV/0!</v>
      </c>
      <c r="R128" s="58" t="e">
        <f>Links!E128+'On-Ramps'!AD128</f>
        <v>#DIV/0!</v>
      </c>
      <c r="S128" s="58" t="e">
        <f>Links!F128+'On-Ramps'!AE128</f>
        <v>#DIV/0!</v>
      </c>
      <c r="T128" s="58" t="e">
        <f>Links!I128+'On-Ramps'!AF128</f>
        <v>#DIV/0!</v>
      </c>
      <c r="U128" s="58" t="e">
        <f>Links!J128+'On-Ramps'!AG128</f>
        <v>#DIV/0!</v>
      </c>
      <c r="V128" s="58" t="e">
        <f>Links!L128+'On-Ramps'!AH128</f>
        <v>#DIV/0!</v>
      </c>
      <c r="W128" s="58" t="e">
        <f>Links!M128+'On-Ramps'!AI128</f>
        <v>#DIV/0!</v>
      </c>
      <c r="X128" s="58" t="e">
        <f>Links!P128+'On-Ramps'!AJ128</f>
        <v>#DIV/0!</v>
      </c>
      <c r="Y128" s="58" t="e">
        <f>Links!Q128</f>
        <v>#DIV/0!</v>
      </c>
      <c r="Z128" s="58" t="e">
        <f>Links!R128+'On-Ramps'!AK128</f>
        <v>#DIV/0!</v>
      </c>
      <c r="AA128" s="58" t="e">
        <f>Links!S128</f>
        <v>#DIV/0!</v>
      </c>
      <c r="AB128" s="57" t="e">
        <f t="shared" si="43"/>
        <v>#DIV/0!</v>
      </c>
      <c r="AC128" s="63"/>
      <c r="AD128" s="57" t="e">
        <f t="shared" si="44"/>
        <v>#DIV/0!</v>
      </c>
      <c r="AE128" s="63"/>
      <c r="AF128" s="57" t="e">
        <f t="shared" si="45"/>
        <v>#DIV/0!</v>
      </c>
      <c r="AG128" s="57" t="e">
        <f t="shared" si="46"/>
        <v>#DIV/0!</v>
      </c>
      <c r="AH128" s="57" t="e">
        <f t="shared" si="47"/>
        <v>#DIV/0!</v>
      </c>
      <c r="AI128" s="57" t="e">
        <f t="shared" si="48"/>
        <v>#DIV/0!</v>
      </c>
      <c r="AJ128" s="57" t="e">
        <f t="shared" si="49"/>
        <v>#DIV/0!</v>
      </c>
      <c r="AK128" s="57" t="e">
        <f t="shared" si="50"/>
        <v>#DIV/0!</v>
      </c>
      <c r="AL128" s="57" t="e">
        <f t="shared" si="51"/>
        <v>#DIV/0!</v>
      </c>
      <c r="AM128" s="63"/>
      <c r="AN128" s="57" t="e">
        <f t="shared" si="53"/>
        <v>#DIV/0!</v>
      </c>
      <c r="AO128" s="58" t="e">
        <f t="shared" si="56"/>
        <v>#DIV/0!</v>
      </c>
      <c r="AP128" s="63"/>
      <c r="AQ128" s="58" t="e">
        <f t="shared" si="55"/>
        <v>#DIV/0!</v>
      </c>
      <c r="AR128" s="63"/>
      <c r="AS128" s="58" t="e">
        <f t="shared" si="55"/>
        <v>#DIV/0!</v>
      </c>
      <c r="AT128" s="58" t="e">
        <f t="shared" si="55"/>
        <v>#DIV/0!</v>
      </c>
      <c r="AU128" s="58" t="e">
        <f t="shared" si="55"/>
        <v>#DIV/0!</v>
      </c>
      <c r="AV128" s="58" t="e">
        <f t="shared" si="55"/>
        <v>#DIV/0!</v>
      </c>
      <c r="AW128" s="58" t="e">
        <f t="shared" si="55"/>
        <v>#DIV/0!</v>
      </c>
      <c r="AX128" s="58" t="e">
        <f t="shared" si="55"/>
        <v>#DIV/0!</v>
      </c>
      <c r="AY128" s="58" t="e">
        <f t="shared" si="55"/>
        <v>#DIV/0!</v>
      </c>
      <c r="AZ128" s="63"/>
      <c r="BA128" s="58" t="e">
        <f t="shared" si="55"/>
        <v>#DIV/0!</v>
      </c>
      <c r="BB128" s="63"/>
      <c r="BC128" s="57" t="e">
        <f>(Links!C128*Links!AQ128+'On-Ramps'!AC128*'On-Ramps'!CE128)/('On-Ramps'!AC128+Links!C128)</f>
        <v>#DIV/0!</v>
      </c>
      <c r="BD128" s="63"/>
      <c r="BE128" s="57" t="e">
        <f>(Links!E128*Links!AS128+'On-Ramps'!AD128*'On-Ramps'!CF127)/('On-Ramps'!AD128+Links!E128)</f>
        <v>#DIV/0!</v>
      </c>
      <c r="BF128" s="57" t="e">
        <f>(Links!F128*Links!AT128+'On-Ramps'!AE128*'On-Ramps'!CG128)/('On-Ramps'!AE128+Links!F128)</f>
        <v>#DIV/0!</v>
      </c>
      <c r="BG128" s="57" t="e">
        <f>(Links!I128*Links!AW128+'On-Ramps'!AF128*'On-Ramps'!CH128)/('On-Ramps'!AF128+Links!I128)</f>
        <v>#DIV/0!</v>
      </c>
      <c r="BH128" s="57" t="e">
        <f>(#REF!*#REF!+'On-Ramps'!AG128*'On-Ramps'!CI128)/('On-Ramps'!AG128+#REF!)</f>
        <v>#REF!</v>
      </c>
      <c r="BI128" s="57" t="e">
        <f>(Links!L128*Links!AZ128+'On-Ramps'!AH128*'On-Ramps'!CJ128)/('On-Ramps'!AH128+Links!L128)</f>
        <v>#DIV/0!</v>
      </c>
      <c r="BJ128" s="57" t="e">
        <f>(Links!BA128*Links!M128+'On-Ramps'!AI128*'On-Ramps'!CK128)/('On-Ramps'!AI128+Links!M128)</f>
        <v>#DIV/0!</v>
      </c>
      <c r="BK128" s="57" t="e">
        <f>(Links!S128*Links!BG128+'On-Ramps'!AJ128*'On-Ramps'!CL128)/('On-Ramps'!AJ128+Links!S128)</f>
        <v>#DIV/0!</v>
      </c>
      <c r="BL128" s="63"/>
      <c r="BM128" s="57" t="e">
        <f>(Links!S128*Links!BG128+'On-Ramps'!AL128*'On-Ramps'!CM128)/(Links!S128+'On-Ramps'!AL128)</f>
        <v>#DIV/0!</v>
      </c>
      <c r="BN128" s="63"/>
      <c r="BO128" s="58" t="e">
        <f>(Links!W128^2+'Off-Ramp'!L128^2)/(Links!W128+'Off-Ramp'!L128)</f>
        <v>#DIV/0!</v>
      </c>
      <c r="BP128" s="63"/>
      <c r="BQ128" s="58" t="e">
        <f>(Links!Y128^2+'Off-Ramp'!C128^2)/(Links!Y128+'Off-Ramp'!C128)</f>
        <v>#DIV/0!</v>
      </c>
      <c r="BR128" s="63"/>
      <c r="BS128" s="58" t="e">
        <f>(Links!AA128^2+'Off-Ramp'!N128^2)/(Links!AA128+'Off-Ramp'!N128)</f>
        <v>#DIV/0!</v>
      </c>
      <c r="BT128" s="58" t="e">
        <f>(Links!AD128^2+'Off-Ramp'!O128^2)/(Links!AD128+'Off-Ramp'!O128)</f>
        <v>#DIV/0!</v>
      </c>
      <c r="BU128" s="58" t="e">
        <f>(Links!AE128^2+'Off-Ramp'!V128^2+'Off-Ramp'!W128^2+'Off-Ramp'!X128^2)/(Links!AE128+'Off-Ramp'!V128+'Off-Ramp'!W128+'Off-Ramp'!X128)</f>
        <v>#DIV/0!</v>
      </c>
      <c r="BV128" s="58" t="e">
        <f>(Links!AG128^2+'Off-Ramp'!Y128^2+'Off-Ramp'!Z128^2+'Off-Ramp'!AA128^2)/(Links!AG128+'Off-Ramp'!Y128+'Off-Ramp'!Z128+'Off-Ramp'!AA128)</f>
        <v>#DIV/0!</v>
      </c>
      <c r="BW128" s="58" t="e">
        <f>(Links!AH128^2+'Off-Ramp'!R128^2)/(Links!AH128+'Off-Ramp'!R128)</f>
        <v>#DIV/0!</v>
      </c>
      <c r="BX128" s="58" t="e">
        <f>(Links!AK128^2+'Off-Ramp'!S128^2)/(Links!AK128+'Off-Ramp'!S128)</f>
        <v>#DIV/0!</v>
      </c>
      <c r="BY128" s="58" t="e">
        <f>(Links!AL128^2+'Off-Ramp'!T128^2)/(Links!AL128+'Off-Ramp'!T128)</f>
        <v>#DIV/0!</v>
      </c>
      <c r="BZ128" s="63"/>
      <c r="CA128" s="58" t="e">
        <f>(Links!AN128^2+'Off-Ramp'!U128^2)/(Links!AN128+'Off-Ramp'!U128)</f>
        <v>#DIV/0!</v>
      </c>
    </row>
    <row r="129" spans="1:79" x14ac:dyDescent="0.15">
      <c r="A129" s="56">
        <v>127</v>
      </c>
      <c r="B129" s="57" t="e">
        <f t="shared" si="30"/>
        <v>#DIV/0!</v>
      </c>
      <c r="C129" s="57" t="e">
        <f t="shared" si="31"/>
        <v>#DIV/0!</v>
      </c>
      <c r="D129" s="57" t="e">
        <f t="shared" si="32"/>
        <v>#DIV/0!</v>
      </c>
      <c r="E129" s="57" t="e">
        <f t="shared" si="33"/>
        <v>#DIV/0!</v>
      </c>
      <c r="F129" s="57" t="e">
        <f t="shared" si="34"/>
        <v>#DIV/0!</v>
      </c>
      <c r="G129" s="57" t="e">
        <f t="shared" si="35"/>
        <v>#DIV/0!</v>
      </c>
      <c r="H129" s="57" t="e">
        <f t="shared" si="36"/>
        <v>#DIV/0!</v>
      </c>
      <c r="I129" s="57" t="e">
        <f t="shared" si="37"/>
        <v>#DIV/0!</v>
      </c>
      <c r="J129" s="57" t="e">
        <f t="shared" si="38"/>
        <v>#DIV/0!</v>
      </c>
      <c r="K129" s="57" t="e">
        <f t="shared" si="39"/>
        <v>#DIV/0!</v>
      </c>
      <c r="L129" s="57" t="e">
        <f t="shared" si="40"/>
        <v>#DIV/0!</v>
      </c>
      <c r="M129" s="57" t="e">
        <f t="shared" si="41"/>
        <v>#DIV/0!</v>
      </c>
      <c r="N129" s="57" t="e">
        <f t="shared" si="42"/>
        <v>#DIV/0!</v>
      </c>
      <c r="O129" s="58" t="e">
        <f>Links!B129</f>
        <v>#DIV/0!</v>
      </c>
      <c r="P129" s="58" t="e">
        <f>Links!C129+'On-Ramps'!AC129</f>
        <v>#DIV/0!</v>
      </c>
      <c r="Q129" s="58" t="e">
        <f>Links!D129</f>
        <v>#DIV/0!</v>
      </c>
      <c r="R129" s="58" t="e">
        <f>Links!E129+'On-Ramps'!AD129</f>
        <v>#DIV/0!</v>
      </c>
      <c r="S129" s="58" t="e">
        <f>Links!F129+'On-Ramps'!AE129</f>
        <v>#DIV/0!</v>
      </c>
      <c r="T129" s="58" t="e">
        <f>Links!I129+'On-Ramps'!AF129</f>
        <v>#DIV/0!</v>
      </c>
      <c r="U129" s="58" t="e">
        <f>Links!J129+'On-Ramps'!AG129</f>
        <v>#DIV/0!</v>
      </c>
      <c r="V129" s="58" t="e">
        <f>Links!L129+'On-Ramps'!AH129</f>
        <v>#DIV/0!</v>
      </c>
      <c r="W129" s="58" t="e">
        <f>Links!M129+'On-Ramps'!AI129</f>
        <v>#DIV/0!</v>
      </c>
      <c r="X129" s="58" t="e">
        <f>Links!P129+'On-Ramps'!AJ129</f>
        <v>#DIV/0!</v>
      </c>
      <c r="Y129" s="58" t="e">
        <f>Links!Q129</f>
        <v>#DIV/0!</v>
      </c>
      <c r="Z129" s="58" t="e">
        <f>Links!R129+'On-Ramps'!AK129</f>
        <v>#DIV/0!</v>
      </c>
      <c r="AA129" s="58" t="e">
        <f>Links!S129</f>
        <v>#DIV/0!</v>
      </c>
      <c r="AB129" s="57" t="e">
        <f t="shared" si="43"/>
        <v>#DIV/0!</v>
      </c>
      <c r="AC129" s="63"/>
      <c r="AD129" s="57" t="e">
        <f t="shared" si="44"/>
        <v>#DIV/0!</v>
      </c>
      <c r="AE129" s="63"/>
      <c r="AF129" s="57" t="e">
        <f t="shared" si="45"/>
        <v>#DIV/0!</v>
      </c>
      <c r="AG129" s="57" t="e">
        <f t="shared" si="46"/>
        <v>#DIV/0!</v>
      </c>
      <c r="AH129" s="57" t="e">
        <f t="shared" si="47"/>
        <v>#DIV/0!</v>
      </c>
      <c r="AI129" s="57" t="e">
        <f t="shared" si="48"/>
        <v>#DIV/0!</v>
      </c>
      <c r="AJ129" s="57" t="e">
        <f t="shared" si="49"/>
        <v>#DIV/0!</v>
      </c>
      <c r="AK129" s="57" t="e">
        <f t="shared" si="50"/>
        <v>#DIV/0!</v>
      </c>
      <c r="AL129" s="57" t="e">
        <f t="shared" si="51"/>
        <v>#DIV/0!</v>
      </c>
      <c r="AM129" s="63"/>
      <c r="AN129" s="57" t="e">
        <f t="shared" si="53"/>
        <v>#DIV/0!</v>
      </c>
      <c r="AO129" s="58" t="e">
        <f t="shared" si="56"/>
        <v>#DIV/0!</v>
      </c>
      <c r="AP129" s="63"/>
      <c r="AQ129" s="58" t="e">
        <f t="shared" si="55"/>
        <v>#DIV/0!</v>
      </c>
      <c r="AR129" s="63"/>
      <c r="AS129" s="58" t="e">
        <f t="shared" si="55"/>
        <v>#DIV/0!</v>
      </c>
      <c r="AT129" s="58" t="e">
        <f t="shared" si="55"/>
        <v>#DIV/0!</v>
      </c>
      <c r="AU129" s="58" t="e">
        <f t="shared" si="55"/>
        <v>#DIV/0!</v>
      </c>
      <c r="AV129" s="58" t="e">
        <f t="shared" si="55"/>
        <v>#DIV/0!</v>
      </c>
      <c r="AW129" s="58" t="e">
        <f t="shared" si="55"/>
        <v>#DIV/0!</v>
      </c>
      <c r="AX129" s="58" t="e">
        <f t="shared" si="55"/>
        <v>#DIV/0!</v>
      </c>
      <c r="AY129" s="58" t="e">
        <f t="shared" si="55"/>
        <v>#DIV/0!</v>
      </c>
      <c r="AZ129" s="63"/>
      <c r="BA129" s="58" t="e">
        <f t="shared" si="55"/>
        <v>#DIV/0!</v>
      </c>
      <c r="BB129" s="63"/>
      <c r="BC129" s="57" t="e">
        <f>(Links!C129*Links!AQ129+'On-Ramps'!AC129*'On-Ramps'!CE129)/('On-Ramps'!AC129+Links!C129)</f>
        <v>#DIV/0!</v>
      </c>
      <c r="BD129" s="63"/>
      <c r="BE129" s="57" t="e">
        <f>(Links!E129*Links!AS129+'On-Ramps'!AD129*'On-Ramps'!CF128)/('On-Ramps'!AD129+Links!E129)</f>
        <v>#DIV/0!</v>
      </c>
      <c r="BF129" s="57" t="e">
        <f>(Links!F129*Links!AT129+'On-Ramps'!AE129*'On-Ramps'!CG129)/('On-Ramps'!AE129+Links!F129)</f>
        <v>#DIV/0!</v>
      </c>
      <c r="BG129" s="57" t="e">
        <f>(Links!I129*Links!AW129+'On-Ramps'!AF129*'On-Ramps'!CH129)/('On-Ramps'!AF129+Links!I129)</f>
        <v>#DIV/0!</v>
      </c>
      <c r="BH129" s="57" t="e">
        <f>(#REF!*#REF!+'On-Ramps'!AG129*'On-Ramps'!CI129)/('On-Ramps'!AG129+#REF!)</f>
        <v>#REF!</v>
      </c>
      <c r="BI129" s="57" t="e">
        <f>(Links!L129*Links!AZ129+'On-Ramps'!AH129*'On-Ramps'!CJ129)/('On-Ramps'!AH129+Links!L129)</f>
        <v>#DIV/0!</v>
      </c>
      <c r="BJ129" s="57" t="e">
        <f>(Links!BA129*Links!M129+'On-Ramps'!AI129*'On-Ramps'!CK129)/('On-Ramps'!AI129+Links!M129)</f>
        <v>#DIV/0!</v>
      </c>
      <c r="BK129" s="57" t="e">
        <f>(Links!S129*Links!BG129+'On-Ramps'!AJ129*'On-Ramps'!CL129)/('On-Ramps'!AJ129+Links!S129)</f>
        <v>#DIV/0!</v>
      </c>
      <c r="BL129" s="63"/>
      <c r="BM129" s="57" t="e">
        <f>(Links!S129*Links!BG129+'On-Ramps'!AL129*'On-Ramps'!CM129)/(Links!S129+'On-Ramps'!AL129)</f>
        <v>#DIV/0!</v>
      </c>
      <c r="BN129" s="63"/>
      <c r="BO129" s="58" t="e">
        <f>(Links!W129^2+'Off-Ramp'!L129^2)/(Links!W129+'Off-Ramp'!L129)</f>
        <v>#DIV/0!</v>
      </c>
      <c r="BP129" s="63"/>
      <c r="BQ129" s="58" t="e">
        <f>(Links!Y129^2+'Off-Ramp'!C129^2)/(Links!Y129+'Off-Ramp'!C129)</f>
        <v>#DIV/0!</v>
      </c>
      <c r="BR129" s="63"/>
      <c r="BS129" s="58" t="e">
        <f>(Links!AA129^2+'Off-Ramp'!N129^2)/(Links!AA129+'Off-Ramp'!N129)</f>
        <v>#DIV/0!</v>
      </c>
      <c r="BT129" s="58" t="e">
        <f>(Links!AD129^2+'Off-Ramp'!O129^2)/(Links!AD129+'Off-Ramp'!O129)</f>
        <v>#DIV/0!</v>
      </c>
      <c r="BU129" s="58" t="e">
        <f>(Links!AE129^2+'Off-Ramp'!V129^2+'Off-Ramp'!W129^2+'Off-Ramp'!X129^2)/(Links!AE129+'Off-Ramp'!V129+'Off-Ramp'!W129+'Off-Ramp'!X129)</f>
        <v>#DIV/0!</v>
      </c>
      <c r="BV129" s="58" t="e">
        <f>(Links!AG129^2+'Off-Ramp'!Y129^2+'Off-Ramp'!Z129^2+'Off-Ramp'!AA129^2)/(Links!AG129+'Off-Ramp'!Y129+'Off-Ramp'!Z129+'Off-Ramp'!AA129)</f>
        <v>#DIV/0!</v>
      </c>
      <c r="BW129" s="58" t="e">
        <f>(Links!AH129^2+'Off-Ramp'!R129^2)/(Links!AH129+'Off-Ramp'!R129)</f>
        <v>#DIV/0!</v>
      </c>
      <c r="BX129" s="58" t="e">
        <f>(Links!AK129^2+'Off-Ramp'!S129^2)/(Links!AK129+'Off-Ramp'!S129)</f>
        <v>#DIV/0!</v>
      </c>
      <c r="BY129" s="58" t="e">
        <f>(Links!AL129^2+'Off-Ramp'!T129^2)/(Links!AL129+'Off-Ramp'!T129)</f>
        <v>#DIV/0!</v>
      </c>
      <c r="BZ129" s="63"/>
      <c r="CA129" s="58" t="e">
        <f>(Links!AN129^2+'Off-Ramp'!U129^2)/(Links!AN129+'Off-Ramp'!U129)</f>
        <v>#DIV/0!</v>
      </c>
    </row>
    <row r="130" spans="1:79" x14ac:dyDescent="0.15">
      <c r="A130" s="56">
        <v>128</v>
      </c>
      <c r="B130" s="57" t="e">
        <f t="shared" si="30"/>
        <v>#DIV/0!</v>
      </c>
      <c r="C130" s="57" t="e">
        <f t="shared" si="31"/>
        <v>#DIV/0!</v>
      </c>
      <c r="D130" s="57" t="e">
        <f t="shared" si="32"/>
        <v>#DIV/0!</v>
      </c>
      <c r="E130" s="57" t="e">
        <f t="shared" si="33"/>
        <v>#DIV/0!</v>
      </c>
      <c r="F130" s="57" t="e">
        <f t="shared" si="34"/>
        <v>#DIV/0!</v>
      </c>
      <c r="G130" s="57" t="e">
        <f t="shared" si="35"/>
        <v>#DIV/0!</v>
      </c>
      <c r="H130" s="57" t="e">
        <f t="shared" si="36"/>
        <v>#DIV/0!</v>
      </c>
      <c r="I130" s="57" t="e">
        <f t="shared" si="37"/>
        <v>#DIV/0!</v>
      </c>
      <c r="J130" s="57" t="e">
        <f t="shared" si="38"/>
        <v>#DIV/0!</v>
      </c>
      <c r="K130" s="57" t="e">
        <f t="shared" si="39"/>
        <v>#DIV/0!</v>
      </c>
      <c r="L130" s="57" t="e">
        <f t="shared" si="40"/>
        <v>#DIV/0!</v>
      </c>
      <c r="M130" s="57" t="e">
        <f t="shared" si="41"/>
        <v>#DIV/0!</v>
      </c>
      <c r="N130" s="57" t="e">
        <f t="shared" si="42"/>
        <v>#DIV/0!</v>
      </c>
      <c r="O130" s="58" t="e">
        <f>Links!B130</f>
        <v>#DIV/0!</v>
      </c>
      <c r="P130" s="58" t="e">
        <f>Links!C130+'On-Ramps'!AC130</f>
        <v>#DIV/0!</v>
      </c>
      <c r="Q130" s="58" t="e">
        <f>Links!D130</f>
        <v>#DIV/0!</v>
      </c>
      <c r="R130" s="58" t="e">
        <f>Links!E130+'On-Ramps'!AD130</f>
        <v>#DIV/0!</v>
      </c>
      <c r="S130" s="58" t="e">
        <f>Links!F130+'On-Ramps'!AE130</f>
        <v>#DIV/0!</v>
      </c>
      <c r="T130" s="58" t="e">
        <f>Links!I130+'On-Ramps'!AF130</f>
        <v>#DIV/0!</v>
      </c>
      <c r="U130" s="58" t="e">
        <f>Links!J130+'On-Ramps'!AG130</f>
        <v>#DIV/0!</v>
      </c>
      <c r="V130" s="58" t="e">
        <f>Links!L130+'On-Ramps'!AH130</f>
        <v>#DIV/0!</v>
      </c>
      <c r="W130" s="58" t="e">
        <f>Links!M130+'On-Ramps'!AI130</f>
        <v>#DIV/0!</v>
      </c>
      <c r="X130" s="58" t="e">
        <f>Links!P130+'On-Ramps'!AJ130</f>
        <v>#DIV/0!</v>
      </c>
      <c r="Y130" s="58" t="e">
        <f>Links!Q130</f>
        <v>#DIV/0!</v>
      </c>
      <c r="Z130" s="58" t="e">
        <f>Links!R130+'On-Ramps'!AK130</f>
        <v>#DIV/0!</v>
      </c>
      <c r="AA130" s="58" t="e">
        <f>Links!S130</f>
        <v>#DIV/0!</v>
      </c>
      <c r="AB130" s="57" t="e">
        <f t="shared" si="43"/>
        <v>#DIV/0!</v>
      </c>
      <c r="AC130" s="63"/>
      <c r="AD130" s="57" t="e">
        <f t="shared" si="44"/>
        <v>#DIV/0!</v>
      </c>
      <c r="AE130" s="63"/>
      <c r="AF130" s="57" t="e">
        <f t="shared" si="45"/>
        <v>#DIV/0!</v>
      </c>
      <c r="AG130" s="57" t="e">
        <f t="shared" si="46"/>
        <v>#DIV/0!</v>
      </c>
      <c r="AH130" s="57" t="e">
        <f t="shared" si="47"/>
        <v>#DIV/0!</v>
      </c>
      <c r="AI130" s="57" t="e">
        <f t="shared" si="48"/>
        <v>#DIV/0!</v>
      </c>
      <c r="AJ130" s="57" t="e">
        <f t="shared" si="49"/>
        <v>#DIV/0!</v>
      </c>
      <c r="AK130" s="57" t="e">
        <f t="shared" si="50"/>
        <v>#DIV/0!</v>
      </c>
      <c r="AL130" s="57" t="e">
        <f t="shared" si="51"/>
        <v>#DIV/0!</v>
      </c>
      <c r="AM130" s="63"/>
      <c r="AN130" s="57" t="e">
        <f t="shared" si="53"/>
        <v>#DIV/0!</v>
      </c>
      <c r="AO130" s="58" t="e">
        <f t="shared" si="56"/>
        <v>#DIV/0!</v>
      </c>
      <c r="AP130" s="63"/>
      <c r="AQ130" s="58" t="e">
        <f t="shared" si="55"/>
        <v>#DIV/0!</v>
      </c>
      <c r="AR130" s="63"/>
      <c r="AS130" s="58" t="e">
        <f t="shared" si="55"/>
        <v>#DIV/0!</v>
      </c>
      <c r="AT130" s="58" t="e">
        <f t="shared" si="55"/>
        <v>#DIV/0!</v>
      </c>
      <c r="AU130" s="58" t="e">
        <f t="shared" si="55"/>
        <v>#DIV/0!</v>
      </c>
      <c r="AV130" s="58" t="e">
        <f t="shared" si="55"/>
        <v>#DIV/0!</v>
      </c>
      <c r="AW130" s="58" t="e">
        <f t="shared" si="55"/>
        <v>#DIV/0!</v>
      </c>
      <c r="AX130" s="58" t="e">
        <f t="shared" si="55"/>
        <v>#DIV/0!</v>
      </c>
      <c r="AY130" s="58" t="e">
        <f t="shared" si="55"/>
        <v>#DIV/0!</v>
      </c>
      <c r="AZ130" s="63"/>
      <c r="BA130" s="58" t="e">
        <f t="shared" si="55"/>
        <v>#DIV/0!</v>
      </c>
      <c r="BB130" s="63"/>
      <c r="BC130" s="57" t="e">
        <f>(Links!C130*Links!AQ130+'On-Ramps'!AC130*'On-Ramps'!CE130)/('On-Ramps'!AC130+Links!C130)</f>
        <v>#DIV/0!</v>
      </c>
      <c r="BD130" s="63"/>
      <c r="BE130" s="57" t="e">
        <f>(Links!E130*Links!AS130+'On-Ramps'!AD130*'On-Ramps'!CF129)/('On-Ramps'!AD130+Links!E130)</f>
        <v>#DIV/0!</v>
      </c>
      <c r="BF130" s="57" t="e">
        <f>(Links!F130*Links!AT130+'On-Ramps'!AE130*'On-Ramps'!CG130)/('On-Ramps'!AE130+Links!F130)</f>
        <v>#DIV/0!</v>
      </c>
      <c r="BG130" s="57" t="e">
        <f>(Links!I130*Links!AW130+'On-Ramps'!AF130*'On-Ramps'!CH130)/('On-Ramps'!AF130+Links!I130)</f>
        <v>#DIV/0!</v>
      </c>
      <c r="BH130" s="57" t="e">
        <f>(#REF!*#REF!+'On-Ramps'!AG130*'On-Ramps'!CI130)/('On-Ramps'!AG130+#REF!)</f>
        <v>#REF!</v>
      </c>
      <c r="BI130" s="57" t="e">
        <f>(Links!L130*Links!AZ130+'On-Ramps'!AH130*'On-Ramps'!CJ130)/('On-Ramps'!AH130+Links!L130)</f>
        <v>#DIV/0!</v>
      </c>
      <c r="BJ130" s="57" t="e">
        <f>(Links!BA130*Links!M130+'On-Ramps'!AI130*'On-Ramps'!CK130)/('On-Ramps'!AI130+Links!M130)</f>
        <v>#DIV/0!</v>
      </c>
      <c r="BK130" s="57" t="e">
        <f>(Links!S130*Links!BG130+'On-Ramps'!AJ130*'On-Ramps'!CL130)/('On-Ramps'!AJ130+Links!S130)</f>
        <v>#DIV/0!</v>
      </c>
      <c r="BL130" s="63"/>
      <c r="BM130" s="57" t="e">
        <f>(Links!S130*Links!BG130+'On-Ramps'!AL130*'On-Ramps'!CM130)/(Links!S130+'On-Ramps'!AL130)</f>
        <v>#DIV/0!</v>
      </c>
      <c r="BN130" s="63"/>
      <c r="BO130" s="58" t="e">
        <f>(Links!W130^2+'Off-Ramp'!L130^2)/(Links!W130+'Off-Ramp'!L130)</f>
        <v>#DIV/0!</v>
      </c>
      <c r="BP130" s="63"/>
      <c r="BQ130" s="58" t="e">
        <f>(Links!Y130^2+'Off-Ramp'!C130^2)/(Links!Y130+'Off-Ramp'!C130)</f>
        <v>#DIV/0!</v>
      </c>
      <c r="BR130" s="63"/>
      <c r="BS130" s="58" t="e">
        <f>(Links!AA130^2+'Off-Ramp'!N130^2)/(Links!AA130+'Off-Ramp'!N130)</f>
        <v>#DIV/0!</v>
      </c>
      <c r="BT130" s="58" t="e">
        <f>(Links!AD130^2+'Off-Ramp'!O130^2)/(Links!AD130+'Off-Ramp'!O130)</f>
        <v>#DIV/0!</v>
      </c>
      <c r="BU130" s="58" t="e">
        <f>(Links!AE130^2+'Off-Ramp'!V130^2+'Off-Ramp'!W130^2+'Off-Ramp'!X130^2)/(Links!AE130+'Off-Ramp'!V130+'Off-Ramp'!W130+'Off-Ramp'!X130)</f>
        <v>#DIV/0!</v>
      </c>
      <c r="BV130" s="58" t="e">
        <f>(Links!AG130^2+'Off-Ramp'!Y130^2+'Off-Ramp'!Z130^2+'Off-Ramp'!AA130^2)/(Links!AG130+'Off-Ramp'!Y130+'Off-Ramp'!Z130+'Off-Ramp'!AA130)</f>
        <v>#DIV/0!</v>
      </c>
      <c r="BW130" s="58" t="e">
        <f>(Links!AH130^2+'Off-Ramp'!R130^2)/(Links!AH130+'Off-Ramp'!R130)</f>
        <v>#DIV/0!</v>
      </c>
      <c r="BX130" s="58" t="e">
        <f>(Links!AK130^2+'Off-Ramp'!S130^2)/(Links!AK130+'Off-Ramp'!S130)</f>
        <v>#DIV/0!</v>
      </c>
      <c r="BY130" s="58" t="e">
        <f>(Links!AL130^2+'Off-Ramp'!T130^2)/(Links!AL130+'Off-Ramp'!T130)</f>
        <v>#DIV/0!</v>
      </c>
      <c r="BZ130" s="63"/>
      <c r="CA130" s="58" t="e">
        <f>(Links!AN130^2+'Off-Ramp'!U130^2)/(Links!AN130+'Off-Ramp'!U130)</f>
        <v>#DIV/0!</v>
      </c>
    </row>
    <row r="131" spans="1:79" x14ac:dyDescent="0.15">
      <c r="A131" s="56">
        <v>129</v>
      </c>
      <c r="B131" s="57" t="e">
        <f t="shared" si="30"/>
        <v>#DIV/0!</v>
      </c>
      <c r="C131" s="57" t="e">
        <f t="shared" si="31"/>
        <v>#DIV/0!</v>
      </c>
      <c r="D131" s="57" t="e">
        <f t="shared" si="32"/>
        <v>#DIV/0!</v>
      </c>
      <c r="E131" s="57" t="e">
        <f t="shared" si="33"/>
        <v>#DIV/0!</v>
      </c>
      <c r="F131" s="57" t="e">
        <f t="shared" si="34"/>
        <v>#DIV/0!</v>
      </c>
      <c r="G131" s="57" t="e">
        <f t="shared" si="35"/>
        <v>#DIV/0!</v>
      </c>
      <c r="H131" s="57" t="e">
        <f t="shared" si="36"/>
        <v>#DIV/0!</v>
      </c>
      <c r="I131" s="57" t="e">
        <f t="shared" si="37"/>
        <v>#DIV/0!</v>
      </c>
      <c r="J131" s="57" t="e">
        <f t="shared" si="38"/>
        <v>#DIV/0!</v>
      </c>
      <c r="K131" s="57" t="e">
        <f t="shared" si="39"/>
        <v>#DIV/0!</v>
      </c>
      <c r="L131" s="57" t="e">
        <f t="shared" si="40"/>
        <v>#DIV/0!</v>
      </c>
      <c r="M131" s="57" t="e">
        <f t="shared" si="41"/>
        <v>#DIV/0!</v>
      </c>
      <c r="N131" s="57" t="e">
        <f t="shared" si="42"/>
        <v>#DIV/0!</v>
      </c>
      <c r="O131" s="58" t="e">
        <f>Links!B131</f>
        <v>#DIV/0!</v>
      </c>
      <c r="P131" s="58" t="e">
        <f>Links!C131+'On-Ramps'!AC131</f>
        <v>#DIV/0!</v>
      </c>
      <c r="Q131" s="58" t="e">
        <f>Links!D131</f>
        <v>#DIV/0!</v>
      </c>
      <c r="R131" s="58" t="e">
        <f>Links!E131+'On-Ramps'!AD131</f>
        <v>#DIV/0!</v>
      </c>
      <c r="S131" s="58" t="e">
        <f>Links!F131+'On-Ramps'!AE131</f>
        <v>#DIV/0!</v>
      </c>
      <c r="T131" s="58" t="e">
        <f>Links!I131+'On-Ramps'!AF131</f>
        <v>#DIV/0!</v>
      </c>
      <c r="U131" s="58" t="e">
        <f>Links!J131+'On-Ramps'!AG131</f>
        <v>#DIV/0!</v>
      </c>
      <c r="V131" s="58" t="e">
        <f>Links!L131+'On-Ramps'!AH131</f>
        <v>#DIV/0!</v>
      </c>
      <c r="W131" s="58" t="e">
        <f>Links!M131+'On-Ramps'!AI131</f>
        <v>#DIV/0!</v>
      </c>
      <c r="X131" s="58" t="e">
        <f>Links!P131+'On-Ramps'!AJ131</f>
        <v>#DIV/0!</v>
      </c>
      <c r="Y131" s="58" t="e">
        <f>Links!Q131</f>
        <v>#DIV/0!</v>
      </c>
      <c r="Z131" s="58" t="e">
        <f>Links!R131+'On-Ramps'!AK131</f>
        <v>#DIV/0!</v>
      </c>
      <c r="AA131" s="58" t="e">
        <f>Links!S131</f>
        <v>#DIV/0!</v>
      </c>
      <c r="AB131" s="57" t="e">
        <f t="shared" si="43"/>
        <v>#DIV/0!</v>
      </c>
      <c r="AC131" s="63"/>
      <c r="AD131" s="57" t="e">
        <f t="shared" si="44"/>
        <v>#DIV/0!</v>
      </c>
      <c r="AE131" s="63"/>
      <c r="AF131" s="57" t="e">
        <f t="shared" si="45"/>
        <v>#DIV/0!</v>
      </c>
      <c r="AG131" s="57" t="e">
        <f t="shared" si="46"/>
        <v>#DIV/0!</v>
      </c>
      <c r="AH131" s="57" t="e">
        <f t="shared" si="47"/>
        <v>#DIV/0!</v>
      </c>
      <c r="AI131" s="57" t="e">
        <f t="shared" si="48"/>
        <v>#DIV/0!</v>
      </c>
      <c r="AJ131" s="57" t="e">
        <f t="shared" si="49"/>
        <v>#DIV/0!</v>
      </c>
      <c r="AK131" s="57" t="e">
        <f t="shared" si="50"/>
        <v>#DIV/0!</v>
      </c>
      <c r="AL131" s="57" t="e">
        <f t="shared" si="51"/>
        <v>#DIV/0!</v>
      </c>
      <c r="AM131" s="63"/>
      <c r="AN131" s="57" t="e">
        <f t="shared" si="53"/>
        <v>#DIV/0!</v>
      </c>
      <c r="AO131" s="58" t="e">
        <f t="shared" si="56"/>
        <v>#DIV/0!</v>
      </c>
      <c r="AP131" s="63"/>
      <c r="AQ131" s="58" t="e">
        <f t="shared" si="55"/>
        <v>#DIV/0!</v>
      </c>
      <c r="AR131" s="63"/>
      <c r="AS131" s="58" t="e">
        <f t="shared" si="55"/>
        <v>#DIV/0!</v>
      </c>
      <c r="AT131" s="58" t="e">
        <f t="shared" si="55"/>
        <v>#DIV/0!</v>
      </c>
      <c r="AU131" s="58" t="e">
        <f t="shared" si="55"/>
        <v>#DIV/0!</v>
      </c>
      <c r="AV131" s="58" t="e">
        <f t="shared" si="55"/>
        <v>#DIV/0!</v>
      </c>
      <c r="AW131" s="58" t="e">
        <f t="shared" si="55"/>
        <v>#DIV/0!</v>
      </c>
      <c r="AX131" s="58" t="e">
        <f t="shared" si="55"/>
        <v>#DIV/0!</v>
      </c>
      <c r="AY131" s="58" t="e">
        <f t="shared" si="55"/>
        <v>#DIV/0!</v>
      </c>
      <c r="AZ131" s="63"/>
      <c r="BA131" s="58" t="e">
        <f t="shared" si="55"/>
        <v>#DIV/0!</v>
      </c>
      <c r="BB131" s="63"/>
      <c r="BC131" s="57" t="e">
        <f>(Links!C131*Links!AQ131+'On-Ramps'!AC131*'On-Ramps'!CE131)/('On-Ramps'!AC131+Links!C131)</f>
        <v>#DIV/0!</v>
      </c>
      <c r="BD131" s="63"/>
      <c r="BE131" s="57" t="e">
        <f>(Links!E131*Links!AS131+'On-Ramps'!AD131*'On-Ramps'!CF130)/('On-Ramps'!AD131+Links!E131)</f>
        <v>#DIV/0!</v>
      </c>
      <c r="BF131" s="57" t="e">
        <f>(Links!F131*Links!AT131+'On-Ramps'!AE131*'On-Ramps'!CG131)/('On-Ramps'!AE131+Links!F131)</f>
        <v>#DIV/0!</v>
      </c>
      <c r="BG131" s="57" t="e">
        <f>(Links!I131*Links!AW131+'On-Ramps'!AF131*'On-Ramps'!CH131)/('On-Ramps'!AF131+Links!I131)</f>
        <v>#DIV/0!</v>
      </c>
      <c r="BH131" s="57" t="e">
        <f>(#REF!*#REF!+'On-Ramps'!AG131*'On-Ramps'!CI131)/('On-Ramps'!AG131+#REF!)</f>
        <v>#REF!</v>
      </c>
      <c r="BI131" s="57" t="e">
        <f>(Links!L131*Links!AZ131+'On-Ramps'!AH131*'On-Ramps'!CJ131)/('On-Ramps'!AH131+Links!L131)</f>
        <v>#DIV/0!</v>
      </c>
      <c r="BJ131" s="57" t="e">
        <f>(Links!BA131*Links!M131+'On-Ramps'!AI131*'On-Ramps'!CK131)/('On-Ramps'!AI131+Links!M131)</f>
        <v>#DIV/0!</v>
      </c>
      <c r="BK131" s="57" t="e">
        <f>(Links!S131*Links!BG131+'On-Ramps'!AJ131*'On-Ramps'!CL131)/('On-Ramps'!AJ131+Links!S131)</f>
        <v>#DIV/0!</v>
      </c>
      <c r="BL131" s="63"/>
      <c r="BM131" s="57" t="e">
        <f>(Links!S131*Links!BG131+'On-Ramps'!AL131*'On-Ramps'!CM131)/(Links!S131+'On-Ramps'!AL131)</f>
        <v>#DIV/0!</v>
      </c>
      <c r="BN131" s="63"/>
      <c r="BO131" s="58" t="e">
        <f>(Links!W131^2+'Off-Ramp'!L131^2)/(Links!W131+'Off-Ramp'!L131)</f>
        <v>#DIV/0!</v>
      </c>
      <c r="BP131" s="63"/>
      <c r="BQ131" s="58" t="e">
        <f>(Links!Y131^2+'Off-Ramp'!C131^2)/(Links!Y131+'Off-Ramp'!C131)</f>
        <v>#DIV/0!</v>
      </c>
      <c r="BR131" s="63"/>
      <c r="BS131" s="58" t="e">
        <f>(Links!AA131^2+'Off-Ramp'!N131^2)/(Links!AA131+'Off-Ramp'!N131)</f>
        <v>#DIV/0!</v>
      </c>
      <c r="BT131" s="58" t="e">
        <f>(Links!AD131^2+'Off-Ramp'!O131^2)/(Links!AD131+'Off-Ramp'!O131)</f>
        <v>#DIV/0!</v>
      </c>
      <c r="BU131" s="58" t="e">
        <f>(Links!AE131^2+'Off-Ramp'!V131^2+'Off-Ramp'!W131^2+'Off-Ramp'!X131^2)/(Links!AE131+'Off-Ramp'!V131+'Off-Ramp'!W131+'Off-Ramp'!X131)</f>
        <v>#DIV/0!</v>
      </c>
      <c r="BV131" s="58" t="e">
        <f>(Links!AG131^2+'Off-Ramp'!Y131^2+'Off-Ramp'!Z131^2+'Off-Ramp'!AA131^2)/(Links!AG131+'Off-Ramp'!Y131+'Off-Ramp'!Z131+'Off-Ramp'!AA131)</f>
        <v>#DIV/0!</v>
      </c>
      <c r="BW131" s="58" t="e">
        <f>(Links!AH131^2+'Off-Ramp'!R131^2)/(Links!AH131+'Off-Ramp'!R131)</f>
        <v>#DIV/0!</v>
      </c>
      <c r="BX131" s="58" t="e">
        <f>(Links!AK131^2+'Off-Ramp'!S131^2)/(Links!AK131+'Off-Ramp'!S131)</f>
        <v>#DIV/0!</v>
      </c>
      <c r="BY131" s="58" t="e">
        <f>(Links!AL131^2+'Off-Ramp'!T131^2)/(Links!AL131+'Off-Ramp'!T131)</f>
        <v>#DIV/0!</v>
      </c>
      <c r="BZ131" s="63"/>
      <c r="CA131" s="58" t="e">
        <f>(Links!AN131^2+'Off-Ramp'!U131^2)/(Links!AN131+'Off-Ramp'!U131)</f>
        <v>#DIV/0!</v>
      </c>
    </row>
    <row r="132" spans="1:79" x14ac:dyDescent="0.15">
      <c r="A132" s="56">
        <v>130</v>
      </c>
      <c r="B132" s="57" t="e">
        <f t="shared" ref="B132:B182" si="57">O132+AB132</f>
        <v>#DIV/0!</v>
      </c>
      <c r="C132" s="57" t="e">
        <f t="shared" ref="C132:C182" si="58">P132+AC132</f>
        <v>#DIV/0!</v>
      </c>
      <c r="D132" s="57" t="e">
        <f t="shared" ref="D132:D182" si="59">Q132+AD132</f>
        <v>#DIV/0!</v>
      </c>
      <c r="E132" s="57" t="e">
        <f t="shared" ref="E132:E182" si="60">R132+AE132</f>
        <v>#DIV/0!</v>
      </c>
      <c r="F132" s="57" t="e">
        <f t="shared" ref="F132:F182" si="61">S132+AF132</f>
        <v>#DIV/0!</v>
      </c>
      <c r="G132" s="57" t="e">
        <f t="shared" ref="G132:G182" si="62">T132+AG132</f>
        <v>#DIV/0!</v>
      </c>
      <c r="H132" s="57" t="e">
        <f t="shared" ref="H132:H182" si="63">U132+AH132</f>
        <v>#DIV/0!</v>
      </c>
      <c r="I132" s="57" t="e">
        <f t="shared" ref="I132:I182" si="64">V132+AI132</f>
        <v>#DIV/0!</v>
      </c>
      <c r="J132" s="57" t="e">
        <f t="shared" ref="J132:J182" si="65">W132+AJ132</f>
        <v>#DIV/0!</v>
      </c>
      <c r="K132" s="57" t="e">
        <f t="shared" ref="K132:K182" si="66">X132+AK132</f>
        <v>#DIV/0!</v>
      </c>
      <c r="L132" s="57" t="e">
        <f t="shared" ref="L132:L182" si="67">Y132+AL132</f>
        <v>#DIV/0!</v>
      </c>
      <c r="M132" s="57" t="e">
        <f t="shared" ref="M132:M182" si="68">Z132+AM132</f>
        <v>#DIV/0!</v>
      </c>
      <c r="N132" s="57" t="e">
        <f t="shared" ref="N132:N182" si="69">AA132+AN132</f>
        <v>#DIV/0!</v>
      </c>
      <c r="O132" s="58" t="e">
        <f>Links!B132</f>
        <v>#DIV/0!</v>
      </c>
      <c r="P132" s="58" t="e">
        <f>Links!C132+'On-Ramps'!AC132</f>
        <v>#DIV/0!</v>
      </c>
      <c r="Q132" s="58" t="e">
        <f>Links!D132</f>
        <v>#DIV/0!</v>
      </c>
      <c r="R132" s="58" t="e">
        <f>Links!E132+'On-Ramps'!AD132</f>
        <v>#DIV/0!</v>
      </c>
      <c r="S132" s="58" t="e">
        <f>Links!F132+'On-Ramps'!AE132</f>
        <v>#DIV/0!</v>
      </c>
      <c r="T132" s="58" t="e">
        <f>Links!I132+'On-Ramps'!AF132</f>
        <v>#DIV/0!</v>
      </c>
      <c r="U132" s="58" t="e">
        <f>Links!J132+'On-Ramps'!AG132</f>
        <v>#DIV/0!</v>
      </c>
      <c r="V132" s="58" t="e">
        <f>Links!L132+'On-Ramps'!AH132</f>
        <v>#DIV/0!</v>
      </c>
      <c r="W132" s="58" t="e">
        <f>Links!M132+'On-Ramps'!AI132</f>
        <v>#DIV/0!</v>
      </c>
      <c r="X132" s="58" t="e">
        <f>Links!P132+'On-Ramps'!AJ132</f>
        <v>#DIV/0!</v>
      </c>
      <c r="Y132" s="58" t="e">
        <f>Links!Q132</f>
        <v>#DIV/0!</v>
      </c>
      <c r="Z132" s="58" t="e">
        <f>Links!R132+'On-Ramps'!AK132</f>
        <v>#DIV/0!</v>
      </c>
      <c r="AA132" s="58" t="e">
        <f>Links!S132</f>
        <v>#DIV/0!</v>
      </c>
      <c r="AB132" s="57" t="e">
        <f t="shared" si="43"/>
        <v>#DIV/0!</v>
      </c>
      <c r="AC132" s="63"/>
      <c r="AD132" s="57" t="e">
        <f t="shared" si="44"/>
        <v>#DIV/0!</v>
      </c>
      <c r="AE132" s="63"/>
      <c r="AF132" s="57" t="e">
        <f t="shared" si="45"/>
        <v>#DIV/0!</v>
      </c>
      <c r="AG132" s="57" t="e">
        <f t="shared" si="46"/>
        <v>#DIV/0!</v>
      </c>
      <c r="AH132" s="57" t="e">
        <f t="shared" si="47"/>
        <v>#DIV/0!</v>
      </c>
      <c r="AI132" s="57" t="e">
        <f t="shared" si="48"/>
        <v>#DIV/0!</v>
      </c>
      <c r="AJ132" s="57" t="e">
        <f t="shared" si="49"/>
        <v>#DIV/0!</v>
      </c>
      <c r="AK132" s="57" t="e">
        <f t="shared" si="50"/>
        <v>#DIV/0!</v>
      </c>
      <c r="AL132" s="57" t="e">
        <f t="shared" si="51"/>
        <v>#DIV/0!</v>
      </c>
      <c r="AM132" s="63"/>
      <c r="AN132" s="57" t="e">
        <f t="shared" si="53"/>
        <v>#DIV/0!</v>
      </c>
      <c r="AO132" s="58" t="e">
        <f t="shared" si="56"/>
        <v>#DIV/0!</v>
      </c>
      <c r="AP132" s="63"/>
      <c r="AQ132" s="58" t="e">
        <f t="shared" si="55"/>
        <v>#DIV/0!</v>
      </c>
      <c r="AR132" s="63"/>
      <c r="AS132" s="58" t="e">
        <f t="shared" si="55"/>
        <v>#DIV/0!</v>
      </c>
      <c r="AT132" s="58" t="e">
        <f t="shared" si="55"/>
        <v>#DIV/0!</v>
      </c>
      <c r="AU132" s="58" t="e">
        <f t="shared" si="55"/>
        <v>#DIV/0!</v>
      </c>
      <c r="AV132" s="58" t="e">
        <f t="shared" si="55"/>
        <v>#DIV/0!</v>
      </c>
      <c r="AW132" s="58" t="e">
        <f t="shared" si="55"/>
        <v>#DIV/0!</v>
      </c>
      <c r="AX132" s="58" t="e">
        <f t="shared" si="55"/>
        <v>#DIV/0!</v>
      </c>
      <c r="AY132" s="58" t="e">
        <f t="shared" si="55"/>
        <v>#DIV/0!</v>
      </c>
      <c r="AZ132" s="63"/>
      <c r="BA132" s="58" t="e">
        <f t="shared" si="55"/>
        <v>#DIV/0!</v>
      </c>
      <c r="BB132" s="63"/>
      <c r="BC132" s="57" t="e">
        <f>(Links!C132*Links!AQ132+'On-Ramps'!AC132*'On-Ramps'!CE132)/('On-Ramps'!AC132+Links!C132)</f>
        <v>#DIV/0!</v>
      </c>
      <c r="BD132" s="63"/>
      <c r="BE132" s="57" t="e">
        <f>(Links!E132*Links!AS132+'On-Ramps'!AD132*'On-Ramps'!CF131)/('On-Ramps'!AD132+Links!E132)</f>
        <v>#DIV/0!</v>
      </c>
      <c r="BF132" s="57" t="e">
        <f>(Links!F132*Links!AT132+'On-Ramps'!AE132*'On-Ramps'!CG132)/('On-Ramps'!AE132+Links!F132)</f>
        <v>#DIV/0!</v>
      </c>
      <c r="BG132" s="57" t="e">
        <f>(Links!I132*Links!AW132+'On-Ramps'!AF132*'On-Ramps'!CH132)/('On-Ramps'!AF132+Links!I132)</f>
        <v>#DIV/0!</v>
      </c>
      <c r="BH132" s="57" t="e">
        <f>(#REF!*#REF!+'On-Ramps'!AG132*'On-Ramps'!CI132)/('On-Ramps'!AG132+#REF!)</f>
        <v>#REF!</v>
      </c>
      <c r="BI132" s="57" t="e">
        <f>(Links!L132*Links!AZ132+'On-Ramps'!AH132*'On-Ramps'!CJ132)/('On-Ramps'!AH132+Links!L132)</f>
        <v>#DIV/0!</v>
      </c>
      <c r="BJ132" s="57" t="e">
        <f>(Links!BA132*Links!M132+'On-Ramps'!AI132*'On-Ramps'!CK132)/('On-Ramps'!AI132+Links!M132)</f>
        <v>#DIV/0!</v>
      </c>
      <c r="BK132" s="57" t="e">
        <f>(Links!S132*Links!BG132+'On-Ramps'!AJ132*'On-Ramps'!CL132)/('On-Ramps'!AJ132+Links!S132)</f>
        <v>#DIV/0!</v>
      </c>
      <c r="BL132" s="63"/>
      <c r="BM132" s="57" t="e">
        <f>(Links!S132*Links!BG132+'On-Ramps'!AL132*'On-Ramps'!CM132)/(Links!S132+'On-Ramps'!AL132)</f>
        <v>#DIV/0!</v>
      </c>
      <c r="BN132" s="63"/>
      <c r="BO132" s="58" t="e">
        <f>(Links!W132^2+'Off-Ramp'!L132^2)/(Links!W132+'Off-Ramp'!L132)</f>
        <v>#DIV/0!</v>
      </c>
      <c r="BP132" s="63"/>
      <c r="BQ132" s="58" t="e">
        <f>(Links!Y132^2+'Off-Ramp'!C132^2)/(Links!Y132+'Off-Ramp'!C132)</f>
        <v>#DIV/0!</v>
      </c>
      <c r="BR132" s="63"/>
      <c r="BS132" s="58" t="e">
        <f>(Links!AA132^2+'Off-Ramp'!N132^2)/(Links!AA132+'Off-Ramp'!N132)</f>
        <v>#DIV/0!</v>
      </c>
      <c r="BT132" s="58" t="e">
        <f>(Links!AD132^2+'Off-Ramp'!O132^2)/(Links!AD132+'Off-Ramp'!O132)</f>
        <v>#DIV/0!</v>
      </c>
      <c r="BU132" s="58" t="e">
        <f>(Links!AE132^2+'Off-Ramp'!V132^2+'Off-Ramp'!W132^2+'Off-Ramp'!X132^2)/(Links!AE132+'Off-Ramp'!V132+'Off-Ramp'!W132+'Off-Ramp'!X132)</f>
        <v>#DIV/0!</v>
      </c>
      <c r="BV132" s="58" t="e">
        <f>(Links!AG132^2+'Off-Ramp'!Y132^2+'Off-Ramp'!Z132^2+'Off-Ramp'!AA132^2)/(Links!AG132+'Off-Ramp'!Y132+'Off-Ramp'!Z132+'Off-Ramp'!AA132)</f>
        <v>#DIV/0!</v>
      </c>
      <c r="BW132" s="58" t="e">
        <f>(Links!AH132^2+'Off-Ramp'!R132^2)/(Links!AH132+'Off-Ramp'!R132)</f>
        <v>#DIV/0!</v>
      </c>
      <c r="BX132" s="58" t="e">
        <f>(Links!AK132^2+'Off-Ramp'!S132^2)/(Links!AK132+'Off-Ramp'!S132)</f>
        <v>#DIV/0!</v>
      </c>
      <c r="BY132" s="58" t="e">
        <f>(Links!AL132^2+'Off-Ramp'!T132^2)/(Links!AL132+'Off-Ramp'!T132)</f>
        <v>#DIV/0!</v>
      </c>
      <c r="BZ132" s="63"/>
      <c r="CA132" s="58" t="e">
        <f>(Links!AN132^2+'Off-Ramp'!U132^2)/(Links!AN132+'Off-Ramp'!U132)</f>
        <v>#DIV/0!</v>
      </c>
    </row>
    <row r="133" spans="1:79" x14ac:dyDescent="0.15">
      <c r="A133" s="56">
        <v>131</v>
      </c>
      <c r="B133" s="57" t="e">
        <f t="shared" si="57"/>
        <v>#DIV/0!</v>
      </c>
      <c r="C133" s="57" t="e">
        <f t="shared" si="58"/>
        <v>#DIV/0!</v>
      </c>
      <c r="D133" s="57" t="e">
        <f t="shared" si="59"/>
        <v>#DIV/0!</v>
      </c>
      <c r="E133" s="57" t="e">
        <f t="shared" si="60"/>
        <v>#DIV/0!</v>
      </c>
      <c r="F133" s="57" t="e">
        <f t="shared" si="61"/>
        <v>#DIV/0!</v>
      </c>
      <c r="G133" s="57" t="e">
        <f t="shared" si="62"/>
        <v>#DIV/0!</v>
      </c>
      <c r="H133" s="57" t="e">
        <f t="shared" si="63"/>
        <v>#DIV/0!</v>
      </c>
      <c r="I133" s="57" t="e">
        <f t="shared" si="64"/>
        <v>#DIV/0!</v>
      </c>
      <c r="J133" s="57" t="e">
        <f t="shared" si="65"/>
        <v>#DIV/0!</v>
      </c>
      <c r="K133" s="57" t="e">
        <f t="shared" si="66"/>
        <v>#DIV/0!</v>
      </c>
      <c r="L133" s="57" t="e">
        <f t="shared" si="67"/>
        <v>#DIV/0!</v>
      </c>
      <c r="M133" s="57" t="e">
        <f t="shared" si="68"/>
        <v>#DIV/0!</v>
      </c>
      <c r="N133" s="57" t="e">
        <f t="shared" si="69"/>
        <v>#DIV/0!</v>
      </c>
      <c r="O133" s="58" t="e">
        <f>Links!B133</f>
        <v>#DIV/0!</v>
      </c>
      <c r="P133" s="58" t="e">
        <f>Links!C133+'On-Ramps'!AC133</f>
        <v>#DIV/0!</v>
      </c>
      <c r="Q133" s="58" t="e">
        <f>Links!D133</f>
        <v>#DIV/0!</v>
      </c>
      <c r="R133" s="58" t="e">
        <f>Links!E133+'On-Ramps'!AD133</f>
        <v>#DIV/0!</v>
      </c>
      <c r="S133" s="58" t="e">
        <f>Links!F133+'On-Ramps'!AE133</f>
        <v>#DIV/0!</v>
      </c>
      <c r="T133" s="58" t="e">
        <f>Links!I133+'On-Ramps'!AF133</f>
        <v>#DIV/0!</v>
      </c>
      <c r="U133" s="58" t="e">
        <f>Links!J133+'On-Ramps'!AG133</f>
        <v>#DIV/0!</v>
      </c>
      <c r="V133" s="58" t="e">
        <f>Links!L133+'On-Ramps'!AH133</f>
        <v>#DIV/0!</v>
      </c>
      <c r="W133" s="58" t="e">
        <f>Links!M133+'On-Ramps'!AI133</f>
        <v>#DIV/0!</v>
      </c>
      <c r="X133" s="58" t="e">
        <f>Links!P133+'On-Ramps'!AJ133</f>
        <v>#DIV/0!</v>
      </c>
      <c r="Y133" s="58" t="e">
        <f>Links!Q133</f>
        <v>#DIV/0!</v>
      </c>
      <c r="Z133" s="58" t="e">
        <f>Links!R133+'On-Ramps'!AK133</f>
        <v>#DIV/0!</v>
      </c>
      <c r="AA133" s="58" t="e">
        <f>Links!S133</f>
        <v>#DIV/0!</v>
      </c>
      <c r="AB133" s="57" t="e">
        <f t="shared" ref="AB133:AB182" si="70">AO133*(1-AO133)*O133</f>
        <v>#DIV/0!</v>
      </c>
      <c r="AC133" s="63"/>
      <c r="AD133" s="57" t="e">
        <f t="shared" ref="AD133:AD182" si="71">AQ133*(1-AQ133)*Q133</f>
        <v>#DIV/0!</v>
      </c>
      <c r="AE133" s="63"/>
      <c r="AF133" s="57" t="e">
        <f t="shared" ref="AF133:AF182" si="72">AS133*(1-AS133)*S133</f>
        <v>#DIV/0!</v>
      </c>
      <c r="AG133" s="57" t="e">
        <f t="shared" ref="AG133:AG182" si="73">AT133*(1-AT133)*T133</f>
        <v>#DIV/0!</v>
      </c>
      <c r="AH133" s="57" t="e">
        <f t="shared" ref="AH133:AH182" si="74">AU133*(1-AU133)*U133</f>
        <v>#DIV/0!</v>
      </c>
      <c r="AI133" s="57" t="e">
        <f t="shared" ref="AI133:AI182" si="75">AV133*(1-AV133)*V133</f>
        <v>#DIV/0!</v>
      </c>
      <c r="AJ133" s="57" t="e">
        <f t="shared" ref="AJ133:AJ182" si="76">AW133*(1-AW133)*W133</f>
        <v>#DIV/0!</v>
      </c>
      <c r="AK133" s="57" t="e">
        <f t="shared" ref="AK133:AK182" si="77">AX133*(1-AX133)*X133</f>
        <v>#DIV/0!</v>
      </c>
      <c r="AL133" s="57" t="e">
        <f t="shared" ref="AL133:AL182" si="78">AY133*(1-AY133)*Y133</f>
        <v>#DIV/0!</v>
      </c>
      <c r="AM133" s="63"/>
      <c r="AN133" s="57" t="e">
        <f t="shared" si="53"/>
        <v>#DIV/0!</v>
      </c>
      <c r="AO133" s="58" t="e">
        <f t="shared" si="56"/>
        <v>#DIV/0!</v>
      </c>
      <c r="AP133" s="63"/>
      <c r="AQ133" s="58" t="e">
        <f t="shared" si="55"/>
        <v>#DIV/0!</v>
      </c>
      <c r="AR133" s="63"/>
      <c r="AS133" s="58" t="e">
        <f t="shared" si="55"/>
        <v>#DIV/0!</v>
      </c>
      <c r="AT133" s="58" t="e">
        <f t="shared" si="55"/>
        <v>#DIV/0!</v>
      </c>
      <c r="AU133" s="58" t="e">
        <f t="shared" si="55"/>
        <v>#DIV/0!</v>
      </c>
      <c r="AV133" s="58" t="e">
        <f t="shared" si="55"/>
        <v>#DIV/0!</v>
      </c>
      <c r="AW133" s="58" t="e">
        <f t="shared" si="55"/>
        <v>#DIV/0!</v>
      </c>
      <c r="AX133" s="58" t="e">
        <f t="shared" si="55"/>
        <v>#DIV/0!</v>
      </c>
      <c r="AY133" s="58" t="e">
        <f t="shared" si="55"/>
        <v>#DIV/0!</v>
      </c>
      <c r="AZ133" s="63"/>
      <c r="BA133" s="58" t="e">
        <f t="shared" si="55"/>
        <v>#DIV/0!</v>
      </c>
      <c r="BB133" s="63"/>
      <c r="BC133" s="57" t="e">
        <f>(Links!C133*Links!AQ133+'On-Ramps'!AC133*'On-Ramps'!CE133)/('On-Ramps'!AC133+Links!C133)</f>
        <v>#DIV/0!</v>
      </c>
      <c r="BD133" s="63"/>
      <c r="BE133" s="57" t="e">
        <f>(Links!E133*Links!AS133+'On-Ramps'!AD133*'On-Ramps'!CF132)/('On-Ramps'!AD133+Links!E133)</f>
        <v>#DIV/0!</v>
      </c>
      <c r="BF133" s="57" t="e">
        <f>(Links!F133*Links!AT133+'On-Ramps'!AE133*'On-Ramps'!CG133)/('On-Ramps'!AE133+Links!F133)</f>
        <v>#DIV/0!</v>
      </c>
      <c r="BG133" s="57" t="e">
        <f>(Links!I133*Links!AW133+'On-Ramps'!AF133*'On-Ramps'!CH133)/('On-Ramps'!AF133+Links!I133)</f>
        <v>#DIV/0!</v>
      </c>
      <c r="BH133" s="57" t="e">
        <f>(#REF!*#REF!+'On-Ramps'!AG133*'On-Ramps'!CI133)/('On-Ramps'!AG133+#REF!)</f>
        <v>#REF!</v>
      </c>
      <c r="BI133" s="57" t="e">
        <f>(Links!L133*Links!AZ133+'On-Ramps'!AH133*'On-Ramps'!CJ133)/('On-Ramps'!AH133+Links!L133)</f>
        <v>#DIV/0!</v>
      </c>
      <c r="BJ133" s="57" t="e">
        <f>(Links!BA133*Links!M133+'On-Ramps'!AI133*'On-Ramps'!CK133)/('On-Ramps'!AI133+Links!M133)</f>
        <v>#DIV/0!</v>
      </c>
      <c r="BK133" s="57" t="e">
        <f>(Links!S133*Links!BG133+'On-Ramps'!AJ133*'On-Ramps'!CL133)/('On-Ramps'!AJ133+Links!S133)</f>
        <v>#DIV/0!</v>
      </c>
      <c r="BL133" s="63"/>
      <c r="BM133" s="57" t="e">
        <f>(Links!S133*Links!BG133+'On-Ramps'!AL133*'On-Ramps'!CM133)/(Links!S133+'On-Ramps'!AL133)</f>
        <v>#DIV/0!</v>
      </c>
      <c r="BN133" s="63"/>
      <c r="BO133" s="58" t="e">
        <f>(Links!W133^2+'Off-Ramp'!L133^2)/(Links!W133+'Off-Ramp'!L133)</f>
        <v>#DIV/0!</v>
      </c>
      <c r="BP133" s="63"/>
      <c r="BQ133" s="58" t="e">
        <f>(Links!Y133^2+'Off-Ramp'!C133^2)/(Links!Y133+'Off-Ramp'!C133)</f>
        <v>#DIV/0!</v>
      </c>
      <c r="BR133" s="63"/>
      <c r="BS133" s="58" t="e">
        <f>(Links!AA133^2+'Off-Ramp'!N133^2)/(Links!AA133+'Off-Ramp'!N133)</f>
        <v>#DIV/0!</v>
      </c>
      <c r="BT133" s="58" t="e">
        <f>(Links!AD133^2+'Off-Ramp'!O133^2)/(Links!AD133+'Off-Ramp'!O133)</f>
        <v>#DIV/0!</v>
      </c>
      <c r="BU133" s="58" t="e">
        <f>(Links!AE133^2+'Off-Ramp'!V133^2+'Off-Ramp'!W133^2+'Off-Ramp'!X133^2)/(Links!AE133+'Off-Ramp'!V133+'Off-Ramp'!W133+'Off-Ramp'!X133)</f>
        <v>#DIV/0!</v>
      </c>
      <c r="BV133" s="58" t="e">
        <f>(Links!AG133^2+'Off-Ramp'!Y133^2+'Off-Ramp'!Z133^2+'Off-Ramp'!AA133^2)/(Links!AG133+'Off-Ramp'!Y133+'Off-Ramp'!Z133+'Off-Ramp'!AA133)</f>
        <v>#DIV/0!</v>
      </c>
      <c r="BW133" s="58" t="e">
        <f>(Links!AH133^2+'Off-Ramp'!R133^2)/(Links!AH133+'Off-Ramp'!R133)</f>
        <v>#DIV/0!</v>
      </c>
      <c r="BX133" s="58" t="e">
        <f>(Links!AK133^2+'Off-Ramp'!S133^2)/(Links!AK133+'Off-Ramp'!S133)</f>
        <v>#DIV/0!</v>
      </c>
      <c r="BY133" s="58" t="e">
        <f>(Links!AL133^2+'Off-Ramp'!T133^2)/(Links!AL133+'Off-Ramp'!T133)</f>
        <v>#DIV/0!</v>
      </c>
      <c r="BZ133" s="63"/>
      <c r="CA133" s="58" t="e">
        <f>(Links!AN133^2+'Off-Ramp'!U133^2)/(Links!AN133+'Off-Ramp'!U133)</f>
        <v>#DIV/0!</v>
      </c>
    </row>
    <row r="134" spans="1:79" x14ac:dyDescent="0.15">
      <c r="A134" s="56">
        <v>132</v>
      </c>
      <c r="B134" s="57" t="e">
        <f t="shared" si="57"/>
        <v>#DIV/0!</v>
      </c>
      <c r="C134" s="57" t="e">
        <f t="shared" si="58"/>
        <v>#DIV/0!</v>
      </c>
      <c r="D134" s="57" t="e">
        <f t="shared" si="59"/>
        <v>#DIV/0!</v>
      </c>
      <c r="E134" s="57" t="e">
        <f t="shared" si="60"/>
        <v>#DIV/0!</v>
      </c>
      <c r="F134" s="57" t="e">
        <f t="shared" si="61"/>
        <v>#DIV/0!</v>
      </c>
      <c r="G134" s="57" t="e">
        <f t="shared" si="62"/>
        <v>#DIV/0!</v>
      </c>
      <c r="H134" s="57" t="e">
        <f t="shared" si="63"/>
        <v>#DIV/0!</v>
      </c>
      <c r="I134" s="57" t="e">
        <f t="shared" si="64"/>
        <v>#DIV/0!</v>
      </c>
      <c r="J134" s="57" t="e">
        <f t="shared" si="65"/>
        <v>#DIV/0!</v>
      </c>
      <c r="K134" s="57" t="e">
        <f t="shared" si="66"/>
        <v>#DIV/0!</v>
      </c>
      <c r="L134" s="57" t="e">
        <f t="shared" si="67"/>
        <v>#DIV/0!</v>
      </c>
      <c r="M134" s="57" t="e">
        <f t="shared" si="68"/>
        <v>#DIV/0!</v>
      </c>
      <c r="N134" s="57" t="e">
        <f t="shared" si="69"/>
        <v>#DIV/0!</v>
      </c>
      <c r="O134" s="58" t="e">
        <f>Links!B134</f>
        <v>#DIV/0!</v>
      </c>
      <c r="P134" s="58" t="e">
        <f>Links!C134+'On-Ramps'!AC134</f>
        <v>#DIV/0!</v>
      </c>
      <c r="Q134" s="58" t="e">
        <f>Links!D134</f>
        <v>#DIV/0!</v>
      </c>
      <c r="R134" s="58" t="e">
        <f>Links!E134+'On-Ramps'!AD134</f>
        <v>#DIV/0!</v>
      </c>
      <c r="S134" s="58" t="e">
        <f>Links!F134+'On-Ramps'!AE134</f>
        <v>#DIV/0!</v>
      </c>
      <c r="T134" s="58" t="e">
        <f>Links!I134+'On-Ramps'!AF134</f>
        <v>#DIV/0!</v>
      </c>
      <c r="U134" s="58" t="e">
        <f>Links!J134+'On-Ramps'!AG134</f>
        <v>#DIV/0!</v>
      </c>
      <c r="V134" s="58" t="e">
        <f>Links!L134+'On-Ramps'!AH134</f>
        <v>#DIV/0!</v>
      </c>
      <c r="W134" s="58" t="e">
        <f>Links!M134+'On-Ramps'!AI134</f>
        <v>#DIV/0!</v>
      </c>
      <c r="X134" s="58" t="e">
        <f>Links!P134+'On-Ramps'!AJ134</f>
        <v>#DIV/0!</v>
      </c>
      <c r="Y134" s="58" t="e">
        <f>Links!Q134</f>
        <v>#DIV/0!</v>
      </c>
      <c r="Z134" s="58" t="e">
        <f>Links!R134+'On-Ramps'!AK134</f>
        <v>#DIV/0!</v>
      </c>
      <c r="AA134" s="58" t="e">
        <f>Links!S134</f>
        <v>#DIV/0!</v>
      </c>
      <c r="AB134" s="57" t="e">
        <f t="shared" si="70"/>
        <v>#DIV/0!</v>
      </c>
      <c r="AC134" s="63"/>
      <c r="AD134" s="57" t="e">
        <f t="shared" si="71"/>
        <v>#DIV/0!</v>
      </c>
      <c r="AE134" s="63"/>
      <c r="AF134" s="57" t="e">
        <f t="shared" si="72"/>
        <v>#DIV/0!</v>
      </c>
      <c r="AG134" s="57" t="e">
        <f t="shared" si="73"/>
        <v>#DIV/0!</v>
      </c>
      <c r="AH134" s="57" t="e">
        <f t="shared" si="74"/>
        <v>#DIV/0!</v>
      </c>
      <c r="AI134" s="57" t="e">
        <f t="shared" si="75"/>
        <v>#DIV/0!</v>
      </c>
      <c r="AJ134" s="57" t="e">
        <f t="shared" si="76"/>
        <v>#DIV/0!</v>
      </c>
      <c r="AK134" s="57" t="e">
        <f t="shared" si="77"/>
        <v>#DIV/0!</v>
      </c>
      <c r="AL134" s="57" t="e">
        <f t="shared" si="78"/>
        <v>#DIV/0!</v>
      </c>
      <c r="AM134" s="63"/>
      <c r="AN134" s="57" t="e">
        <f t="shared" si="53"/>
        <v>#DIV/0!</v>
      </c>
      <c r="AO134" s="58" t="e">
        <f t="shared" si="56"/>
        <v>#DIV/0!</v>
      </c>
      <c r="AP134" s="63"/>
      <c r="AQ134" s="58" t="e">
        <f t="shared" si="55"/>
        <v>#DIV/0!</v>
      </c>
      <c r="AR134" s="63"/>
      <c r="AS134" s="58" t="e">
        <f t="shared" si="55"/>
        <v>#DIV/0!</v>
      </c>
      <c r="AT134" s="58" t="e">
        <f t="shared" si="55"/>
        <v>#DIV/0!</v>
      </c>
      <c r="AU134" s="58" t="e">
        <f t="shared" si="55"/>
        <v>#DIV/0!</v>
      </c>
      <c r="AV134" s="58" t="e">
        <f t="shared" si="55"/>
        <v>#DIV/0!</v>
      </c>
      <c r="AW134" s="58" t="e">
        <f t="shared" si="55"/>
        <v>#DIV/0!</v>
      </c>
      <c r="AX134" s="58" t="e">
        <f t="shared" si="55"/>
        <v>#DIV/0!</v>
      </c>
      <c r="AY134" s="58" t="e">
        <f t="shared" si="55"/>
        <v>#DIV/0!</v>
      </c>
      <c r="AZ134" s="63"/>
      <c r="BA134" s="58" t="e">
        <f t="shared" si="55"/>
        <v>#DIV/0!</v>
      </c>
      <c r="BB134" s="63"/>
      <c r="BC134" s="57" t="e">
        <f>(Links!C134*Links!AQ134+'On-Ramps'!AC134*'On-Ramps'!CE134)/('On-Ramps'!AC134+Links!C134)</f>
        <v>#DIV/0!</v>
      </c>
      <c r="BD134" s="63"/>
      <c r="BE134" s="57" t="e">
        <f>(Links!E134*Links!AS134+'On-Ramps'!AD134*'On-Ramps'!CF133)/('On-Ramps'!AD134+Links!E134)</f>
        <v>#DIV/0!</v>
      </c>
      <c r="BF134" s="57" t="e">
        <f>(Links!F134*Links!AT134+'On-Ramps'!AE134*'On-Ramps'!CG134)/('On-Ramps'!AE134+Links!F134)</f>
        <v>#DIV/0!</v>
      </c>
      <c r="BG134" s="57" t="e">
        <f>(Links!I134*Links!AW134+'On-Ramps'!AF134*'On-Ramps'!CH134)/('On-Ramps'!AF134+Links!I134)</f>
        <v>#DIV/0!</v>
      </c>
      <c r="BH134" s="57" t="e">
        <f>(#REF!*#REF!+'On-Ramps'!AG134*'On-Ramps'!CI134)/('On-Ramps'!AG134+#REF!)</f>
        <v>#REF!</v>
      </c>
      <c r="BI134" s="57" t="e">
        <f>(Links!L134*Links!AZ134+'On-Ramps'!AH134*'On-Ramps'!CJ134)/('On-Ramps'!AH134+Links!L134)</f>
        <v>#DIV/0!</v>
      </c>
      <c r="BJ134" s="57" t="e">
        <f>(Links!BA134*Links!M134+'On-Ramps'!AI134*'On-Ramps'!CK134)/('On-Ramps'!AI134+Links!M134)</f>
        <v>#DIV/0!</v>
      </c>
      <c r="BK134" s="57" t="e">
        <f>(Links!S134*Links!BG134+'On-Ramps'!AJ134*'On-Ramps'!CL134)/('On-Ramps'!AJ134+Links!S134)</f>
        <v>#DIV/0!</v>
      </c>
      <c r="BL134" s="63"/>
      <c r="BM134" s="57" t="e">
        <f>(Links!S134*Links!BG134+'On-Ramps'!AL134*'On-Ramps'!CM134)/(Links!S134+'On-Ramps'!AL134)</f>
        <v>#DIV/0!</v>
      </c>
      <c r="BN134" s="63"/>
      <c r="BO134" s="58" t="e">
        <f>(Links!W134^2+'Off-Ramp'!L134^2)/(Links!W134+'Off-Ramp'!L134)</f>
        <v>#DIV/0!</v>
      </c>
      <c r="BP134" s="63"/>
      <c r="BQ134" s="58" t="e">
        <f>(Links!Y134^2+'Off-Ramp'!C134^2)/(Links!Y134+'Off-Ramp'!C134)</f>
        <v>#DIV/0!</v>
      </c>
      <c r="BR134" s="63"/>
      <c r="BS134" s="58" t="e">
        <f>(Links!AA134^2+'Off-Ramp'!N134^2)/(Links!AA134+'Off-Ramp'!N134)</f>
        <v>#DIV/0!</v>
      </c>
      <c r="BT134" s="58" t="e">
        <f>(Links!AD134^2+'Off-Ramp'!O134^2)/(Links!AD134+'Off-Ramp'!O134)</f>
        <v>#DIV/0!</v>
      </c>
      <c r="BU134" s="58" t="e">
        <f>(Links!AE134^2+'Off-Ramp'!V134^2+'Off-Ramp'!W134^2+'Off-Ramp'!X134^2)/(Links!AE134+'Off-Ramp'!V134+'Off-Ramp'!W134+'Off-Ramp'!X134)</f>
        <v>#DIV/0!</v>
      </c>
      <c r="BV134" s="58" t="e">
        <f>(Links!AG134^2+'Off-Ramp'!Y134^2+'Off-Ramp'!Z134^2+'Off-Ramp'!AA134^2)/(Links!AG134+'Off-Ramp'!Y134+'Off-Ramp'!Z134+'Off-Ramp'!AA134)</f>
        <v>#DIV/0!</v>
      </c>
      <c r="BW134" s="58" t="e">
        <f>(Links!AH134^2+'Off-Ramp'!R134^2)/(Links!AH134+'Off-Ramp'!R134)</f>
        <v>#DIV/0!</v>
      </c>
      <c r="BX134" s="58" t="e">
        <f>(Links!AK134^2+'Off-Ramp'!S134^2)/(Links!AK134+'Off-Ramp'!S134)</f>
        <v>#DIV/0!</v>
      </c>
      <c r="BY134" s="58" t="e">
        <f>(Links!AL134^2+'Off-Ramp'!T134^2)/(Links!AL134+'Off-Ramp'!T134)</f>
        <v>#DIV/0!</v>
      </c>
      <c r="BZ134" s="63"/>
      <c r="CA134" s="58" t="e">
        <f>(Links!AN134^2+'Off-Ramp'!U134^2)/(Links!AN134+'Off-Ramp'!U134)</f>
        <v>#DIV/0!</v>
      </c>
    </row>
    <row r="135" spans="1:79" x14ac:dyDescent="0.15">
      <c r="A135" s="56">
        <v>133</v>
      </c>
      <c r="B135" s="57" t="e">
        <f t="shared" si="57"/>
        <v>#DIV/0!</v>
      </c>
      <c r="C135" s="57" t="e">
        <f t="shared" si="58"/>
        <v>#DIV/0!</v>
      </c>
      <c r="D135" s="57" t="e">
        <f t="shared" si="59"/>
        <v>#DIV/0!</v>
      </c>
      <c r="E135" s="57" t="e">
        <f t="shared" si="60"/>
        <v>#DIV/0!</v>
      </c>
      <c r="F135" s="57" t="e">
        <f t="shared" si="61"/>
        <v>#DIV/0!</v>
      </c>
      <c r="G135" s="57" t="e">
        <f t="shared" si="62"/>
        <v>#DIV/0!</v>
      </c>
      <c r="H135" s="57" t="e">
        <f t="shared" si="63"/>
        <v>#DIV/0!</v>
      </c>
      <c r="I135" s="57" t="e">
        <f t="shared" si="64"/>
        <v>#DIV/0!</v>
      </c>
      <c r="J135" s="57" t="e">
        <f t="shared" si="65"/>
        <v>#DIV/0!</v>
      </c>
      <c r="K135" s="57" t="e">
        <f t="shared" si="66"/>
        <v>#DIV/0!</v>
      </c>
      <c r="L135" s="57" t="e">
        <f t="shared" si="67"/>
        <v>#DIV/0!</v>
      </c>
      <c r="M135" s="57" t="e">
        <f t="shared" si="68"/>
        <v>#DIV/0!</v>
      </c>
      <c r="N135" s="57" t="e">
        <f t="shared" si="69"/>
        <v>#DIV/0!</v>
      </c>
      <c r="O135" s="58" t="e">
        <f>Links!B135</f>
        <v>#DIV/0!</v>
      </c>
      <c r="P135" s="58" t="e">
        <f>Links!C135+'On-Ramps'!AC135</f>
        <v>#DIV/0!</v>
      </c>
      <c r="Q135" s="58" t="e">
        <f>Links!D135</f>
        <v>#DIV/0!</v>
      </c>
      <c r="R135" s="58" t="e">
        <f>Links!E135+'On-Ramps'!AD135</f>
        <v>#DIV/0!</v>
      </c>
      <c r="S135" s="58" t="e">
        <f>Links!F135+'On-Ramps'!AE135</f>
        <v>#DIV/0!</v>
      </c>
      <c r="T135" s="58" t="e">
        <f>Links!I135+'On-Ramps'!AF135</f>
        <v>#DIV/0!</v>
      </c>
      <c r="U135" s="58" t="e">
        <f>Links!J135+'On-Ramps'!AG135</f>
        <v>#DIV/0!</v>
      </c>
      <c r="V135" s="58" t="e">
        <f>Links!L135+'On-Ramps'!AH135</f>
        <v>#DIV/0!</v>
      </c>
      <c r="W135" s="58" t="e">
        <f>Links!M135+'On-Ramps'!AI135</f>
        <v>#DIV/0!</v>
      </c>
      <c r="X135" s="58" t="e">
        <f>Links!P135+'On-Ramps'!AJ135</f>
        <v>#DIV/0!</v>
      </c>
      <c r="Y135" s="58" t="e">
        <f>Links!Q135</f>
        <v>#DIV/0!</v>
      </c>
      <c r="Z135" s="58" t="e">
        <f>Links!R135+'On-Ramps'!AK135</f>
        <v>#DIV/0!</v>
      </c>
      <c r="AA135" s="58" t="e">
        <f>Links!S135</f>
        <v>#DIV/0!</v>
      </c>
      <c r="AB135" s="57" t="e">
        <f t="shared" si="70"/>
        <v>#DIV/0!</v>
      </c>
      <c r="AC135" s="63"/>
      <c r="AD135" s="57" t="e">
        <f t="shared" si="71"/>
        <v>#DIV/0!</v>
      </c>
      <c r="AE135" s="63"/>
      <c r="AF135" s="57" t="e">
        <f t="shared" si="72"/>
        <v>#DIV/0!</v>
      </c>
      <c r="AG135" s="57" t="e">
        <f t="shared" si="73"/>
        <v>#DIV/0!</v>
      </c>
      <c r="AH135" s="57" t="e">
        <f t="shared" si="74"/>
        <v>#DIV/0!</v>
      </c>
      <c r="AI135" s="57" t="e">
        <f t="shared" si="75"/>
        <v>#DIV/0!</v>
      </c>
      <c r="AJ135" s="57" t="e">
        <f t="shared" si="76"/>
        <v>#DIV/0!</v>
      </c>
      <c r="AK135" s="57" t="e">
        <f t="shared" si="77"/>
        <v>#DIV/0!</v>
      </c>
      <c r="AL135" s="57" t="e">
        <f t="shared" si="78"/>
        <v>#DIV/0!</v>
      </c>
      <c r="AM135" s="63"/>
      <c r="AN135" s="57" t="e">
        <f t="shared" si="53"/>
        <v>#DIV/0!</v>
      </c>
      <c r="AO135" s="58" t="e">
        <f t="shared" si="56"/>
        <v>#DIV/0!</v>
      </c>
      <c r="AP135" s="63"/>
      <c r="AQ135" s="58" t="e">
        <f t="shared" si="55"/>
        <v>#DIV/0!</v>
      </c>
      <c r="AR135" s="63"/>
      <c r="AS135" s="58" t="e">
        <f t="shared" si="55"/>
        <v>#DIV/0!</v>
      </c>
      <c r="AT135" s="58" t="e">
        <f t="shared" si="55"/>
        <v>#DIV/0!</v>
      </c>
      <c r="AU135" s="58" t="e">
        <f t="shared" si="55"/>
        <v>#DIV/0!</v>
      </c>
      <c r="AV135" s="58" t="e">
        <f t="shared" si="55"/>
        <v>#DIV/0!</v>
      </c>
      <c r="AW135" s="58" t="e">
        <f t="shared" si="55"/>
        <v>#DIV/0!</v>
      </c>
      <c r="AX135" s="58" t="e">
        <f t="shared" si="55"/>
        <v>#DIV/0!</v>
      </c>
      <c r="AY135" s="58" t="e">
        <f t="shared" si="55"/>
        <v>#DIV/0!</v>
      </c>
      <c r="AZ135" s="63"/>
      <c r="BA135" s="58" t="e">
        <f t="shared" si="55"/>
        <v>#DIV/0!</v>
      </c>
      <c r="BB135" s="63"/>
      <c r="BC135" s="57" t="e">
        <f>(Links!C135*Links!AQ135+'On-Ramps'!AC135*'On-Ramps'!CE135)/('On-Ramps'!AC135+Links!C135)</f>
        <v>#DIV/0!</v>
      </c>
      <c r="BD135" s="63"/>
      <c r="BE135" s="57" t="e">
        <f>(Links!E135*Links!AS135+'On-Ramps'!AD135*'On-Ramps'!CF134)/('On-Ramps'!AD135+Links!E135)</f>
        <v>#DIV/0!</v>
      </c>
      <c r="BF135" s="57" t="e">
        <f>(Links!F135*Links!AT135+'On-Ramps'!AE135*'On-Ramps'!CG135)/('On-Ramps'!AE135+Links!F135)</f>
        <v>#DIV/0!</v>
      </c>
      <c r="BG135" s="57" t="e">
        <f>(Links!I135*Links!AW135+'On-Ramps'!AF135*'On-Ramps'!CH135)/('On-Ramps'!AF135+Links!I135)</f>
        <v>#DIV/0!</v>
      </c>
      <c r="BH135" s="57" t="e">
        <f>(#REF!*#REF!+'On-Ramps'!AG135*'On-Ramps'!CI135)/('On-Ramps'!AG135+#REF!)</f>
        <v>#REF!</v>
      </c>
      <c r="BI135" s="57" t="e">
        <f>(Links!L135*Links!AZ135+'On-Ramps'!AH135*'On-Ramps'!CJ135)/('On-Ramps'!AH135+Links!L135)</f>
        <v>#DIV/0!</v>
      </c>
      <c r="BJ135" s="57" t="e">
        <f>(Links!BA135*Links!M135+'On-Ramps'!AI135*'On-Ramps'!CK135)/('On-Ramps'!AI135+Links!M135)</f>
        <v>#DIV/0!</v>
      </c>
      <c r="BK135" s="57" t="e">
        <f>(Links!S135*Links!BG135+'On-Ramps'!AJ135*'On-Ramps'!CL135)/('On-Ramps'!AJ135+Links!S135)</f>
        <v>#DIV/0!</v>
      </c>
      <c r="BL135" s="63"/>
      <c r="BM135" s="57" t="e">
        <f>(Links!S135*Links!BG135+'On-Ramps'!AL135*'On-Ramps'!CM135)/(Links!S135+'On-Ramps'!AL135)</f>
        <v>#DIV/0!</v>
      </c>
      <c r="BN135" s="63"/>
      <c r="BO135" s="58" t="e">
        <f>(Links!W135^2+'Off-Ramp'!L135^2)/(Links!W135+'Off-Ramp'!L135)</f>
        <v>#DIV/0!</v>
      </c>
      <c r="BP135" s="63"/>
      <c r="BQ135" s="58" t="e">
        <f>(Links!Y135^2+'Off-Ramp'!C135^2)/(Links!Y135+'Off-Ramp'!C135)</f>
        <v>#DIV/0!</v>
      </c>
      <c r="BR135" s="63"/>
      <c r="BS135" s="58" t="e">
        <f>(Links!AA135^2+'Off-Ramp'!N135^2)/(Links!AA135+'Off-Ramp'!N135)</f>
        <v>#DIV/0!</v>
      </c>
      <c r="BT135" s="58" t="e">
        <f>(Links!AD135^2+'Off-Ramp'!O135^2)/(Links!AD135+'Off-Ramp'!O135)</f>
        <v>#DIV/0!</v>
      </c>
      <c r="BU135" s="58" t="e">
        <f>(Links!AE135^2+'Off-Ramp'!V135^2+'Off-Ramp'!W135^2+'Off-Ramp'!X135^2)/(Links!AE135+'Off-Ramp'!V135+'Off-Ramp'!W135+'Off-Ramp'!X135)</f>
        <v>#DIV/0!</v>
      </c>
      <c r="BV135" s="58" t="e">
        <f>(Links!AG135^2+'Off-Ramp'!Y135^2+'Off-Ramp'!Z135^2+'Off-Ramp'!AA135^2)/(Links!AG135+'Off-Ramp'!Y135+'Off-Ramp'!Z135+'Off-Ramp'!AA135)</f>
        <v>#DIV/0!</v>
      </c>
      <c r="BW135" s="58" t="e">
        <f>(Links!AH135^2+'Off-Ramp'!R135^2)/(Links!AH135+'Off-Ramp'!R135)</f>
        <v>#DIV/0!</v>
      </c>
      <c r="BX135" s="58" t="e">
        <f>(Links!AK135^2+'Off-Ramp'!S135^2)/(Links!AK135+'Off-Ramp'!S135)</f>
        <v>#DIV/0!</v>
      </c>
      <c r="BY135" s="58" t="e">
        <f>(Links!AL135^2+'Off-Ramp'!T135^2)/(Links!AL135+'Off-Ramp'!T135)</f>
        <v>#DIV/0!</v>
      </c>
      <c r="BZ135" s="63"/>
      <c r="CA135" s="58" t="e">
        <f>(Links!AN135^2+'Off-Ramp'!U135^2)/(Links!AN135+'Off-Ramp'!U135)</f>
        <v>#DIV/0!</v>
      </c>
    </row>
    <row r="136" spans="1:79" x14ac:dyDescent="0.15">
      <c r="A136" s="56">
        <v>134</v>
      </c>
      <c r="B136" s="57" t="e">
        <f t="shared" si="57"/>
        <v>#DIV/0!</v>
      </c>
      <c r="C136" s="57" t="e">
        <f t="shared" si="58"/>
        <v>#DIV/0!</v>
      </c>
      <c r="D136" s="57" t="e">
        <f t="shared" si="59"/>
        <v>#DIV/0!</v>
      </c>
      <c r="E136" s="57" t="e">
        <f t="shared" si="60"/>
        <v>#DIV/0!</v>
      </c>
      <c r="F136" s="57" t="e">
        <f t="shared" si="61"/>
        <v>#DIV/0!</v>
      </c>
      <c r="G136" s="57" t="e">
        <f t="shared" si="62"/>
        <v>#DIV/0!</v>
      </c>
      <c r="H136" s="57" t="e">
        <f t="shared" si="63"/>
        <v>#DIV/0!</v>
      </c>
      <c r="I136" s="57" t="e">
        <f t="shared" si="64"/>
        <v>#DIV/0!</v>
      </c>
      <c r="J136" s="57" t="e">
        <f t="shared" si="65"/>
        <v>#DIV/0!</v>
      </c>
      <c r="K136" s="57" t="e">
        <f t="shared" si="66"/>
        <v>#DIV/0!</v>
      </c>
      <c r="L136" s="57" t="e">
        <f t="shared" si="67"/>
        <v>#DIV/0!</v>
      </c>
      <c r="M136" s="57" t="e">
        <f t="shared" si="68"/>
        <v>#DIV/0!</v>
      </c>
      <c r="N136" s="57" t="e">
        <f t="shared" si="69"/>
        <v>#DIV/0!</v>
      </c>
      <c r="O136" s="58" t="e">
        <f>Links!B136</f>
        <v>#DIV/0!</v>
      </c>
      <c r="P136" s="58" t="e">
        <f>Links!C136+'On-Ramps'!AC136</f>
        <v>#DIV/0!</v>
      </c>
      <c r="Q136" s="58" t="e">
        <f>Links!D136</f>
        <v>#DIV/0!</v>
      </c>
      <c r="R136" s="58" t="e">
        <f>Links!E136+'On-Ramps'!AD136</f>
        <v>#DIV/0!</v>
      </c>
      <c r="S136" s="58" t="e">
        <f>Links!F136+'On-Ramps'!AE136</f>
        <v>#DIV/0!</v>
      </c>
      <c r="T136" s="58" t="e">
        <f>Links!I136+'On-Ramps'!AF136</f>
        <v>#DIV/0!</v>
      </c>
      <c r="U136" s="58" t="e">
        <f>Links!J136+'On-Ramps'!AG136</f>
        <v>#DIV/0!</v>
      </c>
      <c r="V136" s="58" t="e">
        <f>Links!L136+'On-Ramps'!AH136</f>
        <v>#DIV/0!</v>
      </c>
      <c r="W136" s="58" t="e">
        <f>Links!M136+'On-Ramps'!AI136</f>
        <v>#DIV/0!</v>
      </c>
      <c r="X136" s="58" t="e">
        <f>Links!P136+'On-Ramps'!AJ136</f>
        <v>#DIV/0!</v>
      </c>
      <c r="Y136" s="58" t="e">
        <f>Links!Q136</f>
        <v>#DIV/0!</v>
      </c>
      <c r="Z136" s="58" t="e">
        <f>Links!R136+'On-Ramps'!AK136</f>
        <v>#DIV/0!</v>
      </c>
      <c r="AA136" s="58" t="e">
        <f>Links!S136</f>
        <v>#DIV/0!</v>
      </c>
      <c r="AB136" s="57" t="e">
        <f t="shared" si="70"/>
        <v>#DIV/0!</v>
      </c>
      <c r="AC136" s="63"/>
      <c r="AD136" s="57" t="e">
        <f t="shared" si="71"/>
        <v>#DIV/0!</v>
      </c>
      <c r="AE136" s="63"/>
      <c r="AF136" s="57" t="e">
        <f t="shared" si="72"/>
        <v>#DIV/0!</v>
      </c>
      <c r="AG136" s="57" t="e">
        <f t="shared" si="73"/>
        <v>#DIV/0!</v>
      </c>
      <c r="AH136" s="57" t="e">
        <f t="shared" si="74"/>
        <v>#DIV/0!</v>
      </c>
      <c r="AI136" s="57" t="e">
        <f t="shared" si="75"/>
        <v>#DIV/0!</v>
      </c>
      <c r="AJ136" s="57" t="e">
        <f t="shared" si="76"/>
        <v>#DIV/0!</v>
      </c>
      <c r="AK136" s="57" t="e">
        <f t="shared" si="77"/>
        <v>#DIV/0!</v>
      </c>
      <c r="AL136" s="57" t="e">
        <f t="shared" si="78"/>
        <v>#DIV/0!</v>
      </c>
      <c r="AM136" s="63"/>
      <c r="AN136" s="57" t="e">
        <f t="shared" si="53"/>
        <v>#DIV/0!</v>
      </c>
      <c r="AO136" s="58" t="e">
        <f t="shared" si="56"/>
        <v>#DIV/0!</v>
      </c>
      <c r="AP136" s="63"/>
      <c r="AQ136" s="58" t="e">
        <f t="shared" si="55"/>
        <v>#DIV/0!</v>
      </c>
      <c r="AR136" s="63"/>
      <c r="AS136" s="58" t="e">
        <f t="shared" si="55"/>
        <v>#DIV/0!</v>
      </c>
      <c r="AT136" s="58" t="e">
        <f t="shared" si="55"/>
        <v>#DIV/0!</v>
      </c>
      <c r="AU136" s="58" t="e">
        <f t="shared" si="55"/>
        <v>#DIV/0!</v>
      </c>
      <c r="AV136" s="58" t="e">
        <f t="shared" si="55"/>
        <v>#DIV/0!</v>
      </c>
      <c r="AW136" s="58" t="e">
        <f t="shared" si="55"/>
        <v>#DIV/0!</v>
      </c>
      <c r="AX136" s="58" t="e">
        <f t="shared" si="55"/>
        <v>#DIV/0!</v>
      </c>
      <c r="AY136" s="58" t="e">
        <f t="shared" si="55"/>
        <v>#DIV/0!</v>
      </c>
      <c r="AZ136" s="63"/>
      <c r="BA136" s="58" t="e">
        <f t="shared" si="55"/>
        <v>#DIV/0!</v>
      </c>
      <c r="BB136" s="63"/>
      <c r="BC136" s="57" t="e">
        <f>(Links!C136*Links!AQ136+'On-Ramps'!AC136*'On-Ramps'!CE136)/('On-Ramps'!AC136+Links!C136)</f>
        <v>#DIV/0!</v>
      </c>
      <c r="BD136" s="63"/>
      <c r="BE136" s="57" t="e">
        <f>(Links!E136*Links!AS136+'On-Ramps'!AD136*'On-Ramps'!CF135)/('On-Ramps'!AD136+Links!E136)</f>
        <v>#DIV/0!</v>
      </c>
      <c r="BF136" s="57" t="e">
        <f>(Links!F136*Links!AT136+'On-Ramps'!AE136*'On-Ramps'!CG136)/('On-Ramps'!AE136+Links!F136)</f>
        <v>#DIV/0!</v>
      </c>
      <c r="BG136" s="57" t="e">
        <f>(Links!I136*Links!AW136+'On-Ramps'!AF136*'On-Ramps'!CH136)/('On-Ramps'!AF136+Links!I136)</f>
        <v>#DIV/0!</v>
      </c>
      <c r="BH136" s="57" t="e">
        <f>(#REF!*#REF!+'On-Ramps'!AG136*'On-Ramps'!CI136)/('On-Ramps'!AG136+#REF!)</f>
        <v>#REF!</v>
      </c>
      <c r="BI136" s="57" t="e">
        <f>(Links!L136*Links!AZ136+'On-Ramps'!AH136*'On-Ramps'!CJ136)/('On-Ramps'!AH136+Links!L136)</f>
        <v>#DIV/0!</v>
      </c>
      <c r="BJ136" s="57" t="e">
        <f>(Links!BA136*Links!M136+'On-Ramps'!AI136*'On-Ramps'!CK136)/('On-Ramps'!AI136+Links!M136)</f>
        <v>#DIV/0!</v>
      </c>
      <c r="BK136" s="57" t="e">
        <f>(Links!S136*Links!BG136+'On-Ramps'!AJ136*'On-Ramps'!CL136)/('On-Ramps'!AJ136+Links!S136)</f>
        <v>#DIV/0!</v>
      </c>
      <c r="BL136" s="63"/>
      <c r="BM136" s="57" t="e">
        <f>(Links!S136*Links!BG136+'On-Ramps'!AL136*'On-Ramps'!CM136)/(Links!S136+'On-Ramps'!AL136)</f>
        <v>#DIV/0!</v>
      </c>
      <c r="BN136" s="63"/>
      <c r="BO136" s="58" t="e">
        <f>(Links!W136^2+'Off-Ramp'!L136^2)/(Links!W136+'Off-Ramp'!L136)</f>
        <v>#DIV/0!</v>
      </c>
      <c r="BP136" s="63"/>
      <c r="BQ136" s="58" t="e">
        <f>(Links!Y136^2+'Off-Ramp'!C136^2)/(Links!Y136+'Off-Ramp'!C136)</f>
        <v>#DIV/0!</v>
      </c>
      <c r="BR136" s="63"/>
      <c r="BS136" s="58" t="e">
        <f>(Links!AA136^2+'Off-Ramp'!N136^2)/(Links!AA136+'Off-Ramp'!N136)</f>
        <v>#DIV/0!</v>
      </c>
      <c r="BT136" s="58" t="e">
        <f>(Links!AD136^2+'Off-Ramp'!O136^2)/(Links!AD136+'Off-Ramp'!O136)</f>
        <v>#DIV/0!</v>
      </c>
      <c r="BU136" s="58" t="e">
        <f>(Links!AE136^2+'Off-Ramp'!V136^2+'Off-Ramp'!W136^2+'Off-Ramp'!X136^2)/(Links!AE136+'Off-Ramp'!V136+'Off-Ramp'!W136+'Off-Ramp'!X136)</f>
        <v>#DIV/0!</v>
      </c>
      <c r="BV136" s="58" t="e">
        <f>(Links!AG136^2+'Off-Ramp'!Y136^2+'Off-Ramp'!Z136^2+'Off-Ramp'!AA136^2)/(Links!AG136+'Off-Ramp'!Y136+'Off-Ramp'!Z136+'Off-Ramp'!AA136)</f>
        <v>#DIV/0!</v>
      </c>
      <c r="BW136" s="58" t="e">
        <f>(Links!AH136^2+'Off-Ramp'!R136^2)/(Links!AH136+'Off-Ramp'!R136)</f>
        <v>#DIV/0!</v>
      </c>
      <c r="BX136" s="58" t="e">
        <f>(Links!AK136^2+'Off-Ramp'!S136^2)/(Links!AK136+'Off-Ramp'!S136)</f>
        <v>#DIV/0!</v>
      </c>
      <c r="BY136" s="58" t="e">
        <f>(Links!AL136^2+'Off-Ramp'!T136^2)/(Links!AL136+'Off-Ramp'!T136)</f>
        <v>#DIV/0!</v>
      </c>
      <c r="BZ136" s="63"/>
      <c r="CA136" s="58" t="e">
        <f>(Links!AN136^2+'Off-Ramp'!U136^2)/(Links!AN136+'Off-Ramp'!U136)</f>
        <v>#DIV/0!</v>
      </c>
    </row>
    <row r="137" spans="1:79" x14ac:dyDescent="0.15">
      <c r="A137" s="56">
        <v>135</v>
      </c>
      <c r="B137" s="57" t="e">
        <f t="shared" si="57"/>
        <v>#DIV/0!</v>
      </c>
      <c r="C137" s="57" t="e">
        <f t="shared" si="58"/>
        <v>#DIV/0!</v>
      </c>
      <c r="D137" s="57" t="e">
        <f t="shared" si="59"/>
        <v>#DIV/0!</v>
      </c>
      <c r="E137" s="57" t="e">
        <f t="shared" si="60"/>
        <v>#DIV/0!</v>
      </c>
      <c r="F137" s="57" t="e">
        <f t="shared" si="61"/>
        <v>#DIV/0!</v>
      </c>
      <c r="G137" s="57" t="e">
        <f t="shared" si="62"/>
        <v>#DIV/0!</v>
      </c>
      <c r="H137" s="57" t="e">
        <f t="shared" si="63"/>
        <v>#DIV/0!</v>
      </c>
      <c r="I137" s="57" t="e">
        <f t="shared" si="64"/>
        <v>#DIV/0!</v>
      </c>
      <c r="J137" s="57" t="e">
        <f t="shared" si="65"/>
        <v>#DIV/0!</v>
      </c>
      <c r="K137" s="57" t="e">
        <f t="shared" si="66"/>
        <v>#DIV/0!</v>
      </c>
      <c r="L137" s="57" t="e">
        <f t="shared" si="67"/>
        <v>#DIV/0!</v>
      </c>
      <c r="M137" s="57" t="e">
        <f t="shared" si="68"/>
        <v>#DIV/0!</v>
      </c>
      <c r="N137" s="57" t="e">
        <f t="shared" si="69"/>
        <v>#DIV/0!</v>
      </c>
      <c r="O137" s="58" t="e">
        <f>Links!B137</f>
        <v>#DIV/0!</v>
      </c>
      <c r="P137" s="58" t="e">
        <f>Links!C137+'On-Ramps'!AC137</f>
        <v>#DIV/0!</v>
      </c>
      <c r="Q137" s="58" t="e">
        <f>Links!D137</f>
        <v>#DIV/0!</v>
      </c>
      <c r="R137" s="58" t="e">
        <f>Links!E137+'On-Ramps'!AD137</f>
        <v>#DIV/0!</v>
      </c>
      <c r="S137" s="58" t="e">
        <f>Links!F137+'On-Ramps'!AE137</f>
        <v>#DIV/0!</v>
      </c>
      <c r="T137" s="58" t="e">
        <f>Links!I137+'On-Ramps'!AF137</f>
        <v>#DIV/0!</v>
      </c>
      <c r="U137" s="58" t="e">
        <f>Links!J137+'On-Ramps'!AG137</f>
        <v>#DIV/0!</v>
      </c>
      <c r="V137" s="58" t="e">
        <f>Links!L137+'On-Ramps'!AH137</f>
        <v>#DIV/0!</v>
      </c>
      <c r="W137" s="58" t="e">
        <f>Links!M137+'On-Ramps'!AI137</f>
        <v>#DIV/0!</v>
      </c>
      <c r="X137" s="58" t="e">
        <f>Links!P137+'On-Ramps'!AJ137</f>
        <v>#DIV/0!</v>
      </c>
      <c r="Y137" s="58" t="e">
        <f>Links!Q137</f>
        <v>#DIV/0!</v>
      </c>
      <c r="Z137" s="58" t="e">
        <f>Links!R137+'On-Ramps'!AK137</f>
        <v>#DIV/0!</v>
      </c>
      <c r="AA137" s="58" t="e">
        <f>Links!S137</f>
        <v>#DIV/0!</v>
      </c>
      <c r="AB137" s="57" t="e">
        <f t="shared" si="70"/>
        <v>#DIV/0!</v>
      </c>
      <c r="AC137" s="63"/>
      <c r="AD137" s="57" t="e">
        <f t="shared" si="71"/>
        <v>#DIV/0!</v>
      </c>
      <c r="AE137" s="63"/>
      <c r="AF137" s="57" t="e">
        <f t="shared" si="72"/>
        <v>#DIV/0!</v>
      </c>
      <c r="AG137" s="57" t="e">
        <f t="shared" si="73"/>
        <v>#DIV/0!</v>
      </c>
      <c r="AH137" s="57" t="e">
        <f t="shared" si="74"/>
        <v>#DIV/0!</v>
      </c>
      <c r="AI137" s="57" t="e">
        <f t="shared" si="75"/>
        <v>#DIV/0!</v>
      </c>
      <c r="AJ137" s="57" t="e">
        <f t="shared" si="76"/>
        <v>#DIV/0!</v>
      </c>
      <c r="AK137" s="57" t="e">
        <f t="shared" si="77"/>
        <v>#DIV/0!</v>
      </c>
      <c r="AL137" s="57" t="e">
        <f t="shared" si="78"/>
        <v>#DIV/0!</v>
      </c>
      <c r="AM137" s="63"/>
      <c r="AN137" s="57" t="e">
        <f t="shared" si="53"/>
        <v>#DIV/0!</v>
      </c>
      <c r="AO137" s="58" t="e">
        <f t="shared" si="56"/>
        <v>#DIV/0!</v>
      </c>
      <c r="AP137" s="63"/>
      <c r="AQ137" s="58" t="e">
        <f t="shared" si="55"/>
        <v>#DIV/0!</v>
      </c>
      <c r="AR137" s="63"/>
      <c r="AS137" s="58" t="e">
        <f t="shared" si="55"/>
        <v>#DIV/0!</v>
      </c>
      <c r="AT137" s="58" t="e">
        <f t="shared" si="55"/>
        <v>#DIV/0!</v>
      </c>
      <c r="AU137" s="58" t="e">
        <f t="shared" si="55"/>
        <v>#DIV/0!</v>
      </c>
      <c r="AV137" s="58" t="e">
        <f t="shared" si="55"/>
        <v>#DIV/0!</v>
      </c>
      <c r="AW137" s="58" t="e">
        <f t="shared" si="55"/>
        <v>#DIV/0!</v>
      </c>
      <c r="AX137" s="58" t="e">
        <f t="shared" si="55"/>
        <v>#DIV/0!</v>
      </c>
      <c r="AY137" s="58" t="e">
        <f t="shared" si="55"/>
        <v>#DIV/0!</v>
      </c>
      <c r="AZ137" s="63"/>
      <c r="BA137" s="58" t="e">
        <f t="shared" si="55"/>
        <v>#DIV/0!</v>
      </c>
      <c r="BB137" s="63"/>
      <c r="BC137" s="57" t="e">
        <f>(Links!C137*Links!AQ137+'On-Ramps'!AC137*'On-Ramps'!CE137)/('On-Ramps'!AC137+Links!C137)</f>
        <v>#DIV/0!</v>
      </c>
      <c r="BD137" s="63"/>
      <c r="BE137" s="57" t="e">
        <f>(Links!E137*Links!AS137+'On-Ramps'!AD137*'On-Ramps'!CF136)/('On-Ramps'!AD137+Links!E137)</f>
        <v>#DIV/0!</v>
      </c>
      <c r="BF137" s="57" t="e">
        <f>(Links!F137*Links!AT137+'On-Ramps'!AE137*'On-Ramps'!CG137)/('On-Ramps'!AE137+Links!F137)</f>
        <v>#DIV/0!</v>
      </c>
      <c r="BG137" s="57" t="e">
        <f>(Links!I137*Links!AW137+'On-Ramps'!AF137*'On-Ramps'!CH137)/('On-Ramps'!AF137+Links!I137)</f>
        <v>#DIV/0!</v>
      </c>
      <c r="BH137" s="57" t="e">
        <f>(#REF!*#REF!+'On-Ramps'!AG137*'On-Ramps'!CI137)/('On-Ramps'!AG137+#REF!)</f>
        <v>#REF!</v>
      </c>
      <c r="BI137" s="57" t="e">
        <f>(Links!L137*Links!AZ137+'On-Ramps'!AH137*'On-Ramps'!CJ137)/('On-Ramps'!AH137+Links!L137)</f>
        <v>#DIV/0!</v>
      </c>
      <c r="BJ137" s="57" t="e">
        <f>(Links!BA137*Links!M137+'On-Ramps'!AI137*'On-Ramps'!CK137)/('On-Ramps'!AI137+Links!M137)</f>
        <v>#DIV/0!</v>
      </c>
      <c r="BK137" s="57" t="e">
        <f>(Links!S137*Links!BG137+'On-Ramps'!AJ137*'On-Ramps'!CL137)/('On-Ramps'!AJ137+Links!S137)</f>
        <v>#DIV/0!</v>
      </c>
      <c r="BL137" s="63"/>
      <c r="BM137" s="57" t="e">
        <f>(Links!S137*Links!BG137+'On-Ramps'!AL137*'On-Ramps'!CM137)/(Links!S137+'On-Ramps'!AL137)</f>
        <v>#DIV/0!</v>
      </c>
      <c r="BN137" s="63"/>
      <c r="BO137" s="58" t="e">
        <f>(Links!W137^2+'Off-Ramp'!L137^2)/(Links!W137+'Off-Ramp'!L137)</f>
        <v>#DIV/0!</v>
      </c>
      <c r="BP137" s="63"/>
      <c r="BQ137" s="58" t="e">
        <f>(Links!Y137^2+'Off-Ramp'!C137^2)/(Links!Y137+'Off-Ramp'!C137)</f>
        <v>#DIV/0!</v>
      </c>
      <c r="BR137" s="63"/>
      <c r="BS137" s="58" t="e">
        <f>(Links!AA137^2+'Off-Ramp'!N137^2)/(Links!AA137+'Off-Ramp'!N137)</f>
        <v>#DIV/0!</v>
      </c>
      <c r="BT137" s="58" t="e">
        <f>(Links!AD137^2+'Off-Ramp'!O137^2)/(Links!AD137+'Off-Ramp'!O137)</f>
        <v>#DIV/0!</v>
      </c>
      <c r="BU137" s="58" t="e">
        <f>(Links!AE137^2+'Off-Ramp'!V137^2+'Off-Ramp'!W137^2+'Off-Ramp'!X137^2)/(Links!AE137+'Off-Ramp'!V137+'Off-Ramp'!W137+'Off-Ramp'!X137)</f>
        <v>#DIV/0!</v>
      </c>
      <c r="BV137" s="58" t="e">
        <f>(Links!AG137^2+'Off-Ramp'!Y137^2+'Off-Ramp'!Z137^2+'Off-Ramp'!AA137^2)/(Links!AG137+'Off-Ramp'!Y137+'Off-Ramp'!Z137+'Off-Ramp'!AA137)</f>
        <v>#DIV/0!</v>
      </c>
      <c r="BW137" s="58" t="e">
        <f>(Links!AH137^2+'Off-Ramp'!R137^2)/(Links!AH137+'Off-Ramp'!R137)</f>
        <v>#DIV/0!</v>
      </c>
      <c r="BX137" s="58" t="e">
        <f>(Links!AK137^2+'Off-Ramp'!S137^2)/(Links!AK137+'Off-Ramp'!S137)</f>
        <v>#DIV/0!</v>
      </c>
      <c r="BY137" s="58" t="e">
        <f>(Links!AL137^2+'Off-Ramp'!T137^2)/(Links!AL137+'Off-Ramp'!T137)</f>
        <v>#DIV/0!</v>
      </c>
      <c r="BZ137" s="63"/>
      <c r="CA137" s="58" t="e">
        <f>(Links!AN137^2+'Off-Ramp'!U137^2)/(Links!AN137+'Off-Ramp'!U137)</f>
        <v>#DIV/0!</v>
      </c>
    </row>
    <row r="138" spans="1:79" x14ac:dyDescent="0.15">
      <c r="A138" s="56">
        <v>136</v>
      </c>
      <c r="B138" s="57" t="e">
        <f t="shared" si="57"/>
        <v>#DIV/0!</v>
      </c>
      <c r="C138" s="57" t="e">
        <f t="shared" si="58"/>
        <v>#DIV/0!</v>
      </c>
      <c r="D138" s="57" t="e">
        <f t="shared" si="59"/>
        <v>#DIV/0!</v>
      </c>
      <c r="E138" s="57" t="e">
        <f t="shared" si="60"/>
        <v>#DIV/0!</v>
      </c>
      <c r="F138" s="57" t="e">
        <f t="shared" si="61"/>
        <v>#DIV/0!</v>
      </c>
      <c r="G138" s="57" t="e">
        <f t="shared" si="62"/>
        <v>#DIV/0!</v>
      </c>
      <c r="H138" s="57" t="e">
        <f t="shared" si="63"/>
        <v>#DIV/0!</v>
      </c>
      <c r="I138" s="57" t="e">
        <f t="shared" si="64"/>
        <v>#DIV/0!</v>
      </c>
      <c r="J138" s="57" t="e">
        <f t="shared" si="65"/>
        <v>#DIV/0!</v>
      </c>
      <c r="K138" s="57" t="e">
        <f t="shared" si="66"/>
        <v>#DIV/0!</v>
      </c>
      <c r="L138" s="57" t="e">
        <f t="shared" si="67"/>
        <v>#DIV/0!</v>
      </c>
      <c r="M138" s="57" t="e">
        <f t="shared" si="68"/>
        <v>#DIV/0!</v>
      </c>
      <c r="N138" s="57" t="e">
        <f t="shared" si="69"/>
        <v>#DIV/0!</v>
      </c>
      <c r="O138" s="58" t="e">
        <f>Links!B138</f>
        <v>#DIV/0!</v>
      </c>
      <c r="P138" s="58" t="e">
        <f>Links!C138+'On-Ramps'!AC138</f>
        <v>#DIV/0!</v>
      </c>
      <c r="Q138" s="58" t="e">
        <f>Links!D138</f>
        <v>#DIV/0!</v>
      </c>
      <c r="R138" s="58" t="e">
        <f>Links!E138+'On-Ramps'!AD138</f>
        <v>#DIV/0!</v>
      </c>
      <c r="S138" s="58" t="e">
        <f>Links!F138+'On-Ramps'!AE138</f>
        <v>#DIV/0!</v>
      </c>
      <c r="T138" s="58" t="e">
        <f>Links!I138+'On-Ramps'!AF138</f>
        <v>#DIV/0!</v>
      </c>
      <c r="U138" s="58" t="e">
        <f>Links!J138+'On-Ramps'!AG138</f>
        <v>#DIV/0!</v>
      </c>
      <c r="V138" s="58" t="e">
        <f>Links!L138+'On-Ramps'!AH138</f>
        <v>#DIV/0!</v>
      </c>
      <c r="W138" s="58" t="e">
        <f>Links!M138+'On-Ramps'!AI138</f>
        <v>#DIV/0!</v>
      </c>
      <c r="X138" s="58" t="e">
        <f>Links!P138+'On-Ramps'!AJ138</f>
        <v>#DIV/0!</v>
      </c>
      <c r="Y138" s="58" t="e">
        <f>Links!Q138</f>
        <v>#DIV/0!</v>
      </c>
      <c r="Z138" s="58" t="e">
        <f>Links!R138+'On-Ramps'!AK138</f>
        <v>#DIV/0!</v>
      </c>
      <c r="AA138" s="58" t="e">
        <f>Links!S138</f>
        <v>#DIV/0!</v>
      </c>
      <c r="AB138" s="57" t="e">
        <f t="shared" si="70"/>
        <v>#DIV/0!</v>
      </c>
      <c r="AC138" s="63"/>
      <c r="AD138" s="57" t="e">
        <f t="shared" si="71"/>
        <v>#DIV/0!</v>
      </c>
      <c r="AE138" s="63"/>
      <c r="AF138" s="57" t="e">
        <f t="shared" si="72"/>
        <v>#DIV/0!</v>
      </c>
      <c r="AG138" s="57" t="e">
        <f t="shared" si="73"/>
        <v>#DIV/0!</v>
      </c>
      <c r="AH138" s="57" t="e">
        <f t="shared" si="74"/>
        <v>#DIV/0!</v>
      </c>
      <c r="AI138" s="57" t="e">
        <f t="shared" si="75"/>
        <v>#DIV/0!</v>
      </c>
      <c r="AJ138" s="57" t="e">
        <f t="shared" si="76"/>
        <v>#DIV/0!</v>
      </c>
      <c r="AK138" s="57" t="e">
        <f t="shared" si="77"/>
        <v>#DIV/0!</v>
      </c>
      <c r="AL138" s="57" t="e">
        <f t="shared" si="78"/>
        <v>#DIV/0!</v>
      </c>
      <c r="AM138" s="63"/>
      <c r="AN138" s="57" t="e">
        <f t="shared" si="53"/>
        <v>#DIV/0!</v>
      </c>
      <c r="AO138" s="58" t="e">
        <f t="shared" si="56"/>
        <v>#DIV/0!</v>
      </c>
      <c r="AP138" s="63"/>
      <c r="AQ138" s="58" t="e">
        <f t="shared" si="55"/>
        <v>#DIV/0!</v>
      </c>
      <c r="AR138" s="63"/>
      <c r="AS138" s="58" t="e">
        <f t="shared" si="55"/>
        <v>#DIV/0!</v>
      </c>
      <c r="AT138" s="58" t="e">
        <f t="shared" si="55"/>
        <v>#DIV/0!</v>
      </c>
      <c r="AU138" s="58" t="e">
        <f t="shared" si="55"/>
        <v>#DIV/0!</v>
      </c>
      <c r="AV138" s="58" t="e">
        <f t="shared" si="55"/>
        <v>#DIV/0!</v>
      </c>
      <c r="AW138" s="58" t="e">
        <f t="shared" si="55"/>
        <v>#DIV/0!</v>
      </c>
      <c r="AX138" s="58" t="e">
        <f t="shared" si="55"/>
        <v>#DIV/0!</v>
      </c>
      <c r="AY138" s="58" t="e">
        <f t="shared" si="55"/>
        <v>#DIV/0!</v>
      </c>
      <c r="AZ138" s="63"/>
      <c r="BA138" s="58" t="e">
        <f t="shared" si="55"/>
        <v>#DIV/0!</v>
      </c>
      <c r="BB138" s="63"/>
      <c r="BC138" s="57" t="e">
        <f>(Links!C138*Links!AQ138+'On-Ramps'!AC138*'On-Ramps'!CE138)/('On-Ramps'!AC138+Links!C138)</f>
        <v>#DIV/0!</v>
      </c>
      <c r="BD138" s="63"/>
      <c r="BE138" s="57" t="e">
        <f>(Links!E138*Links!AS138+'On-Ramps'!AD138*'On-Ramps'!CF137)/('On-Ramps'!AD138+Links!E138)</f>
        <v>#DIV/0!</v>
      </c>
      <c r="BF138" s="57" t="e">
        <f>(Links!F138*Links!AT138+'On-Ramps'!AE138*'On-Ramps'!CG138)/('On-Ramps'!AE138+Links!F138)</f>
        <v>#DIV/0!</v>
      </c>
      <c r="BG138" s="57" t="e">
        <f>(Links!I138*Links!AW138+'On-Ramps'!AF138*'On-Ramps'!CH138)/('On-Ramps'!AF138+Links!I138)</f>
        <v>#DIV/0!</v>
      </c>
      <c r="BH138" s="57" t="e">
        <f>(#REF!*#REF!+'On-Ramps'!AG138*'On-Ramps'!CI138)/('On-Ramps'!AG138+#REF!)</f>
        <v>#REF!</v>
      </c>
      <c r="BI138" s="57" t="e">
        <f>(Links!L138*Links!AZ138+'On-Ramps'!AH138*'On-Ramps'!CJ138)/('On-Ramps'!AH138+Links!L138)</f>
        <v>#DIV/0!</v>
      </c>
      <c r="BJ138" s="57" t="e">
        <f>(Links!BA138*Links!M138+'On-Ramps'!AI138*'On-Ramps'!CK138)/('On-Ramps'!AI138+Links!M138)</f>
        <v>#DIV/0!</v>
      </c>
      <c r="BK138" s="57" t="e">
        <f>(Links!S138*Links!BG138+'On-Ramps'!AJ138*'On-Ramps'!CL138)/('On-Ramps'!AJ138+Links!S138)</f>
        <v>#DIV/0!</v>
      </c>
      <c r="BL138" s="63"/>
      <c r="BM138" s="57" t="e">
        <f>(Links!S138*Links!BG138+'On-Ramps'!AL138*'On-Ramps'!CM138)/(Links!S138+'On-Ramps'!AL138)</f>
        <v>#DIV/0!</v>
      </c>
      <c r="BN138" s="63"/>
      <c r="BO138" s="58" t="e">
        <f>(Links!W138^2+'Off-Ramp'!L138^2)/(Links!W138+'Off-Ramp'!L138)</f>
        <v>#DIV/0!</v>
      </c>
      <c r="BP138" s="63"/>
      <c r="BQ138" s="58" t="e">
        <f>(Links!Y138^2+'Off-Ramp'!C138^2)/(Links!Y138+'Off-Ramp'!C138)</f>
        <v>#DIV/0!</v>
      </c>
      <c r="BR138" s="63"/>
      <c r="BS138" s="58" t="e">
        <f>(Links!AA138^2+'Off-Ramp'!N138^2)/(Links!AA138+'Off-Ramp'!N138)</f>
        <v>#DIV/0!</v>
      </c>
      <c r="BT138" s="58" t="e">
        <f>(Links!AD138^2+'Off-Ramp'!O138^2)/(Links!AD138+'Off-Ramp'!O138)</f>
        <v>#DIV/0!</v>
      </c>
      <c r="BU138" s="58" t="e">
        <f>(Links!AE138^2+'Off-Ramp'!V138^2+'Off-Ramp'!W138^2+'Off-Ramp'!X138^2)/(Links!AE138+'Off-Ramp'!V138+'Off-Ramp'!W138+'Off-Ramp'!X138)</f>
        <v>#DIV/0!</v>
      </c>
      <c r="BV138" s="58" t="e">
        <f>(Links!AG138^2+'Off-Ramp'!Y138^2+'Off-Ramp'!Z138^2+'Off-Ramp'!AA138^2)/(Links!AG138+'Off-Ramp'!Y138+'Off-Ramp'!Z138+'Off-Ramp'!AA138)</f>
        <v>#DIV/0!</v>
      </c>
      <c r="BW138" s="58" t="e">
        <f>(Links!AH138^2+'Off-Ramp'!R138^2)/(Links!AH138+'Off-Ramp'!R138)</f>
        <v>#DIV/0!</v>
      </c>
      <c r="BX138" s="58" t="e">
        <f>(Links!AK138^2+'Off-Ramp'!S138^2)/(Links!AK138+'Off-Ramp'!S138)</f>
        <v>#DIV/0!</v>
      </c>
      <c r="BY138" s="58" t="e">
        <f>(Links!AL138^2+'Off-Ramp'!T138^2)/(Links!AL138+'Off-Ramp'!T138)</f>
        <v>#DIV/0!</v>
      </c>
      <c r="BZ138" s="63"/>
      <c r="CA138" s="58" t="e">
        <f>(Links!AN138^2+'Off-Ramp'!U138^2)/(Links!AN138+'Off-Ramp'!U138)</f>
        <v>#DIV/0!</v>
      </c>
    </row>
    <row r="139" spans="1:79" x14ac:dyDescent="0.15">
      <c r="A139" s="56">
        <v>137</v>
      </c>
      <c r="B139" s="57" t="e">
        <f t="shared" si="57"/>
        <v>#DIV/0!</v>
      </c>
      <c r="C139" s="57" t="e">
        <f t="shared" si="58"/>
        <v>#DIV/0!</v>
      </c>
      <c r="D139" s="57" t="e">
        <f t="shared" si="59"/>
        <v>#DIV/0!</v>
      </c>
      <c r="E139" s="57" t="e">
        <f t="shared" si="60"/>
        <v>#DIV/0!</v>
      </c>
      <c r="F139" s="57" t="e">
        <f t="shared" si="61"/>
        <v>#DIV/0!</v>
      </c>
      <c r="G139" s="57" t="e">
        <f t="shared" si="62"/>
        <v>#DIV/0!</v>
      </c>
      <c r="H139" s="57" t="e">
        <f t="shared" si="63"/>
        <v>#DIV/0!</v>
      </c>
      <c r="I139" s="57" t="e">
        <f t="shared" si="64"/>
        <v>#DIV/0!</v>
      </c>
      <c r="J139" s="57" t="e">
        <f t="shared" si="65"/>
        <v>#DIV/0!</v>
      </c>
      <c r="K139" s="57" t="e">
        <f t="shared" si="66"/>
        <v>#DIV/0!</v>
      </c>
      <c r="L139" s="57" t="e">
        <f t="shared" si="67"/>
        <v>#DIV/0!</v>
      </c>
      <c r="M139" s="57" t="e">
        <f t="shared" si="68"/>
        <v>#DIV/0!</v>
      </c>
      <c r="N139" s="57" t="e">
        <f t="shared" si="69"/>
        <v>#DIV/0!</v>
      </c>
      <c r="O139" s="58" t="e">
        <f>Links!B139</f>
        <v>#DIV/0!</v>
      </c>
      <c r="P139" s="58" t="e">
        <f>Links!C139+'On-Ramps'!AC139</f>
        <v>#DIV/0!</v>
      </c>
      <c r="Q139" s="58" t="e">
        <f>Links!D139</f>
        <v>#DIV/0!</v>
      </c>
      <c r="R139" s="58" t="e">
        <f>Links!E139+'On-Ramps'!AD139</f>
        <v>#DIV/0!</v>
      </c>
      <c r="S139" s="58" t="e">
        <f>Links!F139+'On-Ramps'!AE139</f>
        <v>#DIV/0!</v>
      </c>
      <c r="T139" s="58" t="e">
        <f>Links!I139+'On-Ramps'!AF139</f>
        <v>#DIV/0!</v>
      </c>
      <c r="U139" s="58" t="e">
        <f>Links!J139+'On-Ramps'!AG139</f>
        <v>#DIV/0!</v>
      </c>
      <c r="V139" s="58" t="e">
        <f>Links!L139+'On-Ramps'!AH139</f>
        <v>#DIV/0!</v>
      </c>
      <c r="W139" s="58" t="e">
        <f>Links!M139+'On-Ramps'!AI139</f>
        <v>#DIV/0!</v>
      </c>
      <c r="X139" s="58" t="e">
        <f>Links!P139+'On-Ramps'!AJ139</f>
        <v>#DIV/0!</v>
      </c>
      <c r="Y139" s="58" t="e">
        <f>Links!Q139</f>
        <v>#DIV/0!</v>
      </c>
      <c r="Z139" s="58" t="e">
        <f>Links!R139+'On-Ramps'!AK139</f>
        <v>#DIV/0!</v>
      </c>
      <c r="AA139" s="58" t="e">
        <f>Links!S139</f>
        <v>#DIV/0!</v>
      </c>
      <c r="AB139" s="57" t="e">
        <f t="shared" si="70"/>
        <v>#DIV/0!</v>
      </c>
      <c r="AC139" s="63"/>
      <c r="AD139" s="57" t="e">
        <f t="shared" si="71"/>
        <v>#DIV/0!</v>
      </c>
      <c r="AE139" s="63"/>
      <c r="AF139" s="57" t="e">
        <f t="shared" si="72"/>
        <v>#DIV/0!</v>
      </c>
      <c r="AG139" s="57" t="e">
        <f t="shared" si="73"/>
        <v>#DIV/0!</v>
      </c>
      <c r="AH139" s="57" t="e">
        <f t="shared" si="74"/>
        <v>#DIV/0!</v>
      </c>
      <c r="AI139" s="57" t="e">
        <f t="shared" si="75"/>
        <v>#DIV/0!</v>
      </c>
      <c r="AJ139" s="57" t="e">
        <f t="shared" si="76"/>
        <v>#DIV/0!</v>
      </c>
      <c r="AK139" s="57" t="e">
        <f t="shared" si="77"/>
        <v>#DIV/0!</v>
      </c>
      <c r="AL139" s="57" t="e">
        <f t="shared" si="78"/>
        <v>#DIV/0!</v>
      </c>
      <c r="AM139" s="63"/>
      <c r="AN139" s="57" t="e">
        <f t="shared" si="53"/>
        <v>#DIV/0!</v>
      </c>
      <c r="AO139" s="58" t="e">
        <f t="shared" si="56"/>
        <v>#DIV/0!</v>
      </c>
      <c r="AP139" s="63"/>
      <c r="AQ139" s="58" t="e">
        <f t="shared" si="55"/>
        <v>#DIV/0!</v>
      </c>
      <c r="AR139" s="63"/>
      <c r="AS139" s="58" t="e">
        <f t="shared" si="55"/>
        <v>#DIV/0!</v>
      </c>
      <c r="AT139" s="58" t="e">
        <f t="shared" si="55"/>
        <v>#DIV/0!</v>
      </c>
      <c r="AU139" s="58" t="e">
        <f t="shared" si="55"/>
        <v>#DIV/0!</v>
      </c>
      <c r="AV139" s="58" t="e">
        <f t="shared" si="55"/>
        <v>#DIV/0!</v>
      </c>
      <c r="AW139" s="58" t="e">
        <f t="shared" si="55"/>
        <v>#DIV/0!</v>
      </c>
      <c r="AX139" s="58" t="e">
        <f t="shared" si="55"/>
        <v>#DIV/0!</v>
      </c>
      <c r="AY139" s="58" t="e">
        <f t="shared" si="55"/>
        <v>#DIV/0!</v>
      </c>
      <c r="AZ139" s="63"/>
      <c r="BA139" s="58" t="e">
        <f t="shared" si="55"/>
        <v>#DIV/0!</v>
      </c>
      <c r="BB139" s="63"/>
      <c r="BC139" s="57" t="e">
        <f>(Links!C139*Links!AQ139+'On-Ramps'!AC139*'On-Ramps'!CE139)/('On-Ramps'!AC139+Links!C139)</f>
        <v>#DIV/0!</v>
      </c>
      <c r="BD139" s="63"/>
      <c r="BE139" s="57" t="e">
        <f>(Links!E139*Links!AS139+'On-Ramps'!AD139*'On-Ramps'!CF138)/('On-Ramps'!AD139+Links!E139)</f>
        <v>#DIV/0!</v>
      </c>
      <c r="BF139" s="57" t="e">
        <f>(Links!F139*Links!AT139+'On-Ramps'!AE139*'On-Ramps'!CG139)/('On-Ramps'!AE139+Links!F139)</f>
        <v>#DIV/0!</v>
      </c>
      <c r="BG139" s="57" t="e">
        <f>(Links!I139*Links!AW139+'On-Ramps'!AF139*'On-Ramps'!CH139)/('On-Ramps'!AF139+Links!I139)</f>
        <v>#DIV/0!</v>
      </c>
      <c r="BH139" s="57" t="e">
        <f>(#REF!*#REF!+'On-Ramps'!AG139*'On-Ramps'!CI139)/('On-Ramps'!AG139+#REF!)</f>
        <v>#REF!</v>
      </c>
      <c r="BI139" s="57" t="e">
        <f>(Links!L139*Links!AZ139+'On-Ramps'!AH139*'On-Ramps'!CJ139)/('On-Ramps'!AH139+Links!L139)</f>
        <v>#DIV/0!</v>
      </c>
      <c r="BJ139" s="57" t="e">
        <f>(Links!BA139*Links!M139+'On-Ramps'!AI139*'On-Ramps'!CK139)/('On-Ramps'!AI139+Links!M139)</f>
        <v>#DIV/0!</v>
      </c>
      <c r="BK139" s="57" t="e">
        <f>(Links!S139*Links!BG139+'On-Ramps'!AJ139*'On-Ramps'!CL139)/('On-Ramps'!AJ139+Links!S139)</f>
        <v>#DIV/0!</v>
      </c>
      <c r="BL139" s="63"/>
      <c r="BM139" s="57" t="e">
        <f>(Links!S139*Links!BG139+'On-Ramps'!AL139*'On-Ramps'!CM139)/(Links!S139+'On-Ramps'!AL139)</f>
        <v>#DIV/0!</v>
      </c>
      <c r="BN139" s="63"/>
      <c r="BO139" s="58" t="e">
        <f>(Links!W139^2+'Off-Ramp'!L139^2)/(Links!W139+'Off-Ramp'!L139)</f>
        <v>#DIV/0!</v>
      </c>
      <c r="BP139" s="63"/>
      <c r="BQ139" s="58" t="e">
        <f>(Links!Y139^2+'Off-Ramp'!C139^2)/(Links!Y139+'Off-Ramp'!C139)</f>
        <v>#DIV/0!</v>
      </c>
      <c r="BR139" s="63"/>
      <c r="BS139" s="58" t="e">
        <f>(Links!AA139^2+'Off-Ramp'!N139^2)/(Links!AA139+'Off-Ramp'!N139)</f>
        <v>#DIV/0!</v>
      </c>
      <c r="BT139" s="58" t="e">
        <f>(Links!AD139^2+'Off-Ramp'!O139^2)/(Links!AD139+'Off-Ramp'!O139)</f>
        <v>#DIV/0!</v>
      </c>
      <c r="BU139" s="58" t="e">
        <f>(Links!AE139^2+'Off-Ramp'!V139^2+'Off-Ramp'!W139^2+'Off-Ramp'!X139^2)/(Links!AE139+'Off-Ramp'!V139+'Off-Ramp'!W139+'Off-Ramp'!X139)</f>
        <v>#DIV/0!</v>
      </c>
      <c r="BV139" s="58" t="e">
        <f>(Links!AG139^2+'Off-Ramp'!Y139^2+'Off-Ramp'!Z139^2+'Off-Ramp'!AA139^2)/(Links!AG139+'Off-Ramp'!Y139+'Off-Ramp'!Z139+'Off-Ramp'!AA139)</f>
        <v>#DIV/0!</v>
      </c>
      <c r="BW139" s="58" t="e">
        <f>(Links!AH139^2+'Off-Ramp'!R139^2)/(Links!AH139+'Off-Ramp'!R139)</f>
        <v>#DIV/0!</v>
      </c>
      <c r="BX139" s="58" t="e">
        <f>(Links!AK139^2+'Off-Ramp'!S139^2)/(Links!AK139+'Off-Ramp'!S139)</f>
        <v>#DIV/0!</v>
      </c>
      <c r="BY139" s="58" t="e">
        <f>(Links!AL139^2+'Off-Ramp'!T139^2)/(Links!AL139+'Off-Ramp'!T139)</f>
        <v>#DIV/0!</v>
      </c>
      <c r="BZ139" s="63"/>
      <c r="CA139" s="58" t="e">
        <f>(Links!AN139^2+'Off-Ramp'!U139^2)/(Links!AN139+'Off-Ramp'!U139)</f>
        <v>#DIV/0!</v>
      </c>
    </row>
    <row r="140" spans="1:79" x14ac:dyDescent="0.15">
      <c r="A140" s="56">
        <v>138</v>
      </c>
      <c r="B140" s="57" t="e">
        <f t="shared" si="57"/>
        <v>#DIV/0!</v>
      </c>
      <c r="C140" s="57" t="e">
        <f t="shared" si="58"/>
        <v>#DIV/0!</v>
      </c>
      <c r="D140" s="57" t="e">
        <f t="shared" si="59"/>
        <v>#DIV/0!</v>
      </c>
      <c r="E140" s="57" t="e">
        <f t="shared" si="60"/>
        <v>#DIV/0!</v>
      </c>
      <c r="F140" s="57" t="e">
        <f t="shared" si="61"/>
        <v>#DIV/0!</v>
      </c>
      <c r="G140" s="57" t="e">
        <f t="shared" si="62"/>
        <v>#DIV/0!</v>
      </c>
      <c r="H140" s="57" t="e">
        <f t="shared" si="63"/>
        <v>#DIV/0!</v>
      </c>
      <c r="I140" s="57" t="e">
        <f t="shared" si="64"/>
        <v>#DIV/0!</v>
      </c>
      <c r="J140" s="57" t="e">
        <f t="shared" si="65"/>
        <v>#DIV/0!</v>
      </c>
      <c r="K140" s="57" t="e">
        <f t="shared" si="66"/>
        <v>#DIV/0!</v>
      </c>
      <c r="L140" s="57" t="e">
        <f t="shared" si="67"/>
        <v>#DIV/0!</v>
      </c>
      <c r="M140" s="57" t="e">
        <f t="shared" si="68"/>
        <v>#DIV/0!</v>
      </c>
      <c r="N140" s="57" t="e">
        <f t="shared" si="69"/>
        <v>#DIV/0!</v>
      </c>
      <c r="O140" s="58" t="e">
        <f>Links!B140</f>
        <v>#DIV/0!</v>
      </c>
      <c r="P140" s="58" t="e">
        <f>Links!C140+'On-Ramps'!AC140</f>
        <v>#DIV/0!</v>
      </c>
      <c r="Q140" s="58" t="e">
        <f>Links!D140</f>
        <v>#DIV/0!</v>
      </c>
      <c r="R140" s="58" t="e">
        <f>Links!E140+'On-Ramps'!AD140</f>
        <v>#DIV/0!</v>
      </c>
      <c r="S140" s="58" t="e">
        <f>Links!F140+'On-Ramps'!AE140</f>
        <v>#DIV/0!</v>
      </c>
      <c r="T140" s="58" t="e">
        <f>Links!I140+'On-Ramps'!AF140</f>
        <v>#DIV/0!</v>
      </c>
      <c r="U140" s="58" t="e">
        <f>Links!J140+'On-Ramps'!AG140</f>
        <v>#DIV/0!</v>
      </c>
      <c r="V140" s="58" t="e">
        <f>Links!L140+'On-Ramps'!AH140</f>
        <v>#DIV/0!</v>
      </c>
      <c r="W140" s="58" t="e">
        <f>Links!M140+'On-Ramps'!AI140</f>
        <v>#DIV/0!</v>
      </c>
      <c r="X140" s="58" t="e">
        <f>Links!P140+'On-Ramps'!AJ140</f>
        <v>#DIV/0!</v>
      </c>
      <c r="Y140" s="58" t="e">
        <f>Links!Q140</f>
        <v>#DIV/0!</v>
      </c>
      <c r="Z140" s="58" t="e">
        <f>Links!R140+'On-Ramps'!AK140</f>
        <v>#DIV/0!</v>
      </c>
      <c r="AA140" s="58" t="e">
        <f>Links!S140</f>
        <v>#DIV/0!</v>
      </c>
      <c r="AB140" s="57" t="e">
        <f t="shared" si="70"/>
        <v>#DIV/0!</v>
      </c>
      <c r="AC140" s="63"/>
      <c r="AD140" s="57" t="e">
        <f t="shared" si="71"/>
        <v>#DIV/0!</v>
      </c>
      <c r="AE140" s="63"/>
      <c r="AF140" s="57" t="e">
        <f t="shared" si="72"/>
        <v>#DIV/0!</v>
      </c>
      <c r="AG140" s="57" t="e">
        <f t="shared" si="73"/>
        <v>#DIV/0!</v>
      </c>
      <c r="AH140" s="57" t="e">
        <f t="shared" si="74"/>
        <v>#DIV/0!</v>
      </c>
      <c r="AI140" s="57" t="e">
        <f t="shared" si="75"/>
        <v>#DIV/0!</v>
      </c>
      <c r="AJ140" s="57" t="e">
        <f t="shared" si="76"/>
        <v>#DIV/0!</v>
      </c>
      <c r="AK140" s="57" t="e">
        <f t="shared" si="77"/>
        <v>#DIV/0!</v>
      </c>
      <c r="AL140" s="57" t="e">
        <f t="shared" si="78"/>
        <v>#DIV/0!</v>
      </c>
      <c r="AM140" s="63"/>
      <c r="AN140" s="57" t="e">
        <f t="shared" si="53"/>
        <v>#DIV/0!</v>
      </c>
      <c r="AO140" s="58" t="e">
        <f t="shared" si="56"/>
        <v>#DIV/0!</v>
      </c>
      <c r="AP140" s="63"/>
      <c r="AQ140" s="58" t="e">
        <f t="shared" si="55"/>
        <v>#DIV/0!</v>
      </c>
      <c r="AR140" s="63"/>
      <c r="AS140" s="58" t="e">
        <f t="shared" si="55"/>
        <v>#DIV/0!</v>
      </c>
      <c r="AT140" s="58" t="e">
        <f t="shared" si="55"/>
        <v>#DIV/0!</v>
      </c>
      <c r="AU140" s="58" t="e">
        <f t="shared" si="55"/>
        <v>#DIV/0!</v>
      </c>
      <c r="AV140" s="58" t="e">
        <f t="shared" si="55"/>
        <v>#DIV/0!</v>
      </c>
      <c r="AW140" s="58" t="e">
        <f t="shared" si="55"/>
        <v>#DIV/0!</v>
      </c>
      <c r="AX140" s="58" t="e">
        <f t="shared" si="55"/>
        <v>#DIV/0!</v>
      </c>
      <c r="AY140" s="58" t="e">
        <f t="shared" si="55"/>
        <v>#DIV/0!</v>
      </c>
      <c r="AZ140" s="63"/>
      <c r="BA140" s="58" t="e">
        <f t="shared" si="55"/>
        <v>#DIV/0!</v>
      </c>
      <c r="BB140" s="63"/>
      <c r="BC140" s="57" t="e">
        <f>(Links!C140*Links!AQ140+'On-Ramps'!AC140*'On-Ramps'!CE140)/('On-Ramps'!AC140+Links!C140)</f>
        <v>#DIV/0!</v>
      </c>
      <c r="BD140" s="63"/>
      <c r="BE140" s="57" t="e">
        <f>(Links!E140*Links!AS140+'On-Ramps'!AD140*'On-Ramps'!CF139)/('On-Ramps'!AD140+Links!E140)</f>
        <v>#DIV/0!</v>
      </c>
      <c r="BF140" s="57" t="e">
        <f>(Links!F140*Links!AT140+'On-Ramps'!AE140*'On-Ramps'!CG140)/('On-Ramps'!AE140+Links!F140)</f>
        <v>#DIV/0!</v>
      </c>
      <c r="BG140" s="57" t="e">
        <f>(Links!I140*Links!AW140+'On-Ramps'!AF140*'On-Ramps'!CH140)/('On-Ramps'!AF140+Links!I140)</f>
        <v>#DIV/0!</v>
      </c>
      <c r="BH140" s="57" t="e">
        <f>(#REF!*#REF!+'On-Ramps'!AG140*'On-Ramps'!CI140)/('On-Ramps'!AG140+#REF!)</f>
        <v>#REF!</v>
      </c>
      <c r="BI140" s="57" t="e">
        <f>(Links!L140*Links!AZ140+'On-Ramps'!AH140*'On-Ramps'!CJ140)/('On-Ramps'!AH140+Links!L140)</f>
        <v>#DIV/0!</v>
      </c>
      <c r="BJ140" s="57" t="e">
        <f>(Links!BA140*Links!M140+'On-Ramps'!AI140*'On-Ramps'!CK140)/('On-Ramps'!AI140+Links!M140)</f>
        <v>#DIV/0!</v>
      </c>
      <c r="BK140" s="57" t="e">
        <f>(Links!S140*Links!BG140+'On-Ramps'!AJ140*'On-Ramps'!CL140)/('On-Ramps'!AJ140+Links!S140)</f>
        <v>#DIV/0!</v>
      </c>
      <c r="BL140" s="63"/>
      <c r="BM140" s="57" t="e">
        <f>(Links!S140*Links!BG140+'On-Ramps'!AL140*'On-Ramps'!CM140)/(Links!S140+'On-Ramps'!AL140)</f>
        <v>#DIV/0!</v>
      </c>
      <c r="BN140" s="63"/>
      <c r="BO140" s="58" t="e">
        <f>(Links!W140^2+'Off-Ramp'!L140^2)/(Links!W140+'Off-Ramp'!L140)</f>
        <v>#DIV/0!</v>
      </c>
      <c r="BP140" s="63"/>
      <c r="BQ140" s="58" t="e">
        <f>(Links!Y140^2+'Off-Ramp'!C140^2)/(Links!Y140+'Off-Ramp'!C140)</f>
        <v>#DIV/0!</v>
      </c>
      <c r="BR140" s="63"/>
      <c r="BS140" s="58" t="e">
        <f>(Links!AA140^2+'Off-Ramp'!N140^2)/(Links!AA140+'Off-Ramp'!N140)</f>
        <v>#DIV/0!</v>
      </c>
      <c r="BT140" s="58" t="e">
        <f>(Links!AD140^2+'Off-Ramp'!O140^2)/(Links!AD140+'Off-Ramp'!O140)</f>
        <v>#DIV/0!</v>
      </c>
      <c r="BU140" s="58" t="e">
        <f>(Links!AE140^2+'Off-Ramp'!V140^2+'Off-Ramp'!W140^2+'Off-Ramp'!X140^2)/(Links!AE140+'Off-Ramp'!V140+'Off-Ramp'!W140+'Off-Ramp'!X140)</f>
        <v>#DIV/0!</v>
      </c>
      <c r="BV140" s="58" t="e">
        <f>(Links!AG140^2+'Off-Ramp'!Y140^2+'Off-Ramp'!Z140^2+'Off-Ramp'!AA140^2)/(Links!AG140+'Off-Ramp'!Y140+'Off-Ramp'!Z140+'Off-Ramp'!AA140)</f>
        <v>#DIV/0!</v>
      </c>
      <c r="BW140" s="58" t="e">
        <f>(Links!AH140^2+'Off-Ramp'!R140^2)/(Links!AH140+'Off-Ramp'!R140)</f>
        <v>#DIV/0!</v>
      </c>
      <c r="BX140" s="58" t="e">
        <f>(Links!AK140^2+'Off-Ramp'!S140^2)/(Links!AK140+'Off-Ramp'!S140)</f>
        <v>#DIV/0!</v>
      </c>
      <c r="BY140" s="58" t="e">
        <f>(Links!AL140^2+'Off-Ramp'!T140^2)/(Links!AL140+'Off-Ramp'!T140)</f>
        <v>#DIV/0!</v>
      </c>
      <c r="BZ140" s="63"/>
      <c r="CA140" s="58" t="e">
        <f>(Links!AN140^2+'Off-Ramp'!U140^2)/(Links!AN140+'Off-Ramp'!U140)</f>
        <v>#DIV/0!</v>
      </c>
    </row>
    <row r="141" spans="1:79" x14ac:dyDescent="0.15">
      <c r="A141" s="56">
        <v>139</v>
      </c>
      <c r="B141" s="57" t="e">
        <f t="shared" si="57"/>
        <v>#DIV/0!</v>
      </c>
      <c r="C141" s="57" t="e">
        <f t="shared" si="58"/>
        <v>#DIV/0!</v>
      </c>
      <c r="D141" s="57" t="e">
        <f t="shared" si="59"/>
        <v>#DIV/0!</v>
      </c>
      <c r="E141" s="57" t="e">
        <f t="shared" si="60"/>
        <v>#DIV/0!</v>
      </c>
      <c r="F141" s="57" t="e">
        <f t="shared" si="61"/>
        <v>#DIV/0!</v>
      </c>
      <c r="G141" s="57" t="e">
        <f t="shared" si="62"/>
        <v>#DIV/0!</v>
      </c>
      <c r="H141" s="57" t="e">
        <f t="shared" si="63"/>
        <v>#DIV/0!</v>
      </c>
      <c r="I141" s="57" t="e">
        <f t="shared" si="64"/>
        <v>#DIV/0!</v>
      </c>
      <c r="J141" s="57" t="e">
        <f t="shared" si="65"/>
        <v>#DIV/0!</v>
      </c>
      <c r="K141" s="57" t="e">
        <f t="shared" si="66"/>
        <v>#DIV/0!</v>
      </c>
      <c r="L141" s="57" t="e">
        <f t="shared" si="67"/>
        <v>#DIV/0!</v>
      </c>
      <c r="M141" s="57" t="e">
        <f t="shared" si="68"/>
        <v>#DIV/0!</v>
      </c>
      <c r="N141" s="57" t="e">
        <f t="shared" si="69"/>
        <v>#DIV/0!</v>
      </c>
      <c r="O141" s="58" t="e">
        <f>Links!B141</f>
        <v>#DIV/0!</v>
      </c>
      <c r="P141" s="58" t="e">
        <f>Links!C141+'On-Ramps'!AC141</f>
        <v>#DIV/0!</v>
      </c>
      <c r="Q141" s="58" t="e">
        <f>Links!D141</f>
        <v>#DIV/0!</v>
      </c>
      <c r="R141" s="58" t="e">
        <f>Links!E141+'On-Ramps'!AD141</f>
        <v>#DIV/0!</v>
      </c>
      <c r="S141" s="58" t="e">
        <f>Links!F141+'On-Ramps'!AE141</f>
        <v>#DIV/0!</v>
      </c>
      <c r="T141" s="58" t="e">
        <f>Links!I141+'On-Ramps'!AF141</f>
        <v>#DIV/0!</v>
      </c>
      <c r="U141" s="58" t="e">
        <f>Links!J141+'On-Ramps'!AG141</f>
        <v>#DIV/0!</v>
      </c>
      <c r="V141" s="58" t="e">
        <f>Links!L141+'On-Ramps'!AH141</f>
        <v>#DIV/0!</v>
      </c>
      <c r="W141" s="58" t="e">
        <f>Links!M141+'On-Ramps'!AI141</f>
        <v>#DIV/0!</v>
      </c>
      <c r="X141" s="58" t="e">
        <f>Links!P141+'On-Ramps'!AJ141</f>
        <v>#DIV/0!</v>
      </c>
      <c r="Y141" s="58" t="e">
        <f>Links!Q141</f>
        <v>#DIV/0!</v>
      </c>
      <c r="Z141" s="58" t="e">
        <f>Links!R141+'On-Ramps'!AK141</f>
        <v>#DIV/0!</v>
      </c>
      <c r="AA141" s="58" t="e">
        <f>Links!S141</f>
        <v>#DIV/0!</v>
      </c>
      <c r="AB141" s="57" t="e">
        <f t="shared" si="70"/>
        <v>#DIV/0!</v>
      </c>
      <c r="AC141" s="63"/>
      <c r="AD141" s="57" t="e">
        <f t="shared" si="71"/>
        <v>#DIV/0!</v>
      </c>
      <c r="AE141" s="63"/>
      <c r="AF141" s="57" t="e">
        <f t="shared" si="72"/>
        <v>#DIV/0!</v>
      </c>
      <c r="AG141" s="57" t="e">
        <f t="shared" si="73"/>
        <v>#DIV/0!</v>
      </c>
      <c r="AH141" s="57" t="e">
        <f t="shared" si="74"/>
        <v>#DIV/0!</v>
      </c>
      <c r="AI141" s="57" t="e">
        <f t="shared" si="75"/>
        <v>#DIV/0!</v>
      </c>
      <c r="AJ141" s="57" t="e">
        <f t="shared" si="76"/>
        <v>#DIV/0!</v>
      </c>
      <c r="AK141" s="57" t="e">
        <f t="shared" si="77"/>
        <v>#DIV/0!</v>
      </c>
      <c r="AL141" s="57" t="e">
        <f t="shared" si="78"/>
        <v>#DIV/0!</v>
      </c>
      <c r="AM141" s="63"/>
      <c r="AN141" s="57" t="e">
        <f t="shared" si="53"/>
        <v>#DIV/0!</v>
      </c>
      <c r="AO141" s="58" t="e">
        <f t="shared" si="56"/>
        <v>#DIV/0!</v>
      </c>
      <c r="AP141" s="63"/>
      <c r="AQ141" s="58" t="e">
        <f t="shared" si="55"/>
        <v>#DIV/0!</v>
      </c>
      <c r="AR141" s="63"/>
      <c r="AS141" s="58" t="e">
        <f t="shared" si="55"/>
        <v>#DIV/0!</v>
      </c>
      <c r="AT141" s="58" t="e">
        <f t="shared" si="55"/>
        <v>#DIV/0!</v>
      </c>
      <c r="AU141" s="58" t="e">
        <f t="shared" si="55"/>
        <v>#DIV/0!</v>
      </c>
      <c r="AV141" s="58" t="e">
        <f t="shared" si="55"/>
        <v>#DIV/0!</v>
      </c>
      <c r="AW141" s="58" t="e">
        <f t="shared" ref="AQ141:BA162" si="79">AW$3</f>
        <v>#DIV/0!</v>
      </c>
      <c r="AX141" s="58" t="e">
        <f t="shared" si="79"/>
        <v>#DIV/0!</v>
      </c>
      <c r="AY141" s="58" t="e">
        <f t="shared" si="79"/>
        <v>#DIV/0!</v>
      </c>
      <c r="AZ141" s="63"/>
      <c r="BA141" s="58" t="e">
        <f t="shared" si="79"/>
        <v>#DIV/0!</v>
      </c>
      <c r="BB141" s="63"/>
      <c r="BC141" s="57" t="e">
        <f>(Links!C141*Links!AQ141+'On-Ramps'!AC141*'On-Ramps'!CE141)/('On-Ramps'!AC141+Links!C141)</f>
        <v>#DIV/0!</v>
      </c>
      <c r="BD141" s="63"/>
      <c r="BE141" s="57" t="e">
        <f>(Links!E141*Links!AS141+'On-Ramps'!AD141*'On-Ramps'!CF140)/('On-Ramps'!AD141+Links!E141)</f>
        <v>#DIV/0!</v>
      </c>
      <c r="BF141" s="57" t="e">
        <f>(Links!F141*Links!AT141+'On-Ramps'!AE141*'On-Ramps'!CG141)/('On-Ramps'!AE141+Links!F141)</f>
        <v>#DIV/0!</v>
      </c>
      <c r="BG141" s="57" t="e">
        <f>(Links!I141*Links!AW141+'On-Ramps'!AF141*'On-Ramps'!CH141)/('On-Ramps'!AF141+Links!I141)</f>
        <v>#DIV/0!</v>
      </c>
      <c r="BH141" s="57" t="e">
        <f>(#REF!*#REF!+'On-Ramps'!AG141*'On-Ramps'!CI141)/('On-Ramps'!AG141+#REF!)</f>
        <v>#REF!</v>
      </c>
      <c r="BI141" s="57" t="e">
        <f>(Links!L141*Links!AZ141+'On-Ramps'!AH141*'On-Ramps'!CJ141)/('On-Ramps'!AH141+Links!L141)</f>
        <v>#DIV/0!</v>
      </c>
      <c r="BJ141" s="57" t="e">
        <f>(Links!BA141*Links!M141+'On-Ramps'!AI141*'On-Ramps'!CK141)/('On-Ramps'!AI141+Links!M141)</f>
        <v>#DIV/0!</v>
      </c>
      <c r="BK141" s="57" t="e">
        <f>(Links!S141*Links!BG141+'On-Ramps'!AJ141*'On-Ramps'!CL141)/('On-Ramps'!AJ141+Links!S141)</f>
        <v>#DIV/0!</v>
      </c>
      <c r="BL141" s="63"/>
      <c r="BM141" s="57" t="e">
        <f>(Links!S141*Links!BG141+'On-Ramps'!AL141*'On-Ramps'!CM141)/(Links!S141+'On-Ramps'!AL141)</f>
        <v>#DIV/0!</v>
      </c>
      <c r="BN141" s="63"/>
      <c r="BO141" s="58" t="e">
        <f>(Links!W141^2+'Off-Ramp'!L141^2)/(Links!W141+'Off-Ramp'!L141)</f>
        <v>#DIV/0!</v>
      </c>
      <c r="BP141" s="63"/>
      <c r="BQ141" s="58" t="e">
        <f>(Links!Y141^2+'Off-Ramp'!C141^2)/(Links!Y141+'Off-Ramp'!C141)</f>
        <v>#DIV/0!</v>
      </c>
      <c r="BR141" s="63"/>
      <c r="BS141" s="58" t="e">
        <f>(Links!AA141^2+'Off-Ramp'!N141^2)/(Links!AA141+'Off-Ramp'!N141)</f>
        <v>#DIV/0!</v>
      </c>
      <c r="BT141" s="58" t="e">
        <f>(Links!AD141^2+'Off-Ramp'!O141^2)/(Links!AD141+'Off-Ramp'!O141)</f>
        <v>#DIV/0!</v>
      </c>
      <c r="BU141" s="58" t="e">
        <f>(Links!AE141^2+'Off-Ramp'!V141^2+'Off-Ramp'!W141^2+'Off-Ramp'!X141^2)/(Links!AE141+'Off-Ramp'!V141+'Off-Ramp'!W141+'Off-Ramp'!X141)</f>
        <v>#DIV/0!</v>
      </c>
      <c r="BV141" s="58" t="e">
        <f>(Links!AG141^2+'Off-Ramp'!Y141^2+'Off-Ramp'!Z141^2+'Off-Ramp'!AA141^2)/(Links!AG141+'Off-Ramp'!Y141+'Off-Ramp'!Z141+'Off-Ramp'!AA141)</f>
        <v>#DIV/0!</v>
      </c>
      <c r="BW141" s="58" t="e">
        <f>(Links!AH141^2+'Off-Ramp'!R141^2)/(Links!AH141+'Off-Ramp'!R141)</f>
        <v>#DIV/0!</v>
      </c>
      <c r="BX141" s="58" t="e">
        <f>(Links!AK141^2+'Off-Ramp'!S141^2)/(Links!AK141+'Off-Ramp'!S141)</f>
        <v>#DIV/0!</v>
      </c>
      <c r="BY141" s="58" t="e">
        <f>(Links!AL141^2+'Off-Ramp'!T141^2)/(Links!AL141+'Off-Ramp'!T141)</f>
        <v>#DIV/0!</v>
      </c>
      <c r="BZ141" s="63"/>
      <c r="CA141" s="58" t="e">
        <f>(Links!AN141^2+'Off-Ramp'!U141^2)/(Links!AN141+'Off-Ramp'!U141)</f>
        <v>#DIV/0!</v>
      </c>
    </row>
    <row r="142" spans="1:79" x14ac:dyDescent="0.15">
      <c r="A142" s="56">
        <v>140</v>
      </c>
      <c r="B142" s="57" t="e">
        <f t="shared" si="57"/>
        <v>#DIV/0!</v>
      </c>
      <c r="C142" s="57" t="e">
        <f t="shared" si="58"/>
        <v>#DIV/0!</v>
      </c>
      <c r="D142" s="57" t="e">
        <f t="shared" si="59"/>
        <v>#DIV/0!</v>
      </c>
      <c r="E142" s="57" t="e">
        <f t="shared" si="60"/>
        <v>#DIV/0!</v>
      </c>
      <c r="F142" s="57" t="e">
        <f t="shared" si="61"/>
        <v>#DIV/0!</v>
      </c>
      <c r="G142" s="57" t="e">
        <f t="shared" si="62"/>
        <v>#DIV/0!</v>
      </c>
      <c r="H142" s="57" t="e">
        <f t="shared" si="63"/>
        <v>#DIV/0!</v>
      </c>
      <c r="I142" s="57" t="e">
        <f t="shared" si="64"/>
        <v>#DIV/0!</v>
      </c>
      <c r="J142" s="57" t="e">
        <f t="shared" si="65"/>
        <v>#DIV/0!</v>
      </c>
      <c r="K142" s="57" t="e">
        <f t="shared" si="66"/>
        <v>#DIV/0!</v>
      </c>
      <c r="L142" s="57" t="e">
        <f t="shared" si="67"/>
        <v>#DIV/0!</v>
      </c>
      <c r="M142" s="57" t="e">
        <f t="shared" si="68"/>
        <v>#DIV/0!</v>
      </c>
      <c r="N142" s="57" t="e">
        <f t="shared" si="69"/>
        <v>#DIV/0!</v>
      </c>
      <c r="O142" s="58" t="e">
        <f>Links!B142</f>
        <v>#DIV/0!</v>
      </c>
      <c r="P142" s="58" t="e">
        <f>Links!C142+'On-Ramps'!AC142</f>
        <v>#DIV/0!</v>
      </c>
      <c r="Q142" s="58" t="e">
        <f>Links!D142</f>
        <v>#DIV/0!</v>
      </c>
      <c r="R142" s="58" t="e">
        <f>Links!E142+'On-Ramps'!AD142</f>
        <v>#DIV/0!</v>
      </c>
      <c r="S142" s="58" t="e">
        <f>Links!F142+'On-Ramps'!AE142</f>
        <v>#DIV/0!</v>
      </c>
      <c r="T142" s="58" t="e">
        <f>Links!I142+'On-Ramps'!AF142</f>
        <v>#DIV/0!</v>
      </c>
      <c r="U142" s="58" t="e">
        <f>Links!J142+'On-Ramps'!AG142</f>
        <v>#DIV/0!</v>
      </c>
      <c r="V142" s="58" t="e">
        <f>Links!L142+'On-Ramps'!AH142</f>
        <v>#DIV/0!</v>
      </c>
      <c r="W142" s="58" t="e">
        <f>Links!M142+'On-Ramps'!AI142</f>
        <v>#DIV/0!</v>
      </c>
      <c r="X142" s="58" t="e">
        <f>Links!P142+'On-Ramps'!AJ142</f>
        <v>#DIV/0!</v>
      </c>
      <c r="Y142" s="58" t="e">
        <f>Links!Q142</f>
        <v>#DIV/0!</v>
      </c>
      <c r="Z142" s="58" t="e">
        <f>Links!R142+'On-Ramps'!AK142</f>
        <v>#DIV/0!</v>
      </c>
      <c r="AA142" s="58" t="e">
        <f>Links!S142</f>
        <v>#DIV/0!</v>
      </c>
      <c r="AB142" s="57" t="e">
        <f t="shared" si="70"/>
        <v>#DIV/0!</v>
      </c>
      <c r="AC142" s="63"/>
      <c r="AD142" s="57" t="e">
        <f t="shared" si="71"/>
        <v>#DIV/0!</v>
      </c>
      <c r="AE142" s="63"/>
      <c r="AF142" s="57" t="e">
        <f t="shared" si="72"/>
        <v>#DIV/0!</v>
      </c>
      <c r="AG142" s="57" t="e">
        <f t="shared" si="73"/>
        <v>#DIV/0!</v>
      </c>
      <c r="AH142" s="57" t="e">
        <f t="shared" si="74"/>
        <v>#DIV/0!</v>
      </c>
      <c r="AI142" s="57" t="e">
        <f t="shared" si="75"/>
        <v>#DIV/0!</v>
      </c>
      <c r="AJ142" s="57" t="e">
        <f t="shared" si="76"/>
        <v>#DIV/0!</v>
      </c>
      <c r="AK142" s="57" t="e">
        <f t="shared" si="77"/>
        <v>#DIV/0!</v>
      </c>
      <c r="AL142" s="57" t="e">
        <f t="shared" si="78"/>
        <v>#DIV/0!</v>
      </c>
      <c r="AM142" s="63"/>
      <c r="AN142" s="57" t="e">
        <f t="shared" si="53"/>
        <v>#DIV/0!</v>
      </c>
      <c r="AO142" s="58" t="e">
        <f t="shared" si="56"/>
        <v>#DIV/0!</v>
      </c>
      <c r="AP142" s="63"/>
      <c r="AQ142" s="58" t="e">
        <f t="shared" si="79"/>
        <v>#DIV/0!</v>
      </c>
      <c r="AR142" s="63"/>
      <c r="AS142" s="58" t="e">
        <f t="shared" si="79"/>
        <v>#DIV/0!</v>
      </c>
      <c r="AT142" s="58" t="e">
        <f t="shared" si="79"/>
        <v>#DIV/0!</v>
      </c>
      <c r="AU142" s="58" t="e">
        <f t="shared" si="79"/>
        <v>#DIV/0!</v>
      </c>
      <c r="AV142" s="58" t="e">
        <f t="shared" si="79"/>
        <v>#DIV/0!</v>
      </c>
      <c r="AW142" s="58" t="e">
        <f t="shared" si="79"/>
        <v>#DIV/0!</v>
      </c>
      <c r="AX142" s="58" t="e">
        <f t="shared" si="79"/>
        <v>#DIV/0!</v>
      </c>
      <c r="AY142" s="58" t="e">
        <f t="shared" si="79"/>
        <v>#DIV/0!</v>
      </c>
      <c r="AZ142" s="63"/>
      <c r="BA142" s="58" t="e">
        <f t="shared" si="79"/>
        <v>#DIV/0!</v>
      </c>
      <c r="BB142" s="63"/>
      <c r="BC142" s="57" t="e">
        <f>(Links!C142*Links!AQ142+'On-Ramps'!AC142*'On-Ramps'!CE142)/('On-Ramps'!AC142+Links!C142)</f>
        <v>#DIV/0!</v>
      </c>
      <c r="BD142" s="63"/>
      <c r="BE142" s="57" t="e">
        <f>(Links!E142*Links!AS142+'On-Ramps'!AD142*'On-Ramps'!CF141)/('On-Ramps'!AD142+Links!E142)</f>
        <v>#DIV/0!</v>
      </c>
      <c r="BF142" s="57" t="e">
        <f>(Links!F142*Links!AT142+'On-Ramps'!AE142*'On-Ramps'!CG142)/('On-Ramps'!AE142+Links!F142)</f>
        <v>#DIV/0!</v>
      </c>
      <c r="BG142" s="57" t="e">
        <f>(Links!I142*Links!AW142+'On-Ramps'!AF142*'On-Ramps'!CH142)/('On-Ramps'!AF142+Links!I142)</f>
        <v>#DIV/0!</v>
      </c>
      <c r="BH142" s="57" t="e">
        <f>(#REF!*#REF!+'On-Ramps'!AG142*'On-Ramps'!CI142)/('On-Ramps'!AG142+#REF!)</f>
        <v>#REF!</v>
      </c>
      <c r="BI142" s="57" t="e">
        <f>(Links!L142*Links!AZ142+'On-Ramps'!AH142*'On-Ramps'!CJ142)/('On-Ramps'!AH142+Links!L142)</f>
        <v>#DIV/0!</v>
      </c>
      <c r="BJ142" s="57" t="e">
        <f>(Links!BA142*Links!M142+'On-Ramps'!AI142*'On-Ramps'!CK142)/('On-Ramps'!AI142+Links!M142)</f>
        <v>#DIV/0!</v>
      </c>
      <c r="BK142" s="57" t="e">
        <f>(Links!S142*Links!BG142+'On-Ramps'!AJ142*'On-Ramps'!CL142)/('On-Ramps'!AJ142+Links!S142)</f>
        <v>#DIV/0!</v>
      </c>
      <c r="BL142" s="63"/>
      <c r="BM142" s="57" t="e">
        <f>(Links!S142*Links!BG142+'On-Ramps'!AL142*'On-Ramps'!CM142)/(Links!S142+'On-Ramps'!AL142)</f>
        <v>#DIV/0!</v>
      </c>
      <c r="BN142" s="63"/>
      <c r="BO142" s="58" t="e">
        <f>(Links!W142^2+'Off-Ramp'!L142^2)/(Links!W142+'Off-Ramp'!L142)</f>
        <v>#DIV/0!</v>
      </c>
      <c r="BP142" s="63"/>
      <c r="BQ142" s="58" t="e">
        <f>(Links!Y142^2+'Off-Ramp'!C142^2)/(Links!Y142+'Off-Ramp'!C142)</f>
        <v>#DIV/0!</v>
      </c>
      <c r="BR142" s="63"/>
      <c r="BS142" s="58" t="e">
        <f>(Links!AA142^2+'Off-Ramp'!N142^2)/(Links!AA142+'Off-Ramp'!N142)</f>
        <v>#DIV/0!</v>
      </c>
      <c r="BT142" s="58" t="e">
        <f>(Links!AD142^2+'Off-Ramp'!O142^2)/(Links!AD142+'Off-Ramp'!O142)</f>
        <v>#DIV/0!</v>
      </c>
      <c r="BU142" s="58" t="e">
        <f>(Links!AE142^2+'Off-Ramp'!V142^2+'Off-Ramp'!W142^2+'Off-Ramp'!X142^2)/(Links!AE142+'Off-Ramp'!V142+'Off-Ramp'!W142+'Off-Ramp'!X142)</f>
        <v>#DIV/0!</v>
      </c>
      <c r="BV142" s="58" t="e">
        <f>(Links!AG142^2+'Off-Ramp'!Y142^2+'Off-Ramp'!Z142^2+'Off-Ramp'!AA142^2)/(Links!AG142+'Off-Ramp'!Y142+'Off-Ramp'!Z142+'Off-Ramp'!AA142)</f>
        <v>#DIV/0!</v>
      </c>
      <c r="BW142" s="58" t="e">
        <f>(Links!AH142^2+'Off-Ramp'!R142^2)/(Links!AH142+'Off-Ramp'!R142)</f>
        <v>#DIV/0!</v>
      </c>
      <c r="BX142" s="58" t="e">
        <f>(Links!AK142^2+'Off-Ramp'!S142^2)/(Links!AK142+'Off-Ramp'!S142)</f>
        <v>#DIV/0!</v>
      </c>
      <c r="BY142" s="58" t="e">
        <f>(Links!AL142^2+'Off-Ramp'!T142^2)/(Links!AL142+'Off-Ramp'!T142)</f>
        <v>#DIV/0!</v>
      </c>
      <c r="BZ142" s="63"/>
      <c r="CA142" s="58" t="e">
        <f>(Links!AN142^2+'Off-Ramp'!U142^2)/(Links!AN142+'Off-Ramp'!U142)</f>
        <v>#DIV/0!</v>
      </c>
    </row>
    <row r="143" spans="1:79" x14ac:dyDescent="0.15">
      <c r="A143" s="56">
        <v>141</v>
      </c>
      <c r="B143" s="57" t="e">
        <f t="shared" si="57"/>
        <v>#DIV/0!</v>
      </c>
      <c r="C143" s="57" t="e">
        <f t="shared" si="58"/>
        <v>#DIV/0!</v>
      </c>
      <c r="D143" s="57" t="e">
        <f t="shared" si="59"/>
        <v>#DIV/0!</v>
      </c>
      <c r="E143" s="57" t="e">
        <f t="shared" si="60"/>
        <v>#DIV/0!</v>
      </c>
      <c r="F143" s="57" t="e">
        <f t="shared" si="61"/>
        <v>#DIV/0!</v>
      </c>
      <c r="G143" s="57" t="e">
        <f t="shared" si="62"/>
        <v>#DIV/0!</v>
      </c>
      <c r="H143" s="57" t="e">
        <f t="shared" si="63"/>
        <v>#DIV/0!</v>
      </c>
      <c r="I143" s="57" t="e">
        <f t="shared" si="64"/>
        <v>#DIV/0!</v>
      </c>
      <c r="J143" s="57" t="e">
        <f t="shared" si="65"/>
        <v>#DIV/0!</v>
      </c>
      <c r="K143" s="57" t="e">
        <f t="shared" si="66"/>
        <v>#DIV/0!</v>
      </c>
      <c r="L143" s="57" t="e">
        <f t="shared" si="67"/>
        <v>#DIV/0!</v>
      </c>
      <c r="M143" s="57" t="e">
        <f t="shared" si="68"/>
        <v>#DIV/0!</v>
      </c>
      <c r="N143" s="57" t="e">
        <f t="shared" si="69"/>
        <v>#DIV/0!</v>
      </c>
      <c r="O143" s="58" t="e">
        <f>Links!B143</f>
        <v>#DIV/0!</v>
      </c>
      <c r="P143" s="58" t="e">
        <f>Links!C143+'On-Ramps'!AC143</f>
        <v>#DIV/0!</v>
      </c>
      <c r="Q143" s="58" t="e">
        <f>Links!D143</f>
        <v>#DIV/0!</v>
      </c>
      <c r="R143" s="58" t="e">
        <f>Links!E143+'On-Ramps'!AD143</f>
        <v>#DIV/0!</v>
      </c>
      <c r="S143" s="58" t="e">
        <f>Links!F143+'On-Ramps'!AE143</f>
        <v>#DIV/0!</v>
      </c>
      <c r="T143" s="58" t="e">
        <f>Links!I143+'On-Ramps'!AF143</f>
        <v>#DIV/0!</v>
      </c>
      <c r="U143" s="58" t="e">
        <f>Links!J143+'On-Ramps'!AG143</f>
        <v>#DIV/0!</v>
      </c>
      <c r="V143" s="58" t="e">
        <f>Links!L143+'On-Ramps'!AH143</f>
        <v>#DIV/0!</v>
      </c>
      <c r="W143" s="58" t="e">
        <f>Links!M143+'On-Ramps'!AI143</f>
        <v>#DIV/0!</v>
      </c>
      <c r="X143" s="58" t="e">
        <f>Links!P143+'On-Ramps'!AJ143</f>
        <v>#DIV/0!</v>
      </c>
      <c r="Y143" s="58" t="e">
        <f>Links!Q143</f>
        <v>#DIV/0!</v>
      </c>
      <c r="Z143" s="58" t="e">
        <f>Links!R143+'On-Ramps'!AK143</f>
        <v>#DIV/0!</v>
      </c>
      <c r="AA143" s="58" t="e">
        <f>Links!S143</f>
        <v>#DIV/0!</v>
      </c>
      <c r="AB143" s="57" t="e">
        <f t="shared" si="70"/>
        <v>#DIV/0!</v>
      </c>
      <c r="AC143" s="63"/>
      <c r="AD143" s="57" t="e">
        <f t="shared" si="71"/>
        <v>#DIV/0!</v>
      </c>
      <c r="AE143" s="63"/>
      <c r="AF143" s="57" t="e">
        <f t="shared" si="72"/>
        <v>#DIV/0!</v>
      </c>
      <c r="AG143" s="57" t="e">
        <f t="shared" si="73"/>
        <v>#DIV/0!</v>
      </c>
      <c r="AH143" s="57" t="e">
        <f t="shared" si="74"/>
        <v>#DIV/0!</v>
      </c>
      <c r="AI143" s="57" t="e">
        <f t="shared" si="75"/>
        <v>#DIV/0!</v>
      </c>
      <c r="AJ143" s="57" t="e">
        <f t="shared" si="76"/>
        <v>#DIV/0!</v>
      </c>
      <c r="AK143" s="57" t="e">
        <f t="shared" si="77"/>
        <v>#DIV/0!</v>
      </c>
      <c r="AL143" s="57" t="e">
        <f t="shared" si="78"/>
        <v>#DIV/0!</v>
      </c>
      <c r="AM143" s="63"/>
      <c r="AN143" s="57" t="e">
        <f t="shared" si="53"/>
        <v>#DIV/0!</v>
      </c>
      <c r="AO143" s="58" t="e">
        <f t="shared" si="56"/>
        <v>#DIV/0!</v>
      </c>
      <c r="AP143" s="63"/>
      <c r="AQ143" s="58" t="e">
        <f t="shared" si="79"/>
        <v>#DIV/0!</v>
      </c>
      <c r="AR143" s="63"/>
      <c r="AS143" s="58" t="e">
        <f t="shared" si="79"/>
        <v>#DIV/0!</v>
      </c>
      <c r="AT143" s="58" t="e">
        <f t="shared" si="79"/>
        <v>#DIV/0!</v>
      </c>
      <c r="AU143" s="58" t="e">
        <f t="shared" si="79"/>
        <v>#DIV/0!</v>
      </c>
      <c r="AV143" s="58" t="e">
        <f t="shared" si="79"/>
        <v>#DIV/0!</v>
      </c>
      <c r="AW143" s="58" t="e">
        <f t="shared" si="79"/>
        <v>#DIV/0!</v>
      </c>
      <c r="AX143" s="58" t="e">
        <f t="shared" si="79"/>
        <v>#DIV/0!</v>
      </c>
      <c r="AY143" s="58" t="e">
        <f t="shared" si="79"/>
        <v>#DIV/0!</v>
      </c>
      <c r="AZ143" s="63"/>
      <c r="BA143" s="58" t="e">
        <f t="shared" si="79"/>
        <v>#DIV/0!</v>
      </c>
      <c r="BB143" s="63"/>
      <c r="BC143" s="57" t="e">
        <f>(Links!C143*Links!AQ143+'On-Ramps'!AC143*'On-Ramps'!CE143)/('On-Ramps'!AC143+Links!C143)</f>
        <v>#DIV/0!</v>
      </c>
      <c r="BD143" s="63"/>
      <c r="BE143" s="57" t="e">
        <f>(Links!E143*Links!AS143+'On-Ramps'!AD143*'On-Ramps'!CF142)/('On-Ramps'!AD143+Links!E143)</f>
        <v>#DIV/0!</v>
      </c>
      <c r="BF143" s="57" t="e">
        <f>(Links!F143*Links!AT143+'On-Ramps'!AE143*'On-Ramps'!CG143)/('On-Ramps'!AE143+Links!F143)</f>
        <v>#DIV/0!</v>
      </c>
      <c r="BG143" s="57" t="e">
        <f>(Links!I143*Links!AW143+'On-Ramps'!AF143*'On-Ramps'!CH143)/('On-Ramps'!AF143+Links!I143)</f>
        <v>#DIV/0!</v>
      </c>
      <c r="BH143" s="57" t="e">
        <f>(#REF!*#REF!+'On-Ramps'!AG143*'On-Ramps'!CI143)/('On-Ramps'!AG143+#REF!)</f>
        <v>#REF!</v>
      </c>
      <c r="BI143" s="57" t="e">
        <f>(Links!L143*Links!AZ143+'On-Ramps'!AH143*'On-Ramps'!CJ143)/('On-Ramps'!AH143+Links!L143)</f>
        <v>#DIV/0!</v>
      </c>
      <c r="BJ143" s="57" t="e">
        <f>(Links!BA143*Links!M143+'On-Ramps'!AI143*'On-Ramps'!CK143)/('On-Ramps'!AI143+Links!M143)</f>
        <v>#DIV/0!</v>
      </c>
      <c r="BK143" s="57" t="e">
        <f>(Links!S143*Links!BG143+'On-Ramps'!AJ143*'On-Ramps'!CL143)/('On-Ramps'!AJ143+Links!S143)</f>
        <v>#DIV/0!</v>
      </c>
      <c r="BL143" s="63"/>
      <c r="BM143" s="57" t="e">
        <f>(Links!S143*Links!BG143+'On-Ramps'!AL143*'On-Ramps'!CM143)/(Links!S143+'On-Ramps'!AL143)</f>
        <v>#DIV/0!</v>
      </c>
      <c r="BN143" s="63"/>
      <c r="BO143" s="58" t="e">
        <f>(Links!W143^2+'Off-Ramp'!L143^2)/(Links!W143+'Off-Ramp'!L143)</f>
        <v>#DIV/0!</v>
      </c>
      <c r="BP143" s="63"/>
      <c r="BQ143" s="58" t="e">
        <f>(Links!Y143^2+'Off-Ramp'!C143^2)/(Links!Y143+'Off-Ramp'!C143)</f>
        <v>#DIV/0!</v>
      </c>
      <c r="BR143" s="63"/>
      <c r="BS143" s="58" t="e">
        <f>(Links!AA143^2+'Off-Ramp'!N143^2)/(Links!AA143+'Off-Ramp'!N143)</f>
        <v>#DIV/0!</v>
      </c>
      <c r="BT143" s="58" t="e">
        <f>(Links!AD143^2+'Off-Ramp'!O143^2)/(Links!AD143+'Off-Ramp'!O143)</f>
        <v>#DIV/0!</v>
      </c>
      <c r="BU143" s="58" t="e">
        <f>(Links!AE143^2+'Off-Ramp'!V143^2+'Off-Ramp'!W143^2+'Off-Ramp'!X143^2)/(Links!AE143+'Off-Ramp'!V143+'Off-Ramp'!W143+'Off-Ramp'!X143)</f>
        <v>#DIV/0!</v>
      </c>
      <c r="BV143" s="58" t="e">
        <f>(Links!AG143^2+'Off-Ramp'!Y143^2+'Off-Ramp'!Z143^2+'Off-Ramp'!AA143^2)/(Links!AG143+'Off-Ramp'!Y143+'Off-Ramp'!Z143+'Off-Ramp'!AA143)</f>
        <v>#DIV/0!</v>
      </c>
      <c r="BW143" s="58" t="e">
        <f>(Links!AH143^2+'Off-Ramp'!R143^2)/(Links!AH143+'Off-Ramp'!R143)</f>
        <v>#DIV/0!</v>
      </c>
      <c r="BX143" s="58" t="e">
        <f>(Links!AK143^2+'Off-Ramp'!S143^2)/(Links!AK143+'Off-Ramp'!S143)</f>
        <v>#DIV/0!</v>
      </c>
      <c r="BY143" s="58" t="e">
        <f>(Links!AL143^2+'Off-Ramp'!T143^2)/(Links!AL143+'Off-Ramp'!T143)</f>
        <v>#DIV/0!</v>
      </c>
      <c r="BZ143" s="63"/>
      <c r="CA143" s="58" t="e">
        <f>(Links!AN143^2+'Off-Ramp'!U143^2)/(Links!AN143+'Off-Ramp'!U143)</f>
        <v>#DIV/0!</v>
      </c>
    </row>
    <row r="144" spans="1:79" x14ac:dyDescent="0.15">
      <c r="A144" s="56">
        <v>142</v>
      </c>
      <c r="B144" s="57" t="e">
        <f t="shared" si="57"/>
        <v>#DIV/0!</v>
      </c>
      <c r="C144" s="57" t="e">
        <f t="shared" si="58"/>
        <v>#DIV/0!</v>
      </c>
      <c r="D144" s="57" t="e">
        <f t="shared" si="59"/>
        <v>#DIV/0!</v>
      </c>
      <c r="E144" s="57" t="e">
        <f t="shared" si="60"/>
        <v>#DIV/0!</v>
      </c>
      <c r="F144" s="57" t="e">
        <f t="shared" si="61"/>
        <v>#DIV/0!</v>
      </c>
      <c r="G144" s="57" t="e">
        <f t="shared" si="62"/>
        <v>#DIV/0!</v>
      </c>
      <c r="H144" s="57" t="e">
        <f t="shared" si="63"/>
        <v>#DIV/0!</v>
      </c>
      <c r="I144" s="57" t="e">
        <f t="shared" si="64"/>
        <v>#DIV/0!</v>
      </c>
      <c r="J144" s="57" t="e">
        <f t="shared" si="65"/>
        <v>#DIV/0!</v>
      </c>
      <c r="K144" s="57" t="e">
        <f t="shared" si="66"/>
        <v>#DIV/0!</v>
      </c>
      <c r="L144" s="57" t="e">
        <f t="shared" si="67"/>
        <v>#DIV/0!</v>
      </c>
      <c r="M144" s="57" t="e">
        <f t="shared" si="68"/>
        <v>#DIV/0!</v>
      </c>
      <c r="N144" s="57" t="e">
        <f t="shared" si="69"/>
        <v>#DIV/0!</v>
      </c>
      <c r="O144" s="58" t="e">
        <f>Links!B144</f>
        <v>#DIV/0!</v>
      </c>
      <c r="P144" s="58" t="e">
        <f>Links!C144+'On-Ramps'!AC144</f>
        <v>#DIV/0!</v>
      </c>
      <c r="Q144" s="58" t="e">
        <f>Links!D144</f>
        <v>#DIV/0!</v>
      </c>
      <c r="R144" s="58" t="e">
        <f>Links!E144+'On-Ramps'!AD144</f>
        <v>#DIV/0!</v>
      </c>
      <c r="S144" s="58" t="e">
        <f>Links!F144+'On-Ramps'!AE144</f>
        <v>#DIV/0!</v>
      </c>
      <c r="T144" s="58" t="e">
        <f>Links!I144+'On-Ramps'!AF144</f>
        <v>#DIV/0!</v>
      </c>
      <c r="U144" s="58" t="e">
        <f>Links!J144+'On-Ramps'!AG144</f>
        <v>#DIV/0!</v>
      </c>
      <c r="V144" s="58" t="e">
        <f>Links!L144+'On-Ramps'!AH144</f>
        <v>#DIV/0!</v>
      </c>
      <c r="W144" s="58" t="e">
        <f>Links!M144+'On-Ramps'!AI144</f>
        <v>#DIV/0!</v>
      </c>
      <c r="X144" s="58" t="e">
        <f>Links!P144+'On-Ramps'!AJ144</f>
        <v>#DIV/0!</v>
      </c>
      <c r="Y144" s="58" t="e">
        <f>Links!Q144</f>
        <v>#DIV/0!</v>
      </c>
      <c r="Z144" s="58" t="e">
        <f>Links!R144+'On-Ramps'!AK144</f>
        <v>#DIV/0!</v>
      </c>
      <c r="AA144" s="58" t="e">
        <f>Links!S144</f>
        <v>#DIV/0!</v>
      </c>
      <c r="AB144" s="57" t="e">
        <f t="shared" si="70"/>
        <v>#DIV/0!</v>
      </c>
      <c r="AC144" s="63"/>
      <c r="AD144" s="57" t="e">
        <f t="shared" si="71"/>
        <v>#DIV/0!</v>
      </c>
      <c r="AE144" s="63"/>
      <c r="AF144" s="57" t="e">
        <f t="shared" si="72"/>
        <v>#DIV/0!</v>
      </c>
      <c r="AG144" s="57" t="e">
        <f t="shared" si="73"/>
        <v>#DIV/0!</v>
      </c>
      <c r="AH144" s="57" t="e">
        <f t="shared" si="74"/>
        <v>#DIV/0!</v>
      </c>
      <c r="AI144" s="57" t="e">
        <f t="shared" si="75"/>
        <v>#DIV/0!</v>
      </c>
      <c r="AJ144" s="57" t="e">
        <f t="shared" si="76"/>
        <v>#DIV/0!</v>
      </c>
      <c r="AK144" s="57" t="e">
        <f t="shared" si="77"/>
        <v>#DIV/0!</v>
      </c>
      <c r="AL144" s="57" t="e">
        <f t="shared" si="78"/>
        <v>#DIV/0!</v>
      </c>
      <c r="AM144" s="63"/>
      <c r="AN144" s="57" t="e">
        <f t="shared" si="53"/>
        <v>#DIV/0!</v>
      </c>
      <c r="AO144" s="58" t="e">
        <f t="shared" si="56"/>
        <v>#DIV/0!</v>
      </c>
      <c r="AP144" s="63"/>
      <c r="AQ144" s="58" t="e">
        <f t="shared" si="79"/>
        <v>#DIV/0!</v>
      </c>
      <c r="AR144" s="63"/>
      <c r="AS144" s="58" t="e">
        <f t="shared" si="79"/>
        <v>#DIV/0!</v>
      </c>
      <c r="AT144" s="58" t="e">
        <f t="shared" si="79"/>
        <v>#DIV/0!</v>
      </c>
      <c r="AU144" s="58" t="e">
        <f t="shared" si="79"/>
        <v>#DIV/0!</v>
      </c>
      <c r="AV144" s="58" t="e">
        <f t="shared" si="79"/>
        <v>#DIV/0!</v>
      </c>
      <c r="AW144" s="58" t="e">
        <f t="shared" si="79"/>
        <v>#DIV/0!</v>
      </c>
      <c r="AX144" s="58" t="e">
        <f t="shared" si="79"/>
        <v>#DIV/0!</v>
      </c>
      <c r="AY144" s="58" t="e">
        <f t="shared" si="79"/>
        <v>#DIV/0!</v>
      </c>
      <c r="AZ144" s="63"/>
      <c r="BA144" s="58" t="e">
        <f t="shared" si="79"/>
        <v>#DIV/0!</v>
      </c>
      <c r="BB144" s="63"/>
      <c r="BC144" s="57" t="e">
        <f>(Links!C144*Links!AQ144+'On-Ramps'!AC144*'On-Ramps'!CE144)/('On-Ramps'!AC144+Links!C144)</f>
        <v>#DIV/0!</v>
      </c>
      <c r="BD144" s="63"/>
      <c r="BE144" s="57" t="e">
        <f>(Links!E144*Links!AS144+'On-Ramps'!AD144*'On-Ramps'!CF143)/('On-Ramps'!AD144+Links!E144)</f>
        <v>#DIV/0!</v>
      </c>
      <c r="BF144" s="57" t="e">
        <f>(Links!F144*Links!AT144+'On-Ramps'!AE144*'On-Ramps'!CG144)/('On-Ramps'!AE144+Links!F144)</f>
        <v>#DIV/0!</v>
      </c>
      <c r="BG144" s="57" t="e">
        <f>(Links!I144*Links!AW144+'On-Ramps'!AF144*'On-Ramps'!CH144)/('On-Ramps'!AF144+Links!I144)</f>
        <v>#DIV/0!</v>
      </c>
      <c r="BH144" s="57" t="e">
        <f>(#REF!*#REF!+'On-Ramps'!AG144*'On-Ramps'!CI144)/('On-Ramps'!AG144+#REF!)</f>
        <v>#REF!</v>
      </c>
      <c r="BI144" s="57" t="e">
        <f>(Links!L144*Links!AZ144+'On-Ramps'!AH144*'On-Ramps'!CJ144)/('On-Ramps'!AH144+Links!L144)</f>
        <v>#DIV/0!</v>
      </c>
      <c r="BJ144" s="57" t="e">
        <f>(Links!BA144*Links!M144+'On-Ramps'!AI144*'On-Ramps'!CK144)/('On-Ramps'!AI144+Links!M144)</f>
        <v>#DIV/0!</v>
      </c>
      <c r="BK144" s="57" t="e">
        <f>(Links!S144*Links!BG144+'On-Ramps'!AJ144*'On-Ramps'!CL144)/('On-Ramps'!AJ144+Links!S144)</f>
        <v>#DIV/0!</v>
      </c>
      <c r="BL144" s="63"/>
      <c r="BM144" s="57" t="e">
        <f>(Links!S144*Links!BG144+'On-Ramps'!AL144*'On-Ramps'!CM144)/(Links!S144+'On-Ramps'!AL144)</f>
        <v>#DIV/0!</v>
      </c>
      <c r="BN144" s="63"/>
      <c r="BO144" s="58" t="e">
        <f>(Links!W144^2+'Off-Ramp'!L144^2)/(Links!W144+'Off-Ramp'!L144)</f>
        <v>#DIV/0!</v>
      </c>
      <c r="BP144" s="63"/>
      <c r="BQ144" s="58" t="e">
        <f>(Links!Y144^2+'Off-Ramp'!C144^2)/(Links!Y144+'Off-Ramp'!C144)</f>
        <v>#DIV/0!</v>
      </c>
      <c r="BR144" s="63"/>
      <c r="BS144" s="58" t="e">
        <f>(Links!AA144^2+'Off-Ramp'!N144^2)/(Links!AA144+'Off-Ramp'!N144)</f>
        <v>#DIV/0!</v>
      </c>
      <c r="BT144" s="58" t="e">
        <f>(Links!AD144^2+'Off-Ramp'!O144^2)/(Links!AD144+'Off-Ramp'!O144)</f>
        <v>#DIV/0!</v>
      </c>
      <c r="BU144" s="58" t="e">
        <f>(Links!AE144^2+'Off-Ramp'!V144^2+'Off-Ramp'!W144^2+'Off-Ramp'!X144^2)/(Links!AE144+'Off-Ramp'!V144+'Off-Ramp'!W144+'Off-Ramp'!X144)</f>
        <v>#DIV/0!</v>
      </c>
      <c r="BV144" s="58" t="e">
        <f>(Links!AG144^2+'Off-Ramp'!Y144^2+'Off-Ramp'!Z144^2+'Off-Ramp'!AA144^2)/(Links!AG144+'Off-Ramp'!Y144+'Off-Ramp'!Z144+'Off-Ramp'!AA144)</f>
        <v>#DIV/0!</v>
      </c>
      <c r="BW144" s="58" t="e">
        <f>(Links!AH144^2+'Off-Ramp'!R144^2)/(Links!AH144+'Off-Ramp'!R144)</f>
        <v>#DIV/0!</v>
      </c>
      <c r="BX144" s="58" t="e">
        <f>(Links!AK144^2+'Off-Ramp'!S144^2)/(Links!AK144+'Off-Ramp'!S144)</f>
        <v>#DIV/0!</v>
      </c>
      <c r="BY144" s="58" t="e">
        <f>(Links!AL144^2+'Off-Ramp'!T144^2)/(Links!AL144+'Off-Ramp'!T144)</f>
        <v>#DIV/0!</v>
      </c>
      <c r="BZ144" s="63"/>
      <c r="CA144" s="58" t="e">
        <f>(Links!AN144^2+'Off-Ramp'!U144^2)/(Links!AN144+'Off-Ramp'!U144)</f>
        <v>#DIV/0!</v>
      </c>
    </row>
    <row r="145" spans="1:79" x14ac:dyDescent="0.15">
      <c r="A145" s="56">
        <v>143</v>
      </c>
      <c r="B145" s="57" t="e">
        <f t="shared" si="57"/>
        <v>#DIV/0!</v>
      </c>
      <c r="C145" s="57" t="e">
        <f t="shared" si="58"/>
        <v>#DIV/0!</v>
      </c>
      <c r="D145" s="57" t="e">
        <f t="shared" si="59"/>
        <v>#DIV/0!</v>
      </c>
      <c r="E145" s="57" t="e">
        <f t="shared" si="60"/>
        <v>#DIV/0!</v>
      </c>
      <c r="F145" s="57" t="e">
        <f t="shared" si="61"/>
        <v>#DIV/0!</v>
      </c>
      <c r="G145" s="57" t="e">
        <f t="shared" si="62"/>
        <v>#DIV/0!</v>
      </c>
      <c r="H145" s="57" t="e">
        <f t="shared" si="63"/>
        <v>#DIV/0!</v>
      </c>
      <c r="I145" s="57" t="e">
        <f t="shared" si="64"/>
        <v>#DIV/0!</v>
      </c>
      <c r="J145" s="57" t="e">
        <f t="shared" si="65"/>
        <v>#DIV/0!</v>
      </c>
      <c r="K145" s="57" t="e">
        <f t="shared" si="66"/>
        <v>#DIV/0!</v>
      </c>
      <c r="L145" s="57" t="e">
        <f t="shared" si="67"/>
        <v>#DIV/0!</v>
      </c>
      <c r="M145" s="57" t="e">
        <f t="shared" si="68"/>
        <v>#DIV/0!</v>
      </c>
      <c r="N145" s="57" t="e">
        <f t="shared" si="69"/>
        <v>#DIV/0!</v>
      </c>
      <c r="O145" s="58" t="e">
        <f>Links!B145</f>
        <v>#DIV/0!</v>
      </c>
      <c r="P145" s="58" t="e">
        <f>Links!C145+'On-Ramps'!AC145</f>
        <v>#DIV/0!</v>
      </c>
      <c r="Q145" s="58" t="e">
        <f>Links!D145</f>
        <v>#DIV/0!</v>
      </c>
      <c r="R145" s="58" t="e">
        <f>Links!E145+'On-Ramps'!AD145</f>
        <v>#DIV/0!</v>
      </c>
      <c r="S145" s="58" t="e">
        <f>Links!F145+'On-Ramps'!AE145</f>
        <v>#DIV/0!</v>
      </c>
      <c r="T145" s="58" t="e">
        <f>Links!I145+'On-Ramps'!AF145</f>
        <v>#DIV/0!</v>
      </c>
      <c r="U145" s="58" t="e">
        <f>Links!J145+'On-Ramps'!AG145</f>
        <v>#DIV/0!</v>
      </c>
      <c r="V145" s="58" t="e">
        <f>Links!L145+'On-Ramps'!AH145</f>
        <v>#DIV/0!</v>
      </c>
      <c r="W145" s="58" t="e">
        <f>Links!M145+'On-Ramps'!AI145</f>
        <v>#DIV/0!</v>
      </c>
      <c r="X145" s="58" t="e">
        <f>Links!P145+'On-Ramps'!AJ145</f>
        <v>#DIV/0!</v>
      </c>
      <c r="Y145" s="58" t="e">
        <f>Links!Q145</f>
        <v>#DIV/0!</v>
      </c>
      <c r="Z145" s="58" t="e">
        <f>Links!R145+'On-Ramps'!AK145</f>
        <v>#DIV/0!</v>
      </c>
      <c r="AA145" s="58" t="e">
        <f>Links!S145</f>
        <v>#DIV/0!</v>
      </c>
      <c r="AB145" s="57" t="e">
        <f t="shared" si="70"/>
        <v>#DIV/0!</v>
      </c>
      <c r="AC145" s="63"/>
      <c r="AD145" s="57" t="e">
        <f t="shared" si="71"/>
        <v>#DIV/0!</v>
      </c>
      <c r="AE145" s="63"/>
      <c r="AF145" s="57" t="e">
        <f t="shared" si="72"/>
        <v>#DIV/0!</v>
      </c>
      <c r="AG145" s="57" t="e">
        <f t="shared" si="73"/>
        <v>#DIV/0!</v>
      </c>
      <c r="AH145" s="57" t="e">
        <f t="shared" si="74"/>
        <v>#DIV/0!</v>
      </c>
      <c r="AI145" s="57" t="e">
        <f t="shared" si="75"/>
        <v>#DIV/0!</v>
      </c>
      <c r="AJ145" s="57" t="e">
        <f t="shared" si="76"/>
        <v>#DIV/0!</v>
      </c>
      <c r="AK145" s="57" t="e">
        <f t="shared" si="77"/>
        <v>#DIV/0!</v>
      </c>
      <c r="AL145" s="57" t="e">
        <f t="shared" si="78"/>
        <v>#DIV/0!</v>
      </c>
      <c r="AM145" s="63"/>
      <c r="AN145" s="57" t="e">
        <f t="shared" si="53"/>
        <v>#DIV/0!</v>
      </c>
      <c r="AO145" s="58" t="e">
        <f t="shared" si="56"/>
        <v>#DIV/0!</v>
      </c>
      <c r="AP145" s="63"/>
      <c r="AQ145" s="58" t="e">
        <f t="shared" si="79"/>
        <v>#DIV/0!</v>
      </c>
      <c r="AR145" s="63"/>
      <c r="AS145" s="58" t="e">
        <f t="shared" si="79"/>
        <v>#DIV/0!</v>
      </c>
      <c r="AT145" s="58" t="e">
        <f t="shared" si="79"/>
        <v>#DIV/0!</v>
      </c>
      <c r="AU145" s="58" t="e">
        <f t="shared" si="79"/>
        <v>#DIV/0!</v>
      </c>
      <c r="AV145" s="58" t="e">
        <f t="shared" si="79"/>
        <v>#DIV/0!</v>
      </c>
      <c r="AW145" s="58" t="e">
        <f t="shared" si="79"/>
        <v>#DIV/0!</v>
      </c>
      <c r="AX145" s="58" t="e">
        <f t="shared" si="79"/>
        <v>#DIV/0!</v>
      </c>
      <c r="AY145" s="58" t="e">
        <f t="shared" si="79"/>
        <v>#DIV/0!</v>
      </c>
      <c r="AZ145" s="63"/>
      <c r="BA145" s="58" t="e">
        <f t="shared" si="79"/>
        <v>#DIV/0!</v>
      </c>
      <c r="BB145" s="63"/>
      <c r="BC145" s="57" t="e">
        <f>(Links!C145*Links!AQ145+'On-Ramps'!AC145*'On-Ramps'!CE145)/('On-Ramps'!AC145+Links!C145)</f>
        <v>#DIV/0!</v>
      </c>
      <c r="BD145" s="63"/>
      <c r="BE145" s="57" t="e">
        <f>(Links!E145*Links!AS145+'On-Ramps'!AD145*'On-Ramps'!CF144)/('On-Ramps'!AD145+Links!E145)</f>
        <v>#DIV/0!</v>
      </c>
      <c r="BF145" s="57" t="e">
        <f>(Links!F145*Links!AT145+'On-Ramps'!AE145*'On-Ramps'!CG145)/('On-Ramps'!AE145+Links!F145)</f>
        <v>#DIV/0!</v>
      </c>
      <c r="BG145" s="57" t="e">
        <f>(Links!I145*Links!AW145+'On-Ramps'!AF145*'On-Ramps'!CH145)/('On-Ramps'!AF145+Links!I145)</f>
        <v>#DIV/0!</v>
      </c>
      <c r="BH145" s="57" t="e">
        <f>(#REF!*#REF!+'On-Ramps'!AG145*'On-Ramps'!CI145)/('On-Ramps'!AG145+#REF!)</f>
        <v>#REF!</v>
      </c>
      <c r="BI145" s="57" t="e">
        <f>(Links!L145*Links!AZ145+'On-Ramps'!AH145*'On-Ramps'!CJ145)/('On-Ramps'!AH145+Links!L145)</f>
        <v>#DIV/0!</v>
      </c>
      <c r="BJ145" s="57" t="e">
        <f>(Links!BA145*Links!M145+'On-Ramps'!AI145*'On-Ramps'!CK145)/('On-Ramps'!AI145+Links!M145)</f>
        <v>#DIV/0!</v>
      </c>
      <c r="BK145" s="57" t="e">
        <f>(Links!S145*Links!BG145+'On-Ramps'!AJ145*'On-Ramps'!CL145)/('On-Ramps'!AJ145+Links!S145)</f>
        <v>#DIV/0!</v>
      </c>
      <c r="BL145" s="63"/>
      <c r="BM145" s="57" t="e">
        <f>(Links!S145*Links!BG145+'On-Ramps'!AL145*'On-Ramps'!CM145)/(Links!S145+'On-Ramps'!AL145)</f>
        <v>#DIV/0!</v>
      </c>
      <c r="BN145" s="63"/>
      <c r="BO145" s="58" t="e">
        <f>(Links!W145^2+'Off-Ramp'!L145^2)/(Links!W145+'Off-Ramp'!L145)</f>
        <v>#DIV/0!</v>
      </c>
      <c r="BP145" s="63"/>
      <c r="BQ145" s="58" t="e">
        <f>(Links!Y145^2+'Off-Ramp'!C145^2)/(Links!Y145+'Off-Ramp'!C145)</f>
        <v>#DIV/0!</v>
      </c>
      <c r="BR145" s="63"/>
      <c r="BS145" s="58" t="e">
        <f>(Links!AA145^2+'Off-Ramp'!N145^2)/(Links!AA145+'Off-Ramp'!N145)</f>
        <v>#DIV/0!</v>
      </c>
      <c r="BT145" s="58" t="e">
        <f>(Links!AD145^2+'Off-Ramp'!O145^2)/(Links!AD145+'Off-Ramp'!O145)</f>
        <v>#DIV/0!</v>
      </c>
      <c r="BU145" s="58" t="e">
        <f>(Links!AE145^2+'Off-Ramp'!V145^2+'Off-Ramp'!W145^2+'Off-Ramp'!X145^2)/(Links!AE145+'Off-Ramp'!V145+'Off-Ramp'!W145+'Off-Ramp'!X145)</f>
        <v>#DIV/0!</v>
      </c>
      <c r="BV145" s="58" t="e">
        <f>(Links!AG145^2+'Off-Ramp'!Y145^2+'Off-Ramp'!Z145^2+'Off-Ramp'!AA145^2)/(Links!AG145+'Off-Ramp'!Y145+'Off-Ramp'!Z145+'Off-Ramp'!AA145)</f>
        <v>#DIV/0!</v>
      </c>
      <c r="BW145" s="58" t="e">
        <f>(Links!AH145^2+'Off-Ramp'!R145^2)/(Links!AH145+'Off-Ramp'!R145)</f>
        <v>#DIV/0!</v>
      </c>
      <c r="BX145" s="58" t="e">
        <f>(Links!AK145^2+'Off-Ramp'!S145^2)/(Links!AK145+'Off-Ramp'!S145)</f>
        <v>#DIV/0!</v>
      </c>
      <c r="BY145" s="58" t="e">
        <f>(Links!AL145^2+'Off-Ramp'!T145^2)/(Links!AL145+'Off-Ramp'!T145)</f>
        <v>#DIV/0!</v>
      </c>
      <c r="BZ145" s="63"/>
      <c r="CA145" s="58" t="e">
        <f>(Links!AN145^2+'Off-Ramp'!U145^2)/(Links!AN145+'Off-Ramp'!U145)</f>
        <v>#DIV/0!</v>
      </c>
    </row>
    <row r="146" spans="1:79" x14ac:dyDescent="0.15">
      <c r="A146" s="56">
        <v>144</v>
      </c>
      <c r="B146" s="57" t="e">
        <f t="shared" si="57"/>
        <v>#DIV/0!</v>
      </c>
      <c r="C146" s="57" t="e">
        <f t="shared" si="58"/>
        <v>#DIV/0!</v>
      </c>
      <c r="D146" s="57" t="e">
        <f t="shared" si="59"/>
        <v>#DIV/0!</v>
      </c>
      <c r="E146" s="57" t="e">
        <f t="shared" si="60"/>
        <v>#DIV/0!</v>
      </c>
      <c r="F146" s="57" t="e">
        <f t="shared" si="61"/>
        <v>#DIV/0!</v>
      </c>
      <c r="G146" s="57" t="e">
        <f t="shared" si="62"/>
        <v>#DIV/0!</v>
      </c>
      <c r="H146" s="57" t="e">
        <f t="shared" si="63"/>
        <v>#DIV/0!</v>
      </c>
      <c r="I146" s="57" t="e">
        <f t="shared" si="64"/>
        <v>#DIV/0!</v>
      </c>
      <c r="J146" s="57" t="e">
        <f t="shared" si="65"/>
        <v>#DIV/0!</v>
      </c>
      <c r="K146" s="57" t="e">
        <f t="shared" si="66"/>
        <v>#DIV/0!</v>
      </c>
      <c r="L146" s="57" t="e">
        <f t="shared" si="67"/>
        <v>#DIV/0!</v>
      </c>
      <c r="M146" s="57" t="e">
        <f t="shared" si="68"/>
        <v>#DIV/0!</v>
      </c>
      <c r="N146" s="57" t="e">
        <f t="shared" si="69"/>
        <v>#DIV/0!</v>
      </c>
      <c r="O146" s="58" t="e">
        <f>Links!B146</f>
        <v>#DIV/0!</v>
      </c>
      <c r="P146" s="58" t="e">
        <f>Links!C146+'On-Ramps'!AC146</f>
        <v>#DIV/0!</v>
      </c>
      <c r="Q146" s="58" t="e">
        <f>Links!D146</f>
        <v>#DIV/0!</v>
      </c>
      <c r="R146" s="58" t="e">
        <f>Links!E146+'On-Ramps'!AD146</f>
        <v>#DIV/0!</v>
      </c>
      <c r="S146" s="58" t="e">
        <f>Links!F146+'On-Ramps'!AE146</f>
        <v>#DIV/0!</v>
      </c>
      <c r="T146" s="58" t="e">
        <f>Links!I146+'On-Ramps'!AF146</f>
        <v>#DIV/0!</v>
      </c>
      <c r="U146" s="58" t="e">
        <f>Links!J146+'On-Ramps'!AG146</f>
        <v>#DIV/0!</v>
      </c>
      <c r="V146" s="58" t="e">
        <f>Links!L146+'On-Ramps'!AH146</f>
        <v>#DIV/0!</v>
      </c>
      <c r="W146" s="58" t="e">
        <f>Links!M146+'On-Ramps'!AI146</f>
        <v>#DIV/0!</v>
      </c>
      <c r="X146" s="58" t="e">
        <f>Links!P146+'On-Ramps'!AJ146</f>
        <v>#DIV/0!</v>
      </c>
      <c r="Y146" s="58" t="e">
        <f>Links!Q146</f>
        <v>#DIV/0!</v>
      </c>
      <c r="Z146" s="58" t="e">
        <f>Links!R146+'On-Ramps'!AK146</f>
        <v>#DIV/0!</v>
      </c>
      <c r="AA146" s="58" t="e">
        <f>Links!S146</f>
        <v>#DIV/0!</v>
      </c>
      <c r="AB146" s="57" t="e">
        <f t="shared" si="70"/>
        <v>#DIV/0!</v>
      </c>
      <c r="AC146" s="63"/>
      <c r="AD146" s="57" t="e">
        <f t="shared" si="71"/>
        <v>#DIV/0!</v>
      </c>
      <c r="AE146" s="63"/>
      <c r="AF146" s="57" t="e">
        <f t="shared" si="72"/>
        <v>#DIV/0!</v>
      </c>
      <c r="AG146" s="57" t="e">
        <f t="shared" si="73"/>
        <v>#DIV/0!</v>
      </c>
      <c r="AH146" s="57" t="e">
        <f t="shared" si="74"/>
        <v>#DIV/0!</v>
      </c>
      <c r="AI146" s="57" t="e">
        <f t="shared" si="75"/>
        <v>#DIV/0!</v>
      </c>
      <c r="AJ146" s="57" t="e">
        <f t="shared" si="76"/>
        <v>#DIV/0!</v>
      </c>
      <c r="AK146" s="57" t="e">
        <f t="shared" si="77"/>
        <v>#DIV/0!</v>
      </c>
      <c r="AL146" s="57" t="e">
        <f t="shared" si="78"/>
        <v>#DIV/0!</v>
      </c>
      <c r="AM146" s="63"/>
      <c r="AN146" s="57" t="e">
        <f t="shared" si="53"/>
        <v>#DIV/0!</v>
      </c>
      <c r="AO146" s="58" t="e">
        <f t="shared" si="56"/>
        <v>#DIV/0!</v>
      </c>
      <c r="AP146" s="63"/>
      <c r="AQ146" s="58" t="e">
        <f t="shared" si="79"/>
        <v>#DIV/0!</v>
      </c>
      <c r="AR146" s="63"/>
      <c r="AS146" s="58" t="e">
        <f t="shared" si="79"/>
        <v>#DIV/0!</v>
      </c>
      <c r="AT146" s="58" t="e">
        <f t="shared" si="79"/>
        <v>#DIV/0!</v>
      </c>
      <c r="AU146" s="58" t="e">
        <f t="shared" si="79"/>
        <v>#DIV/0!</v>
      </c>
      <c r="AV146" s="58" t="e">
        <f t="shared" si="79"/>
        <v>#DIV/0!</v>
      </c>
      <c r="AW146" s="58" t="e">
        <f t="shared" si="79"/>
        <v>#DIV/0!</v>
      </c>
      <c r="AX146" s="58" t="e">
        <f t="shared" si="79"/>
        <v>#DIV/0!</v>
      </c>
      <c r="AY146" s="58" t="e">
        <f t="shared" si="79"/>
        <v>#DIV/0!</v>
      </c>
      <c r="AZ146" s="63"/>
      <c r="BA146" s="58" t="e">
        <f t="shared" si="79"/>
        <v>#DIV/0!</v>
      </c>
      <c r="BB146" s="63"/>
      <c r="BC146" s="57" t="e">
        <f>(Links!C146*Links!AQ146+'On-Ramps'!AC146*'On-Ramps'!CE146)/('On-Ramps'!AC146+Links!C146)</f>
        <v>#DIV/0!</v>
      </c>
      <c r="BD146" s="63"/>
      <c r="BE146" s="57" t="e">
        <f>(Links!E146*Links!AS146+'On-Ramps'!AD146*'On-Ramps'!CF145)/('On-Ramps'!AD146+Links!E146)</f>
        <v>#DIV/0!</v>
      </c>
      <c r="BF146" s="57" t="e">
        <f>(Links!F146*Links!AT146+'On-Ramps'!AE146*'On-Ramps'!CG146)/('On-Ramps'!AE146+Links!F146)</f>
        <v>#DIV/0!</v>
      </c>
      <c r="BG146" s="57" t="e">
        <f>(Links!I146*Links!AW146+'On-Ramps'!AF146*'On-Ramps'!CH146)/('On-Ramps'!AF146+Links!I146)</f>
        <v>#DIV/0!</v>
      </c>
      <c r="BH146" s="57" t="e">
        <f>(#REF!*#REF!+'On-Ramps'!AG146*'On-Ramps'!CI146)/('On-Ramps'!AG146+#REF!)</f>
        <v>#REF!</v>
      </c>
      <c r="BI146" s="57" t="e">
        <f>(Links!L146*Links!AZ146+'On-Ramps'!AH146*'On-Ramps'!CJ146)/('On-Ramps'!AH146+Links!L146)</f>
        <v>#DIV/0!</v>
      </c>
      <c r="BJ146" s="57" t="e">
        <f>(Links!BA146*Links!M146+'On-Ramps'!AI146*'On-Ramps'!CK146)/('On-Ramps'!AI146+Links!M146)</f>
        <v>#DIV/0!</v>
      </c>
      <c r="BK146" s="57" t="e">
        <f>(Links!S146*Links!BG146+'On-Ramps'!AJ146*'On-Ramps'!CL146)/('On-Ramps'!AJ146+Links!S146)</f>
        <v>#DIV/0!</v>
      </c>
      <c r="BL146" s="63"/>
      <c r="BM146" s="57" t="e">
        <f>(Links!S146*Links!BG146+'On-Ramps'!AL146*'On-Ramps'!CM146)/(Links!S146+'On-Ramps'!AL146)</f>
        <v>#DIV/0!</v>
      </c>
      <c r="BN146" s="63"/>
      <c r="BO146" s="58" t="e">
        <f>(Links!W146^2+'Off-Ramp'!L146^2)/(Links!W146+'Off-Ramp'!L146)</f>
        <v>#DIV/0!</v>
      </c>
      <c r="BP146" s="63"/>
      <c r="BQ146" s="58" t="e">
        <f>(Links!Y146^2+'Off-Ramp'!C146^2)/(Links!Y146+'Off-Ramp'!C146)</f>
        <v>#DIV/0!</v>
      </c>
      <c r="BR146" s="63"/>
      <c r="BS146" s="58" t="e">
        <f>(Links!AA146^2+'Off-Ramp'!N146^2)/(Links!AA146+'Off-Ramp'!N146)</f>
        <v>#DIV/0!</v>
      </c>
      <c r="BT146" s="58" t="e">
        <f>(Links!AD146^2+'Off-Ramp'!O146^2)/(Links!AD146+'Off-Ramp'!O146)</f>
        <v>#DIV/0!</v>
      </c>
      <c r="BU146" s="58" t="e">
        <f>(Links!AE146^2+'Off-Ramp'!V146^2+'Off-Ramp'!W146^2+'Off-Ramp'!X146^2)/(Links!AE146+'Off-Ramp'!V146+'Off-Ramp'!W146+'Off-Ramp'!X146)</f>
        <v>#DIV/0!</v>
      </c>
      <c r="BV146" s="58" t="e">
        <f>(Links!AG146^2+'Off-Ramp'!Y146^2+'Off-Ramp'!Z146^2+'Off-Ramp'!AA146^2)/(Links!AG146+'Off-Ramp'!Y146+'Off-Ramp'!Z146+'Off-Ramp'!AA146)</f>
        <v>#DIV/0!</v>
      </c>
      <c r="BW146" s="58" t="e">
        <f>(Links!AH146^2+'Off-Ramp'!R146^2)/(Links!AH146+'Off-Ramp'!R146)</f>
        <v>#DIV/0!</v>
      </c>
      <c r="BX146" s="58" t="e">
        <f>(Links!AK146^2+'Off-Ramp'!S146^2)/(Links!AK146+'Off-Ramp'!S146)</f>
        <v>#DIV/0!</v>
      </c>
      <c r="BY146" s="58" t="e">
        <f>(Links!AL146^2+'Off-Ramp'!T146^2)/(Links!AL146+'Off-Ramp'!T146)</f>
        <v>#DIV/0!</v>
      </c>
      <c r="BZ146" s="63"/>
      <c r="CA146" s="58" t="e">
        <f>(Links!AN146^2+'Off-Ramp'!U146^2)/(Links!AN146+'Off-Ramp'!U146)</f>
        <v>#DIV/0!</v>
      </c>
    </row>
    <row r="147" spans="1:79" x14ac:dyDescent="0.15">
      <c r="A147" s="56">
        <v>145</v>
      </c>
      <c r="B147" s="57" t="e">
        <f t="shared" si="57"/>
        <v>#DIV/0!</v>
      </c>
      <c r="C147" s="57" t="e">
        <f t="shared" si="58"/>
        <v>#DIV/0!</v>
      </c>
      <c r="D147" s="57" t="e">
        <f t="shared" si="59"/>
        <v>#DIV/0!</v>
      </c>
      <c r="E147" s="57" t="e">
        <f t="shared" si="60"/>
        <v>#DIV/0!</v>
      </c>
      <c r="F147" s="57" t="e">
        <f t="shared" si="61"/>
        <v>#DIV/0!</v>
      </c>
      <c r="G147" s="57" t="e">
        <f t="shared" si="62"/>
        <v>#DIV/0!</v>
      </c>
      <c r="H147" s="57" t="e">
        <f t="shared" si="63"/>
        <v>#DIV/0!</v>
      </c>
      <c r="I147" s="57" t="e">
        <f t="shared" si="64"/>
        <v>#DIV/0!</v>
      </c>
      <c r="J147" s="57" t="e">
        <f t="shared" si="65"/>
        <v>#DIV/0!</v>
      </c>
      <c r="K147" s="57" t="e">
        <f t="shared" si="66"/>
        <v>#DIV/0!</v>
      </c>
      <c r="L147" s="57" t="e">
        <f t="shared" si="67"/>
        <v>#DIV/0!</v>
      </c>
      <c r="M147" s="57" t="e">
        <f t="shared" si="68"/>
        <v>#DIV/0!</v>
      </c>
      <c r="N147" s="57" t="e">
        <f t="shared" si="69"/>
        <v>#DIV/0!</v>
      </c>
      <c r="O147" s="58" t="e">
        <f>Links!B147</f>
        <v>#DIV/0!</v>
      </c>
      <c r="P147" s="58" t="e">
        <f>Links!C147+'On-Ramps'!AC147</f>
        <v>#DIV/0!</v>
      </c>
      <c r="Q147" s="58" t="e">
        <f>Links!D147</f>
        <v>#DIV/0!</v>
      </c>
      <c r="R147" s="58" t="e">
        <f>Links!E147+'On-Ramps'!AD147</f>
        <v>#DIV/0!</v>
      </c>
      <c r="S147" s="58" t="e">
        <f>Links!F147+'On-Ramps'!AE147</f>
        <v>#DIV/0!</v>
      </c>
      <c r="T147" s="58" t="e">
        <f>Links!I147+'On-Ramps'!AF147</f>
        <v>#DIV/0!</v>
      </c>
      <c r="U147" s="58" t="e">
        <f>Links!J147+'On-Ramps'!AG147</f>
        <v>#DIV/0!</v>
      </c>
      <c r="V147" s="58" t="e">
        <f>Links!L147+'On-Ramps'!AH147</f>
        <v>#DIV/0!</v>
      </c>
      <c r="W147" s="58" t="e">
        <f>Links!M147+'On-Ramps'!AI147</f>
        <v>#DIV/0!</v>
      </c>
      <c r="X147" s="58" t="e">
        <f>Links!P147+'On-Ramps'!AJ147</f>
        <v>#DIV/0!</v>
      </c>
      <c r="Y147" s="58" t="e">
        <f>Links!Q147</f>
        <v>#DIV/0!</v>
      </c>
      <c r="Z147" s="58" t="e">
        <f>Links!R147+'On-Ramps'!AK147</f>
        <v>#DIV/0!</v>
      </c>
      <c r="AA147" s="58" t="e">
        <f>Links!S147</f>
        <v>#DIV/0!</v>
      </c>
      <c r="AB147" s="57" t="e">
        <f t="shared" si="70"/>
        <v>#DIV/0!</v>
      </c>
      <c r="AC147" s="63"/>
      <c r="AD147" s="57" t="e">
        <f t="shared" si="71"/>
        <v>#DIV/0!</v>
      </c>
      <c r="AE147" s="63"/>
      <c r="AF147" s="57" t="e">
        <f t="shared" si="72"/>
        <v>#DIV/0!</v>
      </c>
      <c r="AG147" s="57" t="e">
        <f t="shared" si="73"/>
        <v>#DIV/0!</v>
      </c>
      <c r="AH147" s="57" t="e">
        <f t="shared" si="74"/>
        <v>#DIV/0!</v>
      </c>
      <c r="AI147" s="57" t="e">
        <f t="shared" si="75"/>
        <v>#DIV/0!</v>
      </c>
      <c r="AJ147" s="57" t="e">
        <f t="shared" si="76"/>
        <v>#DIV/0!</v>
      </c>
      <c r="AK147" s="57" t="e">
        <f t="shared" si="77"/>
        <v>#DIV/0!</v>
      </c>
      <c r="AL147" s="57" t="e">
        <f t="shared" si="78"/>
        <v>#DIV/0!</v>
      </c>
      <c r="AM147" s="63"/>
      <c r="AN147" s="57" t="e">
        <f t="shared" si="53"/>
        <v>#DIV/0!</v>
      </c>
      <c r="AO147" s="58" t="e">
        <f t="shared" si="56"/>
        <v>#DIV/0!</v>
      </c>
      <c r="AP147" s="63"/>
      <c r="AQ147" s="58" t="e">
        <f t="shared" si="79"/>
        <v>#DIV/0!</v>
      </c>
      <c r="AR147" s="63"/>
      <c r="AS147" s="58" t="e">
        <f t="shared" si="79"/>
        <v>#DIV/0!</v>
      </c>
      <c r="AT147" s="58" t="e">
        <f t="shared" si="79"/>
        <v>#DIV/0!</v>
      </c>
      <c r="AU147" s="58" t="e">
        <f t="shared" si="79"/>
        <v>#DIV/0!</v>
      </c>
      <c r="AV147" s="58" t="e">
        <f t="shared" si="79"/>
        <v>#DIV/0!</v>
      </c>
      <c r="AW147" s="58" t="e">
        <f t="shared" si="79"/>
        <v>#DIV/0!</v>
      </c>
      <c r="AX147" s="58" t="e">
        <f t="shared" si="79"/>
        <v>#DIV/0!</v>
      </c>
      <c r="AY147" s="58" t="e">
        <f t="shared" si="79"/>
        <v>#DIV/0!</v>
      </c>
      <c r="AZ147" s="63"/>
      <c r="BA147" s="58" t="e">
        <f t="shared" si="79"/>
        <v>#DIV/0!</v>
      </c>
      <c r="BB147" s="63"/>
      <c r="BC147" s="57" t="e">
        <f>(Links!C147*Links!AQ147+'On-Ramps'!AC147*'On-Ramps'!CE147)/('On-Ramps'!AC147+Links!C147)</f>
        <v>#DIV/0!</v>
      </c>
      <c r="BD147" s="63"/>
      <c r="BE147" s="57" t="e">
        <f>(Links!E147*Links!AS147+'On-Ramps'!AD147*'On-Ramps'!CF146)/('On-Ramps'!AD147+Links!E147)</f>
        <v>#DIV/0!</v>
      </c>
      <c r="BF147" s="57" t="e">
        <f>(Links!F147*Links!AT147+'On-Ramps'!AE147*'On-Ramps'!CG147)/('On-Ramps'!AE147+Links!F147)</f>
        <v>#DIV/0!</v>
      </c>
      <c r="BG147" s="57" t="e">
        <f>(Links!I147*Links!AW147+'On-Ramps'!AF147*'On-Ramps'!CH147)/('On-Ramps'!AF147+Links!I147)</f>
        <v>#DIV/0!</v>
      </c>
      <c r="BH147" s="57" t="e">
        <f>(#REF!*#REF!+'On-Ramps'!AG147*'On-Ramps'!CI147)/('On-Ramps'!AG147+#REF!)</f>
        <v>#REF!</v>
      </c>
      <c r="BI147" s="57" t="e">
        <f>(Links!L147*Links!AZ147+'On-Ramps'!AH147*'On-Ramps'!CJ147)/('On-Ramps'!AH147+Links!L147)</f>
        <v>#DIV/0!</v>
      </c>
      <c r="BJ147" s="57" t="e">
        <f>(Links!BA147*Links!M147+'On-Ramps'!AI147*'On-Ramps'!CK147)/('On-Ramps'!AI147+Links!M147)</f>
        <v>#DIV/0!</v>
      </c>
      <c r="BK147" s="57" t="e">
        <f>(Links!S147*Links!BG147+'On-Ramps'!AJ147*'On-Ramps'!CL147)/('On-Ramps'!AJ147+Links!S147)</f>
        <v>#DIV/0!</v>
      </c>
      <c r="BL147" s="63"/>
      <c r="BM147" s="57" t="e">
        <f>(Links!S147*Links!BG147+'On-Ramps'!AL147*'On-Ramps'!CM147)/(Links!S147+'On-Ramps'!AL147)</f>
        <v>#DIV/0!</v>
      </c>
      <c r="BN147" s="63"/>
      <c r="BO147" s="58" t="e">
        <f>(Links!W147^2+'Off-Ramp'!L147^2)/(Links!W147+'Off-Ramp'!L147)</f>
        <v>#DIV/0!</v>
      </c>
      <c r="BP147" s="63"/>
      <c r="BQ147" s="58" t="e">
        <f>(Links!Y147^2+'Off-Ramp'!C147^2)/(Links!Y147+'Off-Ramp'!C147)</f>
        <v>#DIV/0!</v>
      </c>
      <c r="BR147" s="63"/>
      <c r="BS147" s="58" t="e">
        <f>(Links!AA147^2+'Off-Ramp'!N147^2)/(Links!AA147+'Off-Ramp'!N147)</f>
        <v>#DIV/0!</v>
      </c>
      <c r="BT147" s="58" t="e">
        <f>(Links!AD147^2+'Off-Ramp'!O147^2)/(Links!AD147+'Off-Ramp'!O147)</f>
        <v>#DIV/0!</v>
      </c>
      <c r="BU147" s="58" t="e">
        <f>(Links!AE147^2+'Off-Ramp'!V147^2+'Off-Ramp'!W147^2+'Off-Ramp'!X147^2)/(Links!AE147+'Off-Ramp'!V147+'Off-Ramp'!W147+'Off-Ramp'!X147)</f>
        <v>#DIV/0!</v>
      </c>
      <c r="BV147" s="58" t="e">
        <f>(Links!AG147^2+'Off-Ramp'!Y147^2+'Off-Ramp'!Z147^2+'Off-Ramp'!AA147^2)/(Links!AG147+'Off-Ramp'!Y147+'Off-Ramp'!Z147+'Off-Ramp'!AA147)</f>
        <v>#DIV/0!</v>
      </c>
      <c r="BW147" s="58" t="e">
        <f>(Links!AH147^2+'Off-Ramp'!R147^2)/(Links!AH147+'Off-Ramp'!R147)</f>
        <v>#DIV/0!</v>
      </c>
      <c r="BX147" s="58" t="e">
        <f>(Links!AK147^2+'Off-Ramp'!S147^2)/(Links!AK147+'Off-Ramp'!S147)</f>
        <v>#DIV/0!</v>
      </c>
      <c r="BY147" s="58" t="e">
        <f>(Links!AL147^2+'Off-Ramp'!T147^2)/(Links!AL147+'Off-Ramp'!T147)</f>
        <v>#DIV/0!</v>
      </c>
      <c r="BZ147" s="63"/>
      <c r="CA147" s="58" t="e">
        <f>(Links!AN147^2+'Off-Ramp'!U147^2)/(Links!AN147+'Off-Ramp'!U147)</f>
        <v>#DIV/0!</v>
      </c>
    </row>
    <row r="148" spans="1:79" x14ac:dyDescent="0.15">
      <c r="A148" s="56">
        <v>146</v>
      </c>
      <c r="B148" s="57" t="e">
        <f t="shared" si="57"/>
        <v>#DIV/0!</v>
      </c>
      <c r="C148" s="57" t="e">
        <f t="shared" si="58"/>
        <v>#DIV/0!</v>
      </c>
      <c r="D148" s="57" t="e">
        <f t="shared" si="59"/>
        <v>#DIV/0!</v>
      </c>
      <c r="E148" s="57" t="e">
        <f t="shared" si="60"/>
        <v>#DIV/0!</v>
      </c>
      <c r="F148" s="57" t="e">
        <f t="shared" si="61"/>
        <v>#DIV/0!</v>
      </c>
      <c r="G148" s="57" t="e">
        <f t="shared" si="62"/>
        <v>#DIV/0!</v>
      </c>
      <c r="H148" s="57" t="e">
        <f t="shared" si="63"/>
        <v>#DIV/0!</v>
      </c>
      <c r="I148" s="57" t="e">
        <f t="shared" si="64"/>
        <v>#DIV/0!</v>
      </c>
      <c r="J148" s="57" t="e">
        <f t="shared" si="65"/>
        <v>#DIV/0!</v>
      </c>
      <c r="K148" s="57" t="e">
        <f t="shared" si="66"/>
        <v>#DIV/0!</v>
      </c>
      <c r="L148" s="57" t="e">
        <f t="shared" si="67"/>
        <v>#DIV/0!</v>
      </c>
      <c r="M148" s="57" t="e">
        <f t="shared" si="68"/>
        <v>#DIV/0!</v>
      </c>
      <c r="N148" s="57" t="e">
        <f t="shared" si="69"/>
        <v>#DIV/0!</v>
      </c>
      <c r="O148" s="58" t="e">
        <f>Links!B148</f>
        <v>#DIV/0!</v>
      </c>
      <c r="P148" s="58" t="e">
        <f>Links!C148+'On-Ramps'!AC148</f>
        <v>#DIV/0!</v>
      </c>
      <c r="Q148" s="58" t="e">
        <f>Links!D148</f>
        <v>#DIV/0!</v>
      </c>
      <c r="R148" s="58" t="e">
        <f>Links!E148+'On-Ramps'!AD148</f>
        <v>#DIV/0!</v>
      </c>
      <c r="S148" s="58" t="e">
        <f>Links!F148+'On-Ramps'!AE148</f>
        <v>#DIV/0!</v>
      </c>
      <c r="T148" s="58" t="e">
        <f>Links!I148+'On-Ramps'!AF148</f>
        <v>#DIV/0!</v>
      </c>
      <c r="U148" s="58" t="e">
        <f>Links!J148+'On-Ramps'!AG148</f>
        <v>#DIV/0!</v>
      </c>
      <c r="V148" s="58" t="e">
        <f>Links!L148+'On-Ramps'!AH148</f>
        <v>#DIV/0!</v>
      </c>
      <c r="W148" s="58" t="e">
        <f>Links!M148+'On-Ramps'!AI148</f>
        <v>#DIV/0!</v>
      </c>
      <c r="X148" s="58" t="e">
        <f>Links!P148+'On-Ramps'!AJ148</f>
        <v>#DIV/0!</v>
      </c>
      <c r="Y148" s="58" t="e">
        <f>Links!Q148</f>
        <v>#DIV/0!</v>
      </c>
      <c r="Z148" s="58" t="e">
        <f>Links!R148+'On-Ramps'!AK148</f>
        <v>#DIV/0!</v>
      </c>
      <c r="AA148" s="58" t="e">
        <f>Links!S148</f>
        <v>#DIV/0!</v>
      </c>
      <c r="AB148" s="57" t="e">
        <f t="shared" si="70"/>
        <v>#DIV/0!</v>
      </c>
      <c r="AC148" s="63"/>
      <c r="AD148" s="57" t="e">
        <f t="shared" si="71"/>
        <v>#DIV/0!</v>
      </c>
      <c r="AE148" s="63"/>
      <c r="AF148" s="57" t="e">
        <f t="shared" si="72"/>
        <v>#DIV/0!</v>
      </c>
      <c r="AG148" s="57" t="e">
        <f t="shared" si="73"/>
        <v>#DIV/0!</v>
      </c>
      <c r="AH148" s="57" t="e">
        <f t="shared" si="74"/>
        <v>#DIV/0!</v>
      </c>
      <c r="AI148" s="57" t="e">
        <f t="shared" si="75"/>
        <v>#DIV/0!</v>
      </c>
      <c r="AJ148" s="57" t="e">
        <f t="shared" si="76"/>
        <v>#DIV/0!</v>
      </c>
      <c r="AK148" s="57" t="e">
        <f t="shared" si="77"/>
        <v>#DIV/0!</v>
      </c>
      <c r="AL148" s="57" t="e">
        <f t="shared" si="78"/>
        <v>#DIV/0!</v>
      </c>
      <c r="AM148" s="63"/>
      <c r="AN148" s="57" t="e">
        <f t="shared" ref="AN148:AN182" si="80">BA148*(1-BA148)*AA148</f>
        <v>#DIV/0!</v>
      </c>
      <c r="AO148" s="58" t="e">
        <f t="shared" si="56"/>
        <v>#DIV/0!</v>
      </c>
      <c r="AP148" s="63"/>
      <c r="AQ148" s="58" t="e">
        <f t="shared" si="79"/>
        <v>#DIV/0!</v>
      </c>
      <c r="AR148" s="63"/>
      <c r="AS148" s="58" t="e">
        <f t="shared" si="79"/>
        <v>#DIV/0!</v>
      </c>
      <c r="AT148" s="58" t="e">
        <f t="shared" si="79"/>
        <v>#DIV/0!</v>
      </c>
      <c r="AU148" s="58" t="e">
        <f t="shared" si="79"/>
        <v>#DIV/0!</v>
      </c>
      <c r="AV148" s="58" t="e">
        <f t="shared" si="79"/>
        <v>#DIV/0!</v>
      </c>
      <c r="AW148" s="58" t="e">
        <f t="shared" si="79"/>
        <v>#DIV/0!</v>
      </c>
      <c r="AX148" s="58" t="e">
        <f t="shared" si="79"/>
        <v>#DIV/0!</v>
      </c>
      <c r="AY148" s="58" t="e">
        <f t="shared" si="79"/>
        <v>#DIV/0!</v>
      </c>
      <c r="AZ148" s="63"/>
      <c r="BA148" s="58" t="e">
        <f t="shared" si="79"/>
        <v>#DIV/0!</v>
      </c>
      <c r="BB148" s="63"/>
      <c r="BC148" s="57" t="e">
        <f>(Links!C148*Links!AQ148+'On-Ramps'!AC148*'On-Ramps'!CE148)/('On-Ramps'!AC148+Links!C148)</f>
        <v>#DIV/0!</v>
      </c>
      <c r="BD148" s="63"/>
      <c r="BE148" s="57" t="e">
        <f>(Links!E148*Links!AS148+'On-Ramps'!AD148*'On-Ramps'!CF147)/('On-Ramps'!AD148+Links!E148)</f>
        <v>#DIV/0!</v>
      </c>
      <c r="BF148" s="57" t="e">
        <f>(Links!F148*Links!AT148+'On-Ramps'!AE148*'On-Ramps'!CG148)/('On-Ramps'!AE148+Links!F148)</f>
        <v>#DIV/0!</v>
      </c>
      <c r="BG148" s="57" t="e">
        <f>(Links!I148*Links!AW148+'On-Ramps'!AF148*'On-Ramps'!CH148)/('On-Ramps'!AF148+Links!I148)</f>
        <v>#DIV/0!</v>
      </c>
      <c r="BH148" s="57" t="e">
        <f>(#REF!*#REF!+'On-Ramps'!AG148*'On-Ramps'!CI148)/('On-Ramps'!AG148+#REF!)</f>
        <v>#REF!</v>
      </c>
      <c r="BI148" s="57" t="e">
        <f>(Links!L148*Links!AZ148+'On-Ramps'!AH148*'On-Ramps'!CJ148)/('On-Ramps'!AH148+Links!L148)</f>
        <v>#DIV/0!</v>
      </c>
      <c r="BJ148" s="57" t="e">
        <f>(Links!BA148*Links!M148+'On-Ramps'!AI148*'On-Ramps'!CK148)/('On-Ramps'!AI148+Links!M148)</f>
        <v>#DIV/0!</v>
      </c>
      <c r="BK148" s="57" t="e">
        <f>(Links!S148*Links!BG148+'On-Ramps'!AJ148*'On-Ramps'!CL148)/('On-Ramps'!AJ148+Links!S148)</f>
        <v>#DIV/0!</v>
      </c>
      <c r="BL148" s="63"/>
      <c r="BM148" s="57" t="e">
        <f>(Links!S148*Links!BG148+'On-Ramps'!AL148*'On-Ramps'!CM148)/(Links!S148+'On-Ramps'!AL148)</f>
        <v>#DIV/0!</v>
      </c>
      <c r="BN148" s="63"/>
      <c r="BO148" s="58" t="e">
        <f>(Links!W148^2+'Off-Ramp'!L148^2)/(Links!W148+'Off-Ramp'!L148)</f>
        <v>#DIV/0!</v>
      </c>
      <c r="BP148" s="63"/>
      <c r="BQ148" s="58" t="e">
        <f>(Links!Y148^2+'Off-Ramp'!C148^2)/(Links!Y148+'Off-Ramp'!C148)</f>
        <v>#DIV/0!</v>
      </c>
      <c r="BR148" s="63"/>
      <c r="BS148" s="58" t="e">
        <f>(Links!AA148^2+'Off-Ramp'!N148^2)/(Links!AA148+'Off-Ramp'!N148)</f>
        <v>#DIV/0!</v>
      </c>
      <c r="BT148" s="58" t="e">
        <f>(Links!AD148^2+'Off-Ramp'!O148^2)/(Links!AD148+'Off-Ramp'!O148)</f>
        <v>#DIV/0!</v>
      </c>
      <c r="BU148" s="58" t="e">
        <f>(Links!AE148^2+'Off-Ramp'!V148^2+'Off-Ramp'!W148^2+'Off-Ramp'!X148^2)/(Links!AE148+'Off-Ramp'!V148+'Off-Ramp'!W148+'Off-Ramp'!X148)</f>
        <v>#DIV/0!</v>
      </c>
      <c r="BV148" s="58" t="e">
        <f>(Links!AG148^2+'Off-Ramp'!Y148^2+'Off-Ramp'!Z148^2+'Off-Ramp'!AA148^2)/(Links!AG148+'Off-Ramp'!Y148+'Off-Ramp'!Z148+'Off-Ramp'!AA148)</f>
        <v>#DIV/0!</v>
      </c>
      <c r="BW148" s="58" t="e">
        <f>(Links!AH148^2+'Off-Ramp'!R148^2)/(Links!AH148+'Off-Ramp'!R148)</f>
        <v>#DIV/0!</v>
      </c>
      <c r="BX148" s="58" t="e">
        <f>(Links!AK148^2+'Off-Ramp'!S148^2)/(Links!AK148+'Off-Ramp'!S148)</f>
        <v>#DIV/0!</v>
      </c>
      <c r="BY148" s="58" t="e">
        <f>(Links!AL148^2+'Off-Ramp'!T148^2)/(Links!AL148+'Off-Ramp'!T148)</f>
        <v>#DIV/0!</v>
      </c>
      <c r="BZ148" s="63"/>
      <c r="CA148" s="58" t="e">
        <f>(Links!AN148^2+'Off-Ramp'!U148^2)/(Links!AN148+'Off-Ramp'!U148)</f>
        <v>#DIV/0!</v>
      </c>
    </row>
    <row r="149" spans="1:79" x14ac:dyDescent="0.15">
      <c r="A149" s="56">
        <v>147</v>
      </c>
      <c r="B149" s="57" t="e">
        <f t="shared" si="57"/>
        <v>#DIV/0!</v>
      </c>
      <c r="C149" s="57" t="e">
        <f t="shared" si="58"/>
        <v>#DIV/0!</v>
      </c>
      <c r="D149" s="57" t="e">
        <f t="shared" si="59"/>
        <v>#DIV/0!</v>
      </c>
      <c r="E149" s="57" t="e">
        <f t="shared" si="60"/>
        <v>#DIV/0!</v>
      </c>
      <c r="F149" s="57" t="e">
        <f t="shared" si="61"/>
        <v>#DIV/0!</v>
      </c>
      <c r="G149" s="57" t="e">
        <f t="shared" si="62"/>
        <v>#DIV/0!</v>
      </c>
      <c r="H149" s="57" t="e">
        <f t="shared" si="63"/>
        <v>#DIV/0!</v>
      </c>
      <c r="I149" s="57" t="e">
        <f t="shared" si="64"/>
        <v>#DIV/0!</v>
      </c>
      <c r="J149" s="57" t="e">
        <f t="shared" si="65"/>
        <v>#DIV/0!</v>
      </c>
      <c r="K149" s="57" t="e">
        <f t="shared" si="66"/>
        <v>#DIV/0!</v>
      </c>
      <c r="L149" s="57" t="e">
        <f t="shared" si="67"/>
        <v>#DIV/0!</v>
      </c>
      <c r="M149" s="57" t="e">
        <f t="shared" si="68"/>
        <v>#DIV/0!</v>
      </c>
      <c r="N149" s="57" t="e">
        <f t="shared" si="69"/>
        <v>#DIV/0!</v>
      </c>
      <c r="O149" s="58" t="e">
        <f>Links!B149</f>
        <v>#DIV/0!</v>
      </c>
      <c r="P149" s="58" t="e">
        <f>Links!C149+'On-Ramps'!AC149</f>
        <v>#DIV/0!</v>
      </c>
      <c r="Q149" s="58" t="e">
        <f>Links!D149</f>
        <v>#DIV/0!</v>
      </c>
      <c r="R149" s="58" t="e">
        <f>Links!E149+'On-Ramps'!AD149</f>
        <v>#DIV/0!</v>
      </c>
      <c r="S149" s="58" t="e">
        <f>Links!F149+'On-Ramps'!AE149</f>
        <v>#DIV/0!</v>
      </c>
      <c r="T149" s="58" t="e">
        <f>Links!I149+'On-Ramps'!AF149</f>
        <v>#DIV/0!</v>
      </c>
      <c r="U149" s="58" t="e">
        <f>Links!J149+'On-Ramps'!AG149</f>
        <v>#DIV/0!</v>
      </c>
      <c r="V149" s="58" t="e">
        <f>Links!L149+'On-Ramps'!AH149</f>
        <v>#DIV/0!</v>
      </c>
      <c r="W149" s="58" t="e">
        <f>Links!M149+'On-Ramps'!AI149</f>
        <v>#DIV/0!</v>
      </c>
      <c r="X149" s="58" t="e">
        <f>Links!P149+'On-Ramps'!AJ149</f>
        <v>#DIV/0!</v>
      </c>
      <c r="Y149" s="58" t="e">
        <f>Links!Q149</f>
        <v>#DIV/0!</v>
      </c>
      <c r="Z149" s="58" t="e">
        <f>Links!R149+'On-Ramps'!AK149</f>
        <v>#DIV/0!</v>
      </c>
      <c r="AA149" s="58" t="e">
        <f>Links!S149</f>
        <v>#DIV/0!</v>
      </c>
      <c r="AB149" s="57" t="e">
        <f t="shared" si="70"/>
        <v>#DIV/0!</v>
      </c>
      <c r="AC149" s="63"/>
      <c r="AD149" s="57" t="e">
        <f t="shared" si="71"/>
        <v>#DIV/0!</v>
      </c>
      <c r="AE149" s="63"/>
      <c r="AF149" s="57" t="e">
        <f t="shared" si="72"/>
        <v>#DIV/0!</v>
      </c>
      <c r="AG149" s="57" t="e">
        <f t="shared" si="73"/>
        <v>#DIV/0!</v>
      </c>
      <c r="AH149" s="57" t="e">
        <f t="shared" si="74"/>
        <v>#DIV/0!</v>
      </c>
      <c r="AI149" s="57" t="e">
        <f t="shared" si="75"/>
        <v>#DIV/0!</v>
      </c>
      <c r="AJ149" s="57" t="e">
        <f t="shared" si="76"/>
        <v>#DIV/0!</v>
      </c>
      <c r="AK149" s="57" t="e">
        <f t="shared" si="77"/>
        <v>#DIV/0!</v>
      </c>
      <c r="AL149" s="57" t="e">
        <f t="shared" si="78"/>
        <v>#DIV/0!</v>
      </c>
      <c r="AM149" s="63"/>
      <c r="AN149" s="57" t="e">
        <f t="shared" si="80"/>
        <v>#DIV/0!</v>
      </c>
      <c r="AO149" s="58" t="e">
        <f t="shared" si="56"/>
        <v>#DIV/0!</v>
      </c>
      <c r="AP149" s="63"/>
      <c r="AQ149" s="58" t="e">
        <f t="shared" si="79"/>
        <v>#DIV/0!</v>
      </c>
      <c r="AR149" s="63"/>
      <c r="AS149" s="58" t="e">
        <f t="shared" si="79"/>
        <v>#DIV/0!</v>
      </c>
      <c r="AT149" s="58" t="e">
        <f t="shared" si="79"/>
        <v>#DIV/0!</v>
      </c>
      <c r="AU149" s="58" t="e">
        <f t="shared" si="79"/>
        <v>#DIV/0!</v>
      </c>
      <c r="AV149" s="58" t="e">
        <f t="shared" si="79"/>
        <v>#DIV/0!</v>
      </c>
      <c r="AW149" s="58" t="e">
        <f t="shared" si="79"/>
        <v>#DIV/0!</v>
      </c>
      <c r="AX149" s="58" t="e">
        <f t="shared" si="79"/>
        <v>#DIV/0!</v>
      </c>
      <c r="AY149" s="58" t="e">
        <f t="shared" si="79"/>
        <v>#DIV/0!</v>
      </c>
      <c r="AZ149" s="63"/>
      <c r="BA149" s="58" t="e">
        <f t="shared" si="79"/>
        <v>#DIV/0!</v>
      </c>
      <c r="BB149" s="63"/>
      <c r="BC149" s="57" t="e">
        <f>(Links!C149*Links!AQ149+'On-Ramps'!AC149*'On-Ramps'!CE149)/('On-Ramps'!AC149+Links!C149)</f>
        <v>#DIV/0!</v>
      </c>
      <c r="BD149" s="63"/>
      <c r="BE149" s="57" t="e">
        <f>(Links!E149*Links!AS149+'On-Ramps'!AD149*'On-Ramps'!CF148)/('On-Ramps'!AD149+Links!E149)</f>
        <v>#DIV/0!</v>
      </c>
      <c r="BF149" s="57" t="e">
        <f>(Links!F149*Links!AT149+'On-Ramps'!AE149*'On-Ramps'!CG149)/('On-Ramps'!AE149+Links!F149)</f>
        <v>#DIV/0!</v>
      </c>
      <c r="BG149" s="57" t="e">
        <f>(Links!I149*Links!AW149+'On-Ramps'!AF149*'On-Ramps'!CH149)/('On-Ramps'!AF149+Links!I149)</f>
        <v>#DIV/0!</v>
      </c>
      <c r="BH149" s="57" t="e">
        <f>(#REF!*#REF!+'On-Ramps'!AG149*'On-Ramps'!CI149)/('On-Ramps'!AG149+#REF!)</f>
        <v>#REF!</v>
      </c>
      <c r="BI149" s="57" t="e">
        <f>(Links!L149*Links!AZ149+'On-Ramps'!AH149*'On-Ramps'!CJ149)/('On-Ramps'!AH149+Links!L149)</f>
        <v>#DIV/0!</v>
      </c>
      <c r="BJ149" s="57" t="e">
        <f>(Links!BA149*Links!M149+'On-Ramps'!AI149*'On-Ramps'!CK149)/('On-Ramps'!AI149+Links!M149)</f>
        <v>#DIV/0!</v>
      </c>
      <c r="BK149" s="57" t="e">
        <f>(Links!S149*Links!BG149+'On-Ramps'!AJ149*'On-Ramps'!CL149)/('On-Ramps'!AJ149+Links!S149)</f>
        <v>#DIV/0!</v>
      </c>
      <c r="BL149" s="63"/>
      <c r="BM149" s="57" t="e">
        <f>(Links!S149*Links!BG149+'On-Ramps'!AL149*'On-Ramps'!CM149)/(Links!S149+'On-Ramps'!AL149)</f>
        <v>#DIV/0!</v>
      </c>
      <c r="BN149" s="63"/>
      <c r="BO149" s="58" t="e">
        <f>(Links!W149^2+'Off-Ramp'!L149^2)/(Links!W149+'Off-Ramp'!L149)</f>
        <v>#DIV/0!</v>
      </c>
      <c r="BP149" s="63"/>
      <c r="BQ149" s="58" t="e">
        <f>(Links!Y149^2+'Off-Ramp'!C149^2)/(Links!Y149+'Off-Ramp'!C149)</f>
        <v>#DIV/0!</v>
      </c>
      <c r="BR149" s="63"/>
      <c r="BS149" s="58" t="e">
        <f>(Links!AA149^2+'Off-Ramp'!N149^2)/(Links!AA149+'Off-Ramp'!N149)</f>
        <v>#DIV/0!</v>
      </c>
      <c r="BT149" s="58" t="e">
        <f>(Links!AD149^2+'Off-Ramp'!O149^2)/(Links!AD149+'Off-Ramp'!O149)</f>
        <v>#DIV/0!</v>
      </c>
      <c r="BU149" s="58" t="e">
        <f>(Links!AE149^2+'Off-Ramp'!V149^2+'Off-Ramp'!W149^2+'Off-Ramp'!X149^2)/(Links!AE149+'Off-Ramp'!V149+'Off-Ramp'!W149+'Off-Ramp'!X149)</f>
        <v>#DIV/0!</v>
      </c>
      <c r="BV149" s="58" t="e">
        <f>(Links!AG149^2+'Off-Ramp'!Y149^2+'Off-Ramp'!Z149^2+'Off-Ramp'!AA149^2)/(Links!AG149+'Off-Ramp'!Y149+'Off-Ramp'!Z149+'Off-Ramp'!AA149)</f>
        <v>#DIV/0!</v>
      </c>
      <c r="BW149" s="58" t="e">
        <f>(Links!AH149^2+'Off-Ramp'!R149^2)/(Links!AH149+'Off-Ramp'!R149)</f>
        <v>#DIV/0!</v>
      </c>
      <c r="BX149" s="58" t="e">
        <f>(Links!AK149^2+'Off-Ramp'!S149^2)/(Links!AK149+'Off-Ramp'!S149)</f>
        <v>#DIV/0!</v>
      </c>
      <c r="BY149" s="58" t="e">
        <f>(Links!AL149^2+'Off-Ramp'!T149^2)/(Links!AL149+'Off-Ramp'!T149)</f>
        <v>#DIV/0!</v>
      </c>
      <c r="BZ149" s="63"/>
      <c r="CA149" s="58" t="e">
        <f>(Links!AN149^2+'Off-Ramp'!U149^2)/(Links!AN149+'Off-Ramp'!U149)</f>
        <v>#DIV/0!</v>
      </c>
    </row>
    <row r="150" spans="1:79" x14ac:dyDescent="0.15">
      <c r="A150" s="56">
        <v>148</v>
      </c>
      <c r="B150" s="57" t="e">
        <f t="shared" si="57"/>
        <v>#DIV/0!</v>
      </c>
      <c r="C150" s="57" t="e">
        <f t="shared" si="58"/>
        <v>#DIV/0!</v>
      </c>
      <c r="D150" s="57" t="e">
        <f t="shared" si="59"/>
        <v>#DIV/0!</v>
      </c>
      <c r="E150" s="57" t="e">
        <f t="shared" si="60"/>
        <v>#DIV/0!</v>
      </c>
      <c r="F150" s="57" t="e">
        <f t="shared" si="61"/>
        <v>#DIV/0!</v>
      </c>
      <c r="G150" s="57" t="e">
        <f t="shared" si="62"/>
        <v>#DIV/0!</v>
      </c>
      <c r="H150" s="57" t="e">
        <f t="shared" si="63"/>
        <v>#DIV/0!</v>
      </c>
      <c r="I150" s="57" t="e">
        <f t="shared" si="64"/>
        <v>#DIV/0!</v>
      </c>
      <c r="J150" s="57" t="e">
        <f t="shared" si="65"/>
        <v>#DIV/0!</v>
      </c>
      <c r="K150" s="57" t="e">
        <f t="shared" si="66"/>
        <v>#DIV/0!</v>
      </c>
      <c r="L150" s="57" t="e">
        <f t="shared" si="67"/>
        <v>#DIV/0!</v>
      </c>
      <c r="M150" s="57" t="e">
        <f t="shared" si="68"/>
        <v>#DIV/0!</v>
      </c>
      <c r="N150" s="57" t="e">
        <f t="shared" si="69"/>
        <v>#DIV/0!</v>
      </c>
      <c r="O150" s="58" t="e">
        <f>Links!B150</f>
        <v>#DIV/0!</v>
      </c>
      <c r="P150" s="58" t="e">
        <f>Links!C150+'On-Ramps'!AC150</f>
        <v>#DIV/0!</v>
      </c>
      <c r="Q150" s="58" t="e">
        <f>Links!D150</f>
        <v>#DIV/0!</v>
      </c>
      <c r="R150" s="58" t="e">
        <f>Links!E150+'On-Ramps'!AD150</f>
        <v>#DIV/0!</v>
      </c>
      <c r="S150" s="58" t="e">
        <f>Links!F150+'On-Ramps'!AE150</f>
        <v>#DIV/0!</v>
      </c>
      <c r="T150" s="58" t="e">
        <f>Links!I150+'On-Ramps'!AF150</f>
        <v>#DIV/0!</v>
      </c>
      <c r="U150" s="58" t="e">
        <f>Links!J150+'On-Ramps'!AG150</f>
        <v>#DIV/0!</v>
      </c>
      <c r="V150" s="58" t="e">
        <f>Links!L150+'On-Ramps'!AH150</f>
        <v>#DIV/0!</v>
      </c>
      <c r="W150" s="58" t="e">
        <f>Links!M150+'On-Ramps'!AI150</f>
        <v>#DIV/0!</v>
      </c>
      <c r="X150" s="58" t="e">
        <f>Links!P150+'On-Ramps'!AJ150</f>
        <v>#DIV/0!</v>
      </c>
      <c r="Y150" s="58" t="e">
        <f>Links!Q150</f>
        <v>#DIV/0!</v>
      </c>
      <c r="Z150" s="58" t="e">
        <f>Links!R150+'On-Ramps'!AK150</f>
        <v>#DIV/0!</v>
      </c>
      <c r="AA150" s="58" t="e">
        <f>Links!S150</f>
        <v>#DIV/0!</v>
      </c>
      <c r="AB150" s="57" t="e">
        <f t="shared" si="70"/>
        <v>#DIV/0!</v>
      </c>
      <c r="AC150" s="63"/>
      <c r="AD150" s="57" t="e">
        <f t="shared" si="71"/>
        <v>#DIV/0!</v>
      </c>
      <c r="AE150" s="63"/>
      <c r="AF150" s="57" t="e">
        <f t="shared" si="72"/>
        <v>#DIV/0!</v>
      </c>
      <c r="AG150" s="57" t="e">
        <f t="shared" si="73"/>
        <v>#DIV/0!</v>
      </c>
      <c r="AH150" s="57" t="e">
        <f t="shared" si="74"/>
        <v>#DIV/0!</v>
      </c>
      <c r="AI150" s="57" t="e">
        <f t="shared" si="75"/>
        <v>#DIV/0!</v>
      </c>
      <c r="AJ150" s="57" t="e">
        <f t="shared" si="76"/>
        <v>#DIV/0!</v>
      </c>
      <c r="AK150" s="57" t="e">
        <f t="shared" si="77"/>
        <v>#DIV/0!</v>
      </c>
      <c r="AL150" s="57" t="e">
        <f t="shared" si="78"/>
        <v>#DIV/0!</v>
      </c>
      <c r="AM150" s="63"/>
      <c r="AN150" s="57" t="e">
        <f t="shared" si="80"/>
        <v>#DIV/0!</v>
      </c>
      <c r="AO150" s="58" t="e">
        <f t="shared" si="56"/>
        <v>#DIV/0!</v>
      </c>
      <c r="AP150" s="63"/>
      <c r="AQ150" s="58" t="e">
        <f t="shared" si="79"/>
        <v>#DIV/0!</v>
      </c>
      <c r="AR150" s="63"/>
      <c r="AS150" s="58" t="e">
        <f t="shared" si="79"/>
        <v>#DIV/0!</v>
      </c>
      <c r="AT150" s="58" t="e">
        <f t="shared" si="79"/>
        <v>#DIV/0!</v>
      </c>
      <c r="AU150" s="58" t="e">
        <f t="shared" si="79"/>
        <v>#DIV/0!</v>
      </c>
      <c r="AV150" s="58" t="e">
        <f t="shared" si="79"/>
        <v>#DIV/0!</v>
      </c>
      <c r="AW150" s="58" t="e">
        <f t="shared" si="79"/>
        <v>#DIV/0!</v>
      </c>
      <c r="AX150" s="58" t="e">
        <f t="shared" si="79"/>
        <v>#DIV/0!</v>
      </c>
      <c r="AY150" s="58" t="e">
        <f t="shared" si="79"/>
        <v>#DIV/0!</v>
      </c>
      <c r="AZ150" s="63"/>
      <c r="BA150" s="58" t="e">
        <f t="shared" si="79"/>
        <v>#DIV/0!</v>
      </c>
      <c r="BB150" s="63"/>
      <c r="BC150" s="57" t="e">
        <f>(Links!C150*Links!AQ150+'On-Ramps'!AC150*'On-Ramps'!CE150)/('On-Ramps'!AC150+Links!C150)</f>
        <v>#DIV/0!</v>
      </c>
      <c r="BD150" s="63"/>
      <c r="BE150" s="57" t="e">
        <f>(Links!E150*Links!AS150+'On-Ramps'!AD150*'On-Ramps'!CF149)/('On-Ramps'!AD150+Links!E150)</f>
        <v>#DIV/0!</v>
      </c>
      <c r="BF150" s="57" t="e">
        <f>(Links!F150*Links!AT150+'On-Ramps'!AE150*'On-Ramps'!CG150)/('On-Ramps'!AE150+Links!F150)</f>
        <v>#DIV/0!</v>
      </c>
      <c r="BG150" s="57" t="e">
        <f>(Links!I150*Links!AW150+'On-Ramps'!AF150*'On-Ramps'!CH150)/('On-Ramps'!AF150+Links!I150)</f>
        <v>#DIV/0!</v>
      </c>
      <c r="BH150" s="57" t="e">
        <f>(#REF!*#REF!+'On-Ramps'!AG150*'On-Ramps'!CI150)/('On-Ramps'!AG150+#REF!)</f>
        <v>#REF!</v>
      </c>
      <c r="BI150" s="57" t="e">
        <f>(Links!L150*Links!AZ150+'On-Ramps'!AH150*'On-Ramps'!CJ150)/('On-Ramps'!AH150+Links!L150)</f>
        <v>#DIV/0!</v>
      </c>
      <c r="BJ150" s="57" t="e">
        <f>(Links!BA150*Links!M150+'On-Ramps'!AI150*'On-Ramps'!CK150)/('On-Ramps'!AI150+Links!M150)</f>
        <v>#DIV/0!</v>
      </c>
      <c r="BK150" s="57" t="e">
        <f>(Links!S150*Links!BG150+'On-Ramps'!AJ150*'On-Ramps'!CL150)/('On-Ramps'!AJ150+Links!S150)</f>
        <v>#DIV/0!</v>
      </c>
      <c r="BL150" s="63"/>
      <c r="BM150" s="57" t="e">
        <f>(Links!S150*Links!BG150+'On-Ramps'!AL150*'On-Ramps'!CM150)/(Links!S150+'On-Ramps'!AL150)</f>
        <v>#DIV/0!</v>
      </c>
      <c r="BN150" s="63"/>
      <c r="BO150" s="58" t="e">
        <f>(Links!W150^2+'Off-Ramp'!L150^2)/(Links!W150+'Off-Ramp'!L150)</f>
        <v>#DIV/0!</v>
      </c>
      <c r="BP150" s="63"/>
      <c r="BQ150" s="58" t="e">
        <f>(Links!Y150^2+'Off-Ramp'!C150^2)/(Links!Y150+'Off-Ramp'!C150)</f>
        <v>#DIV/0!</v>
      </c>
      <c r="BR150" s="63"/>
      <c r="BS150" s="58" t="e">
        <f>(Links!AA150^2+'Off-Ramp'!N150^2)/(Links!AA150+'Off-Ramp'!N150)</f>
        <v>#DIV/0!</v>
      </c>
      <c r="BT150" s="58" t="e">
        <f>(Links!AD150^2+'Off-Ramp'!O150^2)/(Links!AD150+'Off-Ramp'!O150)</f>
        <v>#DIV/0!</v>
      </c>
      <c r="BU150" s="58" t="e">
        <f>(Links!AE150^2+'Off-Ramp'!V150^2+'Off-Ramp'!W150^2+'Off-Ramp'!X150^2)/(Links!AE150+'Off-Ramp'!V150+'Off-Ramp'!W150+'Off-Ramp'!X150)</f>
        <v>#DIV/0!</v>
      </c>
      <c r="BV150" s="58" t="e">
        <f>(Links!AG150^2+'Off-Ramp'!Y150^2+'Off-Ramp'!Z150^2+'Off-Ramp'!AA150^2)/(Links!AG150+'Off-Ramp'!Y150+'Off-Ramp'!Z150+'Off-Ramp'!AA150)</f>
        <v>#DIV/0!</v>
      </c>
      <c r="BW150" s="58" t="e">
        <f>(Links!AH150^2+'Off-Ramp'!R150^2)/(Links!AH150+'Off-Ramp'!R150)</f>
        <v>#DIV/0!</v>
      </c>
      <c r="BX150" s="58" t="e">
        <f>(Links!AK150^2+'Off-Ramp'!S150^2)/(Links!AK150+'Off-Ramp'!S150)</f>
        <v>#DIV/0!</v>
      </c>
      <c r="BY150" s="58" t="e">
        <f>(Links!AL150^2+'Off-Ramp'!T150^2)/(Links!AL150+'Off-Ramp'!T150)</f>
        <v>#DIV/0!</v>
      </c>
      <c r="BZ150" s="63"/>
      <c r="CA150" s="58" t="e">
        <f>(Links!AN150^2+'Off-Ramp'!U150^2)/(Links!AN150+'Off-Ramp'!U150)</f>
        <v>#DIV/0!</v>
      </c>
    </row>
    <row r="151" spans="1:79" x14ac:dyDescent="0.15">
      <c r="A151" s="56">
        <v>149</v>
      </c>
      <c r="B151" s="57" t="e">
        <f t="shared" si="57"/>
        <v>#DIV/0!</v>
      </c>
      <c r="C151" s="57" t="e">
        <f t="shared" si="58"/>
        <v>#DIV/0!</v>
      </c>
      <c r="D151" s="57" t="e">
        <f t="shared" si="59"/>
        <v>#DIV/0!</v>
      </c>
      <c r="E151" s="57" t="e">
        <f t="shared" si="60"/>
        <v>#DIV/0!</v>
      </c>
      <c r="F151" s="57" t="e">
        <f t="shared" si="61"/>
        <v>#DIV/0!</v>
      </c>
      <c r="G151" s="57" t="e">
        <f t="shared" si="62"/>
        <v>#DIV/0!</v>
      </c>
      <c r="H151" s="57" t="e">
        <f t="shared" si="63"/>
        <v>#DIV/0!</v>
      </c>
      <c r="I151" s="57" t="e">
        <f t="shared" si="64"/>
        <v>#DIV/0!</v>
      </c>
      <c r="J151" s="57" t="e">
        <f t="shared" si="65"/>
        <v>#DIV/0!</v>
      </c>
      <c r="K151" s="57" t="e">
        <f t="shared" si="66"/>
        <v>#DIV/0!</v>
      </c>
      <c r="L151" s="57" t="e">
        <f t="shared" si="67"/>
        <v>#DIV/0!</v>
      </c>
      <c r="M151" s="57" t="e">
        <f t="shared" si="68"/>
        <v>#DIV/0!</v>
      </c>
      <c r="N151" s="57" t="e">
        <f t="shared" si="69"/>
        <v>#DIV/0!</v>
      </c>
      <c r="O151" s="58" t="e">
        <f>Links!B151</f>
        <v>#DIV/0!</v>
      </c>
      <c r="P151" s="58" t="e">
        <f>Links!C151+'On-Ramps'!AC151</f>
        <v>#DIV/0!</v>
      </c>
      <c r="Q151" s="58" t="e">
        <f>Links!D151</f>
        <v>#DIV/0!</v>
      </c>
      <c r="R151" s="58" t="e">
        <f>Links!E151+'On-Ramps'!AD151</f>
        <v>#DIV/0!</v>
      </c>
      <c r="S151" s="58" t="e">
        <f>Links!F151+'On-Ramps'!AE151</f>
        <v>#DIV/0!</v>
      </c>
      <c r="T151" s="58" t="e">
        <f>Links!I151+'On-Ramps'!AF151</f>
        <v>#DIV/0!</v>
      </c>
      <c r="U151" s="58" t="e">
        <f>Links!J151+'On-Ramps'!AG151</f>
        <v>#DIV/0!</v>
      </c>
      <c r="V151" s="58" t="e">
        <f>Links!L151+'On-Ramps'!AH151</f>
        <v>#DIV/0!</v>
      </c>
      <c r="W151" s="58" t="e">
        <f>Links!M151+'On-Ramps'!AI151</f>
        <v>#DIV/0!</v>
      </c>
      <c r="X151" s="58" t="e">
        <f>Links!P151+'On-Ramps'!AJ151</f>
        <v>#DIV/0!</v>
      </c>
      <c r="Y151" s="58" t="e">
        <f>Links!Q151</f>
        <v>#DIV/0!</v>
      </c>
      <c r="Z151" s="58" t="e">
        <f>Links!R151+'On-Ramps'!AK151</f>
        <v>#DIV/0!</v>
      </c>
      <c r="AA151" s="58" t="e">
        <f>Links!S151</f>
        <v>#DIV/0!</v>
      </c>
      <c r="AB151" s="57" t="e">
        <f t="shared" si="70"/>
        <v>#DIV/0!</v>
      </c>
      <c r="AC151" s="63"/>
      <c r="AD151" s="57" t="e">
        <f t="shared" si="71"/>
        <v>#DIV/0!</v>
      </c>
      <c r="AE151" s="63"/>
      <c r="AF151" s="57" t="e">
        <f t="shared" si="72"/>
        <v>#DIV/0!</v>
      </c>
      <c r="AG151" s="57" t="e">
        <f t="shared" si="73"/>
        <v>#DIV/0!</v>
      </c>
      <c r="AH151" s="57" t="e">
        <f t="shared" si="74"/>
        <v>#DIV/0!</v>
      </c>
      <c r="AI151" s="57" t="e">
        <f t="shared" si="75"/>
        <v>#DIV/0!</v>
      </c>
      <c r="AJ151" s="57" t="e">
        <f t="shared" si="76"/>
        <v>#DIV/0!</v>
      </c>
      <c r="AK151" s="57" t="e">
        <f t="shared" si="77"/>
        <v>#DIV/0!</v>
      </c>
      <c r="AL151" s="57" t="e">
        <f t="shared" si="78"/>
        <v>#DIV/0!</v>
      </c>
      <c r="AM151" s="63"/>
      <c r="AN151" s="57" t="e">
        <f t="shared" si="80"/>
        <v>#DIV/0!</v>
      </c>
      <c r="AO151" s="58" t="e">
        <f t="shared" si="56"/>
        <v>#DIV/0!</v>
      </c>
      <c r="AP151" s="63"/>
      <c r="AQ151" s="58" t="e">
        <f t="shared" si="79"/>
        <v>#DIV/0!</v>
      </c>
      <c r="AR151" s="63"/>
      <c r="AS151" s="58" t="e">
        <f t="shared" si="79"/>
        <v>#DIV/0!</v>
      </c>
      <c r="AT151" s="58" t="e">
        <f t="shared" si="79"/>
        <v>#DIV/0!</v>
      </c>
      <c r="AU151" s="58" t="e">
        <f t="shared" si="79"/>
        <v>#DIV/0!</v>
      </c>
      <c r="AV151" s="58" t="e">
        <f t="shared" si="79"/>
        <v>#DIV/0!</v>
      </c>
      <c r="AW151" s="58" t="e">
        <f t="shared" si="79"/>
        <v>#DIV/0!</v>
      </c>
      <c r="AX151" s="58" t="e">
        <f t="shared" si="79"/>
        <v>#DIV/0!</v>
      </c>
      <c r="AY151" s="58" t="e">
        <f t="shared" si="79"/>
        <v>#DIV/0!</v>
      </c>
      <c r="AZ151" s="63"/>
      <c r="BA151" s="58" t="e">
        <f t="shared" si="79"/>
        <v>#DIV/0!</v>
      </c>
      <c r="BB151" s="63"/>
      <c r="BC151" s="57" t="e">
        <f>(Links!C151*Links!AQ151+'On-Ramps'!AC151*'On-Ramps'!CE151)/('On-Ramps'!AC151+Links!C151)</f>
        <v>#DIV/0!</v>
      </c>
      <c r="BD151" s="63"/>
      <c r="BE151" s="57" t="e">
        <f>(Links!E151*Links!AS151+'On-Ramps'!AD151*'On-Ramps'!CF150)/('On-Ramps'!AD151+Links!E151)</f>
        <v>#DIV/0!</v>
      </c>
      <c r="BF151" s="57" t="e">
        <f>(Links!F151*Links!AT151+'On-Ramps'!AE151*'On-Ramps'!CG151)/('On-Ramps'!AE151+Links!F151)</f>
        <v>#DIV/0!</v>
      </c>
      <c r="BG151" s="57" t="e">
        <f>(Links!I151*Links!AW151+'On-Ramps'!AF151*'On-Ramps'!CH151)/('On-Ramps'!AF151+Links!I151)</f>
        <v>#DIV/0!</v>
      </c>
      <c r="BH151" s="57" t="e">
        <f>(#REF!*#REF!+'On-Ramps'!AG151*'On-Ramps'!CI151)/('On-Ramps'!AG151+#REF!)</f>
        <v>#REF!</v>
      </c>
      <c r="BI151" s="57" t="e">
        <f>(Links!L151*Links!AZ151+'On-Ramps'!AH151*'On-Ramps'!CJ151)/('On-Ramps'!AH151+Links!L151)</f>
        <v>#DIV/0!</v>
      </c>
      <c r="BJ151" s="57" t="e">
        <f>(Links!BA151*Links!M151+'On-Ramps'!AI151*'On-Ramps'!CK151)/('On-Ramps'!AI151+Links!M151)</f>
        <v>#DIV/0!</v>
      </c>
      <c r="BK151" s="57" t="e">
        <f>(Links!S151*Links!BG151+'On-Ramps'!AJ151*'On-Ramps'!CL151)/('On-Ramps'!AJ151+Links!S151)</f>
        <v>#DIV/0!</v>
      </c>
      <c r="BL151" s="63"/>
      <c r="BM151" s="57" t="e">
        <f>(Links!S151*Links!BG151+'On-Ramps'!AL151*'On-Ramps'!CM151)/(Links!S151+'On-Ramps'!AL151)</f>
        <v>#DIV/0!</v>
      </c>
      <c r="BN151" s="63"/>
      <c r="BO151" s="58" t="e">
        <f>(Links!W151^2+'Off-Ramp'!L151^2)/(Links!W151+'Off-Ramp'!L151)</f>
        <v>#DIV/0!</v>
      </c>
      <c r="BP151" s="63"/>
      <c r="BQ151" s="58" t="e">
        <f>(Links!Y151^2+'Off-Ramp'!C151^2)/(Links!Y151+'Off-Ramp'!C151)</f>
        <v>#DIV/0!</v>
      </c>
      <c r="BR151" s="63"/>
      <c r="BS151" s="58" t="e">
        <f>(Links!AA151^2+'Off-Ramp'!N151^2)/(Links!AA151+'Off-Ramp'!N151)</f>
        <v>#DIV/0!</v>
      </c>
      <c r="BT151" s="58" t="e">
        <f>(Links!AD151^2+'Off-Ramp'!O151^2)/(Links!AD151+'Off-Ramp'!O151)</f>
        <v>#DIV/0!</v>
      </c>
      <c r="BU151" s="58" t="e">
        <f>(Links!AE151^2+'Off-Ramp'!V151^2+'Off-Ramp'!W151^2+'Off-Ramp'!X151^2)/(Links!AE151+'Off-Ramp'!V151+'Off-Ramp'!W151+'Off-Ramp'!X151)</f>
        <v>#DIV/0!</v>
      </c>
      <c r="BV151" s="58" t="e">
        <f>(Links!AG151^2+'Off-Ramp'!Y151^2+'Off-Ramp'!Z151^2+'Off-Ramp'!AA151^2)/(Links!AG151+'Off-Ramp'!Y151+'Off-Ramp'!Z151+'Off-Ramp'!AA151)</f>
        <v>#DIV/0!</v>
      </c>
      <c r="BW151" s="58" t="e">
        <f>(Links!AH151^2+'Off-Ramp'!R151^2)/(Links!AH151+'Off-Ramp'!R151)</f>
        <v>#DIV/0!</v>
      </c>
      <c r="BX151" s="58" t="e">
        <f>(Links!AK151^2+'Off-Ramp'!S151^2)/(Links!AK151+'Off-Ramp'!S151)</f>
        <v>#DIV/0!</v>
      </c>
      <c r="BY151" s="58" t="e">
        <f>(Links!AL151^2+'Off-Ramp'!T151^2)/(Links!AL151+'Off-Ramp'!T151)</f>
        <v>#DIV/0!</v>
      </c>
      <c r="BZ151" s="63"/>
      <c r="CA151" s="58" t="e">
        <f>(Links!AN151^2+'Off-Ramp'!U151^2)/(Links!AN151+'Off-Ramp'!U151)</f>
        <v>#DIV/0!</v>
      </c>
    </row>
    <row r="152" spans="1:79" x14ac:dyDescent="0.15">
      <c r="A152" s="56">
        <v>150</v>
      </c>
      <c r="B152" s="57" t="e">
        <f t="shared" si="57"/>
        <v>#DIV/0!</v>
      </c>
      <c r="C152" s="57" t="e">
        <f t="shared" si="58"/>
        <v>#DIV/0!</v>
      </c>
      <c r="D152" s="57" t="e">
        <f t="shared" si="59"/>
        <v>#DIV/0!</v>
      </c>
      <c r="E152" s="57" t="e">
        <f t="shared" si="60"/>
        <v>#DIV/0!</v>
      </c>
      <c r="F152" s="57" t="e">
        <f t="shared" si="61"/>
        <v>#DIV/0!</v>
      </c>
      <c r="G152" s="57" t="e">
        <f t="shared" si="62"/>
        <v>#DIV/0!</v>
      </c>
      <c r="H152" s="57" t="e">
        <f t="shared" si="63"/>
        <v>#DIV/0!</v>
      </c>
      <c r="I152" s="57" t="e">
        <f t="shared" si="64"/>
        <v>#DIV/0!</v>
      </c>
      <c r="J152" s="57" t="e">
        <f t="shared" si="65"/>
        <v>#DIV/0!</v>
      </c>
      <c r="K152" s="57" t="e">
        <f t="shared" si="66"/>
        <v>#DIV/0!</v>
      </c>
      <c r="L152" s="57" t="e">
        <f t="shared" si="67"/>
        <v>#DIV/0!</v>
      </c>
      <c r="M152" s="57" t="e">
        <f t="shared" si="68"/>
        <v>#DIV/0!</v>
      </c>
      <c r="N152" s="57" t="e">
        <f t="shared" si="69"/>
        <v>#DIV/0!</v>
      </c>
      <c r="O152" s="58" t="e">
        <f>Links!B152</f>
        <v>#DIV/0!</v>
      </c>
      <c r="P152" s="58" t="e">
        <f>Links!C152+'On-Ramps'!AC152</f>
        <v>#DIV/0!</v>
      </c>
      <c r="Q152" s="58" t="e">
        <f>Links!D152</f>
        <v>#DIV/0!</v>
      </c>
      <c r="R152" s="58" t="e">
        <f>Links!E152+'On-Ramps'!AD152</f>
        <v>#DIV/0!</v>
      </c>
      <c r="S152" s="58" t="e">
        <f>Links!F152+'On-Ramps'!AE152</f>
        <v>#DIV/0!</v>
      </c>
      <c r="T152" s="58" t="e">
        <f>Links!I152+'On-Ramps'!AF152</f>
        <v>#DIV/0!</v>
      </c>
      <c r="U152" s="58" t="e">
        <f>Links!J152+'On-Ramps'!AG152</f>
        <v>#DIV/0!</v>
      </c>
      <c r="V152" s="58" t="e">
        <f>Links!L152+'On-Ramps'!AH152</f>
        <v>#DIV/0!</v>
      </c>
      <c r="W152" s="58" t="e">
        <f>Links!M152+'On-Ramps'!AI152</f>
        <v>#DIV/0!</v>
      </c>
      <c r="X152" s="58" t="e">
        <f>Links!P152+'On-Ramps'!AJ152</f>
        <v>#DIV/0!</v>
      </c>
      <c r="Y152" s="58" t="e">
        <f>Links!Q152</f>
        <v>#DIV/0!</v>
      </c>
      <c r="Z152" s="58" t="e">
        <f>Links!R152+'On-Ramps'!AK152</f>
        <v>#DIV/0!</v>
      </c>
      <c r="AA152" s="58" t="e">
        <f>Links!S152</f>
        <v>#DIV/0!</v>
      </c>
      <c r="AB152" s="57" t="e">
        <f t="shared" si="70"/>
        <v>#DIV/0!</v>
      </c>
      <c r="AC152" s="63"/>
      <c r="AD152" s="57" t="e">
        <f t="shared" si="71"/>
        <v>#DIV/0!</v>
      </c>
      <c r="AE152" s="63"/>
      <c r="AF152" s="57" t="e">
        <f t="shared" si="72"/>
        <v>#DIV/0!</v>
      </c>
      <c r="AG152" s="57" t="e">
        <f t="shared" si="73"/>
        <v>#DIV/0!</v>
      </c>
      <c r="AH152" s="57" t="e">
        <f t="shared" si="74"/>
        <v>#DIV/0!</v>
      </c>
      <c r="AI152" s="57" t="e">
        <f t="shared" si="75"/>
        <v>#DIV/0!</v>
      </c>
      <c r="AJ152" s="57" t="e">
        <f t="shared" si="76"/>
        <v>#DIV/0!</v>
      </c>
      <c r="AK152" s="57" t="e">
        <f t="shared" si="77"/>
        <v>#DIV/0!</v>
      </c>
      <c r="AL152" s="57" t="e">
        <f t="shared" si="78"/>
        <v>#DIV/0!</v>
      </c>
      <c r="AM152" s="63"/>
      <c r="AN152" s="57" t="e">
        <f t="shared" si="80"/>
        <v>#DIV/0!</v>
      </c>
      <c r="AO152" s="58" t="e">
        <f t="shared" si="56"/>
        <v>#DIV/0!</v>
      </c>
      <c r="AP152" s="63"/>
      <c r="AQ152" s="58" t="e">
        <f t="shared" si="79"/>
        <v>#DIV/0!</v>
      </c>
      <c r="AR152" s="63"/>
      <c r="AS152" s="58" t="e">
        <f t="shared" si="79"/>
        <v>#DIV/0!</v>
      </c>
      <c r="AT152" s="58" t="e">
        <f t="shared" si="79"/>
        <v>#DIV/0!</v>
      </c>
      <c r="AU152" s="58" t="e">
        <f t="shared" si="79"/>
        <v>#DIV/0!</v>
      </c>
      <c r="AV152" s="58" t="e">
        <f t="shared" si="79"/>
        <v>#DIV/0!</v>
      </c>
      <c r="AW152" s="58" t="e">
        <f t="shared" si="79"/>
        <v>#DIV/0!</v>
      </c>
      <c r="AX152" s="58" t="e">
        <f t="shared" si="79"/>
        <v>#DIV/0!</v>
      </c>
      <c r="AY152" s="58" t="e">
        <f t="shared" si="79"/>
        <v>#DIV/0!</v>
      </c>
      <c r="AZ152" s="63"/>
      <c r="BA152" s="58" t="e">
        <f t="shared" si="79"/>
        <v>#DIV/0!</v>
      </c>
      <c r="BB152" s="63"/>
      <c r="BC152" s="57" t="e">
        <f>(Links!C152*Links!AQ152+'On-Ramps'!AC152*'On-Ramps'!CE152)/('On-Ramps'!AC152+Links!C152)</f>
        <v>#DIV/0!</v>
      </c>
      <c r="BD152" s="63"/>
      <c r="BE152" s="57" t="e">
        <f>(Links!E152*Links!AS152+'On-Ramps'!AD152*'On-Ramps'!CF151)/('On-Ramps'!AD152+Links!E152)</f>
        <v>#DIV/0!</v>
      </c>
      <c r="BF152" s="57" t="e">
        <f>(Links!F152*Links!AT152+'On-Ramps'!AE152*'On-Ramps'!CG152)/('On-Ramps'!AE152+Links!F152)</f>
        <v>#DIV/0!</v>
      </c>
      <c r="BG152" s="57" t="e">
        <f>(Links!I152*Links!AW152+'On-Ramps'!AF152*'On-Ramps'!CH152)/('On-Ramps'!AF152+Links!I152)</f>
        <v>#DIV/0!</v>
      </c>
      <c r="BH152" s="57" t="e">
        <f>(#REF!*#REF!+'On-Ramps'!AG152*'On-Ramps'!CI152)/('On-Ramps'!AG152+#REF!)</f>
        <v>#REF!</v>
      </c>
      <c r="BI152" s="57" t="e">
        <f>(Links!L152*Links!AZ152+'On-Ramps'!AH152*'On-Ramps'!CJ152)/('On-Ramps'!AH152+Links!L152)</f>
        <v>#DIV/0!</v>
      </c>
      <c r="BJ152" s="57" t="e">
        <f>(Links!BA152*Links!M152+'On-Ramps'!AI152*'On-Ramps'!CK152)/('On-Ramps'!AI152+Links!M152)</f>
        <v>#DIV/0!</v>
      </c>
      <c r="BK152" s="57" t="e">
        <f>(Links!S152*Links!BG152+'On-Ramps'!AJ152*'On-Ramps'!CL152)/('On-Ramps'!AJ152+Links!S152)</f>
        <v>#DIV/0!</v>
      </c>
      <c r="BL152" s="63"/>
      <c r="BM152" s="57" t="e">
        <f>(Links!S152*Links!BG152+'On-Ramps'!AL152*'On-Ramps'!CM152)/(Links!S152+'On-Ramps'!AL152)</f>
        <v>#DIV/0!</v>
      </c>
      <c r="BN152" s="63"/>
      <c r="BO152" s="58" t="e">
        <f>(Links!W152^2+'Off-Ramp'!L152^2)/(Links!W152+'Off-Ramp'!L152)</f>
        <v>#DIV/0!</v>
      </c>
      <c r="BP152" s="63"/>
      <c r="BQ152" s="58" t="e">
        <f>(Links!Y152^2+'Off-Ramp'!C152^2)/(Links!Y152+'Off-Ramp'!C152)</f>
        <v>#DIV/0!</v>
      </c>
      <c r="BR152" s="63"/>
      <c r="BS152" s="58" t="e">
        <f>(Links!AA152^2+'Off-Ramp'!N152^2)/(Links!AA152+'Off-Ramp'!N152)</f>
        <v>#DIV/0!</v>
      </c>
      <c r="BT152" s="58" t="e">
        <f>(Links!AD152^2+'Off-Ramp'!O152^2)/(Links!AD152+'Off-Ramp'!O152)</f>
        <v>#DIV/0!</v>
      </c>
      <c r="BU152" s="58" t="e">
        <f>(Links!AE152^2+'Off-Ramp'!V152^2+'Off-Ramp'!W152^2+'Off-Ramp'!X152^2)/(Links!AE152+'Off-Ramp'!V152+'Off-Ramp'!W152+'Off-Ramp'!X152)</f>
        <v>#DIV/0!</v>
      </c>
      <c r="BV152" s="58" t="e">
        <f>(Links!AG152^2+'Off-Ramp'!Y152^2+'Off-Ramp'!Z152^2+'Off-Ramp'!AA152^2)/(Links!AG152+'Off-Ramp'!Y152+'Off-Ramp'!Z152+'Off-Ramp'!AA152)</f>
        <v>#DIV/0!</v>
      </c>
      <c r="BW152" s="58" t="e">
        <f>(Links!AH152^2+'Off-Ramp'!R152^2)/(Links!AH152+'Off-Ramp'!R152)</f>
        <v>#DIV/0!</v>
      </c>
      <c r="BX152" s="58" t="e">
        <f>(Links!AK152^2+'Off-Ramp'!S152^2)/(Links!AK152+'Off-Ramp'!S152)</f>
        <v>#DIV/0!</v>
      </c>
      <c r="BY152" s="58" t="e">
        <f>(Links!AL152^2+'Off-Ramp'!T152^2)/(Links!AL152+'Off-Ramp'!T152)</f>
        <v>#DIV/0!</v>
      </c>
      <c r="BZ152" s="63"/>
      <c r="CA152" s="58" t="e">
        <f>(Links!AN152^2+'Off-Ramp'!U152^2)/(Links!AN152+'Off-Ramp'!U152)</f>
        <v>#DIV/0!</v>
      </c>
    </row>
    <row r="153" spans="1:79" x14ac:dyDescent="0.15">
      <c r="A153" s="56">
        <v>151</v>
      </c>
      <c r="B153" s="57" t="e">
        <f t="shared" si="57"/>
        <v>#DIV/0!</v>
      </c>
      <c r="C153" s="57" t="e">
        <f t="shared" si="58"/>
        <v>#DIV/0!</v>
      </c>
      <c r="D153" s="57" t="e">
        <f t="shared" si="59"/>
        <v>#DIV/0!</v>
      </c>
      <c r="E153" s="57" t="e">
        <f t="shared" si="60"/>
        <v>#DIV/0!</v>
      </c>
      <c r="F153" s="57" t="e">
        <f t="shared" si="61"/>
        <v>#DIV/0!</v>
      </c>
      <c r="G153" s="57" t="e">
        <f t="shared" si="62"/>
        <v>#DIV/0!</v>
      </c>
      <c r="H153" s="57" t="e">
        <f t="shared" si="63"/>
        <v>#DIV/0!</v>
      </c>
      <c r="I153" s="57" t="e">
        <f t="shared" si="64"/>
        <v>#DIV/0!</v>
      </c>
      <c r="J153" s="57" t="e">
        <f t="shared" si="65"/>
        <v>#DIV/0!</v>
      </c>
      <c r="K153" s="57" t="e">
        <f t="shared" si="66"/>
        <v>#DIV/0!</v>
      </c>
      <c r="L153" s="57" t="e">
        <f t="shared" si="67"/>
        <v>#DIV/0!</v>
      </c>
      <c r="M153" s="57" t="e">
        <f t="shared" si="68"/>
        <v>#DIV/0!</v>
      </c>
      <c r="N153" s="57" t="e">
        <f t="shared" si="69"/>
        <v>#DIV/0!</v>
      </c>
      <c r="O153" s="58" t="e">
        <f>Links!B153</f>
        <v>#DIV/0!</v>
      </c>
      <c r="P153" s="58" t="e">
        <f>Links!C153+'On-Ramps'!AC153</f>
        <v>#DIV/0!</v>
      </c>
      <c r="Q153" s="58" t="e">
        <f>Links!D153</f>
        <v>#DIV/0!</v>
      </c>
      <c r="R153" s="58" t="e">
        <f>Links!E153+'On-Ramps'!AD153</f>
        <v>#DIV/0!</v>
      </c>
      <c r="S153" s="58" t="e">
        <f>Links!F153+'On-Ramps'!AE153</f>
        <v>#DIV/0!</v>
      </c>
      <c r="T153" s="58" t="e">
        <f>Links!I153+'On-Ramps'!AF153</f>
        <v>#DIV/0!</v>
      </c>
      <c r="U153" s="58" t="e">
        <f>Links!J153+'On-Ramps'!AG153</f>
        <v>#DIV/0!</v>
      </c>
      <c r="V153" s="58" t="e">
        <f>Links!L153+'On-Ramps'!AH153</f>
        <v>#DIV/0!</v>
      </c>
      <c r="W153" s="58" t="e">
        <f>Links!M153+'On-Ramps'!AI153</f>
        <v>#DIV/0!</v>
      </c>
      <c r="X153" s="58" t="e">
        <f>Links!P153+'On-Ramps'!AJ153</f>
        <v>#DIV/0!</v>
      </c>
      <c r="Y153" s="58" t="e">
        <f>Links!Q153</f>
        <v>#DIV/0!</v>
      </c>
      <c r="Z153" s="58" t="e">
        <f>Links!R153+'On-Ramps'!AK153</f>
        <v>#DIV/0!</v>
      </c>
      <c r="AA153" s="58" t="e">
        <f>Links!S153</f>
        <v>#DIV/0!</v>
      </c>
      <c r="AB153" s="57" t="e">
        <f t="shared" si="70"/>
        <v>#DIV/0!</v>
      </c>
      <c r="AC153" s="63"/>
      <c r="AD153" s="57" t="e">
        <f t="shared" si="71"/>
        <v>#DIV/0!</v>
      </c>
      <c r="AE153" s="63"/>
      <c r="AF153" s="57" t="e">
        <f t="shared" si="72"/>
        <v>#DIV/0!</v>
      </c>
      <c r="AG153" s="57" t="e">
        <f t="shared" si="73"/>
        <v>#DIV/0!</v>
      </c>
      <c r="AH153" s="57" t="e">
        <f t="shared" si="74"/>
        <v>#DIV/0!</v>
      </c>
      <c r="AI153" s="57" t="e">
        <f t="shared" si="75"/>
        <v>#DIV/0!</v>
      </c>
      <c r="AJ153" s="57" t="e">
        <f t="shared" si="76"/>
        <v>#DIV/0!</v>
      </c>
      <c r="AK153" s="57" t="e">
        <f t="shared" si="77"/>
        <v>#DIV/0!</v>
      </c>
      <c r="AL153" s="57" t="e">
        <f t="shared" si="78"/>
        <v>#DIV/0!</v>
      </c>
      <c r="AM153" s="63"/>
      <c r="AN153" s="57" t="e">
        <f t="shared" si="80"/>
        <v>#DIV/0!</v>
      </c>
      <c r="AO153" s="58" t="e">
        <f t="shared" si="56"/>
        <v>#DIV/0!</v>
      </c>
      <c r="AP153" s="63"/>
      <c r="AQ153" s="58" t="e">
        <f t="shared" si="79"/>
        <v>#DIV/0!</v>
      </c>
      <c r="AR153" s="63"/>
      <c r="AS153" s="58" t="e">
        <f t="shared" si="79"/>
        <v>#DIV/0!</v>
      </c>
      <c r="AT153" s="58" t="e">
        <f t="shared" si="79"/>
        <v>#DIV/0!</v>
      </c>
      <c r="AU153" s="58" t="e">
        <f t="shared" si="79"/>
        <v>#DIV/0!</v>
      </c>
      <c r="AV153" s="58" t="e">
        <f t="shared" si="79"/>
        <v>#DIV/0!</v>
      </c>
      <c r="AW153" s="58" t="e">
        <f t="shared" si="79"/>
        <v>#DIV/0!</v>
      </c>
      <c r="AX153" s="58" t="e">
        <f t="shared" si="79"/>
        <v>#DIV/0!</v>
      </c>
      <c r="AY153" s="58" t="e">
        <f t="shared" si="79"/>
        <v>#DIV/0!</v>
      </c>
      <c r="AZ153" s="63"/>
      <c r="BA153" s="58" t="e">
        <f t="shared" si="79"/>
        <v>#DIV/0!</v>
      </c>
      <c r="BB153" s="63"/>
      <c r="BC153" s="57" t="e">
        <f>(Links!C153*Links!AQ153+'On-Ramps'!AC153*'On-Ramps'!CE153)/('On-Ramps'!AC153+Links!C153)</f>
        <v>#DIV/0!</v>
      </c>
      <c r="BD153" s="63"/>
      <c r="BE153" s="57" t="e">
        <f>(Links!E153*Links!AS153+'On-Ramps'!AD153*'On-Ramps'!CF152)/('On-Ramps'!AD153+Links!E153)</f>
        <v>#DIV/0!</v>
      </c>
      <c r="BF153" s="57" t="e">
        <f>(Links!F153*Links!AT153+'On-Ramps'!AE153*'On-Ramps'!CG153)/('On-Ramps'!AE153+Links!F153)</f>
        <v>#DIV/0!</v>
      </c>
      <c r="BG153" s="57" t="e">
        <f>(Links!I153*Links!AW153+'On-Ramps'!AF153*'On-Ramps'!CH153)/('On-Ramps'!AF153+Links!I153)</f>
        <v>#DIV/0!</v>
      </c>
      <c r="BH153" s="57" t="e">
        <f>(#REF!*#REF!+'On-Ramps'!AG153*'On-Ramps'!CI153)/('On-Ramps'!AG153+#REF!)</f>
        <v>#REF!</v>
      </c>
      <c r="BI153" s="57" t="e">
        <f>(Links!L153*Links!AZ153+'On-Ramps'!AH153*'On-Ramps'!CJ153)/('On-Ramps'!AH153+Links!L153)</f>
        <v>#DIV/0!</v>
      </c>
      <c r="BJ153" s="57" t="e">
        <f>(Links!BA153*Links!M153+'On-Ramps'!AI153*'On-Ramps'!CK153)/('On-Ramps'!AI153+Links!M153)</f>
        <v>#DIV/0!</v>
      </c>
      <c r="BK153" s="57" t="e">
        <f>(Links!S153*Links!BG153+'On-Ramps'!AJ153*'On-Ramps'!CL153)/('On-Ramps'!AJ153+Links!S153)</f>
        <v>#DIV/0!</v>
      </c>
      <c r="BL153" s="63"/>
      <c r="BM153" s="57" t="e">
        <f>(Links!S153*Links!BG153+'On-Ramps'!AL153*'On-Ramps'!CM153)/(Links!S153+'On-Ramps'!AL153)</f>
        <v>#DIV/0!</v>
      </c>
      <c r="BN153" s="63"/>
      <c r="BO153" s="58" t="e">
        <f>(Links!W153^2+'Off-Ramp'!L153^2)/(Links!W153+'Off-Ramp'!L153)</f>
        <v>#DIV/0!</v>
      </c>
      <c r="BP153" s="63"/>
      <c r="BQ153" s="58" t="e">
        <f>(Links!Y153^2+'Off-Ramp'!C153^2)/(Links!Y153+'Off-Ramp'!C153)</f>
        <v>#DIV/0!</v>
      </c>
      <c r="BR153" s="63"/>
      <c r="BS153" s="58" t="e">
        <f>(Links!AA153^2+'Off-Ramp'!N153^2)/(Links!AA153+'Off-Ramp'!N153)</f>
        <v>#DIV/0!</v>
      </c>
      <c r="BT153" s="58" t="e">
        <f>(Links!AD153^2+'Off-Ramp'!O153^2)/(Links!AD153+'Off-Ramp'!O153)</f>
        <v>#DIV/0!</v>
      </c>
      <c r="BU153" s="58" t="e">
        <f>(Links!AE153^2+'Off-Ramp'!V153^2+'Off-Ramp'!W153^2+'Off-Ramp'!X153^2)/(Links!AE153+'Off-Ramp'!V153+'Off-Ramp'!W153+'Off-Ramp'!X153)</f>
        <v>#DIV/0!</v>
      </c>
      <c r="BV153" s="58" t="e">
        <f>(Links!AG153^2+'Off-Ramp'!Y153^2+'Off-Ramp'!Z153^2+'Off-Ramp'!AA153^2)/(Links!AG153+'Off-Ramp'!Y153+'Off-Ramp'!Z153+'Off-Ramp'!AA153)</f>
        <v>#DIV/0!</v>
      </c>
      <c r="BW153" s="58" t="e">
        <f>(Links!AH153^2+'Off-Ramp'!R153^2)/(Links!AH153+'Off-Ramp'!R153)</f>
        <v>#DIV/0!</v>
      </c>
      <c r="BX153" s="58" t="e">
        <f>(Links!AK153^2+'Off-Ramp'!S153^2)/(Links!AK153+'Off-Ramp'!S153)</f>
        <v>#DIV/0!</v>
      </c>
      <c r="BY153" s="58" t="e">
        <f>(Links!AL153^2+'Off-Ramp'!T153^2)/(Links!AL153+'Off-Ramp'!T153)</f>
        <v>#DIV/0!</v>
      </c>
      <c r="BZ153" s="63"/>
      <c r="CA153" s="58" t="e">
        <f>(Links!AN153^2+'Off-Ramp'!U153^2)/(Links!AN153+'Off-Ramp'!U153)</f>
        <v>#DIV/0!</v>
      </c>
    </row>
    <row r="154" spans="1:79" x14ac:dyDescent="0.15">
      <c r="A154" s="56">
        <v>152</v>
      </c>
      <c r="B154" s="57" t="e">
        <f t="shared" si="57"/>
        <v>#DIV/0!</v>
      </c>
      <c r="C154" s="57" t="e">
        <f t="shared" si="58"/>
        <v>#DIV/0!</v>
      </c>
      <c r="D154" s="57" t="e">
        <f t="shared" si="59"/>
        <v>#DIV/0!</v>
      </c>
      <c r="E154" s="57" t="e">
        <f t="shared" si="60"/>
        <v>#DIV/0!</v>
      </c>
      <c r="F154" s="57" t="e">
        <f t="shared" si="61"/>
        <v>#DIV/0!</v>
      </c>
      <c r="G154" s="57" t="e">
        <f t="shared" si="62"/>
        <v>#DIV/0!</v>
      </c>
      <c r="H154" s="57" t="e">
        <f t="shared" si="63"/>
        <v>#DIV/0!</v>
      </c>
      <c r="I154" s="57" t="e">
        <f t="shared" si="64"/>
        <v>#DIV/0!</v>
      </c>
      <c r="J154" s="57" t="e">
        <f t="shared" si="65"/>
        <v>#DIV/0!</v>
      </c>
      <c r="K154" s="57" t="e">
        <f t="shared" si="66"/>
        <v>#DIV/0!</v>
      </c>
      <c r="L154" s="57" t="e">
        <f t="shared" si="67"/>
        <v>#DIV/0!</v>
      </c>
      <c r="M154" s="57" t="e">
        <f t="shared" si="68"/>
        <v>#DIV/0!</v>
      </c>
      <c r="N154" s="57" t="e">
        <f t="shared" si="69"/>
        <v>#DIV/0!</v>
      </c>
      <c r="O154" s="58" t="e">
        <f>Links!B154</f>
        <v>#DIV/0!</v>
      </c>
      <c r="P154" s="58" t="e">
        <f>Links!C154+'On-Ramps'!AC154</f>
        <v>#DIV/0!</v>
      </c>
      <c r="Q154" s="58" t="e">
        <f>Links!D154</f>
        <v>#DIV/0!</v>
      </c>
      <c r="R154" s="58" t="e">
        <f>Links!E154+'On-Ramps'!AD154</f>
        <v>#DIV/0!</v>
      </c>
      <c r="S154" s="58" t="e">
        <f>Links!F154+'On-Ramps'!AE154</f>
        <v>#DIV/0!</v>
      </c>
      <c r="T154" s="58" t="e">
        <f>Links!I154+'On-Ramps'!AF154</f>
        <v>#DIV/0!</v>
      </c>
      <c r="U154" s="58" t="e">
        <f>Links!J154+'On-Ramps'!AG154</f>
        <v>#DIV/0!</v>
      </c>
      <c r="V154" s="58" t="e">
        <f>Links!L154+'On-Ramps'!AH154</f>
        <v>#DIV/0!</v>
      </c>
      <c r="W154" s="58" t="e">
        <f>Links!M154+'On-Ramps'!AI154</f>
        <v>#DIV/0!</v>
      </c>
      <c r="X154" s="58" t="e">
        <f>Links!P154+'On-Ramps'!AJ154</f>
        <v>#DIV/0!</v>
      </c>
      <c r="Y154" s="58" t="e">
        <f>Links!Q154</f>
        <v>#DIV/0!</v>
      </c>
      <c r="Z154" s="58" t="e">
        <f>Links!R154+'On-Ramps'!AK154</f>
        <v>#DIV/0!</v>
      </c>
      <c r="AA154" s="58" t="e">
        <f>Links!S154</f>
        <v>#DIV/0!</v>
      </c>
      <c r="AB154" s="57" t="e">
        <f t="shared" si="70"/>
        <v>#DIV/0!</v>
      </c>
      <c r="AC154" s="63"/>
      <c r="AD154" s="57" t="e">
        <f t="shared" si="71"/>
        <v>#DIV/0!</v>
      </c>
      <c r="AE154" s="63"/>
      <c r="AF154" s="57" t="e">
        <f t="shared" si="72"/>
        <v>#DIV/0!</v>
      </c>
      <c r="AG154" s="57" t="e">
        <f t="shared" si="73"/>
        <v>#DIV/0!</v>
      </c>
      <c r="AH154" s="57" t="e">
        <f t="shared" si="74"/>
        <v>#DIV/0!</v>
      </c>
      <c r="AI154" s="57" t="e">
        <f t="shared" si="75"/>
        <v>#DIV/0!</v>
      </c>
      <c r="AJ154" s="57" t="e">
        <f t="shared" si="76"/>
        <v>#DIV/0!</v>
      </c>
      <c r="AK154" s="57" t="e">
        <f t="shared" si="77"/>
        <v>#DIV/0!</v>
      </c>
      <c r="AL154" s="57" t="e">
        <f t="shared" si="78"/>
        <v>#DIV/0!</v>
      </c>
      <c r="AM154" s="63"/>
      <c r="AN154" s="57" t="e">
        <f t="shared" si="80"/>
        <v>#DIV/0!</v>
      </c>
      <c r="AO154" s="58" t="e">
        <f t="shared" si="56"/>
        <v>#DIV/0!</v>
      </c>
      <c r="AP154" s="63"/>
      <c r="AQ154" s="58" t="e">
        <f t="shared" si="79"/>
        <v>#DIV/0!</v>
      </c>
      <c r="AR154" s="63"/>
      <c r="AS154" s="58" t="e">
        <f t="shared" si="79"/>
        <v>#DIV/0!</v>
      </c>
      <c r="AT154" s="58" t="e">
        <f t="shared" si="79"/>
        <v>#DIV/0!</v>
      </c>
      <c r="AU154" s="58" t="e">
        <f t="shared" si="79"/>
        <v>#DIV/0!</v>
      </c>
      <c r="AV154" s="58" t="e">
        <f t="shared" si="79"/>
        <v>#DIV/0!</v>
      </c>
      <c r="AW154" s="58" t="e">
        <f t="shared" si="79"/>
        <v>#DIV/0!</v>
      </c>
      <c r="AX154" s="58" t="e">
        <f t="shared" si="79"/>
        <v>#DIV/0!</v>
      </c>
      <c r="AY154" s="58" t="e">
        <f t="shared" si="79"/>
        <v>#DIV/0!</v>
      </c>
      <c r="AZ154" s="63"/>
      <c r="BA154" s="58" t="e">
        <f t="shared" si="79"/>
        <v>#DIV/0!</v>
      </c>
      <c r="BB154" s="63"/>
      <c r="BC154" s="57" t="e">
        <f>(Links!C154*Links!AQ154+'On-Ramps'!AC154*'On-Ramps'!CE154)/('On-Ramps'!AC154+Links!C154)</f>
        <v>#DIV/0!</v>
      </c>
      <c r="BD154" s="63"/>
      <c r="BE154" s="57" t="e">
        <f>(Links!E154*Links!AS154+'On-Ramps'!AD154*'On-Ramps'!CF153)/('On-Ramps'!AD154+Links!E154)</f>
        <v>#DIV/0!</v>
      </c>
      <c r="BF154" s="57" t="e">
        <f>(Links!F154*Links!AT154+'On-Ramps'!AE154*'On-Ramps'!CG154)/('On-Ramps'!AE154+Links!F154)</f>
        <v>#DIV/0!</v>
      </c>
      <c r="BG154" s="57" t="e">
        <f>(Links!I154*Links!AW154+'On-Ramps'!AF154*'On-Ramps'!CH154)/('On-Ramps'!AF154+Links!I154)</f>
        <v>#DIV/0!</v>
      </c>
      <c r="BH154" s="57" t="e">
        <f>(#REF!*#REF!+'On-Ramps'!AG154*'On-Ramps'!CI154)/('On-Ramps'!AG154+#REF!)</f>
        <v>#REF!</v>
      </c>
      <c r="BI154" s="57" t="e">
        <f>(Links!L154*Links!AZ154+'On-Ramps'!AH154*'On-Ramps'!CJ154)/('On-Ramps'!AH154+Links!L154)</f>
        <v>#DIV/0!</v>
      </c>
      <c r="BJ154" s="57" t="e">
        <f>(Links!BA154*Links!M154+'On-Ramps'!AI154*'On-Ramps'!CK154)/('On-Ramps'!AI154+Links!M154)</f>
        <v>#DIV/0!</v>
      </c>
      <c r="BK154" s="57" t="e">
        <f>(Links!S154*Links!BG154+'On-Ramps'!AJ154*'On-Ramps'!CL154)/('On-Ramps'!AJ154+Links!S154)</f>
        <v>#DIV/0!</v>
      </c>
      <c r="BL154" s="63"/>
      <c r="BM154" s="57" t="e">
        <f>(Links!S154*Links!BG154+'On-Ramps'!AL154*'On-Ramps'!CM154)/(Links!S154+'On-Ramps'!AL154)</f>
        <v>#DIV/0!</v>
      </c>
      <c r="BN154" s="63"/>
      <c r="BO154" s="58" t="e">
        <f>(Links!W154^2+'Off-Ramp'!L154^2)/(Links!W154+'Off-Ramp'!L154)</f>
        <v>#DIV/0!</v>
      </c>
      <c r="BP154" s="63"/>
      <c r="BQ154" s="58" t="e">
        <f>(Links!Y154^2+'Off-Ramp'!C154^2)/(Links!Y154+'Off-Ramp'!C154)</f>
        <v>#DIV/0!</v>
      </c>
      <c r="BR154" s="63"/>
      <c r="BS154" s="58" t="e">
        <f>(Links!AA154^2+'Off-Ramp'!N154^2)/(Links!AA154+'Off-Ramp'!N154)</f>
        <v>#DIV/0!</v>
      </c>
      <c r="BT154" s="58" t="e">
        <f>(Links!AD154^2+'Off-Ramp'!O154^2)/(Links!AD154+'Off-Ramp'!O154)</f>
        <v>#DIV/0!</v>
      </c>
      <c r="BU154" s="58" t="e">
        <f>(Links!AE154^2+'Off-Ramp'!V154^2+'Off-Ramp'!W154^2+'Off-Ramp'!X154^2)/(Links!AE154+'Off-Ramp'!V154+'Off-Ramp'!W154+'Off-Ramp'!X154)</f>
        <v>#DIV/0!</v>
      </c>
      <c r="BV154" s="58" t="e">
        <f>(Links!AG154^2+'Off-Ramp'!Y154^2+'Off-Ramp'!Z154^2+'Off-Ramp'!AA154^2)/(Links!AG154+'Off-Ramp'!Y154+'Off-Ramp'!Z154+'Off-Ramp'!AA154)</f>
        <v>#DIV/0!</v>
      </c>
      <c r="BW154" s="58" t="e">
        <f>(Links!AH154^2+'Off-Ramp'!R154^2)/(Links!AH154+'Off-Ramp'!R154)</f>
        <v>#DIV/0!</v>
      </c>
      <c r="BX154" s="58" t="e">
        <f>(Links!AK154^2+'Off-Ramp'!S154^2)/(Links!AK154+'Off-Ramp'!S154)</f>
        <v>#DIV/0!</v>
      </c>
      <c r="BY154" s="58" t="e">
        <f>(Links!AL154^2+'Off-Ramp'!T154^2)/(Links!AL154+'Off-Ramp'!T154)</f>
        <v>#DIV/0!</v>
      </c>
      <c r="BZ154" s="63"/>
      <c r="CA154" s="58" t="e">
        <f>(Links!AN154^2+'Off-Ramp'!U154^2)/(Links!AN154+'Off-Ramp'!U154)</f>
        <v>#DIV/0!</v>
      </c>
    </row>
    <row r="155" spans="1:79" x14ac:dyDescent="0.15">
      <c r="A155" s="56">
        <v>153</v>
      </c>
      <c r="B155" s="57" t="e">
        <f t="shared" si="57"/>
        <v>#DIV/0!</v>
      </c>
      <c r="C155" s="57" t="e">
        <f t="shared" si="58"/>
        <v>#DIV/0!</v>
      </c>
      <c r="D155" s="57" t="e">
        <f t="shared" si="59"/>
        <v>#DIV/0!</v>
      </c>
      <c r="E155" s="57" t="e">
        <f t="shared" si="60"/>
        <v>#DIV/0!</v>
      </c>
      <c r="F155" s="57" t="e">
        <f t="shared" si="61"/>
        <v>#DIV/0!</v>
      </c>
      <c r="G155" s="57" t="e">
        <f t="shared" si="62"/>
        <v>#DIV/0!</v>
      </c>
      <c r="H155" s="57" t="e">
        <f t="shared" si="63"/>
        <v>#DIV/0!</v>
      </c>
      <c r="I155" s="57" t="e">
        <f t="shared" si="64"/>
        <v>#DIV/0!</v>
      </c>
      <c r="J155" s="57" t="e">
        <f t="shared" si="65"/>
        <v>#DIV/0!</v>
      </c>
      <c r="K155" s="57" t="e">
        <f t="shared" si="66"/>
        <v>#DIV/0!</v>
      </c>
      <c r="L155" s="57" t="e">
        <f t="shared" si="67"/>
        <v>#DIV/0!</v>
      </c>
      <c r="M155" s="57" t="e">
        <f t="shared" si="68"/>
        <v>#DIV/0!</v>
      </c>
      <c r="N155" s="57" t="e">
        <f t="shared" si="69"/>
        <v>#DIV/0!</v>
      </c>
      <c r="O155" s="58" t="e">
        <f>Links!B155</f>
        <v>#DIV/0!</v>
      </c>
      <c r="P155" s="58" t="e">
        <f>Links!C155+'On-Ramps'!AC155</f>
        <v>#DIV/0!</v>
      </c>
      <c r="Q155" s="58" t="e">
        <f>Links!D155</f>
        <v>#DIV/0!</v>
      </c>
      <c r="R155" s="58" t="e">
        <f>Links!E155+'On-Ramps'!AD155</f>
        <v>#DIV/0!</v>
      </c>
      <c r="S155" s="58" t="e">
        <f>Links!F155+'On-Ramps'!AE155</f>
        <v>#DIV/0!</v>
      </c>
      <c r="T155" s="58" t="e">
        <f>Links!I155+'On-Ramps'!AF155</f>
        <v>#DIV/0!</v>
      </c>
      <c r="U155" s="58" t="e">
        <f>Links!J155+'On-Ramps'!AG155</f>
        <v>#DIV/0!</v>
      </c>
      <c r="V155" s="58" t="e">
        <f>Links!L155+'On-Ramps'!AH155</f>
        <v>#DIV/0!</v>
      </c>
      <c r="W155" s="58" t="e">
        <f>Links!M155+'On-Ramps'!AI155</f>
        <v>#DIV/0!</v>
      </c>
      <c r="X155" s="58" t="e">
        <f>Links!P155+'On-Ramps'!AJ155</f>
        <v>#DIV/0!</v>
      </c>
      <c r="Y155" s="58" t="e">
        <f>Links!Q155</f>
        <v>#DIV/0!</v>
      </c>
      <c r="Z155" s="58" t="e">
        <f>Links!R155+'On-Ramps'!AK155</f>
        <v>#DIV/0!</v>
      </c>
      <c r="AA155" s="58" t="e">
        <f>Links!S155</f>
        <v>#DIV/0!</v>
      </c>
      <c r="AB155" s="57" t="e">
        <f t="shared" si="70"/>
        <v>#DIV/0!</v>
      </c>
      <c r="AC155" s="63"/>
      <c r="AD155" s="57" t="e">
        <f t="shared" si="71"/>
        <v>#DIV/0!</v>
      </c>
      <c r="AE155" s="63"/>
      <c r="AF155" s="57" t="e">
        <f t="shared" si="72"/>
        <v>#DIV/0!</v>
      </c>
      <c r="AG155" s="57" t="e">
        <f t="shared" si="73"/>
        <v>#DIV/0!</v>
      </c>
      <c r="AH155" s="57" t="e">
        <f t="shared" si="74"/>
        <v>#DIV/0!</v>
      </c>
      <c r="AI155" s="57" t="e">
        <f t="shared" si="75"/>
        <v>#DIV/0!</v>
      </c>
      <c r="AJ155" s="57" t="e">
        <f t="shared" si="76"/>
        <v>#DIV/0!</v>
      </c>
      <c r="AK155" s="57" t="e">
        <f t="shared" si="77"/>
        <v>#DIV/0!</v>
      </c>
      <c r="AL155" s="57" t="e">
        <f t="shared" si="78"/>
        <v>#DIV/0!</v>
      </c>
      <c r="AM155" s="63"/>
      <c r="AN155" s="57" t="e">
        <f t="shared" si="80"/>
        <v>#DIV/0!</v>
      </c>
      <c r="AO155" s="58" t="e">
        <f t="shared" si="56"/>
        <v>#DIV/0!</v>
      </c>
      <c r="AP155" s="63"/>
      <c r="AQ155" s="58" t="e">
        <f t="shared" si="79"/>
        <v>#DIV/0!</v>
      </c>
      <c r="AR155" s="63"/>
      <c r="AS155" s="58" t="e">
        <f t="shared" si="79"/>
        <v>#DIV/0!</v>
      </c>
      <c r="AT155" s="58" t="e">
        <f t="shared" si="79"/>
        <v>#DIV/0!</v>
      </c>
      <c r="AU155" s="58" t="e">
        <f t="shared" si="79"/>
        <v>#DIV/0!</v>
      </c>
      <c r="AV155" s="58" t="e">
        <f t="shared" si="79"/>
        <v>#DIV/0!</v>
      </c>
      <c r="AW155" s="58" t="e">
        <f t="shared" si="79"/>
        <v>#DIV/0!</v>
      </c>
      <c r="AX155" s="58" t="e">
        <f t="shared" si="79"/>
        <v>#DIV/0!</v>
      </c>
      <c r="AY155" s="58" t="e">
        <f t="shared" si="79"/>
        <v>#DIV/0!</v>
      </c>
      <c r="AZ155" s="63"/>
      <c r="BA155" s="58" t="e">
        <f t="shared" si="79"/>
        <v>#DIV/0!</v>
      </c>
      <c r="BB155" s="63"/>
      <c r="BC155" s="57" t="e">
        <f>(Links!C155*Links!AQ155+'On-Ramps'!AC155*'On-Ramps'!CE155)/('On-Ramps'!AC155+Links!C155)</f>
        <v>#DIV/0!</v>
      </c>
      <c r="BD155" s="63"/>
      <c r="BE155" s="57" t="e">
        <f>(Links!E155*Links!AS155+'On-Ramps'!AD155*'On-Ramps'!CF154)/('On-Ramps'!AD155+Links!E155)</f>
        <v>#DIV/0!</v>
      </c>
      <c r="BF155" s="57" t="e">
        <f>(Links!F155*Links!AT155+'On-Ramps'!AE155*'On-Ramps'!CG155)/('On-Ramps'!AE155+Links!F155)</f>
        <v>#DIV/0!</v>
      </c>
      <c r="BG155" s="57" t="e">
        <f>(Links!I155*Links!AW155+'On-Ramps'!AF155*'On-Ramps'!CH155)/('On-Ramps'!AF155+Links!I155)</f>
        <v>#DIV/0!</v>
      </c>
      <c r="BH155" s="57" t="e">
        <f>(#REF!*#REF!+'On-Ramps'!AG155*'On-Ramps'!CI155)/('On-Ramps'!AG155+#REF!)</f>
        <v>#REF!</v>
      </c>
      <c r="BI155" s="57" t="e">
        <f>(Links!L155*Links!AZ155+'On-Ramps'!AH155*'On-Ramps'!CJ155)/('On-Ramps'!AH155+Links!L155)</f>
        <v>#DIV/0!</v>
      </c>
      <c r="BJ155" s="57" t="e">
        <f>(Links!BA155*Links!M155+'On-Ramps'!AI155*'On-Ramps'!CK155)/('On-Ramps'!AI155+Links!M155)</f>
        <v>#DIV/0!</v>
      </c>
      <c r="BK155" s="57" t="e">
        <f>(Links!S155*Links!BG155+'On-Ramps'!AJ155*'On-Ramps'!CL155)/('On-Ramps'!AJ155+Links!S155)</f>
        <v>#DIV/0!</v>
      </c>
      <c r="BL155" s="63"/>
      <c r="BM155" s="57" t="e">
        <f>(Links!S155*Links!BG155+'On-Ramps'!AL155*'On-Ramps'!CM155)/(Links!S155+'On-Ramps'!AL155)</f>
        <v>#DIV/0!</v>
      </c>
      <c r="BN155" s="63"/>
      <c r="BO155" s="58" t="e">
        <f>(Links!W155^2+'Off-Ramp'!L155^2)/(Links!W155+'Off-Ramp'!L155)</f>
        <v>#DIV/0!</v>
      </c>
      <c r="BP155" s="63"/>
      <c r="BQ155" s="58" t="e">
        <f>(Links!Y155^2+'Off-Ramp'!C155^2)/(Links!Y155+'Off-Ramp'!C155)</f>
        <v>#DIV/0!</v>
      </c>
      <c r="BR155" s="63"/>
      <c r="BS155" s="58" t="e">
        <f>(Links!AA155^2+'Off-Ramp'!N155^2)/(Links!AA155+'Off-Ramp'!N155)</f>
        <v>#DIV/0!</v>
      </c>
      <c r="BT155" s="58" t="e">
        <f>(Links!AD155^2+'Off-Ramp'!O155^2)/(Links!AD155+'Off-Ramp'!O155)</f>
        <v>#DIV/0!</v>
      </c>
      <c r="BU155" s="58" t="e">
        <f>(Links!AE155^2+'Off-Ramp'!V155^2+'Off-Ramp'!W155^2+'Off-Ramp'!X155^2)/(Links!AE155+'Off-Ramp'!V155+'Off-Ramp'!W155+'Off-Ramp'!X155)</f>
        <v>#DIV/0!</v>
      </c>
      <c r="BV155" s="58" t="e">
        <f>(Links!AG155^2+'Off-Ramp'!Y155^2+'Off-Ramp'!Z155^2+'Off-Ramp'!AA155^2)/(Links!AG155+'Off-Ramp'!Y155+'Off-Ramp'!Z155+'Off-Ramp'!AA155)</f>
        <v>#DIV/0!</v>
      </c>
      <c r="BW155" s="58" t="e">
        <f>(Links!AH155^2+'Off-Ramp'!R155^2)/(Links!AH155+'Off-Ramp'!R155)</f>
        <v>#DIV/0!</v>
      </c>
      <c r="BX155" s="58" t="e">
        <f>(Links!AK155^2+'Off-Ramp'!S155^2)/(Links!AK155+'Off-Ramp'!S155)</f>
        <v>#DIV/0!</v>
      </c>
      <c r="BY155" s="58" t="e">
        <f>(Links!AL155^2+'Off-Ramp'!T155^2)/(Links!AL155+'Off-Ramp'!T155)</f>
        <v>#DIV/0!</v>
      </c>
      <c r="BZ155" s="63"/>
      <c r="CA155" s="58" t="e">
        <f>(Links!AN155^2+'Off-Ramp'!U155^2)/(Links!AN155+'Off-Ramp'!U155)</f>
        <v>#DIV/0!</v>
      </c>
    </row>
    <row r="156" spans="1:79" x14ac:dyDescent="0.15">
      <c r="A156" s="56">
        <v>154</v>
      </c>
      <c r="B156" s="57" t="e">
        <f t="shared" si="57"/>
        <v>#DIV/0!</v>
      </c>
      <c r="C156" s="57" t="e">
        <f t="shared" si="58"/>
        <v>#DIV/0!</v>
      </c>
      <c r="D156" s="57" t="e">
        <f t="shared" si="59"/>
        <v>#DIV/0!</v>
      </c>
      <c r="E156" s="57" t="e">
        <f t="shared" si="60"/>
        <v>#DIV/0!</v>
      </c>
      <c r="F156" s="57" t="e">
        <f t="shared" si="61"/>
        <v>#DIV/0!</v>
      </c>
      <c r="G156" s="57" t="e">
        <f t="shared" si="62"/>
        <v>#DIV/0!</v>
      </c>
      <c r="H156" s="57" t="e">
        <f t="shared" si="63"/>
        <v>#DIV/0!</v>
      </c>
      <c r="I156" s="57" t="e">
        <f t="shared" si="64"/>
        <v>#DIV/0!</v>
      </c>
      <c r="J156" s="57" t="e">
        <f t="shared" si="65"/>
        <v>#DIV/0!</v>
      </c>
      <c r="K156" s="57" t="e">
        <f t="shared" si="66"/>
        <v>#DIV/0!</v>
      </c>
      <c r="L156" s="57" t="e">
        <f t="shared" si="67"/>
        <v>#DIV/0!</v>
      </c>
      <c r="M156" s="57" t="e">
        <f t="shared" si="68"/>
        <v>#DIV/0!</v>
      </c>
      <c r="N156" s="57" t="e">
        <f t="shared" si="69"/>
        <v>#DIV/0!</v>
      </c>
      <c r="O156" s="58" t="e">
        <f>Links!B156</f>
        <v>#DIV/0!</v>
      </c>
      <c r="P156" s="58" t="e">
        <f>Links!C156+'On-Ramps'!AC156</f>
        <v>#DIV/0!</v>
      </c>
      <c r="Q156" s="58" t="e">
        <f>Links!D156</f>
        <v>#DIV/0!</v>
      </c>
      <c r="R156" s="58" t="e">
        <f>Links!E156+'On-Ramps'!AD156</f>
        <v>#DIV/0!</v>
      </c>
      <c r="S156" s="58" t="e">
        <f>Links!F156+'On-Ramps'!AE156</f>
        <v>#DIV/0!</v>
      </c>
      <c r="T156" s="58" t="e">
        <f>Links!I156+'On-Ramps'!AF156</f>
        <v>#DIV/0!</v>
      </c>
      <c r="U156" s="58" t="e">
        <f>Links!J156+'On-Ramps'!AG156</f>
        <v>#DIV/0!</v>
      </c>
      <c r="V156" s="58" t="e">
        <f>Links!L156+'On-Ramps'!AH156</f>
        <v>#DIV/0!</v>
      </c>
      <c r="W156" s="58" t="e">
        <f>Links!M156+'On-Ramps'!AI156</f>
        <v>#DIV/0!</v>
      </c>
      <c r="X156" s="58" t="e">
        <f>Links!P156+'On-Ramps'!AJ156</f>
        <v>#DIV/0!</v>
      </c>
      <c r="Y156" s="58" t="e">
        <f>Links!Q156</f>
        <v>#DIV/0!</v>
      </c>
      <c r="Z156" s="58" t="e">
        <f>Links!R156+'On-Ramps'!AK156</f>
        <v>#DIV/0!</v>
      </c>
      <c r="AA156" s="58" t="e">
        <f>Links!S156</f>
        <v>#DIV/0!</v>
      </c>
      <c r="AB156" s="57" t="e">
        <f t="shared" si="70"/>
        <v>#DIV/0!</v>
      </c>
      <c r="AC156" s="63"/>
      <c r="AD156" s="57" t="e">
        <f t="shared" si="71"/>
        <v>#DIV/0!</v>
      </c>
      <c r="AE156" s="63"/>
      <c r="AF156" s="57" t="e">
        <f t="shared" si="72"/>
        <v>#DIV/0!</v>
      </c>
      <c r="AG156" s="57" t="e">
        <f t="shared" si="73"/>
        <v>#DIV/0!</v>
      </c>
      <c r="AH156" s="57" t="e">
        <f t="shared" si="74"/>
        <v>#DIV/0!</v>
      </c>
      <c r="AI156" s="57" t="e">
        <f t="shared" si="75"/>
        <v>#DIV/0!</v>
      </c>
      <c r="AJ156" s="57" t="e">
        <f t="shared" si="76"/>
        <v>#DIV/0!</v>
      </c>
      <c r="AK156" s="57" t="e">
        <f t="shared" si="77"/>
        <v>#DIV/0!</v>
      </c>
      <c r="AL156" s="57" t="e">
        <f t="shared" si="78"/>
        <v>#DIV/0!</v>
      </c>
      <c r="AM156" s="63"/>
      <c r="AN156" s="57" t="e">
        <f t="shared" si="80"/>
        <v>#DIV/0!</v>
      </c>
      <c r="AO156" s="58" t="e">
        <f t="shared" si="56"/>
        <v>#DIV/0!</v>
      </c>
      <c r="AP156" s="63"/>
      <c r="AQ156" s="58" t="e">
        <f t="shared" si="79"/>
        <v>#DIV/0!</v>
      </c>
      <c r="AR156" s="63"/>
      <c r="AS156" s="58" t="e">
        <f t="shared" si="79"/>
        <v>#DIV/0!</v>
      </c>
      <c r="AT156" s="58" t="e">
        <f t="shared" si="79"/>
        <v>#DIV/0!</v>
      </c>
      <c r="AU156" s="58" t="e">
        <f t="shared" si="79"/>
        <v>#DIV/0!</v>
      </c>
      <c r="AV156" s="58" t="e">
        <f t="shared" si="79"/>
        <v>#DIV/0!</v>
      </c>
      <c r="AW156" s="58" t="e">
        <f t="shared" si="79"/>
        <v>#DIV/0!</v>
      </c>
      <c r="AX156" s="58" t="e">
        <f t="shared" si="79"/>
        <v>#DIV/0!</v>
      </c>
      <c r="AY156" s="58" t="e">
        <f t="shared" si="79"/>
        <v>#DIV/0!</v>
      </c>
      <c r="AZ156" s="63"/>
      <c r="BA156" s="58" t="e">
        <f t="shared" si="79"/>
        <v>#DIV/0!</v>
      </c>
      <c r="BB156" s="63"/>
      <c r="BC156" s="57" t="e">
        <f>(Links!C156*Links!AQ156+'On-Ramps'!AC156*'On-Ramps'!CE156)/('On-Ramps'!AC156+Links!C156)</f>
        <v>#DIV/0!</v>
      </c>
      <c r="BD156" s="63"/>
      <c r="BE156" s="57" t="e">
        <f>(Links!E156*Links!AS156+'On-Ramps'!AD156*'On-Ramps'!CF155)/('On-Ramps'!AD156+Links!E156)</f>
        <v>#DIV/0!</v>
      </c>
      <c r="BF156" s="57" t="e">
        <f>(Links!F156*Links!AT156+'On-Ramps'!AE156*'On-Ramps'!CG156)/('On-Ramps'!AE156+Links!F156)</f>
        <v>#DIV/0!</v>
      </c>
      <c r="BG156" s="57" t="e">
        <f>(Links!I156*Links!AW156+'On-Ramps'!AF156*'On-Ramps'!CH156)/('On-Ramps'!AF156+Links!I156)</f>
        <v>#DIV/0!</v>
      </c>
      <c r="BH156" s="57" t="e">
        <f>(#REF!*#REF!+'On-Ramps'!AG156*'On-Ramps'!CI156)/('On-Ramps'!AG156+#REF!)</f>
        <v>#REF!</v>
      </c>
      <c r="BI156" s="57" t="e">
        <f>(Links!L156*Links!AZ156+'On-Ramps'!AH156*'On-Ramps'!CJ156)/('On-Ramps'!AH156+Links!L156)</f>
        <v>#DIV/0!</v>
      </c>
      <c r="BJ156" s="57" t="e">
        <f>(Links!BA156*Links!M156+'On-Ramps'!AI156*'On-Ramps'!CK156)/('On-Ramps'!AI156+Links!M156)</f>
        <v>#DIV/0!</v>
      </c>
      <c r="BK156" s="57" t="e">
        <f>(Links!S156*Links!BG156+'On-Ramps'!AJ156*'On-Ramps'!CL156)/('On-Ramps'!AJ156+Links!S156)</f>
        <v>#DIV/0!</v>
      </c>
      <c r="BL156" s="63"/>
      <c r="BM156" s="57" t="e">
        <f>(Links!S156*Links!BG156+'On-Ramps'!AL156*'On-Ramps'!CM156)/(Links!S156+'On-Ramps'!AL156)</f>
        <v>#DIV/0!</v>
      </c>
      <c r="BN156" s="63"/>
      <c r="BO156" s="58" t="e">
        <f>(Links!W156^2+'Off-Ramp'!L156^2)/(Links!W156+'Off-Ramp'!L156)</f>
        <v>#DIV/0!</v>
      </c>
      <c r="BP156" s="63"/>
      <c r="BQ156" s="58" t="e">
        <f>(Links!Y156^2+'Off-Ramp'!C156^2)/(Links!Y156+'Off-Ramp'!C156)</f>
        <v>#DIV/0!</v>
      </c>
      <c r="BR156" s="63"/>
      <c r="BS156" s="58" t="e">
        <f>(Links!AA156^2+'Off-Ramp'!N156^2)/(Links!AA156+'Off-Ramp'!N156)</f>
        <v>#DIV/0!</v>
      </c>
      <c r="BT156" s="58" t="e">
        <f>(Links!AD156^2+'Off-Ramp'!O156^2)/(Links!AD156+'Off-Ramp'!O156)</f>
        <v>#DIV/0!</v>
      </c>
      <c r="BU156" s="58" t="e">
        <f>(Links!AE156^2+'Off-Ramp'!V156^2+'Off-Ramp'!W156^2+'Off-Ramp'!X156^2)/(Links!AE156+'Off-Ramp'!V156+'Off-Ramp'!W156+'Off-Ramp'!X156)</f>
        <v>#DIV/0!</v>
      </c>
      <c r="BV156" s="58" t="e">
        <f>(Links!AG156^2+'Off-Ramp'!Y156^2+'Off-Ramp'!Z156^2+'Off-Ramp'!AA156^2)/(Links!AG156+'Off-Ramp'!Y156+'Off-Ramp'!Z156+'Off-Ramp'!AA156)</f>
        <v>#DIV/0!</v>
      </c>
      <c r="BW156" s="58" t="e">
        <f>(Links!AH156^2+'Off-Ramp'!R156^2)/(Links!AH156+'Off-Ramp'!R156)</f>
        <v>#DIV/0!</v>
      </c>
      <c r="BX156" s="58" t="e">
        <f>(Links!AK156^2+'Off-Ramp'!S156^2)/(Links!AK156+'Off-Ramp'!S156)</f>
        <v>#DIV/0!</v>
      </c>
      <c r="BY156" s="58" t="e">
        <f>(Links!AL156^2+'Off-Ramp'!T156^2)/(Links!AL156+'Off-Ramp'!T156)</f>
        <v>#DIV/0!</v>
      </c>
      <c r="BZ156" s="63"/>
      <c r="CA156" s="58" t="e">
        <f>(Links!AN156^2+'Off-Ramp'!U156^2)/(Links!AN156+'Off-Ramp'!U156)</f>
        <v>#DIV/0!</v>
      </c>
    </row>
    <row r="157" spans="1:79" x14ac:dyDescent="0.15">
      <c r="A157" s="56">
        <v>155</v>
      </c>
      <c r="B157" s="57" t="e">
        <f t="shared" si="57"/>
        <v>#DIV/0!</v>
      </c>
      <c r="C157" s="57" t="e">
        <f t="shared" si="58"/>
        <v>#DIV/0!</v>
      </c>
      <c r="D157" s="57" t="e">
        <f t="shared" si="59"/>
        <v>#DIV/0!</v>
      </c>
      <c r="E157" s="57" t="e">
        <f t="shared" si="60"/>
        <v>#DIV/0!</v>
      </c>
      <c r="F157" s="57" t="e">
        <f t="shared" si="61"/>
        <v>#DIV/0!</v>
      </c>
      <c r="G157" s="57" t="e">
        <f t="shared" si="62"/>
        <v>#DIV/0!</v>
      </c>
      <c r="H157" s="57" t="e">
        <f t="shared" si="63"/>
        <v>#DIV/0!</v>
      </c>
      <c r="I157" s="57" t="e">
        <f t="shared" si="64"/>
        <v>#DIV/0!</v>
      </c>
      <c r="J157" s="57" t="e">
        <f t="shared" si="65"/>
        <v>#DIV/0!</v>
      </c>
      <c r="K157" s="57" t="e">
        <f t="shared" si="66"/>
        <v>#DIV/0!</v>
      </c>
      <c r="L157" s="57" t="e">
        <f t="shared" si="67"/>
        <v>#DIV/0!</v>
      </c>
      <c r="M157" s="57" t="e">
        <f t="shared" si="68"/>
        <v>#DIV/0!</v>
      </c>
      <c r="N157" s="57" t="e">
        <f t="shared" si="69"/>
        <v>#DIV/0!</v>
      </c>
      <c r="O157" s="58" t="e">
        <f>Links!B157</f>
        <v>#DIV/0!</v>
      </c>
      <c r="P157" s="58" t="e">
        <f>Links!C157+'On-Ramps'!AC157</f>
        <v>#DIV/0!</v>
      </c>
      <c r="Q157" s="58" t="e">
        <f>Links!D157</f>
        <v>#DIV/0!</v>
      </c>
      <c r="R157" s="58" t="e">
        <f>Links!E157+'On-Ramps'!AD157</f>
        <v>#DIV/0!</v>
      </c>
      <c r="S157" s="58" t="e">
        <f>Links!F157+'On-Ramps'!AE157</f>
        <v>#DIV/0!</v>
      </c>
      <c r="T157" s="58" t="e">
        <f>Links!I157+'On-Ramps'!AF157</f>
        <v>#DIV/0!</v>
      </c>
      <c r="U157" s="58" t="e">
        <f>Links!J157+'On-Ramps'!AG157</f>
        <v>#DIV/0!</v>
      </c>
      <c r="V157" s="58" t="e">
        <f>Links!L157+'On-Ramps'!AH157</f>
        <v>#DIV/0!</v>
      </c>
      <c r="W157" s="58" t="e">
        <f>Links!M157+'On-Ramps'!AI157</f>
        <v>#DIV/0!</v>
      </c>
      <c r="X157" s="58" t="e">
        <f>Links!P157+'On-Ramps'!AJ157</f>
        <v>#DIV/0!</v>
      </c>
      <c r="Y157" s="58" t="e">
        <f>Links!Q157</f>
        <v>#DIV/0!</v>
      </c>
      <c r="Z157" s="58" t="e">
        <f>Links!R157+'On-Ramps'!AK157</f>
        <v>#DIV/0!</v>
      </c>
      <c r="AA157" s="58" t="e">
        <f>Links!S157</f>
        <v>#DIV/0!</v>
      </c>
      <c r="AB157" s="57" t="e">
        <f t="shared" si="70"/>
        <v>#DIV/0!</v>
      </c>
      <c r="AC157" s="63"/>
      <c r="AD157" s="57" t="e">
        <f t="shared" si="71"/>
        <v>#DIV/0!</v>
      </c>
      <c r="AE157" s="63"/>
      <c r="AF157" s="57" t="e">
        <f t="shared" si="72"/>
        <v>#DIV/0!</v>
      </c>
      <c r="AG157" s="57" t="e">
        <f t="shared" si="73"/>
        <v>#DIV/0!</v>
      </c>
      <c r="AH157" s="57" t="e">
        <f t="shared" si="74"/>
        <v>#DIV/0!</v>
      </c>
      <c r="AI157" s="57" t="e">
        <f t="shared" si="75"/>
        <v>#DIV/0!</v>
      </c>
      <c r="AJ157" s="57" t="e">
        <f t="shared" si="76"/>
        <v>#DIV/0!</v>
      </c>
      <c r="AK157" s="57" t="e">
        <f t="shared" si="77"/>
        <v>#DIV/0!</v>
      </c>
      <c r="AL157" s="57" t="e">
        <f t="shared" si="78"/>
        <v>#DIV/0!</v>
      </c>
      <c r="AM157" s="63"/>
      <c r="AN157" s="57" t="e">
        <f t="shared" si="80"/>
        <v>#DIV/0!</v>
      </c>
      <c r="AO157" s="58" t="e">
        <f t="shared" si="56"/>
        <v>#DIV/0!</v>
      </c>
      <c r="AP157" s="63"/>
      <c r="AQ157" s="58" t="e">
        <f t="shared" si="79"/>
        <v>#DIV/0!</v>
      </c>
      <c r="AR157" s="63"/>
      <c r="AS157" s="58" t="e">
        <f t="shared" si="79"/>
        <v>#DIV/0!</v>
      </c>
      <c r="AT157" s="58" t="e">
        <f t="shared" si="79"/>
        <v>#DIV/0!</v>
      </c>
      <c r="AU157" s="58" t="e">
        <f t="shared" si="79"/>
        <v>#DIV/0!</v>
      </c>
      <c r="AV157" s="58" t="e">
        <f t="shared" si="79"/>
        <v>#DIV/0!</v>
      </c>
      <c r="AW157" s="58" t="e">
        <f t="shared" si="79"/>
        <v>#DIV/0!</v>
      </c>
      <c r="AX157" s="58" t="e">
        <f t="shared" si="79"/>
        <v>#DIV/0!</v>
      </c>
      <c r="AY157" s="58" t="e">
        <f t="shared" si="79"/>
        <v>#DIV/0!</v>
      </c>
      <c r="AZ157" s="63"/>
      <c r="BA157" s="58" t="e">
        <f t="shared" si="79"/>
        <v>#DIV/0!</v>
      </c>
      <c r="BB157" s="63"/>
      <c r="BC157" s="57" t="e">
        <f>(Links!C157*Links!AQ157+'On-Ramps'!AC157*'On-Ramps'!CE157)/('On-Ramps'!AC157+Links!C157)</f>
        <v>#DIV/0!</v>
      </c>
      <c r="BD157" s="63"/>
      <c r="BE157" s="57" t="e">
        <f>(Links!E157*Links!AS157+'On-Ramps'!AD157*'On-Ramps'!CF156)/('On-Ramps'!AD157+Links!E157)</f>
        <v>#DIV/0!</v>
      </c>
      <c r="BF157" s="57" t="e">
        <f>(Links!F157*Links!AT157+'On-Ramps'!AE157*'On-Ramps'!CG157)/('On-Ramps'!AE157+Links!F157)</f>
        <v>#DIV/0!</v>
      </c>
      <c r="BG157" s="57" t="e">
        <f>(Links!I157*Links!AW157+'On-Ramps'!AF157*'On-Ramps'!CH157)/('On-Ramps'!AF157+Links!I157)</f>
        <v>#DIV/0!</v>
      </c>
      <c r="BH157" s="57" t="e">
        <f>(#REF!*#REF!+'On-Ramps'!AG157*'On-Ramps'!CI157)/('On-Ramps'!AG157+#REF!)</f>
        <v>#REF!</v>
      </c>
      <c r="BI157" s="57" t="e">
        <f>(Links!L157*Links!AZ157+'On-Ramps'!AH157*'On-Ramps'!CJ157)/('On-Ramps'!AH157+Links!L157)</f>
        <v>#DIV/0!</v>
      </c>
      <c r="BJ157" s="57" t="e">
        <f>(Links!BA157*Links!M157+'On-Ramps'!AI157*'On-Ramps'!CK157)/('On-Ramps'!AI157+Links!M157)</f>
        <v>#DIV/0!</v>
      </c>
      <c r="BK157" s="57" t="e">
        <f>(Links!S157*Links!BG157+'On-Ramps'!AJ157*'On-Ramps'!CL157)/('On-Ramps'!AJ157+Links!S157)</f>
        <v>#DIV/0!</v>
      </c>
      <c r="BL157" s="63"/>
      <c r="BM157" s="57" t="e">
        <f>(Links!S157*Links!BG157+'On-Ramps'!AL157*'On-Ramps'!CM157)/(Links!S157+'On-Ramps'!AL157)</f>
        <v>#DIV/0!</v>
      </c>
      <c r="BN157" s="63"/>
      <c r="BO157" s="58" t="e">
        <f>(Links!W157^2+'Off-Ramp'!L157^2)/(Links!W157+'Off-Ramp'!L157)</f>
        <v>#DIV/0!</v>
      </c>
      <c r="BP157" s="63"/>
      <c r="BQ157" s="58" t="e">
        <f>(Links!Y157^2+'Off-Ramp'!C157^2)/(Links!Y157+'Off-Ramp'!C157)</f>
        <v>#DIV/0!</v>
      </c>
      <c r="BR157" s="63"/>
      <c r="BS157" s="58" t="e">
        <f>(Links!AA157^2+'Off-Ramp'!N157^2)/(Links!AA157+'Off-Ramp'!N157)</f>
        <v>#DIV/0!</v>
      </c>
      <c r="BT157" s="58" t="e">
        <f>(Links!AD157^2+'Off-Ramp'!O157^2)/(Links!AD157+'Off-Ramp'!O157)</f>
        <v>#DIV/0!</v>
      </c>
      <c r="BU157" s="58" t="e">
        <f>(Links!AE157^2+'Off-Ramp'!V157^2+'Off-Ramp'!W157^2+'Off-Ramp'!X157^2)/(Links!AE157+'Off-Ramp'!V157+'Off-Ramp'!W157+'Off-Ramp'!X157)</f>
        <v>#DIV/0!</v>
      </c>
      <c r="BV157" s="58" t="e">
        <f>(Links!AG157^2+'Off-Ramp'!Y157^2+'Off-Ramp'!Z157^2+'Off-Ramp'!AA157^2)/(Links!AG157+'Off-Ramp'!Y157+'Off-Ramp'!Z157+'Off-Ramp'!AA157)</f>
        <v>#DIV/0!</v>
      </c>
      <c r="BW157" s="58" t="e">
        <f>(Links!AH157^2+'Off-Ramp'!R157^2)/(Links!AH157+'Off-Ramp'!R157)</f>
        <v>#DIV/0!</v>
      </c>
      <c r="BX157" s="58" t="e">
        <f>(Links!AK157^2+'Off-Ramp'!S157^2)/(Links!AK157+'Off-Ramp'!S157)</f>
        <v>#DIV/0!</v>
      </c>
      <c r="BY157" s="58" t="e">
        <f>(Links!AL157^2+'Off-Ramp'!T157^2)/(Links!AL157+'Off-Ramp'!T157)</f>
        <v>#DIV/0!</v>
      </c>
      <c r="BZ157" s="63"/>
      <c r="CA157" s="58" t="e">
        <f>(Links!AN157^2+'Off-Ramp'!U157^2)/(Links!AN157+'Off-Ramp'!U157)</f>
        <v>#DIV/0!</v>
      </c>
    </row>
    <row r="158" spans="1:79" x14ac:dyDescent="0.15">
      <c r="A158" s="56">
        <v>156</v>
      </c>
      <c r="B158" s="57" t="e">
        <f t="shared" si="57"/>
        <v>#DIV/0!</v>
      </c>
      <c r="C158" s="57" t="e">
        <f t="shared" si="58"/>
        <v>#DIV/0!</v>
      </c>
      <c r="D158" s="57" t="e">
        <f t="shared" si="59"/>
        <v>#DIV/0!</v>
      </c>
      <c r="E158" s="57" t="e">
        <f t="shared" si="60"/>
        <v>#DIV/0!</v>
      </c>
      <c r="F158" s="57" t="e">
        <f t="shared" si="61"/>
        <v>#DIV/0!</v>
      </c>
      <c r="G158" s="57" t="e">
        <f t="shared" si="62"/>
        <v>#DIV/0!</v>
      </c>
      <c r="H158" s="57" t="e">
        <f t="shared" si="63"/>
        <v>#DIV/0!</v>
      </c>
      <c r="I158" s="57" t="e">
        <f t="shared" si="64"/>
        <v>#DIV/0!</v>
      </c>
      <c r="J158" s="57" t="e">
        <f t="shared" si="65"/>
        <v>#DIV/0!</v>
      </c>
      <c r="K158" s="57" t="e">
        <f t="shared" si="66"/>
        <v>#DIV/0!</v>
      </c>
      <c r="L158" s="57" t="e">
        <f t="shared" si="67"/>
        <v>#DIV/0!</v>
      </c>
      <c r="M158" s="57" t="e">
        <f t="shared" si="68"/>
        <v>#DIV/0!</v>
      </c>
      <c r="N158" s="57" t="e">
        <f t="shared" si="69"/>
        <v>#DIV/0!</v>
      </c>
      <c r="O158" s="58" t="e">
        <f>Links!B158</f>
        <v>#DIV/0!</v>
      </c>
      <c r="P158" s="58" t="e">
        <f>Links!C158+'On-Ramps'!AC158</f>
        <v>#DIV/0!</v>
      </c>
      <c r="Q158" s="58" t="e">
        <f>Links!D158</f>
        <v>#DIV/0!</v>
      </c>
      <c r="R158" s="58" t="e">
        <f>Links!E158+'On-Ramps'!AD158</f>
        <v>#DIV/0!</v>
      </c>
      <c r="S158" s="58" t="e">
        <f>Links!F158+'On-Ramps'!AE158</f>
        <v>#DIV/0!</v>
      </c>
      <c r="T158" s="58" t="e">
        <f>Links!I158+'On-Ramps'!AF158</f>
        <v>#DIV/0!</v>
      </c>
      <c r="U158" s="58" t="e">
        <f>Links!J158+'On-Ramps'!AG158</f>
        <v>#DIV/0!</v>
      </c>
      <c r="V158" s="58" t="e">
        <f>Links!L158+'On-Ramps'!AH158</f>
        <v>#DIV/0!</v>
      </c>
      <c r="W158" s="58" t="e">
        <f>Links!M158+'On-Ramps'!AI158</f>
        <v>#DIV/0!</v>
      </c>
      <c r="X158" s="58" t="e">
        <f>Links!P158+'On-Ramps'!AJ158</f>
        <v>#DIV/0!</v>
      </c>
      <c r="Y158" s="58" t="e">
        <f>Links!Q158</f>
        <v>#DIV/0!</v>
      </c>
      <c r="Z158" s="58" t="e">
        <f>Links!R158+'On-Ramps'!AK158</f>
        <v>#DIV/0!</v>
      </c>
      <c r="AA158" s="58" t="e">
        <f>Links!S158</f>
        <v>#DIV/0!</v>
      </c>
      <c r="AB158" s="57" t="e">
        <f t="shared" si="70"/>
        <v>#DIV/0!</v>
      </c>
      <c r="AC158" s="63"/>
      <c r="AD158" s="57" t="e">
        <f t="shared" si="71"/>
        <v>#DIV/0!</v>
      </c>
      <c r="AE158" s="63"/>
      <c r="AF158" s="57" t="e">
        <f t="shared" si="72"/>
        <v>#DIV/0!</v>
      </c>
      <c r="AG158" s="57" t="e">
        <f t="shared" si="73"/>
        <v>#DIV/0!</v>
      </c>
      <c r="AH158" s="57" t="e">
        <f t="shared" si="74"/>
        <v>#DIV/0!</v>
      </c>
      <c r="AI158" s="57" t="e">
        <f t="shared" si="75"/>
        <v>#DIV/0!</v>
      </c>
      <c r="AJ158" s="57" t="e">
        <f t="shared" si="76"/>
        <v>#DIV/0!</v>
      </c>
      <c r="AK158" s="57" t="e">
        <f t="shared" si="77"/>
        <v>#DIV/0!</v>
      </c>
      <c r="AL158" s="57" t="e">
        <f t="shared" si="78"/>
        <v>#DIV/0!</v>
      </c>
      <c r="AM158" s="63"/>
      <c r="AN158" s="57" t="e">
        <f t="shared" si="80"/>
        <v>#DIV/0!</v>
      </c>
      <c r="AO158" s="58" t="e">
        <f t="shared" si="56"/>
        <v>#DIV/0!</v>
      </c>
      <c r="AP158" s="63"/>
      <c r="AQ158" s="58" t="e">
        <f t="shared" si="79"/>
        <v>#DIV/0!</v>
      </c>
      <c r="AR158" s="63"/>
      <c r="AS158" s="58" t="e">
        <f t="shared" si="79"/>
        <v>#DIV/0!</v>
      </c>
      <c r="AT158" s="58" t="e">
        <f t="shared" si="79"/>
        <v>#DIV/0!</v>
      </c>
      <c r="AU158" s="58" t="e">
        <f t="shared" si="79"/>
        <v>#DIV/0!</v>
      </c>
      <c r="AV158" s="58" t="e">
        <f t="shared" si="79"/>
        <v>#DIV/0!</v>
      </c>
      <c r="AW158" s="58" t="e">
        <f t="shared" si="79"/>
        <v>#DIV/0!</v>
      </c>
      <c r="AX158" s="58" t="e">
        <f t="shared" si="79"/>
        <v>#DIV/0!</v>
      </c>
      <c r="AY158" s="58" t="e">
        <f t="shared" si="79"/>
        <v>#DIV/0!</v>
      </c>
      <c r="AZ158" s="63"/>
      <c r="BA158" s="58" t="e">
        <f t="shared" si="79"/>
        <v>#DIV/0!</v>
      </c>
      <c r="BB158" s="63"/>
      <c r="BC158" s="57" t="e">
        <f>(Links!C158*Links!AQ158+'On-Ramps'!AC158*'On-Ramps'!CE158)/('On-Ramps'!AC158+Links!C158)</f>
        <v>#DIV/0!</v>
      </c>
      <c r="BD158" s="63"/>
      <c r="BE158" s="57" t="e">
        <f>(Links!E158*Links!AS158+'On-Ramps'!AD158*'On-Ramps'!CF157)/('On-Ramps'!AD158+Links!E158)</f>
        <v>#DIV/0!</v>
      </c>
      <c r="BF158" s="57" t="e">
        <f>(Links!F158*Links!AT158+'On-Ramps'!AE158*'On-Ramps'!CG158)/('On-Ramps'!AE158+Links!F158)</f>
        <v>#DIV/0!</v>
      </c>
      <c r="BG158" s="57" t="e">
        <f>(Links!I158*Links!AW158+'On-Ramps'!AF158*'On-Ramps'!CH158)/('On-Ramps'!AF158+Links!I158)</f>
        <v>#DIV/0!</v>
      </c>
      <c r="BH158" s="57" t="e">
        <f>(#REF!*#REF!+'On-Ramps'!AG158*'On-Ramps'!CI158)/('On-Ramps'!AG158+#REF!)</f>
        <v>#REF!</v>
      </c>
      <c r="BI158" s="57" t="e">
        <f>(Links!L158*Links!AZ158+'On-Ramps'!AH158*'On-Ramps'!CJ158)/('On-Ramps'!AH158+Links!L158)</f>
        <v>#DIV/0!</v>
      </c>
      <c r="BJ158" s="57" t="e">
        <f>(Links!BA158*Links!M158+'On-Ramps'!AI158*'On-Ramps'!CK158)/('On-Ramps'!AI158+Links!M158)</f>
        <v>#DIV/0!</v>
      </c>
      <c r="BK158" s="57" t="e">
        <f>(Links!S158*Links!BG158+'On-Ramps'!AJ158*'On-Ramps'!CL158)/('On-Ramps'!AJ158+Links!S158)</f>
        <v>#DIV/0!</v>
      </c>
      <c r="BL158" s="63"/>
      <c r="BM158" s="57" t="e">
        <f>(Links!S158*Links!BG158+'On-Ramps'!AL158*'On-Ramps'!CM158)/(Links!S158+'On-Ramps'!AL158)</f>
        <v>#DIV/0!</v>
      </c>
      <c r="BN158" s="63"/>
      <c r="BO158" s="58" t="e">
        <f>(Links!W158^2+'Off-Ramp'!L158^2)/(Links!W158+'Off-Ramp'!L158)</f>
        <v>#DIV/0!</v>
      </c>
      <c r="BP158" s="63"/>
      <c r="BQ158" s="58" t="e">
        <f>(Links!Y158^2+'Off-Ramp'!C158^2)/(Links!Y158+'Off-Ramp'!C158)</f>
        <v>#DIV/0!</v>
      </c>
      <c r="BR158" s="63"/>
      <c r="BS158" s="58" t="e">
        <f>(Links!AA158^2+'Off-Ramp'!N158^2)/(Links!AA158+'Off-Ramp'!N158)</f>
        <v>#DIV/0!</v>
      </c>
      <c r="BT158" s="58" t="e">
        <f>(Links!AD158^2+'Off-Ramp'!O158^2)/(Links!AD158+'Off-Ramp'!O158)</f>
        <v>#DIV/0!</v>
      </c>
      <c r="BU158" s="58" t="e">
        <f>(Links!AE158^2+'Off-Ramp'!V158^2+'Off-Ramp'!W158^2+'Off-Ramp'!X158^2)/(Links!AE158+'Off-Ramp'!V158+'Off-Ramp'!W158+'Off-Ramp'!X158)</f>
        <v>#DIV/0!</v>
      </c>
      <c r="BV158" s="58" t="e">
        <f>(Links!AG158^2+'Off-Ramp'!Y158^2+'Off-Ramp'!Z158^2+'Off-Ramp'!AA158^2)/(Links!AG158+'Off-Ramp'!Y158+'Off-Ramp'!Z158+'Off-Ramp'!AA158)</f>
        <v>#DIV/0!</v>
      </c>
      <c r="BW158" s="58" t="e">
        <f>(Links!AH158^2+'Off-Ramp'!R158^2)/(Links!AH158+'Off-Ramp'!R158)</f>
        <v>#DIV/0!</v>
      </c>
      <c r="BX158" s="58" t="e">
        <f>(Links!AK158^2+'Off-Ramp'!S158^2)/(Links!AK158+'Off-Ramp'!S158)</f>
        <v>#DIV/0!</v>
      </c>
      <c r="BY158" s="58" t="e">
        <f>(Links!AL158^2+'Off-Ramp'!T158^2)/(Links!AL158+'Off-Ramp'!T158)</f>
        <v>#DIV/0!</v>
      </c>
      <c r="BZ158" s="63"/>
      <c r="CA158" s="58" t="e">
        <f>(Links!AN158^2+'Off-Ramp'!U158^2)/(Links!AN158+'Off-Ramp'!U158)</f>
        <v>#DIV/0!</v>
      </c>
    </row>
    <row r="159" spans="1:79" x14ac:dyDescent="0.15">
      <c r="A159" s="56">
        <v>157</v>
      </c>
      <c r="B159" s="57" t="e">
        <f t="shared" si="57"/>
        <v>#DIV/0!</v>
      </c>
      <c r="C159" s="57" t="e">
        <f t="shared" si="58"/>
        <v>#DIV/0!</v>
      </c>
      <c r="D159" s="57" t="e">
        <f t="shared" si="59"/>
        <v>#DIV/0!</v>
      </c>
      <c r="E159" s="57" t="e">
        <f t="shared" si="60"/>
        <v>#DIV/0!</v>
      </c>
      <c r="F159" s="57" t="e">
        <f t="shared" si="61"/>
        <v>#DIV/0!</v>
      </c>
      <c r="G159" s="57" t="e">
        <f t="shared" si="62"/>
        <v>#DIV/0!</v>
      </c>
      <c r="H159" s="57" t="e">
        <f t="shared" si="63"/>
        <v>#DIV/0!</v>
      </c>
      <c r="I159" s="57" t="e">
        <f t="shared" si="64"/>
        <v>#DIV/0!</v>
      </c>
      <c r="J159" s="57" t="e">
        <f t="shared" si="65"/>
        <v>#DIV/0!</v>
      </c>
      <c r="K159" s="57" t="e">
        <f t="shared" si="66"/>
        <v>#DIV/0!</v>
      </c>
      <c r="L159" s="57" t="e">
        <f t="shared" si="67"/>
        <v>#DIV/0!</v>
      </c>
      <c r="M159" s="57" t="e">
        <f t="shared" si="68"/>
        <v>#DIV/0!</v>
      </c>
      <c r="N159" s="57" t="e">
        <f t="shared" si="69"/>
        <v>#DIV/0!</v>
      </c>
      <c r="O159" s="58" t="e">
        <f>Links!B159</f>
        <v>#DIV/0!</v>
      </c>
      <c r="P159" s="58" t="e">
        <f>Links!C159+'On-Ramps'!AC159</f>
        <v>#DIV/0!</v>
      </c>
      <c r="Q159" s="58" t="e">
        <f>Links!D159</f>
        <v>#DIV/0!</v>
      </c>
      <c r="R159" s="58" t="e">
        <f>Links!E159+'On-Ramps'!AD159</f>
        <v>#DIV/0!</v>
      </c>
      <c r="S159" s="58" t="e">
        <f>Links!F159+'On-Ramps'!AE159</f>
        <v>#DIV/0!</v>
      </c>
      <c r="T159" s="58" t="e">
        <f>Links!I159+'On-Ramps'!AF159</f>
        <v>#DIV/0!</v>
      </c>
      <c r="U159" s="58" t="e">
        <f>Links!J159+'On-Ramps'!AG159</f>
        <v>#DIV/0!</v>
      </c>
      <c r="V159" s="58" t="e">
        <f>Links!L159+'On-Ramps'!AH159</f>
        <v>#DIV/0!</v>
      </c>
      <c r="W159" s="58" t="e">
        <f>Links!M159+'On-Ramps'!AI159</f>
        <v>#DIV/0!</v>
      </c>
      <c r="X159" s="58" t="e">
        <f>Links!P159+'On-Ramps'!AJ159</f>
        <v>#DIV/0!</v>
      </c>
      <c r="Y159" s="58" t="e">
        <f>Links!Q159</f>
        <v>#DIV/0!</v>
      </c>
      <c r="Z159" s="58" t="e">
        <f>Links!R159+'On-Ramps'!AK159</f>
        <v>#DIV/0!</v>
      </c>
      <c r="AA159" s="58" t="e">
        <f>Links!S159</f>
        <v>#DIV/0!</v>
      </c>
      <c r="AB159" s="57" t="e">
        <f t="shared" si="70"/>
        <v>#DIV/0!</v>
      </c>
      <c r="AC159" s="63"/>
      <c r="AD159" s="57" t="e">
        <f t="shared" si="71"/>
        <v>#DIV/0!</v>
      </c>
      <c r="AE159" s="63"/>
      <c r="AF159" s="57" t="e">
        <f t="shared" si="72"/>
        <v>#DIV/0!</v>
      </c>
      <c r="AG159" s="57" t="e">
        <f t="shared" si="73"/>
        <v>#DIV/0!</v>
      </c>
      <c r="AH159" s="57" t="e">
        <f t="shared" si="74"/>
        <v>#DIV/0!</v>
      </c>
      <c r="AI159" s="57" t="e">
        <f t="shared" si="75"/>
        <v>#DIV/0!</v>
      </c>
      <c r="AJ159" s="57" t="e">
        <f t="shared" si="76"/>
        <v>#DIV/0!</v>
      </c>
      <c r="AK159" s="57" t="e">
        <f t="shared" si="77"/>
        <v>#DIV/0!</v>
      </c>
      <c r="AL159" s="57" t="e">
        <f t="shared" si="78"/>
        <v>#DIV/0!</v>
      </c>
      <c r="AM159" s="63"/>
      <c r="AN159" s="57" t="e">
        <f t="shared" si="80"/>
        <v>#DIV/0!</v>
      </c>
      <c r="AO159" s="58" t="e">
        <f t="shared" si="56"/>
        <v>#DIV/0!</v>
      </c>
      <c r="AP159" s="63"/>
      <c r="AQ159" s="58" t="e">
        <f t="shared" si="79"/>
        <v>#DIV/0!</v>
      </c>
      <c r="AR159" s="63"/>
      <c r="AS159" s="58" t="e">
        <f t="shared" si="79"/>
        <v>#DIV/0!</v>
      </c>
      <c r="AT159" s="58" t="e">
        <f t="shared" si="79"/>
        <v>#DIV/0!</v>
      </c>
      <c r="AU159" s="58" t="e">
        <f t="shared" si="79"/>
        <v>#DIV/0!</v>
      </c>
      <c r="AV159" s="58" t="e">
        <f t="shared" si="79"/>
        <v>#DIV/0!</v>
      </c>
      <c r="AW159" s="58" t="e">
        <f t="shared" si="79"/>
        <v>#DIV/0!</v>
      </c>
      <c r="AX159" s="58" t="e">
        <f t="shared" si="79"/>
        <v>#DIV/0!</v>
      </c>
      <c r="AY159" s="58" t="e">
        <f t="shared" si="79"/>
        <v>#DIV/0!</v>
      </c>
      <c r="AZ159" s="63"/>
      <c r="BA159" s="58" t="e">
        <f t="shared" si="79"/>
        <v>#DIV/0!</v>
      </c>
      <c r="BB159" s="63"/>
      <c r="BC159" s="57" t="e">
        <f>(Links!C159*Links!AQ159+'On-Ramps'!AC159*'On-Ramps'!CE159)/('On-Ramps'!AC159+Links!C159)</f>
        <v>#DIV/0!</v>
      </c>
      <c r="BD159" s="63"/>
      <c r="BE159" s="57" t="e">
        <f>(Links!E159*Links!AS159+'On-Ramps'!AD159*'On-Ramps'!CF158)/('On-Ramps'!AD159+Links!E159)</f>
        <v>#DIV/0!</v>
      </c>
      <c r="BF159" s="57" t="e">
        <f>(Links!F159*Links!AT159+'On-Ramps'!AE159*'On-Ramps'!CG159)/('On-Ramps'!AE159+Links!F159)</f>
        <v>#DIV/0!</v>
      </c>
      <c r="BG159" s="57" t="e">
        <f>(Links!I159*Links!AW159+'On-Ramps'!AF159*'On-Ramps'!CH159)/('On-Ramps'!AF159+Links!I159)</f>
        <v>#DIV/0!</v>
      </c>
      <c r="BH159" s="57" t="e">
        <f>(#REF!*#REF!+'On-Ramps'!AG159*'On-Ramps'!CI159)/('On-Ramps'!AG159+#REF!)</f>
        <v>#REF!</v>
      </c>
      <c r="BI159" s="57" t="e">
        <f>(Links!L159*Links!AZ159+'On-Ramps'!AH159*'On-Ramps'!CJ159)/('On-Ramps'!AH159+Links!L159)</f>
        <v>#DIV/0!</v>
      </c>
      <c r="BJ159" s="57" t="e">
        <f>(Links!BA159*Links!M159+'On-Ramps'!AI159*'On-Ramps'!CK159)/('On-Ramps'!AI159+Links!M159)</f>
        <v>#DIV/0!</v>
      </c>
      <c r="BK159" s="57" t="e">
        <f>(Links!S159*Links!BG159+'On-Ramps'!AJ159*'On-Ramps'!CL159)/('On-Ramps'!AJ159+Links!S159)</f>
        <v>#DIV/0!</v>
      </c>
      <c r="BL159" s="63"/>
      <c r="BM159" s="57" t="e">
        <f>(Links!S159*Links!BG159+'On-Ramps'!AL159*'On-Ramps'!CM159)/(Links!S159+'On-Ramps'!AL159)</f>
        <v>#DIV/0!</v>
      </c>
      <c r="BN159" s="63"/>
      <c r="BO159" s="58" t="e">
        <f>(Links!W159^2+'Off-Ramp'!L159^2)/(Links!W159+'Off-Ramp'!L159)</f>
        <v>#DIV/0!</v>
      </c>
      <c r="BP159" s="63"/>
      <c r="BQ159" s="58" t="e">
        <f>(Links!Y159^2+'Off-Ramp'!C159^2)/(Links!Y159+'Off-Ramp'!C159)</f>
        <v>#DIV/0!</v>
      </c>
      <c r="BR159" s="63"/>
      <c r="BS159" s="58" t="e">
        <f>(Links!AA159^2+'Off-Ramp'!N159^2)/(Links!AA159+'Off-Ramp'!N159)</f>
        <v>#DIV/0!</v>
      </c>
      <c r="BT159" s="58" t="e">
        <f>(Links!AD159^2+'Off-Ramp'!O159^2)/(Links!AD159+'Off-Ramp'!O159)</f>
        <v>#DIV/0!</v>
      </c>
      <c r="BU159" s="58" t="e">
        <f>(Links!AE159^2+'Off-Ramp'!V159^2+'Off-Ramp'!W159^2+'Off-Ramp'!X159^2)/(Links!AE159+'Off-Ramp'!V159+'Off-Ramp'!W159+'Off-Ramp'!X159)</f>
        <v>#DIV/0!</v>
      </c>
      <c r="BV159" s="58" t="e">
        <f>(Links!AG159^2+'Off-Ramp'!Y159^2+'Off-Ramp'!Z159^2+'Off-Ramp'!AA159^2)/(Links!AG159+'Off-Ramp'!Y159+'Off-Ramp'!Z159+'Off-Ramp'!AA159)</f>
        <v>#DIV/0!</v>
      </c>
      <c r="BW159" s="58" t="e">
        <f>(Links!AH159^2+'Off-Ramp'!R159^2)/(Links!AH159+'Off-Ramp'!R159)</f>
        <v>#DIV/0!</v>
      </c>
      <c r="BX159" s="58" t="e">
        <f>(Links!AK159^2+'Off-Ramp'!S159^2)/(Links!AK159+'Off-Ramp'!S159)</f>
        <v>#DIV/0!</v>
      </c>
      <c r="BY159" s="58" t="e">
        <f>(Links!AL159^2+'Off-Ramp'!T159^2)/(Links!AL159+'Off-Ramp'!T159)</f>
        <v>#DIV/0!</v>
      </c>
      <c r="BZ159" s="63"/>
      <c r="CA159" s="58" t="e">
        <f>(Links!AN159^2+'Off-Ramp'!U159^2)/(Links!AN159+'Off-Ramp'!U159)</f>
        <v>#DIV/0!</v>
      </c>
    </row>
    <row r="160" spans="1:79" x14ac:dyDescent="0.15">
      <c r="A160" s="56">
        <v>158</v>
      </c>
      <c r="B160" s="57" t="e">
        <f t="shared" si="57"/>
        <v>#DIV/0!</v>
      </c>
      <c r="C160" s="57" t="e">
        <f t="shared" si="58"/>
        <v>#DIV/0!</v>
      </c>
      <c r="D160" s="57" t="e">
        <f t="shared" si="59"/>
        <v>#DIV/0!</v>
      </c>
      <c r="E160" s="57" t="e">
        <f t="shared" si="60"/>
        <v>#DIV/0!</v>
      </c>
      <c r="F160" s="57" t="e">
        <f t="shared" si="61"/>
        <v>#DIV/0!</v>
      </c>
      <c r="G160" s="57" t="e">
        <f t="shared" si="62"/>
        <v>#DIV/0!</v>
      </c>
      <c r="H160" s="57" t="e">
        <f t="shared" si="63"/>
        <v>#DIV/0!</v>
      </c>
      <c r="I160" s="57" t="e">
        <f t="shared" si="64"/>
        <v>#DIV/0!</v>
      </c>
      <c r="J160" s="57" t="e">
        <f t="shared" si="65"/>
        <v>#DIV/0!</v>
      </c>
      <c r="K160" s="57" t="e">
        <f t="shared" si="66"/>
        <v>#DIV/0!</v>
      </c>
      <c r="L160" s="57" t="e">
        <f t="shared" si="67"/>
        <v>#DIV/0!</v>
      </c>
      <c r="M160" s="57" t="e">
        <f t="shared" si="68"/>
        <v>#DIV/0!</v>
      </c>
      <c r="N160" s="57" t="e">
        <f t="shared" si="69"/>
        <v>#DIV/0!</v>
      </c>
      <c r="O160" s="58" t="e">
        <f>Links!B160</f>
        <v>#DIV/0!</v>
      </c>
      <c r="P160" s="58" t="e">
        <f>Links!C160+'On-Ramps'!AC160</f>
        <v>#DIV/0!</v>
      </c>
      <c r="Q160" s="58" t="e">
        <f>Links!D160</f>
        <v>#DIV/0!</v>
      </c>
      <c r="R160" s="58" t="e">
        <f>Links!E160+'On-Ramps'!AD160</f>
        <v>#DIV/0!</v>
      </c>
      <c r="S160" s="58" t="e">
        <f>Links!F160+'On-Ramps'!AE160</f>
        <v>#DIV/0!</v>
      </c>
      <c r="T160" s="58" t="e">
        <f>Links!I160+'On-Ramps'!AF160</f>
        <v>#DIV/0!</v>
      </c>
      <c r="U160" s="58" t="e">
        <f>Links!J160+'On-Ramps'!AG160</f>
        <v>#DIV/0!</v>
      </c>
      <c r="V160" s="58" t="e">
        <f>Links!L160+'On-Ramps'!AH160</f>
        <v>#DIV/0!</v>
      </c>
      <c r="W160" s="58" t="e">
        <f>Links!M160+'On-Ramps'!AI160</f>
        <v>#DIV/0!</v>
      </c>
      <c r="X160" s="58" t="e">
        <f>Links!P160+'On-Ramps'!AJ160</f>
        <v>#DIV/0!</v>
      </c>
      <c r="Y160" s="58" t="e">
        <f>Links!Q160</f>
        <v>#DIV/0!</v>
      </c>
      <c r="Z160" s="58" t="e">
        <f>Links!R160+'On-Ramps'!AK160</f>
        <v>#DIV/0!</v>
      </c>
      <c r="AA160" s="58" t="e">
        <f>Links!S160</f>
        <v>#DIV/0!</v>
      </c>
      <c r="AB160" s="57" t="e">
        <f t="shared" si="70"/>
        <v>#DIV/0!</v>
      </c>
      <c r="AC160" s="63"/>
      <c r="AD160" s="57" t="e">
        <f t="shared" si="71"/>
        <v>#DIV/0!</v>
      </c>
      <c r="AE160" s="63"/>
      <c r="AF160" s="57" t="e">
        <f t="shared" si="72"/>
        <v>#DIV/0!</v>
      </c>
      <c r="AG160" s="57" t="e">
        <f t="shared" si="73"/>
        <v>#DIV/0!</v>
      </c>
      <c r="AH160" s="57" t="e">
        <f t="shared" si="74"/>
        <v>#DIV/0!</v>
      </c>
      <c r="AI160" s="57" t="e">
        <f t="shared" si="75"/>
        <v>#DIV/0!</v>
      </c>
      <c r="AJ160" s="57" t="e">
        <f t="shared" si="76"/>
        <v>#DIV/0!</v>
      </c>
      <c r="AK160" s="57" t="e">
        <f t="shared" si="77"/>
        <v>#DIV/0!</v>
      </c>
      <c r="AL160" s="57" t="e">
        <f t="shared" si="78"/>
        <v>#DIV/0!</v>
      </c>
      <c r="AM160" s="63"/>
      <c r="AN160" s="57" t="e">
        <f t="shared" si="80"/>
        <v>#DIV/0!</v>
      </c>
      <c r="AO160" s="58" t="e">
        <f t="shared" si="56"/>
        <v>#DIV/0!</v>
      </c>
      <c r="AP160" s="63"/>
      <c r="AQ160" s="58" t="e">
        <f t="shared" si="79"/>
        <v>#DIV/0!</v>
      </c>
      <c r="AR160" s="63"/>
      <c r="AS160" s="58" t="e">
        <f t="shared" si="79"/>
        <v>#DIV/0!</v>
      </c>
      <c r="AT160" s="58" t="e">
        <f t="shared" si="79"/>
        <v>#DIV/0!</v>
      </c>
      <c r="AU160" s="58" t="e">
        <f t="shared" si="79"/>
        <v>#DIV/0!</v>
      </c>
      <c r="AV160" s="58" t="e">
        <f t="shared" si="79"/>
        <v>#DIV/0!</v>
      </c>
      <c r="AW160" s="58" t="e">
        <f t="shared" si="79"/>
        <v>#DIV/0!</v>
      </c>
      <c r="AX160" s="58" t="e">
        <f t="shared" si="79"/>
        <v>#DIV/0!</v>
      </c>
      <c r="AY160" s="58" t="e">
        <f t="shared" si="79"/>
        <v>#DIV/0!</v>
      </c>
      <c r="AZ160" s="63"/>
      <c r="BA160" s="58" t="e">
        <f t="shared" si="79"/>
        <v>#DIV/0!</v>
      </c>
      <c r="BB160" s="63"/>
      <c r="BC160" s="57" t="e">
        <f>(Links!C160*Links!AQ160+'On-Ramps'!AC160*'On-Ramps'!CE160)/('On-Ramps'!AC160+Links!C160)</f>
        <v>#DIV/0!</v>
      </c>
      <c r="BD160" s="63"/>
      <c r="BE160" s="57" t="e">
        <f>(Links!E160*Links!AS160+'On-Ramps'!AD160*'On-Ramps'!CF159)/('On-Ramps'!AD160+Links!E160)</f>
        <v>#DIV/0!</v>
      </c>
      <c r="BF160" s="57" t="e">
        <f>(Links!F160*Links!AT160+'On-Ramps'!AE160*'On-Ramps'!CG160)/('On-Ramps'!AE160+Links!F160)</f>
        <v>#DIV/0!</v>
      </c>
      <c r="BG160" s="57" t="e">
        <f>(Links!I160*Links!AW160+'On-Ramps'!AF160*'On-Ramps'!CH160)/('On-Ramps'!AF160+Links!I160)</f>
        <v>#DIV/0!</v>
      </c>
      <c r="BH160" s="57" t="e">
        <f>(#REF!*#REF!+'On-Ramps'!AG160*'On-Ramps'!CI160)/('On-Ramps'!AG160+#REF!)</f>
        <v>#REF!</v>
      </c>
      <c r="BI160" s="57" t="e">
        <f>(Links!L160*Links!AZ160+'On-Ramps'!AH160*'On-Ramps'!CJ160)/('On-Ramps'!AH160+Links!L160)</f>
        <v>#DIV/0!</v>
      </c>
      <c r="BJ160" s="57" t="e">
        <f>(Links!BA160*Links!M160+'On-Ramps'!AI160*'On-Ramps'!CK160)/('On-Ramps'!AI160+Links!M160)</f>
        <v>#DIV/0!</v>
      </c>
      <c r="BK160" s="57" t="e">
        <f>(Links!S160*Links!BG160+'On-Ramps'!AJ160*'On-Ramps'!CL160)/('On-Ramps'!AJ160+Links!S160)</f>
        <v>#DIV/0!</v>
      </c>
      <c r="BL160" s="63"/>
      <c r="BM160" s="57" t="e">
        <f>(Links!S160*Links!BG160+'On-Ramps'!AL160*'On-Ramps'!CM160)/(Links!S160+'On-Ramps'!AL160)</f>
        <v>#DIV/0!</v>
      </c>
      <c r="BN160" s="63"/>
      <c r="BO160" s="58" t="e">
        <f>(Links!W160^2+'Off-Ramp'!L160^2)/(Links!W160+'Off-Ramp'!L160)</f>
        <v>#DIV/0!</v>
      </c>
      <c r="BP160" s="63"/>
      <c r="BQ160" s="58" t="e">
        <f>(Links!Y160^2+'Off-Ramp'!C160^2)/(Links!Y160+'Off-Ramp'!C160)</f>
        <v>#DIV/0!</v>
      </c>
      <c r="BR160" s="63"/>
      <c r="BS160" s="58" t="e">
        <f>(Links!AA160^2+'Off-Ramp'!N160^2)/(Links!AA160+'Off-Ramp'!N160)</f>
        <v>#DIV/0!</v>
      </c>
      <c r="BT160" s="58" t="e">
        <f>(Links!AD160^2+'Off-Ramp'!O160^2)/(Links!AD160+'Off-Ramp'!O160)</f>
        <v>#DIV/0!</v>
      </c>
      <c r="BU160" s="58" t="e">
        <f>(Links!AE160^2+'Off-Ramp'!V160^2+'Off-Ramp'!W160^2+'Off-Ramp'!X160^2)/(Links!AE160+'Off-Ramp'!V160+'Off-Ramp'!W160+'Off-Ramp'!X160)</f>
        <v>#DIV/0!</v>
      </c>
      <c r="BV160" s="58" t="e">
        <f>(Links!AG160^2+'Off-Ramp'!Y160^2+'Off-Ramp'!Z160^2+'Off-Ramp'!AA160^2)/(Links!AG160+'Off-Ramp'!Y160+'Off-Ramp'!Z160+'Off-Ramp'!AA160)</f>
        <v>#DIV/0!</v>
      </c>
      <c r="BW160" s="58" t="e">
        <f>(Links!AH160^2+'Off-Ramp'!R160^2)/(Links!AH160+'Off-Ramp'!R160)</f>
        <v>#DIV/0!</v>
      </c>
      <c r="BX160" s="58" t="e">
        <f>(Links!AK160^2+'Off-Ramp'!S160^2)/(Links!AK160+'Off-Ramp'!S160)</f>
        <v>#DIV/0!</v>
      </c>
      <c r="BY160" s="58" t="e">
        <f>(Links!AL160^2+'Off-Ramp'!T160^2)/(Links!AL160+'Off-Ramp'!T160)</f>
        <v>#DIV/0!</v>
      </c>
      <c r="BZ160" s="63"/>
      <c r="CA160" s="58" t="e">
        <f>(Links!AN160^2+'Off-Ramp'!U160^2)/(Links!AN160+'Off-Ramp'!U160)</f>
        <v>#DIV/0!</v>
      </c>
    </row>
    <row r="161" spans="1:79" x14ac:dyDescent="0.15">
      <c r="A161" s="56">
        <v>159</v>
      </c>
      <c r="B161" s="57" t="e">
        <f t="shared" si="57"/>
        <v>#DIV/0!</v>
      </c>
      <c r="C161" s="57" t="e">
        <f t="shared" si="58"/>
        <v>#DIV/0!</v>
      </c>
      <c r="D161" s="57" t="e">
        <f t="shared" si="59"/>
        <v>#DIV/0!</v>
      </c>
      <c r="E161" s="57" t="e">
        <f t="shared" si="60"/>
        <v>#DIV/0!</v>
      </c>
      <c r="F161" s="57" t="e">
        <f t="shared" si="61"/>
        <v>#DIV/0!</v>
      </c>
      <c r="G161" s="57" t="e">
        <f t="shared" si="62"/>
        <v>#DIV/0!</v>
      </c>
      <c r="H161" s="57" t="e">
        <f t="shared" si="63"/>
        <v>#DIV/0!</v>
      </c>
      <c r="I161" s="57" t="e">
        <f t="shared" si="64"/>
        <v>#DIV/0!</v>
      </c>
      <c r="J161" s="57" t="e">
        <f t="shared" si="65"/>
        <v>#DIV/0!</v>
      </c>
      <c r="K161" s="57" t="e">
        <f t="shared" si="66"/>
        <v>#DIV/0!</v>
      </c>
      <c r="L161" s="57" t="e">
        <f t="shared" si="67"/>
        <v>#DIV/0!</v>
      </c>
      <c r="M161" s="57" t="e">
        <f t="shared" si="68"/>
        <v>#DIV/0!</v>
      </c>
      <c r="N161" s="57" t="e">
        <f t="shared" si="69"/>
        <v>#DIV/0!</v>
      </c>
      <c r="O161" s="58" t="e">
        <f>Links!B161</f>
        <v>#DIV/0!</v>
      </c>
      <c r="P161" s="58" t="e">
        <f>Links!C161+'On-Ramps'!AC161</f>
        <v>#DIV/0!</v>
      </c>
      <c r="Q161" s="58" t="e">
        <f>Links!D161</f>
        <v>#DIV/0!</v>
      </c>
      <c r="R161" s="58" t="e">
        <f>Links!E161+'On-Ramps'!AD161</f>
        <v>#DIV/0!</v>
      </c>
      <c r="S161" s="58" t="e">
        <f>Links!F161+'On-Ramps'!AE161</f>
        <v>#DIV/0!</v>
      </c>
      <c r="T161" s="58" t="e">
        <f>Links!I161+'On-Ramps'!AF161</f>
        <v>#DIV/0!</v>
      </c>
      <c r="U161" s="58" t="e">
        <f>Links!J161+'On-Ramps'!AG161</f>
        <v>#DIV/0!</v>
      </c>
      <c r="V161" s="58" t="e">
        <f>Links!L161+'On-Ramps'!AH161</f>
        <v>#DIV/0!</v>
      </c>
      <c r="W161" s="58" t="e">
        <f>Links!M161+'On-Ramps'!AI161</f>
        <v>#DIV/0!</v>
      </c>
      <c r="X161" s="58" t="e">
        <f>Links!P161+'On-Ramps'!AJ161</f>
        <v>#DIV/0!</v>
      </c>
      <c r="Y161" s="58" t="e">
        <f>Links!Q161</f>
        <v>#DIV/0!</v>
      </c>
      <c r="Z161" s="58" t="e">
        <f>Links!R161+'On-Ramps'!AK161</f>
        <v>#DIV/0!</v>
      </c>
      <c r="AA161" s="58" t="e">
        <f>Links!S161</f>
        <v>#DIV/0!</v>
      </c>
      <c r="AB161" s="57" t="e">
        <f t="shared" si="70"/>
        <v>#DIV/0!</v>
      </c>
      <c r="AC161" s="63"/>
      <c r="AD161" s="57" t="e">
        <f t="shared" si="71"/>
        <v>#DIV/0!</v>
      </c>
      <c r="AE161" s="63"/>
      <c r="AF161" s="57" t="e">
        <f t="shared" si="72"/>
        <v>#DIV/0!</v>
      </c>
      <c r="AG161" s="57" t="e">
        <f t="shared" si="73"/>
        <v>#DIV/0!</v>
      </c>
      <c r="AH161" s="57" t="e">
        <f t="shared" si="74"/>
        <v>#DIV/0!</v>
      </c>
      <c r="AI161" s="57" t="e">
        <f t="shared" si="75"/>
        <v>#DIV/0!</v>
      </c>
      <c r="AJ161" s="57" t="e">
        <f t="shared" si="76"/>
        <v>#DIV/0!</v>
      </c>
      <c r="AK161" s="57" t="e">
        <f t="shared" si="77"/>
        <v>#DIV/0!</v>
      </c>
      <c r="AL161" s="57" t="e">
        <f t="shared" si="78"/>
        <v>#DIV/0!</v>
      </c>
      <c r="AM161" s="63"/>
      <c r="AN161" s="57" t="e">
        <f t="shared" si="80"/>
        <v>#DIV/0!</v>
      </c>
      <c r="AO161" s="58" t="e">
        <f t="shared" si="56"/>
        <v>#DIV/0!</v>
      </c>
      <c r="AP161" s="63"/>
      <c r="AQ161" s="58" t="e">
        <f t="shared" si="79"/>
        <v>#DIV/0!</v>
      </c>
      <c r="AR161" s="63"/>
      <c r="AS161" s="58" t="e">
        <f t="shared" si="79"/>
        <v>#DIV/0!</v>
      </c>
      <c r="AT161" s="58" t="e">
        <f t="shared" si="79"/>
        <v>#DIV/0!</v>
      </c>
      <c r="AU161" s="58" t="e">
        <f t="shared" si="79"/>
        <v>#DIV/0!</v>
      </c>
      <c r="AV161" s="58" t="e">
        <f t="shared" si="79"/>
        <v>#DIV/0!</v>
      </c>
      <c r="AW161" s="58" t="e">
        <f t="shared" si="79"/>
        <v>#DIV/0!</v>
      </c>
      <c r="AX161" s="58" t="e">
        <f t="shared" si="79"/>
        <v>#DIV/0!</v>
      </c>
      <c r="AY161" s="58" t="e">
        <f t="shared" si="79"/>
        <v>#DIV/0!</v>
      </c>
      <c r="AZ161" s="63"/>
      <c r="BA161" s="58" t="e">
        <f t="shared" si="79"/>
        <v>#DIV/0!</v>
      </c>
      <c r="BB161" s="63"/>
      <c r="BC161" s="57" t="e">
        <f>(Links!C161*Links!AQ161+'On-Ramps'!AC161*'On-Ramps'!CE161)/('On-Ramps'!AC161+Links!C161)</f>
        <v>#DIV/0!</v>
      </c>
      <c r="BD161" s="63"/>
      <c r="BE161" s="57" t="e">
        <f>(Links!E161*Links!AS161+'On-Ramps'!AD161*'On-Ramps'!CF160)/('On-Ramps'!AD161+Links!E161)</f>
        <v>#DIV/0!</v>
      </c>
      <c r="BF161" s="57" t="e">
        <f>(Links!F161*Links!AT161+'On-Ramps'!AE161*'On-Ramps'!CG161)/('On-Ramps'!AE161+Links!F161)</f>
        <v>#DIV/0!</v>
      </c>
      <c r="BG161" s="57" t="e">
        <f>(Links!I161*Links!AW161+'On-Ramps'!AF161*'On-Ramps'!CH161)/('On-Ramps'!AF161+Links!I161)</f>
        <v>#DIV/0!</v>
      </c>
      <c r="BH161" s="57" t="e">
        <f>(#REF!*#REF!+'On-Ramps'!AG161*'On-Ramps'!CI161)/('On-Ramps'!AG161+#REF!)</f>
        <v>#REF!</v>
      </c>
      <c r="BI161" s="57" t="e">
        <f>(Links!L161*Links!AZ161+'On-Ramps'!AH161*'On-Ramps'!CJ161)/('On-Ramps'!AH161+Links!L161)</f>
        <v>#DIV/0!</v>
      </c>
      <c r="BJ161" s="57" t="e">
        <f>(Links!BA161*Links!M161+'On-Ramps'!AI161*'On-Ramps'!CK161)/('On-Ramps'!AI161+Links!M161)</f>
        <v>#DIV/0!</v>
      </c>
      <c r="BK161" s="57" t="e">
        <f>(Links!S161*Links!BG161+'On-Ramps'!AJ161*'On-Ramps'!CL161)/('On-Ramps'!AJ161+Links!S161)</f>
        <v>#DIV/0!</v>
      </c>
      <c r="BL161" s="63"/>
      <c r="BM161" s="57" t="e">
        <f>(Links!S161*Links!BG161+'On-Ramps'!AL161*'On-Ramps'!CM161)/(Links!S161+'On-Ramps'!AL161)</f>
        <v>#DIV/0!</v>
      </c>
      <c r="BN161" s="63"/>
      <c r="BO161" s="58" t="e">
        <f>(Links!W161^2+'Off-Ramp'!L161^2)/(Links!W161+'Off-Ramp'!L161)</f>
        <v>#DIV/0!</v>
      </c>
      <c r="BP161" s="63"/>
      <c r="BQ161" s="58" t="e">
        <f>(Links!Y161^2+'Off-Ramp'!C161^2)/(Links!Y161+'Off-Ramp'!C161)</f>
        <v>#DIV/0!</v>
      </c>
      <c r="BR161" s="63"/>
      <c r="BS161" s="58" t="e">
        <f>(Links!AA161^2+'Off-Ramp'!N161^2)/(Links!AA161+'Off-Ramp'!N161)</f>
        <v>#DIV/0!</v>
      </c>
      <c r="BT161" s="58" t="e">
        <f>(Links!AD161^2+'Off-Ramp'!O161^2)/(Links!AD161+'Off-Ramp'!O161)</f>
        <v>#DIV/0!</v>
      </c>
      <c r="BU161" s="58" t="e">
        <f>(Links!AE161^2+'Off-Ramp'!V161^2+'Off-Ramp'!W161^2+'Off-Ramp'!X161^2)/(Links!AE161+'Off-Ramp'!V161+'Off-Ramp'!W161+'Off-Ramp'!X161)</f>
        <v>#DIV/0!</v>
      </c>
      <c r="BV161" s="58" t="e">
        <f>(Links!AG161^2+'Off-Ramp'!Y161^2+'Off-Ramp'!Z161^2+'Off-Ramp'!AA161^2)/(Links!AG161+'Off-Ramp'!Y161+'Off-Ramp'!Z161+'Off-Ramp'!AA161)</f>
        <v>#DIV/0!</v>
      </c>
      <c r="BW161" s="58" t="e">
        <f>(Links!AH161^2+'Off-Ramp'!R161^2)/(Links!AH161+'Off-Ramp'!R161)</f>
        <v>#DIV/0!</v>
      </c>
      <c r="BX161" s="58" t="e">
        <f>(Links!AK161^2+'Off-Ramp'!S161^2)/(Links!AK161+'Off-Ramp'!S161)</f>
        <v>#DIV/0!</v>
      </c>
      <c r="BY161" s="58" t="e">
        <f>(Links!AL161^2+'Off-Ramp'!T161^2)/(Links!AL161+'Off-Ramp'!T161)</f>
        <v>#DIV/0!</v>
      </c>
      <c r="BZ161" s="63"/>
      <c r="CA161" s="58" t="e">
        <f>(Links!AN161^2+'Off-Ramp'!U161^2)/(Links!AN161+'Off-Ramp'!U161)</f>
        <v>#DIV/0!</v>
      </c>
    </row>
    <row r="162" spans="1:79" x14ac:dyDescent="0.15">
      <c r="A162" s="56">
        <v>160</v>
      </c>
      <c r="B162" s="57" t="e">
        <f t="shared" si="57"/>
        <v>#DIV/0!</v>
      </c>
      <c r="C162" s="57" t="e">
        <f t="shared" si="58"/>
        <v>#DIV/0!</v>
      </c>
      <c r="D162" s="57" t="e">
        <f t="shared" si="59"/>
        <v>#DIV/0!</v>
      </c>
      <c r="E162" s="57" t="e">
        <f t="shared" si="60"/>
        <v>#DIV/0!</v>
      </c>
      <c r="F162" s="57" t="e">
        <f t="shared" si="61"/>
        <v>#DIV/0!</v>
      </c>
      <c r="G162" s="57" t="e">
        <f t="shared" si="62"/>
        <v>#DIV/0!</v>
      </c>
      <c r="H162" s="57" t="e">
        <f t="shared" si="63"/>
        <v>#DIV/0!</v>
      </c>
      <c r="I162" s="57" t="e">
        <f t="shared" si="64"/>
        <v>#DIV/0!</v>
      </c>
      <c r="J162" s="57" t="e">
        <f t="shared" si="65"/>
        <v>#DIV/0!</v>
      </c>
      <c r="K162" s="57" t="e">
        <f t="shared" si="66"/>
        <v>#DIV/0!</v>
      </c>
      <c r="L162" s="57" t="e">
        <f t="shared" si="67"/>
        <v>#DIV/0!</v>
      </c>
      <c r="M162" s="57" t="e">
        <f t="shared" si="68"/>
        <v>#DIV/0!</v>
      </c>
      <c r="N162" s="57" t="e">
        <f t="shared" si="69"/>
        <v>#DIV/0!</v>
      </c>
      <c r="O162" s="58" t="e">
        <f>Links!B162</f>
        <v>#DIV/0!</v>
      </c>
      <c r="P162" s="58" t="e">
        <f>Links!C162+'On-Ramps'!AC162</f>
        <v>#DIV/0!</v>
      </c>
      <c r="Q162" s="58" t="e">
        <f>Links!D162</f>
        <v>#DIV/0!</v>
      </c>
      <c r="R162" s="58" t="e">
        <f>Links!E162+'On-Ramps'!AD162</f>
        <v>#DIV/0!</v>
      </c>
      <c r="S162" s="58" t="e">
        <f>Links!F162+'On-Ramps'!AE162</f>
        <v>#DIV/0!</v>
      </c>
      <c r="T162" s="58" t="e">
        <f>Links!I162+'On-Ramps'!AF162</f>
        <v>#DIV/0!</v>
      </c>
      <c r="U162" s="58" t="e">
        <f>Links!J162+'On-Ramps'!AG162</f>
        <v>#DIV/0!</v>
      </c>
      <c r="V162" s="58" t="e">
        <f>Links!L162+'On-Ramps'!AH162</f>
        <v>#DIV/0!</v>
      </c>
      <c r="W162" s="58" t="e">
        <f>Links!M162+'On-Ramps'!AI162</f>
        <v>#DIV/0!</v>
      </c>
      <c r="X162" s="58" t="e">
        <f>Links!P162+'On-Ramps'!AJ162</f>
        <v>#DIV/0!</v>
      </c>
      <c r="Y162" s="58" t="e">
        <f>Links!Q162</f>
        <v>#DIV/0!</v>
      </c>
      <c r="Z162" s="58" t="e">
        <f>Links!R162+'On-Ramps'!AK162</f>
        <v>#DIV/0!</v>
      </c>
      <c r="AA162" s="58" t="e">
        <f>Links!S162</f>
        <v>#DIV/0!</v>
      </c>
      <c r="AB162" s="57" t="e">
        <f t="shared" si="70"/>
        <v>#DIV/0!</v>
      </c>
      <c r="AC162" s="63"/>
      <c r="AD162" s="57" t="e">
        <f t="shared" si="71"/>
        <v>#DIV/0!</v>
      </c>
      <c r="AE162" s="63"/>
      <c r="AF162" s="57" t="e">
        <f t="shared" si="72"/>
        <v>#DIV/0!</v>
      </c>
      <c r="AG162" s="57" t="e">
        <f t="shared" si="73"/>
        <v>#DIV/0!</v>
      </c>
      <c r="AH162" s="57" t="e">
        <f t="shared" si="74"/>
        <v>#DIV/0!</v>
      </c>
      <c r="AI162" s="57" t="e">
        <f t="shared" si="75"/>
        <v>#DIV/0!</v>
      </c>
      <c r="AJ162" s="57" t="e">
        <f t="shared" si="76"/>
        <v>#DIV/0!</v>
      </c>
      <c r="AK162" s="57" t="e">
        <f t="shared" si="77"/>
        <v>#DIV/0!</v>
      </c>
      <c r="AL162" s="57" t="e">
        <f t="shared" si="78"/>
        <v>#DIV/0!</v>
      </c>
      <c r="AM162" s="63"/>
      <c r="AN162" s="57" t="e">
        <f t="shared" si="80"/>
        <v>#DIV/0!</v>
      </c>
      <c r="AO162" s="58" t="e">
        <f t="shared" si="56"/>
        <v>#DIV/0!</v>
      </c>
      <c r="AP162" s="63"/>
      <c r="AQ162" s="58" t="e">
        <f t="shared" si="79"/>
        <v>#DIV/0!</v>
      </c>
      <c r="AR162" s="63"/>
      <c r="AS162" s="58" t="e">
        <f t="shared" si="79"/>
        <v>#DIV/0!</v>
      </c>
      <c r="AT162" s="58" t="e">
        <f t="shared" si="79"/>
        <v>#DIV/0!</v>
      </c>
      <c r="AU162" s="58" t="e">
        <f t="shared" si="79"/>
        <v>#DIV/0!</v>
      </c>
      <c r="AV162" s="58" t="e">
        <f t="shared" si="79"/>
        <v>#DIV/0!</v>
      </c>
      <c r="AW162" s="58" t="e">
        <f t="shared" si="79"/>
        <v>#DIV/0!</v>
      </c>
      <c r="AX162" s="58" t="e">
        <f t="shared" si="79"/>
        <v>#DIV/0!</v>
      </c>
      <c r="AY162" s="58" t="e">
        <f t="shared" si="79"/>
        <v>#DIV/0!</v>
      </c>
      <c r="AZ162" s="63"/>
      <c r="BA162" s="58" t="e">
        <f t="shared" ref="AQ162:BA182" si="81">BA$3</f>
        <v>#DIV/0!</v>
      </c>
      <c r="BB162" s="63"/>
      <c r="BC162" s="57" t="e">
        <f>(Links!C162*Links!AQ162+'On-Ramps'!AC162*'On-Ramps'!CE162)/('On-Ramps'!AC162+Links!C162)</f>
        <v>#DIV/0!</v>
      </c>
      <c r="BD162" s="63"/>
      <c r="BE162" s="57" t="e">
        <f>(Links!E162*Links!AS162+'On-Ramps'!AD162*'On-Ramps'!CF161)/('On-Ramps'!AD162+Links!E162)</f>
        <v>#DIV/0!</v>
      </c>
      <c r="BF162" s="57" t="e">
        <f>(Links!F162*Links!AT162+'On-Ramps'!AE162*'On-Ramps'!CG162)/('On-Ramps'!AE162+Links!F162)</f>
        <v>#DIV/0!</v>
      </c>
      <c r="BG162" s="57" t="e">
        <f>(Links!I162*Links!AW162+'On-Ramps'!AF162*'On-Ramps'!CH162)/('On-Ramps'!AF162+Links!I162)</f>
        <v>#DIV/0!</v>
      </c>
      <c r="BH162" s="57" t="e">
        <f>(#REF!*#REF!+'On-Ramps'!AG162*'On-Ramps'!CI162)/('On-Ramps'!AG162+#REF!)</f>
        <v>#REF!</v>
      </c>
      <c r="BI162" s="57" t="e">
        <f>(Links!L162*Links!AZ162+'On-Ramps'!AH162*'On-Ramps'!CJ162)/('On-Ramps'!AH162+Links!L162)</f>
        <v>#DIV/0!</v>
      </c>
      <c r="BJ162" s="57" t="e">
        <f>(Links!BA162*Links!M162+'On-Ramps'!AI162*'On-Ramps'!CK162)/('On-Ramps'!AI162+Links!M162)</f>
        <v>#DIV/0!</v>
      </c>
      <c r="BK162" s="57" t="e">
        <f>(Links!S162*Links!BG162+'On-Ramps'!AJ162*'On-Ramps'!CL162)/('On-Ramps'!AJ162+Links!S162)</f>
        <v>#DIV/0!</v>
      </c>
      <c r="BL162" s="63"/>
      <c r="BM162" s="57" t="e">
        <f>(Links!S162*Links!BG162+'On-Ramps'!AL162*'On-Ramps'!CM162)/(Links!S162+'On-Ramps'!AL162)</f>
        <v>#DIV/0!</v>
      </c>
      <c r="BN162" s="63"/>
      <c r="BO162" s="58" t="e">
        <f>(Links!W162^2+'Off-Ramp'!L162^2)/(Links!W162+'Off-Ramp'!L162)</f>
        <v>#DIV/0!</v>
      </c>
      <c r="BP162" s="63"/>
      <c r="BQ162" s="58" t="e">
        <f>(Links!Y162^2+'Off-Ramp'!C162^2)/(Links!Y162+'Off-Ramp'!C162)</f>
        <v>#DIV/0!</v>
      </c>
      <c r="BR162" s="63"/>
      <c r="BS162" s="58" t="e">
        <f>(Links!AA162^2+'Off-Ramp'!N162^2)/(Links!AA162+'Off-Ramp'!N162)</f>
        <v>#DIV/0!</v>
      </c>
      <c r="BT162" s="58" t="e">
        <f>(Links!AD162^2+'Off-Ramp'!O162^2)/(Links!AD162+'Off-Ramp'!O162)</f>
        <v>#DIV/0!</v>
      </c>
      <c r="BU162" s="58" t="e">
        <f>(Links!AE162^2+'Off-Ramp'!V162^2+'Off-Ramp'!W162^2+'Off-Ramp'!X162^2)/(Links!AE162+'Off-Ramp'!V162+'Off-Ramp'!W162+'Off-Ramp'!X162)</f>
        <v>#DIV/0!</v>
      </c>
      <c r="BV162" s="58" t="e">
        <f>(Links!AG162^2+'Off-Ramp'!Y162^2+'Off-Ramp'!Z162^2+'Off-Ramp'!AA162^2)/(Links!AG162+'Off-Ramp'!Y162+'Off-Ramp'!Z162+'Off-Ramp'!AA162)</f>
        <v>#DIV/0!</v>
      </c>
      <c r="BW162" s="58" t="e">
        <f>(Links!AH162^2+'Off-Ramp'!R162^2)/(Links!AH162+'Off-Ramp'!R162)</f>
        <v>#DIV/0!</v>
      </c>
      <c r="BX162" s="58" t="e">
        <f>(Links!AK162^2+'Off-Ramp'!S162^2)/(Links!AK162+'Off-Ramp'!S162)</f>
        <v>#DIV/0!</v>
      </c>
      <c r="BY162" s="58" t="e">
        <f>(Links!AL162^2+'Off-Ramp'!T162^2)/(Links!AL162+'Off-Ramp'!T162)</f>
        <v>#DIV/0!</v>
      </c>
      <c r="BZ162" s="63"/>
      <c r="CA162" s="58" t="e">
        <f>(Links!AN162^2+'Off-Ramp'!U162^2)/(Links!AN162+'Off-Ramp'!U162)</f>
        <v>#DIV/0!</v>
      </c>
    </row>
    <row r="163" spans="1:79" x14ac:dyDescent="0.15">
      <c r="A163" s="56">
        <v>161</v>
      </c>
      <c r="B163" s="57" t="e">
        <f t="shared" si="57"/>
        <v>#DIV/0!</v>
      </c>
      <c r="C163" s="57" t="e">
        <f t="shared" si="58"/>
        <v>#DIV/0!</v>
      </c>
      <c r="D163" s="57" t="e">
        <f t="shared" si="59"/>
        <v>#DIV/0!</v>
      </c>
      <c r="E163" s="57" t="e">
        <f t="shared" si="60"/>
        <v>#DIV/0!</v>
      </c>
      <c r="F163" s="57" t="e">
        <f t="shared" si="61"/>
        <v>#DIV/0!</v>
      </c>
      <c r="G163" s="57" t="e">
        <f t="shared" si="62"/>
        <v>#DIV/0!</v>
      </c>
      <c r="H163" s="57" t="e">
        <f t="shared" si="63"/>
        <v>#DIV/0!</v>
      </c>
      <c r="I163" s="57" t="e">
        <f t="shared" si="64"/>
        <v>#DIV/0!</v>
      </c>
      <c r="J163" s="57" t="e">
        <f t="shared" si="65"/>
        <v>#DIV/0!</v>
      </c>
      <c r="K163" s="57" t="e">
        <f t="shared" si="66"/>
        <v>#DIV/0!</v>
      </c>
      <c r="L163" s="57" t="e">
        <f t="shared" si="67"/>
        <v>#DIV/0!</v>
      </c>
      <c r="M163" s="57" t="e">
        <f t="shared" si="68"/>
        <v>#DIV/0!</v>
      </c>
      <c r="N163" s="57" t="e">
        <f t="shared" si="69"/>
        <v>#DIV/0!</v>
      </c>
      <c r="O163" s="58" t="e">
        <f>Links!B163</f>
        <v>#DIV/0!</v>
      </c>
      <c r="P163" s="58" t="e">
        <f>Links!C163+'On-Ramps'!AC163</f>
        <v>#DIV/0!</v>
      </c>
      <c r="Q163" s="58" t="e">
        <f>Links!D163</f>
        <v>#DIV/0!</v>
      </c>
      <c r="R163" s="58" t="e">
        <f>Links!E163+'On-Ramps'!AD163</f>
        <v>#DIV/0!</v>
      </c>
      <c r="S163" s="58" t="e">
        <f>Links!F163+'On-Ramps'!AE163</f>
        <v>#DIV/0!</v>
      </c>
      <c r="T163" s="58" t="e">
        <f>Links!I163+'On-Ramps'!AF163</f>
        <v>#DIV/0!</v>
      </c>
      <c r="U163" s="58" t="e">
        <f>Links!J163+'On-Ramps'!AG163</f>
        <v>#DIV/0!</v>
      </c>
      <c r="V163" s="58" t="e">
        <f>Links!L163+'On-Ramps'!AH163</f>
        <v>#DIV/0!</v>
      </c>
      <c r="W163" s="58" t="e">
        <f>Links!M163+'On-Ramps'!AI163</f>
        <v>#DIV/0!</v>
      </c>
      <c r="X163" s="58" t="e">
        <f>Links!P163+'On-Ramps'!AJ163</f>
        <v>#DIV/0!</v>
      </c>
      <c r="Y163" s="58" t="e">
        <f>Links!Q163</f>
        <v>#DIV/0!</v>
      </c>
      <c r="Z163" s="58" t="e">
        <f>Links!R163+'On-Ramps'!AK163</f>
        <v>#DIV/0!</v>
      </c>
      <c r="AA163" s="58" t="e">
        <f>Links!S163</f>
        <v>#DIV/0!</v>
      </c>
      <c r="AB163" s="57" t="e">
        <f t="shared" si="70"/>
        <v>#DIV/0!</v>
      </c>
      <c r="AC163" s="63"/>
      <c r="AD163" s="57" t="e">
        <f t="shared" si="71"/>
        <v>#DIV/0!</v>
      </c>
      <c r="AE163" s="63"/>
      <c r="AF163" s="57" t="e">
        <f t="shared" si="72"/>
        <v>#DIV/0!</v>
      </c>
      <c r="AG163" s="57" t="e">
        <f t="shared" si="73"/>
        <v>#DIV/0!</v>
      </c>
      <c r="AH163" s="57" t="e">
        <f t="shared" si="74"/>
        <v>#DIV/0!</v>
      </c>
      <c r="AI163" s="57" t="e">
        <f t="shared" si="75"/>
        <v>#DIV/0!</v>
      </c>
      <c r="AJ163" s="57" t="e">
        <f t="shared" si="76"/>
        <v>#DIV/0!</v>
      </c>
      <c r="AK163" s="57" t="e">
        <f t="shared" si="77"/>
        <v>#DIV/0!</v>
      </c>
      <c r="AL163" s="57" t="e">
        <f t="shared" si="78"/>
        <v>#DIV/0!</v>
      </c>
      <c r="AM163" s="63"/>
      <c r="AN163" s="57" t="e">
        <f t="shared" si="80"/>
        <v>#DIV/0!</v>
      </c>
      <c r="AO163" s="58" t="e">
        <f t="shared" si="56"/>
        <v>#DIV/0!</v>
      </c>
      <c r="AP163" s="63"/>
      <c r="AQ163" s="58" t="e">
        <f t="shared" si="81"/>
        <v>#DIV/0!</v>
      </c>
      <c r="AR163" s="63"/>
      <c r="AS163" s="58" t="e">
        <f t="shared" si="81"/>
        <v>#DIV/0!</v>
      </c>
      <c r="AT163" s="58" t="e">
        <f t="shared" si="81"/>
        <v>#DIV/0!</v>
      </c>
      <c r="AU163" s="58" t="e">
        <f t="shared" si="81"/>
        <v>#DIV/0!</v>
      </c>
      <c r="AV163" s="58" t="e">
        <f t="shared" si="81"/>
        <v>#DIV/0!</v>
      </c>
      <c r="AW163" s="58" t="e">
        <f t="shared" si="81"/>
        <v>#DIV/0!</v>
      </c>
      <c r="AX163" s="58" t="e">
        <f t="shared" si="81"/>
        <v>#DIV/0!</v>
      </c>
      <c r="AY163" s="58" t="e">
        <f t="shared" si="81"/>
        <v>#DIV/0!</v>
      </c>
      <c r="AZ163" s="63"/>
      <c r="BA163" s="58" t="e">
        <f t="shared" si="81"/>
        <v>#DIV/0!</v>
      </c>
      <c r="BB163" s="63"/>
      <c r="BC163" s="57" t="e">
        <f>(Links!C163*Links!AQ163+'On-Ramps'!AC163*'On-Ramps'!CE163)/('On-Ramps'!AC163+Links!C163)</f>
        <v>#DIV/0!</v>
      </c>
      <c r="BD163" s="63"/>
      <c r="BE163" s="57" t="e">
        <f>(Links!E163*Links!AS163+'On-Ramps'!AD163*'On-Ramps'!CF162)/('On-Ramps'!AD163+Links!E163)</f>
        <v>#DIV/0!</v>
      </c>
      <c r="BF163" s="57" t="e">
        <f>(Links!F163*Links!AT163+'On-Ramps'!AE163*'On-Ramps'!CG163)/('On-Ramps'!AE163+Links!F163)</f>
        <v>#DIV/0!</v>
      </c>
      <c r="BG163" s="57" t="e">
        <f>(Links!I163*Links!AW163+'On-Ramps'!AF163*'On-Ramps'!CH163)/('On-Ramps'!AF163+Links!I163)</f>
        <v>#DIV/0!</v>
      </c>
      <c r="BH163" s="57" t="e">
        <f>(#REF!*#REF!+'On-Ramps'!AG163*'On-Ramps'!CI163)/('On-Ramps'!AG163+#REF!)</f>
        <v>#REF!</v>
      </c>
      <c r="BI163" s="57" t="e">
        <f>(Links!L163*Links!AZ163+'On-Ramps'!AH163*'On-Ramps'!CJ163)/('On-Ramps'!AH163+Links!L163)</f>
        <v>#DIV/0!</v>
      </c>
      <c r="BJ163" s="57" t="e">
        <f>(Links!BA163*Links!M163+'On-Ramps'!AI163*'On-Ramps'!CK163)/('On-Ramps'!AI163+Links!M163)</f>
        <v>#DIV/0!</v>
      </c>
      <c r="BK163" s="57" t="e">
        <f>(Links!S163*Links!BG163+'On-Ramps'!AJ163*'On-Ramps'!CL163)/('On-Ramps'!AJ163+Links!S163)</f>
        <v>#DIV/0!</v>
      </c>
      <c r="BL163" s="63"/>
      <c r="BM163" s="57" t="e">
        <f>(Links!S163*Links!BG163+'On-Ramps'!AL163*'On-Ramps'!CM163)/(Links!S163+'On-Ramps'!AL163)</f>
        <v>#DIV/0!</v>
      </c>
      <c r="BN163" s="63"/>
      <c r="BO163" s="58" t="e">
        <f>(Links!W163^2+'Off-Ramp'!L163^2)/(Links!W163+'Off-Ramp'!L163)</f>
        <v>#DIV/0!</v>
      </c>
      <c r="BP163" s="63"/>
      <c r="BQ163" s="58" t="e">
        <f>(Links!Y163^2+'Off-Ramp'!C163^2)/(Links!Y163+'Off-Ramp'!C163)</f>
        <v>#DIV/0!</v>
      </c>
      <c r="BR163" s="63"/>
      <c r="BS163" s="58" t="e">
        <f>(Links!AA163^2+'Off-Ramp'!N163^2)/(Links!AA163+'Off-Ramp'!N163)</f>
        <v>#DIV/0!</v>
      </c>
      <c r="BT163" s="58" t="e">
        <f>(Links!AD163^2+'Off-Ramp'!O163^2)/(Links!AD163+'Off-Ramp'!O163)</f>
        <v>#DIV/0!</v>
      </c>
      <c r="BU163" s="58" t="e">
        <f>(Links!AE163^2+'Off-Ramp'!V163^2+'Off-Ramp'!W163^2+'Off-Ramp'!X163^2)/(Links!AE163+'Off-Ramp'!V163+'Off-Ramp'!W163+'Off-Ramp'!X163)</f>
        <v>#DIV/0!</v>
      </c>
      <c r="BV163" s="58" t="e">
        <f>(Links!AG163^2+'Off-Ramp'!Y163^2+'Off-Ramp'!Z163^2+'Off-Ramp'!AA163^2)/(Links!AG163+'Off-Ramp'!Y163+'Off-Ramp'!Z163+'Off-Ramp'!AA163)</f>
        <v>#DIV/0!</v>
      </c>
      <c r="BW163" s="58" t="e">
        <f>(Links!AH163^2+'Off-Ramp'!R163^2)/(Links!AH163+'Off-Ramp'!R163)</f>
        <v>#DIV/0!</v>
      </c>
      <c r="BX163" s="58" t="e">
        <f>(Links!AK163^2+'Off-Ramp'!S163^2)/(Links!AK163+'Off-Ramp'!S163)</f>
        <v>#DIV/0!</v>
      </c>
      <c r="BY163" s="58" t="e">
        <f>(Links!AL163^2+'Off-Ramp'!T163^2)/(Links!AL163+'Off-Ramp'!T163)</f>
        <v>#DIV/0!</v>
      </c>
      <c r="BZ163" s="63"/>
      <c r="CA163" s="58" t="e">
        <f>(Links!AN163^2+'Off-Ramp'!U163^2)/(Links!AN163+'Off-Ramp'!U163)</f>
        <v>#DIV/0!</v>
      </c>
    </row>
    <row r="164" spans="1:79" x14ac:dyDescent="0.15">
      <c r="A164" s="56">
        <v>162</v>
      </c>
      <c r="B164" s="57" t="e">
        <f t="shared" si="57"/>
        <v>#DIV/0!</v>
      </c>
      <c r="C164" s="57" t="e">
        <f t="shared" si="58"/>
        <v>#DIV/0!</v>
      </c>
      <c r="D164" s="57" t="e">
        <f t="shared" si="59"/>
        <v>#DIV/0!</v>
      </c>
      <c r="E164" s="57" t="e">
        <f t="shared" si="60"/>
        <v>#DIV/0!</v>
      </c>
      <c r="F164" s="57" t="e">
        <f t="shared" si="61"/>
        <v>#DIV/0!</v>
      </c>
      <c r="G164" s="57" t="e">
        <f t="shared" si="62"/>
        <v>#DIV/0!</v>
      </c>
      <c r="H164" s="57" t="e">
        <f t="shared" si="63"/>
        <v>#DIV/0!</v>
      </c>
      <c r="I164" s="57" t="e">
        <f t="shared" si="64"/>
        <v>#DIV/0!</v>
      </c>
      <c r="J164" s="57" t="e">
        <f t="shared" si="65"/>
        <v>#DIV/0!</v>
      </c>
      <c r="K164" s="57" t="e">
        <f t="shared" si="66"/>
        <v>#DIV/0!</v>
      </c>
      <c r="L164" s="57" t="e">
        <f t="shared" si="67"/>
        <v>#DIV/0!</v>
      </c>
      <c r="M164" s="57" t="e">
        <f t="shared" si="68"/>
        <v>#DIV/0!</v>
      </c>
      <c r="N164" s="57" t="e">
        <f t="shared" si="69"/>
        <v>#DIV/0!</v>
      </c>
      <c r="O164" s="58" t="e">
        <f>Links!B164</f>
        <v>#DIV/0!</v>
      </c>
      <c r="P164" s="58" t="e">
        <f>Links!C164+'On-Ramps'!AC164</f>
        <v>#DIV/0!</v>
      </c>
      <c r="Q164" s="58" t="e">
        <f>Links!D164</f>
        <v>#DIV/0!</v>
      </c>
      <c r="R164" s="58" t="e">
        <f>Links!E164+'On-Ramps'!AD164</f>
        <v>#DIV/0!</v>
      </c>
      <c r="S164" s="58" t="e">
        <f>Links!F164+'On-Ramps'!AE164</f>
        <v>#DIV/0!</v>
      </c>
      <c r="T164" s="58" t="e">
        <f>Links!I164+'On-Ramps'!AF164</f>
        <v>#DIV/0!</v>
      </c>
      <c r="U164" s="58" t="e">
        <f>Links!J164+'On-Ramps'!AG164</f>
        <v>#DIV/0!</v>
      </c>
      <c r="V164" s="58" t="e">
        <f>Links!L164+'On-Ramps'!AH164</f>
        <v>#DIV/0!</v>
      </c>
      <c r="W164" s="58" t="e">
        <f>Links!M164+'On-Ramps'!AI164</f>
        <v>#DIV/0!</v>
      </c>
      <c r="X164" s="58" t="e">
        <f>Links!P164+'On-Ramps'!AJ164</f>
        <v>#DIV/0!</v>
      </c>
      <c r="Y164" s="58" t="e">
        <f>Links!Q164</f>
        <v>#DIV/0!</v>
      </c>
      <c r="Z164" s="58" t="e">
        <f>Links!R164+'On-Ramps'!AK164</f>
        <v>#DIV/0!</v>
      </c>
      <c r="AA164" s="58" t="e">
        <f>Links!S164</f>
        <v>#DIV/0!</v>
      </c>
      <c r="AB164" s="57" t="e">
        <f t="shared" si="70"/>
        <v>#DIV/0!</v>
      </c>
      <c r="AC164" s="63"/>
      <c r="AD164" s="57" t="e">
        <f t="shared" si="71"/>
        <v>#DIV/0!</v>
      </c>
      <c r="AE164" s="63"/>
      <c r="AF164" s="57" t="e">
        <f t="shared" si="72"/>
        <v>#DIV/0!</v>
      </c>
      <c r="AG164" s="57" t="e">
        <f t="shared" si="73"/>
        <v>#DIV/0!</v>
      </c>
      <c r="AH164" s="57" t="e">
        <f t="shared" si="74"/>
        <v>#DIV/0!</v>
      </c>
      <c r="AI164" s="57" t="e">
        <f t="shared" si="75"/>
        <v>#DIV/0!</v>
      </c>
      <c r="AJ164" s="57" t="e">
        <f t="shared" si="76"/>
        <v>#DIV/0!</v>
      </c>
      <c r="AK164" s="57" t="e">
        <f t="shared" si="77"/>
        <v>#DIV/0!</v>
      </c>
      <c r="AL164" s="57" t="e">
        <f t="shared" si="78"/>
        <v>#DIV/0!</v>
      </c>
      <c r="AM164" s="63"/>
      <c r="AN164" s="57" t="e">
        <f t="shared" si="80"/>
        <v>#DIV/0!</v>
      </c>
      <c r="AO164" s="58" t="e">
        <f t="shared" si="56"/>
        <v>#DIV/0!</v>
      </c>
      <c r="AP164" s="63"/>
      <c r="AQ164" s="58" t="e">
        <f t="shared" si="81"/>
        <v>#DIV/0!</v>
      </c>
      <c r="AR164" s="63"/>
      <c r="AS164" s="58" t="e">
        <f t="shared" si="81"/>
        <v>#DIV/0!</v>
      </c>
      <c r="AT164" s="58" t="e">
        <f t="shared" si="81"/>
        <v>#DIV/0!</v>
      </c>
      <c r="AU164" s="58" t="e">
        <f t="shared" si="81"/>
        <v>#DIV/0!</v>
      </c>
      <c r="AV164" s="58" t="e">
        <f t="shared" si="81"/>
        <v>#DIV/0!</v>
      </c>
      <c r="AW164" s="58" t="e">
        <f t="shared" si="81"/>
        <v>#DIV/0!</v>
      </c>
      <c r="AX164" s="58" t="e">
        <f t="shared" si="81"/>
        <v>#DIV/0!</v>
      </c>
      <c r="AY164" s="58" t="e">
        <f t="shared" si="81"/>
        <v>#DIV/0!</v>
      </c>
      <c r="AZ164" s="63"/>
      <c r="BA164" s="58" t="e">
        <f t="shared" si="81"/>
        <v>#DIV/0!</v>
      </c>
      <c r="BB164" s="63"/>
      <c r="BC164" s="57" t="e">
        <f>(Links!C164*Links!AQ164+'On-Ramps'!AC164*'On-Ramps'!CE164)/('On-Ramps'!AC164+Links!C164)</f>
        <v>#DIV/0!</v>
      </c>
      <c r="BD164" s="63"/>
      <c r="BE164" s="57" t="e">
        <f>(Links!E164*Links!AS164+'On-Ramps'!AD164*'On-Ramps'!CF163)/('On-Ramps'!AD164+Links!E164)</f>
        <v>#DIV/0!</v>
      </c>
      <c r="BF164" s="57" t="e">
        <f>(Links!F164*Links!AT164+'On-Ramps'!AE164*'On-Ramps'!CG164)/('On-Ramps'!AE164+Links!F164)</f>
        <v>#DIV/0!</v>
      </c>
      <c r="BG164" s="57" t="e">
        <f>(Links!I164*Links!AW164+'On-Ramps'!AF164*'On-Ramps'!CH164)/('On-Ramps'!AF164+Links!I164)</f>
        <v>#DIV/0!</v>
      </c>
      <c r="BH164" s="57" t="e">
        <f>(#REF!*#REF!+'On-Ramps'!AG164*'On-Ramps'!CI164)/('On-Ramps'!AG164+#REF!)</f>
        <v>#REF!</v>
      </c>
      <c r="BI164" s="57" t="e">
        <f>(Links!L164*Links!AZ164+'On-Ramps'!AH164*'On-Ramps'!CJ164)/('On-Ramps'!AH164+Links!L164)</f>
        <v>#DIV/0!</v>
      </c>
      <c r="BJ164" s="57" t="e">
        <f>(Links!BA164*Links!M164+'On-Ramps'!AI164*'On-Ramps'!CK164)/('On-Ramps'!AI164+Links!M164)</f>
        <v>#DIV/0!</v>
      </c>
      <c r="BK164" s="57" t="e">
        <f>(Links!S164*Links!BG164+'On-Ramps'!AJ164*'On-Ramps'!CL164)/('On-Ramps'!AJ164+Links!S164)</f>
        <v>#DIV/0!</v>
      </c>
      <c r="BL164" s="63"/>
      <c r="BM164" s="57" t="e">
        <f>(Links!S164*Links!BG164+'On-Ramps'!AL164*'On-Ramps'!CM164)/(Links!S164+'On-Ramps'!AL164)</f>
        <v>#DIV/0!</v>
      </c>
      <c r="BN164" s="63"/>
      <c r="BO164" s="58" t="e">
        <f>(Links!W164^2+'Off-Ramp'!L164^2)/(Links!W164+'Off-Ramp'!L164)</f>
        <v>#DIV/0!</v>
      </c>
      <c r="BP164" s="63"/>
      <c r="BQ164" s="58" t="e">
        <f>(Links!Y164^2+'Off-Ramp'!C164^2)/(Links!Y164+'Off-Ramp'!C164)</f>
        <v>#DIV/0!</v>
      </c>
      <c r="BR164" s="63"/>
      <c r="BS164" s="58" t="e">
        <f>(Links!AA164^2+'Off-Ramp'!N164^2)/(Links!AA164+'Off-Ramp'!N164)</f>
        <v>#DIV/0!</v>
      </c>
      <c r="BT164" s="58" t="e">
        <f>(Links!AD164^2+'Off-Ramp'!O164^2)/(Links!AD164+'Off-Ramp'!O164)</f>
        <v>#DIV/0!</v>
      </c>
      <c r="BU164" s="58" t="e">
        <f>(Links!AE164^2+'Off-Ramp'!V164^2+'Off-Ramp'!W164^2+'Off-Ramp'!X164^2)/(Links!AE164+'Off-Ramp'!V164+'Off-Ramp'!W164+'Off-Ramp'!X164)</f>
        <v>#DIV/0!</v>
      </c>
      <c r="BV164" s="58" t="e">
        <f>(Links!AG164^2+'Off-Ramp'!Y164^2+'Off-Ramp'!Z164^2+'Off-Ramp'!AA164^2)/(Links!AG164+'Off-Ramp'!Y164+'Off-Ramp'!Z164+'Off-Ramp'!AA164)</f>
        <v>#DIV/0!</v>
      </c>
      <c r="BW164" s="58" t="e">
        <f>(Links!AH164^2+'Off-Ramp'!R164^2)/(Links!AH164+'Off-Ramp'!R164)</f>
        <v>#DIV/0!</v>
      </c>
      <c r="BX164" s="58" t="e">
        <f>(Links!AK164^2+'Off-Ramp'!S164^2)/(Links!AK164+'Off-Ramp'!S164)</f>
        <v>#DIV/0!</v>
      </c>
      <c r="BY164" s="58" t="e">
        <f>(Links!AL164^2+'Off-Ramp'!T164^2)/(Links!AL164+'Off-Ramp'!T164)</f>
        <v>#DIV/0!</v>
      </c>
      <c r="BZ164" s="63"/>
      <c r="CA164" s="58" t="e">
        <f>(Links!AN164^2+'Off-Ramp'!U164^2)/(Links!AN164+'Off-Ramp'!U164)</f>
        <v>#DIV/0!</v>
      </c>
    </row>
    <row r="165" spans="1:79" x14ac:dyDescent="0.15">
      <c r="A165" s="56">
        <v>163</v>
      </c>
      <c r="B165" s="57" t="e">
        <f t="shared" si="57"/>
        <v>#DIV/0!</v>
      </c>
      <c r="C165" s="57" t="e">
        <f t="shared" si="58"/>
        <v>#DIV/0!</v>
      </c>
      <c r="D165" s="57" t="e">
        <f t="shared" si="59"/>
        <v>#DIV/0!</v>
      </c>
      <c r="E165" s="57" t="e">
        <f t="shared" si="60"/>
        <v>#DIV/0!</v>
      </c>
      <c r="F165" s="57" t="e">
        <f t="shared" si="61"/>
        <v>#DIV/0!</v>
      </c>
      <c r="G165" s="57" t="e">
        <f t="shared" si="62"/>
        <v>#DIV/0!</v>
      </c>
      <c r="H165" s="57" t="e">
        <f t="shared" si="63"/>
        <v>#DIV/0!</v>
      </c>
      <c r="I165" s="57" t="e">
        <f t="shared" si="64"/>
        <v>#DIV/0!</v>
      </c>
      <c r="J165" s="57" t="e">
        <f t="shared" si="65"/>
        <v>#DIV/0!</v>
      </c>
      <c r="K165" s="57" t="e">
        <f t="shared" si="66"/>
        <v>#DIV/0!</v>
      </c>
      <c r="L165" s="57" t="e">
        <f t="shared" si="67"/>
        <v>#DIV/0!</v>
      </c>
      <c r="M165" s="57" t="e">
        <f t="shared" si="68"/>
        <v>#DIV/0!</v>
      </c>
      <c r="N165" s="57" t="e">
        <f t="shared" si="69"/>
        <v>#DIV/0!</v>
      </c>
      <c r="O165" s="58" t="e">
        <f>Links!B165</f>
        <v>#DIV/0!</v>
      </c>
      <c r="P165" s="58" t="e">
        <f>Links!C165+'On-Ramps'!AC165</f>
        <v>#DIV/0!</v>
      </c>
      <c r="Q165" s="58" t="e">
        <f>Links!D165</f>
        <v>#DIV/0!</v>
      </c>
      <c r="R165" s="58" t="e">
        <f>Links!E165+'On-Ramps'!AD165</f>
        <v>#DIV/0!</v>
      </c>
      <c r="S165" s="58" t="e">
        <f>Links!F165+'On-Ramps'!AE165</f>
        <v>#DIV/0!</v>
      </c>
      <c r="T165" s="58" t="e">
        <f>Links!I165+'On-Ramps'!AF165</f>
        <v>#DIV/0!</v>
      </c>
      <c r="U165" s="58" t="e">
        <f>Links!J165+'On-Ramps'!AG165</f>
        <v>#DIV/0!</v>
      </c>
      <c r="V165" s="58" t="e">
        <f>Links!L165+'On-Ramps'!AH165</f>
        <v>#DIV/0!</v>
      </c>
      <c r="W165" s="58" t="e">
        <f>Links!M165+'On-Ramps'!AI165</f>
        <v>#DIV/0!</v>
      </c>
      <c r="X165" s="58" t="e">
        <f>Links!P165+'On-Ramps'!AJ165</f>
        <v>#DIV/0!</v>
      </c>
      <c r="Y165" s="58" t="e">
        <f>Links!Q165</f>
        <v>#DIV/0!</v>
      </c>
      <c r="Z165" s="58" t="e">
        <f>Links!R165+'On-Ramps'!AK165</f>
        <v>#DIV/0!</v>
      </c>
      <c r="AA165" s="58" t="e">
        <f>Links!S165</f>
        <v>#DIV/0!</v>
      </c>
      <c r="AB165" s="57" t="e">
        <f t="shared" si="70"/>
        <v>#DIV/0!</v>
      </c>
      <c r="AC165" s="63"/>
      <c r="AD165" s="57" t="e">
        <f t="shared" si="71"/>
        <v>#DIV/0!</v>
      </c>
      <c r="AE165" s="63"/>
      <c r="AF165" s="57" t="e">
        <f t="shared" si="72"/>
        <v>#DIV/0!</v>
      </c>
      <c r="AG165" s="57" t="e">
        <f t="shared" si="73"/>
        <v>#DIV/0!</v>
      </c>
      <c r="AH165" s="57" t="e">
        <f t="shared" si="74"/>
        <v>#DIV/0!</v>
      </c>
      <c r="AI165" s="57" t="e">
        <f t="shared" si="75"/>
        <v>#DIV/0!</v>
      </c>
      <c r="AJ165" s="57" t="e">
        <f t="shared" si="76"/>
        <v>#DIV/0!</v>
      </c>
      <c r="AK165" s="57" t="e">
        <f t="shared" si="77"/>
        <v>#DIV/0!</v>
      </c>
      <c r="AL165" s="57" t="e">
        <f t="shared" si="78"/>
        <v>#DIV/0!</v>
      </c>
      <c r="AM165" s="63"/>
      <c r="AN165" s="57" t="e">
        <f t="shared" si="80"/>
        <v>#DIV/0!</v>
      </c>
      <c r="AO165" s="58" t="e">
        <f t="shared" si="56"/>
        <v>#DIV/0!</v>
      </c>
      <c r="AP165" s="63"/>
      <c r="AQ165" s="58" t="e">
        <f t="shared" si="81"/>
        <v>#DIV/0!</v>
      </c>
      <c r="AR165" s="63"/>
      <c r="AS165" s="58" t="e">
        <f t="shared" si="81"/>
        <v>#DIV/0!</v>
      </c>
      <c r="AT165" s="58" t="e">
        <f t="shared" si="81"/>
        <v>#DIV/0!</v>
      </c>
      <c r="AU165" s="58" t="e">
        <f t="shared" si="81"/>
        <v>#DIV/0!</v>
      </c>
      <c r="AV165" s="58" t="e">
        <f t="shared" si="81"/>
        <v>#DIV/0!</v>
      </c>
      <c r="AW165" s="58" t="e">
        <f t="shared" si="81"/>
        <v>#DIV/0!</v>
      </c>
      <c r="AX165" s="58" t="e">
        <f t="shared" si="81"/>
        <v>#DIV/0!</v>
      </c>
      <c r="AY165" s="58" t="e">
        <f t="shared" si="81"/>
        <v>#DIV/0!</v>
      </c>
      <c r="AZ165" s="63"/>
      <c r="BA165" s="58" t="e">
        <f t="shared" si="81"/>
        <v>#DIV/0!</v>
      </c>
      <c r="BB165" s="63"/>
      <c r="BC165" s="57" t="e">
        <f>(Links!C165*Links!AQ165+'On-Ramps'!AC165*'On-Ramps'!CE165)/('On-Ramps'!AC165+Links!C165)</f>
        <v>#DIV/0!</v>
      </c>
      <c r="BD165" s="63"/>
      <c r="BE165" s="57" t="e">
        <f>(Links!E165*Links!AS165+'On-Ramps'!AD165*'On-Ramps'!CF164)/('On-Ramps'!AD165+Links!E165)</f>
        <v>#DIV/0!</v>
      </c>
      <c r="BF165" s="57" t="e">
        <f>(Links!F165*Links!AT165+'On-Ramps'!AE165*'On-Ramps'!CG165)/('On-Ramps'!AE165+Links!F165)</f>
        <v>#DIV/0!</v>
      </c>
      <c r="BG165" s="57" t="e">
        <f>(Links!I165*Links!AW165+'On-Ramps'!AF165*'On-Ramps'!CH165)/('On-Ramps'!AF165+Links!I165)</f>
        <v>#DIV/0!</v>
      </c>
      <c r="BH165" s="57" t="e">
        <f>(#REF!*#REF!+'On-Ramps'!AG165*'On-Ramps'!CI165)/('On-Ramps'!AG165+#REF!)</f>
        <v>#REF!</v>
      </c>
      <c r="BI165" s="57" t="e">
        <f>(Links!L165*Links!AZ165+'On-Ramps'!AH165*'On-Ramps'!CJ165)/('On-Ramps'!AH165+Links!L165)</f>
        <v>#DIV/0!</v>
      </c>
      <c r="BJ165" s="57" t="e">
        <f>(Links!BA165*Links!M165+'On-Ramps'!AI165*'On-Ramps'!CK165)/('On-Ramps'!AI165+Links!M165)</f>
        <v>#DIV/0!</v>
      </c>
      <c r="BK165" s="57" t="e">
        <f>(Links!S165*Links!BG165+'On-Ramps'!AJ165*'On-Ramps'!CL165)/('On-Ramps'!AJ165+Links!S165)</f>
        <v>#DIV/0!</v>
      </c>
      <c r="BL165" s="63"/>
      <c r="BM165" s="57" t="e">
        <f>(Links!S165*Links!BG165+'On-Ramps'!AL165*'On-Ramps'!CM165)/(Links!S165+'On-Ramps'!AL165)</f>
        <v>#DIV/0!</v>
      </c>
      <c r="BN165" s="63"/>
      <c r="BO165" s="58" t="e">
        <f>(Links!W165^2+'Off-Ramp'!L165^2)/(Links!W165+'Off-Ramp'!L165)</f>
        <v>#DIV/0!</v>
      </c>
      <c r="BP165" s="63"/>
      <c r="BQ165" s="58" t="e">
        <f>(Links!Y165^2+'Off-Ramp'!C165^2)/(Links!Y165+'Off-Ramp'!C165)</f>
        <v>#DIV/0!</v>
      </c>
      <c r="BR165" s="63"/>
      <c r="BS165" s="58" t="e">
        <f>(Links!AA165^2+'Off-Ramp'!N165^2)/(Links!AA165+'Off-Ramp'!N165)</f>
        <v>#DIV/0!</v>
      </c>
      <c r="BT165" s="58" t="e">
        <f>(Links!AD165^2+'Off-Ramp'!O165^2)/(Links!AD165+'Off-Ramp'!O165)</f>
        <v>#DIV/0!</v>
      </c>
      <c r="BU165" s="58" t="e">
        <f>(Links!AE165^2+'Off-Ramp'!V165^2+'Off-Ramp'!W165^2+'Off-Ramp'!X165^2)/(Links!AE165+'Off-Ramp'!V165+'Off-Ramp'!W165+'Off-Ramp'!X165)</f>
        <v>#DIV/0!</v>
      </c>
      <c r="BV165" s="58" t="e">
        <f>(Links!AG165^2+'Off-Ramp'!Y165^2+'Off-Ramp'!Z165^2+'Off-Ramp'!AA165^2)/(Links!AG165+'Off-Ramp'!Y165+'Off-Ramp'!Z165+'Off-Ramp'!AA165)</f>
        <v>#DIV/0!</v>
      </c>
      <c r="BW165" s="58" t="e">
        <f>(Links!AH165^2+'Off-Ramp'!R165^2)/(Links!AH165+'Off-Ramp'!R165)</f>
        <v>#DIV/0!</v>
      </c>
      <c r="BX165" s="58" t="e">
        <f>(Links!AK165^2+'Off-Ramp'!S165^2)/(Links!AK165+'Off-Ramp'!S165)</f>
        <v>#DIV/0!</v>
      </c>
      <c r="BY165" s="58" t="e">
        <f>(Links!AL165^2+'Off-Ramp'!T165^2)/(Links!AL165+'Off-Ramp'!T165)</f>
        <v>#DIV/0!</v>
      </c>
      <c r="BZ165" s="63"/>
      <c r="CA165" s="58" t="e">
        <f>(Links!AN165^2+'Off-Ramp'!U165^2)/(Links!AN165+'Off-Ramp'!U165)</f>
        <v>#DIV/0!</v>
      </c>
    </row>
    <row r="166" spans="1:79" x14ac:dyDescent="0.15">
      <c r="A166" s="56">
        <v>164</v>
      </c>
      <c r="B166" s="57" t="e">
        <f t="shared" si="57"/>
        <v>#DIV/0!</v>
      </c>
      <c r="C166" s="57" t="e">
        <f t="shared" si="58"/>
        <v>#DIV/0!</v>
      </c>
      <c r="D166" s="57" t="e">
        <f t="shared" si="59"/>
        <v>#DIV/0!</v>
      </c>
      <c r="E166" s="57" t="e">
        <f t="shared" si="60"/>
        <v>#DIV/0!</v>
      </c>
      <c r="F166" s="57" t="e">
        <f t="shared" si="61"/>
        <v>#DIV/0!</v>
      </c>
      <c r="G166" s="57" t="e">
        <f t="shared" si="62"/>
        <v>#DIV/0!</v>
      </c>
      <c r="H166" s="57" t="e">
        <f t="shared" si="63"/>
        <v>#DIV/0!</v>
      </c>
      <c r="I166" s="57" t="e">
        <f t="shared" si="64"/>
        <v>#DIV/0!</v>
      </c>
      <c r="J166" s="57" t="e">
        <f t="shared" si="65"/>
        <v>#DIV/0!</v>
      </c>
      <c r="K166" s="57" t="e">
        <f t="shared" si="66"/>
        <v>#DIV/0!</v>
      </c>
      <c r="L166" s="57" t="e">
        <f t="shared" si="67"/>
        <v>#DIV/0!</v>
      </c>
      <c r="M166" s="57" t="e">
        <f t="shared" si="68"/>
        <v>#DIV/0!</v>
      </c>
      <c r="N166" s="57" t="e">
        <f t="shared" si="69"/>
        <v>#DIV/0!</v>
      </c>
      <c r="O166" s="58" t="e">
        <f>Links!B166</f>
        <v>#DIV/0!</v>
      </c>
      <c r="P166" s="58" t="e">
        <f>Links!C166+'On-Ramps'!AC166</f>
        <v>#DIV/0!</v>
      </c>
      <c r="Q166" s="58" t="e">
        <f>Links!D166</f>
        <v>#DIV/0!</v>
      </c>
      <c r="R166" s="58" t="e">
        <f>Links!E166+'On-Ramps'!AD166</f>
        <v>#DIV/0!</v>
      </c>
      <c r="S166" s="58" t="e">
        <f>Links!F166+'On-Ramps'!AE166</f>
        <v>#DIV/0!</v>
      </c>
      <c r="T166" s="58" t="e">
        <f>Links!I166+'On-Ramps'!AF166</f>
        <v>#DIV/0!</v>
      </c>
      <c r="U166" s="58" t="e">
        <f>Links!J166+'On-Ramps'!AG166</f>
        <v>#DIV/0!</v>
      </c>
      <c r="V166" s="58" t="e">
        <f>Links!L166+'On-Ramps'!AH166</f>
        <v>#DIV/0!</v>
      </c>
      <c r="W166" s="58" t="e">
        <f>Links!M166+'On-Ramps'!AI166</f>
        <v>#DIV/0!</v>
      </c>
      <c r="X166" s="58" t="e">
        <f>Links!P166+'On-Ramps'!AJ166</f>
        <v>#DIV/0!</v>
      </c>
      <c r="Y166" s="58" t="e">
        <f>Links!Q166</f>
        <v>#DIV/0!</v>
      </c>
      <c r="Z166" s="58" t="e">
        <f>Links!R166+'On-Ramps'!AK166</f>
        <v>#DIV/0!</v>
      </c>
      <c r="AA166" s="58" t="e">
        <f>Links!S166</f>
        <v>#DIV/0!</v>
      </c>
      <c r="AB166" s="57" t="e">
        <f t="shared" si="70"/>
        <v>#DIV/0!</v>
      </c>
      <c r="AC166" s="63"/>
      <c r="AD166" s="57" t="e">
        <f t="shared" si="71"/>
        <v>#DIV/0!</v>
      </c>
      <c r="AE166" s="63"/>
      <c r="AF166" s="57" t="e">
        <f t="shared" si="72"/>
        <v>#DIV/0!</v>
      </c>
      <c r="AG166" s="57" t="e">
        <f t="shared" si="73"/>
        <v>#DIV/0!</v>
      </c>
      <c r="AH166" s="57" t="e">
        <f t="shared" si="74"/>
        <v>#DIV/0!</v>
      </c>
      <c r="AI166" s="57" t="e">
        <f t="shared" si="75"/>
        <v>#DIV/0!</v>
      </c>
      <c r="AJ166" s="57" t="e">
        <f t="shared" si="76"/>
        <v>#DIV/0!</v>
      </c>
      <c r="AK166" s="57" t="e">
        <f t="shared" si="77"/>
        <v>#DIV/0!</v>
      </c>
      <c r="AL166" s="57" t="e">
        <f t="shared" si="78"/>
        <v>#DIV/0!</v>
      </c>
      <c r="AM166" s="63"/>
      <c r="AN166" s="57" t="e">
        <f t="shared" si="80"/>
        <v>#DIV/0!</v>
      </c>
      <c r="AO166" s="58" t="e">
        <f t="shared" si="56"/>
        <v>#DIV/0!</v>
      </c>
      <c r="AP166" s="63"/>
      <c r="AQ166" s="58" t="e">
        <f t="shared" si="81"/>
        <v>#DIV/0!</v>
      </c>
      <c r="AR166" s="63"/>
      <c r="AS166" s="58" t="e">
        <f t="shared" si="81"/>
        <v>#DIV/0!</v>
      </c>
      <c r="AT166" s="58" t="e">
        <f t="shared" si="81"/>
        <v>#DIV/0!</v>
      </c>
      <c r="AU166" s="58" t="e">
        <f t="shared" si="81"/>
        <v>#DIV/0!</v>
      </c>
      <c r="AV166" s="58" t="e">
        <f t="shared" si="81"/>
        <v>#DIV/0!</v>
      </c>
      <c r="AW166" s="58" t="e">
        <f t="shared" si="81"/>
        <v>#DIV/0!</v>
      </c>
      <c r="AX166" s="58" t="e">
        <f t="shared" si="81"/>
        <v>#DIV/0!</v>
      </c>
      <c r="AY166" s="58" t="e">
        <f t="shared" si="81"/>
        <v>#DIV/0!</v>
      </c>
      <c r="AZ166" s="63"/>
      <c r="BA166" s="58" t="e">
        <f t="shared" si="81"/>
        <v>#DIV/0!</v>
      </c>
      <c r="BB166" s="63"/>
      <c r="BC166" s="57" t="e">
        <f>(Links!C166*Links!AQ166+'On-Ramps'!AC166*'On-Ramps'!CE166)/('On-Ramps'!AC166+Links!C166)</f>
        <v>#DIV/0!</v>
      </c>
      <c r="BD166" s="63"/>
      <c r="BE166" s="57" t="e">
        <f>(Links!E166*Links!AS166+'On-Ramps'!AD166*'On-Ramps'!CF165)/('On-Ramps'!AD166+Links!E166)</f>
        <v>#DIV/0!</v>
      </c>
      <c r="BF166" s="57" t="e">
        <f>(Links!F166*Links!AT166+'On-Ramps'!AE166*'On-Ramps'!CG166)/('On-Ramps'!AE166+Links!F166)</f>
        <v>#DIV/0!</v>
      </c>
      <c r="BG166" s="57" t="e">
        <f>(Links!I166*Links!AW166+'On-Ramps'!AF166*'On-Ramps'!CH166)/('On-Ramps'!AF166+Links!I166)</f>
        <v>#DIV/0!</v>
      </c>
      <c r="BH166" s="57" t="e">
        <f>(#REF!*#REF!+'On-Ramps'!AG166*'On-Ramps'!CI166)/('On-Ramps'!AG166+#REF!)</f>
        <v>#REF!</v>
      </c>
      <c r="BI166" s="57" t="e">
        <f>(Links!L166*Links!AZ166+'On-Ramps'!AH166*'On-Ramps'!CJ166)/('On-Ramps'!AH166+Links!L166)</f>
        <v>#DIV/0!</v>
      </c>
      <c r="BJ166" s="57" t="e">
        <f>(Links!BA166*Links!M166+'On-Ramps'!AI166*'On-Ramps'!CK166)/('On-Ramps'!AI166+Links!M166)</f>
        <v>#DIV/0!</v>
      </c>
      <c r="BK166" s="57" t="e">
        <f>(Links!S166*Links!BG166+'On-Ramps'!AJ166*'On-Ramps'!CL166)/('On-Ramps'!AJ166+Links!S166)</f>
        <v>#DIV/0!</v>
      </c>
      <c r="BL166" s="63"/>
      <c r="BM166" s="57" t="e">
        <f>(Links!S166*Links!BG166+'On-Ramps'!AL166*'On-Ramps'!CM166)/(Links!S166+'On-Ramps'!AL166)</f>
        <v>#DIV/0!</v>
      </c>
      <c r="BN166" s="63"/>
      <c r="BO166" s="58" t="e">
        <f>(Links!W166^2+'Off-Ramp'!L166^2)/(Links!W166+'Off-Ramp'!L166)</f>
        <v>#DIV/0!</v>
      </c>
      <c r="BP166" s="63"/>
      <c r="BQ166" s="58" t="e">
        <f>(Links!Y166^2+'Off-Ramp'!C166^2)/(Links!Y166+'Off-Ramp'!C166)</f>
        <v>#DIV/0!</v>
      </c>
      <c r="BR166" s="63"/>
      <c r="BS166" s="58" t="e">
        <f>(Links!AA166^2+'Off-Ramp'!N166^2)/(Links!AA166+'Off-Ramp'!N166)</f>
        <v>#DIV/0!</v>
      </c>
      <c r="BT166" s="58" t="e">
        <f>(Links!AD166^2+'Off-Ramp'!O166^2)/(Links!AD166+'Off-Ramp'!O166)</f>
        <v>#DIV/0!</v>
      </c>
      <c r="BU166" s="58" t="e">
        <f>(Links!AE166^2+'Off-Ramp'!V166^2+'Off-Ramp'!W166^2+'Off-Ramp'!X166^2)/(Links!AE166+'Off-Ramp'!V166+'Off-Ramp'!W166+'Off-Ramp'!X166)</f>
        <v>#DIV/0!</v>
      </c>
      <c r="BV166" s="58" t="e">
        <f>(Links!AG166^2+'Off-Ramp'!Y166^2+'Off-Ramp'!Z166^2+'Off-Ramp'!AA166^2)/(Links!AG166+'Off-Ramp'!Y166+'Off-Ramp'!Z166+'Off-Ramp'!AA166)</f>
        <v>#DIV/0!</v>
      </c>
      <c r="BW166" s="58" t="e">
        <f>(Links!AH166^2+'Off-Ramp'!R166^2)/(Links!AH166+'Off-Ramp'!R166)</f>
        <v>#DIV/0!</v>
      </c>
      <c r="BX166" s="58" t="e">
        <f>(Links!AK166^2+'Off-Ramp'!S166^2)/(Links!AK166+'Off-Ramp'!S166)</f>
        <v>#DIV/0!</v>
      </c>
      <c r="BY166" s="58" t="e">
        <f>(Links!AL166^2+'Off-Ramp'!T166^2)/(Links!AL166+'Off-Ramp'!T166)</f>
        <v>#DIV/0!</v>
      </c>
      <c r="BZ166" s="63"/>
      <c r="CA166" s="58" t="e">
        <f>(Links!AN166^2+'Off-Ramp'!U166^2)/(Links!AN166+'Off-Ramp'!U166)</f>
        <v>#DIV/0!</v>
      </c>
    </row>
    <row r="167" spans="1:79" x14ac:dyDescent="0.15">
      <c r="A167" s="56">
        <v>165</v>
      </c>
      <c r="B167" s="57" t="e">
        <f t="shared" si="57"/>
        <v>#DIV/0!</v>
      </c>
      <c r="C167" s="57" t="e">
        <f t="shared" si="58"/>
        <v>#DIV/0!</v>
      </c>
      <c r="D167" s="57" t="e">
        <f t="shared" si="59"/>
        <v>#DIV/0!</v>
      </c>
      <c r="E167" s="57" t="e">
        <f t="shared" si="60"/>
        <v>#DIV/0!</v>
      </c>
      <c r="F167" s="57" t="e">
        <f t="shared" si="61"/>
        <v>#DIV/0!</v>
      </c>
      <c r="G167" s="57" t="e">
        <f t="shared" si="62"/>
        <v>#DIV/0!</v>
      </c>
      <c r="H167" s="57" t="e">
        <f t="shared" si="63"/>
        <v>#DIV/0!</v>
      </c>
      <c r="I167" s="57" t="e">
        <f t="shared" si="64"/>
        <v>#DIV/0!</v>
      </c>
      <c r="J167" s="57" t="e">
        <f t="shared" si="65"/>
        <v>#DIV/0!</v>
      </c>
      <c r="K167" s="57" t="e">
        <f t="shared" si="66"/>
        <v>#DIV/0!</v>
      </c>
      <c r="L167" s="57" t="e">
        <f t="shared" si="67"/>
        <v>#DIV/0!</v>
      </c>
      <c r="M167" s="57" t="e">
        <f t="shared" si="68"/>
        <v>#DIV/0!</v>
      </c>
      <c r="N167" s="57" t="e">
        <f t="shared" si="69"/>
        <v>#DIV/0!</v>
      </c>
      <c r="O167" s="58" t="e">
        <f>Links!B167</f>
        <v>#DIV/0!</v>
      </c>
      <c r="P167" s="58" t="e">
        <f>Links!C167+'On-Ramps'!AC167</f>
        <v>#DIV/0!</v>
      </c>
      <c r="Q167" s="58" t="e">
        <f>Links!D167</f>
        <v>#DIV/0!</v>
      </c>
      <c r="R167" s="58" t="e">
        <f>Links!E167+'On-Ramps'!AD167</f>
        <v>#DIV/0!</v>
      </c>
      <c r="S167" s="58" t="e">
        <f>Links!F167+'On-Ramps'!AE167</f>
        <v>#DIV/0!</v>
      </c>
      <c r="T167" s="58" t="e">
        <f>Links!I167+'On-Ramps'!AF167</f>
        <v>#DIV/0!</v>
      </c>
      <c r="U167" s="58" t="e">
        <f>Links!J167+'On-Ramps'!AG167</f>
        <v>#DIV/0!</v>
      </c>
      <c r="V167" s="58" t="e">
        <f>Links!L167+'On-Ramps'!AH167</f>
        <v>#DIV/0!</v>
      </c>
      <c r="W167" s="58" t="e">
        <f>Links!M167+'On-Ramps'!AI167</f>
        <v>#DIV/0!</v>
      </c>
      <c r="X167" s="58" t="e">
        <f>Links!P167+'On-Ramps'!AJ167</f>
        <v>#DIV/0!</v>
      </c>
      <c r="Y167" s="58" t="e">
        <f>Links!Q167</f>
        <v>#DIV/0!</v>
      </c>
      <c r="Z167" s="58" t="e">
        <f>Links!R167+'On-Ramps'!AK167</f>
        <v>#DIV/0!</v>
      </c>
      <c r="AA167" s="58" t="e">
        <f>Links!S167</f>
        <v>#DIV/0!</v>
      </c>
      <c r="AB167" s="57" t="e">
        <f t="shared" si="70"/>
        <v>#DIV/0!</v>
      </c>
      <c r="AC167" s="63"/>
      <c r="AD167" s="57" t="e">
        <f t="shared" si="71"/>
        <v>#DIV/0!</v>
      </c>
      <c r="AE167" s="63"/>
      <c r="AF167" s="57" t="e">
        <f t="shared" si="72"/>
        <v>#DIV/0!</v>
      </c>
      <c r="AG167" s="57" t="e">
        <f t="shared" si="73"/>
        <v>#DIV/0!</v>
      </c>
      <c r="AH167" s="57" t="e">
        <f t="shared" si="74"/>
        <v>#DIV/0!</v>
      </c>
      <c r="AI167" s="57" t="e">
        <f t="shared" si="75"/>
        <v>#DIV/0!</v>
      </c>
      <c r="AJ167" s="57" t="e">
        <f t="shared" si="76"/>
        <v>#DIV/0!</v>
      </c>
      <c r="AK167" s="57" t="e">
        <f t="shared" si="77"/>
        <v>#DIV/0!</v>
      </c>
      <c r="AL167" s="57" t="e">
        <f t="shared" si="78"/>
        <v>#DIV/0!</v>
      </c>
      <c r="AM167" s="63"/>
      <c r="AN167" s="57" t="e">
        <f t="shared" si="80"/>
        <v>#DIV/0!</v>
      </c>
      <c r="AO167" s="58" t="e">
        <f t="shared" si="56"/>
        <v>#DIV/0!</v>
      </c>
      <c r="AP167" s="63"/>
      <c r="AQ167" s="58" t="e">
        <f t="shared" si="81"/>
        <v>#DIV/0!</v>
      </c>
      <c r="AR167" s="63"/>
      <c r="AS167" s="58" t="e">
        <f t="shared" si="81"/>
        <v>#DIV/0!</v>
      </c>
      <c r="AT167" s="58" t="e">
        <f t="shared" si="81"/>
        <v>#DIV/0!</v>
      </c>
      <c r="AU167" s="58" t="e">
        <f t="shared" si="81"/>
        <v>#DIV/0!</v>
      </c>
      <c r="AV167" s="58" t="e">
        <f t="shared" si="81"/>
        <v>#DIV/0!</v>
      </c>
      <c r="AW167" s="58" t="e">
        <f t="shared" si="81"/>
        <v>#DIV/0!</v>
      </c>
      <c r="AX167" s="58" t="e">
        <f t="shared" si="81"/>
        <v>#DIV/0!</v>
      </c>
      <c r="AY167" s="58" t="e">
        <f t="shared" si="81"/>
        <v>#DIV/0!</v>
      </c>
      <c r="AZ167" s="63"/>
      <c r="BA167" s="58" t="e">
        <f t="shared" si="81"/>
        <v>#DIV/0!</v>
      </c>
      <c r="BB167" s="63"/>
      <c r="BC167" s="57" t="e">
        <f>(Links!C167*Links!AQ167+'On-Ramps'!AC167*'On-Ramps'!CE167)/('On-Ramps'!AC167+Links!C167)</f>
        <v>#DIV/0!</v>
      </c>
      <c r="BD167" s="63"/>
      <c r="BE167" s="57" t="e">
        <f>(Links!E167*Links!AS167+'On-Ramps'!AD167*'On-Ramps'!CF166)/('On-Ramps'!AD167+Links!E167)</f>
        <v>#DIV/0!</v>
      </c>
      <c r="BF167" s="57" t="e">
        <f>(Links!F167*Links!AT167+'On-Ramps'!AE167*'On-Ramps'!CG167)/('On-Ramps'!AE167+Links!F167)</f>
        <v>#DIV/0!</v>
      </c>
      <c r="BG167" s="57" t="e">
        <f>(Links!I167*Links!AW167+'On-Ramps'!AF167*'On-Ramps'!CH167)/('On-Ramps'!AF167+Links!I167)</f>
        <v>#DIV/0!</v>
      </c>
      <c r="BH167" s="57" t="e">
        <f>(#REF!*#REF!+'On-Ramps'!AG167*'On-Ramps'!CI167)/('On-Ramps'!AG167+#REF!)</f>
        <v>#REF!</v>
      </c>
      <c r="BI167" s="57" t="e">
        <f>(Links!L167*Links!AZ167+'On-Ramps'!AH167*'On-Ramps'!CJ167)/('On-Ramps'!AH167+Links!L167)</f>
        <v>#DIV/0!</v>
      </c>
      <c r="BJ167" s="57" t="e">
        <f>(Links!BA167*Links!M167+'On-Ramps'!AI167*'On-Ramps'!CK167)/('On-Ramps'!AI167+Links!M167)</f>
        <v>#DIV/0!</v>
      </c>
      <c r="BK167" s="57" t="e">
        <f>(Links!S167*Links!BG167+'On-Ramps'!AJ167*'On-Ramps'!CL167)/('On-Ramps'!AJ167+Links!S167)</f>
        <v>#DIV/0!</v>
      </c>
      <c r="BL167" s="63"/>
      <c r="BM167" s="57" t="e">
        <f>(Links!S167*Links!BG167+'On-Ramps'!AL167*'On-Ramps'!CM167)/(Links!S167+'On-Ramps'!AL167)</f>
        <v>#DIV/0!</v>
      </c>
      <c r="BN167" s="63"/>
      <c r="BO167" s="58" t="e">
        <f>(Links!W167^2+'Off-Ramp'!L167^2)/(Links!W167+'Off-Ramp'!L167)</f>
        <v>#DIV/0!</v>
      </c>
      <c r="BP167" s="63"/>
      <c r="BQ167" s="58" t="e">
        <f>(Links!Y167^2+'Off-Ramp'!C167^2)/(Links!Y167+'Off-Ramp'!C167)</f>
        <v>#DIV/0!</v>
      </c>
      <c r="BR167" s="63"/>
      <c r="BS167" s="58" t="e">
        <f>(Links!AA167^2+'Off-Ramp'!N167^2)/(Links!AA167+'Off-Ramp'!N167)</f>
        <v>#DIV/0!</v>
      </c>
      <c r="BT167" s="58" t="e">
        <f>(Links!AD167^2+'Off-Ramp'!O167^2)/(Links!AD167+'Off-Ramp'!O167)</f>
        <v>#DIV/0!</v>
      </c>
      <c r="BU167" s="58" t="e">
        <f>(Links!AE167^2+'Off-Ramp'!V167^2+'Off-Ramp'!W167^2+'Off-Ramp'!X167^2)/(Links!AE167+'Off-Ramp'!V167+'Off-Ramp'!W167+'Off-Ramp'!X167)</f>
        <v>#DIV/0!</v>
      </c>
      <c r="BV167" s="58" t="e">
        <f>(Links!AG167^2+'Off-Ramp'!Y167^2+'Off-Ramp'!Z167^2+'Off-Ramp'!AA167^2)/(Links!AG167+'Off-Ramp'!Y167+'Off-Ramp'!Z167+'Off-Ramp'!AA167)</f>
        <v>#DIV/0!</v>
      </c>
      <c r="BW167" s="58" t="e">
        <f>(Links!AH167^2+'Off-Ramp'!R167^2)/(Links!AH167+'Off-Ramp'!R167)</f>
        <v>#DIV/0!</v>
      </c>
      <c r="BX167" s="58" t="e">
        <f>(Links!AK167^2+'Off-Ramp'!S167^2)/(Links!AK167+'Off-Ramp'!S167)</f>
        <v>#DIV/0!</v>
      </c>
      <c r="BY167" s="58" t="e">
        <f>(Links!AL167^2+'Off-Ramp'!T167^2)/(Links!AL167+'Off-Ramp'!T167)</f>
        <v>#DIV/0!</v>
      </c>
      <c r="BZ167" s="63"/>
      <c r="CA167" s="58" t="e">
        <f>(Links!AN167^2+'Off-Ramp'!U167^2)/(Links!AN167+'Off-Ramp'!U167)</f>
        <v>#DIV/0!</v>
      </c>
    </row>
    <row r="168" spans="1:79" x14ac:dyDescent="0.15">
      <c r="A168" s="56">
        <v>166</v>
      </c>
      <c r="B168" s="57" t="e">
        <f t="shared" si="57"/>
        <v>#DIV/0!</v>
      </c>
      <c r="C168" s="57" t="e">
        <f t="shared" si="58"/>
        <v>#DIV/0!</v>
      </c>
      <c r="D168" s="57" t="e">
        <f t="shared" si="59"/>
        <v>#DIV/0!</v>
      </c>
      <c r="E168" s="57" t="e">
        <f t="shared" si="60"/>
        <v>#DIV/0!</v>
      </c>
      <c r="F168" s="57" t="e">
        <f t="shared" si="61"/>
        <v>#DIV/0!</v>
      </c>
      <c r="G168" s="57" t="e">
        <f t="shared" si="62"/>
        <v>#DIV/0!</v>
      </c>
      <c r="H168" s="57" t="e">
        <f t="shared" si="63"/>
        <v>#DIV/0!</v>
      </c>
      <c r="I168" s="57" t="e">
        <f t="shared" si="64"/>
        <v>#DIV/0!</v>
      </c>
      <c r="J168" s="57" t="e">
        <f t="shared" si="65"/>
        <v>#DIV/0!</v>
      </c>
      <c r="K168" s="57" t="e">
        <f t="shared" si="66"/>
        <v>#DIV/0!</v>
      </c>
      <c r="L168" s="57" t="e">
        <f t="shared" si="67"/>
        <v>#DIV/0!</v>
      </c>
      <c r="M168" s="57" t="e">
        <f t="shared" si="68"/>
        <v>#DIV/0!</v>
      </c>
      <c r="N168" s="57" t="e">
        <f t="shared" si="69"/>
        <v>#DIV/0!</v>
      </c>
      <c r="O168" s="58" t="e">
        <f>Links!B168</f>
        <v>#DIV/0!</v>
      </c>
      <c r="P168" s="58" t="e">
        <f>Links!C168+'On-Ramps'!AC168</f>
        <v>#DIV/0!</v>
      </c>
      <c r="Q168" s="58" t="e">
        <f>Links!D168</f>
        <v>#DIV/0!</v>
      </c>
      <c r="R168" s="58" t="e">
        <f>Links!E168+'On-Ramps'!AD168</f>
        <v>#DIV/0!</v>
      </c>
      <c r="S168" s="58" t="e">
        <f>Links!F168+'On-Ramps'!AE168</f>
        <v>#DIV/0!</v>
      </c>
      <c r="T168" s="58" t="e">
        <f>Links!I168+'On-Ramps'!AF168</f>
        <v>#DIV/0!</v>
      </c>
      <c r="U168" s="58" t="e">
        <f>Links!J168+'On-Ramps'!AG168</f>
        <v>#DIV/0!</v>
      </c>
      <c r="V168" s="58" t="e">
        <f>Links!L168+'On-Ramps'!AH168</f>
        <v>#DIV/0!</v>
      </c>
      <c r="W168" s="58" t="e">
        <f>Links!M168+'On-Ramps'!AI168</f>
        <v>#DIV/0!</v>
      </c>
      <c r="X168" s="58" t="e">
        <f>Links!P168+'On-Ramps'!AJ168</f>
        <v>#DIV/0!</v>
      </c>
      <c r="Y168" s="58" t="e">
        <f>Links!Q168</f>
        <v>#DIV/0!</v>
      </c>
      <c r="Z168" s="58" t="e">
        <f>Links!R168+'On-Ramps'!AK168</f>
        <v>#DIV/0!</v>
      </c>
      <c r="AA168" s="58" t="e">
        <f>Links!S168</f>
        <v>#DIV/0!</v>
      </c>
      <c r="AB168" s="57" t="e">
        <f t="shared" si="70"/>
        <v>#DIV/0!</v>
      </c>
      <c r="AC168" s="63"/>
      <c r="AD168" s="57" t="e">
        <f t="shared" si="71"/>
        <v>#DIV/0!</v>
      </c>
      <c r="AE168" s="63"/>
      <c r="AF168" s="57" t="e">
        <f t="shared" si="72"/>
        <v>#DIV/0!</v>
      </c>
      <c r="AG168" s="57" t="e">
        <f t="shared" si="73"/>
        <v>#DIV/0!</v>
      </c>
      <c r="AH168" s="57" t="e">
        <f t="shared" si="74"/>
        <v>#DIV/0!</v>
      </c>
      <c r="AI168" s="57" t="e">
        <f t="shared" si="75"/>
        <v>#DIV/0!</v>
      </c>
      <c r="AJ168" s="57" t="e">
        <f t="shared" si="76"/>
        <v>#DIV/0!</v>
      </c>
      <c r="AK168" s="57" t="e">
        <f t="shared" si="77"/>
        <v>#DIV/0!</v>
      </c>
      <c r="AL168" s="57" t="e">
        <f t="shared" si="78"/>
        <v>#DIV/0!</v>
      </c>
      <c r="AM168" s="63"/>
      <c r="AN168" s="57" t="e">
        <f t="shared" si="80"/>
        <v>#DIV/0!</v>
      </c>
      <c r="AO168" s="58" t="e">
        <f t="shared" si="56"/>
        <v>#DIV/0!</v>
      </c>
      <c r="AP168" s="63"/>
      <c r="AQ168" s="58" t="e">
        <f t="shared" si="81"/>
        <v>#DIV/0!</v>
      </c>
      <c r="AR168" s="63"/>
      <c r="AS168" s="58" t="e">
        <f t="shared" si="81"/>
        <v>#DIV/0!</v>
      </c>
      <c r="AT168" s="58" t="e">
        <f t="shared" si="81"/>
        <v>#DIV/0!</v>
      </c>
      <c r="AU168" s="58" t="e">
        <f t="shared" si="81"/>
        <v>#DIV/0!</v>
      </c>
      <c r="AV168" s="58" t="e">
        <f t="shared" si="81"/>
        <v>#DIV/0!</v>
      </c>
      <c r="AW168" s="58" t="e">
        <f t="shared" si="81"/>
        <v>#DIV/0!</v>
      </c>
      <c r="AX168" s="58" t="e">
        <f t="shared" si="81"/>
        <v>#DIV/0!</v>
      </c>
      <c r="AY168" s="58" t="e">
        <f t="shared" si="81"/>
        <v>#DIV/0!</v>
      </c>
      <c r="AZ168" s="63"/>
      <c r="BA168" s="58" t="e">
        <f t="shared" si="81"/>
        <v>#DIV/0!</v>
      </c>
      <c r="BB168" s="63"/>
      <c r="BC168" s="57" t="e">
        <f>(Links!C168*Links!AQ168+'On-Ramps'!AC168*'On-Ramps'!CE168)/('On-Ramps'!AC168+Links!C168)</f>
        <v>#DIV/0!</v>
      </c>
      <c r="BD168" s="63"/>
      <c r="BE168" s="57" t="e">
        <f>(Links!E168*Links!AS168+'On-Ramps'!AD168*'On-Ramps'!CF167)/('On-Ramps'!AD168+Links!E168)</f>
        <v>#DIV/0!</v>
      </c>
      <c r="BF168" s="57" t="e">
        <f>(Links!F168*Links!AT168+'On-Ramps'!AE168*'On-Ramps'!CG168)/('On-Ramps'!AE168+Links!F168)</f>
        <v>#DIV/0!</v>
      </c>
      <c r="BG168" s="57" t="e">
        <f>(Links!I168*Links!AW168+'On-Ramps'!AF168*'On-Ramps'!CH168)/('On-Ramps'!AF168+Links!I168)</f>
        <v>#DIV/0!</v>
      </c>
      <c r="BH168" s="57" t="e">
        <f>(#REF!*#REF!+'On-Ramps'!AG168*'On-Ramps'!CI168)/('On-Ramps'!AG168+#REF!)</f>
        <v>#REF!</v>
      </c>
      <c r="BI168" s="57" t="e">
        <f>(Links!L168*Links!AZ168+'On-Ramps'!AH168*'On-Ramps'!CJ168)/('On-Ramps'!AH168+Links!L168)</f>
        <v>#DIV/0!</v>
      </c>
      <c r="BJ168" s="57" t="e">
        <f>(Links!BA168*Links!M168+'On-Ramps'!AI168*'On-Ramps'!CK168)/('On-Ramps'!AI168+Links!M168)</f>
        <v>#DIV/0!</v>
      </c>
      <c r="BK168" s="57" t="e">
        <f>(Links!S168*Links!BG168+'On-Ramps'!AJ168*'On-Ramps'!CL168)/('On-Ramps'!AJ168+Links!S168)</f>
        <v>#DIV/0!</v>
      </c>
      <c r="BL168" s="63"/>
      <c r="BM168" s="57" t="e">
        <f>(Links!S168*Links!BG168+'On-Ramps'!AL168*'On-Ramps'!CM168)/(Links!S168+'On-Ramps'!AL168)</f>
        <v>#DIV/0!</v>
      </c>
      <c r="BN168" s="63"/>
      <c r="BO168" s="58" t="e">
        <f>(Links!W168^2+'Off-Ramp'!L168^2)/(Links!W168+'Off-Ramp'!L168)</f>
        <v>#DIV/0!</v>
      </c>
      <c r="BP168" s="63"/>
      <c r="BQ168" s="58" t="e">
        <f>(Links!Y168^2+'Off-Ramp'!C168^2)/(Links!Y168+'Off-Ramp'!C168)</f>
        <v>#DIV/0!</v>
      </c>
      <c r="BR168" s="63"/>
      <c r="BS168" s="58" t="e">
        <f>(Links!AA168^2+'Off-Ramp'!N168^2)/(Links!AA168+'Off-Ramp'!N168)</f>
        <v>#DIV/0!</v>
      </c>
      <c r="BT168" s="58" t="e">
        <f>(Links!AD168^2+'Off-Ramp'!O168^2)/(Links!AD168+'Off-Ramp'!O168)</f>
        <v>#DIV/0!</v>
      </c>
      <c r="BU168" s="58" t="e">
        <f>(Links!AE168^2+'Off-Ramp'!V168^2+'Off-Ramp'!W168^2+'Off-Ramp'!X168^2)/(Links!AE168+'Off-Ramp'!V168+'Off-Ramp'!W168+'Off-Ramp'!X168)</f>
        <v>#DIV/0!</v>
      </c>
      <c r="BV168" s="58" t="e">
        <f>(Links!AG168^2+'Off-Ramp'!Y168^2+'Off-Ramp'!Z168^2+'Off-Ramp'!AA168^2)/(Links!AG168+'Off-Ramp'!Y168+'Off-Ramp'!Z168+'Off-Ramp'!AA168)</f>
        <v>#DIV/0!</v>
      </c>
      <c r="BW168" s="58" t="e">
        <f>(Links!AH168^2+'Off-Ramp'!R168^2)/(Links!AH168+'Off-Ramp'!R168)</f>
        <v>#DIV/0!</v>
      </c>
      <c r="BX168" s="58" t="e">
        <f>(Links!AK168^2+'Off-Ramp'!S168^2)/(Links!AK168+'Off-Ramp'!S168)</f>
        <v>#DIV/0!</v>
      </c>
      <c r="BY168" s="58" t="e">
        <f>(Links!AL168^2+'Off-Ramp'!T168^2)/(Links!AL168+'Off-Ramp'!T168)</f>
        <v>#DIV/0!</v>
      </c>
      <c r="BZ168" s="63"/>
      <c r="CA168" s="58" t="e">
        <f>(Links!AN168^2+'Off-Ramp'!U168^2)/(Links!AN168+'Off-Ramp'!U168)</f>
        <v>#DIV/0!</v>
      </c>
    </row>
    <row r="169" spans="1:79" x14ac:dyDescent="0.15">
      <c r="A169" s="56">
        <v>167</v>
      </c>
      <c r="B169" s="57" t="e">
        <f t="shared" si="57"/>
        <v>#DIV/0!</v>
      </c>
      <c r="C169" s="57" t="e">
        <f t="shared" si="58"/>
        <v>#DIV/0!</v>
      </c>
      <c r="D169" s="57" t="e">
        <f t="shared" si="59"/>
        <v>#DIV/0!</v>
      </c>
      <c r="E169" s="57" t="e">
        <f t="shared" si="60"/>
        <v>#DIV/0!</v>
      </c>
      <c r="F169" s="57" t="e">
        <f t="shared" si="61"/>
        <v>#DIV/0!</v>
      </c>
      <c r="G169" s="57" t="e">
        <f t="shared" si="62"/>
        <v>#DIV/0!</v>
      </c>
      <c r="H169" s="57" t="e">
        <f t="shared" si="63"/>
        <v>#DIV/0!</v>
      </c>
      <c r="I169" s="57" t="e">
        <f t="shared" si="64"/>
        <v>#DIV/0!</v>
      </c>
      <c r="J169" s="57" t="e">
        <f t="shared" si="65"/>
        <v>#DIV/0!</v>
      </c>
      <c r="K169" s="57" t="e">
        <f t="shared" si="66"/>
        <v>#DIV/0!</v>
      </c>
      <c r="L169" s="57" t="e">
        <f t="shared" si="67"/>
        <v>#DIV/0!</v>
      </c>
      <c r="M169" s="57" t="e">
        <f t="shared" si="68"/>
        <v>#DIV/0!</v>
      </c>
      <c r="N169" s="57" t="e">
        <f t="shared" si="69"/>
        <v>#DIV/0!</v>
      </c>
      <c r="O169" s="58" t="e">
        <f>Links!B169</f>
        <v>#DIV/0!</v>
      </c>
      <c r="P169" s="58" t="e">
        <f>Links!C169+'On-Ramps'!AC169</f>
        <v>#DIV/0!</v>
      </c>
      <c r="Q169" s="58" t="e">
        <f>Links!D169</f>
        <v>#DIV/0!</v>
      </c>
      <c r="R169" s="58" t="e">
        <f>Links!E169+'On-Ramps'!AD169</f>
        <v>#DIV/0!</v>
      </c>
      <c r="S169" s="58" t="e">
        <f>Links!F169+'On-Ramps'!AE169</f>
        <v>#DIV/0!</v>
      </c>
      <c r="T169" s="58" t="e">
        <f>Links!I169+'On-Ramps'!AF169</f>
        <v>#DIV/0!</v>
      </c>
      <c r="U169" s="58" t="e">
        <f>Links!J169+'On-Ramps'!AG169</f>
        <v>#DIV/0!</v>
      </c>
      <c r="V169" s="58" t="e">
        <f>Links!L169+'On-Ramps'!AH169</f>
        <v>#DIV/0!</v>
      </c>
      <c r="W169" s="58" t="e">
        <f>Links!M169+'On-Ramps'!AI169</f>
        <v>#DIV/0!</v>
      </c>
      <c r="X169" s="58" t="e">
        <f>Links!P169+'On-Ramps'!AJ169</f>
        <v>#DIV/0!</v>
      </c>
      <c r="Y169" s="58" t="e">
        <f>Links!Q169</f>
        <v>#DIV/0!</v>
      </c>
      <c r="Z169" s="58" t="e">
        <f>Links!R169+'On-Ramps'!AK169</f>
        <v>#DIV/0!</v>
      </c>
      <c r="AA169" s="58" t="e">
        <f>Links!S169</f>
        <v>#DIV/0!</v>
      </c>
      <c r="AB169" s="57" t="e">
        <f t="shared" si="70"/>
        <v>#DIV/0!</v>
      </c>
      <c r="AC169" s="63"/>
      <c r="AD169" s="57" t="e">
        <f t="shared" si="71"/>
        <v>#DIV/0!</v>
      </c>
      <c r="AE169" s="63"/>
      <c r="AF169" s="57" t="e">
        <f t="shared" si="72"/>
        <v>#DIV/0!</v>
      </c>
      <c r="AG169" s="57" t="e">
        <f t="shared" si="73"/>
        <v>#DIV/0!</v>
      </c>
      <c r="AH169" s="57" t="e">
        <f t="shared" si="74"/>
        <v>#DIV/0!</v>
      </c>
      <c r="AI169" s="57" t="e">
        <f t="shared" si="75"/>
        <v>#DIV/0!</v>
      </c>
      <c r="AJ169" s="57" t="e">
        <f t="shared" si="76"/>
        <v>#DIV/0!</v>
      </c>
      <c r="AK169" s="57" t="e">
        <f t="shared" si="77"/>
        <v>#DIV/0!</v>
      </c>
      <c r="AL169" s="57" t="e">
        <f t="shared" si="78"/>
        <v>#DIV/0!</v>
      </c>
      <c r="AM169" s="63"/>
      <c r="AN169" s="57" t="e">
        <f t="shared" si="80"/>
        <v>#DIV/0!</v>
      </c>
      <c r="AO169" s="58" t="e">
        <f t="shared" si="56"/>
        <v>#DIV/0!</v>
      </c>
      <c r="AP169" s="63"/>
      <c r="AQ169" s="58" t="e">
        <f t="shared" si="81"/>
        <v>#DIV/0!</v>
      </c>
      <c r="AR169" s="63"/>
      <c r="AS169" s="58" t="e">
        <f t="shared" si="81"/>
        <v>#DIV/0!</v>
      </c>
      <c r="AT169" s="58" t="e">
        <f t="shared" si="81"/>
        <v>#DIV/0!</v>
      </c>
      <c r="AU169" s="58" t="e">
        <f t="shared" si="81"/>
        <v>#DIV/0!</v>
      </c>
      <c r="AV169" s="58" t="e">
        <f t="shared" si="81"/>
        <v>#DIV/0!</v>
      </c>
      <c r="AW169" s="58" t="e">
        <f t="shared" si="81"/>
        <v>#DIV/0!</v>
      </c>
      <c r="AX169" s="58" t="e">
        <f t="shared" si="81"/>
        <v>#DIV/0!</v>
      </c>
      <c r="AY169" s="58" t="e">
        <f t="shared" si="81"/>
        <v>#DIV/0!</v>
      </c>
      <c r="AZ169" s="63"/>
      <c r="BA169" s="58" t="e">
        <f t="shared" si="81"/>
        <v>#DIV/0!</v>
      </c>
      <c r="BB169" s="63"/>
      <c r="BC169" s="57" t="e">
        <f>(Links!C169*Links!AQ169+'On-Ramps'!AC169*'On-Ramps'!CE169)/('On-Ramps'!AC169+Links!C169)</f>
        <v>#DIV/0!</v>
      </c>
      <c r="BD169" s="63"/>
      <c r="BE169" s="57" t="e">
        <f>(Links!E169*Links!AS169+'On-Ramps'!AD169*'On-Ramps'!CF168)/('On-Ramps'!AD169+Links!E169)</f>
        <v>#DIV/0!</v>
      </c>
      <c r="BF169" s="57" t="e">
        <f>(Links!F169*Links!AT169+'On-Ramps'!AE169*'On-Ramps'!CG169)/('On-Ramps'!AE169+Links!F169)</f>
        <v>#DIV/0!</v>
      </c>
      <c r="BG169" s="57" t="e">
        <f>(Links!I169*Links!AW169+'On-Ramps'!AF169*'On-Ramps'!CH169)/('On-Ramps'!AF169+Links!I169)</f>
        <v>#DIV/0!</v>
      </c>
      <c r="BH169" s="57" t="e">
        <f>(#REF!*#REF!+'On-Ramps'!AG169*'On-Ramps'!CI169)/('On-Ramps'!AG169+#REF!)</f>
        <v>#REF!</v>
      </c>
      <c r="BI169" s="57" t="e">
        <f>(Links!L169*Links!AZ169+'On-Ramps'!AH169*'On-Ramps'!CJ169)/('On-Ramps'!AH169+Links!L169)</f>
        <v>#DIV/0!</v>
      </c>
      <c r="BJ169" s="57" t="e">
        <f>(Links!BA169*Links!M169+'On-Ramps'!AI169*'On-Ramps'!CK169)/('On-Ramps'!AI169+Links!M169)</f>
        <v>#DIV/0!</v>
      </c>
      <c r="BK169" s="57" t="e">
        <f>(Links!S169*Links!BG169+'On-Ramps'!AJ169*'On-Ramps'!CL169)/('On-Ramps'!AJ169+Links!S169)</f>
        <v>#DIV/0!</v>
      </c>
      <c r="BL169" s="63"/>
      <c r="BM169" s="57" t="e">
        <f>(Links!S169*Links!BG169+'On-Ramps'!AL169*'On-Ramps'!CM169)/(Links!S169+'On-Ramps'!AL169)</f>
        <v>#DIV/0!</v>
      </c>
      <c r="BN169" s="63"/>
      <c r="BO169" s="58" t="e">
        <f>(Links!W169^2+'Off-Ramp'!L169^2)/(Links!W169+'Off-Ramp'!L169)</f>
        <v>#DIV/0!</v>
      </c>
      <c r="BP169" s="63"/>
      <c r="BQ169" s="58" t="e">
        <f>(Links!Y169^2+'Off-Ramp'!C169^2)/(Links!Y169+'Off-Ramp'!C169)</f>
        <v>#DIV/0!</v>
      </c>
      <c r="BR169" s="63"/>
      <c r="BS169" s="58" t="e">
        <f>(Links!AA169^2+'Off-Ramp'!N169^2)/(Links!AA169+'Off-Ramp'!N169)</f>
        <v>#DIV/0!</v>
      </c>
      <c r="BT169" s="58" t="e">
        <f>(Links!AD169^2+'Off-Ramp'!O169^2)/(Links!AD169+'Off-Ramp'!O169)</f>
        <v>#DIV/0!</v>
      </c>
      <c r="BU169" s="58" t="e">
        <f>(Links!AE169^2+'Off-Ramp'!V169^2+'Off-Ramp'!W169^2+'Off-Ramp'!X169^2)/(Links!AE169+'Off-Ramp'!V169+'Off-Ramp'!W169+'Off-Ramp'!X169)</f>
        <v>#DIV/0!</v>
      </c>
      <c r="BV169" s="58" t="e">
        <f>(Links!AG169^2+'Off-Ramp'!Y169^2+'Off-Ramp'!Z169^2+'Off-Ramp'!AA169^2)/(Links!AG169+'Off-Ramp'!Y169+'Off-Ramp'!Z169+'Off-Ramp'!AA169)</f>
        <v>#DIV/0!</v>
      </c>
      <c r="BW169" s="58" t="e">
        <f>(Links!AH169^2+'Off-Ramp'!R169^2)/(Links!AH169+'Off-Ramp'!R169)</f>
        <v>#DIV/0!</v>
      </c>
      <c r="BX169" s="58" t="e">
        <f>(Links!AK169^2+'Off-Ramp'!S169^2)/(Links!AK169+'Off-Ramp'!S169)</f>
        <v>#DIV/0!</v>
      </c>
      <c r="BY169" s="58" t="e">
        <f>(Links!AL169^2+'Off-Ramp'!T169^2)/(Links!AL169+'Off-Ramp'!T169)</f>
        <v>#DIV/0!</v>
      </c>
      <c r="BZ169" s="63"/>
      <c r="CA169" s="58" t="e">
        <f>(Links!AN169^2+'Off-Ramp'!U169^2)/(Links!AN169+'Off-Ramp'!U169)</f>
        <v>#DIV/0!</v>
      </c>
    </row>
    <row r="170" spans="1:79" x14ac:dyDescent="0.15">
      <c r="A170" s="56">
        <v>168</v>
      </c>
      <c r="B170" s="57" t="e">
        <f t="shared" si="57"/>
        <v>#DIV/0!</v>
      </c>
      <c r="C170" s="57" t="e">
        <f t="shared" si="58"/>
        <v>#DIV/0!</v>
      </c>
      <c r="D170" s="57" t="e">
        <f t="shared" si="59"/>
        <v>#DIV/0!</v>
      </c>
      <c r="E170" s="57" t="e">
        <f t="shared" si="60"/>
        <v>#DIV/0!</v>
      </c>
      <c r="F170" s="57" t="e">
        <f t="shared" si="61"/>
        <v>#DIV/0!</v>
      </c>
      <c r="G170" s="57" t="e">
        <f t="shared" si="62"/>
        <v>#DIV/0!</v>
      </c>
      <c r="H170" s="57" t="e">
        <f t="shared" si="63"/>
        <v>#DIV/0!</v>
      </c>
      <c r="I170" s="57" t="e">
        <f t="shared" si="64"/>
        <v>#DIV/0!</v>
      </c>
      <c r="J170" s="57" t="e">
        <f t="shared" si="65"/>
        <v>#DIV/0!</v>
      </c>
      <c r="K170" s="57" t="e">
        <f t="shared" si="66"/>
        <v>#DIV/0!</v>
      </c>
      <c r="L170" s="57" t="e">
        <f t="shared" si="67"/>
        <v>#DIV/0!</v>
      </c>
      <c r="M170" s="57" t="e">
        <f t="shared" si="68"/>
        <v>#DIV/0!</v>
      </c>
      <c r="N170" s="57" t="e">
        <f t="shared" si="69"/>
        <v>#DIV/0!</v>
      </c>
      <c r="O170" s="58" t="e">
        <f>Links!B170</f>
        <v>#DIV/0!</v>
      </c>
      <c r="P170" s="58" t="e">
        <f>Links!C170+'On-Ramps'!AC170</f>
        <v>#DIV/0!</v>
      </c>
      <c r="Q170" s="58" t="e">
        <f>Links!D170</f>
        <v>#DIV/0!</v>
      </c>
      <c r="R170" s="58" t="e">
        <f>Links!E170+'On-Ramps'!AD170</f>
        <v>#DIV/0!</v>
      </c>
      <c r="S170" s="58" t="e">
        <f>Links!F170+'On-Ramps'!AE170</f>
        <v>#DIV/0!</v>
      </c>
      <c r="T170" s="58" t="e">
        <f>Links!I170+'On-Ramps'!AF170</f>
        <v>#DIV/0!</v>
      </c>
      <c r="U170" s="58" t="e">
        <f>Links!J170+'On-Ramps'!AG170</f>
        <v>#DIV/0!</v>
      </c>
      <c r="V170" s="58" t="e">
        <f>Links!L170+'On-Ramps'!AH170</f>
        <v>#DIV/0!</v>
      </c>
      <c r="W170" s="58" t="e">
        <f>Links!M170+'On-Ramps'!AI170</f>
        <v>#DIV/0!</v>
      </c>
      <c r="X170" s="58" t="e">
        <f>Links!P170+'On-Ramps'!AJ170</f>
        <v>#DIV/0!</v>
      </c>
      <c r="Y170" s="58" t="e">
        <f>Links!Q170</f>
        <v>#DIV/0!</v>
      </c>
      <c r="Z170" s="58" t="e">
        <f>Links!R170+'On-Ramps'!AK170</f>
        <v>#DIV/0!</v>
      </c>
      <c r="AA170" s="58" t="e">
        <f>Links!S170</f>
        <v>#DIV/0!</v>
      </c>
      <c r="AB170" s="57" t="e">
        <f t="shared" si="70"/>
        <v>#DIV/0!</v>
      </c>
      <c r="AC170" s="63"/>
      <c r="AD170" s="57" t="e">
        <f t="shared" si="71"/>
        <v>#DIV/0!</v>
      </c>
      <c r="AE170" s="63"/>
      <c r="AF170" s="57" t="e">
        <f t="shared" si="72"/>
        <v>#DIV/0!</v>
      </c>
      <c r="AG170" s="57" t="e">
        <f t="shared" si="73"/>
        <v>#DIV/0!</v>
      </c>
      <c r="AH170" s="57" t="e">
        <f t="shared" si="74"/>
        <v>#DIV/0!</v>
      </c>
      <c r="AI170" s="57" t="e">
        <f t="shared" si="75"/>
        <v>#DIV/0!</v>
      </c>
      <c r="AJ170" s="57" t="e">
        <f t="shared" si="76"/>
        <v>#DIV/0!</v>
      </c>
      <c r="AK170" s="57" t="e">
        <f t="shared" si="77"/>
        <v>#DIV/0!</v>
      </c>
      <c r="AL170" s="57" t="e">
        <f t="shared" si="78"/>
        <v>#DIV/0!</v>
      </c>
      <c r="AM170" s="63"/>
      <c r="AN170" s="57" t="e">
        <f t="shared" si="80"/>
        <v>#DIV/0!</v>
      </c>
      <c r="AO170" s="58" t="e">
        <f t="shared" si="56"/>
        <v>#DIV/0!</v>
      </c>
      <c r="AP170" s="63"/>
      <c r="AQ170" s="58" t="e">
        <f t="shared" si="81"/>
        <v>#DIV/0!</v>
      </c>
      <c r="AR170" s="63"/>
      <c r="AS170" s="58" t="e">
        <f t="shared" si="81"/>
        <v>#DIV/0!</v>
      </c>
      <c r="AT170" s="58" t="e">
        <f t="shared" si="81"/>
        <v>#DIV/0!</v>
      </c>
      <c r="AU170" s="58" t="e">
        <f t="shared" si="81"/>
        <v>#DIV/0!</v>
      </c>
      <c r="AV170" s="58" t="e">
        <f t="shared" si="81"/>
        <v>#DIV/0!</v>
      </c>
      <c r="AW170" s="58" t="e">
        <f t="shared" si="81"/>
        <v>#DIV/0!</v>
      </c>
      <c r="AX170" s="58" t="e">
        <f t="shared" si="81"/>
        <v>#DIV/0!</v>
      </c>
      <c r="AY170" s="58" t="e">
        <f t="shared" si="81"/>
        <v>#DIV/0!</v>
      </c>
      <c r="AZ170" s="63"/>
      <c r="BA170" s="58" t="e">
        <f t="shared" si="81"/>
        <v>#DIV/0!</v>
      </c>
      <c r="BB170" s="63"/>
      <c r="BC170" s="57" t="e">
        <f>(Links!C170*Links!AQ170+'On-Ramps'!AC170*'On-Ramps'!CE170)/('On-Ramps'!AC170+Links!C170)</f>
        <v>#DIV/0!</v>
      </c>
      <c r="BD170" s="63"/>
      <c r="BE170" s="57" t="e">
        <f>(Links!E170*Links!AS170+'On-Ramps'!AD170*'On-Ramps'!CF169)/('On-Ramps'!AD170+Links!E170)</f>
        <v>#DIV/0!</v>
      </c>
      <c r="BF170" s="57" t="e">
        <f>(Links!F170*Links!AT170+'On-Ramps'!AE170*'On-Ramps'!CG170)/('On-Ramps'!AE170+Links!F170)</f>
        <v>#DIV/0!</v>
      </c>
      <c r="BG170" s="57" t="e">
        <f>(Links!I170*Links!AW170+'On-Ramps'!AF170*'On-Ramps'!CH170)/('On-Ramps'!AF170+Links!I170)</f>
        <v>#DIV/0!</v>
      </c>
      <c r="BH170" s="57" t="e">
        <f>(#REF!*#REF!+'On-Ramps'!AG170*'On-Ramps'!CI170)/('On-Ramps'!AG170+#REF!)</f>
        <v>#REF!</v>
      </c>
      <c r="BI170" s="57" t="e">
        <f>(Links!L170*Links!AZ170+'On-Ramps'!AH170*'On-Ramps'!CJ170)/('On-Ramps'!AH170+Links!L170)</f>
        <v>#DIV/0!</v>
      </c>
      <c r="BJ170" s="57" t="e">
        <f>(Links!BA170*Links!M170+'On-Ramps'!AI170*'On-Ramps'!CK170)/('On-Ramps'!AI170+Links!M170)</f>
        <v>#DIV/0!</v>
      </c>
      <c r="BK170" s="57" t="e">
        <f>(Links!S170*Links!BG170+'On-Ramps'!AJ170*'On-Ramps'!CL170)/('On-Ramps'!AJ170+Links!S170)</f>
        <v>#DIV/0!</v>
      </c>
      <c r="BL170" s="63"/>
      <c r="BM170" s="57" t="e">
        <f>(Links!S170*Links!BG170+'On-Ramps'!AL170*'On-Ramps'!CM170)/(Links!S170+'On-Ramps'!AL170)</f>
        <v>#DIV/0!</v>
      </c>
      <c r="BN170" s="63"/>
      <c r="BO170" s="58" t="e">
        <f>(Links!W170^2+'Off-Ramp'!L170^2)/(Links!W170+'Off-Ramp'!L170)</f>
        <v>#DIV/0!</v>
      </c>
      <c r="BP170" s="63"/>
      <c r="BQ170" s="58" t="e">
        <f>(Links!Y170^2+'Off-Ramp'!C170^2)/(Links!Y170+'Off-Ramp'!C170)</f>
        <v>#DIV/0!</v>
      </c>
      <c r="BR170" s="63"/>
      <c r="BS170" s="58" t="e">
        <f>(Links!AA170^2+'Off-Ramp'!N170^2)/(Links!AA170+'Off-Ramp'!N170)</f>
        <v>#DIV/0!</v>
      </c>
      <c r="BT170" s="58" t="e">
        <f>(Links!AD170^2+'Off-Ramp'!O170^2)/(Links!AD170+'Off-Ramp'!O170)</f>
        <v>#DIV/0!</v>
      </c>
      <c r="BU170" s="58" t="e">
        <f>(Links!AE170^2+'Off-Ramp'!V170^2+'Off-Ramp'!W170^2+'Off-Ramp'!X170^2)/(Links!AE170+'Off-Ramp'!V170+'Off-Ramp'!W170+'Off-Ramp'!X170)</f>
        <v>#DIV/0!</v>
      </c>
      <c r="BV170" s="58" t="e">
        <f>(Links!AG170^2+'Off-Ramp'!Y170^2+'Off-Ramp'!Z170^2+'Off-Ramp'!AA170^2)/(Links!AG170+'Off-Ramp'!Y170+'Off-Ramp'!Z170+'Off-Ramp'!AA170)</f>
        <v>#DIV/0!</v>
      </c>
      <c r="BW170" s="58" t="e">
        <f>(Links!AH170^2+'Off-Ramp'!R170^2)/(Links!AH170+'Off-Ramp'!R170)</f>
        <v>#DIV/0!</v>
      </c>
      <c r="BX170" s="58" t="e">
        <f>(Links!AK170^2+'Off-Ramp'!S170^2)/(Links!AK170+'Off-Ramp'!S170)</f>
        <v>#DIV/0!</v>
      </c>
      <c r="BY170" s="58" t="e">
        <f>(Links!AL170^2+'Off-Ramp'!T170^2)/(Links!AL170+'Off-Ramp'!T170)</f>
        <v>#DIV/0!</v>
      </c>
      <c r="BZ170" s="63"/>
      <c r="CA170" s="58" t="e">
        <f>(Links!AN170^2+'Off-Ramp'!U170^2)/(Links!AN170+'Off-Ramp'!U170)</f>
        <v>#DIV/0!</v>
      </c>
    </row>
    <row r="171" spans="1:79" x14ac:dyDescent="0.15">
      <c r="A171" s="56">
        <v>169</v>
      </c>
      <c r="B171" s="57" t="e">
        <f t="shared" si="57"/>
        <v>#DIV/0!</v>
      </c>
      <c r="C171" s="57" t="e">
        <f t="shared" si="58"/>
        <v>#DIV/0!</v>
      </c>
      <c r="D171" s="57" t="e">
        <f t="shared" si="59"/>
        <v>#DIV/0!</v>
      </c>
      <c r="E171" s="57" t="e">
        <f t="shared" si="60"/>
        <v>#DIV/0!</v>
      </c>
      <c r="F171" s="57" t="e">
        <f t="shared" si="61"/>
        <v>#DIV/0!</v>
      </c>
      <c r="G171" s="57" t="e">
        <f t="shared" si="62"/>
        <v>#DIV/0!</v>
      </c>
      <c r="H171" s="57" t="e">
        <f t="shared" si="63"/>
        <v>#DIV/0!</v>
      </c>
      <c r="I171" s="57" t="e">
        <f t="shared" si="64"/>
        <v>#DIV/0!</v>
      </c>
      <c r="J171" s="57" t="e">
        <f t="shared" si="65"/>
        <v>#DIV/0!</v>
      </c>
      <c r="K171" s="57" t="e">
        <f t="shared" si="66"/>
        <v>#DIV/0!</v>
      </c>
      <c r="L171" s="57" t="e">
        <f t="shared" si="67"/>
        <v>#DIV/0!</v>
      </c>
      <c r="M171" s="57" t="e">
        <f t="shared" si="68"/>
        <v>#DIV/0!</v>
      </c>
      <c r="N171" s="57" t="e">
        <f t="shared" si="69"/>
        <v>#DIV/0!</v>
      </c>
      <c r="O171" s="58" t="e">
        <f>Links!B171</f>
        <v>#DIV/0!</v>
      </c>
      <c r="P171" s="58" t="e">
        <f>Links!C171+'On-Ramps'!AC171</f>
        <v>#DIV/0!</v>
      </c>
      <c r="Q171" s="58" t="e">
        <f>Links!D171</f>
        <v>#DIV/0!</v>
      </c>
      <c r="R171" s="58" t="e">
        <f>Links!E171+'On-Ramps'!AD171</f>
        <v>#DIV/0!</v>
      </c>
      <c r="S171" s="58" t="e">
        <f>Links!F171+'On-Ramps'!AE171</f>
        <v>#DIV/0!</v>
      </c>
      <c r="T171" s="58" t="e">
        <f>Links!I171+'On-Ramps'!AF171</f>
        <v>#DIV/0!</v>
      </c>
      <c r="U171" s="58" t="e">
        <f>Links!J171+'On-Ramps'!AG171</f>
        <v>#DIV/0!</v>
      </c>
      <c r="V171" s="58" t="e">
        <f>Links!L171+'On-Ramps'!AH171</f>
        <v>#DIV/0!</v>
      </c>
      <c r="W171" s="58" t="e">
        <f>Links!M171+'On-Ramps'!AI171</f>
        <v>#DIV/0!</v>
      </c>
      <c r="X171" s="58" t="e">
        <f>Links!P171+'On-Ramps'!AJ171</f>
        <v>#DIV/0!</v>
      </c>
      <c r="Y171" s="58" t="e">
        <f>Links!Q171</f>
        <v>#DIV/0!</v>
      </c>
      <c r="Z171" s="58" t="e">
        <f>Links!R171+'On-Ramps'!AK171</f>
        <v>#DIV/0!</v>
      </c>
      <c r="AA171" s="58" t="e">
        <f>Links!S171</f>
        <v>#DIV/0!</v>
      </c>
      <c r="AB171" s="57" t="e">
        <f t="shared" si="70"/>
        <v>#DIV/0!</v>
      </c>
      <c r="AC171" s="63"/>
      <c r="AD171" s="57" t="e">
        <f t="shared" si="71"/>
        <v>#DIV/0!</v>
      </c>
      <c r="AE171" s="63"/>
      <c r="AF171" s="57" t="e">
        <f t="shared" si="72"/>
        <v>#DIV/0!</v>
      </c>
      <c r="AG171" s="57" t="e">
        <f t="shared" si="73"/>
        <v>#DIV/0!</v>
      </c>
      <c r="AH171" s="57" t="e">
        <f t="shared" si="74"/>
        <v>#DIV/0!</v>
      </c>
      <c r="AI171" s="57" t="e">
        <f t="shared" si="75"/>
        <v>#DIV/0!</v>
      </c>
      <c r="AJ171" s="57" t="e">
        <f t="shared" si="76"/>
        <v>#DIV/0!</v>
      </c>
      <c r="AK171" s="57" t="e">
        <f t="shared" si="77"/>
        <v>#DIV/0!</v>
      </c>
      <c r="AL171" s="57" t="e">
        <f t="shared" si="78"/>
        <v>#DIV/0!</v>
      </c>
      <c r="AM171" s="63"/>
      <c r="AN171" s="57" t="e">
        <f t="shared" si="80"/>
        <v>#DIV/0!</v>
      </c>
      <c r="AO171" s="58" t="e">
        <f t="shared" si="56"/>
        <v>#DIV/0!</v>
      </c>
      <c r="AP171" s="63"/>
      <c r="AQ171" s="58" t="e">
        <f t="shared" si="81"/>
        <v>#DIV/0!</v>
      </c>
      <c r="AR171" s="63"/>
      <c r="AS171" s="58" t="e">
        <f t="shared" si="81"/>
        <v>#DIV/0!</v>
      </c>
      <c r="AT171" s="58" t="e">
        <f t="shared" si="81"/>
        <v>#DIV/0!</v>
      </c>
      <c r="AU171" s="58" t="e">
        <f t="shared" si="81"/>
        <v>#DIV/0!</v>
      </c>
      <c r="AV171" s="58" t="e">
        <f t="shared" si="81"/>
        <v>#DIV/0!</v>
      </c>
      <c r="AW171" s="58" t="e">
        <f t="shared" si="81"/>
        <v>#DIV/0!</v>
      </c>
      <c r="AX171" s="58" t="e">
        <f t="shared" si="81"/>
        <v>#DIV/0!</v>
      </c>
      <c r="AY171" s="58" t="e">
        <f t="shared" si="81"/>
        <v>#DIV/0!</v>
      </c>
      <c r="AZ171" s="63"/>
      <c r="BA171" s="58" t="e">
        <f t="shared" si="81"/>
        <v>#DIV/0!</v>
      </c>
      <c r="BB171" s="63"/>
      <c r="BC171" s="57" t="e">
        <f>(Links!C171*Links!AQ171+'On-Ramps'!AC171*'On-Ramps'!CE171)/('On-Ramps'!AC171+Links!C171)</f>
        <v>#DIV/0!</v>
      </c>
      <c r="BD171" s="63"/>
      <c r="BE171" s="57" t="e">
        <f>(Links!E171*Links!AS171+'On-Ramps'!AD171*'On-Ramps'!CF170)/('On-Ramps'!AD171+Links!E171)</f>
        <v>#DIV/0!</v>
      </c>
      <c r="BF171" s="57" t="e">
        <f>(Links!F171*Links!AT171+'On-Ramps'!AE171*'On-Ramps'!CG171)/('On-Ramps'!AE171+Links!F171)</f>
        <v>#DIV/0!</v>
      </c>
      <c r="BG171" s="57" t="e">
        <f>(Links!I171*Links!AW171+'On-Ramps'!AF171*'On-Ramps'!CH171)/('On-Ramps'!AF171+Links!I171)</f>
        <v>#DIV/0!</v>
      </c>
      <c r="BH171" s="57" t="e">
        <f>(#REF!*#REF!+'On-Ramps'!AG171*'On-Ramps'!CI171)/('On-Ramps'!AG171+#REF!)</f>
        <v>#REF!</v>
      </c>
      <c r="BI171" s="57" t="e">
        <f>(Links!L171*Links!AZ171+'On-Ramps'!AH171*'On-Ramps'!CJ171)/('On-Ramps'!AH171+Links!L171)</f>
        <v>#DIV/0!</v>
      </c>
      <c r="BJ171" s="57" t="e">
        <f>(Links!BA171*Links!M171+'On-Ramps'!AI171*'On-Ramps'!CK171)/('On-Ramps'!AI171+Links!M171)</f>
        <v>#DIV/0!</v>
      </c>
      <c r="BK171" s="57" t="e">
        <f>(Links!S171*Links!BG171+'On-Ramps'!AJ171*'On-Ramps'!CL171)/('On-Ramps'!AJ171+Links!S171)</f>
        <v>#DIV/0!</v>
      </c>
      <c r="BL171" s="63"/>
      <c r="BM171" s="57" t="e">
        <f>(Links!S171*Links!BG171+'On-Ramps'!AL171*'On-Ramps'!CM171)/(Links!S171+'On-Ramps'!AL171)</f>
        <v>#DIV/0!</v>
      </c>
      <c r="BN171" s="63"/>
      <c r="BO171" s="58" t="e">
        <f>(Links!W171^2+'Off-Ramp'!L171^2)/(Links!W171+'Off-Ramp'!L171)</f>
        <v>#DIV/0!</v>
      </c>
      <c r="BP171" s="63"/>
      <c r="BQ171" s="58" t="e">
        <f>(Links!Y171^2+'Off-Ramp'!C171^2)/(Links!Y171+'Off-Ramp'!C171)</f>
        <v>#DIV/0!</v>
      </c>
      <c r="BR171" s="63"/>
      <c r="BS171" s="58" t="e">
        <f>(Links!AA171^2+'Off-Ramp'!N171^2)/(Links!AA171+'Off-Ramp'!N171)</f>
        <v>#DIV/0!</v>
      </c>
      <c r="BT171" s="58" t="e">
        <f>(Links!AD171^2+'Off-Ramp'!O171^2)/(Links!AD171+'Off-Ramp'!O171)</f>
        <v>#DIV/0!</v>
      </c>
      <c r="BU171" s="58" t="e">
        <f>(Links!AE171^2+'Off-Ramp'!V171^2+'Off-Ramp'!W171^2+'Off-Ramp'!X171^2)/(Links!AE171+'Off-Ramp'!V171+'Off-Ramp'!W171+'Off-Ramp'!X171)</f>
        <v>#DIV/0!</v>
      </c>
      <c r="BV171" s="58" t="e">
        <f>(Links!AG171^2+'Off-Ramp'!Y171^2+'Off-Ramp'!Z171^2+'Off-Ramp'!AA171^2)/(Links!AG171+'Off-Ramp'!Y171+'Off-Ramp'!Z171+'Off-Ramp'!AA171)</f>
        <v>#DIV/0!</v>
      </c>
      <c r="BW171" s="58" t="e">
        <f>(Links!AH171^2+'Off-Ramp'!R171^2)/(Links!AH171+'Off-Ramp'!R171)</f>
        <v>#DIV/0!</v>
      </c>
      <c r="BX171" s="58" t="e">
        <f>(Links!AK171^2+'Off-Ramp'!S171^2)/(Links!AK171+'Off-Ramp'!S171)</f>
        <v>#DIV/0!</v>
      </c>
      <c r="BY171" s="58" t="e">
        <f>(Links!AL171^2+'Off-Ramp'!T171^2)/(Links!AL171+'Off-Ramp'!T171)</f>
        <v>#DIV/0!</v>
      </c>
      <c r="BZ171" s="63"/>
      <c r="CA171" s="58" t="e">
        <f>(Links!AN171^2+'Off-Ramp'!U171^2)/(Links!AN171+'Off-Ramp'!U171)</f>
        <v>#DIV/0!</v>
      </c>
    </row>
    <row r="172" spans="1:79" x14ac:dyDescent="0.15">
      <c r="A172" s="56">
        <v>170</v>
      </c>
      <c r="B172" s="57" t="e">
        <f t="shared" si="57"/>
        <v>#DIV/0!</v>
      </c>
      <c r="C172" s="57" t="e">
        <f t="shared" si="58"/>
        <v>#DIV/0!</v>
      </c>
      <c r="D172" s="57" t="e">
        <f t="shared" si="59"/>
        <v>#DIV/0!</v>
      </c>
      <c r="E172" s="57" t="e">
        <f t="shared" si="60"/>
        <v>#DIV/0!</v>
      </c>
      <c r="F172" s="57" t="e">
        <f t="shared" si="61"/>
        <v>#DIV/0!</v>
      </c>
      <c r="G172" s="57" t="e">
        <f t="shared" si="62"/>
        <v>#DIV/0!</v>
      </c>
      <c r="H172" s="57" t="e">
        <f t="shared" si="63"/>
        <v>#DIV/0!</v>
      </c>
      <c r="I172" s="57" t="e">
        <f t="shared" si="64"/>
        <v>#DIV/0!</v>
      </c>
      <c r="J172" s="57" t="e">
        <f t="shared" si="65"/>
        <v>#DIV/0!</v>
      </c>
      <c r="K172" s="57" t="e">
        <f t="shared" si="66"/>
        <v>#DIV/0!</v>
      </c>
      <c r="L172" s="57" t="e">
        <f t="shared" si="67"/>
        <v>#DIV/0!</v>
      </c>
      <c r="M172" s="57" t="e">
        <f t="shared" si="68"/>
        <v>#DIV/0!</v>
      </c>
      <c r="N172" s="57" t="e">
        <f t="shared" si="69"/>
        <v>#DIV/0!</v>
      </c>
      <c r="O172" s="58" t="e">
        <f>Links!B172</f>
        <v>#DIV/0!</v>
      </c>
      <c r="P172" s="58" t="e">
        <f>Links!C172+'On-Ramps'!AC172</f>
        <v>#DIV/0!</v>
      </c>
      <c r="Q172" s="58" t="e">
        <f>Links!D172</f>
        <v>#DIV/0!</v>
      </c>
      <c r="R172" s="58" t="e">
        <f>Links!E172+'On-Ramps'!AD172</f>
        <v>#DIV/0!</v>
      </c>
      <c r="S172" s="58" t="e">
        <f>Links!F172+'On-Ramps'!AE172</f>
        <v>#DIV/0!</v>
      </c>
      <c r="T172" s="58" t="e">
        <f>Links!I172+'On-Ramps'!AF172</f>
        <v>#DIV/0!</v>
      </c>
      <c r="U172" s="58" t="e">
        <f>Links!J172+'On-Ramps'!AG172</f>
        <v>#DIV/0!</v>
      </c>
      <c r="V172" s="58" t="e">
        <f>Links!L172+'On-Ramps'!AH172</f>
        <v>#DIV/0!</v>
      </c>
      <c r="W172" s="58" t="e">
        <f>Links!M172+'On-Ramps'!AI172</f>
        <v>#DIV/0!</v>
      </c>
      <c r="X172" s="58" t="e">
        <f>Links!P172+'On-Ramps'!AJ172</f>
        <v>#DIV/0!</v>
      </c>
      <c r="Y172" s="58" t="e">
        <f>Links!Q172</f>
        <v>#DIV/0!</v>
      </c>
      <c r="Z172" s="58" t="e">
        <f>Links!R172+'On-Ramps'!AK172</f>
        <v>#DIV/0!</v>
      </c>
      <c r="AA172" s="58" t="e">
        <f>Links!S172</f>
        <v>#DIV/0!</v>
      </c>
      <c r="AB172" s="57" t="e">
        <f t="shared" si="70"/>
        <v>#DIV/0!</v>
      </c>
      <c r="AC172" s="63"/>
      <c r="AD172" s="57" t="e">
        <f t="shared" si="71"/>
        <v>#DIV/0!</v>
      </c>
      <c r="AE172" s="63"/>
      <c r="AF172" s="57" t="e">
        <f t="shared" si="72"/>
        <v>#DIV/0!</v>
      </c>
      <c r="AG172" s="57" t="e">
        <f t="shared" si="73"/>
        <v>#DIV/0!</v>
      </c>
      <c r="AH172" s="57" t="e">
        <f t="shared" si="74"/>
        <v>#DIV/0!</v>
      </c>
      <c r="AI172" s="57" t="e">
        <f t="shared" si="75"/>
        <v>#DIV/0!</v>
      </c>
      <c r="AJ172" s="57" t="e">
        <f t="shared" si="76"/>
        <v>#DIV/0!</v>
      </c>
      <c r="AK172" s="57" t="e">
        <f t="shared" si="77"/>
        <v>#DIV/0!</v>
      </c>
      <c r="AL172" s="57" t="e">
        <f t="shared" si="78"/>
        <v>#DIV/0!</v>
      </c>
      <c r="AM172" s="63"/>
      <c r="AN172" s="57" t="e">
        <f t="shared" si="80"/>
        <v>#DIV/0!</v>
      </c>
      <c r="AO172" s="58" t="e">
        <f t="shared" si="56"/>
        <v>#DIV/0!</v>
      </c>
      <c r="AP172" s="63"/>
      <c r="AQ172" s="58" t="e">
        <f t="shared" si="81"/>
        <v>#DIV/0!</v>
      </c>
      <c r="AR172" s="63"/>
      <c r="AS172" s="58" t="e">
        <f t="shared" si="81"/>
        <v>#DIV/0!</v>
      </c>
      <c r="AT172" s="58" t="e">
        <f t="shared" si="81"/>
        <v>#DIV/0!</v>
      </c>
      <c r="AU172" s="58" t="e">
        <f t="shared" si="81"/>
        <v>#DIV/0!</v>
      </c>
      <c r="AV172" s="58" t="e">
        <f t="shared" si="81"/>
        <v>#DIV/0!</v>
      </c>
      <c r="AW172" s="58" t="e">
        <f t="shared" si="81"/>
        <v>#DIV/0!</v>
      </c>
      <c r="AX172" s="58" t="e">
        <f t="shared" si="81"/>
        <v>#DIV/0!</v>
      </c>
      <c r="AY172" s="58" t="e">
        <f t="shared" si="81"/>
        <v>#DIV/0!</v>
      </c>
      <c r="AZ172" s="63"/>
      <c r="BA172" s="58" t="e">
        <f t="shared" si="81"/>
        <v>#DIV/0!</v>
      </c>
      <c r="BB172" s="63"/>
      <c r="BC172" s="57" t="e">
        <f>(Links!C172*Links!AQ172+'On-Ramps'!AC172*'On-Ramps'!CE172)/('On-Ramps'!AC172+Links!C172)</f>
        <v>#DIV/0!</v>
      </c>
      <c r="BD172" s="63"/>
      <c r="BE172" s="57" t="e">
        <f>(Links!E172*Links!AS172+'On-Ramps'!AD172*'On-Ramps'!CF171)/('On-Ramps'!AD172+Links!E172)</f>
        <v>#DIV/0!</v>
      </c>
      <c r="BF172" s="57" t="e">
        <f>(Links!F172*Links!AT172+'On-Ramps'!AE172*'On-Ramps'!CG172)/('On-Ramps'!AE172+Links!F172)</f>
        <v>#DIV/0!</v>
      </c>
      <c r="BG172" s="57" t="e">
        <f>(Links!I172*Links!AW172+'On-Ramps'!AF172*'On-Ramps'!CH172)/('On-Ramps'!AF172+Links!I172)</f>
        <v>#DIV/0!</v>
      </c>
      <c r="BH172" s="57" t="e">
        <f>(#REF!*#REF!+'On-Ramps'!AG172*'On-Ramps'!CI172)/('On-Ramps'!AG172+#REF!)</f>
        <v>#REF!</v>
      </c>
      <c r="BI172" s="57" t="e">
        <f>(Links!L172*Links!AZ172+'On-Ramps'!AH172*'On-Ramps'!CJ172)/('On-Ramps'!AH172+Links!L172)</f>
        <v>#DIV/0!</v>
      </c>
      <c r="BJ172" s="57" t="e">
        <f>(Links!BA172*Links!M172+'On-Ramps'!AI172*'On-Ramps'!CK172)/('On-Ramps'!AI172+Links!M172)</f>
        <v>#DIV/0!</v>
      </c>
      <c r="BK172" s="57" t="e">
        <f>(Links!S172*Links!BG172+'On-Ramps'!AJ172*'On-Ramps'!CL172)/('On-Ramps'!AJ172+Links!S172)</f>
        <v>#DIV/0!</v>
      </c>
      <c r="BL172" s="63"/>
      <c r="BM172" s="57" t="e">
        <f>(Links!S172*Links!BG172+'On-Ramps'!AL172*'On-Ramps'!CM172)/(Links!S172+'On-Ramps'!AL172)</f>
        <v>#DIV/0!</v>
      </c>
      <c r="BN172" s="63"/>
      <c r="BO172" s="58" t="e">
        <f>(Links!W172^2+'Off-Ramp'!L172^2)/(Links!W172+'Off-Ramp'!L172)</f>
        <v>#DIV/0!</v>
      </c>
      <c r="BP172" s="63"/>
      <c r="BQ172" s="58" t="e">
        <f>(Links!Y172^2+'Off-Ramp'!C172^2)/(Links!Y172+'Off-Ramp'!C172)</f>
        <v>#DIV/0!</v>
      </c>
      <c r="BR172" s="63"/>
      <c r="BS172" s="58" t="e">
        <f>(Links!AA172^2+'Off-Ramp'!N172^2)/(Links!AA172+'Off-Ramp'!N172)</f>
        <v>#DIV/0!</v>
      </c>
      <c r="BT172" s="58" t="e">
        <f>(Links!AD172^2+'Off-Ramp'!O172^2)/(Links!AD172+'Off-Ramp'!O172)</f>
        <v>#DIV/0!</v>
      </c>
      <c r="BU172" s="58" t="e">
        <f>(Links!AE172^2+'Off-Ramp'!V172^2+'Off-Ramp'!W172^2+'Off-Ramp'!X172^2)/(Links!AE172+'Off-Ramp'!V172+'Off-Ramp'!W172+'Off-Ramp'!X172)</f>
        <v>#DIV/0!</v>
      </c>
      <c r="BV172" s="58" t="e">
        <f>(Links!AG172^2+'Off-Ramp'!Y172^2+'Off-Ramp'!Z172^2+'Off-Ramp'!AA172^2)/(Links!AG172+'Off-Ramp'!Y172+'Off-Ramp'!Z172+'Off-Ramp'!AA172)</f>
        <v>#DIV/0!</v>
      </c>
      <c r="BW172" s="58" t="e">
        <f>(Links!AH172^2+'Off-Ramp'!R172^2)/(Links!AH172+'Off-Ramp'!R172)</f>
        <v>#DIV/0!</v>
      </c>
      <c r="BX172" s="58" t="e">
        <f>(Links!AK172^2+'Off-Ramp'!S172^2)/(Links!AK172+'Off-Ramp'!S172)</f>
        <v>#DIV/0!</v>
      </c>
      <c r="BY172" s="58" t="e">
        <f>(Links!AL172^2+'Off-Ramp'!T172^2)/(Links!AL172+'Off-Ramp'!T172)</f>
        <v>#DIV/0!</v>
      </c>
      <c r="BZ172" s="63"/>
      <c r="CA172" s="58" t="e">
        <f>(Links!AN172^2+'Off-Ramp'!U172^2)/(Links!AN172+'Off-Ramp'!U172)</f>
        <v>#DIV/0!</v>
      </c>
    </row>
    <row r="173" spans="1:79" x14ac:dyDescent="0.15">
      <c r="A173" s="56">
        <v>171</v>
      </c>
      <c r="B173" s="57" t="e">
        <f t="shared" si="57"/>
        <v>#DIV/0!</v>
      </c>
      <c r="C173" s="57" t="e">
        <f t="shared" si="58"/>
        <v>#DIV/0!</v>
      </c>
      <c r="D173" s="57" t="e">
        <f t="shared" si="59"/>
        <v>#DIV/0!</v>
      </c>
      <c r="E173" s="57" t="e">
        <f t="shared" si="60"/>
        <v>#DIV/0!</v>
      </c>
      <c r="F173" s="57" t="e">
        <f t="shared" si="61"/>
        <v>#DIV/0!</v>
      </c>
      <c r="G173" s="57" t="e">
        <f t="shared" si="62"/>
        <v>#DIV/0!</v>
      </c>
      <c r="H173" s="57" t="e">
        <f t="shared" si="63"/>
        <v>#DIV/0!</v>
      </c>
      <c r="I173" s="57" t="e">
        <f t="shared" si="64"/>
        <v>#DIV/0!</v>
      </c>
      <c r="J173" s="57" t="e">
        <f t="shared" si="65"/>
        <v>#DIV/0!</v>
      </c>
      <c r="K173" s="57" t="e">
        <f t="shared" si="66"/>
        <v>#DIV/0!</v>
      </c>
      <c r="L173" s="57" t="e">
        <f t="shared" si="67"/>
        <v>#DIV/0!</v>
      </c>
      <c r="M173" s="57" t="e">
        <f t="shared" si="68"/>
        <v>#DIV/0!</v>
      </c>
      <c r="N173" s="57" t="e">
        <f t="shared" si="69"/>
        <v>#DIV/0!</v>
      </c>
      <c r="O173" s="58" t="e">
        <f>Links!B173</f>
        <v>#DIV/0!</v>
      </c>
      <c r="P173" s="58" t="e">
        <f>Links!C173+'On-Ramps'!AC173</f>
        <v>#DIV/0!</v>
      </c>
      <c r="Q173" s="58" t="e">
        <f>Links!D173</f>
        <v>#DIV/0!</v>
      </c>
      <c r="R173" s="58" t="e">
        <f>Links!E173+'On-Ramps'!AD173</f>
        <v>#DIV/0!</v>
      </c>
      <c r="S173" s="58" t="e">
        <f>Links!F173+'On-Ramps'!AE173</f>
        <v>#DIV/0!</v>
      </c>
      <c r="T173" s="58" t="e">
        <f>Links!I173+'On-Ramps'!AF173</f>
        <v>#DIV/0!</v>
      </c>
      <c r="U173" s="58" t="e">
        <f>Links!J173+'On-Ramps'!AG173</f>
        <v>#DIV/0!</v>
      </c>
      <c r="V173" s="58" t="e">
        <f>Links!L173+'On-Ramps'!AH173</f>
        <v>#DIV/0!</v>
      </c>
      <c r="W173" s="58" t="e">
        <f>Links!M173+'On-Ramps'!AI173</f>
        <v>#DIV/0!</v>
      </c>
      <c r="X173" s="58" t="e">
        <f>Links!P173+'On-Ramps'!AJ173</f>
        <v>#DIV/0!</v>
      </c>
      <c r="Y173" s="58" t="e">
        <f>Links!Q173</f>
        <v>#DIV/0!</v>
      </c>
      <c r="Z173" s="58" t="e">
        <f>Links!R173+'On-Ramps'!AK173</f>
        <v>#DIV/0!</v>
      </c>
      <c r="AA173" s="58" t="e">
        <f>Links!S173</f>
        <v>#DIV/0!</v>
      </c>
      <c r="AB173" s="57" t="e">
        <f t="shared" si="70"/>
        <v>#DIV/0!</v>
      </c>
      <c r="AC173" s="63"/>
      <c r="AD173" s="57" t="e">
        <f t="shared" si="71"/>
        <v>#DIV/0!</v>
      </c>
      <c r="AE173" s="63"/>
      <c r="AF173" s="57" t="e">
        <f t="shared" si="72"/>
        <v>#DIV/0!</v>
      </c>
      <c r="AG173" s="57" t="e">
        <f t="shared" si="73"/>
        <v>#DIV/0!</v>
      </c>
      <c r="AH173" s="57" t="e">
        <f t="shared" si="74"/>
        <v>#DIV/0!</v>
      </c>
      <c r="AI173" s="57" t="e">
        <f t="shared" si="75"/>
        <v>#DIV/0!</v>
      </c>
      <c r="AJ173" s="57" t="e">
        <f t="shared" si="76"/>
        <v>#DIV/0!</v>
      </c>
      <c r="AK173" s="57" t="e">
        <f t="shared" si="77"/>
        <v>#DIV/0!</v>
      </c>
      <c r="AL173" s="57" t="e">
        <f t="shared" si="78"/>
        <v>#DIV/0!</v>
      </c>
      <c r="AM173" s="63"/>
      <c r="AN173" s="57" t="e">
        <f t="shared" si="80"/>
        <v>#DIV/0!</v>
      </c>
      <c r="AO173" s="58" t="e">
        <f t="shared" si="56"/>
        <v>#DIV/0!</v>
      </c>
      <c r="AP173" s="63"/>
      <c r="AQ173" s="58" t="e">
        <f t="shared" si="81"/>
        <v>#DIV/0!</v>
      </c>
      <c r="AR173" s="63"/>
      <c r="AS173" s="58" t="e">
        <f t="shared" si="81"/>
        <v>#DIV/0!</v>
      </c>
      <c r="AT173" s="58" t="e">
        <f t="shared" si="81"/>
        <v>#DIV/0!</v>
      </c>
      <c r="AU173" s="58" t="e">
        <f t="shared" si="81"/>
        <v>#DIV/0!</v>
      </c>
      <c r="AV173" s="58" t="e">
        <f t="shared" si="81"/>
        <v>#DIV/0!</v>
      </c>
      <c r="AW173" s="58" t="e">
        <f t="shared" si="81"/>
        <v>#DIV/0!</v>
      </c>
      <c r="AX173" s="58" t="e">
        <f t="shared" si="81"/>
        <v>#DIV/0!</v>
      </c>
      <c r="AY173" s="58" t="e">
        <f t="shared" si="81"/>
        <v>#DIV/0!</v>
      </c>
      <c r="AZ173" s="63"/>
      <c r="BA173" s="58" t="e">
        <f t="shared" si="81"/>
        <v>#DIV/0!</v>
      </c>
      <c r="BB173" s="63"/>
      <c r="BC173" s="57" t="e">
        <f>(Links!C173*Links!AQ173+'On-Ramps'!AC173*'On-Ramps'!CE173)/('On-Ramps'!AC173+Links!C173)</f>
        <v>#DIV/0!</v>
      </c>
      <c r="BD173" s="63"/>
      <c r="BE173" s="57" t="e">
        <f>(Links!E173*Links!AS173+'On-Ramps'!AD173*'On-Ramps'!CF172)/('On-Ramps'!AD173+Links!E173)</f>
        <v>#DIV/0!</v>
      </c>
      <c r="BF173" s="57" t="e">
        <f>(Links!F173*Links!AT173+'On-Ramps'!AE173*'On-Ramps'!CG173)/('On-Ramps'!AE173+Links!F173)</f>
        <v>#DIV/0!</v>
      </c>
      <c r="BG173" s="57" t="e">
        <f>(Links!I173*Links!AW173+'On-Ramps'!AF173*'On-Ramps'!CH173)/('On-Ramps'!AF173+Links!I173)</f>
        <v>#DIV/0!</v>
      </c>
      <c r="BH173" s="57" t="e">
        <f>(#REF!*#REF!+'On-Ramps'!AG173*'On-Ramps'!CI173)/('On-Ramps'!AG173+#REF!)</f>
        <v>#REF!</v>
      </c>
      <c r="BI173" s="57" t="e">
        <f>(Links!L173*Links!AZ173+'On-Ramps'!AH173*'On-Ramps'!CJ173)/('On-Ramps'!AH173+Links!L173)</f>
        <v>#DIV/0!</v>
      </c>
      <c r="BJ173" s="57" t="e">
        <f>(Links!BA173*Links!M173+'On-Ramps'!AI173*'On-Ramps'!CK173)/('On-Ramps'!AI173+Links!M173)</f>
        <v>#DIV/0!</v>
      </c>
      <c r="BK173" s="57" t="e">
        <f>(Links!S173*Links!BG173+'On-Ramps'!AJ173*'On-Ramps'!CL173)/('On-Ramps'!AJ173+Links!S173)</f>
        <v>#DIV/0!</v>
      </c>
      <c r="BL173" s="63"/>
      <c r="BM173" s="57" t="e">
        <f>(Links!S173*Links!BG173+'On-Ramps'!AL173*'On-Ramps'!CM173)/(Links!S173+'On-Ramps'!AL173)</f>
        <v>#DIV/0!</v>
      </c>
      <c r="BN173" s="63"/>
      <c r="BO173" s="58" t="e">
        <f>(Links!W173^2+'Off-Ramp'!L173^2)/(Links!W173+'Off-Ramp'!L173)</f>
        <v>#DIV/0!</v>
      </c>
      <c r="BP173" s="63"/>
      <c r="BQ173" s="58" t="e">
        <f>(Links!Y173^2+'Off-Ramp'!C173^2)/(Links!Y173+'Off-Ramp'!C173)</f>
        <v>#DIV/0!</v>
      </c>
      <c r="BR173" s="63"/>
      <c r="BS173" s="58" t="e">
        <f>(Links!AA173^2+'Off-Ramp'!N173^2)/(Links!AA173+'Off-Ramp'!N173)</f>
        <v>#DIV/0!</v>
      </c>
      <c r="BT173" s="58" t="e">
        <f>(Links!AD173^2+'Off-Ramp'!O173^2)/(Links!AD173+'Off-Ramp'!O173)</f>
        <v>#DIV/0!</v>
      </c>
      <c r="BU173" s="58" t="e">
        <f>(Links!AE173^2+'Off-Ramp'!V173^2+'Off-Ramp'!W173^2+'Off-Ramp'!X173^2)/(Links!AE173+'Off-Ramp'!V173+'Off-Ramp'!W173+'Off-Ramp'!X173)</f>
        <v>#DIV/0!</v>
      </c>
      <c r="BV173" s="58" t="e">
        <f>(Links!AG173^2+'Off-Ramp'!Y173^2+'Off-Ramp'!Z173^2+'Off-Ramp'!AA173^2)/(Links!AG173+'Off-Ramp'!Y173+'Off-Ramp'!Z173+'Off-Ramp'!AA173)</f>
        <v>#DIV/0!</v>
      </c>
      <c r="BW173" s="58" t="e">
        <f>(Links!AH173^2+'Off-Ramp'!R173^2)/(Links!AH173+'Off-Ramp'!R173)</f>
        <v>#DIV/0!</v>
      </c>
      <c r="BX173" s="58" t="e">
        <f>(Links!AK173^2+'Off-Ramp'!S173^2)/(Links!AK173+'Off-Ramp'!S173)</f>
        <v>#DIV/0!</v>
      </c>
      <c r="BY173" s="58" t="e">
        <f>(Links!AL173^2+'Off-Ramp'!T173^2)/(Links!AL173+'Off-Ramp'!T173)</f>
        <v>#DIV/0!</v>
      </c>
      <c r="BZ173" s="63"/>
      <c r="CA173" s="58" t="e">
        <f>(Links!AN173^2+'Off-Ramp'!U173^2)/(Links!AN173+'Off-Ramp'!U173)</f>
        <v>#DIV/0!</v>
      </c>
    </row>
    <row r="174" spans="1:79" x14ac:dyDescent="0.15">
      <c r="A174" s="56">
        <v>172</v>
      </c>
      <c r="B174" s="57" t="e">
        <f t="shared" si="57"/>
        <v>#DIV/0!</v>
      </c>
      <c r="C174" s="57" t="e">
        <f t="shared" si="58"/>
        <v>#DIV/0!</v>
      </c>
      <c r="D174" s="57" t="e">
        <f t="shared" si="59"/>
        <v>#DIV/0!</v>
      </c>
      <c r="E174" s="57" t="e">
        <f t="shared" si="60"/>
        <v>#DIV/0!</v>
      </c>
      <c r="F174" s="57" t="e">
        <f t="shared" si="61"/>
        <v>#DIV/0!</v>
      </c>
      <c r="G174" s="57" t="e">
        <f t="shared" si="62"/>
        <v>#DIV/0!</v>
      </c>
      <c r="H174" s="57" t="e">
        <f t="shared" si="63"/>
        <v>#DIV/0!</v>
      </c>
      <c r="I174" s="57" t="e">
        <f t="shared" si="64"/>
        <v>#DIV/0!</v>
      </c>
      <c r="J174" s="57" t="e">
        <f t="shared" si="65"/>
        <v>#DIV/0!</v>
      </c>
      <c r="K174" s="57" t="e">
        <f t="shared" si="66"/>
        <v>#DIV/0!</v>
      </c>
      <c r="L174" s="57" t="e">
        <f t="shared" si="67"/>
        <v>#DIV/0!</v>
      </c>
      <c r="M174" s="57" t="e">
        <f t="shared" si="68"/>
        <v>#DIV/0!</v>
      </c>
      <c r="N174" s="57" t="e">
        <f t="shared" si="69"/>
        <v>#DIV/0!</v>
      </c>
      <c r="O174" s="58" t="e">
        <f>Links!B174</f>
        <v>#DIV/0!</v>
      </c>
      <c r="P174" s="58" t="e">
        <f>Links!C174+'On-Ramps'!AC174</f>
        <v>#DIV/0!</v>
      </c>
      <c r="Q174" s="58" t="e">
        <f>Links!D174</f>
        <v>#DIV/0!</v>
      </c>
      <c r="R174" s="58" t="e">
        <f>Links!E174+'On-Ramps'!AD174</f>
        <v>#DIV/0!</v>
      </c>
      <c r="S174" s="58" t="e">
        <f>Links!F174+'On-Ramps'!AE174</f>
        <v>#DIV/0!</v>
      </c>
      <c r="T174" s="58" t="e">
        <f>Links!I174+'On-Ramps'!AF174</f>
        <v>#DIV/0!</v>
      </c>
      <c r="U174" s="58" t="e">
        <f>Links!J174+'On-Ramps'!AG174</f>
        <v>#DIV/0!</v>
      </c>
      <c r="V174" s="58" t="e">
        <f>Links!L174+'On-Ramps'!AH174</f>
        <v>#DIV/0!</v>
      </c>
      <c r="W174" s="58" t="e">
        <f>Links!M174+'On-Ramps'!AI174</f>
        <v>#DIV/0!</v>
      </c>
      <c r="X174" s="58" t="e">
        <f>Links!P174+'On-Ramps'!AJ174</f>
        <v>#DIV/0!</v>
      </c>
      <c r="Y174" s="58" t="e">
        <f>Links!Q174</f>
        <v>#DIV/0!</v>
      </c>
      <c r="Z174" s="58" t="e">
        <f>Links!R174+'On-Ramps'!AK174</f>
        <v>#DIV/0!</v>
      </c>
      <c r="AA174" s="58" t="e">
        <f>Links!S174</f>
        <v>#DIV/0!</v>
      </c>
      <c r="AB174" s="57" t="e">
        <f t="shared" si="70"/>
        <v>#DIV/0!</v>
      </c>
      <c r="AC174" s="63"/>
      <c r="AD174" s="57" t="e">
        <f t="shared" si="71"/>
        <v>#DIV/0!</v>
      </c>
      <c r="AE174" s="63"/>
      <c r="AF174" s="57" t="e">
        <f t="shared" si="72"/>
        <v>#DIV/0!</v>
      </c>
      <c r="AG174" s="57" t="e">
        <f t="shared" si="73"/>
        <v>#DIV/0!</v>
      </c>
      <c r="AH174" s="57" t="e">
        <f t="shared" si="74"/>
        <v>#DIV/0!</v>
      </c>
      <c r="AI174" s="57" t="e">
        <f t="shared" si="75"/>
        <v>#DIV/0!</v>
      </c>
      <c r="AJ174" s="57" t="e">
        <f t="shared" si="76"/>
        <v>#DIV/0!</v>
      </c>
      <c r="AK174" s="57" t="e">
        <f t="shared" si="77"/>
        <v>#DIV/0!</v>
      </c>
      <c r="AL174" s="57" t="e">
        <f t="shared" si="78"/>
        <v>#DIV/0!</v>
      </c>
      <c r="AM174" s="63"/>
      <c r="AN174" s="57" t="e">
        <f t="shared" si="80"/>
        <v>#DIV/0!</v>
      </c>
      <c r="AO174" s="58" t="e">
        <f t="shared" si="56"/>
        <v>#DIV/0!</v>
      </c>
      <c r="AP174" s="63"/>
      <c r="AQ174" s="58" t="e">
        <f t="shared" si="81"/>
        <v>#DIV/0!</v>
      </c>
      <c r="AR174" s="63"/>
      <c r="AS174" s="58" t="e">
        <f t="shared" si="81"/>
        <v>#DIV/0!</v>
      </c>
      <c r="AT174" s="58" t="e">
        <f t="shared" si="81"/>
        <v>#DIV/0!</v>
      </c>
      <c r="AU174" s="58" t="e">
        <f t="shared" si="81"/>
        <v>#DIV/0!</v>
      </c>
      <c r="AV174" s="58" t="e">
        <f t="shared" si="81"/>
        <v>#DIV/0!</v>
      </c>
      <c r="AW174" s="58" t="e">
        <f t="shared" si="81"/>
        <v>#DIV/0!</v>
      </c>
      <c r="AX174" s="58" t="e">
        <f t="shared" si="81"/>
        <v>#DIV/0!</v>
      </c>
      <c r="AY174" s="58" t="e">
        <f t="shared" si="81"/>
        <v>#DIV/0!</v>
      </c>
      <c r="AZ174" s="63"/>
      <c r="BA174" s="58" t="e">
        <f t="shared" si="81"/>
        <v>#DIV/0!</v>
      </c>
      <c r="BB174" s="63"/>
      <c r="BC174" s="57" t="e">
        <f>(Links!C174*Links!AQ174+'On-Ramps'!AC174*'On-Ramps'!CE174)/('On-Ramps'!AC174+Links!C174)</f>
        <v>#DIV/0!</v>
      </c>
      <c r="BD174" s="63"/>
      <c r="BE174" s="57" t="e">
        <f>(Links!E174*Links!AS174+'On-Ramps'!AD174*'On-Ramps'!CF173)/('On-Ramps'!AD174+Links!E174)</f>
        <v>#DIV/0!</v>
      </c>
      <c r="BF174" s="57" t="e">
        <f>(Links!F174*Links!AT174+'On-Ramps'!AE174*'On-Ramps'!CG174)/('On-Ramps'!AE174+Links!F174)</f>
        <v>#DIV/0!</v>
      </c>
      <c r="BG174" s="57" t="e">
        <f>(Links!I174*Links!AW174+'On-Ramps'!AF174*'On-Ramps'!CH174)/('On-Ramps'!AF174+Links!I174)</f>
        <v>#DIV/0!</v>
      </c>
      <c r="BH174" s="57" t="e">
        <f>(#REF!*#REF!+'On-Ramps'!AG174*'On-Ramps'!CI174)/('On-Ramps'!AG174+#REF!)</f>
        <v>#REF!</v>
      </c>
      <c r="BI174" s="57" t="e">
        <f>(Links!L174*Links!AZ174+'On-Ramps'!AH174*'On-Ramps'!CJ174)/('On-Ramps'!AH174+Links!L174)</f>
        <v>#DIV/0!</v>
      </c>
      <c r="BJ174" s="57" t="e">
        <f>(Links!BA174*Links!M174+'On-Ramps'!AI174*'On-Ramps'!CK174)/('On-Ramps'!AI174+Links!M174)</f>
        <v>#DIV/0!</v>
      </c>
      <c r="BK174" s="57" t="e">
        <f>(Links!S174*Links!BG174+'On-Ramps'!AJ174*'On-Ramps'!CL174)/('On-Ramps'!AJ174+Links!S174)</f>
        <v>#DIV/0!</v>
      </c>
      <c r="BL174" s="63"/>
      <c r="BM174" s="57" t="e">
        <f>(Links!S174*Links!BG174+'On-Ramps'!AL174*'On-Ramps'!CM174)/(Links!S174+'On-Ramps'!AL174)</f>
        <v>#DIV/0!</v>
      </c>
      <c r="BN174" s="63"/>
      <c r="BO174" s="58" t="e">
        <f>(Links!W174^2+'Off-Ramp'!L174^2)/(Links!W174+'Off-Ramp'!L174)</f>
        <v>#DIV/0!</v>
      </c>
      <c r="BP174" s="63"/>
      <c r="BQ174" s="58" t="e">
        <f>(Links!Y174^2+'Off-Ramp'!C174^2)/(Links!Y174+'Off-Ramp'!C174)</f>
        <v>#DIV/0!</v>
      </c>
      <c r="BR174" s="63"/>
      <c r="BS174" s="58" t="e">
        <f>(Links!AA174^2+'Off-Ramp'!N174^2)/(Links!AA174+'Off-Ramp'!N174)</f>
        <v>#DIV/0!</v>
      </c>
      <c r="BT174" s="58" t="e">
        <f>(Links!AD174^2+'Off-Ramp'!O174^2)/(Links!AD174+'Off-Ramp'!O174)</f>
        <v>#DIV/0!</v>
      </c>
      <c r="BU174" s="58" t="e">
        <f>(Links!AE174^2+'Off-Ramp'!V174^2+'Off-Ramp'!W174^2+'Off-Ramp'!X174^2)/(Links!AE174+'Off-Ramp'!V174+'Off-Ramp'!W174+'Off-Ramp'!X174)</f>
        <v>#DIV/0!</v>
      </c>
      <c r="BV174" s="58" t="e">
        <f>(Links!AG174^2+'Off-Ramp'!Y174^2+'Off-Ramp'!Z174^2+'Off-Ramp'!AA174^2)/(Links!AG174+'Off-Ramp'!Y174+'Off-Ramp'!Z174+'Off-Ramp'!AA174)</f>
        <v>#DIV/0!</v>
      </c>
      <c r="BW174" s="58" t="e">
        <f>(Links!AH174^2+'Off-Ramp'!R174^2)/(Links!AH174+'Off-Ramp'!R174)</f>
        <v>#DIV/0!</v>
      </c>
      <c r="BX174" s="58" t="e">
        <f>(Links!AK174^2+'Off-Ramp'!S174^2)/(Links!AK174+'Off-Ramp'!S174)</f>
        <v>#DIV/0!</v>
      </c>
      <c r="BY174" s="58" t="e">
        <f>(Links!AL174^2+'Off-Ramp'!T174^2)/(Links!AL174+'Off-Ramp'!T174)</f>
        <v>#DIV/0!</v>
      </c>
      <c r="BZ174" s="63"/>
      <c r="CA174" s="58" t="e">
        <f>(Links!AN174^2+'Off-Ramp'!U174^2)/(Links!AN174+'Off-Ramp'!U174)</f>
        <v>#DIV/0!</v>
      </c>
    </row>
    <row r="175" spans="1:79" x14ac:dyDescent="0.15">
      <c r="A175" s="56">
        <v>173</v>
      </c>
      <c r="B175" s="57" t="e">
        <f t="shared" si="57"/>
        <v>#DIV/0!</v>
      </c>
      <c r="C175" s="57" t="e">
        <f t="shared" si="58"/>
        <v>#DIV/0!</v>
      </c>
      <c r="D175" s="57" t="e">
        <f t="shared" si="59"/>
        <v>#DIV/0!</v>
      </c>
      <c r="E175" s="57" t="e">
        <f t="shared" si="60"/>
        <v>#DIV/0!</v>
      </c>
      <c r="F175" s="57" t="e">
        <f t="shared" si="61"/>
        <v>#DIV/0!</v>
      </c>
      <c r="G175" s="57" t="e">
        <f t="shared" si="62"/>
        <v>#DIV/0!</v>
      </c>
      <c r="H175" s="57" t="e">
        <f t="shared" si="63"/>
        <v>#DIV/0!</v>
      </c>
      <c r="I175" s="57" t="e">
        <f t="shared" si="64"/>
        <v>#DIV/0!</v>
      </c>
      <c r="J175" s="57" t="e">
        <f t="shared" si="65"/>
        <v>#DIV/0!</v>
      </c>
      <c r="K175" s="57" t="e">
        <f t="shared" si="66"/>
        <v>#DIV/0!</v>
      </c>
      <c r="L175" s="57" t="e">
        <f t="shared" si="67"/>
        <v>#DIV/0!</v>
      </c>
      <c r="M175" s="57" t="e">
        <f t="shared" si="68"/>
        <v>#DIV/0!</v>
      </c>
      <c r="N175" s="57" t="e">
        <f t="shared" si="69"/>
        <v>#DIV/0!</v>
      </c>
      <c r="O175" s="58" t="e">
        <f>Links!B175</f>
        <v>#DIV/0!</v>
      </c>
      <c r="P175" s="58" t="e">
        <f>Links!C175+'On-Ramps'!AC175</f>
        <v>#DIV/0!</v>
      </c>
      <c r="Q175" s="58" t="e">
        <f>Links!D175</f>
        <v>#DIV/0!</v>
      </c>
      <c r="R175" s="58" t="e">
        <f>Links!E175+'On-Ramps'!AD175</f>
        <v>#DIV/0!</v>
      </c>
      <c r="S175" s="58" t="e">
        <f>Links!F175+'On-Ramps'!AE175</f>
        <v>#DIV/0!</v>
      </c>
      <c r="T175" s="58" t="e">
        <f>Links!I175+'On-Ramps'!AF175</f>
        <v>#DIV/0!</v>
      </c>
      <c r="U175" s="58" t="e">
        <f>Links!J175+'On-Ramps'!AG175</f>
        <v>#DIV/0!</v>
      </c>
      <c r="V175" s="58" t="e">
        <f>Links!L175+'On-Ramps'!AH175</f>
        <v>#DIV/0!</v>
      </c>
      <c r="W175" s="58" t="e">
        <f>Links!M175+'On-Ramps'!AI175</f>
        <v>#DIV/0!</v>
      </c>
      <c r="X175" s="58" t="e">
        <f>Links!P175+'On-Ramps'!AJ175</f>
        <v>#DIV/0!</v>
      </c>
      <c r="Y175" s="58" t="e">
        <f>Links!Q175</f>
        <v>#DIV/0!</v>
      </c>
      <c r="Z175" s="58" t="e">
        <f>Links!R175+'On-Ramps'!AK175</f>
        <v>#DIV/0!</v>
      </c>
      <c r="AA175" s="58" t="e">
        <f>Links!S175</f>
        <v>#DIV/0!</v>
      </c>
      <c r="AB175" s="57" t="e">
        <f t="shared" si="70"/>
        <v>#DIV/0!</v>
      </c>
      <c r="AC175" s="63"/>
      <c r="AD175" s="57" t="e">
        <f t="shared" si="71"/>
        <v>#DIV/0!</v>
      </c>
      <c r="AE175" s="63"/>
      <c r="AF175" s="57" t="e">
        <f t="shared" si="72"/>
        <v>#DIV/0!</v>
      </c>
      <c r="AG175" s="57" t="e">
        <f t="shared" si="73"/>
        <v>#DIV/0!</v>
      </c>
      <c r="AH175" s="57" t="e">
        <f t="shared" si="74"/>
        <v>#DIV/0!</v>
      </c>
      <c r="AI175" s="57" t="e">
        <f t="shared" si="75"/>
        <v>#DIV/0!</v>
      </c>
      <c r="AJ175" s="57" t="e">
        <f t="shared" si="76"/>
        <v>#DIV/0!</v>
      </c>
      <c r="AK175" s="57" t="e">
        <f t="shared" si="77"/>
        <v>#DIV/0!</v>
      </c>
      <c r="AL175" s="57" t="e">
        <f t="shared" si="78"/>
        <v>#DIV/0!</v>
      </c>
      <c r="AM175" s="63"/>
      <c r="AN175" s="57" t="e">
        <f t="shared" si="80"/>
        <v>#DIV/0!</v>
      </c>
      <c r="AO175" s="58" t="e">
        <f t="shared" si="56"/>
        <v>#DIV/0!</v>
      </c>
      <c r="AP175" s="63"/>
      <c r="AQ175" s="58" t="e">
        <f t="shared" si="81"/>
        <v>#DIV/0!</v>
      </c>
      <c r="AR175" s="63"/>
      <c r="AS175" s="58" t="e">
        <f t="shared" si="81"/>
        <v>#DIV/0!</v>
      </c>
      <c r="AT175" s="58" t="e">
        <f t="shared" si="81"/>
        <v>#DIV/0!</v>
      </c>
      <c r="AU175" s="58" t="e">
        <f t="shared" si="81"/>
        <v>#DIV/0!</v>
      </c>
      <c r="AV175" s="58" t="e">
        <f t="shared" si="81"/>
        <v>#DIV/0!</v>
      </c>
      <c r="AW175" s="58" t="e">
        <f t="shared" si="81"/>
        <v>#DIV/0!</v>
      </c>
      <c r="AX175" s="58" t="e">
        <f t="shared" si="81"/>
        <v>#DIV/0!</v>
      </c>
      <c r="AY175" s="58" t="e">
        <f t="shared" si="81"/>
        <v>#DIV/0!</v>
      </c>
      <c r="AZ175" s="63"/>
      <c r="BA175" s="58" t="e">
        <f t="shared" si="81"/>
        <v>#DIV/0!</v>
      </c>
      <c r="BB175" s="63"/>
      <c r="BC175" s="57" t="e">
        <f>(Links!C175*Links!AQ175+'On-Ramps'!AC175*'On-Ramps'!CE175)/('On-Ramps'!AC175+Links!C175)</f>
        <v>#DIV/0!</v>
      </c>
      <c r="BD175" s="63"/>
      <c r="BE175" s="57" t="e">
        <f>(Links!E175*Links!AS175+'On-Ramps'!AD175*'On-Ramps'!CF174)/('On-Ramps'!AD175+Links!E175)</f>
        <v>#DIV/0!</v>
      </c>
      <c r="BF175" s="57" t="e">
        <f>(Links!F175*Links!AT175+'On-Ramps'!AE175*'On-Ramps'!CG175)/('On-Ramps'!AE175+Links!F175)</f>
        <v>#DIV/0!</v>
      </c>
      <c r="BG175" s="57" t="e">
        <f>(Links!I175*Links!AW175+'On-Ramps'!AF175*'On-Ramps'!CH175)/('On-Ramps'!AF175+Links!I175)</f>
        <v>#DIV/0!</v>
      </c>
      <c r="BH175" s="57" t="e">
        <f>(#REF!*#REF!+'On-Ramps'!AG175*'On-Ramps'!CI175)/('On-Ramps'!AG175+#REF!)</f>
        <v>#REF!</v>
      </c>
      <c r="BI175" s="57" t="e">
        <f>(Links!L175*Links!AZ175+'On-Ramps'!AH175*'On-Ramps'!CJ175)/('On-Ramps'!AH175+Links!L175)</f>
        <v>#DIV/0!</v>
      </c>
      <c r="BJ175" s="57" t="e">
        <f>(Links!BA175*Links!M175+'On-Ramps'!AI175*'On-Ramps'!CK175)/('On-Ramps'!AI175+Links!M175)</f>
        <v>#DIV/0!</v>
      </c>
      <c r="BK175" s="57" t="e">
        <f>(Links!S175*Links!BG175+'On-Ramps'!AJ175*'On-Ramps'!CL175)/('On-Ramps'!AJ175+Links!S175)</f>
        <v>#DIV/0!</v>
      </c>
      <c r="BL175" s="63"/>
      <c r="BM175" s="57" t="e">
        <f>(Links!S175*Links!BG175+'On-Ramps'!AL175*'On-Ramps'!CM175)/(Links!S175+'On-Ramps'!AL175)</f>
        <v>#DIV/0!</v>
      </c>
      <c r="BN175" s="63"/>
      <c r="BO175" s="58" t="e">
        <f>(Links!W175^2+'Off-Ramp'!L175^2)/(Links!W175+'Off-Ramp'!L175)</f>
        <v>#DIV/0!</v>
      </c>
      <c r="BP175" s="63"/>
      <c r="BQ175" s="58" t="e">
        <f>(Links!Y175^2+'Off-Ramp'!C175^2)/(Links!Y175+'Off-Ramp'!C175)</f>
        <v>#DIV/0!</v>
      </c>
      <c r="BR175" s="63"/>
      <c r="BS175" s="58" t="e">
        <f>(Links!AA175^2+'Off-Ramp'!N175^2)/(Links!AA175+'Off-Ramp'!N175)</f>
        <v>#DIV/0!</v>
      </c>
      <c r="BT175" s="58" t="e">
        <f>(Links!AD175^2+'Off-Ramp'!O175^2)/(Links!AD175+'Off-Ramp'!O175)</f>
        <v>#DIV/0!</v>
      </c>
      <c r="BU175" s="58" t="e">
        <f>(Links!AE175^2+'Off-Ramp'!V175^2+'Off-Ramp'!W175^2+'Off-Ramp'!X175^2)/(Links!AE175+'Off-Ramp'!V175+'Off-Ramp'!W175+'Off-Ramp'!X175)</f>
        <v>#DIV/0!</v>
      </c>
      <c r="BV175" s="58" t="e">
        <f>(Links!AG175^2+'Off-Ramp'!Y175^2+'Off-Ramp'!Z175^2+'Off-Ramp'!AA175^2)/(Links!AG175+'Off-Ramp'!Y175+'Off-Ramp'!Z175+'Off-Ramp'!AA175)</f>
        <v>#DIV/0!</v>
      </c>
      <c r="BW175" s="58" t="e">
        <f>(Links!AH175^2+'Off-Ramp'!R175^2)/(Links!AH175+'Off-Ramp'!R175)</f>
        <v>#DIV/0!</v>
      </c>
      <c r="BX175" s="58" t="e">
        <f>(Links!AK175^2+'Off-Ramp'!S175^2)/(Links!AK175+'Off-Ramp'!S175)</f>
        <v>#DIV/0!</v>
      </c>
      <c r="BY175" s="58" t="e">
        <f>(Links!AL175^2+'Off-Ramp'!T175^2)/(Links!AL175+'Off-Ramp'!T175)</f>
        <v>#DIV/0!</v>
      </c>
      <c r="BZ175" s="63"/>
      <c r="CA175" s="58" t="e">
        <f>(Links!AN175^2+'Off-Ramp'!U175^2)/(Links!AN175+'Off-Ramp'!U175)</f>
        <v>#DIV/0!</v>
      </c>
    </row>
    <row r="176" spans="1:79" x14ac:dyDescent="0.15">
      <c r="A176" s="56">
        <v>174</v>
      </c>
      <c r="B176" s="57" t="e">
        <f t="shared" si="57"/>
        <v>#DIV/0!</v>
      </c>
      <c r="C176" s="57" t="e">
        <f t="shared" si="58"/>
        <v>#DIV/0!</v>
      </c>
      <c r="D176" s="57" t="e">
        <f t="shared" si="59"/>
        <v>#DIV/0!</v>
      </c>
      <c r="E176" s="57" t="e">
        <f t="shared" si="60"/>
        <v>#DIV/0!</v>
      </c>
      <c r="F176" s="57" t="e">
        <f t="shared" si="61"/>
        <v>#DIV/0!</v>
      </c>
      <c r="G176" s="57" t="e">
        <f t="shared" si="62"/>
        <v>#DIV/0!</v>
      </c>
      <c r="H176" s="57" t="e">
        <f t="shared" si="63"/>
        <v>#DIV/0!</v>
      </c>
      <c r="I176" s="57" t="e">
        <f t="shared" si="64"/>
        <v>#DIV/0!</v>
      </c>
      <c r="J176" s="57" t="e">
        <f t="shared" si="65"/>
        <v>#DIV/0!</v>
      </c>
      <c r="K176" s="57" t="e">
        <f t="shared" si="66"/>
        <v>#DIV/0!</v>
      </c>
      <c r="L176" s="57" t="e">
        <f t="shared" si="67"/>
        <v>#DIV/0!</v>
      </c>
      <c r="M176" s="57" t="e">
        <f t="shared" si="68"/>
        <v>#DIV/0!</v>
      </c>
      <c r="N176" s="57" t="e">
        <f t="shared" si="69"/>
        <v>#DIV/0!</v>
      </c>
      <c r="O176" s="58" t="e">
        <f>Links!B176</f>
        <v>#DIV/0!</v>
      </c>
      <c r="P176" s="58" t="e">
        <f>Links!C176+'On-Ramps'!AC176</f>
        <v>#DIV/0!</v>
      </c>
      <c r="Q176" s="58" t="e">
        <f>Links!D176</f>
        <v>#DIV/0!</v>
      </c>
      <c r="R176" s="58" t="e">
        <f>Links!E176+'On-Ramps'!AD176</f>
        <v>#DIV/0!</v>
      </c>
      <c r="S176" s="58" t="e">
        <f>Links!F176+'On-Ramps'!AE176</f>
        <v>#DIV/0!</v>
      </c>
      <c r="T176" s="58" t="e">
        <f>Links!I176+'On-Ramps'!AF176</f>
        <v>#DIV/0!</v>
      </c>
      <c r="U176" s="58" t="e">
        <f>Links!J176+'On-Ramps'!AG176</f>
        <v>#DIV/0!</v>
      </c>
      <c r="V176" s="58" t="e">
        <f>Links!L176+'On-Ramps'!AH176</f>
        <v>#DIV/0!</v>
      </c>
      <c r="W176" s="58" t="e">
        <f>Links!M176+'On-Ramps'!AI176</f>
        <v>#DIV/0!</v>
      </c>
      <c r="X176" s="58" t="e">
        <f>Links!P176+'On-Ramps'!AJ176</f>
        <v>#DIV/0!</v>
      </c>
      <c r="Y176" s="58" t="e">
        <f>Links!Q176</f>
        <v>#DIV/0!</v>
      </c>
      <c r="Z176" s="58" t="e">
        <f>Links!R176+'On-Ramps'!AK176</f>
        <v>#DIV/0!</v>
      </c>
      <c r="AA176" s="58" t="e">
        <f>Links!S176</f>
        <v>#DIV/0!</v>
      </c>
      <c r="AB176" s="57" t="e">
        <f t="shared" si="70"/>
        <v>#DIV/0!</v>
      </c>
      <c r="AC176" s="63"/>
      <c r="AD176" s="57" t="e">
        <f t="shared" si="71"/>
        <v>#DIV/0!</v>
      </c>
      <c r="AE176" s="63"/>
      <c r="AF176" s="57" t="e">
        <f t="shared" si="72"/>
        <v>#DIV/0!</v>
      </c>
      <c r="AG176" s="57" t="e">
        <f t="shared" si="73"/>
        <v>#DIV/0!</v>
      </c>
      <c r="AH176" s="57" t="e">
        <f t="shared" si="74"/>
        <v>#DIV/0!</v>
      </c>
      <c r="AI176" s="57" t="e">
        <f t="shared" si="75"/>
        <v>#DIV/0!</v>
      </c>
      <c r="AJ176" s="57" t="e">
        <f t="shared" si="76"/>
        <v>#DIV/0!</v>
      </c>
      <c r="AK176" s="57" t="e">
        <f t="shared" si="77"/>
        <v>#DIV/0!</v>
      </c>
      <c r="AL176" s="57" t="e">
        <f t="shared" si="78"/>
        <v>#DIV/0!</v>
      </c>
      <c r="AM176" s="63"/>
      <c r="AN176" s="57" t="e">
        <f t="shared" si="80"/>
        <v>#DIV/0!</v>
      </c>
      <c r="AO176" s="58" t="e">
        <f t="shared" si="56"/>
        <v>#DIV/0!</v>
      </c>
      <c r="AP176" s="63"/>
      <c r="AQ176" s="58" t="e">
        <f t="shared" si="81"/>
        <v>#DIV/0!</v>
      </c>
      <c r="AR176" s="63"/>
      <c r="AS176" s="58" t="e">
        <f t="shared" si="81"/>
        <v>#DIV/0!</v>
      </c>
      <c r="AT176" s="58" t="e">
        <f t="shared" si="81"/>
        <v>#DIV/0!</v>
      </c>
      <c r="AU176" s="58" t="e">
        <f t="shared" si="81"/>
        <v>#DIV/0!</v>
      </c>
      <c r="AV176" s="58" t="e">
        <f t="shared" si="81"/>
        <v>#DIV/0!</v>
      </c>
      <c r="AW176" s="58" t="e">
        <f t="shared" si="81"/>
        <v>#DIV/0!</v>
      </c>
      <c r="AX176" s="58" t="e">
        <f t="shared" si="81"/>
        <v>#DIV/0!</v>
      </c>
      <c r="AY176" s="58" t="e">
        <f t="shared" si="81"/>
        <v>#DIV/0!</v>
      </c>
      <c r="AZ176" s="63"/>
      <c r="BA176" s="58" t="e">
        <f t="shared" si="81"/>
        <v>#DIV/0!</v>
      </c>
      <c r="BB176" s="63"/>
      <c r="BC176" s="57" t="e">
        <f>(Links!C176*Links!AQ176+'On-Ramps'!AC176*'On-Ramps'!CE176)/('On-Ramps'!AC176+Links!C176)</f>
        <v>#DIV/0!</v>
      </c>
      <c r="BD176" s="63"/>
      <c r="BE176" s="57" t="e">
        <f>(Links!E176*Links!AS176+'On-Ramps'!AD176*'On-Ramps'!CF175)/('On-Ramps'!AD176+Links!E176)</f>
        <v>#DIV/0!</v>
      </c>
      <c r="BF176" s="57" t="e">
        <f>(Links!F176*Links!AT176+'On-Ramps'!AE176*'On-Ramps'!CG176)/('On-Ramps'!AE176+Links!F176)</f>
        <v>#DIV/0!</v>
      </c>
      <c r="BG176" s="57" t="e">
        <f>(Links!I176*Links!AW176+'On-Ramps'!AF176*'On-Ramps'!CH176)/('On-Ramps'!AF176+Links!I176)</f>
        <v>#DIV/0!</v>
      </c>
      <c r="BH176" s="57" t="e">
        <f>(#REF!*#REF!+'On-Ramps'!AG176*'On-Ramps'!CI176)/('On-Ramps'!AG176+#REF!)</f>
        <v>#REF!</v>
      </c>
      <c r="BI176" s="57" t="e">
        <f>(Links!L176*Links!AZ176+'On-Ramps'!AH176*'On-Ramps'!CJ176)/('On-Ramps'!AH176+Links!L176)</f>
        <v>#DIV/0!</v>
      </c>
      <c r="BJ176" s="57" t="e">
        <f>(Links!BA176*Links!M176+'On-Ramps'!AI176*'On-Ramps'!CK176)/('On-Ramps'!AI176+Links!M176)</f>
        <v>#DIV/0!</v>
      </c>
      <c r="BK176" s="57" t="e">
        <f>(Links!S176*Links!BG176+'On-Ramps'!AJ176*'On-Ramps'!CL176)/('On-Ramps'!AJ176+Links!S176)</f>
        <v>#DIV/0!</v>
      </c>
      <c r="BL176" s="63"/>
      <c r="BM176" s="57" t="e">
        <f>(Links!S176*Links!BG176+'On-Ramps'!AL176*'On-Ramps'!CM176)/(Links!S176+'On-Ramps'!AL176)</f>
        <v>#DIV/0!</v>
      </c>
      <c r="BN176" s="63"/>
      <c r="BO176" s="58" t="e">
        <f>(Links!W176^2+'Off-Ramp'!L176^2)/(Links!W176+'Off-Ramp'!L176)</f>
        <v>#DIV/0!</v>
      </c>
      <c r="BP176" s="63"/>
      <c r="BQ176" s="58" t="e">
        <f>(Links!Y176^2+'Off-Ramp'!C176^2)/(Links!Y176+'Off-Ramp'!C176)</f>
        <v>#DIV/0!</v>
      </c>
      <c r="BR176" s="63"/>
      <c r="BS176" s="58" t="e">
        <f>(Links!AA176^2+'Off-Ramp'!N176^2)/(Links!AA176+'Off-Ramp'!N176)</f>
        <v>#DIV/0!</v>
      </c>
      <c r="BT176" s="58" t="e">
        <f>(Links!AD176^2+'Off-Ramp'!O176^2)/(Links!AD176+'Off-Ramp'!O176)</f>
        <v>#DIV/0!</v>
      </c>
      <c r="BU176" s="58" t="e">
        <f>(Links!AE176^2+'Off-Ramp'!V176^2+'Off-Ramp'!W176^2+'Off-Ramp'!X176^2)/(Links!AE176+'Off-Ramp'!V176+'Off-Ramp'!W176+'Off-Ramp'!X176)</f>
        <v>#DIV/0!</v>
      </c>
      <c r="BV176" s="58" t="e">
        <f>(Links!AG176^2+'Off-Ramp'!Y176^2+'Off-Ramp'!Z176^2+'Off-Ramp'!AA176^2)/(Links!AG176+'Off-Ramp'!Y176+'Off-Ramp'!Z176+'Off-Ramp'!AA176)</f>
        <v>#DIV/0!</v>
      </c>
      <c r="BW176" s="58" t="e">
        <f>(Links!AH176^2+'Off-Ramp'!R176^2)/(Links!AH176+'Off-Ramp'!R176)</f>
        <v>#DIV/0!</v>
      </c>
      <c r="BX176" s="58" t="e">
        <f>(Links!AK176^2+'Off-Ramp'!S176^2)/(Links!AK176+'Off-Ramp'!S176)</f>
        <v>#DIV/0!</v>
      </c>
      <c r="BY176" s="58" t="e">
        <f>(Links!AL176^2+'Off-Ramp'!T176^2)/(Links!AL176+'Off-Ramp'!T176)</f>
        <v>#DIV/0!</v>
      </c>
      <c r="BZ176" s="63"/>
      <c r="CA176" s="58" t="e">
        <f>(Links!AN176^2+'Off-Ramp'!U176^2)/(Links!AN176+'Off-Ramp'!U176)</f>
        <v>#DIV/0!</v>
      </c>
    </row>
    <row r="177" spans="1:79" x14ac:dyDescent="0.15">
      <c r="A177" s="56">
        <v>175</v>
      </c>
      <c r="B177" s="57" t="e">
        <f t="shared" si="57"/>
        <v>#DIV/0!</v>
      </c>
      <c r="C177" s="57" t="e">
        <f t="shared" si="58"/>
        <v>#DIV/0!</v>
      </c>
      <c r="D177" s="57" t="e">
        <f t="shared" si="59"/>
        <v>#DIV/0!</v>
      </c>
      <c r="E177" s="57" t="e">
        <f t="shared" si="60"/>
        <v>#DIV/0!</v>
      </c>
      <c r="F177" s="57" t="e">
        <f t="shared" si="61"/>
        <v>#DIV/0!</v>
      </c>
      <c r="G177" s="57" t="e">
        <f t="shared" si="62"/>
        <v>#DIV/0!</v>
      </c>
      <c r="H177" s="57" t="e">
        <f t="shared" si="63"/>
        <v>#DIV/0!</v>
      </c>
      <c r="I177" s="57" t="e">
        <f t="shared" si="64"/>
        <v>#DIV/0!</v>
      </c>
      <c r="J177" s="57" t="e">
        <f t="shared" si="65"/>
        <v>#DIV/0!</v>
      </c>
      <c r="K177" s="57" t="e">
        <f t="shared" si="66"/>
        <v>#DIV/0!</v>
      </c>
      <c r="L177" s="57" t="e">
        <f t="shared" si="67"/>
        <v>#DIV/0!</v>
      </c>
      <c r="M177" s="57" t="e">
        <f t="shared" si="68"/>
        <v>#DIV/0!</v>
      </c>
      <c r="N177" s="57" t="e">
        <f t="shared" si="69"/>
        <v>#DIV/0!</v>
      </c>
      <c r="O177" s="58" t="e">
        <f>Links!B177</f>
        <v>#DIV/0!</v>
      </c>
      <c r="P177" s="58" t="e">
        <f>Links!C177+'On-Ramps'!AC177</f>
        <v>#DIV/0!</v>
      </c>
      <c r="Q177" s="58" t="e">
        <f>Links!D177</f>
        <v>#DIV/0!</v>
      </c>
      <c r="R177" s="58" t="e">
        <f>Links!E177+'On-Ramps'!AD177</f>
        <v>#DIV/0!</v>
      </c>
      <c r="S177" s="58" t="e">
        <f>Links!F177+'On-Ramps'!AE177</f>
        <v>#DIV/0!</v>
      </c>
      <c r="T177" s="58" t="e">
        <f>Links!I177+'On-Ramps'!AF177</f>
        <v>#DIV/0!</v>
      </c>
      <c r="U177" s="58" t="e">
        <f>Links!J177+'On-Ramps'!AG177</f>
        <v>#DIV/0!</v>
      </c>
      <c r="V177" s="58" t="e">
        <f>Links!L177+'On-Ramps'!AH177</f>
        <v>#DIV/0!</v>
      </c>
      <c r="W177" s="58" t="e">
        <f>Links!M177+'On-Ramps'!AI177</f>
        <v>#DIV/0!</v>
      </c>
      <c r="X177" s="58" t="e">
        <f>Links!P177+'On-Ramps'!AJ177</f>
        <v>#DIV/0!</v>
      </c>
      <c r="Y177" s="58" t="e">
        <f>Links!Q177</f>
        <v>#DIV/0!</v>
      </c>
      <c r="Z177" s="58" t="e">
        <f>Links!R177+'On-Ramps'!AK177</f>
        <v>#DIV/0!</v>
      </c>
      <c r="AA177" s="58" t="e">
        <f>Links!S177</f>
        <v>#DIV/0!</v>
      </c>
      <c r="AB177" s="57" t="e">
        <f t="shared" si="70"/>
        <v>#DIV/0!</v>
      </c>
      <c r="AC177" s="63"/>
      <c r="AD177" s="57" t="e">
        <f t="shared" si="71"/>
        <v>#DIV/0!</v>
      </c>
      <c r="AE177" s="63"/>
      <c r="AF177" s="57" t="e">
        <f t="shared" si="72"/>
        <v>#DIV/0!</v>
      </c>
      <c r="AG177" s="57" t="e">
        <f t="shared" si="73"/>
        <v>#DIV/0!</v>
      </c>
      <c r="AH177" s="57" t="e">
        <f t="shared" si="74"/>
        <v>#DIV/0!</v>
      </c>
      <c r="AI177" s="57" t="e">
        <f t="shared" si="75"/>
        <v>#DIV/0!</v>
      </c>
      <c r="AJ177" s="57" t="e">
        <f t="shared" si="76"/>
        <v>#DIV/0!</v>
      </c>
      <c r="AK177" s="57" t="e">
        <f t="shared" si="77"/>
        <v>#DIV/0!</v>
      </c>
      <c r="AL177" s="57" t="e">
        <f t="shared" si="78"/>
        <v>#DIV/0!</v>
      </c>
      <c r="AM177" s="63"/>
      <c r="AN177" s="57" t="e">
        <f t="shared" si="80"/>
        <v>#DIV/0!</v>
      </c>
      <c r="AO177" s="58" t="e">
        <f t="shared" si="56"/>
        <v>#DIV/0!</v>
      </c>
      <c r="AP177" s="63"/>
      <c r="AQ177" s="58" t="e">
        <f t="shared" si="81"/>
        <v>#DIV/0!</v>
      </c>
      <c r="AR177" s="63"/>
      <c r="AS177" s="58" t="e">
        <f t="shared" si="81"/>
        <v>#DIV/0!</v>
      </c>
      <c r="AT177" s="58" t="e">
        <f t="shared" si="81"/>
        <v>#DIV/0!</v>
      </c>
      <c r="AU177" s="58" t="e">
        <f t="shared" si="81"/>
        <v>#DIV/0!</v>
      </c>
      <c r="AV177" s="58" t="e">
        <f t="shared" si="81"/>
        <v>#DIV/0!</v>
      </c>
      <c r="AW177" s="58" t="e">
        <f t="shared" si="81"/>
        <v>#DIV/0!</v>
      </c>
      <c r="AX177" s="58" t="e">
        <f t="shared" si="81"/>
        <v>#DIV/0!</v>
      </c>
      <c r="AY177" s="58" t="e">
        <f t="shared" si="81"/>
        <v>#DIV/0!</v>
      </c>
      <c r="AZ177" s="63"/>
      <c r="BA177" s="58" t="e">
        <f t="shared" si="81"/>
        <v>#DIV/0!</v>
      </c>
      <c r="BB177" s="63"/>
      <c r="BC177" s="57" t="e">
        <f>(Links!C177*Links!AQ177+'On-Ramps'!AC177*'On-Ramps'!CE177)/('On-Ramps'!AC177+Links!C177)</f>
        <v>#DIV/0!</v>
      </c>
      <c r="BD177" s="63"/>
      <c r="BE177" s="57" t="e">
        <f>(Links!E177*Links!AS177+'On-Ramps'!AD177*'On-Ramps'!CF176)/('On-Ramps'!AD177+Links!E177)</f>
        <v>#DIV/0!</v>
      </c>
      <c r="BF177" s="57" t="e">
        <f>(Links!F177*Links!AT177+'On-Ramps'!AE177*'On-Ramps'!CG177)/('On-Ramps'!AE177+Links!F177)</f>
        <v>#DIV/0!</v>
      </c>
      <c r="BG177" s="57" t="e">
        <f>(Links!I177*Links!AW177+'On-Ramps'!AF177*'On-Ramps'!CH177)/('On-Ramps'!AF177+Links!I177)</f>
        <v>#DIV/0!</v>
      </c>
      <c r="BH177" s="57" t="e">
        <f>(#REF!*#REF!+'On-Ramps'!AG177*'On-Ramps'!CI177)/('On-Ramps'!AG177+#REF!)</f>
        <v>#REF!</v>
      </c>
      <c r="BI177" s="57" t="e">
        <f>(Links!L177*Links!AZ177+'On-Ramps'!AH177*'On-Ramps'!CJ177)/('On-Ramps'!AH177+Links!L177)</f>
        <v>#DIV/0!</v>
      </c>
      <c r="BJ177" s="57" t="e">
        <f>(Links!BA177*Links!M177+'On-Ramps'!AI177*'On-Ramps'!CK177)/('On-Ramps'!AI177+Links!M177)</f>
        <v>#DIV/0!</v>
      </c>
      <c r="BK177" s="57" t="e">
        <f>(Links!S177*Links!BG177+'On-Ramps'!AJ177*'On-Ramps'!CL177)/('On-Ramps'!AJ177+Links!S177)</f>
        <v>#DIV/0!</v>
      </c>
      <c r="BL177" s="63"/>
      <c r="BM177" s="57" t="e">
        <f>(Links!S177*Links!BG177+'On-Ramps'!AL177*'On-Ramps'!CM177)/(Links!S177+'On-Ramps'!AL177)</f>
        <v>#DIV/0!</v>
      </c>
      <c r="BN177" s="63"/>
      <c r="BO177" s="58" t="e">
        <f>(Links!W177^2+'Off-Ramp'!L177^2)/(Links!W177+'Off-Ramp'!L177)</f>
        <v>#DIV/0!</v>
      </c>
      <c r="BP177" s="63"/>
      <c r="BQ177" s="58" t="e">
        <f>(Links!Y177^2+'Off-Ramp'!C177^2)/(Links!Y177+'Off-Ramp'!C177)</f>
        <v>#DIV/0!</v>
      </c>
      <c r="BR177" s="63"/>
      <c r="BS177" s="58" t="e">
        <f>(Links!AA177^2+'Off-Ramp'!N177^2)/(Links!AA177+'Off-Ramp'!N177)</f>
        <v>#DIV/0!</v>
      </c>
      <c r="BT177" s="58" t="e">
        <f>(Links!AD177^2+'Off-Ramp'!O177^2)/(Links!AD177+'Off-Ramp'!O177)</f>
        <v>#DIV/0!</v>
      </c>
      <c r="BU177" s="58" t="e">
        <f>(Links!AE177^2+'Off-Ramp'!V177^2+'Off-Ramp'!W177^2+'Off-Ramp'!X177^2)/(Links!AE177+'Off-Ramp'!V177+'Off-Ramp'!W177+'Off-Ramp'!X177)</f>
        <v>#DIV/0!</v>
      </c>
      <c r="BV177" s="58" t="e">
        <f>(Links!AG177^2+'Off-Ramp'!Y177^2+'Off-Ramp'!Z177^2+'Off-Ramp'!AA177^2)/(Links!AG177+'Off-Ramp'!Y177+'Off-Ramp'!Z177+'Off-Ramp'!AA177)</f>
        <v>#DIV/0!</v>
      </c>
      <c r="BW177" s="58" t="e">
        <f>(Links!AH177^2+'Off-Ramp'!R177^2)/(Links!AH177+'Off-Ramp'!R177)</f>
        <v>#DIV/0!</v>
      </c>
      <c r="BX177" s="58" t="e">
        <f>(Links!AK177^2+'Off-Ramp'!S177^2)/(Links!AK177+'Off-Ramp'!S177)</f>
        <v>#DIV/0!</v>
      </c>
      <c r="BY177" s="58" t="e">
        <f>(Links!AL177^2+'Off-Ramp'!T177^2)/(Links!AL177+'Off-Ramp'!T177)</f>
        <v>#DIV/0!</v>
      </c>
      <c r="BZ177" s="63"/>
      <c r="CA177" s="58" t="e">
        <f>(Links!AN177^2+'Off-Ramp'!U177^2)/(Links!AN177+'Off-Ramp'!U177)</f>
        <v>#DIV/0!</v>
      </c>
    </row>
    <row r="178" spans="1:79" x14ac:dyDescent="0.15">
      <c r="A178" s="56">
        <v>176</v>
      </c>
      <c r="B178" s="57" t="e">
        <f t="shared" si="57"/>
        <v>#DIV/0!</v>
      </c>
      <c r="C178" s="57" t="e">
        <f t="shared" si="58"/>
        <v>#DIV/0!</v>
      </c>
      <c r="D178" s="57" t="e">
        <f t="shared" si="59"/>
        <v>#DIV/0!</v>
      </c>
      <c r="E178" s="57" t="e">
        <f t="shared" si="60"/>
        <v>#DIV/0!</v>
      </c>
      <c r="F178" s="57" t="e">
        <f t="shared" si="61"/>
        <v>#DIV/0!</v>
      </c>
      <c r="G178" s="57" t="e">
        <f t="shared" si="62"/>
        <v>#DIV/0!</v>
      </c>
      <c r="H178" s="57" t="e">
        <f t="shared" si="63"/>
        <v>#DIV/0!</v>
      </c>
      <c r="I178" s="57" t="e">
        <f t="shared" si="64"/>
        <v>#DIV/0!</v>
      </c>
      <c r="J178" s="57" t="e">
        <f t="shared" si="65"/>
        <v>#DIV/0!</v>
      </c>
      <c r="K178" s="57" t="e">
        <f t="shared" si="66"/>
        <v>#DIV/0!</v>
      </c>
      <c r="L178" s="57" t="e">
        <f t="shared" si="67"/>
        <v>#DIV/0!</v>
      </c>
      <c r="M178" s="57" t="e">
        <f t="shared" si="68"/>
        <v>#DIV/0!</v>
      </c>
      <c r="N178" s="57" t="e">
        <f t="shared" si="69"/>
        <v>#DIV/0!</v>
      </c>
      <c r="O178" s="58" t="e">
        <f>Links!B178</f>
        <v>#DIV/0!</v>
      </c>
      <c r="P178" s="58" t="e">
        <f>Links!C178+'On-Ramps'!AC178</f>
        <v>#DIV/0!</v>
      </c>
      <c r="Q178" s="58" t="e">
        <f>Links!D178</f>
        <v>#DIV/0!</v>
      </c>
      <c r="R178" s="58" t="e">
        <f>Links!E178+'On-Ramps'!AD178</f>
        <v>#DIV/0!</v>
      </c>
      <c r="S178" s="58" t="e">
        <f>Links!F178+'On-Ramps'!AE178</f>
        <v>#DIV/0!</v>
      </c>
      <c r="T178" s="58" t="e">
        <f>Links!I178+'On-Ramps'!AF178</f>
        <v>#DIV/0!</v>
      </c>
      <c r="U178" s="58" t="e">
        <f>Links!J178+'On-Ramps'!AG178</f>
        <v>#DIV/0!</v>
      </c>
      <c r="V178" s="58" t="e">
        <f>Links!L178+'On-Ramps'!AH178</f>
        <v>#DIV/0!</v>
      </c>
      <c r="W178" s="58" t="e">
        <f>Links!M178+'On-Ramps'!AI178</f>
        <v>#DIV/0!</v>
      </c>
      <c r="X178" s="58" t="e">
        <f>Links!P178+'On-Ramps'!AJ178</f>
        <v>#DIV/0!</v>
      </c>
      <c r="Y178" s="58" t="e">
        <f>Links!Q178</f>
        <v>#DIV/0!</v>
      </c>
      <c r="Z178" s="58" t="e">
        <f>Links!R178+'On-Ramps'!AK178</f>
        <v>#DIV/0!</v>
      </c>
      <c r="AA178" s="58" t="e">
        <f>Links!S178</f>
        <v>#DIV/0!</v>
      </c>
      <c r="AB178" s="57" t="e">
        <f t="shared" si="70"/>
        <v>#DIV/0!</v>
      </c>
      <c r="AC178" s="63"/>
      <c r="AD178" s="57" t="e">
        <f t="shared" si="71"/>
        <v>#DIV/0!</v>
      </c>
      <c r="AE178" s="63"/>
      <c r="AF178" s="57" t="e">
        <f t="shared" si="72"/>
        <v>#DIV/0!</v>
      </c>
      <c r="AG178" s="57" t="e">
        <f t="shared" si="73"/>
        <v>#DIV/0!</v>
      </c>
      <c r="AH178" s="57" t="e">
        <f t="shared" si="74"/>
        <v>#DIV/0!</v>
      </c>
      <c r="AI178" s="57" t="e">
        <f t="shared" si="75"/>
        <v>#DIV/0!</v>
      </c>
      <c r="AJ178" s="57" t="e">
        <f t="shared" si="76"/>
        <v>#DIV/0!</v>
      </c>
      <c r="AK178" s="57" t="e">
        <f t="shared" si="77"/>
        <v>#DIV/0!</v>
      </c>
      <c r="AL178" s="57" t="e">
        <f t="shared" si="78"/>
        <v>#DIV/0!</v>
      </c>
      <c r="AM178" s="63"/>
      <c r="AN178" s="57" t="e">
        <f t="shared" si="80"/>
        <v>#DIV/0!</v>
      </c>
      <c r="AO178" s="58" t="e">
        <f t="shared" si="56"/>
        <v>#DIV/0!</v>
      </c>
      <c r="AP178" s="63"/>
      <c r="AQ178" s="58" t="e">
        <f t="shared" si="81"/>
        <v>#DIV/0!</v>
      </c>
      <c r="AR178" s="63"/>
      <c r="AS178" s="58" t="e">
        <f t="shared" si="81"/>
        <v>#DIV/0!</v>
      </c>
      <c r="AT178" s="58" t="e">
        <f t="shared" si="81"/>
        <v>#DIV/0!</v>
      </c>
      <c r="AU178" s="58" t="e">
        <f t="shared" si="81"/>
        <v>#DIV/0!</v>
      </c>
      <c r="AV178" s="58" t="e">
        <f t="shared" si="81"/>
        <v>#DIV/0!</v>
      </c>
      <c r="AW178" s="58" t="e">
        <f t="shared" si="81"/>
        <v>#DIV/0!</v>
      </c>
      <c r="AX178" s="58" t="e">
        <f t="shared" si="81"/>
        <v>#DIV/0!</v>
      </c>
      <c r="AY178" s="58" t="e">
        <f t="shared" si="81"/>
        <v>#DIV/0!</v>
      </c>
      <c r="AZ178" s="63"/>
      <c r="BA178" s="58" t="e">
        <f t="shared" si="81"/>
        <v>#DIV/0!</v>
      </c>
      <c r="BB178" s="63"/>
      <c r="BC178" s="57" t="e">
        <f>(Links!C178*Links!AQ178+'On-Ramps'!AC178*'On-Ramps'!CE178)/('On-Ramps'!AC178+Links!C178)</f>
        <v>#DIV/0!</v>
      </c>
      <c r="BD178" s="63"/>
      <c r="BE178" s="57" t="e">
        <f>(Links!E178*Links!AS178+'On-Ramps'!AD178*'On-Ramps'!CF177)/('On-Ramps'!AD178+Links!E178)</f>
        <v>#DIV/0!</v>
      </c>
      <c r="BF178" s="57" t="e">
        <f>(Links!F178*Links!AT178+'On-Ramps'!AE178*'On-Ramps'!CG178)/('On-Ramps'!AE178+Links!F178)</f>
        <v>#DIV/0!</v>
      </c>
      <c r="BG178" s="57" t="e">
        <f>(Links!I178*Links!AW178+'On-Ramps'!AF178*'On-Ramps'!CH178)/('On-Ramps'!AF178+Links!I178)</f>
        <v>#DIV/0!</v>
      </c>
      <c r="BH178" s="57" t="e">
        <f>(#REF!*#REF!+'On-Ramps'!AG178*'On-Ramps'!CI178)/('On-Ramps'!AG178+#REF!)</f>
        <v>#REF!</v>
      </c>
      <c r="BI178" s="57" t="e">
        <f>(Links!L178*Links!AZ178+'On-Ramps'!AH178*'On-Ramps'!CJ178)/('On-Ramps'!AH178+Links!L178)</f>
        <v>#DIV/0!</v>
      </c>
      <c r="BJ178" s="57" t="e">
        <f>(Links!BA178*Links!M178+'On-Ramps'!AI178*'On-Ramps'!CK178)/('On-Ramps'!AI178+Links!M178)</f>
        <v>#DIV/0!</v>
      </c>
      <c r="BK178" s="57" t="e">
        <f>(Links!S178*Links!BG178+'On-Ramps'!AJ178*'On-Ramps'!CL178)/('On-Ramps'!AJ178+Links!S178)</f>
        <v>#DIV/0!</v>
      </c>
      <c r="BL178" s="63"/>
      <c r="BM178" s="57" t="e">
        <f>(Links!S178*Links!BG178+'On-Ramps'!AL178*'On-Ramps'!CM178)/(Links!S178+'On-Ramps'!AL178)</f>
        <v>#DIV/0!</v>
      </c>
      <c r="BN178" s="63"/>
      <c r="BO178" s="58" t="e">
        <f>(Links!W178^2+'Off-Ramp'!L178^2)/(Links!W178+'Off-Ramp'!L178)</f>
        <v>#DIV/0!</v>
      </c>
      <c r="BP178" s="63"/>
      <c r="BQ178" s="58" t="e">
        <f>(Links!Y178^2+'Off-Ramp'!C178^2)/(Links!Y178+'Off-Ramp'!C178)</f>
        <v>#DIV/0!</v>
      </c>
      <c r="BR178" s="63"/>
      <c r="BS178" s="58" t="e">
        <f>(Links!AA178^2+'Off-Ramp'!N178^2)/(Links!AA178+'Off-Ramp'!N178)</f>
        <v>#DIV/0!</v>
      </c>
      <c r="BT178" s="58" t="e">
        <f>(Links!AD178^2+'Off-Ramp'!O178^2)/(Links!AD178+'Off-Ramp'!O178)</f>
        <v>#DIV/0!</v>
      </c>
      <c r="BU178" s="58" t="e">
        <f>(Links!AE178^2+'Off-Ramp'!V178^2+'Off-Ramp'!W178^2+'Off-Ramp'!X178^2)/(Links!AE178+'Off-Ramp'!V178+'Off-Ramp'!W178+'Off-Ramp'!X178)</f>
        <v>#DIV/0!</v>
      </c>
      <c r="BV178" s="58" t="e">
        <f>(Links!AG178^2+'Off-Ramp'!Y178^2+'Off-Ramp'!Z178^2+'Off-Ramp'!AA178^2)/(Links!AG178+'Off-Ramp'!Y178+'Off-Ramp'!Z178+'Off-Ramp'!AA178)</f>
        <v>#DIV/0!</v>
      </c>
      <c r="BW178" s="58" t="e">
        <f>(Links!AH178^2+'Off-Ramp'!R178^2)/(Links!AH178+'Off-Ramp'!R178)</f>
        <v>#DIV/0!</v>
      </c>
      <c r="BX178" s="58" t="e">
        <f>(Links!AK178^2+'Off-Ramp'!S178^2)/(Links!AK178+'Off-Ramp'!S178)</f>
        <v>#DIV/0!</v>
      </c>
      <c r="BY178" s="58" t="e">
        <f>(Links!AL178^2+'Off-Ramp'!T178^2)/(Links!AL178+'Off-Ramp'!T178)</f>
        <v>#DIV/0!</v>
      </c>
      <c r="BZ178" s="63"/>
      <c r="CA178" s="58" t="e">
        <f>(Links!AN178^2+'Off-Ramp'!U178^2)/(Links!AN178+'Off-Ramp'!U178)</f>
        <v>#DIV/0!</v>
      </c>
    </row>
    <row r="179" spans="1:79" x14ac:dyDescent="0.15">
      <c r="A179" s="56">
        <v>177</v>
      </c>
      <c r="B179" s="57" t="e">
        <f t="shared" si="57"/>
        <v>#DIV/0!</v>
      </c>
      <c r="C179" s="57" t="e">
        <f t="shared" si="58"/>
        <v>#DIV/0!</v>
      </c>
      <c r="D179" s="57" t="e">
        <f t="shared" si="59"/>
        <v>#DIV/0!</v>
      </c>
      <c r="E179" s="57" t="e">
        <f t="shared" si="60"/>
        <v>#DIV/0!</v>
      </c>
      <c r="F179" s="57" t="e">
        <f t="shared" si="61"/>
        <v>#DIV/0!</v>
      </c>
      <c r="G179" s="57" t="e">
        <f t="shared" si="62"/>
        <v>#DIV/0!</v>
      </c>
      <c r="H179" s="57" t="e">
        <f t="shared" si="63"/>
        <v>#DIV/0!</v>
      </c>
      <c r="I179" s="57" t="e">
        <f t="shared" si="64"/>
        <v>#DIV/0!</v>
      </c>
      <c r="J179" s="57" t="e">
        <f t="shared" si="65"/>
        <v>#DIV/0!</v>
      </c>
      <c r="K179" s="57" t="e">
        <f t="shared" si="66"/>
        <v>#DIV/0!</v>
      </c>
      <c r="L179" s="57" t="e">
        <f t="shared" si="67"/>
        <v>#DIV/0!</v>
      </c>
      <c r="M179" s="57" t="e">
        <f t="shared" si="68"/>
        <v>#DIV/0!</v>
      </c>
      <c r="N179" s="57" t="e">
        <f t="shared" si="69"/>
        <v>#DIV/0!</v>
      </c>
      <c r="O179" s="58" t="e">
        <f>Links!B179</f>
        <v>#DIV/0!</v>
      </c>
      <c r="P179" s="58" t="e">
        <f>Links!C179+'On-Ramps'!AC179</f>
        <v>#DIV/0!</v>
      </c>
      <c r="Q179" s="58" t="e">
        <f>Links!D179</f>
        <v>#DIV/0!</v>
      </c>
      <c r="R179" s="58" t="e">
        <f>Links!E179+'On-Ramps'!AD179</f>
        <v>#DIV/0!</v>
      </c>
      <c r="S179" s="58" t="e">
        <f>Links!F179+'On-Ramps'!AE179</f>
        <v>#DIV/0!</v>
      </c>
      <c r="T179" s="58" t="e">
        <f>Links!I179+'On-Ramps'!AF179</f>
        <v>#DIV/0!</v>
      </c>
      <c r="U179" s="58" t="e">
        <f>Links!J179+'On-Ramps'!AG179</f>
        <v>#DIV/0!</v>
      </c>
      <c r="V179" s="58" t="e">
        <f>Links!L179+'On-Ramps'!AH179</f>
        <v>#DIV/0!</v>
      </c>
      <c r="W179" s="58" t="e">
        <f>Links!M179+'On-Ramps'!AI179</f>
        <v>#DIV/0!</v>
      </c>
      <c r="X179" s="58" t="e">
        <f>Links!P179+'On-Ramps'!AJ179</f>
        <v>#DIV/0!</v>
      </c>
      <c r="Y179" s="58" t="e">
        <f>Links!Q179</f>
        <v>#DIV/0!</v>
      </c>
      <c r="Z179" s="58" t="e">
        <f>Links!R179+'On-Ramps'!AK179</f>
        <v>#DIV/0!</v>
      </c>
      <c r="AA179" s="58" t="e">
        <f>Links!S179</f>
        <v>#DIV/0!</v>
      </c>
      <c r="AB179" s="57" t="e">
        <f t="shared" si="70"/>
        <v>#DIV/0!</v>
      </c>
      <c r="AC179" s="63"/>
      <c r="AD179" s="57" t="e">
        <f t="shared" si="71"/>
        <v>#DIV/0!</v>
      </c>
      <c r="AE179" s="63"/>
      <c r="AF179" s="57" t="e">
        <f t="shared" si="72"/>
        <v>#DIV/0!</v>
      </c>
      <c r="AG179" s="57" t="e">
        <f t="shared" si="73"/>
        <v>#DIV/0!</v>
      </c>
      <c r="AH179" s="57" t="e">
        <f t="shared" si="74"/>
        <v>#DIV/0!</v>
      </c>
      <c r="AI179" s="57" t="e">
        <f t="shared" si="75"/>
        <v>#DIV/0!</v>
      </c>
      <c r="AJ179" s="57" t="e">
        <f t="shared" si="76"/>
        <v>#DIV/0!</v>
      </c>
      <c r="AK179" s="57" t="e">
        <f t="shared" si="77"/>
        <v>#DIV/0!</v>
      </c>
      <c r="AL179" s="57" t="e">
        <f t="shared" si="78"/>
        <v>#DIV/0!</v>
      </c>
      <c r="AM179" s="63"/>
      <c r="AN179" s="57" t="e">
        <f t="shared" si="80"/>
        <v>#DIV/0!</v>
      </c>
      <c r="AO179" s="58" t="e">
        <f t="shared" si="56"/>
        <v>#DIV/0!</v>
      </c>
      <c r="AP179" s="63"/>
      <c r="AQ179" s="58" t="e">
        <f t="shared" si="81"/>
        <v>#DIV/0!</v>
      </c>
      <c r="AR179" s="63"/>
      <c r="AS179" s="58" t="e">
        <f t="shared" si="81"/>
        <v>#DIV/0!</v>
      </c>
      <c r="AT179" s="58" t="e">
        <f t="shared" si="81"/>
        <v>#DIV/0!</v>
      </c>
      <c r="AU179" s="58" t="e">
        <f t="shared" si="81"/>
        <v>#DIV/0!</v>
      </c>
      <c r="AV179" s="58" t="e">
        <f t="shared" si="81"/>
        <v>#DIV/0!</v>
      </c>
      <c r="AW179" s="58" t="e">
        <f t="shared" si="81"/>
        <v>#DIV/0!</v>
      </c>
      <c r="AX179" s="58" t="e">
        <f t="shared" si="81"/>
        <v>#DIV/0!</v>
      </c>
      <c r="AY179" s="58" t="e">
        <f t="shared" si="81"/>
        <v>#DIV/0!</v>
      </c>
      <c r="AZ179" s="63"/>
      <c r="BA179" s="58" t="e">
        <f t="shared" si="81"/>
        <v>#DIV/0!</v>
      </c>
      <c r="BB179" s="63"/>
      <c r="BC179" s="57" t="e">
        <f>(Links!C179*Links!AQ179+'On-Ramps'!AC179*'On-Ramps'!CE179)/('On-Ramps'!AC179+Links!C179)</f>
        <v>#DIV/0!</v>
      </c>
      <c r="BD179" s="63"/>
      <c r="BE179" s="57" t="e">
        <f>(Links!E179*Links!AS179+'On-Ramps'!AD179*'On-Ramps'!CF178)/('On-Ramps'!AD179+Links!E179)</f>
        <v>#DIV/0!</v>
      </c>
      <c r="BF179" s="57" t="e">
        <f>(Links!F179*Links!AT179+'On-Ramps'!AE179*'On-Ramps'!CG179)/('On-Ramps'!AE179+Links!F179)</f>
        <v>#DIV/0!</v>
      </c>
      <c r="BG179" s="57" t="e">
        <f>(Links!I179*Links!AW179+'On-Ramps'!AF179*'On-Ramps'!CH179)/('On-Ramps'!AF179+Links!I179)</f>
        <v>#DIV/0!</v>
      </c>
      <c r="BH179" s="57" t="e">
        <f>(#REF!*#REF!+'On-Ramps'!AG179*'On-Ramps'!CI179)/('On-Ramps'!AG179+#REF!)</f>
        <v>#REF!</v>
      </c>
      <c r="BI179" s="57" t="e">
        <f>(Links!L179*Links!AZ179+'On-Ramps'!AH179*'On-Ramps'!CJ179)/('On-Ramps'!AH179+Links!L179)</f>
        <v>#DIV/0!</v>
      </c>
      <c r="BJ179" s="57" t="e">
        <f>(Links!BA179*Links!M179+'On-Ramps'!AI179*'On-Ramps'!CK179)/('On-Ramps'!AI179+Links!M179)</f>
        <v>#DIV/0!</v>
      </c>
      <c r="BK179" s="57" t="e">
        <f>(Links!S179*Links!BG179+'On-Ramps'!AJ179*'On-Ramps'!CL179)/('On-Ramps'!AJ179+Links!S179)</f>
        <v>#DIV/0!</v>
      </c>
      <c r="BL179" s="63"/>
      <c r="BM179" s="57" t="e">
        <f>(Links!S179*Links!BG179+'On-Ramps'!AL179*'On-Ramps'!CM179)/(Links!S179+'On-Ramps'!AL179)</f>
        <v>#DIV/0!</v>
      </c>
      <c r="BN179" s="63"/>
      <c r="BO179" s="58" t="e">
        <f>(Links!W179^2+'Off-Ramp'!L179^2)/(Links!W179+'Off-Ramp'!L179)</f>
        <v>#DIV/0!</v>
      </c>
      <c r="BP179" s="63"/>
      <c r="BQ179" s="58" t="e">
        <f>(Links!Y179^2+'Off-Ramp'!C179^2)/(Links!Y179+'Off-Ramp'!C179)</f>
        <v>#DIV/0!</v>
      </c>
      <c r="BR179" s="63"/>
      <c r="BS179" s="58" t="e">
        <f>(Links!AA179^2+'Off-Ramp'!N179^2)/(Links!AA179+'Off-Ramp'!N179)</f>
        <v>#DIV/0!</v>
      </c>
      <c r="BT179" s="58" t="e">
        <f>(Links!AD179^2+'Off-Ramp'!O179^2)/(Links!AD179+'Off-Ramp'!O179)</f>
        <v>#DIV/0!</v>
      </c>
      <c r="BU179" s="58" t="e">
        <f>(Links!AE179^2+'Off-Ramp'!V179^2+'Off-Ramp'!W179^2+'Off-Ramp'!X179^2)/(Links!AE179+'Off-Ramp'!V179+'Off-Ramp'!W179+'Off-Ramp'!X179)</f>
        <v>#DIV/0!</v>
      </c>
      <c r="BV179" s="58" t="e">
        <f>(Links!AG179^2+'Off-Ramp'!Y179^2+'Off-Ramp'!Z179^2+'Off-Ramp'!AA179^2)/(Links!AG179+'Off-Ramp'!Y179+'Off-Ramp'!Z179+'Off-Ramp'!AA179)</f>
        <v>#DIV/0!</v>
      </c>
      <c r="BW179" s="58" t="e">
        <f>(Links!AH179^2+'Off-Ramp'!R179^2)/(Links!AH179+'Off-Ramp'!R179)</f>
        <v>#DIV/0!</v>
      </c>
      <c r="BX179" s="58" t="e">
        <f>(Links!AK179^2+'Off-Ramp'!S179^2)/(Links!AK179+'Off-Ramp'!S179)</f>
        <v>#DIV/0!</v>
      </c>
      <c r="BY179" s="58" t="e">
        <f>(Links!AL179^2+'Off-Ramp'!T179^2)/(Links!AL179+'Off-Ramp'!T179)</f>
        <v>#DIV/0!</v>
      </c>
      <c r="BZ179" s="63"/>
      <c r="CA179" s="58" t="e">
        <f>(Links!AN179^2+'Off-Ramp'!U179^2)/(Links!AN179+'Off-Ramp'!U179)</f>
        <v>#DIV/0!</v>
      </c>
    </row>
    <row r="180" spans="1:79" x14ac:dyDescent="0.15">
      <c r="A180" s="56">
        <v>178</v>
      </c>
      <c r="B180" s="57" t="e">
        <f t="shared" si="57"/>
        <v>#DIV/0!</v>
      </c>
      <c r="C180" s="57" t="e">
        <f t="shared" si="58"/>
        <v>#DIV/0!</v>
      </c>
      <c r="D180" s="57" t="e">
        <f t="shared" si="59"/>
        <v>#DIV/0!</v>
      </c>
      <c r="E180" s="57" t="e">
        <f t="shared" si="60"/>
        <v>#DIV/0!</v>
      </c>
      <c r="F180" s="57" t="e">
        <f t="shared" si="61"/>
        <v>#DIV/0!</v>
      </c>
      <c r="G180" s="57" t="e">
        <f t="shared" si="62"/>
        <v>#DIV/0!</v>
      </c>
      <c r="H180" s="57" t="e">
        <f t="shared" si="63"/>
        <v>#DIV/0!</v>
      </c>
      <c r="I180" s="57" t="e">
        <f t="shared" si="64"/>
        <v>#DIV/0!</v>
      </c>
      <c r="J180" s="57" t="e">
        <f t="shared" si="65"/>
        <v>#DIV/0!</v>
      </c>
      <c r="K180" s="57" t="e">
        <f t="shared" si="66"/>
        <v>#DIV/0!</v>
      </c>
      <c r="L180" s="57" t="e">
        <f t="shared" si="67"/>
        <v>#DIV/0!</v>
      </c>
      <c r="M180" s="57" t="e">
        <f t="shared" si="68"/>
        <v>#DIV/0!</v>
      </c>
      <c r="N180" s="57" t="e">
        <f t="shared" si="69"/>
        <v>#DIV/0!</v>
      </c>
      <c r="O180" s="58" t="e">
        <f>Links!B180</f>
        <v>#DIV/0!</v>
      </c>
      <c r="P180" s="58" t="e">
        <f>Links!C180+'On-Ramps'!AC180</f>
        <v>#DIV/0!</v>
      </c>
      <c r="Q180" s="58" t="e">
        <f>Links!D180</f>
        <v>#DIV/0!</v>
      </c>
      <c r="R180" s="58" t="e">
        <f>Links!E180+'On-Ramps'!AD180</f>
        <v>#DIV/0!</v>
      </c>
      <c r="S180" s="58" t="e">
        <f>Links!F180+'On-Ramps'!AE180</f>
        <v>#DIV/0!</v>
      </c>
      <c r="T180" s="58" t="e">
        <f>Links!I180+'On-Ramps'!AF180</f>
        <v>#DIV/0!</v>
      </c>
      <c r="U180" s="58" t="e">
        <f>Links!J180+'On-Ramps'!AG180</f>
        <v>#DIV/0!</v>
      </c>
      <c r="V180" s="58" t="e">
        <f>Links!L180+'On-Ramps'!AH180</f>
        <v>#DIV/0!</v>
      </c>
      <c r="W180" s="58" t="e">
        <f>Links!M180+'On-Ramps'!AI180</f>
        <v>#DIV/0!</v>
      </c>
      <c r="X180" s="58" t="e">
        <f>Links!P180+'On-Ramps'!AJ180</f>
        <v>#DIV/0!</v>
      </c>
      <c r="Y180" s="58" t="e">
        <f>Links!Q180</f>
        <v>#DIV/0!</v>
      </c>
      <c r="Z180" s="58" t="e">
        <f>Links!R180+'On-Ramps'!AK180</f>
        <v>#DIV/0!</v>
      </c>
      <c r="AA180" s="58" t="e">
        <f>Links!S180</f>
        <v>#DIV/0!</v>
      </c>
      <c r="AB180" s="57" t="e">
        <f t="shared" si="70"/>
        <v>#DIV/0!</v>
      </c>
      <c r="AC180" s="63"/>
      <c r="AD180" s="57" t="e">
        <f t="shared" si="71"/>
        <v>#DIV/0!</v>
      </c>
      <c r="AE180" s="63"/>
      <c r="AF180" s="57" t="e">
        <f t="shared" si="72"/>
        <v>#DIV/0!</v>
      </c>
      <c r="AG180" s="57" t="e">
        <f t="shared" si="73"/>
        <v>#DIV/0!</v>
      </c>
      <c r="AH180" s="57" t="e">
        <f t="shared" si="74"/>
        <v>#DIV/0!</v>
      </c>
      <c r="AI180" s="57" t="e">
        <f t="shared" si="75"/>
        <v>#DIV/0!</v>
      </c>
      <c r="AJ180" s="57" t="e">
        <f t="shared" si="76"/>
        <v>#DIV/0!</v>
      </c>
      <c r="AK180" s="57" t="e">
        <f t="shared" si="77"/>
        <v>#DIV/0!</v>
      </c>
      <c r="AL180" s="57" t="e">
        <f t="shared" si="78"/>
        <v>#DIV/0!</v>
      </c>
      <c r="AM180" s="63"/>
      <c r="AN180" s="57" t="e">
        <f t="shared" si="80"/>
        <v>#DIV/0!</v>
      </c>
      <c r="AO180" s="58" t="e">
        <f t="shared" si="56"/>
        <v>#DIV/0!</v>
      </c>
      <c r="AP180" s="63"/>
      <c r="AQ180" s="58" t="e">
        <f t="shared" si="81"/>
        <v>#DIV/0!</v>
      </c>
      <c r="AR180" s="63"/>
      <c r="AS180" s="58" t="e">
        <f t="shared" si="81"/>
        <v>#DIV/0!</v>
      </c>
      <c r="AT180" s="58" t="e">
        <f t="shared" si="81"/>
        <v>#DIV/0!</v>
      </c>
      <c r="AU180" s="58" t="e">
        <f t="shared" si="81"/>
        <v>#DIV/0!</v>
      </c>
      <c r="AV180" s="58" t="e">
        <f t="shared" si="81"/>
        <v>#DIV/0!</v>
      </c>
      <c r="AW180" s="58" t="e">
        <f t="shared" si="81"/>
        <v>#DIV/0!</v>
      </c>
      <c r="AX180" s="58" t="e">
        <f t="shared" si="81"/>
        <v>#DIV/0!</v>
      </c>
      <c r="AY180" s="58" t="e">
        <f t="shared" si="81"/>
        <v>#DIV/0!</v>
      </c>
      <c r="AZ180" s="63"/>
      <c r="BA180" s="58" t="e">
        <f t="shared" si="81"/>
        <v>#DIV/0!</v>
      </c>
      <c r="BB180" s="63"/>
      <c r="BC180" s="57" t="e">
        <f>(Links!C180*Links!AQ180+'On-Ramps'!AC180*'On-Ramps'!CE180)/('On-Ramps'!AC180+Links!C180)</f>
        <v>#DIV/0!</v>
      </c>
      <c r="BD180" s="63"/>
      <c r="BE180" s="57" t="e">
        <f>(Links!E180*Links!AS180+'On-Ramps'!AD180*'On-Ramps'!CF179)/('On-Ramps'!AD180+Links!E180)</f>
        <v>#DIV/0!</v>
      </c>
      <c r="BF180" s="57" t="e">
        <f>(Links!F180*Links!AT180+'On-Ramps'!AE180*'On-Ramps'!CG180)/('On-Ramps'!AE180+Links!F180)</f>
        <v>#DIV/0!</v>
      </c>
      <c r="BG180" s="57" t="e">
        <f>(Links!I180*Links!AW180+'On-Ramps'!AF180*'On-Ramps'!CH180)/('On-Ramps'!AF180+Links!I180)</f>
        <v>#DIV/0!</v>
      </c>
      <c r="BH180" s="57" t="e">
        <f>(#REF!*#REF!+'On-Ramps'!AG180*'On-Ramps'!CI180)/('On-Ramps'!AG180+#REF!)</f>
        <v>#REF!</v>
      </c>
      <c r="BI180" s="57" t="e">
        <f>(Links!L180*Links!AZ180+'On-Ramps'!AH180*'On-Ramps'!CJ180)/('On-Ramps'!AH180+Links!L180)</f>
        <v>#DIV/0!</v>
      </c>
      <c r="BJ180" s="57" t="e">
        <f>(Links!BA180*Links!M180+'On-Ramps'!AI180*'On-Ramps'!CK180)/('On-Ramps'!AI180+Links!M180)</f>
        <v>#DIV/0!</v>
      </c>
      <c r="BK180" s="57" t="e">
        <f>(Links!S180*Links!BG180+'On-Ramps'!AJ180*'On-Ramps'!CL180)/('On-Ramps'!AJ180+Links!S180)</f>
        <v>#DIV/0!</v>
      </c>
      <c r="BL180" s="63"/>
      <c r="BM180" s="57" t="e">
        <f>(Links!S180*Links!BG180+'On-Ramps'!AL180*'On-Ramps'!CM180)/(Links!S180+'On-Ramps'!AL180)</f>
        <v>#DIV/0!</v>
      </c>
      <c r="BN180" s="63"/>
      <c r="BO180" s="58" t="e">
        <f>(Links!W180^2+'Off-Ramp'!L180^2)/(Links!W180+'Off-Ramp'!L180)</f>
        <v>#DIV/0!</v>
      </c>
      <c r="BP180" s="63"/>
      <c r="BQ180" s="58" t="e">
        <f>(Links!Y180^2+'Off-Ramp'!C180^2)/(Links!Y180+'Off-Ramp'!C180)</f>
        <v>#DIV/0!</v>
      </c>
      <c r="BR180" s="63"/>
      <c r="BS180" s="58" t="e">
        <f>(Links!AA180^2+'Off-Ramp'!N180^2)/(Links!AA180+'Off-Ramp'!N180)</f>
        <v>#DIV/0!</v>
      </c>
      <c r="BT180" s="58" t="e">
        <f>(Links!AD180^2+'Off-Ramp'!O180^2)/(Links!AD180+'Off-Ramp'!O180)</f>
        <v>#DIV/0!</v>
      </c>
      <c r="BU180" s="58" t="e">
        <f>(Links!AE180^2+'Off-Ramp'!V180^2+'Off-Ramp'!W180^2+'Off-Ramp'!X180^2)/(Links!AE180+'Off-Ramp'!V180+'Off-Ramp'!W180+'Off-Ramp'!X180)</f>
        <v>#DIV/0!</v>
      </c>
      <c r="BV180" s="58" t="e">
        <f>(Links!AG180^2+'Off-Ramp'!Y180^2+'Off-Ramp'!Z180^2+'Off-Ramp'!AA180^2)/(Links!AG180+'Off-Ramp'!Y180+'Off-Ramp'!Z180+'Off-Ramp'!AA180)</f>
        <v>#DIV/0!</v>
      </c>
      <c r="BW180" s="58" t="e">
        <f>(Links!AH180^2+'Off-Ramp'!R180^2)/(Links!AH180+'Off-Ramp'!R180)</f>
        <v>#DIV/0!</v>
      </c>
      <c r="BX180" s="58" t="e">
        <f>(Links!AK180^2+'Off-Ramp'!S180^2)/(Links!AK180+'Off-Ramp'!S180)</f>
        <v>#DIV/0!</v>
      </c>
      <c r="BY180" s="58" t="e">
        <f>(Links!AL180^2+'Off-Ramp'!T180^2)/(Links!AL180+'Off-Ramp'!T180)</f>
        <v>#DIV/0!</v>
      </c>
      <c r="BZ180" s="63"/>
      <c r="CA180" s="58" t="e">
        <f>(Links!AN180^2+'Off-Ramp'!U180^2)/(Links!AN180+'Off-Ramp'!U180)</f>
        <v>#DIV/0!</v>
      </c>
    </row>
    <row r="181" spans="1:79" x14ac:dyDescent="0.15">
      <c r="A181" s="56">
        <v>179</v>
      </c>
      <c r="B181" s="57" t="e">
        <f t="shared" si="57"/>
        <v>#DIV/0!</v>
      </c>
      <c r="C181" s="57" t="e">
        <f t="shared" si="58"/>
        <v>#DIV/0!</v>
      </c>
      <c r="D181" s="57" t="e">
        <f t="shared" si="59"/>
        <v>#DIV/0!</v>
      </c>
      <c r="E181" s="57" t="e">
        <f t="shared" si="60"/>
        <v>#DIV/0!</v>
      </c>
      <c r="F181" s="57" t="e">
        <f t="shared" si="61"/>
        <v>#DIV/0!</v>
      </c>
      <c r="G181" s="57" t="e">
        <f t="shared" si="62"/>
        <v>#DIV/0!</v>
      </c>
      <c r="H181" s="57" t="e">
        <f t="shared" si="63"/>
        <v>#DIV/0!</v>
      </c>
      <c r="I181" s="57" t="e">
        <f t="shared" si="64"/>
        <v>#DIV/0!</v>
      </c>
      <c r="J181" s="57" t="e">
        <f t="shared" si="65"/>
        <v>#DIV/0!</v>
      </c>
      <c r="K181" s="57" t="e">
        <f t="shared" si="66"/>
        <v>#DIV/0!</v>
      </c>
      <c r="L181" s="57" t="e">
        <f t="shared" si="67"/>
        <v>#DIV/0!</v>
      </c>
      <c r="M181" s="57" t="e">
        <f t="shared" si="68"/>
        <v>#DIV/0!</v>
      </c>
      <c r="N181" s="57" t="e">
        <f t="shared" si="69"/>
        <v>#DIV/0!</v>
      </c>
      <c r="O181" s="58" t="e">
        <f>Links!B181</f>
        <v>#DIV/0!</v>
      </c>
      <c r="P181" s="58" t="e">
        <f>Links!C181+'On-Ramps'!AC181</f>
        <v>#DIV/0!</v>
      </c>
      <c r="Q181" s="58" t="e">
        <f>Links!D181</f>
        <v>#DIV/0!</v>
      </c>
      <c r="R181" s="58" t="e">
        <f>Links!E181+'On-Ramps'!AD181</f>
        <v>#DIV/0!</v>
      </c>
      <c r="S181" s="58" t="e">
        <f>Links!F181+'On-Ramps'!AE181</f>
        <v>#DIV/0!</v>
      </c>
      <c r="T181" s="58" t="e">
        <f>Links!I181+'On-Ramps'!AF181</f>
        <v>#DIV/0!</v>
      </c>
      <c r="U181" s="58" t="e">
        <f>Links!J181+'On-Ramps'!AG181</f>
        <v>#DIV/0!</v>
      </c>
      <c r="V181" s="58" t="e">
        <f>Links!L181+'On-Ramps'!AH181</f>
        <v>#DIV/0!</v>
      </c>
      <c r="W181" s="58" t="e">
        <f>Links!M181+'On-Ramps'!AI181</f>
        <v>#DIV/0!</v>
      </c>
      <c r="X181" s="58" t="e">
        <f>Links!P181+'On-Ramps'!AJ181</f>
        <v>#DIV/0!</v>
      </c>
      <c r="Y181" s="58" t="e">
        <f>Links!Q181</f>
        <v>#DIV/0!</v>
      </c>
      <c r="Z181" s="58" t="e">
        <f>Links!R181+'On-Ramps'!AK181</f>
        <v>#DIV/0!</v>
      </c>
      <c r="AA181" s="58" t="e">
        <f>Links!S181</f>
        <v>#DIV/0!</v>
      </c>
      <c r="AB181" s="57" t="e">
        <f t="shared" si="70"/>
        <v>#DIV/0!</v>
      </c>
      <c r="AC181" s="63"/>
      <c r="AD181" s="57" t="e">
        <f t="shared" si="71"/>
        <v>#DIV/0!</v>
      </c>
      <c r="AE181" s="63"/>
      <c r="AF181" s="57" t="e">
        <f t="shared" si="72"/>
        <v>#DIV/0!</v>
      </c>
      <c r="AG181" s="57" t="e">
        <f t="shared" si="73"/>
        <v>#DIV/0!</v>
      </c>
      <c r="AH181" s="57" t="e">
        <f t="shared" si="74"/>
        <v>#DIV/0!</v>
      </c>
      <c r="AI181" s="57" t="e">
        <f t="shared" si="75"/>
        <v>#DIV/0!</v>
      </c>
      <c r="AJ181" s="57" t="e">
        <f t="shared" si="76"/>
        <v>#DIV/0!</v>
      </c>
      <c r="AK181" s="57" t="e">
        <f t="shared" si="77"/>
        <v>#DIV/0!</v>
      </c>
      <c r="AL181" s="57" t="e">
        <f t="shared" si="78"/>
        <v>#DIV/0!</v>
      </c>
      <c r="AM181" s="63"/>
      <c r="AN181" s="57" t="e">
        <f t="shared" si="80"/>
        <v>#DIV/0!</v>
      </c>
      <c r="AO181" s="58" t="e">
        <f t="shared" si="56"/>
        <v>#DIV/0!</v>
      </c>
      <c r="AP181" s="63"/>
      <c r="AQ181" s="58" t="e">
        <f t="shared" si="81"/>
        <v>#DIV/0!</v>
      </c>
      <c r="AR181" s="63"/>
      <c r="AS181" s="58" t="e">
        <f t="shared" si="81"/>
        <v>#DIV/0!</v>
      </c>
      <c r="AT181" s="58" t="e">
        <f t="shared" si="81"/>
        <v>#DIV/0!</v>
      </c>
      <c r="AU181" s="58" t="e">
        <f t="shared" si="81"/>
        <v>#DIV/0!</v>
      </c>
      <c r="AV181" s="58" t="e">
        <f t="shared" si="81"/>
        <v>#DIV/0!</v>
      </c>
      <c r="AW181" s="58" t="e">
        <f t="shared" si="81"/>
        <v>#DIV/0!</v>
      </c>
      <c r="AX181" s="58" t="e">
        <f t="shared" si="81"/>
        <v>#DIV/0!</v>
      </c>
      <c r="AY181" s="58" t="e">
        <f t="shared" si="81"/>
        <v>#DIV/0!</v>
      </c>
      <c r="AZ181" s="63"/>
      <c r="BA181" s="58" t="e">
        <f t="shared" si="81"/>
        <v>#DIV/0!</v>
      </c>
      <c r="BB181" s="63"/>
      <c r="BC181" s="57" t="e">
        <f>(Links!C181*Links!AQ181+'On-Ramps'!AC181*'On-Ramps'!CE181)/('On-Ramps'!AC181+Links!C181)</f>
        <v>#DIV/0!</v>
      </c>
      <c r="BD181" s="63"/>
      <c r="BE181" s="57" t="e">
        <f>(Links!E181*Links!AS181+'On-Ramps'!AD181*'On-Ramps'!CF180)/('On-Ramps'!AD181+Links!E181)</f>
        <v>#DIV/0!</v>
      </c>
      <c r="BF181" s="57" t="e">
        <f>(Links!F181*Links!AT181+'On-Ramps'!AE181*'On-Ramps'!CG181)/('On-Ramps'!AE181+Links!F181)</f>
        <v>#DIV/0!</v>
      </c>
      <c r="BG181" s="57" t="e">
        <f>(Links!I181*Links!AW181+'On-Ramps'!AF181*'On-Ramps'!CH181)/('On-Ramps'!AF181+Links!I181)</f>
        <v>#DIV/0!</v>
      </c>
      <c r="BH181" s="57" t="e">
        <f>(#REF!*#REF!+'On-Ramps'!AG181*'On-Ramps'!CI181)/('On-Ramps'!AG181+#REF!)</f>
        <v>#REF!</v>
      </c>
      <c r="BI181" s="57" t="e">
        <f>(Links!L181*Links!AZ181+'On-Ramps'!AH181*'On-Ramps'!CJ181)/('On-Ramps'!AH181+Links!L181)</f>
        <v>#DIV/0!</v>
      </c>
      <c r="BJ181" s="57" t="e">
        <f>(Links!BA181*Links!M181+'On-Ramps'!AI181*'On-Ramps'!CK181)/('On-Ramps'!AI181+Links!M181)</f>
        <v>#DIV/0!</v>
      </c>
      <c r="BK181" s="57" t="e">
        <f>(Links!S181*Links!BG181+'On-Ramps'!AJ181*'On-Ramps'!CL181)/('On-Ramps'!AJ181+Links!S181)</f>
        <v>#DIV/0!</v>
      </c>
      <c r="BL181" s="63"/>
      <c r="BM181" s="57" t="e">
        <f>(Links!S181*Links!BG181+'On-Ramps'!AL181*'On-Ramps'!CM181)/(Links!S181+'On-Ramps'!AL181)</f>
        <v>#DIV/0!</v>
      </c>
      <c r="BN181" s="63"/>
      <c r="BO181" s="58" t="e">
        <f>(Links!W181^2+'Off-Ramp'!L181^2)/(Links!W181+'Off-Ramp'!L181)</f>
        <v>#DIV/0!</v>
      </c>
      <c r="BP181" s="63"/>
      <c r="BQ181" s="58" t="e">
        <f>(Links!Y181^2+'Off-Ramp'!C181^2)/(Links!Y181+'Off-Ramp'!C181)</f>
        <v>#DIV/0!</v>
      </c>
      <c r="BR181" s="63"/>
      <c r="BS181" s="58" t="e">
        <f>(Links!AA181^2+'Off-Ramp'!N181^2)/(Links!AA181+'Off-Ramp'!N181)</f>
        <v>#DIV/0!</v>
      </c>
      <c r="BT181" s="58" t="e">
        <f>(Links!AD181^2+'Off-Ramp'!O181^2)/(Links!AD181+'Off-Ramp'!O181)</f>
        <v>#DIV/0!</v>
      </c>
      <c r="BU181" s="58" t="e">
        <f>(Links!AE181^2+'Off-Ramp'!V181^2+'Off-Ramp'!W181^2+'Off-Ramp'!X181^2)/(Links!AE181+'Off-Ramp'!V181+'Off-Ramp'!W181+'Off-Ramp'!X181)</f>
        <v>#DIV/0!</v>
      </c>
      <c r="BV181" s="58" t="e">
        <f>(Links!AG181^2+'Off-Ramp'!Y181^2+'Off-Ramp'!Z181^2+'Off-Ramp'!AA181^2)/(Links!AG181+'Off-Ramp'!Y181+'Off-Ramp'!Z181+'Off-Ramp'!AA181)</f>
        <v>#DIV/0!</v>
      </c>
      <c r="BW181" s="58" t="e">
        <f>(Links!AH181^2+'Off-Ramp'!R181^2)/(Links!AH181+'Off-Ramp'!R181)</f>
        <v>#DIV/0!</v>
      </c>
      <c r="BX181" s="58" t="e">
        <f>(Links!AK181^2+'Off-Ramp'!S181^2)/(Links!AK181+'Off-Ramp'!S181)</f>
        <v>#DIV/0!</v>
      </c>
      <c r="BY181" s="58" t="e">
        <f>(Links!AL181^2+'Off-Ramp'!T181^2)/(Links!AL181+'Off-Ramp'!T181)</f>
        <v>#DIV/0!</v>
      </c>
      <c r="BZ181" s="63"/>
      <c r="CA181" s="58" t="e">
        <f>(Links!AN181^2+'Off-Ramp'!U181^2)/(Links!AN181+'Off-Ramp'!U181)</f>
        <v>#DIV/0!</v>
      </c>
    </row>
    <row r="182" spans="1:79" x14ac:dyDescent="0.15">
      <c r="A182" s="56">
        <v>180</v>
      </c>
      <c r="B182" s="57" t="e">
        <f t="shared" si="57"/>
        <v>#DIV/0!</v>
      </c>
      <c r="C182" s="57" t="e">
        <f t="shared" si="58"/>
        <v>#DIV/0!</v>
      </c>
      <c r="D182" s="57" t="e">
        <f t="shared" si="59"/>
        <v>#DIV/0!</v>
      </c>
      <c r="E182" s="57" t="e">
        <f t="shared" si="60"/>
        <v>#DIV/0!</v>
      </c>
      <c r="F182" s="57" t="e">
        <f t="shared" si="61"/>
        <v>#DIV/0!</v>
      </c>
      <c r="G182" s="57" t="e">
        <f t="shared" si="62"/>
        <v>#DIV/0!</v>
      </c>
      <c r="H182" s="57" t="e">
        <f t="shared" si="63"/>
        <v>#DIV/0!</v>
      </c>
      <c r="I182" s="57" t="e">
        <f t="shared" si="64"/>
        <v>#DIV/0!</v>
      </c>
      <c r="J182" s="57" t="e">
        <f t="shared" si="65"/>
        <v>#DIV/0!</v>
      </c>
      <c r="K182" s="57" t="e">
        <f t="shared" si="66"/>
        <v>#DIV/0!</v>
      </c>
      <c r="L182" s="57" t="e">
        <f t="shared" si="67"/>
        <v>#DIV/0!</v>
      </c>
      <c r="M182" s="57" t="e">
        <f t="shared" si="68"/>
        <v>#DIV/0!</v>
      </c>
      <c r="N182" s="57" t="e">
        <f t="shared" si="69"/>
        <v>#DIV/0!</v>
      </c>
      <c r="O182" s="58" t="e">
        <f>Links!B182</f>
        <v>#DIV/0!</v>
      </c>
      <c r="P182" s="58" t="e">
        <f>Links!C182+'On-Ramps'!AC182</f>
        <v>#DIV/0!</v>
      </c>
      <c r="Q182" s="58" t="e">
        <f>Links!D182</f>
        <v>#DIV/0!</v>
      </c>
      <c r="R182" s="58" t="e">
        <f>Links!E182+'On-Ramps'!AD182</f>
        <v>#DIV/0!</v>
      </c>
      <c r="S182" s="58" t="e">
        <f>Links!F182+'On-Ramps'!AE182</f>
        <v>#DIV/0!</v>
      </c>
      <c r="T182" s="58" t="e">
        <f>Links!I182+'On-Ramps'!AF182</f>
        <v>#DIV/0!</v>
      </c>
      <c r="U182" s="58" t="e">
        <f>Links!J182+'On-Ramps'!AG182</f>
        <v>#DIV/0!</v>
      </c>
      <c r="V182" s="58" t="e">
        <f>Links!L182+'On-Ramps'!AH182</f>
        <v>#DIV/0!</v>
      </c>
      <c r="W182" s="58" t="e">
        <f>Links!M182+'On-Ramps'!AI182</f>
        <v>#DIV/0!</v>
      </c>
      <c r="X182" s="58" t="e">
        <f>Links!P182+'On-Ramps'!AJ182</f>
        <v>#DIV/0!</v>
      </c>
      <c r="Y182" s="58" t="e">
        <f>Links!Q182</f>
        <v>#DIV/0!</v>
      </c>
      <c r="Z182" s="58" t="e">
        <f>Links!R182+'On-Ramps'!AK182</f>
        <v>#DIV/0!</v>
      </c>
      <c r="AA182" s="58" t="e">
        <f>Links!S182</f>
        <v>#DIV/0!</v>
      </c>
      <c r="AB182" s="57" t="e">
        <f t="shared" si="70"/>
        <v>#DIV/0!</v>
      </c>
      <c r="AC182" s="63"/>
      <c r="AD182" s="57" t="e">
        <f t="shared" si="71"/>
        <v>#DIV/0!</v>
      </c>
      <c r="AE182" s="63"/>
      <c r="AF182" s="57" t="e">
        <f t="shared" si="72"/>
        <v>#DIV/0!</v>
      </c>
      <c r="AG182" s="57" t="e">
        <f t="shared" si="73"/>
        <v>#DIV/0!</v>
      </c>
      <c r="AH182" s="57" t="e">
        <f t="shared" si="74"/>
        <v>#DIV/0!</v>
      </c>
      <c r="AI182" s="57" t="e">
        <f t="shared" si="75"/>
        <v>#DIV/0!</v>
      </c>
      <c r="AJ182" s="57" t="e">
        <f t="shared" si="76"/>
        <v>#DIV/0!</v>
      </c>
      <c r="AK182" s="57" t="e">
        <f t="shared" si="77"/>
        <v>#DIV/0!</v>
      </c>
      <c r="AL182" s="57" t="e">
        <f t="shared" si="78"/>
        <v>#DIV/0!</v>
      </c>
      <c r="AM182" s="63"/>
      <c r="AN182" s="57" t="e">
        <f t="shared" si="80"/>
        <v>#DIV/0!</v>
      </c>
      <c r="AO182" s="58" t="e">
        <f t="shared" si="56"/>
        <v>#DIV/0!</v>
      </c>
      <c r="AP182" s="63"/>
      <c r="AQ182" s="58" t="e">
        <f t="shared" si="81"/>
        <v>#DIV/0!</v>
      </c>
      <c r="AR182" s="63"/>
      <c r="AS182" s="58" t="e">
        <f t="shared" si="81"/>
        <v>#DIV/0!</v>
      </c>
      <c r="AT182" s="58" t="e">
        <f t="shared" si="81"/>
        <v>#DIV/0!</v>
      </c>
      <c r="AU182" s="58" t="e">
        <f t="shared" si="81"/>
        <v>#DIV/0!</v>
      </c>
      <c r="AV182" s="58" t="e">
        <f t="shared" si="81"/>
        <v>#DIV/0!</v>
      </c>
      <c r="AW182" s="58" t="e">
        <f t="shared" si="81"/>
        <v>#DIV/0!</v>
      </c>
      <c r="AX182" s="58" t="e">
        <f t="shared" si="81"/>
        <v>#DIV/0!</v>
      </c>
      <c r="AY182" s="58" t="e">
        <f t="shared" si="81"/>
        <v>#DIV/0!</v>
      </c>
      <c r="AZ182" s="63"/>
      <c r="BA182" s="58" t="e">
        <f t="shared" si="81"/>
        <v>#DIV/0!</v>
      </c>
      <c r="BB182" s="63"/>
      <c r="BC182" s="57" t="e">
        <f>(Links!C182*Links!AQ182+'On-Ramps'!AC182*'On-Ramps'!CE182)/('On-Ramps'!AC182+Links!C182)</f>
        <v>#DIV/0!</v>
      </c>
      <c r="BD182" s="63"/>
      <c r="BE182" s="57" t="e">
        <f>(Links!E182*Links!AS182+'On-Ramps'!AD182*'On-Ramps'!CF181)/('On-Ramps'!AD182+Links!E182)</f>
        <v>#DIV/0!</v>
      </c>
      <c r="BF182" s="57" t="e">
        <f>(Links!F182*Links!AT182+'On-Ramps'!AE182*'On-Ramps'!CG182)/('On-Ramps'!AE182+Links!F182)</f>
        <v>#DIV/0!</v>
      </c>
      <c r="BG182" s="57" t="e">
        <f>(Links!I182*Links!AW182+'On-Ramps'!AF182*'On-Ramps'!CH182)/('On-Ramps'!AF182+Links!I182)</f>
        <v>#DIV/0!</v>
      </c>
      <c r="BH182" s="57" t="e">
        <f>(#REF!*#REF!+'On-Ramps'!AG182*'On-Ramps'!CI182)/('On-Ramps'!AG182+#REF!)</f>
        <v>#REF!</v>
      </c>
      <c r="BI182" s="57" t="e">
        <f>(Links!L182*Links!AZ182+'On-Ramps'!AH182*'On-Ramps'!CJ182)/('On-Ramps'!AH182+Links!L182)</f>
        <v>#DIV/0!</v>
      </c>
      <c r="BJ182" s="57" t="e">
        <f>(Links!BA182*Links!M182+'On-Ramps'!AI182*'On-Ramps'!CK182)/('On-Ramps'!AI182+Links!M182)</f>
        <v>#DIV/0!</v>
      </c>
      <c r="BK182" s="57" t="e">
        <f>(Links!S182*Links!BG182+'On-Ramps'!AJ182*'On-Ramps'!CL182)/('On-Ramps'!AJ182+Links!S182)</f>
        <v>#DIV/0!</v>
      </c>
      <c r="BL182" s="63"/>
      <c r="BM182" s="57" t="e">
        <f>(Links!S182*Links!BG182+'On-Ramps'!AL182*'On-Ramps'!CM182)/(Links!S182+'On-Ramps'!AL182)</f>
        <v>#DIV/0!</v>
      </c>
      <c r="BN182" s="63"/>
      <c r="BO182" s="58" t="e">
        <f>(Links!W182^2+'Off-Ramp'!L182^2)/(Links!W182+'Off-Ramp'!L182)</f>
        <v>#DIV/0!</v>
      </c>
      <c r="BP182" s="63"/>
      <c r="BQ182" s="58" t="e">
        <f>(Links!Y182^2+'Off-Ramp'!C182^2)/(Links!Y182+'Off-Ramp'!C182)</f>
        <v>#DIV/0!</v>
      </c>
      <c r="BR182" s="63"/>
      <c r="BS182" s="58" t="e">
        <f>(Links!AA182^2+'Off-Ramp'!N182^2)/(Links!AA182+'Off-Ramp'!N182)</f>
        <v>#DIV/0!</v>
      </c>
      <c r="BT182" s="58" t="e">
        <f>(Links!AD182^2+'Off-Ramp'!O182^2)/(Links!AD182+'Off-Ramp'!O182)</f>
        <v>#DIV/0!</v>
      </c>
      <c r="BU182" s="58" t="e">
        <f>(Links!AE182^2+'Off-Ramp'!V182^2+'Off-Ramp'!W182^2+'Off-Ramp'!X182^2)/(Links!AE182+'Off-Ramp'!V182+'Off-Ramp'!W182+'Off-Ramp'!X182)</f>
        <v>#DIV/0!</v>
      </c>
      <c r="BV182" s="58" t="e">
        <f>(Links!AG182^2+'Off-Ramp'!Y182^2+'Off-Ramp'!Z182^2+'Off-Ramp'!AA182^2)/(Links!AG182+'Off-Ramp'!Y182+'Off-Ramp'!Z182+'Off-Ramp'!AA182)</f>
        <v>#DIV/0!</v>
      </c>
      <c r="BW182" s="58" t="e">
        <f>(Links!AH182^2+'Off-Ramp'!R182^2)/(Links!AH182+'Off-Ramp'!R182)</f>
        <v>#DIV/0!</v>
      </c>
      <c r="BX182" s="58" t="e">
        <f>(Links!AK182^2+'Off-Ramp'!S182^2)/(Links!AK182+'Off-Ramp'!S182)</f>
        <v>#DIV/0!</v>
      </c>
      <c r="BY182" s="58" t="e">
        <f>(Links!AL182^2+'Off-Ramp'!T182^2)/(Links!AL182+'Off-Ramp'!T182)</f>
        <v>#DIV/0!</v>
      </c>
      <c r="BZ182" s="63"/>
      <c r="CA182" s="58" t="e">
        <f>(Links!AN182^2+'Off-Ramp'!U182^2)/(Links!AN182+'Off-Ramp'!U182)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0"/>
  <sheetViews>
    <sheetView topLeftCell="I1" zoomScale="85" zoomScaleNormal="85" workbookViewId="0">
      <selection activeCell="C19" sqref="C19"/>
    </sheetView>
  </sheetViews>
  <sheetFormatPr defaultRowHeight="14.25" x14ac:dyDescent="0.15"/>
  <cols>
    <col min="1" max="1" width="11.625" style="48" customWidth="1"/>
    <col min="2" max="16384" width="9" style="48"/>
  </cols>
  <sheetData>
    <row r="1" spans="1:29" ht="15" x14ac:dyDescent="0.15">
      <c r="A1" s="122" t="s">
        <v>172</v>
      </c>
      <c r="B1" s="122" t="s">
        <v>287</v>
      </c>
      <c r="C1" s="122" t="s">
        <v>288</v>
      </c>
      <c r="D1" s="122" t="s">
        <v>289</v>
      </c>
      <c r="E1" s="122" t="s">
        <v>290</v>
      </c>
      <c r="F1" s="122" t="s">
        <v>284</v>
      </c>
      <c r="G1" s="122" t="s">
        <v>291</v>
      </c>
      <c r="H1" s="122" t="s">
        <v>286</v>
      </c>
      <c r="I1" s="122" t="s">
        <v>292</v>
      </c>
      <c r="J1" s="122" t="s">
        <v>285</v>
      </c>
      <c r="K1" s="122" t="s">
        <v>293</v>
      </c>
      <c r="L1" s="122" t="s">
        <v>294</v>
      </c>
      <c r="M1" s="125" t="s">
        <v>303</v>
      </c>
      <c r="Q1" s="122" t="s">
        <v>185</v>
      </c>
      <c r="R1" s="122" t="s">
        <v>287</v>
      </c>
      <c r="S1" s="122" t="s">
        <v>288</v>
      </c>
      <c r="T1" s="122" t="s">
        <v>289</v>
      </c>
      <c r="U1" s="122" t="s">
        <v>290</v>
      </c>
      <c r="V1" s="122" t="s">
        <v>284</v>
      </c>
      <c r="W1" s="122" t="s">
        <v>291</v>
      </c>
      <c r="X1" s="122" t="s">
        <v>286</v>
      </c>
      <c r="Y1" s="122" t="s">
        <v>292</v>
      </c>
      <c r="Z1" s="122" t="s">
        <v>285</v>
      </c>
      <c r="AA1" s="122" t="s">
        <v>293</v>
      </c>
      <c r="AB1" s="122" t="s">
        <v>294</v>
      </c>
      <c r="AC1" s="125" t="s">
        <v>303</v>
      </c>
    </row>
    <row r="2" spans="1:29" x14ac:dyDescent="0.15">
      <c r="A2" s="122" t="s">
        <v>287</v>
      </c>
      <c r="B2" s="126" t="s">
        <v>3</v>
      </c>
      <c r="C2" s="131">
        <v>0</v>
      </c>
      <c r="D2" s="128" t="s">
        <v>3</v>
      </c>
      <c r="E2" s="131">
        <v>0</v>
      </c>
      <c r="F2" s="128" t="s">
        <v>3</v>
      </c>
      <c r="G2" s="131">
        <v>0</v>
      </c>
      <c r="H2" s="131">
        <v>0</v>
      </c>
      <c r="I2" s="131">
        <v>0</v>
      </c>
      <c r="J2" s="131">
        <v>0</v>
      </c>
      <c r="K2" s="131">
        <v>0</v>
      </c>
      <c r="L2" s="131">
        <v>0</v>
      </c>
      <c r="Q2" s="122" t="s">
        <v>287</v>
      </c>
      <c r="R2" s="126" t="s">
        <v>3</v>
      </c>
      <c r="S2" s="131">
        <v>0</v>
      </c>
      <c r="T2" s="128" t="s">
        <v>3</v>
      </c>
      <c r="U2" s="131">
        <v>0</v>
      </c>
      <c r="V2" s="128" t="s">
        <v>3</v>
      </c>
      <c r="W2" s="131">
        <v>0</v>
      </c>
      <c r="X2" s="131">
        <v>0</v>
      </c>
      <c r="Y2" s="131">
        <v>0</v>
      </c>
      <c r="Z2" s="131">
        <v>0</v>
      </c>
      <c r="AA2" s="131">
        <v>0</v>
      </c>
      <c r="AB2" s="131">
        <v>0</v>
      </c>
    </row>
    <row r="3" spans="1:29" x14ac:dyDescent="0.15">
      <c r="A3" s="122" t="s">
        <v>288</v>
      </c>
      <c r="B3" s="129" t="s">
        <v>3</v>
      </c>
      <c r="C3" s="130" t="s">
        <v>3</v>
      </c>
      <c r="D3" s="130" t="s">
        <v>3</v>
      </c>
      <c r="E3" s="130" t="s">
        <v>3</v>
      </c>
      <c r="F3" s="130" t="s">
        <v>3</v>
      </c>
      <c r="G3" s="130" t="s">
        <v>3</v>
      </c>
      <c r="H3" s="130" t="s">
        <v>3</v>
      </c>
      <c r="I3" s="130" t="s">
        <v>3</v>
      </c>
      <c r="J3" s="130" t="s">
        <v>3</v>
      </c>
      <c r="K3" s="130" t="s">
        <v>3</v>
      </c>
      <c r="L3" s="130" t="s">
        <v>3</v>
      </c>
      <c r="Q3" s="122" t="s">
        <v>288</v>
      </c>
      <c r="R3" s="129" t="s">
        <v>3</v>
      </c>
      <c r="S3" s="130" t="s">
        <v>3</v>
      </c>
      <c r="T3" s="130" t="s">
        <v>3</v>
      </c>
      <c r="U3" s="130" t="s">
        <v>3</v>
      </c>
      <c r="V3" s="130" t="s">
        <v>3</v>
      </c>
      <c r="W3" s="130" t="s">
        <v>3</v>
      </c>
      <c r="X3" s="130" t="s">
        <v>3</v>
      </c>
      <c r="Y3" s="130" t="s">
        <v>3</v>
      </c>
      <c r="Z3" s="130" t="s">
        <v>3</v>
      </c>
      <c r="AA3" s="130" t="s">
        <v>3</v>
      </c>
      <c r="AB3" s="130" t="s">
        <v>3</v>
      </c>
    </row>
    <row r="4" spans="1:29" x14ac:dyDescent="0.15">
      <c r="A4" s="122" t="s">
        <v>295</v>
      </c>
      <c r="B4" s="129" t="s">
        <v>3</v>
      </c>
      <c r="C4" s="130" t="s">
        <v>3</v>
      </c>
      <c r="D4" s="130" t="s">
        <v>3</v>
      </c>
      <c r="E4" s="132">
        <v>0</v>
      </c>
      <c r="F4" s="130" t="s">
        <v>3</v>
      </c>
      <c r="G4" s="132">
        <v>0</v>
      </c>
      <c r="H4" s="132">
        <v>0</v>
      </c>
      <c r="I4" s="132">
        <v>0</v>
      </c>
      <c r="J4" s="132">
        <v>0</v>
      </c>
      <c r="K4" s="132">
        <v>0</v>
      </c>
      <c r="L4" s="132">
        <v>0</v>
      </c>
      <c r="Q4" s="122" t="s">
        <v>295</v>
      </c>
      <c r="R4" s="129" t="s">
        <v>3</v>
      </c>
      <c r="S4" s="130" t="s">
        <v>3</v>
      </c>
      <c r="T4" s="130" t="s">
        <v>3</v>
      </c>
      <c r="U4" s="132">
        <v>0</v>
      </c>
      <c r="V4" s="130" t="s">
        <v>3</v>
      </c>
      <c r="W4" s="132">
        <v>0</v>
      </c>
      <c r="X4" s="132">
        <v>0</v>
      </c>
      <c r="Y4" s="132">
        <v>0</v>
      </c>
      <c r="Z4" s="132">
        <v>0</v>
      </c>
      <c r="AA4" s="132">
        <v>0</v>
      </c>
      <c r="AB4" s="132">
        <v>0</v>
      </c>
    </row>
    <row r="5" spans="1:29" x14ac:dyDescent="0.15">
      <c r="A5" s="122" t="s">
        <v>290</v>
      </c>
      <c r="B5" s="133">
        <v>0</v>
      </c>
      <c r="C5" s="130" t="s">
        <v>3</v>
      </c>
      <c r="D5" s="132">
        <v>0</v>
      </c>
      <c r="E5" s="130" t="s">
        <v>3</v>
      </c>
      <c r="F5" s="130" t="s">
        <v>3</v>
      </c>
      <c r="G5" s="130" t="s">
        <v>3</v>
      </c>
      <c r="H5" s="130" t="s">
        <v>3</v>
      </c>
      <c r="I5" s="130" t="s">
        <v>3</v>
      </c>
      <c r="J5" s="130" t="s">
        <v>3</v>
      </c>
      <c r="K5" s="130" t="s">
        <v>3</v>
      </c>
      <c r="L5" s="130" t="s">
        <v>3</v>
      </c>
      <c r="Q5" s="122" t="s">
        <v>290</v>
      </c>
      <c r="R5" s="133">
        <v>0</v>
      </c>
      <c r="S5" s="130" t="s">
        <v>3</v>
      </c>
      <c r="T5" s="132">
        <v>0</v>
      </c>
      <c r="U5" s="130" t="s">
        <v>3</v>
      </c>
      <c r="V5" s="130" t="s">
        <v>3</v>
      </c>
      <c r="W5" s="130" t="s">
        <v>3</v>
      </c>
      <c r="X5" s="130" t="s">
        <v>3</v>
      </c>
      <c r="Y5" s="130" t="s">
        <v>3</v>
      </c>
      <c r="Z5" s="130" t="s">
        <v>3</v>
      </c>
      <c r="AA5" s="130" t="s">
        <v>3</v>
      </c>
      <c r="AB5" s="130" t="s">
        <v>3</v>
      </c>
    </row>
    <row r="6" spans="1:29" x14ac:dyDescent="0.15">
      <c r="A6" s="122" t="s">
        <v>296</v>
      </c>
      <c r="B6" s="129" t="s">
        <v>3</v>
      </c>
      <c r="C6" s="130" t="s">
        <v>3</v>
      </c>
      <c r="D6" s="130" t="s">
        <v>3</v>
      </c>
      <c r="E6" s="130" t="s">
        <v>3</v>
      </c>
      <c r="F6" s="130" t="s">
        <v>3</v>
      </c>
      <c r="G6" s="132">
        <v>0</v>
      </c>
      <c r="H6" s="132">
        <v>0</v>
      </c>
      <c r="I6" s="132">
        <v>0</v>
      </c>
      <c r="J6" s="132">
        <v>0</v>
      </c>
      <c r="K6" s="132">
        <v>0</v>
      </c>
      <c r="L6" s="132">
        <v>0</v>
      </c>
      <c r="Q6" s="122" t="s">
        <v>296</v>
      </c>
      <c r="R6" s="129" t="s">
        <v>3</v>
      </c>
      <c r="S6" s="130" t="s">
        <v>3</v>
      </c>
      <c r="T6" s="130" t="s">
        <v>3</v>
      </c>
      <c r="U6" s="130" t="s">
        <v>3</v>
      </c>
      <c r="V6" s="130" t="s">
        <v>3</v>
      </c>
      <c r="W6" s="132">
        <v>0</v>
      </c>
      <c r="X6" s="132">
        <v>0</v>
      </c>
      <c r="Y6" s="132">
        <v>0</v>
      </c>
      <c r="Z6" s="132">
        <v>0</v>
      </c>
      <c r="AA6" s="132">
        <v>0</v>
      </c>
      <c r="AB6" s="132">
        <v>0</v>
      </c>
    </row>
    <row r="7" spans="1:29" x14ac:dyDescent="0.15">
      <c r="A7" s="122" t="s">
        <v>297</v>
      </c>
      <c r="B7" s="133">
        <v>0</v>
      </c>
      <c r="C7" s="130" t="s">
        <v>3</v>
      </c>
      <c r="D7" s="132">
        <v>0</v>
      </c>
      <c r="E7" s="130" t="s">
        <v>3</v>
      </c>
      <c r="F7" s="132">
        <v>0</v>
      </c>
      <c r="G7" s="130" t="s">
        <v>3</v>
      </c>
      <c r="H7" s="132">
        <v>0</v>
      </c>
      <c r="I7" s="132">
        <v>0</v>
      </c>
      <c r="J7" s="132">
        <v>0</v>
      </c>
      <c r="K7" s="132">
        <v>0</v>
      </c>
      <c r="L7" s="132">
        <v>0</v>
      </c>
      <c r="Q7" s="122" t="s">
        <v>297</v>
      </c>
      <c r="R7" s="133">
        <v>0</v>
      </c>
      <c r="S7" s="130" t="s">
        <v>3</v>
      </c>
      <c r="T7" s="132">
        <v>0</v>
      </c>
      <c r="U7" s="130" t="s">
        <v>3</v>
      </c>
      <c r="V7" s="132">
        <v>0</v>
      </c>
      <c r="W7" s="130" t="s">
        <v>3</v>
      </c>
      <c r="X7" s="132">
        <v>0</v>
      </c>
      <c r="Y7" s="132">
        <v>0</v>
      </c>
      <c r="Z7" s="132">
        <v>0</v>
      </c>
      <c r="AA7" s="132">
        <v>0</v>
      </c>
      <c r="AB7" s="132">
        <v>0</v>
      </c>
    </row>
    <row r="8" spans="1:29" x14ac:dyDescent="0.15">
      <c r="A8" s="122" t="s">
        <v>298</v>
      </c>
      <c r="B8" s="133">
        <v>0</v>
      </c>
      <c r="C8" s="130" t="s">
        <v>3</v>
      </c>
      <c r="D8" s="132">
        <v>0</v>
      </c>
      <c r="E8" s="130" t="s">
        <v>3</v>
      </c>
      <c r="F8" s="132">
        <v>0</v>
      </c>
      <c r="G8" s="132">
        <v>0</v>
      </c>
      <c r="H8" s="130" t="s">
        <v>3</v>
      </c>
      <c r="I8" s="132">
        <v>0</v>
      </c>
      <c r="J8" s="132">
        <v>0</v>
      </c>
      <c r="K8" s="132">
        <v>0</v>
      </c>
      <c r="L8" s="132">
        <v>0</v>
      </c>
      <c r="Q8" s="122" t="s">
        <v>298</v>
      </c>
      <c r="R8" s="133">
        <v>0</v>
      </c>
      <c r="S8" s="130" t="s">
        <v>3</v>
      </c>
      <c r="T8" s="132">
        <v>0</v>
      </c>
      <c r="U8" s="130" t="s">
        <v>3</v>
      </c>
      <c r="V8" s="132">
        <v>0</v>
      </c>
      <c r="W8" s="132">
        <v>0</v>
      </c>
      <c r="X8" s="130" t="s">
        <v>3</v>
      </c>
      <c r="Y8" s="132">
        <v>0</v>
      </c>
      <c r="Z8" s="132">
        <v>0</v>
      </c>
      <c r="AA8" s="132">
        <v>0</v>
      </c>
      <c r="AB8" s="132">
        <v>0</v>
      </c>
    </row>
    <row r="9" spans="1:29" x14ac:dyDescent="0.15">
      <c r="A9" s="122" t="s">
        <v>299</v>
      </c>
      <c r="B9" s="133">
        <v>0</v>
      </c>
      <c r="C9" s="130" t="s">
        <v>3</v>
      </c>
      <c r="D9" s="132">
        <v>0</v>
      </c>
      <c r="E9" s="130" t="s">
        <v>3</v>
      </c>
      <c r="F9" s="132">
        <v>0</v>
      </c>
      <c r="G9" s="132">
        <v>0</v>
      </c>
      <c r="H9" s="132">
        <v>0</v>
      </c>
      <c r="I9" s="130" t="s">
        <v>3</v>
      </c>
      <c r="J9" s="132">
        <v>0</v>
      </c>
      <c r="K9" s="132">
        <v>0</v>
      </c>
      <c r="L9" s="132">
        <v>0</v>
      </c>
      <c r="Q9" s="122" t="s">
        <v>299</v>
      </c>
      <c r="R9" s="133">
        <v>0</v>
      </c>
      <c r="S9" s="130" t="s">
        <v>3</v>
      </c>
      <c r="T9" s="132">
        <v>0</v>
      </c>
      <c r="U9" s="130" t="s">
        <v>3</v>
      </c>
      <c r="V9" s="132">
        <v>0</v>
      </c>
      <c r="W9" s="132">
        <v>0</v>
      </c>
      <c r="X9" s="132">
        <v>0</v>
      </c>
      <c r="Y9" s="130" t="s">
        <v>3</v>
      </c>
      <c r="Z9" s="132">
        <v>0</v>
      </c>
      <c r="AA9" s="132">
        <v>0</v>
      </c>
      <c r="AB9" s="132">
        <v>0</v>
      </c>
    </row>
    <row r="10" spans="1:29" x14ac:dyDescent="0.15">
      <c r="A10" s="122" t="s">
        <v>285</v>
      </c>
      <c r="B10" s="133">
        <v>0</v>
      </c>
      <c r="C10" s="130" t="s">
        <v>3</v>
      </c>
      <c r="D10" s="132">
        <v>0</v>
      </c>
      <c r="E10" s="130" t="s">
        <v>3</v>
      </c>
      <c r="F10" s="132">
        <v>0</v>
      </c>
      <c r="G10" s="132">
        <v>0</v>
      </c>
      <c r="H10" s="132">
        <v>0</v>
      </c>
      <c r="I10" s="132">
        <v>0</v>
      </c>
      <c r="J10" s="130" t="s">
        <v>3</v>
      </c>
      <c r="K10" s="130" t="s">
        <v>3</v>
      </c>
      <c r="L10" s="130" t="s">
        <v>27</v>
      </c>
      <c r="Q10" s="122" t="s">
        <v>285</v>
      </c>
      <c r="R10" s="133">
        <v>0</v>
      </c>
      <c r="S10" s="130" t="s">
        <v>3</v>
      </c>
      <c r="T10" s="132">
        <v>0</v>
      </c>
      <c r="U10" s="130" t="s">
        <v>3</v>
      </c>
      <c r="V10" s="132">
        <v>0</v>
      </c>
      <c r="W10" s="132">
        <v>0</v>
      </c>
      <c r="X10" s="132">
        <v>0</v>
      </c>
      <c r="Y10" s="132">
        <v>0</v>
      </c>
      <c r="Z10" s="130" t="s">
        <v>3</v>
      </c>
      <c r="AA10" s="130" t="s">
        <v>3</v>
      </c>
      <c r="AB10" s="130" t="s">
        <v>27</v>
      </c>
    </row>
    <row r="11" spans="1:29" x14ac:dyDescent="0.15">
      <c r="A11" s="122" t="s">
        <v>300</v>
      </c>
      <c r="B11" s="133">
        <v>0</v>
      </c>
      <c r="C11" s="130" t="s">
        <v>3</v>
      </c>
      <c r="D11" s="132">
        <v>0</v>
      </c>
      <c r="E11" s="130" t="s">
        <v>3</v>
      </c>
      <c r="F11" s="132">
        <v>0</v>
      </c>
      <c r="G11" s="132">
        <v>0</v>
      </c>
      <c r="H11" s="132">
        <v>0</v>
      </c>
      <c r="I11" s="132">
        <v>0</v>
      </c>
      <c r="J11" s="130" t="s">
        <v>3</v>
      </c>
      <c r="K11" s="130" t="s">
        <v>3</v>
      </c>
      <c r="L11" s="130" t="s">
        <v>27</v>
      </c>
      <c r="Q11" s="122" t="s">
        <v>300</v>
      </c>
      <c r="R11" s="133">
        <v>0</v>
      </c>
      <c r="S11" s="130" t="s">
        <v>3</v>
      </c>
      <c r="T11" s="132">
        <v>0</v>
      </c>
      <c r="U11" s="130" t="s">
        <v>3</v>
      </c>
      <c r="V11" s="132">
        <v>0</v>
      </c>
      <c r="W11" s="132">
        <v>0</v>
      </c>
      <c r="X11" s="132">
        <v>0</v>
      </c>
      <c r="Y11" s="132">
        <v>0</v>
      </c>
      <c r="Z11" s="130" t="s">
        <v>3</v>
      </c>
      <c r="AA11" s="130" t="s">
        <v>3</v>
      </c>
      <c r="AB11" s="130" t="s">
        <v>27</v>
      </c>
    </row>
    <row r="12" spans="1:29" x14ac:dyDescent="0.15">
      <c r="A12" s="122" t="s">
        <v>294</v>
      </c>
      <c r="B12" s="133">
        <v>0</v>
      </c>
      <c r="C12" s="130" t="s">
        <v>3</v>
      </c>
      <c r="D12" s="132">
        <v>0</v>
      </c>
      <c r="E12" s="130" t="s">
        <v>3</v>
      </c>
      <c r="F12" s="132">
        <v>0</v>
      </c>
      <c r="G12" s="132">
        <v>0</v>
      </c>
      <c r="H12" s="132">
        <v>0</v>
      </c>
      <c r="I12" s="132">
        <v>0</v>
      </c>
      <c r="J12" s="130" t="s">
        <v>27</v>
      </c>
      <c r="K12" s="130" t="s">
        <v>27</v>
      </c>
      <c r="L12" s="130" t="s">
        <v>27</v>
      </c>
      <c r="Q12" s="122" t="s">
        <v>294</v>
      </c>
      <c r="R12" s="133">
        <v>0</v>
      </c>
      <c r="S12" s="130" t="s">
        <v>3</v>
      </c>
      <c r="T12" s="132">
        <v>0</v>
      </c>
      <c r="U12" s="130" t="s">
        <v>3</v>
      </c>
      <c r="V12" s="132">
        <v>0</v>
      </c>
      <c r="W12" s="132">
        <v>0</v>
      </c>
      <c r="X12" s="132">
        <v>0</v>
      </c>
      <c r="Y12" s="132">
        <v>0</v>
      </c>
      <c r="Z12" s="130" t="s">
        <v>27</v>
      </c>
      <c r="AA12" s="130" t="s">
        <v>27</v>
      </c>
      <c r="AB12" s="130" t="s">
        <v>27</v>
      </c>
    </row>
    <row r="13" spans="1:29" ht="15" x14ac:dyDescent="0.15">
      <c r="A13" s="125" t="s">
        <v>302</v>
      </c>
      <c r="Q13" s="125" t="s">
        <v>302</v>
      </c>
    </row>
    <row r="17" spans="1:14" x14ac:dyDescent="0.15">
      <c r="A17" s="46" t="s">
        <v>301</v>
      </c>
      <c r="B17" s="124">
        <v>1</v>
      </c>
      <c r="C17" s="123">
        <v>2</v>
      </c>
      <c r="D17" s="123">
        <v>3</v>
      </c>
      <c r="E17" s="123">
        <v>4</v>
      </c>
      <c r="F17" s="123">
        <v>5</v>
      </c>
      <c r="G17" s="123">
        <v>6</v>
      </c>
      <c r="H17" s="123">
        <v>7</v>
      </c>
      <c r="I17" s="123">
        <v>8</v>
      </c>
      <c r="J17" s="123">
        <v>9</v>
      </c>
      <c r="K17" s="123">
        <v>10</v>
      </c>
      <c r="L17" s="123">
        <v>11</v>
      </c>
      <c r="M17" s="123">
        <v>12</v>
      </c>
      <c r="N17" s="123">
        <v>13</v>
      </c>
    </row>
    <row r="18" spans="1:14" x14ac:dyDescent="0.15">
      <c r="A18" s="46" t="s">
        <v>195</v>
      </c>
      <c r="B18" s="127" t="e">
        <f>C2/SUM(C2,E2,G2:L2)</f>
        <v>#DIV/0!</v>
      </c>
      <c r="C18" s="130" t="s">
        <v>3</v>
      </c>
      <c r="D18" s="127" t="e">
        <f>SUM(E2,E4)/SUM(E2,G2:L2,E4,G4:L4)</f>
        <v>#DIV/0!</v>
      </c>
      <c r="E18" s="130" t="s">
        <v>3</v>
      </c>
      <c r="F18" s="127" t="e">
        <f>SUM(G2,G4,G6)/SUM(G2:L2,G4:L4,G6:L6,H7:L7)</f>
        <v>#DIV/0!</v>
      </c>
      <c r="G18" s="127" t="e">
        <f>SUM(H2,H4,H6,H7)/SUM(H2:L2,H4:L4,H6:L6,H7:L7,I8:L8)</f>
        <v>#DIV/0!</v>
      </c>
      <c r="H18" s="127" t="e">
        <f>SUM(J2:L2,J4:L4,J6:L6,J7:L7,J8:L8)/SUM(I2:L2,I4:L4,I6:L6,I7:L7,I8:L8,I10:I12)</f>
        <v>#DIV/0!</v>
      </c>
      <c r="I18" s="127" t="e">
        <f>SUM(J9:L9)/SUM(B9,D9,F9:H9,B10:B12,D10:D12,F10:H12)</f>
        <v>#DIV/0!</v>
      </c>
      <c r="J18" s="127" t="e">
        <f>SUM(H9:H12)/SUM(B9:B12,D9:D12,F9:H12,B8,D8,F8:G8)</f>
        <v>#DIV/0!</v>
      </c>
      <c r="K18" s="127" t="e">
        <f>SUM(G8:G12)/SUM(B8:B12,D8:D12,F8:G12,B7,D7,F7)</f>
        <v>#DIV/0!</v>
      </c>
      <c r="L18" s="127" t="e">
        <f>SUM(F7:F12)/SUM(B7:B12,D7:D12,F7:F12)</f>
        <v>#DIV/0!</v>
      </c>
      <c r="M18" s="130" t="s">
        <v>3</v>
      </c>
      <c r="N18" s="127" t="e">
        <f>SUM(D7:D12)/SUM(B7:B12,D7:D12)</f>
        <v>#DIV/0!</v>
      </c>
    </row>
    <row r="19" spans="1:14" x14ac:dyDescent="0.15">
      <c r="A19" s="46" t="s">
        <v>172</v>
      </c>
      <c r="B19" s="130" t="s">
        <v>3</v>
      </c>
      <c r="C19" s="127">
        <f>SUM(E4,G4:L4)</f>
        <v>0</v>
      </c>
      <c r="D19" s="130" t="s">
        <v>3</v>
      </c>
      <c r="E19" s="127">
        <f>SUM(G6:L6)</f>
        <v>0</v>
      </c>
      <c r="F19" s="127">
        <f>SUM(H7:L7)</f>
        <v>0</v>
      </c>
      <c r="G19" s="127">
        <f>SUM(I8:L8)</f>
        <v>0</v>
      </c>
      <c r="H19" s="127">
        <f>SUM(J9:L9)</f>
        <v>0</v>
      </c>
      <c r="I19" s="127">
        <f>SUM(B10:B12,D10:D12,F10:H12)</f>
        <v>0</v>
      </c>
      <c r="J19" s="127">
        <f>SUM(B8,D8,F8:G8)</f>
        <v>0</v>
      </c>
      <c r="K19" s="127">
        <f>SUM(B7,D7,F7)</f>
        <v>0</v>
      </c>
      <c r="L19" s="130" t="s">
        <v>3</v>
      </c>
      <c r="M19" s="127">
        <f>SUM(B5,D5)</f>
        <v>0</v>
      </c>
      <c r="N19" s="130" t="s">
        <v>3</v>
      </c>
    </row>
    <row r="20" spans="1:14" x14ac:dyDescent="0.15">
      <c r="A20" s="46" t="s">
        <v>304</v>
      </c>
      <c r="B20" s="127" t="e">
        <f>(C2+SUMPRODUCT(E2,U2)+SUMPRODUCT(G2:L2,W2:AB2))/SUM(C2,E2,G2:L2)</f>
        <v>#DIV/0!</v>
      </c>
      <c r="C20" s="130" t="s">
        <v>3</v>
      </c>
      <c r="D20" s="127" t="e">
        <f>SUM(E2,E4,SUMPRODUCT(G2:L2,W2:AB2))/SUM(E2,G2:L2,E4,G4:L4)</f>
        <v>#DIV/0!</v>
      </c>
      <c r="E20" s="130" t="s">
        <v>3</v>
      </c>
      <c r="F20" s="127" t="e">
        <f>SUM(G2,G4,G6,SUMPRODUCT(H2:L2,X2:AB2),SUMPRODUCT(H4:L4,X4:AB4),SUMPRODUCT(H6:L6,X6:AB6))/SUM(G2:L2,G4:L4,G6:L6,H7:L7)</f>
        <v>#DIV/0!</v>
      </c>
      <c r="G20" s="127" t="e">
        <f>SUM(H2,H4,H6,H7,SUMPRODUCT(I2:L2,Y2:AB2),SUMPRODUCT(I4:L4,Y4:AB4),SUMPRODUCT(I6:L7,Y6:AB7))/SUM(H2:L2,H4:L4,H6:L6,H7:L7,I8:L8)</f>
        <v>#DIV/0!</v>
      </c>
      <c r="H20" s="127" t="e">
        <f>SUM(J2:L2,J4:L4,J6:L6,J7:L7,J8:L8,I2*Y2,I4*Y4,SUMPRODUCT(I6:I8,Y6:Y8))/SUM(I2:L2,I4:L4,I6:L6,I7:L7,I8:L8,I10:I12)</f>
        <v>#DIV/0!</v>
      </c>
      <c r="I20" s="127" t="e">
        <f>SUM(J9:L9,B9*R9,D9*T9,SUMPRODUCT(V9:X9))/SUM(B9,D9,F9:H9,B10:B12,D10:D12,F10:H12)</f>
        <v>#DIV/0!</v>
      </c>
      <c r="J20" s="127" t="e">
        <f>SUM(H9:H12,SUMPRODUCT(B9:B12,R9:R12),SUMPRODUCT(D9:D12,T9:T12),SUMPRODUCT(F9:G12,V9:W12))/SUM(B9:B12,D9:D12,F9:H12,B8,D8,F8:G8)</f>
        <v>#DIV/0!</v>
      </c>
      <c r="K20" s="127" t="e">
        <f>SUM(G8:G12,SUMPRODUCT(B8:B12,R8:R12),SUMPRODUCT(D8:D12,T8:T12),SUMPRODUCT(F8:F12,V8:V12))/SUM(B8:B12,D8:D12,F8:G12,B7,D7,F7)</f>
        <v>#DIV/0!</v>
      </c>
      <c r="L20" s="127" t="e">
        <f>SUM(F7:F12,SUMPRODUCT(B7:B12,R7:R12),SUMPRODUCT(D7:D12,T7:T12))/SUM(B7:B12,D7:D12,F7:F12)</f>
        <v>#DIV/0!</v>
      </c>
      <c r="M20" s="130" t="s">
        <v>3</v>
      </c>
      <c r="N20" s="127" t="e">
        <f>SUM(D7:D12,SUMPRODUCT(B7:B12,R7:R12))/SUM(B7:B12,D7:D12)</f>
        <v>#DIV/0!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4"/>
  <sheetViews>
    <sheetView zoomScale="66" zoomScaleNormal="66" workbookViewId="0">
      <selection activeCell="BD4" sqref="BD4:BL182"/>
    </sheetView>
  </sheetViews>
  <sheetFormatPr defaultRowHeight="14.25" x14ac:dyDescent="0.15"/>
  <cols>
    <col min="1" max="1" width="9" style="52"/>
    <col min="2" max="16384" width="9" style="48"/>
  </cols>
  <sheetData>
    <row r="1" spans="1:91" x14ac:dyDescent="0.15">
      <c r="A1" s="109" t="s">
        <v>169</v>
      </c>
      <c r="B1" s="107" t="s">
        <v>170</v>
      </c>
      <c r="C1" s="107"/>
      <c r="D1" s="107"/>
      <c r="E1" s="107"/>
      <c r="F1" s="107"/>
      <c r="G1" s="107"/>
      <c r="H1" s="107"/>
      <c r="I1" s="107"/>
      <c r="J1" s="107"/>
      <c r="K1" s="107" t="s">
        <v>171</v>
      </c>
      <c r="L1" s="107"/>
      <c r="M1" s="107"/>
      <c r="N1" s="107"/>
      <c r="O1" s="107"/>
      <c r="P1" s="107"/>
      <c r="Q1" s="107"/>
      <c r="R1" s="107"/>
      <c r="S1" s="107"/>
      <c r="T1" s="107" t="s">
        <v>172</v>
      </c>
      <c r="U1" s="107"/>
      <c r="V1" s="107"/>
      <c r="W1" s="107"/>
      <c r="X1" s="107"/>
      <c r="Y1" s="107"/>
      <c r="Z1" s="107"/>
      <c r="AA1" s="107"/>
      <c r="AB1" s="107"/>
      <c r="AC1" s="107" t="s">
        <v>168</v>
      </c>
      <c r="AD1" s="107"/>
      <c r="AE1" s="107"/>
      <c r="AF1" s="107"/>
      <c r="AG1" s="107"/>
      <c r="AH1" s="107"/>
      <c r="AI1" s="107"/>
      <c r="AJ1" s="107"/>
      <c r="AK1" s="107"/>
      <c r="AL1" s="107" t="s">
        <v>173</v>
      </c>
      <c r="AM1" s="107"/>
      <c r="AN1" s="107"/>
      <c r="AO1" s="107"/>
      <c r="AP1" s="107"/>
      <c r="AQ1" s="107"/>
      <c r="AR1" s="107"/>
      <c r="AS1" s="107"/>
      <c r="AT1" s="107"/>
      <c r="AU1" s="107" t="s">
        <v>174</v>
      </c>
      <c r="AV1" s="107"/>
      <c r="AW1" s="107"/>
      <c r="AX1" s="107"/>
      <c r="AY1" s="107"/>
      <c r="AZ1" s="107"/>
      <c r="BA1" s="107"/>
      <c r="BB1" s="107"/>
      <c r="BC1" s="107"/>
      <c r="BD1" s="107" t="s">
        <v>198</v>
      </c>
      <c r="BE1" s="107"/>
      <c r="BF1" s="107"/>
      <c r="BG1" s="107"/>
      <c r="BH1" s="107"/>
      <c r="BI1" s="107"/>
      <c r="BJ1" s="107"/>
      <c r="BK1" s="107"/>
      <c r="BL1" s="107"/>
      <c r="BM1" s="108" t="s">
        <v>189</v>
      </c>
      <c r="BN1" s="108"/>
      <c r="BO1" s="108"/>
      <c r="BP1" s="108"/>
      <c r="BQ1" s="108"/>
      <c r="BR1" s="108"/>
      <c r="BS1" s="108"/>
      <c r="BT1" s="108"/>
      <c r="BU1" s="108"/>
      <c r="BV1" s="108" t="s">
        <v>208</v>
      </c>
      <c r="BW1" s="108"/>
      <c r="BX1" s="108"/>
      <c r="BY1" s="108"/>
      <c r="BZ1" s="108"/>
      <c r="CA1" s="108"/>
      <c r="CB1" s="108"/>
      <c r="CC1" s="108"/>
      <c r="CD1" s="108"/>
      <c r="CE1" s="107" t="s">
        <v>199</v>
      </c>
      <c r="CF1" s="107"/>
      <c r="CG1" s="107"/>
      <c r="CH1" s="107"/>
      <c r="CI1" s="107"/>
      <c r="CJ1" s="107"/>
      <c r="CK1" s="107"/>
      <c r="CL1" s="107"/>
      <c r="CM1" s="107"/>
    </row>
    <row r="2" spans="1:91" s="50" customFormat="1" x14ac:dyDescent="0.15">
      <c r="A2" s="110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9">
        <v>1</v>
      </c>
      <c r="BN2" s="49">
        <v>2</v>
      </c>
      <c r="BO2" s="49">
        <v>3</v>
      </c>
      <c r="BP2" s="49">
        <v>4</v>
      </c>
      <c r="BQ2" s="49">
        <v>5</v>
      </c>
      <c r="BR2" s="49">
        <v>6</v>
      </c>
      <c r="BS2" s="49">
        <v>7</v>
      </c>
      <c r="BT2" s="49">
        <v>8</v>
      </c>
      <c r="BU2" s="49">
        <v>9</v>
      </c>
      <c r="BV2" s="49">
        <v>1</v>
      </c>
      <c r="BW2" s="49">
        <v>2</v>
      </c>
      <c r="BX2" s="49">
        <v>3</v>
      </c>
      <c r="BY2" s="49">
        <v>4</v>
      </c>
      <c r="BZ2" s="49">
        <v>5</v>
      </c>
      <c r="CA2" s="49">
        <v>6</v>
      </c>
      <c r="CB2" s="49">
        <v>7</v>
      </c>
      <c r="CC2" s="49">
        <v>8</v>
      </c>
      <c r="CD2" s="49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>
        <f>B194/ATM_Conf!$C$6</f>
        <v>0</v>
      </c>
      <c r="L3" s="42">
        <f>C194/ATM_Conf!$C$6</f>
        <v>0</v>
      </c>
      <c r="M3" s="42">
        <f>D194/ATM_Conf!$C$6</f>
        <v>0</v>
      </c>
      <c r="N3" s="42">
        <f>E194/ATM_Conf!$C$6</f>
        <v>0</v>
      </c>
      <c r="O3" s="42">
        <f>F194/ATM_Conf!$C$6</f>
        <v>0</v>
      </c>
      <c r="P3" s="42">
        <f>G194/ATM_Conf!$C$6</f>
        <v>0</v>
      </c>
      <c r="Q3" s="42">
        <f>H194/ATM_Conf!$C$6</f>
        <v>0</v>
      </c>
      <c r="R3" s="42">
        <f>I194/ATM_Conf!$C$6</f>
        <v>0</v>
      </c>
      <c r="S3" s="42">
        <f>J194/ATM_Conf!$C$6</f>
        <v>0</v>
      </c>
      <c r="T3" s="134">
        <f>OD!C19</f>
        <v>0</v>
      </c>
      <c r="U3" s="134">
        <f>OD!E19</f>
        <v>0</v>
      </c>
      <c r="V3" s="134">
        <f>OD!F19</f>
        <v>0</v>
      </c>
      <c r="W3" s="134">
        <f>OD!G19</f>
        <v>0</v>
      </c>
      <c r="X3" s="134">
        <f>OD!H19</f>
        <v>0</v>
      </c>
      <c r="Y3" s="134">
        <f>OD!I19</f>
        <v>0</v>
      </c>
      <c r="Z3" s="134">
        <f>OD!J19</f>
        <v>0</v>
      </c>
      <c r="AA3" s="134">
        <f>OD!K19</f>
        <v>0</v>
      </c>
      <c r="AB3" s="134">
        <f>OD!M19</f>
        <v>0</v>
      </c>
      <c r="AC3" s="43" t="e">
        <f>B3*MIN(AL3,AU3)</f>
        <v>#DIV/0!</v>
      </c>
      <c r="AD3" s="43" t="e">
        <f t="shared" ref="AD3:AK3" si="0">C3*MIN(AM3,AV3)</f>
        <v>#DIV/0!</v>
      </c>
      <c r="AE3" s="43" t="e">
        <f t="shared" si="0"/>
        <v>#DIV/0!</v>
      </c>
      <c r="AF3" s="43" t="e">
        <f t="shared" si="0"/>
        <v>#DIV/0!</v>
      </c>
      <c r="AG3" s="43" t="e">
        <f t="shared" si="0"/>
        <v>#DIV/0!</v>
      </c>
      <c r="AH3" s="43" t="e">
        <f t="shared" si="0"/>
        <v>#DIV/0!</v>
      </c>
      <c r="AI3" s="43" t="e">
        <f t="shared" si="0"/>
        <v>#DIV/0!</v>
      </c>
      <c r="AJ3" s="43" t="e">
        <f t="shared" si="0"/>
        <v>#DIV/0!</v>
      </c>
      <c r="AK3" s="43" t="e">
        <f t="shared" si="0"/>
        <v>#DIV/0!</v>
      </c>
      <c r="AL3" s="43">
        <f>T$3+K3/ATM_Conf!$C$5</f>
        <v>0</v>
      </c>
      <c r="AM3" s="43">
        <f>U$3+L3/ATM_Conf!$C$5</f>
        <v>0</v>
      </c>
      <c r="AN3" s="43">
        <f>V$3+M3/ATM_Conf!$C$5</f>
        <v>0</v>
      </c>
      <c r="AO3" s="43">
        <f>W$3+N3/ATM_Conf!$C$5</f>
        <v>0</v>
      </c>
      <c r="AP3" s="43">
        <f>X$3+O3/ATM_Conf!$C$5</f>
        <v>0</v>
      </c>
      <c r="AQ3" s="43">
        <f>Y$3+P3/ATM_Conf!$C$5</f>
        <v>0</v>
      </c>
      <c r="AR3" s="43">
        <f>Z$3+Q3/ATM_Conf!$C$5</f>
        <v>0</v>
      </c>
      <c r="AS3" s="43">
        <f>AA$3+R3/ATM_Conf!$C$5</f>
        <v>0</v>
      </c>
      <c r="AT3" s="43">
        <f>AB$3+S3/ATM_Conf!$C$5</f>
        <v>0</v>
      </c>
      <c r="AU3" s="43" t="e">
        <f>BD$3*MIN(1,(ATM_Conf!$C$6-Links!X3)/(ATM_Conf!$C$6-ATM_Conf!$C$7))</f>
        <v>#DIV/0!</v>
      </c>
      <c r="AV3" s="43" t="e">
        <f>BE$3*MIN(1,(ATM_Conf!$C$6-Links!Z3)/(ATM_Conf!$C$6-ATM_Conf!$C$7))</f>
        <v>#DIV/0!</v>
      </c>
      <c r="AW3" s="43" t="e">
        <f>BF$3*MIN(1,(ATM_Conf!$C$6-Links!AA3)/(ATM_Conf!$C$6-ATM_Conf!$C$7))</f>
        <v>#DIV/0!</v>
      </c>
      <c r="AX3" s="43" t="e">
        <f>BG$3*MIN(1,(ATM_Conf!$C$6-Links!AD3)/(ATM_Conf!$C$6-ATM_Conf!$C$7))</f>
        <v>#DIV/0!</v>
      </c>
      <c r="AY3" s="43" t="e">
        <f>BH$3*MIN(1,(ATM_Conf!$C$6-Links!AE3)/(ATM_Conf!$C$6-ATM_Conf!$C$7))</f>
        <v>#DIV/0!</v>
      </c>
      <c r="AZ3" s="43" t="e">
        <f>BI$3*MIN(1,(ATM_Conf!$C$6-Links!AG3)/(ATM_Conf!$C$6-ATM_Conf!$C$7))</f>
        <v>#DIV/0!</v>
      </c>
      <c r="BA3" s="43" t="e">
        <f>BJ$3*MIN(1,(ATM_Conf!$C$6-Links!AH3)/(ATM_Conf!$C$6-ATM_Conf!$C$7))</f>
        <v>#DIV/0!</v>
      </c>
      <c r="BB3" s="43" t="e">
        <f>BK$3*MIN(1,(ATM_Conf!$C$6-Links!AK3)/(ATM_Conf!$C$6-ATM_Conf!$C$7))</f>
        <v>#DIV/0!</v>
      </c>
      <c r="BC3" s="43" t="e">
        <f>BL$3*MIN(1,(ATM_Conf!$C$6-Links!AM3)/(ATM_Conf!$C$6-ATM_Conf!$C$7))</f>
        <v>#DIV/0!</v>
      </c>
      <c r="BD3" s="44"/>
      <c r="BE3" s="44"/>
      <c r="BF3" s="44"/>
      <c r="BG3" s="44"/>
      <c r="BH3" s="44"/>
      <c r="BI3" s="44"/>
      <c r="BJ3" s="44"/>
      <c r="BK3" s="44"/>
      <c r="BL3" s="44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42"/>
      <c r="CF3" s="42"/>
      <c r="CG3" s="42"/>
      <c r="CH3" s="42"/>
      <c r="CI3" s="42"/>
      <c r="CJ3" s="42"/>
      <c r="CK3" s="42"/>
      <c r="CL3" s="42"/>
      <c r="CM3" s="42"/>
    </row>
    <row r="4" spans="1:91" x14ac:dyDescent="0.15">
      <c r="A4" s="41">
        <v>2</v>
      </c>
      <c r="B4" s="43">
        <f>B$3</f>
        <v>1</v>
      </c>
      <c r="C4" s="43">
        <f t="shared" ref="C4:J14" si="1">C$3</f>
        <v>1</v>
      </c>
      <c r="D4" s="43">
        <f t="shared" si="1"/>
        <v>1</v>
      </c>
      <c r="E4" s="43">
        <f t="shared" si="1"/>
        <v>1</v>
      </c>
      <c r="F4" s="43">
        <f t="shared" si="1"/>
        <v>1</v>
      </c>
      <c r="G4" s="43">
        <f t="shared" si="1"/>
        <v>1</v>
      </c>
      <c r="H4" s="43">
        <f t="shared" si="1"/>
        <v>1</v>
      </c>
      <c r="I4" s="43">
        <f t="shared" si="1"/>
        <v>1</v>
      </c>
      <c r="J4" s="43">
        <f t="shared" si="1"/>
        <v>1</v>
      </c>
      <c r="K4" s="43" t="e">
        <f>K3+ATM_Conf!$C$5*(T3-AC3)</f>
        <v>#DIV/0!</v>
      </c>
      <c r="L4" s="43" t="e">
        <f>L3+ATM_Conf!$C$5*(U3-AD3)</f>
        <v>#DIV/0!</v>
      </c>
      <c r="M4" s="43" t="e">
        <f>M3+ATM_Conf!$C$5*(V3-AE3)</f>
        <v>#DIV/0!</v>
      </c>
      <c r="N4" s="43" t="e">
        <f>N3+ATM_Conf!$C$5*(W3-AF3)</f>
        <v>#DIV/0!</v>
      </c>
      <c r="O4" s="43" t="e">
        <f>O3+ATM_Conf!$C$5*(X3-AG3)</f>
        <v>#DIV/0!</v>
      </c>
      <c r="P4" s="43" t="e">
        <f>P3+ATM_Conf!$C$5*(Y3-AH3)</f>
        <v>#DIV/0!</v>
      </c>
      <c r="Q4" s="43" t="e">
        <f>Q3+ATM_Conf!$C$5*(Z3-AI3)</f>
        <v>#DIV/0!</v>
      </c>
      <c r="R4" s="43" t="e">
        <f>R3+ATM_Conf!$C$5*(AA3-AJ3)</f>
        <v>#DIV/0!</v>
      </c>
      <c r="S4" s="43" t="e">
        <f>S3+ATM_Conf!$C$5*(AB3-AK3)</f>
        <v>#DIV/0!</v>
      </c>
      <c r="T4" s="43">
        <f>T$3</f>
        <v>0</v>
      </c>
      <c r="U4" s="43">
        <f t="shared" ref="U4:AB19" si="2">U$3</f>
        <v>0</v>
      </c>
      <c r="V4" s="43">
        <f t="shared" si="2"/>
        <v>0</v>
      </c>
      <c r="W4" s="43">
        <f t="shared" si="2"/>
        <v>0</v>
      </c>
      <c r="X4" s="43">
        <f t="shared" si="2"/>
        <v>0</v>
      </c>
      <c r="Y4" s="43">
        <f t="shared" si="2"/>
        <v>0</v>
      </c>
      <c r="Z4" s="43">
        <f t="shared" si="2"/>
        <v>0</v>
      </c>
      <c r="AA4" s="43">
        <f t="shared" si="2"/>
        <v>0</v>
      </c>
      <c r="AB4" s="43">
        <f t="shared" si="2"/>
        <v>0</v>
      </c>
      <c r="AC4" s="43" t="e">
        <f t="shared" ref="AC4:AC67" si="3">B4*MIN(AL4,AU4)</f>
        <v>#DIV/0!</v>
      </c>
      <c r="AD4" s="43" t="e">
        <f t="shared" ref="AD4:AD67" si="4">C4*MIN(AM4,AV4)</f>
        <v>#DIV/0!</v>
      </c>
      <c r="AE4" s="43" t="e">
        <f t="shared" ref="AE4:AE67" si="5">D4*MIN(AN4,AW4)</f>
        <v>#DIV/0!</v>
      </c>
      <c r="AF4" s="43" t="e">
        <f t="shared" ref="AF4:AF67" si="6">E4*MIN(AO4,AX4)</f>
        <v>#DIV/0!</v>
      </c>
      <c r="AG4" s="43" t="e">
        <f t="shared" ref="AG4:AG67" si="7">F4*MIN(AP4,AY4)</f>
        <v>#DIV/0!</v>
      </c>
      <c r="AH4" s="43" t="e">
        <f t="shared" ref="AH4:AH67" si="8">G4*MIN(AQ4,AZ4)</f>
        <v>#DIV/0!</v>
      </c>
      <c r="AI4" s="43" t="e">
        <f t="shared" ref="AI4:AI67" si="9">H4*MIN(AR4,BA4)</f>
        <v>#DIV/0!</v>
      </c>
      <c r="AJ4" s="43" t="e">
        <f t="shared" ref="AJ4:AJ67" si="10">I4*MIN(AS4,BB4)</f>
        <v>#DIV/0!</v>
      </c>
      <c r="AK4" s="43" t="e">
        <f t="shared" ref="AK4:AK67" si="11">J4*MIN(AT4,BC4)</f>
        <v>#DIV/0!</v>
      </c>
      <c r="AL4" s="43" t="e">
        <f>T$3+K4/ATM_Conf!$C$5</f>
        <v>#DIV/0!</v>
      </c>
      <c r="AM4" s="43" t="e">
        <f>U$3+L4/ATM_Conf!$C$5</f>
        <v>#DIV/0!</v>
      </c>
      <c r="AN4" s="43" t="e">
        <f>V$3+M4/ATM_Conf!$C$5</f>
        <v>#DIV/0!</v>
      </c>
      <c r="AO4" s="43" t="e">
        <f>W$3+N4/ATM_Conf!$C$5</f>
        <v>#DIV/0!</v>
      </c>
      <c r="AP4" s="43" t="e">
        <f>X$3+O4/ATM_Conf!$C$5</f>
        <v>#DIV/0!</v>
      </c>
      <c r="AQ4" s="43" t="e">
        <f>Y$3+P4/ATM_Conf!$C$5</f>
        <v>#DIV/0!</v>
      </c>
      <c r="AR4" s="43" t="e">
        <f>Z$3+Q4/ATM_Conf!$C$5</f>
        <v>#DIV/0!</v>
      </c>
      <c r="AS4" s="43" t="e">
        <f>AA$3+R4/ATM_Conf!$C$5</f>
        <v>#DIV/0!</v>
      </c>
      <c r="AT4" s="43" t="e">
        <f>AB$3+S4/ATM_Conf!$C$5</f>
        <v>#DIV/0!</v>
      </c>
      <c r="AU4" s="43" t="e">
        <f>BD$3*MIN(1,(ATM_Conf!$C$6-Links!X4)/(ATM_Conf!$C$6-ATM_Conf!$C$7))</f>
        <v>#DIV/0!</v>
      </c>
      <c r="AV4" s="43" t="e">
        <f>BE$3*MIN(1,(ATM_Conf!$C$6-Links!Z4)/(ATM_Conf!$C$6-ATM_Conf!$C$7))</f>
        <v>#DIV/0!</v>
      </c>
      <c r="AW4" s="43" t="e">
        <f>BF$3*MIN(1,(ATM_Conf!$C$6-Links!AA4)/(ATM_Conf!$C$6-ATM_Conf!$C$7))</f>
        <v>#DIV/0!</v>
      </c>
      <c r="AX4" s="43" t="e">
        <f>BG$3*MIN(1,(ATM_Conf!$C$6-Links!AD4)/(ATM_Conf!$C$6-ATM_Conf!$C$7))</f>
        <v>#DIV/0!</v>
      </c>
      <c r="AY4" s="43" t="e">
        <f>BH$3*MIN(1,(ATM_Conf!$C$6-Links!AE4)/(ATM_Conf!$C$6-ATM_Conf!$C$7))</f>
        <v>#DIV/0!</v>
      </c>
      <c r="AZ4" s="43" t="e">
        <f>BI$3*MIN(1,(ATM_Conf!$C$6-Links!AG4)/(ATM_Conf!$C$6-ATM_Conf!$C$7))</f>
        <v>#DIV/0!</v>
      </c>
      <c r="BA4" s="43" t="e">
        <f>BJ$3*MIN(1,(ATM_Conf!$C$6-Links!AH4)/(ATM_Conf!$C$6-ATM_Conf!$C$7))</f>
        <v>#DIV/0!</v>
      </c>
      <c r="BB4" s="43" t="e">
        <f>BK$3*MIN(1,(ATM_Conf!$C$6-Links!AK4)/(ATM_Conf!$C$6-ATM_Conf!$C$7))</f>
        <v>#DIV/0!</v>
      </c>
      <c r="BC4" s="43" t="e">
        <f>BL$3*MIN(1,(ATM_Conf!$C$6-Links!AM4)/(ATM_Conf!$C$6-ATM_Conf!$C$7))</f>
        <v>#DIV/0!</v>
      </c>
      <c r="BD4" s="43">
        <f>BD$3</f>
        <v>0</v>
      </c>
      <c r="BE4" s="43">
        <f t="shared" ref="BE4:BL19" si="12">BE$3</f>
        <v>0</v>
      </c>
      <c r="BF4" s="43">
        <f t="shared" si="12"/>
        <v>0</v>
      </c>
      <c r="BG4" s="43">
        <f t="shared" si="12"/>
        <v>0</v>
      </c>
      <c r="BH4" s="43">
        <f t="shared" si="12"/>
        <v>0</v>
      </c>
      <c r="BI4" s="43">
        <f t="shared" si="12"/>
        <v>0</v>
      </c>
      <c r="BJ4" s="43">
        <f t="shared" si="12"/>
        <v>0</v>
      </c>
      <c r="BK4" s="43">
        <f t="shared" si="12"/>
        <v>0</v>
      </c>
      <c r="BL4" s="43">
        <f t="shared" si="12"/>
        <v>0</v>
      </c>
      <c r="BM4" s="51"/>
      <c r="BN4" s="51"/>
      <c r="BO4" s="51"/>
      <c r="BP4" s="51"/>
      <c r="BQ4" s="51"/>
      <c r="BR4" s="51"/>
      <c r="BS4" s="51"/>
      <c r="BT4" s="51"/>
      <c r="BU4" s="51"/>
      <c r="BV4" s="51" t="e">
        <f t="shared" ref="BV4:BV67" si="13">(MAX(K4-T$190,0))^2</f>
        <v>#DIV/0!</v>
      </c>
      <c r="BW4" s="51" t="e">
        <f t="shared" ref="BW4:BW67" si="14">(MAX(L4-U$190,0))^2</f>
        <v>#DIV/0!</v>
      </c>
      <c r="BX4" s="51" t="e">
        <f t="shared" ref="BX4:BX67" si="15">(MAX(M4-V$190,0))^2</f>
        <v>#DIV/0!</v>
      </c>
      <c r="BY4" s="51" t="e">
        <f t="shared" ref="BY4:BY67" si="16">(MAX(N4-W$190,0))^2</f>
        <v>#DIV/0!</v>
      </c>
      <c r="BZ4" s="51" t="e">
        <f t="shared" ref="BZ4:BZ67" si="17">(MAX(O4-X$190,0))^2</f>
        <v>#DIV/0!</v>
      </c>
      <c r="CA4" s="51" t="e">
        <f t="shared" ref="CA4:CA67" si="18">(MAX(P4-Y$190,0))^2</f>
        <v>#DIV/0!</v>
      </c>
      <c r="CB4" s="51" t="e">
        <f t="shared" ref="CB4:CB67" si="19">(MAX(Q4-Z$190,0))^2</f>
        <v>#DIV/0!</v>
      </c>
      <c r="CC4" s="51" t="e">
        <f t="shared" ref="CC4:CC67" si="20">(MAX(R4-AA$190,0))^2</f>
        <v>#DIV/0!</v>
      </c>
      <c r="CD4" s="51" t="e">
        <f t="shared" ref="CD4:CD67" si="21">(MAX(S4-AB$190,0))^2</f>
        <v>#DIV/0!</v>
      </c>
      <c r="CE4" s="53">
        <f>CE$3</f>
        <v>0</v>
      </c>
      <c r="CF4" s="53">
        <f t="shared" ref="CF4:CM19" si="22">CF$3</f>
        <v>0</v>
      </c>
      <c r="CG4" s="53">
        <f t="shared" si="22"/>
        <v>0</v>
      </c>
      <c r="CH4" s="53">
        <f t="shared" si="22"/>
        <v>0</v>
      </c>
      <c r="CI4" s="53">
        <f t="shared" si="22"/>
        <v>0</v>
      </c>
      <c r="CJ4" s="53">
        <f t="shared" si="22"/>
        <v>0</v>
      </c>
      <c r="CK4" s="53">
        <f t="shared" si="22"/>
        <v>0</v>
      </c>
      <c r="CL4" s="53">
        <f t="shared" si="22"/>
        <v>0</v>
      </c>
      <c r="CM4" s="53">
        <f t="shared" si="22"/>
        <v>0</v>
      </c>
    </row>
    <row r="5" spans="1:91" x14ac:dyDescent="0.15">
      <c r="A5" s="41">
        <v>3</v>
      </c>
      <c r="B5" s="43">
        <f t="shared" ref="B5:B14" si="23">B$3</f>
        <v>1</v>
      </c>
      <c r="C5" s="43">
        <f t="shared" si="1"/>
        <v>1</v>
      </c>
      <c r="D5" s="43">
        <f t="shared" si="1"/>
        <v>1</v>
      </c>
      <c r="E5" s="43">
        <f t="shared" si="1"/>
        <v>1</v>
      </c>
      <c r="F5" s="43">
        <f t="shared" si="1"/>
        <v>1</v>
      </c>
      <c r="G5" s="43">
        <f t="shared" si="1"/>
        <v>1</v>
      </c>
      <c r="H5" s="43">
        <f t="shared" si="1"/>
        <v>1</v>
      </c>
      <c r="I5" s="43">
        <f t="shared" si="1"/>
        <v>1</v>
      </c>
      <c r="J5" s="43">
        <f t="shared" si="1"/>
        <v>1</v>
      </c>
      <c r="K5" s="43" t="e">
        <f>K4+ATM_Conf!$C$5*(T4-AC4)</f>
        <v>#DIV/0!</v>
      </c>
      <c r="L5" s="43" t="e">
        <f>L4+ATM_Conf!$C$5*(U4-AD4)</f>
        <v>#DIV/0!</v>
      </c>
      <c r="M5" s="43" t="e">
        <f>M4+ATM_Conf!$C$5*(V4-AE4)</f>
        <v>#DIV/0!</v>
      </c>
      <c r="N5" s="43" t="e">
        <f>N4+ATM_Conf!$C$5*(W4-AF4)</f>
        <v>#DIV/0!</v>
      </c>
      <c r="O5" s="43" t="e">
        <f>O4+ATM_Conf!$C$5*(X4-AG4)</f>
        <v>#DIV/0!</v>
      </c>
      <c r="P5" s="43" t="e">
        <f>P4+ATM_Conf!$C$5*(Y4-AH4)</f>
        <v>#DIV/0!</v>
      </c>
      <c r="Q5" s="43" t="e">
        <f>Q4+ATM_Conf!$C$5*(Z4-AI4)</f>
        <v>#DIV/0!</v>
      </c>
      <c r="R5" s="43" t="e">
        <f>R4+ATM_Conf!$C$5*(AA4-AJ4)</f>
        <v>#DIV/0!</v>
      </c>
      <c r="S5" s="43" t="e">
        <f>S4+ATM_Conf!$C$5*(AB4-AK4)</f>
        <v>#DIV/0!</v>
      </c>
      <c r="T5" s="43">
        <f t="shared" ref="T5:AB36" si="24">T$3</f>
        <v>0</v>
      </c>
      <c r="U5" s="43">
        <f t="shared" si="2"/>
        <v>0</v>
      </c>
      <c r="V5" s="43">
        <f t="shared" si="2"/>
        <v>0</v>
      </c>
      <c r="W5" s="43">
        <f t="shared" si="2"/>
        <v>0</v>
      </c>
      <c r="X5" s="43">
        <f t="shared" si="2"/>
        <v>0</v>
      </c>
      <c r="Y5" s="43">
        <f t="shared" si="2"/>
        <v>0</v>
      </c>
      <c r="Z5" s="43">
        <f t="shared" si="2"/>
        <v>0</v>
      </c>
      <c r="AA5" s="43">
        <f t="shared" si="2"/>
        <v>0</v>
      </c>
      <c r="AB5" s="43">
        <f t="shared" si="2"/>
        <v>0</v>
      </c>
      <c r="AC5" s="43" t="e">
        <f t="shared" si="3"/>
        <v>#DIV/0!</v>
      </c>
      <c r="AD5" s="43" t="e">
        <f t="shared" si="4"/>
        <v>#DIV/0!</v>
      </c>
      <c r="AE5" s="43" t="e">
        <f t="shared" si="5"/>
        <v>#DIV/0!</v>
      </c>
      <c r="AF5" s="43" t="e">
        <f t="shared" si="6"/>
        <v>#DIV/0!</v>
      </c>
      <c r="AG5" s="43" t="e">
        <f t="shared" si="7"/>
        <v>#DIV/0!</v>
      </c>
      <c r="AH5" s="43" t="e">
        <f t="shared" si="8"/>
        <v>#DIV/0!</v>
      </c>
      <c r="AI5" s="43" t="e">
        <f t="shared" si="9"/>
        <v>#DIV/0!</v>
      </c>
      <c r="AJ5" s="43" t="e">
        <f t="shared" si="10"/>
        <v>#DIV/0!</v>
      </c>
      <c r="AK5" s="43" t="e">
        <f t="shared" si="11"/>
        <v>#DIV/0!</v>
      </c>
      <c r="AL5" s="43" t="e">
        <f>T$3+K5/ATM_Conf!$C$5</f>
        <v>#DIV/0!</v>
      </c>
      <c r="AM5" s="43" t="e">
        <f>U$3+L5/ATM_Conf!$C$5</f>
        <v>#DIV/0!</v>
      </c>
      <c r="AN5" s="43" t="e">
        <f>V$3+M5/ATM_Conf!$C$5</f>
        <v>#DIV/0!</v>
      </c>
      <c r="AO5" s="43" t="e">
        <f>W$3+N5/ATM_Conf!$C$5</f>
        <v>#DIV/0!</v>
      </c>
      <c r="AP5" s="43" t="e">
        <f>X$3+O5/ATM_Conf!$C$5</f>
        <v>#DIV/0!</v>
      </c>
      <c r="AQ5" s="43" t="e">
        <f>Y$3+P5/ATM_Conf!$C$5</f>
        <v>#DIV/0!</v>
      </c>
      <c r="AR5" s="43" t="e">
        <f>Z$3+Q5/ATM_Conf!$C$5</f>
        <v>#DIV/0!</v>
      </c>
      <c r="AS5" s="43" t="e">
        <f>AA$3+R5/ATM_Conf!$C$5</f>
        <v>#DIV/0!</v>
      </c>
      <c r="AT5" s="43" t="e">
        <f>AB$3+S5/ATM_Conf!$C$5</f>
        <v>#DIV/0!</v>
      </c>
      <c r="AU5" s="43" t="e">
        <f>BD$3*MIN(1,(ATM_Conf!$C$6-Links!X5)/(ATM_Conf!$C$6-ATM_Conf!$C$7))</f>
        <v>#DIV/0!</v>
      </c>
      <c r="AV5" s="43" t="e">
        <f>BE$3*MIN(1,(ATM_Conf!$C$6-Links!Z5)/(ATM_Conf!$C$6-ATM_Conf!$C$7))</f>
        <v>#DIV/0!</v>
      </c>
      <c r="AW5" s="43" t="e">
        <f>BF$3*MIN(1,(ATM_Conf!$C$6-Links!AA5)/(ATM_Conf!$C$6-ATM_Conf!$C$7))</f>
        <v>#DIV/0!</v>
      </c>
      <c r="AX5" s="43" t="e">
        <f>BG$3*MIN(1,(ATM_Conf!$C$6-Links!AD5)/(ATM_Conf!$C$6-ATM_Conf!$C$7))</f>
        <v>#DIV/0!</v>
      </c>
      <c r="AY5" s="43" t="e">
        <f>BH$3*MIN(1,(ATM_Conf!$C$6-Links!AE5)/(ATM_Conf!$C$6-ATM_Conf!$C$7))</f>
        <v>#DIV/0!</v>
      </c>
      <c r="AZ5" s="43" t="e">
        <f>BI$3*MIN(1,(ATM_Conf!$C$6-Links!AG5)/(ATM_Conf!$C$6-ATM_Conf!$C$7))</f>
        <v>#DIV/0!</v>
      </c>
      <c r="BA5" s="43" t="e">
        <f>BJ$3*MIN(1,(ATM_Conf!$C$6-Links!AH5)/(ATM_Conf!$C$6-ATM_Conf!$C$7))</f>
        <v>#DIV/0!</v>
      </c>
      <c r="BB5" s="43" t="e">
        <f>BK$3*MIN(1,(ATM_Conf!$C$6-Links!AK5)/(ATM_Conf!$C$6-ATM_Conf!$C$7))</f>
        <v>#DIV/0!</v>
      </c>
      <c r="BC5" s="43" t="e">
        <f>BL$3*MIN(1,(ATM_Conf!$C$6-Links!AM5)/(ATM_Conf!$C$6-ATM_Conf!$C$7))</f>
        <v>#DIV/0!</v>
      </c>
      <c r="BD5" s="43">
        <f t="shared" ref="BD5:BL36" si="25">BD$3</f>
        <v>0</v>
      </c>
      <c r="BE5" s="43">
        <f t="shared" si="12"/>
        <v>0</v>
      </c>
      <c r="BF5" s="43">
        <f t="shared" si="12"/>
        <v>0</v>
      </c>
      <c r="BG5" s="43">
        <f t="shared" si="12"/>
        <v>0</v>
      </c>
      <c r="BH5" s="43">
        <f t="shared" si="12"/>
        <v>0</v>
      </c>
      <c r="BI5" s="43">
        <f t="shared" si="12"/>
        <v>0</v>
      </c>
      <c r="BJ5" s="43">
        <f t="shared" si="12"/>
        <v>0</v>
      </c>
      <c r="BK5" s="43">
        <f t="shared" si="12"/>
        <v>0</v>
      </c>
      <c r="BL5" s="43">
        <f t="shared" si="12"/>
        <v>0</v>
      </c>
      <c r="BM5" s="51"/>
      <c r="BN5" s="51"/>
      <c r="BO5" s="51"/>
      <c r="BP5" s="51"/>
      <c r="BQ5" s="51"/>
      <c r="BR5" s="51"/>
      <c r="BS5" s="51"/>
      <c r="BT5" s="51"/>
      <c r="BU5" s="51"/>
      <c r="BV5" s="51" t="e">
        <f t="shared" si="13"/>
        <v>#DIV/0!</v>
      </c>
      <c r="BW5" s="51" t="e">
        <f t="shared" si="14"/>
        <v>#DIV/0!</v>
      </c>
      <c r="BX5" s="51" t="e">
        <f t="shared" si="15"/>
        <v>#DIV/0!</v>
      </c>
      <c r="BY5" s="51" t="e">
        <f t="shared" si="16"/>
        <v>#DIV/0!</v>
      </c>
      <c r="BZ5" s="51" t="e">
        <f t="shared" si="17"/>
        <v>#DIV/0!</v>
      </c>
      <c r="CA5" s="51" t="e">
        <f t="shared" si="18"/>
        <v>#DIV/0!</v>
      </c>
      <c r="CB5" s="51" t="e">
        <f t="shared" si="19"/>
        <v>#DIV/0!</v>
      </c>
      <c r="CC5" s="51" t="e">
        <f t="shared" si="20"/>
        <v>#DIV/0!</v>
      </c>
      <c r="CD5" s="51" t="e">
        <f t="shared" si="21"/>
        <v>#DIV/0!</v>
      </c>
      <c r="CE5" s="53">
        <f t="shared" ref="CE5:CM36" si="26">CE$3</f>
        <v>0</v>
      </c>
      <c r="CF5" s="53">
        <f t="shared" si="22"/>
        <v>0</v>
      </c>
      <c r="CG5" s="53">
        <f t="shared" si="22"/>
        <v>0</v>
      </c>
      <c r="CH5" s="53">
        <f t="shared" si="22"/>
        <v>0</v>
      </c>
      <c r="CI5" s="53">
        <f t="shared" si="22"/>
        <v>0</v>
      </c>
      <c r="CJ5" s="53">
        <f t="shared" si="22"/>
        <v>0</v>
      </c>
      <c r="CK5" s="53">
        <f t="shared" si="22"/>
        <v>0</v>
      </c>
      <c r="CL5" s="53">
        <f t="shared" si="22"/>
        <v>0</v>
      </c>
      <c r="CM5" s="53">
        <f t="shared" si="22"/>
        <v>0</v>
      </c>
    </row>
    <row r="6" spans="1:91" x14ac:dyDescent="0.15">
      <c r="A6" s="41">
        <v>4</v>
      </c>
      <c r="B6" s="43">
        <f t="shared" si="23"/>
        <v>1</v>
      </c>
      <c r="C6" s="43">
        <f t="shared" si="1"/>
        <v>1</v>
      </c>
      <c r="D6" s="43">
        <f t="shared" si="1"/>
        <v>1</v>
      </c>
      <c r="E6" s="43">
        <f t="shared" si="1"/>
        <v>1</v>
      </c>
      <c r="F6" s="43">
        <f t="shared" si="1"/>
        <v>1</v>
      </c>
      <c r="G6" s="43">
        <f t="shared" si="1"/>
        <v>1</v>
      </c>
      <c r="H6" s="43">
        <f t="shared" si="1"/>
        <v>1</v>
      </c>
      <c r="I6" s="43">
        <f t="shared" si="1"/>
        <v>1</v>
      </c>
      <c r="J6" s="43">
        <f t="shared" si="1"/>
        <v>1</v>
      </c>
      <c r="K6" s="43" t="e">
        <f>K5+ATM_Conf!$C$5*(T5-AC5)</f>
        <v>#DIV/0!</v>
      </c>
      <c r="L6" s="43" t="e">
        <f>L5+ATM_Conf!$C$5*(U5-AD5)</f>
        <v>#DIV/0!</v>
      </c>
      <c r="M6" s="43" t="e">
        <f>M5+ATM_Conf!$C$5*(V5-AE5)</f>
        <v>#DIV/0!</v>
      </c>
      <c r="N6" s="43" t="e">
        <f>N5+ATM_Conf!$C$5*(W5-AF5)</f>
        <v>#DIV/0!</v>
      </c>
      <c r="O6" s="43" t="e">
        <f>O5+ATM_Conf!$C$5*(X5-AG5)</f>
        <v>#DIV/0!</v>
      </c>
      <c r="P6" s="43" t="e">
        <f>P5+ATM_Conf!$C$5*(Y5-AH5)</f>
        <v>#DIV/0!</v>
      </c>
      <c r="Q6" s="43" t="e">
        <f>Q5+ATM_Conf!$C$5*(Z5-AI5)</f>
        <v>#DIV/0!</v>
      </c>
      <c r="R6" s="43" t="e">
        <f>R5+ATM_Conf!$C$5*(AA5-AJ5)</f>
        <v>#DIV/0!</v>
      </c>
      <c r="S6" s="43" t="e">
        <f>S5+ATM_Conf!$C$5*(AB5-AK5)</f>
        <v>#DIV/0!</v>
      </c>
      <c r="T6" s="43">
        <f t="shared" si="24"/>
        <v>0</v>
      </c>
      <c r="U6" s="43">
        <f t="shared" si="2"/>
        <v>0</v>
      </c>
      <c r="V6" s="43">
        <f t="shared" si="2"/>
        <v>0</v>
      </c>
      <c r="W6" s="43">
        <f t="shared" si="2"/>
        <v>0</v>
      </c>
      <c r="X6" s="43">
        <f t="shared" si="2"/>
        <v>0</v>
      </c>
      <c r="Y6" s="43">
        <f t="shared" si="2"/>
        <v>0</v>
      </c>
      <c r="Z6" s="43">
        <f t="shared" si="2"/>
        <v>0</v>
      </c>
      <c r="AA6" s="43">
        <f t="shared" si="2"/>
        <v>0</v>
      </c>
      <c r="AB6" s="43">
        <f t="shared" si="2"/>
        <v>0</v>
      </c>
      <c r="AC6" s="43" t="e">
        <f t="shared" si="3"/>
        <v>#DIV/0!</v>
      </c>
      <c r="AD6" s="43" t="e">
        <f t="shared" si="4"/>
        <v>#DIV/0!</v>
      </c>
      <c r="AE6" s="43" t="e">
        <f t="shared" si="5"/>
        <v>#DIV/0!</v>
      </c>
      <c r="AF6" s="43" t="e">
        <f t="shared" si="6"/>
        <v>#DIV/0!</v>
      </c>
      <c r="AG6" s="43" t="e">
        <f t="shared" si="7"/>
        <v>#DIV/0!</v>
      </c>
      <c r="AH6" s="43" t="e">
        <f t="shared" si="8"/>
        <v>#DIV/0!</v>
      </c>
      <c r="AI6" s="43" t="e">
        <f t="shared" si="9"/>
        <v>#DIV/0!</v>
      </c>
      <c r="AJ6" s="43" t="e">
        <f t="shared" si="10"/>
        <v>#DIV/0!</v>
      </c>
      <c r="AK6" s="43" t="e">
        <f t="shared" si="11"/>
        <v>#DIV/0!</v>
      </c>
      <c r="AL6" s="43" t="e">
        <f>T$3+K6/ATM_Conf!$C$5</f>
        <v>#DIV/0!</v>
      </c>
      <c r="AM6" s="43" t="e">
        <f>U$3+L6/ATM_Conf!$C$5</f>
        <v>#DIV/0!</v>
      </c>
      <c r="AN6" s="43" t="e">
        <f>V$3+M6/ATM_Conf!$C$5</f>
        <v>#DIV/0!</v>
      </c>
      <c r="AO6" s="43" t="e">
        <f>W$3+N6/ATM_Conf!$C$5</f>
        <v>#DIV/0!</v>
      </c>
      <c r="AP6" s="43" t="e">
        <f>X$3+O6/ATM_Conf!$C$5</f>
        <v>#DIV/0!</v>
      </c>
      <c r="AQ6" s="43" t="e">
        <f>Y$3+P6/ATM_Conf!$C$5</f>
        <v>#DIV/0!</v>
      </c>
      <c r="AR6" s="43" t="e">
        <f>Z$3+Q6/ATM_Conf!$C$5</f>
        <v>#DIV/0!</v>
      </c>
      <c r="AS6" s="43" t="e">
        <f>AA$3+R6/ATM_Conf!$C$5</f>
        <v>#DIV/0!</v>
      </c>
      <c r="AT6" s="43" t="e">
        <f>AB$3+S6/ATM_Conf!$C$5</f>
        <v>#DIV/0!</v>
      </c>
      <c r="AU6" s="43" t="e">
        <f>BD$3*MIN(1,(ATM_Conf!$C$6-Links!X6)/(ATM_Conf!$C$6-ATM_Conf!$C$7))</f>
        <v>#DIV/0!</v>
      </c>
      <c r="AV6" s="43" t="e">
        <f>BE$3*MIN(1,(ATM_Conf!$C$6-Links!Z6)/(ATM_Conf!$C$6-ATM_Conf!$C$7))</f>
        <v>#DIV/0!</v>
      </c>
      <c r="AW6" s="43" t="e">
        <f>BF$3*MIN(1,(ATM_Conf!$C$6-Links!AA6)/(ATM_Conf!$C$6-ATM_Conf!$C$7))</f>
        <v>#DIV/0!</v>
      </c>
      <c r="AX6" s="43" t="e">
        <f>BG$3*MIN(1,(ATM_Conf!$C$6-Links!AD6)/(ATM_Conf!$C$6-ATM_Conf!$C$7))</f>
        <v>#DIV/0!</v>
      </c>
      <c r="AY6" s="43" t="e">
        <f>BH$3*MIN(1,(ATM_Conf!$C$6-Links!AE6)/(ATM_Conf!$C$6-ATM_Conf!$C$7))</f>
        <v>#DIV/0!</v>
      </c>
      <c r="AZ6" s="43" t="e">
        <f>BI$3*MIN(1,(ATM_Conf!$C$6-Links!AG6)/(ATM_Conf!$C$6-ATM_Conf!$C$7))</f>
        <v>#DIV/0!</v>
      </c>
      <c r="BA6" s="43" t="e">
        <f>BJ$3*MIN(1,(ATM_Conf!$C$6-Links!AH6)/(ATM_Conf!$C$6-ATM_Conf!$C$7))</f>
        <v>#DIV/0!</v>
      </c>
      <c r="BB6" s="43" t="e">
        <f>BK$3*MIN(1,(ATM_Conf!$C$6-Links!AK6)/(ATM_Conf!$C$6-ATM_Conf!$C$7))</f>
        <v>#DIV/0!</v>
      </c>
      <c r="BC6" s="43" t="e">
        <f>BL$3*MIN(1,(ATM_Conf!$C$6-Links!AM6)/(ATM_Conf!$C$6-ATM_Conf!$C$7))</f>
        <v>#DIV/0!</v>
      </c>
      <c r="BD6" s="43">
        <f t="shared" si="25"/>
        <v>0</v>
      </c>
      <c r="BE6" s="43">
        <f t="shared" si="12"/>
        <v>0</v>
      </c>
      <c r="BF6" s="43">
        <f t="shared" si="12"/>
        <v>0</v>
      </c>
      <c r="BG6" s="43">
        <f t="shared" si="12"/>
        <v>0</v>
      </c>
      <c r="BH6" s="43">
        <f t="shared" si="12"/>
        <v>0</v>
      </c>
      <c r="BI6" s="43">
        <f t="shared" si="12"/>
        <v>0</v>
      </c>
      <c r="BJ6" s="43">
        <f t="shared" si="12"/>
        <v>0</v>
      </c>
      <c r="BK6" s="43">
        <f t="shared" si="12"/>
        <v>0</v>
      </c>
      <c r="BL6" s="43">
        <f t="shared" si="12"/>
        <v>0</v>
      </c>
      <c r="BM6" s="51"/>
      <c r="BN6" s="51"/>
      <c r="BO6" s="51"/>
      <c r="BP6" s="51"/>
      <c r="BQ6" s="51"/>
      <c r="BR6" s="51"/>
      <c r="BS6" s="51"/>
      <c r="BT6" s="51"/>
      <c r="BU6" s="51"/>
      <c r="BV6" s="51" t="e">
        <f t="shared" si="13"/>
        <v>#DIV/0!</v>
      </c>
      <c r="BW6" s="51" t="e">
        <f t="shared" si="14"/>
        <v>#DIV/0!</v>
      </c>
      <c r="BX6" s="51" t="e">
        <f t="shared" si="15"/>
        <v>#DIV/0!</v>
      </c>
      <c r="BY6" s="51" t="e">
        <f t="shared" si="16"/>
        <v>#DIV/0!</v>
      </c>
      <c r="BZ6" s="51" t="e">
        <f t="shared" si="17"/>
        <v>#DIV/0!</v>
      </c>
      <c r="CA6" s="51" t="e">
        <f t="shared" si="18"/>
        <v>#DIV/0!</v>
      </c>
      <c r="CB6" s="51" t="e">
        <f t="shared" si="19"/>
        <v>#DIV/0!</v>
      </c>
      <c r="CC6" s="51" t="e">
        <f t="shared" si="20"/>
        <v>#DIV/0!</v>
      </c>
      <c r="CD6" s="51" t="e">
        <f t="shared" si="21"/>
        <v>#DIV/0!</v>
      </c>
      <c r="CE6" s="53">
        <f t="shared" si="26"/>
        <v>0</v>
      </c>
      <c r="CF6" s="53">
        <f t="shared" si="22"/>
        <v>0</v>
      </c>
      <c r="CG6" s="53">
        <f t="shared" si="22"/>
        <v>0</v>
      </c>
      <c r="CH6" s="53">
        <f t="shared" si="22"/>
        <v>0</v>
      </c>
      <c r="CI6" s="53">
        <f t="shared" si="22"/>
        <v>0</v>
      </c>
      <c r="CJ6" s="53">
        <f t="shared" si="22"/>
        <v>0</v>
      </c>
      <c r="CK6" s="53">
        <f t="shared" si="22"/>
        <v>0</v>
      </c>
      <c r="CL6" s="53">
        <f t="shared" si="22"/>
        <v>0</v>
      </c>
      <c r="CM6" s="53">
        <f t="shared" si="22"/>
        <v>0</v>
      </c>
    </row>
    <row r="7" spans="1:91" x14ac:dyDescent="0.15">
      <c r="A7" s="41">
        <v>5</v>
      </c>
      <c r="B7" s="43">
        <f t="shared" si="23"/>
        <v>1</v>
      </c>
      <c r="C7" s="43">
        <f t="shared" si="1"/>
        <v>1</v>
      </c>
      <c r="D7" s="43">
        <f t="shared" si="1"/>
        <v>1</v>
      </c>
      <c r="E7" s="43">
        <f t="shared" si="1"/>
        <v>1</v>
      </c>
      <c r="F7" s="43">
        <f t="shared" si="1"/>
        <v>1</v>
      </c>
      <c r="G7" s="43">
        <f t="shared" si="1"/>
        <v>1</v>
      </c>
      <c r="H7" s="43">
        <f t="shared" si="1"/>
        <v>1</v>
      </c>
      <c r="I7" s="43">
        <f t="shared" si="1"/>
        <v>1</v>
      </c>
      <c r="J7" s="43">
        <f t="shared" si="1"/>
        <v>1</v>
      </c>
      <c r="K7" s="43" t="e">
        <f>K6+ATM_Conf!$C$5*(T6-AC6)</f>
        <v>#DIV/0!</v>
      </c>
      <c r="L7" s="43" t="e">
        <f>L6+ATM_Conf!$C$5*(U6-AD6)</f>
        <v>#DIV/0!</v>
      </c>
      <c r="M7" s="43" t="e">
        <f>M6+ATM_Conf!$C$5*(V6-AE6)</f>
        <v>#DIV/0!</v>
      </c>
      <c r="N7" s="43" t="e">
        <f>N6+ATM_Conf!$C$5*(W6-AF6)</f>
        <v>#DIV/0!</v>
      </c>
      <c r="O7" s="43" t="e">
        <f>O6+ATM_Conf!$C$5*(X6-AG6)</f>
        <v>#DIV/0!</v>
      </c>
      <c r="P7" s="43" t="e">
        <f>P6+ATM_Conf!$C$5*(Y6-AH6)</f>
        <v>#DIV/0!</v>
      </c>
      <c r="Q7" s="43" t="e">
        <f>Q6+ATM_Conf!$C$5*(Z6-AI6)</f>
        <v>#DIV/0!</v>
      </c>
      <c r="R7" s="43" t="e">
        <f>R6+ATM_Conf!$C$5*(AA6-AJ6)</f>
        <v>#DIV/0!</v>
      </c>
      <c r="S7" s="43" t="e">
        <f>S6+ATM_Conf!$C$5*(AB6-AK6)</f>
        <v>#DIV/0!</v>
      </c>
      <c r="T7" s="43">
        <f t="shared" si="24"/>
        <v>0</v>
      </c>
      <c r="U7" s="43">
        <f t="shared" si="2"/>
        <v>0</v>
      </c>
      <c r="V7" s="43">
        <f t="shared" si="2"/>
        <v>0</v>
      </c>
      <c r="W7" s="43">
        <f t="shared" si="2"/>
        <v>0</v>
      </c>
      <c r="X7" s="43">
        <f t="shared" si="2"/>
        <v>0</v>
      </c>
      <c r="Y7" s="43">
        <f t="shared" si="2"/>
        <v>0</v>
      </c>
      <c r="Z7" s="43">
        <f t="shared" si="2"/>
        <v>0</v>
      </c>
      <c r="AA7" s="43">
        <f t="shared" si="2"/>
        <v>0</v>
      </c>
      <c r="AB7" s="43">
        <f t="shared" si="2"/>
        <v>0</v>
      </c>
      <c r="AC7" s="43" t="e">
        <f t="shared" si="3"/>
        <v>#DIV/0!</v>
      </c>
      <c r="AD7" s="43" t="e">
        <f t="shared" si="4"/>
        <v>#DIV/0!</v>
      </c>
      <c r="AE7" s="43" t="e">
        <f t="shared" si="5"/>
        <v>#DIV/0!</v>
      </c>
      <c r="AF7" s="43" t="e">
        <f t="shared" si="6"/>
        <v>#DIV/0!</v>
      </c>
      <c r="AG7" s="43" t="e">
        <f t="shared" si="7"/>
        <v>#DIV/0!</v>
      </c>
      <c r="AH7" s="43" t="e">
        <f t="shared" si="8"/>
        <v>#DIV/0!</v>
      </c>
      <c r="AI7" s="43" t="e">
        <f t="shared" si="9"/>
        <v>#DIV/0!</v>
      </c>
      <c r="AJ7" s="43" t="e">
        <f t="shared" si="10"/>
        <v>#DIV/0!</v>
      </c>
      <c r="AK7" s="43" t="e">
        <f t="shared" si="11"/>
        <v>#DIV/0!</v>
      </c>
      <c r="AL7" s="43" t="e">
        <f>T$3+K7/ATM_Conf!$C$5</f>
        <v>#DIV/0!</v>
      </c>
      <c r="AM7" s="43" t="e">
        <f>U$3+L7/ATM_Conf!$C$5</f>
        <v>#DIV/0!</v>
      </c>
      <c r="AN7" s="43" t="e">
        <f>V$3+M7/ATM_Conf!$C$5</f>
        <v>#DIV/0!</v>
      </c>
      <c r="AO7" s="43" t="e">
        <f>W$3+N7/ATM_Conf!$C$5</f>
        <v>#DIV/0!</v>
      </c>
      <c r="AP7" s="43" t="e">
        <f>X$3+O7/ATM_Conf!$C$5</f>
        <v>#DIV/0!</v>
      </c>
      <c r="AQ7" s="43" t="e">
        <f>Y$3+P7/ATM_Conf!$C$5</f>
        <v>#DIV/0!</v>
      </c>
      <c r="AR7" s="43" t="e">
        <f>Z$3+Q7/ATM_Conf!$C$5</f>
        <v>#DIV/0!</v>
      </c>
      <c r="AS7" s="43" t="e">
        <f>AA$3+R7/ATM_Conf!$C$5</f>
        <v>#DIV/0!</v>
      </c>
      <c r="AT7" s="43" t="e">
        <f>AB$3+S7/ATM_Conf!$C$5</f>
        <v>#DIV/0!</v>
      </c>
      <c r="AU7" s="43" t="e">
        <f>BD$3*MIN(1,(ATM_Conf!$C$6-Links!X7)/(ATM_Conf!$C$6-ATM_Conf!$C$7))</f>
        <v>#DIV/0!</v>
      </c>
      <c r="AV7" s="43" t="e">
        <f>BE$3*MIN(1,(ATM_Conf!$C$6-Links!Z7)/(ATM_Conf!$C$6-ATM_Conf!$C$7))</f>
        <v>#DIV/0!</v>
      </c>
      <c r="AW7" s="43" t="e">
        <f>BF$3*MIN(1,(ATM_Conf!$C$6-Links!AA7)/(ATM_Conf!$C$6-ATM_Conf!$C$7))</f>
        <v>#DIV/0!</v>
      </c>
      <c r="AX7" s="43" t="e">
        <f>BG$3*MIN(1,(ATM_Conf!$C$6-Links!AD7)/(ATM_Conf!$C$6-ATM_Conf!$C$7))</f>
        <v>#DIV/0!</v>
      </c>
      <c r="AY7" s="43" t="e">
        <f>BH$3*MIN(1,(ATM_Conf!$C$6-Links!AE7)/(ATM_Conf!$C$6-ATM_Conf!$C$7))</f>
        <v>#DIV/0!</v>
      </c>
      <c r="AZ7" s="43" t="e">
        <f>BI$3*MIN(1,(ATM_Conf!$C$6-Links!AG7)/(ATM_Conf!$C$6-ATM_Conf!$C$7))</f>
        <v>#DIV/0!</v>
      </c>
      <c r="BA7" s="43" t="e">
        <f>BJ$3*MIN(1,(ATM_Conf!$C$6-Links!AH7)/(ATM_Conf!$C$6-ATM_Conf!$C$7))</f>
        <v>#DIV/0!</v>
      </c>
      <c r="BB7" s="43" t="e">
        <f>BK$3*MIN(1,(ATM_Conf!$C$6-Links!AK7)/(ATM_Conf!$C$6-ATM_Conf!$C$7))</f>
        <v>#DIV/0!</v>
      </c>
      <c r="BC7" s="43" t="e">
        <f>BL$3*MIN(1,(ATM_Conf!$C$6-Links!AM7)/(ATM_Conf!$C$6-ATM_Conf!$C$7))</f>
        <v>#DIV/0!</v>
      </c>
      <c r="BD7" s="43">
        <f t="shared" si="25"/>
        <v>0</v>
      </c>
      <c r="BE7" s="43">
        <f t="shared" si="12"/>
        <v>0</v>
      </c>
      <c r="BF7" s="43">
        <f t="shared" si="12"/>
        <v>0</v>
      </c>
      <c r="BG7" s="43">
        <f t="shared" si="12"/>
        <v>0</v>
      </c>
      <c r="BH7" s="43">
        <f t="shared" si="12"/>
        <v>0</v>
      </c>
      <c r="BI7" s="43">
        <f t="shared" si="12"/>
        <v>0</v>
      </c>
      <c r="BJ7" s="43">
        <f t="shared" si="12"/>
        <v>0</v>
      </c>
      <c r="BK7" s="43">
        <f t="shared" si="12"/>
        <v>0</v>
      </c>
      <c r="BL7" s="43">
        <f t="shared" si="12"/>
        <v>0</v>
      </c>
      <c r="BM7" s="51"/>
      <c r="BN7" s="51"/>
      <c r="BO7" s="51"/>
      <c r="BP7" s="51"/>
      <c r="BQ7" s="51"/>
      <c r="BR7" s="51"/>
      <c r="BS7" s="51"/>
      <c r="BT7" s="51"/>
      <c r="BU7" s="51"/>
      <c r="BV7" s="51" t="e">
        <f t="shared" si="13"/>
        <v>#DIV/0!</v>
      </c>
      <c r="BW7" s="51" t="e">
        <f t="shared" si="14"/>
        <v>#DIV/0!</v>
      </c>
      <c r="BX7" s="51" t="e">
        <f t="shared" si="15"/>
        <v>#DIV/0!</v>
      </c>
      <c r="BY7" s="51" t="e">
        <f t="shared" si="16"/>
        <v>#DIV/0!</v>
      </c>
      <c r="BZ7" s="51" t="e">
        <f t="shared" si="17"/>
        <v>#DIV/0!</v>
      </c>
      <c r="CA7" s="51" t="e">
        <f t="shared" si="18"/>
        <v>#DIV/0!</v>
      </c>
      <c r="CB7" s="51" t="e">
        <f t="shared" si="19"/>
        <v>#DIV/0!</v>
      </c>
      <c r="CC7" s="51" t="e">
        <f t="shared" si="20"/>
        <v>#DIV/0!</v>
      </c>
      <c r="CD7" s="51" t="e">
        <f t="shared" si="21"/>
        <v>#DIV/0!</v>
      </c>
      <c r="CE7" s="53">
        <f t="shared" si="26"/>
        <v>0</v>
      </c>
      <c r="CF7" s="53">
        <f t="shared" si="22"/>
        <v>0</v>
      </c>
      <c r="CG7" s="53">
        <f t="shared" si="22"/>
        <v>0</v>
      </c>
      <c r="CH7" s="53">
        <f t="shared" si="22"/>
        <v>0</v>
      </c>
      <c r="CI7" s="53">
        <f t="shared" si="22"/>
        <v>0</v>
      </c>
      <c r="CJ7" s="53">
        <f t="shared" si="22"/>
        <v>0</v>
      </c>
      <c r="CK7" s="53">
        <f t="shared" si="22"/>
        <v>0</v>
      </c>
      <c r="CL7" s="53">
        <f t="shared" si="22"/>
        <v>0</v>
      </c>
      <c r="CM7" s="53">
        <f t="shared" si="22"/>
        <v>0</v>
      </c>
    </row>
    <row r="8" spans="1:91" x14ac:dyDescent="0.15">
      <c r="A8" s="41">
        <v>6</v>
      </c>
      <c r="B8" s="43">
        <f t="shared" si="23"/>
        <v>1</v>
      </c>
      <c r="C8" s="43">
        <f t="shared" si="1"/>
        <v>1</v>
      </c>
      <c r="D8" s="43">
        <f t="shared" si="1"/>
        <v>1</v>
      </c>
      <c r="E8" s="43">
        <f t="shared" si="1"/>
        <v>1</v>
      </c>
      <c r="F8" s="43">
        <f t="shared" si="1"/>
        <v>1</v>
      </c>
      <c r="G8" s="43">
        <f t="shared" si="1"/>
        <v>1</v>
      </c>
      <c r="H8" s="43">
        <f t="shared" si="1"/>
        <v>1</v>
      </c>
      <c r="I8" s="43">
        <f t="shared" si="1"/>
        <v>1</v>
      </c>
      <c r="J8" s="43">
        <f t="shared" si="1"/>
        <v>1</v>
      </c>
      <c r="K8" s="43" t="e">
        <f>K7+ATM_Conf!$C$5*(T7-AC7)</f>
        <v>#DIV/0!</v>
      </c>
      <c r="L8" s="43" t="e">
        <f>L7+ATM_Conf!$C$5*(U7-AD7)</f>
        <v>#DIV/0!</v>
      </c>
      <c r="M8" s="43" t="e">
        <f>M7+ATM_Conf!$C$5*(V7-AE7)</f>
        <v>#DIV/0!</v>
      </c>
      <c r="N8" s="43" t="e">
        <f>N7+ATM_Conf!$C$5*(W7-AF7)</f>
        <v>#DIV/0!</v>
      </c>
      <c r="O8" s="43" t="e">
        <f>O7+ATM_Conf!$C$5*(X7-AG7)</f>
        <v>#DIV/0!</v>
      </c>
      <c r="P8" s="43" t="e">
        <f>P7+ATM_Conf!$C$5*(Y7-AH7)</f>
        <v>#DIV/0!</v>
      </c>
      <c r="Q8" s="43" t="e">
        <f>Q7+ATM_Conf!$C$5*(Z7-AI7)</f>
        <v>#DIV/0!</v>
      </c>
      <c r="R8" s="43" t="e">
        <f>R7+ATM_Conf!$C$5*(AA7-AJ7)</f>
        <v>#DIV/0!</v>
      </c>
      <c r="S8" s="43" t="e">
        <f>S7+ATM_Conf!$C$5*(AB7-AK7)</f>
        <v>#DIV/0!</v>
      </c>
      <c r="T8" s="43">
        <f t="shared" si="24"/>
        <v>0</v>
      </c>
      <c r="U8" s="43">
        <f t="shared" si="2"/>
        <v>0</v>
      </c>
      <c r="V8" s="43">
        <f t="shared" si="2"/>
        <v>0</v>
      </c>
      <c r="W8" s="43">
        <f t="shared" si="2"/>
        <v>0</v>
      </c>
      <c r="X8" s="43">
        <f t="shared" si="2"/>
        <v>0</v>
      </c>
      <c r="Y8" s="43">
        <f t="shared" si="2"/>
        <v>0</v>
      </c>
      <c r="Z8" s="43">
        <f t="shared" si="2"/>
        <v>0</v>
      </c>
      <c r="AA8" s="43">
        <f t="shared" si="2"/>
        <v>0</v>
      </c>
      <c r="AB8" s="43">
        <f t="shared" si="2"/>
        <v>0</v>
      </c>
      <c r="AC8" s="43" t="e">
        <f t="shared" si="3"/>
        <v>#DIV/0!</v>
      </c>
      <c r="AD8" s="43" t="e">
        <f t="shared" si="4"/>
        <v>#DIV/0!</v>
      </c>
      <c r="AE8" s="43" t="e">
        <f t="shared" si="5"/>
        <v>#DIV/0!</v>
      </c>
      <c r="AF8" s="43" t="e">
        <f t="shared" si="6"/>
        <v>#DIV/0!</v>
      </c>
      <c r="AG8" s="43" t="e">
        <f t="shared" si="7"/>
        <v>#DIV/0!</v>
      </c>
      <c r="AH8" s="43" t="e">
        <f t="shared" si="8"/>
        <v>#DIV/0!</v>
      </c>
      <c r="AI8" s="43" t="e">
        <f t="shared" si="9"/>
        <v>#DIV/0!</v>
      </c>
      <c r="AJ8" s="43" t="e">
        <f t="shared" si="10"/>
        <v>#DIV/0!</v>
      </c>
      <c r="AK8" s="43" t="e">
        <f t="shared" si="11"/>
        <v>#DIV/0!</v>
      </c>
      <c r="AL8" s="43" t="e">
        <f>T$3+K8/ATM_Conf!$C$5</f>
        <v>#DIV/0!</v>
      </c>
      <c r="AM8" s="43" t="e">
        <f>U$3+L8/ATM_Conf!$C$5</f>
        <v>#DIV/0!</v>
      </c>
      <c r="AN8" s="43" t="e">
        <f>V$3+M8/ATM_Conf!$C$5</f>
        <v>#DIV/0!</v>
      </c>
      <c r="AO8" s="43" t="e">
        <f>W$3+N8/ATM_Conf!$C$5</f>
        <v>#DIV/0!</v>
      </c>
      <c r="AP8" s="43" t="e">
        <f>X$3+O8/ATM_Conf!$C$5</f>
        <v>#DIV/0!</v>
      </c>
      <c r="AQ8" s="43" t="e">
        <f>Y$3+P8/ATM_Conf!$C$5</f>
        <v>#DIV/0!</v>
      </c>
      <c r="AR8" s="43" t="e">
        <f>Z$3+Q8/ATM_Conf!$C$5</f>
        <v>#DIV/0!</v>
      </c>
      <c r="AS8" s="43" t="e">
        <f>AA$3+R8/ATM_Conf!$C$5</f>
        <v>#DIV/0!</v>
      </c>
      <c r="AT8" s="43" t="e">
        <f>AB$3+S8/ATM_Conf!$C$5</f>
        <v>#DIV/0!</v>
      </c>
      <c r="AU8" s="43" t="e">
        <f>BD$3*MIN(1,(ATM_Conf!$C$6-Links!X8)/(ATM_Conf!$C$6-ATM_Conf!$C$7))</f>
        <v>#DIV/0!</v>
      </c>
      <c r="AV8" s="43" t="e">
        <f>BE$3*MIN(1,(ATM_Conf!$C$6-Links!Z8)/(ATM_Conf!$C$6-ATM_Conf!$C$7))</f>
        <v>#DIV/0!</v>
      </c>
      <c r="AW8" s="43" t="e">
        <f>BF$3*MIN(1,(ATM_Conf!$C$6-Links!AA8)/(ATM_Conf!$C$6-ATM_Conf!$C$7))</f>
        <v>#DIV/0!</v>
      </c>
      <c r="AX8" s="43" t="e">
        <f>BG$3*MIN(1,(ATM_Conf!$C$6-Links!AD8)/(ATM_Conf!$C$6-ATM_Conf!$C$7))</f>
        <v>#DIV/0!</v>
      </c>
      <c r="AY8" s="43" t="e">
        <f>BH$3*MIN(1,(ATM_Conf!$C$6-Links!AE8)/(ATM_Conf!$C$6-ATM_Conf!$C$7))</f>
        <v>#DIV/0!</v>
      </c>
      <c r="AZ8" s="43" t="e">
        <f>BI$3*MIN(1,(ATM_Conf!$C$6-Links!AG8)/(ATM_Conf!$C$6-ATM_Conf!$C$7))</f>
        <v>#DIV/0!</v>
      </c>
      <c r="BA8" s="43" t="e">
        <f>BJ$3*MIN(1,(ATM_Conf!$C$6-Links!AH8)/(ATM_Conf!$C$6-ATM_Conf!$C$7))</f>
        <v>#DIV/0!</v>
      </c>
      <c r="BB8" s="43" t="e">
        <f>BK$3*MIN(1,(ATM_Conf!$C$6-Links!AK8)/(ATM_Conf!$C$6-ATM_Conf!$C$7))</f>
        <v>#DIV/0!</v>
      </c>
      <c r="BC8" s="43" t="e">
        <f>BL$3*MIN(1,(ATM_Conf!$C$6-Links!AM8)/(ATM_Conf!$C$6-ATM_Conf!$C$7))</f>
        <v>#DIV/0!</v>
      </c>
      <c r="BD8" s="43">
        <f t="shared" si="25"/>
        <v>0</v>
      </c>
      <c r="BE8" s="43">
        <f t="shared" si="12"/>
        <v>0</v>
      </c>
      <c r="BF8" s="43">
        <f t="shared" si="12"/>
        <v>0</v>
      </c>
      <c r="BG8" s="43">
        <f t="shared" si="12"/>
        <v>0</v>
      </c>
      <c r="BH8" s="43">
        <f t="shared" si="12"/>
        <v>0</v>
      </c>
      <c r="BI8" s="43">
        <f t="shared" si="12"/>
        <v>0</v>
      </c>
      <c r="BJ8" s="43">
        <f t="shared" si="12"/>
        <v>0</v>
      </c>
      <c r="BK8" s="43">
        <f t="shared" si="12"/>
        <v>0</v>
      </c>
      <c r="BL8" s="43">
        <f t="shared" si="12"/>
        <v>0</v>
      </c>
      <c r="BM8" s="51"/>
      <c r="BN8" s="51"/>
      <c r="BO8" s="51"/>
      <c r="BP8" s="51"/>
      <c r="BQ8" s="51"/>
      <c r="BR8" s="51"/>
      <c r="BS8" s="51"/>
      <c r="BT8" s="51"/>
      <c r="BU8" s="51"/>
      <c r="BV8" s="51" t="e">
        <f t="shared" si="13"/>
        <v>#DIV/0!</v>
      </c>
      <c r="BW8" s="51" t="e">
        <f t="shared" si="14"/>
        <v>#DIV/0!</v>
      </c>
      <c r="BX8" s="51" t="e">
        <f t="shared" si="15"/>
        <v>#DIV/0!</v>
      </c>
      <c r="BY8" s="51" t="e">
        <f t="shared" si="16"/>
        <v>#DIV/0!</v>
      </c>
      <c r="BZ8" s="51" t="e">
        <f t="shared" si="17"/>
        <v>#DIV/0!</v>
      </c>
      <c r="CA8" s="51" t="e">
        <f t="shared" si="18"/>
        <v>#DIV/0!</v>
      </c>
      <c r="CB8" s="51" t="e">
        <f t="shared" si="19"/>
        <v>#DIV/0!</v>
      </c>
      <c r="CC8" s="51" t="e">
        <f t="shared" si="20"/>
        <v>#DIV/0!</v>
      </c>
      <c r="CD8" s="51" t="e">
        <f t="shared" si="21"/>
        <v>#DIV/0!</v>
      </c>
      <c r="CE8" s="53">
        <f t="shared" si="26"/>
        <v>0</v>
      </c>
      <c r="CF8" s="53">
        <f t="shared" si="22"/>
        <v>0</v>
      </c>
      <c r="CG8" s="53">
        <f t="shared" si="22"/>
        <v>0</v>
      </c>
      <c r="CH8" s="53">
        <f t="shared" si="22"/>
        <v>0</v>
      </c>
      <c r="CI8" s="53">
        <f t="shared" si="22"/>
        <v>0</v>
      </c>
      <c r="CJ8" s="53">
        <f t="shared" si="22"/>
        <v>0</v>
      </c>
      <c r="CK8" s="53">
        <f t="shared" si="22"/>
        <v>0</v>
      </c>
      <c r="CL8" s="53">
        <f t="shared" si="22"/>
        <v>0</v>
      </c>
      <c r="CM8" s="53">
        <f t="shared" si="22"/>
        <v>0</v>
      </c>
    </row>
    <row r="9" spans="1:91" x14ac:dyDescent="0.15">
      <c r="A9" s="41">
        <v>7</v>
      </c>
      <c r="B9" s="43">
        <f t="shared" si="23"/>
        <v>1</v>
      </c>
      <c r="C9" s="43">
        <f t="shared" si="1"/>
        <v>1</v>
      </c>
      <c r="D9" s="43">
        <f t="shared" si="1"/>
        <v>1</v>
      </c>
      <c r="E9" s="43">
        <f t="shared" si="1"/>
        <v>1</v>
      </c>
      <c r="F9" s="43">
        <f t="shared" si="1"/>
        <v>1</v>
      </c>
      <c r="G9" s="43">
        <f t="shared" si="1"/>
        <v>1</v>
      </c>
      <c r="H9" s="43">
        <f t="shared" si="1"/>
        <v>1</v>
      </c>
      <c r="I9" s="43">
        <f t="shared" si="1"/>
        <v>1</v>
      </c>
      <c r="J9" s="43">
        <f t="shared" si="1"/>
        <v>1</v>
      </c>
      <c r="K9" s="43" t="e">
        <f>K8+ATM_Conf!$C$5*(T8-AC8)</f>
        <v>#DIV/0!</v>
      </c>
      <c r="L9" s="43" t="e">
        <f>L8+ATM_Conf!$C$5*(U8-AD8)</f>
        <v>#DIV/0!</v>
      </c>
      <c r="M9" s="43" t="e">
        <f>M8+ATM_Conf!$C$5*(V8-AE8)</f>
        <v>#DIV/0!</v>
      </c>
      <c r="N9" s="43" t="e">
        <f>N8+ATM_Conf!$C$5*(W8-AF8)</f>
        <v>#DIV/0!</v>
      </c>
      <c r="O9" s="43" t="e">
        <f>O8+ATM_Conf!$C$5*(X8-AG8)</f>
        <v>#DIV/0!</v>
      </c>
      <c r="P9" s="43" t="e">
        <f>P8+ATM_Conf!$C$5*(Y8-AH8)</f>
        <v>#DIV/0!</v>
      </c>
      <c r="Q9" s="43" t="e">
        <f>Q8+ATM_Conf!$C$5*(Z8-AI8)</f>
        <v>#DIV/0!</v>
      </c>
      <c r="R9" s="43" t="e">
        <f>R8+ATM_Conf!$C$5*(AA8-AJ8)</f>
        <v>#DIV/0!</v>
      </c>
      <c r="S9" s="43" t="e">
        <f>S8+ATM_Conf!$C$5*(AB8-AK8)</f>
        <v>#DIV/0!</v>
      </c>
      <c r="T9" s="43">
        <f t="shared" si="24"/>
        <v>0</v>
      </c>
      <c r="U9" s="43">
        <f t="shared" si="2"/>
        <v>0</v>
      </c>
      <c r="V9" s="43">
        <f t="shared" si="2"/>
        <v>0</v>
      </c>
      <c r="W9" s="43">
        <f t="shared" si="2"/>
        <v>0</v>
      </c>
      <c r="X9" s="43">
        <f t="shared" si="2"/>
        <v>0</v>
      </c>
      <c r="Y9" s="43">
        <f t="shared" si="2"/>
        <v>0</v>
      </c>
      <c r="Z9" s="43">
        <f t="shared" si="2"/>
        <v>0</v>
      </c>
      <c r="AA9" s="43">
        <f t="shared" si="2"/>
        <v>0</v>
      </c>
      <c r="AB9" s="43">
        <f t="shared" si="2"/>
        <v>0</v>
      </c>
      <c r="AC9" s="43" t="e">
        <f t="shared" si="3"/>
        <v>#DIV/0!</v>
      </c>
      <c r="AD9" s="43" t="e">
        <f t="shared" si="4"/>
        <v>#DIV/0!</v>
      </c>
      <c r="AE9" s="43" t="e">
        <f t="shared" si="5"/>
        <v>#DIV/0!</v>
      </c>
      <c r="AF9" s="43" t="e">
        <f t="shared" si="6"/>
        <v>#DIV/0!</v>
      </c>
      <c r="AG9" s="43" t="e">
        <f t="shared" si="7"/>
        <v>#DIV/0!</v>
      </c>
      <c r="AH9" s="43" t="e">
        <f t="shared" si="8"/>
        <v>#DIV/0!</v>
      </c>
      <c r="AI9" s="43" t="e">
        <f t="shared" si="9"/>
        <v>#DIV/0!</v>
      </c>
      <c r="AJ9" s="43" t="e">
        <f t="shared" si="10"/>
        <v>#DIV/0!</v>
      </c>
      <c r="AK9" s="43" t="e">
        <f t="shared" si="11"/>
        <v>#DIV/0!</v>
      </c>
      <c r="AL9" s="43" t="e">
        <f>T$3+K9/ATM_Conf!$C$5</f>
        <v>#DIV/0!</v>
      </c>
      <c r="AM9" s="43" t="e">
        <f>U$3+L9/ATM_Conf!$C$5</f>
        <v>#DIV/0!</v>
      </c>
      <c r="AN9" s="43" t="e">
        <f>V$3+M9/ATM_Conf!$C$5</f>
        <v>#DIV/0!</v>
      </c>
      <c r="AO9" s="43" t="e">
        <f>W$3+N9/ATM_Conf!$C$5</f>
        <v>#DIV/0!</v>
      </c>
      <c r="AP9" s="43" t="e">
        <f>X$3+O9/ATM_Conf!$C$5</f>
        <v>#DIV/0!</v>
      </c>
      <c r="AQ9" s="43" t="e">
        <f>Y$3+P9/ATM_Conf!$C$5</f>
        <v>#DIV/0!</v>
      </c>
      <c r="AR9" s="43" t="e">
        <f>Z$3+Q9/ATM_Conf!$C$5</f>
        <v>#DIV/0!</v>
      </c>
      <c r="AS9" s="43" t="e">
        <f>AA$3+R9/ATM_Conf!$C$5</f>
        <v>#DIV/0!</v>
      </c>
      <c r="AT9" s="43" t="e">
        <f>AB$3+S9/ATM_Conf!$C$5</f>
        <v>#DIV/0!</v>
      </c>
      <c r="AU9" s="43" t="e">
        <f>BD$3*MIN(1,(ATM_Conf!$C$6-Links!X9)/(ATM_Conf!$C$6-ATM_Conf!$C$7))</f>
        <v>#DIV/0!</v>
      </c>
      <c r="AV9" s="43" t="e">
        <f>BE$3*MIN(1,(ATM_Conf!$C$6-Links!Z9)/(ATM_Conf!$C$6-ATM_Conf!$C$7))</f>
        <v>#DIV/0!</v>
      </c>
      <c r="AW9" s="43" t="e">
        <f>BF$3*MIN(1,(ATM_Conf!$C$6-Links!AA9)/(ATM_Conf!$C$6-ATM_Conf!$C$7))</f>
        <v>#DIV/0!</v>
      </c>
      <c r="AX9" s="43" t="e">
        <f>BG$3*MIN(1,(ATM_Conf!$C$6-Links!AD9)/(ATM_Conf!$C$6-ATM_Conf!$C$7))</f>
        <v>#DIV/0!</v>
      </c>
      <c r="AY9" s="43" t="e">
        <f>BH$3*MIN(1,(ATM_Conf!$C$6-Links!AE9)/(ATM_Conf!$C$6-ATM_Conf!$C$7))</f>
        <v>#DIV/0!</v>
      </c>
      <c r="AZ9" s="43" t="e">
        <f>BI$3*MIN(1,(ATM_Conf!$C$6-Links!AG9)/(ATM_Conf!$C$6-ATM_Conf!$C$7))</f>
        <v>#DIV/0!</v>
      </c>
      <c r="BA9" s="43" t="e">
        <f>BJ$3*MIN(1,(ATM_Conf!$C$6-Links!AH9)/(ATM_Conf!$C$6-ATM_Conf!$C$7))</f>
        <v>#DIV/0!</v>
      </c>
      <c r="BB9" s="43" t="e">
        <f>BK$3*MIN(1,(ATM_Conf!$C$6-Links!AK9)/(ATM_Conf!$C$6-ATM_Conf!$C$7))</f>
        <v>#DIV/0!</v>
      </c>
      <c r="BC9" s="43" t="e">
        <f>BL$3*MIN(1,(ATM_Conf!$C$6-Links!AM9)/(ATM_Conf!$C$6-ATM_Conf!$C$7))</f>
        <v>#DIV/0!</v>
      </c>
      <c r="BD9" s="43">
        <f t="shared" si="25"/>
        <v>0</v>
      </c>
      <c r="BE9" s="43">
        <f t="shared" si="12"/>
        <v>0</v>
      </c>
      <c r="BF9" s="43">
        <f t="shared" si="12"/>
        <v>0</v>
      </c>
      <c r="BG9" s="43">
        <f t="shared" si="12"/>
        <v>0</v>
      </c>
      <c r="BH9" s="43">
        <f t="shared" si="12"/>
        <v>0</v>
      </c>
      <c r="BI9" s="43">
        <f t="shared" si="12"/>
        <v>0</v>
      </c>
      <c r="BJ9" s="43">
        <f t="shared" si="12"/>
        <v>0</v>
      </c>
      <c r="BK9" s="43">
        <f t="shared" si="12"/>
        <v>0</v>
      </c>
      <c r="BL9" s="43">
        <f t="shared" si="12"/>
        <v>0</v>
      </c>
      <c r="BM9" s="51"/>
      <c r="BN9" s="51"/>
      <c r="BO9" s="51"/>
      <c r="BP9" s="51"/>
      <c r="BQ9" s="51"/>
      <c r="BR9" s="51"/>
      <c r="BS9" s="51"/>
      <c r="BT9" s="51"/>
      <c r="BU9" s="51"/>
      <c r="BV9" s="51" t="e">
        <f t="shared" si="13"/>
        <v>#DIV/0!</v>
      </c>
      <c r="BW9" s="51" t="e">
        <f t="shared" si="14"/>
        <v>#DIV/0!</v>
      </c>
      <c r="BX9" s="51" t="e">
        <f t="shared" si="15"/>
        <v>#DIV/0!</v>
      </c>
      <c r="BY9" s="51" t="e">
        <f t="shared" si="16"/>
        <v>#DIV/0!</v>
      </c>
      <c r="BZ9" s="51" t="e">
        <f t="shared" si="17"/>
        <v>#DIV/0!</v>
      </c>
      <c r="CA9" s="51" t="e">
        <f t="shared" si="18"/>
        <v>#DIV/0!</v>
      </c>
      <c r="CB9" s="51" t="e">
        <f t="shared" si="19"/>
        <v>#DIV/0!</v>
      </c>
      <c r="CC9" s="51" t="e">
        <f t="shared" si="20"/>
        <v>#DIV/0!</v>
      </c>
      <c r="CD9" s="51" t="e">
        <f t="shared" si="21"/>
        <v>#DIV/0!</v>
      </c>
      <c r="CE9" s="53">
        <f t="shared" si="26"/>
        <v>0</v>
      </c>
      <c r="CF9" s="53">
        <f t="shared" si="22"/>
        <v>0</v>
      </c>
      <c r="CG9" s="53">
        <f t="shared" si="22"/>
        <v>0</v>
      </c>
      <c r="CH9" s="53">
        <f t="shared" si="22"/>
        <v>0</v>
      </c>
      <c r="CI9" s="53">
        <f t="shared" si="22"/>
        <v>0</v>
      </c>
      <c r="CJ9" s="53">
        <f t="shared" si="22"/>
        <v>0</v>
      </c>
      <c r="CK9" s="53">
        <f t="shared" si="22"/>
        <v>0</v>
      </c>
      <c r="CL9" s="53">
        <f t="shared" si="22"/>
        <v>0</v>
      </c>
      <c r="CM9" s="53">
        <f t="shared" si="22"/>
        <v>0</v>
      </c>
    </row>
    <row r="10" spans="1:91" x14ac:dyDescent="0.15">
      <c r="A10" s="41">
        <v>8</v>
      </c>
      <c r="B10" s="43">
        <f t="shared" si="23"/>
        <v>1</v>
      </c>
      <c r="C10" s="43">
        <f t="shared" si="1"/>
        <v>1</v>
      </c>
      <c r="D10" s="43">
        <f t="shared" si="1"/>
        <v>1</v>
      </c>
      <c r="E10" s="43">
        <f t="shared" si="1"/>
        <v>1</v>
      </c>
      <c r="F10" s="43">
        <f t="shared" si="1"/>
        <v>1</v>
      </c>
      <c r="G10" s="43">
        <f t="shared" si="1"/>
        <v>1</v>
      </c>
      <c r="H10" s="43">
        <f t="shared" si="1"/>
        <v>1</v>
      </c>
      <c r="I10" s="43">
        <f t="shared" si="1"/>
        <v>1</v>
      </c>
      <c r="J10" s="43">
        <f t="shared" si="1"/>
        <v>1</v>
      </c>
      <c r="K10" s="43" t="e">
        <f>K9+ATM_Conf!$C$5*(T9-AC9)</f>
        <v>#DIV/0!</v>
      </c>
      <c r="L10" s="43" t="e">
        <f>L9+ATM_Conf!$C$5*(U9-AD9)</f>
        <v>#DIV/0!</v>
      </c>
      <c r="M10" s="43" t="e">
        <f>M9+ATM_Conf!$C$5*(V9-AE9)</f>
        <v>#DIV/0!</v>
      </c>
      <c r="N10" s="43" t="e">
        <f>N9+ATM_Conf!$C$5*(W9-AF9)</f>
        <v>#DIV/0!</v>
      </c>
      <c r="O10" s="43" t="e">
        <f>O9+ATM_Conf!$C$5*(X9-AG9)</f>
        <v>#DIV/0!</v>
      </c>
      <c r="P10" s="43" t="e">
        <f>P9+ATM_Conf!$C$5*(Y9-AH9)</f>
        <v>#DIV/0!</v>
      </c>
      <c r="Q10" s="43" t="e">
        <f>Q9+ATM_Conf!$C$5*(Z9-AI9)</f>
        <v>#DIV/0!</v>
      </c>
      <c r="R10" s="43" t="e">
        <f>R9+ATM_Conf!$C$5*(AA9-AJ9)</f>
        <v>#DIV/0!</v>
      </c>
      <c r="S10" s="43" t="e">
        <f>S9+ATM_Conf!$C$5*(AB9-AK9)</f>
        <v>#DIV/0!</v>
      </c>
      <c r="T10" s="43">
        <f t="shared" si="24"/>
        <v>0</v>
      </c>
      <c r="U10" s="43">
        <f t="shared" si="2"/>
        <v>0</v>
      </c>
      <c r="V10" s="43">
        <f t="shared" si="2"/>
        <v>0</v>
      </c>
      <c r="W10" s="43">
        <f t="shared" si="2"/>
        <v>0</v>
      </c>
      <c r="X10" s="43">
        <f t="shared" si="2"/>
        <v>0</v>
      </c>
      <c r="Y10" s="43">
        <f t="shared" si="2"/>
        <v>0</v>
      </c>
      <c r="Z10" s="43">
        <f t="shared" si="2"/>
        <v>0</v>
      </c>
      <c r="AA10" s="43">
        <f t="shared" si="2"/>
        <v>0</v>
      </c>
      <c r="AB10" s="43">
        <f t="shared" si="2"/>
        <v>0</v>
      </c>
      <c r="AC10" s="43" t="e">
        <f t="shared" si="3"/>
        <v>#DIV/0!</v>
      </c>
      <c r="AD10" s="43" t="e">
        <f t="shared" si="4"/>
        <v>#DIV/0!</v>
      </c>
      <c r="AE10" s="43" t="e">
        <f t="shared" si="5"/>
        <v>#DIV/0!</v>
      </c>
      <c r="AF10" s="43" t="e">
        <f t="shared" si="6"/>
        <v>#DIV/0!</v>
      </c>
      <c r="AG10" s="43" t="e">
        <f t="shared" si="7"/>
        <v>#DIV/0!</v>
      </c>
      <c r="AH10" s="43" t="e">
        <f t="shared" si="8"/>
        <v>#DIV/0!</v>
      </c>
      <c r="AI10" s="43" t="e">
        <f t="shared" si="9"/>
        <v>#DIV/0!</v>
      </c>
      <c r="AJ10" s="43" t="e">
        <f t="shared" si="10"/>
        <v>#DIV/0!</v>
      </c>
      <c r="AK10" s="43" t="e">
        <f t="shared" si="11"/>
        <v>#DIV/0!</v>
      </c>
      <c r="AL10" s="43" t="e">
        <f>T$3+K10/ATM_Conf!$C$5</f>
        <v>#DIV/0!</v>
      </c>
      <c r="AM10" s="43" t="e">
        <f>U$3+L10/ATM_Conf!$C$5</f>
        <v>#DIV/0!</v>
      </c>
      <c r="AN10" s="43" t="e">
        <f>V$3+M10/ATM_Conf!$C$5</f>
        <v>#DIV/0!</v>
      </c>
      <c r="AO10" s="43" t="e">
        <f>W$3+N10/ATM_Conf!$C$5</f>
        <v>#DIV/0!</v>
      </c>
      <c r="AP10" s="43" t="e">
        <f>X$3+O10/ATM_Conf!$C$5</f>
        <v>#DIV/0!</v>
      </c>
      <c r="AQ10" s="43" t="e">
        <f>Y$3+P10/ATM_Conf!$C$5</f>
        <v>#DIV/0!</v>
      </c>
      <c r="AR10" s="43" t="e">
        <f>Z$3+Q10/ATM_Conf!$C$5</f>
        <v>#DIV/0!</v>
      </c>
      <c r="AS10" s="43" t="e">
        <f>AA$3+R10/ATM_Conf!$C$5</f>
        <v>#DIV/0!</v>
      </c>
      <c r="AT10" s="43" t="e">
        <f>AB$3+S10/ATM_Conf!$C$5</f>
        <v>#DIV/0!</v>
      </c>
      <c r="AU10" s="43" t="e">
        <f>BD$3*MIN(1,(ATM_Conf!$C$6-Links!X10)/(ATM_Conf!$C$6-ATM_Conf!$C$7))</f>
        <v>#DIV/0!</v>
      </c>
      <c r="AV10" s="43" t="e">
        <f>BE$3*MIN(1,(ATM_Conf!$C$6-Links!Z10)/(ATM_Conf!$C$6-ATM_Conf!$C$7))</f>
        <v>#DIV/0!</v>
      </c>
      <c r="AW10" s="43" t="e">
        <f>BF$3*MIN(1,(ATM_Conf!$C$6-Links!AA10)/(ATM_Conf!$C$6-ATM_Conf!$C$7))</f>
        <v>#DIV/0!</v>
      </c>
      <c r="AX10" s="43" t="e">
        <f>BG$3*MIN(1,(ATM_Conf!$C$6-Links!AD10)/(ATM_Conf!$C$6-ATM_Conf!$C$7))</f>
        <v>#DIV/0!</v>
      </c>
      <c r="AY10" s="43" t="e">
        <f>BH$3*MIN(1,(ATM_Conf!$C$6-Links!AE10)/(ATM_Conf!$C$6-ATM_Conf!$C$7))</f>
        <v>#DIV/0!</v>
      </c>
      <c r="AZ10" s="43" t="e">
        <f>BI$3*MIN(1,(ATM_Conf!$C$6-Links!AG10)/(ATM_Conf!$C$6-ATM_Conf!$C$7))</f>
        <v>#DIV/0!</v>
      </c>
      <c r="BA10" s="43" t="e">
        <f>BJ$3*MIN(1,(ATM_Conf!$C$6-Links!AH10)/(ATM_Conf!$C$6-ATM_Conf!$C$7))</f>
        <v>#DIV/0!</v>
      </c>
      <c r="BB10" s="43" t="e">
        <f>BK$3*MIN(1,(ATM_Conf!$C$6-Links!AK10)/(ATM_Conf!$C$6-ATM_Conf!$C$7))</f>
        <v>#DIV/0!</v>
      </c>
      <c r="BC10" s="43" t="e">
        <f>BL$3*MIN(1,(ATM_Conf!$C$6-Links!AM10)/(ATM_Conf!$C$6-ATM_Conf!$C$7))</f>
        <v>#DIV/0!</v>
      </c>
      <c r="BD10" s="43">
        <f t="shared" si="25"/>
        <v>0</v>
      </c>
      <c r="BE10" s="43">
        <f t="shared" si="12"/>
        <v>0</v>
      </c>
      <c r="BF10" s="43">
        <f t="shared" si="12"/>
        <v>0</v>
      </c>
      <c r="BG10" s="43">
        <f t="shared" si="12"/>
        <v>0</v>
      </c>
      <c r="BH10" s="43">
        <f t="shared" si="12"/>
        <v>0</v>
      </c>
      <c r="BI10" s="43">
        <f t="shared" si="12"/>
        <v>0</v>
      </c>
      <c r="BJ10" s="43">
        <f t="shared" si="12"/>
        <v>0</v>
      </c>
      <c r="BK10" s="43">
        <f t="shared" si="12"/>
        <v>0</v>
      </c>
      <c r="BL10" s="43">
        <f t="shared" si="12"/>
        <v>0</v>
      </c>
      <c r="BM10" s="51"/>
      <c r="BN10" s="51"/>
      <c r="BO10" s="51"/>
      <c r="BP10" s="51"/>
      <c r="BQ10" s="51"/>
      <c r="BR10" s="51"/>
      <c r="BS10" s="51"/>
      <c r="BT10" s="51"/>
      <c r="BU10" s="51"/>
      <c r="BV10" s="51" t="e">
        <f t="shared" si="13"/>
        <v>#DIV/0!</v>
      </c>
      <c r="BW10" s="51" t="e">
        <f t="shared" si="14"/>
        <v>#DIV/0!</v>
      </c>
      <c r="BX10" s="51" t="e">
        <f t="shared" si="15"/>
        <v>#DIV/0!</v>
      </c>
      <c r="BY10" s="51" t="e">
        <f t="shared" si="16"/>
        <v>#DIV/0!</v>
      </c>
      <c r="BZ10" s="51" t="e">
        <f t="shared" si="17"/>
        <v>#DIV/0!</v>
      </c>
      <c r="CA10" s="51" t="e">
        <f t="shared" si="18"/>
        <v>#DIV/0!</v>
      </c>
      <c r="CB10" s="51" t="e">
        <f t="shared" si="19"/>
        <v>#DIV/0!</v>
      </c>
      <c r="CC10" s="51" t="e">
        <f t="shared" si="20"/>
        <v>#DIV/0!</v>
      </c>
      <c r="CD10" s="51" t="e">
        <f t="shared" si="21"/>
        <v>#DIV/0!</v>
      </c>
      <c r="CE10" s="53">
        <f t="shared" si="26"/>
        <v>0</v>
      </c>
      <c r="CF10" s="53">
        <f t="shared" si="22"/>
        <v>0</v>
      </c>
      <c r="CG10" s="53">
        <f t="shared" si="22"/>
        <v>0</v>
      </c>
      <c r="CH10" s="53">
        <f t="shared" si="22"/>
        <v>0</v>
      </c>
      <c r="CI10" s="53">
        <f t="shared" si="22"/>
        <v>0</v>
      </c>
      <c r="CJ10" s="53">
        <f t="shared" si="22"/>
        <v>0</v>
      </c>
      <c r="CK10" s="53">
        <f t="shared" si="22"/>
        <v>0</v>
      </c>
      <c r="CL10" s="53">
        <f t="shared" si="22"/>
        <v>0</v>
      </c>
      <c r="CM10" s="53">
        <f t="shared" si="22"/>
        <v>0</v>
      </c>
    </row>
    <row r="11" spans="1:91" x14ac:dyDescent="0.15">
      <c r="A11" s="41">
        <v>9</v>
      </c>
      <c r="B11" s="43">
        <f t="shared" si="23"/>
        <v>1</v>
      </c>
      <c r="C11" s="43">
        <f t="shared" si="1"/>
        <v>1</v>
      </c>
      <c r="D11" s="43">
        <f t="shared" si="1"/>
        <v>1</v>
      </c>
      <c r="E11" s="43">
        <f t="shared" si="1"/>
        <v>1</v>
      </c>
      <c r="F11" s="43">
        <f t="shared" si="1"/>
        <v>1</v>
      </c>
      <c r="G11" s="43">
        <f t="shared" si="1"/>
        <v>1</v>
      </c>
      <c r="H11" s="43">
        <f t="shared" si="1"/>
        <v>1</v>
      </c>
      <c r="I11" s="43">
        <f t="shared" si="1"/>
        <v>1</v>
      </c>
      <c r="J11" s="43">
        <f t="shared" si="1"/>
        <v>1</v>
      </c>
      <c r="K11" s="43" t="e">
        <f>K10+ATM_Conf!$C$5*(T10-AC10)</f>
        <v>#DIV/0!</v>
      </c>
      <c r="L11" s="43" t="e">
        <f>L10+ATM_Conf!$C$5*(U10-AD10)</f>
        <v>#DIV/0!</v>
      </c>
      <c r="M11" s="43" t="e">
        <f>M10+ATM_Conf!$C$5*(V10-AE10)</f>
        <v>#DIV/0!</v>
      </c>
      <c r="N11" s="43" t="e">
        <f>N10+ATM_Conf!$C$5*(W10-AF10)</f>
        <v>#DIV/0!</v>
      </c>
      <c r="O11" s="43" t="e">
        <f>O10+ATM_Conf!$C$5*(X10-AG10)</f>
        <v>#DIV/0!</v>
      </c>
      <c r="P11" s="43" t="e">
        <f>P10+ATM_Conf!$C$5*(Y10-AH10)</f>
        <v>#DIV/0!</v>
      </c>
      <c r="Q11" s="43" t="e">
        <f>Q10+ATM_Conf!$C$5*(Z10-AI10)</f>
        <v>#DIV/0!</v>
      </c>
      <c r="R11" s="43" t="e">
        <f>R10+ATM_Conf!$C$5*(AA10-AJ10)</f>
        <v>#DIV/0!</v>
      </c>
      <c r="S11" s="43" t="e">
        <f>S10+ATM_Conf!$C$5*(AB10-AK10)</f>
        <v>#DIV/0!</v>
      </c>
      <c r="T11" s="43">
        <f t="shared" si="24"/>
        <v>0</v>
      </c>
      <c r="U11" s="43">
        <f t="shared" si="2"/>
        <v>0</v>
      </c>
      <c r="V11" s="43">
        <f t="shared" si="2"/>
        <v>0</v>
      </c>
      <c r="W11" s="43">
        <f t="shared" si="2"/>
        <v>0</v>
      </c>
      <c r="X11" s="43">
        <f t="shared" si="2"/>
        <v>0</v>
      </c>
      <c r="Y11" s="43">
        <f t="shared" si="2"/>
        <v>0</v>
      </c>
      <c r="Z11" s="43">
        <f t="shared" si="2"/>
        <v>0</v>
      </c>
      <c r="AA11" s="43">
        <f t="shared" si="2"/>
        <v>0</v>
      </c>
      <c r="AB11" s="43">
        <f t="shared" si="2"/>
        <v>0</v>
      </c>
      <c r="AC11" s="43" t="e">
        <f t="shared" si="3"/>
        <v>#DIV/0!</v>
      </c>
      <c r="AD11" s="43" t="e">
        <f t="shared" si="4"/>
        <v>#DIV/0!</v>
      </c>
      <c r="AE11" s="43" t="e">
        <f t="shared" si="5"/>
        <v>#DIV/0!</v>
      </c>
      <c r="AF11" s="43" t="e">
        <f t="shared" si="6"/>
        <v>#DIV/0!</v>
      </c>
      <c r="AG11" s="43" t="e">
        <f t="shared" si="7"/>
        <v>#DIV/0!</v>
      </c>
      <c r="AH11" s="43" t="e">
        <f t="shared" si="8"/>
        <v>#DIV/0!</v>
      </c>
      <c r="AI11" s="43" t="e">
        <f t="shared" si="9"/>
        <v>#DIV/0!</v>
      </c>
      <c r="AJ11" s="43" t="e">
        <f t="shared" si="10"/>
        <v>#DIV/0!</v>
      </c>
      <c r="AK11" s="43" t="e">
        <f t="shared" si="11"/>
        <v>#DIV/0!</v>
      </c>
      <c r="AL11" s="43" t="e">
        <f>T$3+K11/ATM_Conf!$C$5</f>
        <v>#DIV/0!</v>
      </c>
      <c r="AM11" s="43" t="e">
        <f>U$3+L11/ATM_Conf!$C$5</f>
        <v>#DIV/0!</v>
      </c>
      <c r="AN11" s="43" t="e">
        <f>V$3+M11/ATM_Conf!$C$5</f>
        <v>#DIV/0!</v>
      </c>
      <c r="AO11" s="43" t="e">
        <f>W$3+N11/ATM_Conf!$C$5</f>
        <v>#DIV/0!</v>
      </c>
      <c r="AP11" s="43" t="e">
        <f>X$3+O11/ATM_Conf!$C$5</f>
        <v>#DIV/0!</v>
      </c>
      <c r="AQ11" s="43" t="e">
        <f>Y$3+P11/ATM_Conf!$C$5</f>
        <v>#DIV/0!</v>
      </c>
      <c r="AR11" s="43" t="e">
        <f>Z$3+Q11/ATM_Conf!$C$5</f>
        <v>#DIV/0!</v>
      </c>
      <c r="AS11" s="43" t="e">
        <f>AA$3+R11/ATM_Conf!$C$5</f>
        <v>#DIV/0!</v>
      </c>
      <c r="AT11" s="43" t="e">
        <f>AB$3+S11/ATM_Conf!$C$5</f>
        <v>#DIV/0!</v>
      </c>
      <c r="AU11" s="43" t="e">
        <f>BD$3*MIN(1,(ATM_Conf!$C$6-Links!X11)/(ATM_Conf!$C$6-ATM_Conf!$C$7))</f>
        <v>#DIV/0!</v>
      </c>
      <c r="AV11" s="43" t="e">
        <f>BE$3*MIN(1,(ATM_Conf!$C$6-Links!Z11)/(ATM_Conf!$C$6-ATM_Conf!$C$7))</f>
        <v>#DIV/0!</v>
      </c>
      <c r="AW11" s="43" t="e">
        <f>BF$3*MIN(1,(ATM_Conf!$C$6-Links!AA11)/(ATM_Conf!$C$6-ATM_Conf!$C$7))</f>
        <v>#DIV/0!</v>
      </c>
      <c r="AX11" s="43" t="e">
        <f>BG$3*MIN(1,(ATM_Conf!$C$6-Links!AD11)/(ATM_Conf!$C$6-ATM_Conf!$C$7))</f>
        <v>#DIV/0!</v>
      </c>
      <c r="AY11" s="43" t="e">
        <f>BH$3*MIN(1,(ATM_Conf!$C$6-Links!AE11)/(ATM_Conf!$C$6-ATM_Conf!$C$7))</f>
        <v>#DIV/0!</v>
      </c>
      <c r="AZ11" s="43" t="e">
        <f>BI$3*MIN(1,(ATM_Conf!$C$6-Links!AG11)/(ATM_Conf!$C$6-ATM_Conf!$C$7))</f>
        <v>#DIV/0!</v>
      </c>
      <c r="BA11" s="43" t="e">
        <f>BJ$3*MIN(1,(ATM_Conf!$C$6-Links!AH11)/(ATM_Conf!$C$6-ATM_Conf!$C$7))</f>
        <v>#DIV/0!</v>
      </c>
      <c r="BB11" s="43" t="e">
        <f>BK$3*MIN(1,(ATM_Conf!$C$6-Links!AK11)/(ATM_Conf!$C$6-ATM_Conf!$C$7))</f>
        <v>#DIV/0!</v>
      </c>
      <c r="BC11" s="43" t="e">
        <f>BL$3*MIN(1,(ATM_Conf!$C$6-Links!AM11)/(ATM_Conf!$C$6-ATM_Conf!$C$7))</f>
        <v>#DIV/0!</v>
      </c>
      <c r="BD11" s="43">
        <f t="shared" si="25"/>
        <v>0</v>
      </c>
      <c r="BE11" s="43">
        <f t="shared" si="12"/>
        <v>0</v>
      </c>
      <c r="BF11" s="43">
        <f t="shared" si="12"/>
        <v>0</v>
      </c>
      <c r="BG11" s="43">
        <f t="shared" si="12"/>
        <v>0</v>
      </c>
      <c r="BH11" s="43">
        <f t="shared" si="12"/>
        <v>0</v>
      </c>
      <c r="BI11" s="43">
        <f t="shared" si="12"/>
        <v>0</v>
      </c>
      <c r="BJ11" s="43">
        <f t="shared" si="12"/>
        <v>0</v>
      </c>
      <c r="BK11" s="43">
        <f t="shared" si="12"/>
        <v>0</v>
      </c>
      <c r="BL11" s="43">
        <f t="shared" si="12"/>
        <v>0</v>
      </c>
      <c r="BM11" s="51"/>
      <c r="BN11" s="51"/>
      <c r="BO11" s="51"/>
      <c r="BP11" s="51"/>
      <c r="BQ11" s="51"/>
      <c r="BR11" s="51"/>
      <c r="BS11" s="51"/>
      <c r="BT11" s="51"/>
      <c r="BU11" s="51"/>
      <c r="BV11" s="51" t="e">
        <f t="shared" si="13"/>
        <v>#DIV/0!</v>
      </c>
      <c r="BW11" s="51" t="e">
        <f t="shared" si="14"/>
        <v>#DIV/0!</v>
      </c>
      <c r="BX11" s="51" t="e">
        <f t="shared" si="15"/>
        <v>#DIV/0!</v>
      </c>
      <c r="BY11" s="51" t="e">
        <f t="shared" si="16"/>
        <v>#DIV/0!</v>
      </c>
      <c r="BZ11" s="51" t="e">
        <f t="shared" si="17"/>
        <v>#DIV/0!</v>
      </c>
      <c r="CA11" s="51" t="e">
        <f t="shared" si="18"/>
        <v>#DIV/0!</v>
      </c>
      <c r="CB11" s="51" t="e">
        <f t="shared" si="19"/>
        <v>#DIV/0!</v>
      </c>
      <c r="CC11" s="51" t="e">
        <f t="shared" si="20"/>
        <v>#DIV/0!</v>
      </c>
      <c r="CD11" s="51" t="e">
        <f t="shared" si="21"/>
        <v>#DIV/0!</v>
      </c>
      <c r="CE11" s="53">
        <f t="shared" si="26"/>
        <v>0</v>
      </c>
      <c r="CF11" s="53">
        <f t="shared" si="22"/>
        <v>0</v>
      </c>
      <c r="CG11" s="53">
        <f t="shared" si="22"/>
        <v>0</v>
      </c>
      <c r="CH11" s="53">
        <f t="shared" si="22"/>
        <v>0</v>
      </c>
      <c r="CI11" s="53">
        <f t="shared" si="22"/>
        <v>0</v>
      </c>
      <c r="CJ11" s="53">
        <f t="shared" si="22"/>
        <v>0</v>
      </c>
      <c r="CK11" s="53">
        <f t="shared" si="22"/>
        <v>0</v>
      </c>
      <c r="CL11" s="53">
        <f t="shared" si="22"/>
        <v>0</v>
      </c>
      <c r="CM11" s="53">
        <f t="shared" si="22"/>
        <v>0</v>
      </c>
    </row>
    <row r="12" spans="1:91" x14ac:dyDescent="0.15">
      <c r="A12" s="41">
        <v>10</v>
      </c>
      <c r="B12" s="43">
        <f t="shared" si="23"/>
        <v>1</v>
      </c>
      <c r="C12" s="43">
        <f t="shared" si="1"/>
        <v>1</v>
      </c>
      <c r="D12" s="43">
        <f t="shared" si="1"/>
        <v>1</v>
      </c>
      <c r="E12" s="43">
        <f t="shared" si="1"/>
        <v>1</v>
      </c>
      <c r="F12" s="43">
        <f t="shared" si="1"/>
        <v>1</v>
      </c>
      <c r="G12" s="43">
        <f t="shared" si="1"/>
        <v>1</v>
      </c>
      <c r="H12" s="43">
        <f t="shared" si="1"/>
        <v>1</v>
      </c>
      <c r="I12" s="43">
        <f t="shared" si="1"/>
        <v>1</v>
      </c>
      <c r="J12" s="43">
        <f t="shared" si="1"/>
        <v>1</v>
      </c>
      <c r="K12" s="43" t="e">
        <f>K11+ATM_Conf!$C$5*(T11-AC11)</f>
        <v>#DIV/0!</v>
      </c>
      <c r="L12" s="43" t="e">
        <f>L11+ATM_Conf!$C$5*(U11-AD11)</f>
        <v>#DIV/0!</v>
      </c>
      <c r="M12" s="43" t="e">
        <f>M11+ATM_Conf!$C$5*(V11-AE11)</f>
        <v>#DIV/0!</v>
      </c>
      <c r="N12" s="43" t="e">
        <f>N11+ATM_Conf!$C$5*(W11-AF11)</f>
        <v>#DIV/0!</v>
      </c>
      <c r="O12" s="43" t="e">
        <f>O11+ATM_Conf!$C$5*(X11-AG11)</f>
        <v>#DIV/0!</v>
      </c>
      <c r="P12" s="43" t="e">
        <f>P11+ATM_Conf!$C$5*(Y11-AH11)</f>
        <v>#DIV/0!</v>
      </c>
      <c r="Q12" s="43" t="e">
        <f>Q11+ATM_Conf!$C$5*(Z11-AI11)</f>
        <v>#DIV/0!</v>
      </c>
      <c r="R12" s="43" t="e">
        <f>R11+ATM_Conf!$C$5*(AA11-AJ11)</f>
        <v>#DIV/0!</v>
      </c>
      <c r="S12" s="43" t="e">
        <f>S11+ATM_Conf!$C$5*(AB11-AK11)</f>
        <v>#DIV/0!</v>
      </c>
      <c r="T12" s="43">
        <f t="shared" si="24"/>
        <v>0</v>
      </c>
      <c r="U12" s="43">
        <f t="shared" si="2"/>
        <v>0</v>
      </c>
      <c r="V12" s="43">
        <f t="shared" si="2"/>
        <v>0</v>
      </c>
      <c r="W12" s="43">
        <f t="shared" si="2"/>
        <v>0</v>
      </c>
      <c r="X12" s="43">
        <f t="shared" si="2"/>
        <v>0</v>
      </c>
      <c r="Y12" s="43">
        <f t="shared" si="2"/>
        <v>0</v>
      </c>
      <c r="Z12" s="43">
        <f t="shared" si="2"/>
        <v>0</v>
      </c>
      <c r="AA12" s="43">
        <f t="shared" si="2"/>
        <v>0</v>
      </c>
      <c r="AB12" s="43">
        <f t="shared" si="2"/>
        <v>0</v>
      </c>
      <c r="AC12" s="43" t="e">
        <f t="shared" si="3"/>
        <v>#DIV/0!</v>
      </c>
      <c r="AD12" s="43" t="e">
        <f t="shared" si="4"/>
        <v>#DIV/0!</v>
      </c>
      <c r="AE12" s="43" t="e">
        <f t="shared" si="5"/>
        <v>#DIV/0!</v>
      </c>
      <c r="AF12" s="43" t="e">
        <f t="shared" si="6"/>
        <v>#DIV/0!</v>
      </c>
      <c r="AG12" s="43" t="e">
        <f t="shared" si="7"/>
        <v>#DIV/0!</v>
      </c>
      <c r="AH12" s="43" t="e">
        <f t="shared" si="8"/>
        <v>#DIV/0!</v>
      </c>
      <c r="AI12" s="43" t="e">
        <f t="shared" si="9"/>
        <v>#DIV/0!</v>
      </c>
      <c r="AJ12" s="43" t="e">
        <f t="shared" si="10"/>
        <v>#DIV/0!</v>
      </c>
      <c r="AK12" s="43" t="e">
        <f t="shared" si="11"/>
        <v>#DIV/0!</v>
      </c>
      <c r="AL12" s="43" t="e">
        <f>T$3+K12/ATM_Conf!$C$5</f>
        <v>#DIV/0!</v>
      </c>
      <c r="AM12" s="43" t="e">
        <f>U$3+L12/ATM_Conf!$C$5</f>
        <v>#DIV/0!</v>
      </c>
      <c r="AN12" s="43" t="e">
        <f>V$3+M12/ATM_Conf!$C$5</f>
        <v>#DIV/0!</v>
      </c>
      <c r="AO12" s="43" t="e">
        <f>W$3+N12/ATM_Conf!$C$5</f>
        <v>#DIV/0!</v>
      </c>
      <c r="AP12" s="43" t="e">
        <f>X$3+O12/ATM_Conf!$C$5</f>
        <v>#DIV/0!</v>
      </c>
      <c r="AQ12" s="43" t="e">
        <f>Y$3+P12/ATM_Conf!$C$5</f>
        <v>#DIV/0!</v>
      </c>
      <c r="AR12" s="43" t="e">
        <f>Z$3+Q12/ATM_Conf!$C$5</f>
        <v>#DIV/0!</v>
      </c>
      <c r="AS12" s="43" t="e">
        <f>AA$3+R12/ATM_Conf!$C$5</f>
        <v>#DIV/0!</v>
      </c>
      <c r="AT12" s="43" t="e">
        <f>AB$3+S12/ATM_Conf!$C$5</f>
        <v>#DIV/0!</v>
      </c>
      <c r="AU12" s="43" t="e">
        <f>BD$3*MIN(1,(ATM_Conf!$C$6-Links!X12)/(ATM_Conf!$C$6-ATM_Conf!$C$7))</f>
        <v>#DIV/0!</v>
      </c>
      <c r="AV12" s="43" t="e">
        <f>BE$3*MIN(1,(ATM_Conf!$C$6-Links!Z12)/(ATM_Conf!$C$6-ATM_Conf!$C$7))</f>
        <v>#DIV/0!</v>
      </c>
      <c r="AW12" s="43" t="e">
        <f>BF$3*MIN(1,(ATM_Conf!$C$6-Links!AA12)/(ATM_Conf!$C$6-ATM_Conf!$C$7))</f>
        <v>#DIV/0!</v>
      </c>
      <c r="AX12" s="43" t="e">
        <f>BG$3*MIN(1,(ATM_Conf!$C$6-Links!AD12)/(ATM_Conf!$C$6-ATM_Conf!$C$7))</f>
        <v>#DIV/0!</v>
      </c>
      <c r="AY12" s="43" t="e">
        <f>BH$3*MIN(1,(ATM_Conf!$C$6-Links!AE12)/(ATM_Conf!$C$6-ATM_Conf!$C$7))</f>
        <v>#DIV/0!</v>
      </c>
      <c r="AZ12" s="43" t="e">
        <f>BI$3*MIN(1,(ATM_Conf!$C$6-Links!AG12)/(ATM_Conf!$C$6-ATM_Conf!$C$7))</f>
        <v>#DIV/0!</v>
      </c>
      <c r="BA12" s="43" t="e">
        <f>BJ$3*MIN(1,(ATM_Conf!$C$6-Links!AH12)/(ATM_Conf!$C$6-ATM_Conf!$C$7))</f>
        <v>#DIV/0!</v>
      </c>
      <c r="BB12" s="43" t="e">
        <f>BK$3*MIN(1,(ATM_Conf!$C$6-Links!AK12)/(ATM_Conf!$C$6-ATM_Conf!$C$7))</f>
        <v>#DIV/0!</v>
      </c>
      <c r="BC12" s="43" t="e">
        <f>BL$3*MIN(1,(ATM_Conf!$C$6-Links!AM12)/(ATM_Conf!$C$6-ATM_Conf!$C$7))</f>
        <v>#DIV/0!</v>
      </c>
      <c r="BD12" s="43">
        <f t="shared" si="25"/>
        <v>0</v>
      </c>
      <c r="BE12" s="43">
        <f t="shared" si="12"/>
        <v>0</v>
      </c>
      <c r="BF12" s="43">
        <f t="shared" si="12"/>
        <v>0</v>
      </c>
      <c r="BG12" s="43">
        <f t="shared" si="12"/>
        <v>0</v>
      </c>
      <c r="BH12" s="43">
        <f t="shared" si="12"/>
        <v>0</v>
      </c>
      <c r="BI12" s="43">
        <f t="shared" si="12"/>
        <v>0</v>
      </c>
      <c r="BJ12" s="43">
        <f t="shared" si="12"/>
        <v>0</v>
      </c>
      <c r="BK12" s="43">
        <f t="shared" si="12"/>
        <v>0</v>
      </c>
      <c r="BL12" s="43">
        <f t="shared" si="12"/>
        <v>0</v>
      </c>
      <c r="BM12" s="51"/>
      <c r="BN12" s="51"/>
      <c r="BO12" s="51"/>
      <c r="BP12" s="51"/>
      <c r="BQ12" s="51"/>
      <c r="BR12" s="51"/>
      <c r="BS12" s="51"/>
      <c r="BT12" s="51"/>
      <c r="BU12" s="51"/>
      <c r="BV12" s="51" t="e">
        <f t="shared" si="13"/>
        <v>#DIV/0!</v>
      </c>
      <c r="BW12" s="51" t="e">
        <f t="shared" si="14"/>
        <v>#DIV/0!</v>
      </c>
      <c r="BX12" s="51" t="e">
        <f t="shared" si="15"/>
        <v>#DIV/0!</v>
      </c>
      <c r="BY12" s="51" t="e">
        <f t="shared" si="16"/>
        <v>#DIV/0!</v>
      </c>
      <c r="BZ12" s="51" t="e">
        <f t="shared" si="17"/>
        <v>#DIV/0!</v>
      </c>
      <c r="CA12" s="51" t="e">
        <f t="shared" si="18"/>
        <v>#DIV/0!</v>
      </c>
      <c r="CB12" s="51" t="e">
        <f t="shared" si="19"/>
        <v>#DIV/0!</v>
      </c>
      <c r="CC12" s="51" t="e">
        <f t="shared" si="20"/>
        <v>#DIV/0!</v>
      </c>
      <c r="CD12" s="51" t="e">
        <f t="shared" si="21"/>
        <v>#DIV/0!</v>
      </c>
      <c r="CE12" s="53">
        <f t="shared" si="26"/>
        <v>0</v>
      </c>
      <c r="CF12" s="53">
        <f t="shared" si="22"/>
        <v>0</v>
      </c>
      <c r="CG12" s="53">
        <f t="shared" si="22"/>
        <v>0</v>
      </c>
      <c r="CH12" s="53">
        <f t="shared" si="22"/>
        <v>0</v>
      </c>
      <c r="CI12" s="53">
        <f t="shared" si="22"/>
        <v>0</v>
      </c>
      <c r="CJ12" s="53">
        <f t="shared" si="22"/>
        <v>0</v>
      </c>
      <c r="CK12" s="53">
        <f t="shared" si="22"/>
        <v>0</v>
      </c>
      <c r="CL12" s="53">
        <f t="shared" si="22"/>
        <v>0</v>
      </c>
      <c r="CM12" s="53">
        <f t="shared" si="22"/>
        <v>0</v>
      </c>
    </row>
    <row r="13" spans="1:91" x14ac:dyDescent="0.15">
      <c r="A13" s="41">
        <v>11</v>
      </c>
      <c r="B13" s="43">
        <f t="shared" si="23"/>
        <v>1</v>
      </c>
      <c r="C13" s="43">
        <f t="shared" si="1"/>
        <v>1</v>
      </c>
      <c r="D13" s="43">
        <f t="shared" si="1"/>
        <v>1</v>
      </c>
      <c r="E13" s="43">
        <f t="shared" si="1"/>
        <v>1</v>
      </c>
      <c r="F13" s="43">
        <f t="shared" si="1"/>
        <v>1</v>
      </c>
      <c r="G13" s="43">
        <f t="shared" si="1"/>
        <v>1</v>
      </c>
      <c r="H13" s="43">
        <f t="shared" si="1"/>
        <v>1</v>
      </c>
      <c r="I13" s="43">
        <f t="shared" si="1"/>
        <v>1</v>
      </c>
      <c r="J13" s="43">
        <f t="shared" si="1"/>
        <v>1</v>
      </c>
      <c r="K13" s="43" t="e">
        <f>K12+ATM_Conf!$C$5*(T12-AC12)</f>
        <v>#DIV/0!</v>
      </c>
      <c r="L13" s="43" t="e">
        <f>L12+ATM_Conf!$C$5*(U12-AD12)</f>
        <v>#DIV/0!</v>
      </c>
      <c r="M13" s="43" t="e">
        <f>M12+ATM_Conf!$C$5*(V12-AE12)</f>
        <v>#DIV/0!</v>
      </c>
      <c r="N13" s="43" t="e">
        <f>N12+ATM_Conf!$C$5*(W12-AF12)</f>
        <v>#DIV/0!</v>
      </c>
      <c r="O13" s="43" t="e">
        <f>O12+ATM_Conf!$C$5*(X12-AG12)</f>
        <v>#DIV/0!</v>
      </c>
      <c r="P13" s="43" t="e">
        <f>P12+ATM_Conf!$C$5*(Y12-AH12)</f>
        <v>#DIV/0!</v>
      </c>
      <c r="Q13" s="43" t="e">
        <f>Q12+ATM_Conf!$C$5*(Z12-AI12)</f>
        <v>#DIV/0!</v>
      </c>
      <c r="R13" s="43" t="e">
        <f>R12+ATM_Conf!$C$5*(AA12-AJ12)</f>
        <v>#DIV/0!</v>
      </c>
      <c r="S13" s="43" t="e">
        <f>S12+ATM_Conf!$C$5*(AB12-AK12)</f>
        <v>#DIV/0!</v>
      </c>
      <c r="T13" s="43">
        <f t="shared" si="24"/>
        <v>0</v>
      </c>
      <c r="U13" s="43">
        <f t="shared" si="2"/>
        <v>0</v>
      </c>
      <c r="V13" s="43">
        <f t="shared" si="2"/>
        <v>0</v>
      </c>
      <c r="W13" s="43">
        <f t="shared" si="2"/>
        <v>0</v>
      </c>
      <c r="X13" s="43">
        <f t="shared" si="2"/>
        <v>0</v>
      </c>
      <c r="Y13" s="43">
        <f t="shared" si="2"/>
        <v>0</v>
      </c>
      <c r="Z13" s="43">
        <f t="shared" si="2"/>
        <v>0</v>
      </c>
      <c r="AA13" s="43">
        <f t="shared" si="2"/>
        <v>0</v>
      </c>
      <c r="AB13" s="43">
        <f t="shared" si="2"/>
        <v>0</v>
      </c>
      <c r="AC13" s="43" t="e">
        <f t="shared" si="3"/>
        <v>#DIV/0!</v>
      </c>
      <c r="AD13" s="43" t="e">
        <f t="shared" si="4"/>
        <v>#DIV/0!</v>
      </c>
      <c r="AE13" s="43" t="e">
        <f t="shared" si="5"/>
        <v>#DIV/0!</v>
      </c>
      <c r="AF13" s="43" t="e">
        <f t="shared" si="6"/>
        <v>#DIV/0!</v>
      </c>
      <c r="AG13" s="43" t="e">
        <f t="shared" si="7"/>
        <v>#DIV/0!</v>
      </c>
      <c r="AH13" s="43" t="e">
        <f t="shared" si="8"/>
        <v>#DIV/0!</v>
      </c>
      <c r="AI13" s="43" t="e">
        <f t="shared" si="9"/>
        <v>#DIV/0!</v>
      </c>
      <c r="AJ13" s="43" t="e">
        <f t="shared" si="10"/>
        <v>#DIV/0!</v>
      </c>
      <c r="AK13" s="43" t="e">
        <f t="shared" si="11"/>
        <v>#DIV/0!</v>
      </c>
      <c r="AL13" s="43" t="e">
        <f>T$3+K13/ATM_Conf!$C$5</f>
        <v>#DIV/0!</v>
      </c>
      <c r="AM13" s="43" t="e">
        <f>U$3+L13/ATM_Conf!$C$5</f>
        <v>#DIV/0!</v>
      </c>
      <c r="AN13" s="43" t="e">
        <f>V$3+M13/ATM_Conf!$C$5</f>
        <v>#DIV/0!</v>
      </c>
      <c r="AO13" s="43" t="e">
        <f>W$3+N13/ATM_Conf!$C$5</f>
        <v>#DIV/0!</v>
      </c>
      <c r="AP13" s="43" t="e">
        <f>X$3+O13/ATM_Conf!$C$5</f>
        <v>#DIV/0!</v>
      </c>
      <c r="AQ13" s="43" t="e">
        <f>Y$3+P13/ATM_Conf!$C$5</f>
        <v>#DIV/0!</v>
      </c>
      <c r="AR13" s="43" t="e">
        <f>Z$3+Q13/ATM_Conf!$C$5</f>
        <v>#DIV/0!</v>
      </c>
      <c r="AS13" s="43" t="e">
        <f>AA$3+R13/ATM_Conf!$C$5</f>
        <v>#DIV/0!</v>
      </c>
      <c r="AT13" s="43" t="e">
        <f>AB$3+S13/ATM_Conf!$C$5</f>
        <v>#DIV/0!</v>
      </c>
      <c r="AU13" s="43" t="e">
        <f>BD$3*MIN(1,(ATM_Conf!$C$6-Links!X13)/(ATM_Conf!$C$6-ATM_Conf!$C$7))</f>
        <v>#DIV/0!</v>
      </c>
      <c r="AV13" s="43" t="e">
        <f>BE$3*MIN(1,(ATM_Conf!$C$6-Links!Z13)/(ATM_Conf!$C$6-ATM_Conf!$C$7))</f>
        <v>#DIV/0!</v>
      </c>
      <c r="AW13" s="43" t="e">
        <f>BF$3*MIN(1,(ATM_Conf!$C$6-Links!AA13)/(ATM_Conf!$C$6-ATM_Conf!$C$7))</f>
        <v>#DIV/0!</v>
      </c>
      <c r="AX13" s="43" t="e">
        <f>BG$3*MIN(1,(ATM_Conf!$C$6-Links!AD13)/(ATM_Conf!$C$6-ATM_Conf!$C$7))</f>
        <v>#DIV/0!</v>
      </c>
      <c r="AY13" s="43" t="e">
        <f>BH$3*MIN(1,(ATM_Conf!$C$6-Links!AE13)/(ATM_Conf!$C$6-ATM_Conf!$C$7))</f>
        <v>#DIV/0!</v>
      </c>
      <c r="AZ13" s="43" t="e">
        <f>BI$3*MIN(1,(ATM_Conf!$C$6-Links!AG13)/(ATM_Conf!$C$6-ATM_Conf!$C$7))</f>
        <v>#DIV/0!</v>
      </c>
      <c r="BA13" s="43" t="e">
        <f>BJ$3*MIN(1,(ATM_Conf!$C$6-Links!AH13)/(ATM_Conf!$C$6-ATM_Conf!$C$7))</f>
        <v>#DIV/0!</v>
      </c>
      <c r="BB13" s="43" t="e">
        <f>BK$3*MIN(1,(ATM_Conf!$C$6-Links!AK13)/(ATM_Conf!$C$6-ATM_Conf!$C$7))</f>
        <v>#DIV/0!</v>
      </c>
      <c r="BC13" s="43" t="e">
        <f>BL$3*MIN(1,(ATM_Conf!$C$6-Links!AM13)/(ATM_Conf!$C$6-ATM_Conf!$C$7))</f>
        <v>#DIV/0!</v>
      </c>
      <c r="BD13" s="43">
        <f t="shared" si="25"/>
        <v>0</v>
      </c>
      <c r="BE13" s="43">
        <f t="shared" si="12"/>
        <v>0</v>
      </c>
      <c r="BF13" s="43">
        <f t="shared" si="12"/>
        <v>0</v>
      </c>
      <c r="BG13" s="43">
        <f t="shared" si="12"/>
        <v>0</v>
      </c>
      <c r="BH13" s="43">
        <f t="shared" si="12"/>
        <v>0</v>
      </c>
      <c r="BI13" s="43">
        <f t="shared" si="12"/>
        <v>0</v>
      </c>
      <c r="BJ13" s="43">
        <f t="shared" si="12"/>
        <v>0</v>
      </c>
      <c r="BK13" s="43">
        <f t="shared" si="12"/>
        <v>0</v>
      </c>
      <c r="BL13" s="43">
        <f t="shared" si="12"/>
        <v>0</v>
      </c>
      <c r="BM13" s="51"/>
      <c r="BN13" s="51"/>
      <c r="BO13" s="51"/>
      <c r="BP13" s="51"/>
      <c r="BQ13" s="51"/>
      <c r="BR13" s="51"/>
      <c r="BS13" s="51"/>
      <c r="BT13" s="51"/>
      <c r="BU13" s="51"/>
      <c r="BV13" s="51" t="e">
        <f t="shared" si="13"/>
        <v>#DIV/0!</v>
      </c>
      <c r="BW13" s="51" t="e">
        <f t="shared" si="14"/>
        <v>#DIV/0!</v>
      </c>
      <c r="BX13" s="51" t="e">
        <f t="shared" si="15"/>
        <v>#DIV/0!</v>
      </c>
      <c r="BY13" s="51" t="e">
        <f t="shared" si="16"/>
        <v>#DIV/0!</v>
      </c>
      <c r="BZ13" s="51" t="e">
        <f t="shared" si="17"/>
        <v>#DIV/0!</v>
      </c>
      <c r="CA13" s="51" t="e">
        <f t="shared" si="18"/>
        <v>#DIV/0!</v>
      </c>
      <c r="CB13" s="51" t="e">
        <f t="shared" si="19"/>
        <v>#DIV/0!</v>
      </c>
      <c r="CC13" s="51" t="e">
        <f t="shared" si="20"/>
        <v>#DIV/0!</v>
      </c>
      <c r="CD13" s="51" t="e">
        <f t="shared" si="21"/>
        <v>#DIV/0!</v>
      </c>
      <c r="CE13" s="53">
        <f t="shared" si="26"/>
        <v>0</v>
      </c>
      <c r="CF13" s="53">
        <f t="shared" si="22"/>
        <v>0</v>
      </c>
      <c r="CG13" s="53">
        <f t="shared" si="22"/>
        <v>0</v>
      </c>
      <c r="CH13" s="53">
        <f t="shared" si="22"/>
        <v>0</v>
      </c>
      <c r="CI13" s="53">
        <f t="shared" si="22"/>
        <v>0</v>
      </c>
      <c r="CJ13" s="53">
        <f t="shared" si="22"/>
        <v>0</v>
      </c>
      <c r="CK13" s="53">
        <f t="shared" si="22"/>
        <v>0</v>
      </c>
      <c r="CL13" s="53">
        <f t="shared" si="22"/>
        <v>0</v>
      </c>
      <c r="CM13" s="53">
        <f t="shared" si="22"/>
        <v>0</v>
      </c>
    </row>
    <row r="14" spans="1:91" x14ac:dyDescent="0.15">
      <c r="A14" s="41">
        <v>12</v>
      </c>
      <c r="B14" s="43">
        <f t="shared" si="23"/>
        <v>1</v>
      </c>
      <c r="C14" s="43">
        <f t="shared" si="1"/>
        <v>1</v>
      </c>
      <c r="D14" s="43">
        <f t="shared" si="1"/>
        <v>1</v>
      </c>
      <c r="E14" s="43">
        <f t="shared" si="1"/>
        <v>1</v>
      </c>
      <c r="F14" s="43">
        <f t="shared" si="1"/>
        <v>1</v>
      </c>
      <c r="G14" s="43">
        <f t="shared" si="1"/>
        <v>1</v>
      </c>
      <c r="H14" s="43">
        <f t="shared" si="1"/>
        <v>1</v>
      </c>
      <c r="I14" s="43">
        <f t="shared" si="1"/>
        <v>1</v>
      </c>
      <c r="J14" s="43">
        <f t="shared" si="1"/>
        <v>1</v>
      </c>
      <c r="K14" s="43" t="e">
        <f>K13+ATM_Conf!$C$5*(T13-AC13)</f>
        <v>#DIV/0!</v>
      </c>
      <c r="L14" s="43" t="e">
        <f>L13+ATM_Conf!$C$5*(U13-AD13)</f>
        <v>#DIV/0!</v>
      </c>
      <c r="M14" s="43" t="e">
        <f>M13+ATM_Conf!$C$5*(V13-AE13)</f>
        <v>#DIV/0!</v>
      </c>
      <c r="N14" s="43" t="e">
        <f>N13+ATM_Conf!$C$5*(W13-AF13)</f>
        <v>#DIV/0!</v>
      </c>
      <c r="O14" s="43" t="e">
        <f>O13+ATM_Conf!$C$5*(X13-AG13)</f>
        <v>#DIV/0!</v>
      </c>
      <c r="P14" s="43" t="e">
        <f>P13+ATM_Conf!$C$5*(Y13-AH13)</f>
        <v>#DIV/0!</v>
      </c>
      <c r="Q14" s="43" t="e">
        <f>Q13+ATM_Conf!$C$5*(Z13-AI13)</f>
        <v>#DIV/0!</v>
      </c>
      <c r="R14" s="43" t="e">
        <f>R13+ATM_Conf!$C$5*(AA13-AJ13)</f>
        <v>#DIV/0!</v>
      </c>
      <c r="S14" s="43" t="e">
        <f>S13+ATM_Conf!$C$5*(AB13-AK13)</f>
        <v>#DIV/0!</v>
      </c>
      <c r="T14" s="43">
        <f t="shared" si="24"/>
        <v>0</v>
      </c>
      <c r="U14" s="43">
        <f t="shared" si="2"/>
        <v>0</v>
      </c>
      <c r="V14" s="43">
        <f t="shared" si="2"/>
        <v>0</v>
      </c>
      <c r="W14" s="43">
        <f t="shared" si="2"/>
        <v>0</v>
      </c>
      <c r="X14" s="43">
        <f t="shared" si="2"/>
        <v>0</v>
      </c>
      <c r="Y14" s="43">
        <f t="shared" si="2"/>
        <v>0</v>
      </c>
      <c r="Z14" s="43">
        <f t="shared" si="2"/>
        <v>0</v>
      </c>
      <c r="AA14" s="43">
        <f t="shared" si="2"/>
        <v>0</v>
      </c>
      <c r="AB14" s="43">
        <f t="shared" si="2"/>
        <v>0</v>
      </c>
      <c r="AC14" s="43" t="e">
        <f t="shared" si="3"/>
        <v>#DIV/0!</v>
      </c>
      <c r="AD14" s="43" t="e">
        <f t="shared" si="4"/>
        <v>#DIV/0!</v>
      </c>
      <c r="AE14" s="43" t="e">
        <f t="shared" si="5"/>
        <v>#DIV/0!</v>
      </c>
      <c r="AF14" s="43" t="e">
        <f t="shared" si="6"/>
        <v>#DIV/0!</v>
      </c>
      <c r="AG14" s="43" t="e">
        <f t="shared" si="7"/>
        <v>#DIV/0!</v>
      </c>
      <c r="AH14" s="43" t="e">
        <f t="shared" si="8"/>
        <v>#DIV/0!</v>
      </c>
      <c r="AI14" s="43" t="e">
        <f t="shared" si="9"/>
        <v>#DIV/0!</v>
      </c>
      <c r="AJ14" s="43" t="e">
        <f t="shared" si="10"/>
        <v>#DIV/0!</v>
      </c>
      <c r="AK14" s="43" t="e">
        <f t="shared" si="11"/>
        <v>#DIV/0!</v>
      </c>
      <c r="AL14" s="43" t="e">
        <f>T$3+K14/ATM_Conf!$C$5</f>
        <v>#DIV/0!</v>
      </c>
      <c r="AM14" s="43" t="e">
        <f>U$3+L14/ATM_Conf!$C$5</f>
        <v>#DIV/0!</v>
      </c>
      <c r="AN14" s="43" t="e">
        <f>V$3+M14/ATM_Conf!$C$5</f>
        <v>#DIV/0!</v>
      </c>
      <c r="AO14" s="43" t="e">
        <f>W$3+N14/ATM_Conf!$C$5</f>
        <v>#DIV/0!</v>
      </c>
      <c r="AP14" s="43" t="e">
        <f>X$3+O14/ATM_Conf!$C$5</f>
        <v>#DIV/0!</v>
      </c>
      <c r="AQ14" s="43" t="e">
        <f>Y$3+P14/ATM_Conf!$C$5</f>
        <v>#DIV/0!</v>
      </c>
      <c r="AR14" s="43" t="e">
        <f>Z$3+Q14/ATM_Conf!$C$5</f>
        <v>#DIV/0!</v>
      </c>
      <c r="AS14" s="43" t="e">
        <f>AA$3+R14/ATM_Conf!$C$5</f>
        <v>#DIV/0!</v>
      </c>
      <c r="AT14" s="43" t="e">
        <f>AB$3+S14/ATM_Conf!$C$5</f>
        <v>#DIV/0!</v>
      </c>
      <c r="AU14" s="43" t="e">
        <f>BD$3*MIN(1,(ATM_Conf!$C$6-Links!X14)/(ATM_Conf!$C$6-ATM_Conf!$C$7))</f>
        <v>#DIV/0!</v>
      </c>
      <c r="AV14" s="43" t="e">
        <f>BE$3*MIN(1,(ATM_Conf!$C$6-Links!Z14)/(ATM_Conf!$C$6-ATM_Conf!$C$7))</f>
        <v>#DIV/0!</v>
      </c>
      <c r="AW14" s="43" t="e">
        <f>BF$3*MIN(1,(ATM_Conf!$C$6-Links!AA14)/(ATM_Conf!$C$6-ATM_Conf!$C$7))</f>
        <v>#DIV/0!</v>
      </c>
      <c r="AX14" s="43" t="e">
        <f>BG$3*MIN(1,(ATM_Conf!$C$6-Links!AD14)/(ATM_Conf!$C$6-ATM_Conf!$C$7))</f>
        <v>#DIV/0!</v>
      </c>
      <c r="AY14" s="43" t="e">
        <f>BH$3*MIN(1,(ATM_Conf!$C$6-Links!AE14)/(ATM_Conf!$C$6-ATM_Conf!$C$7))</f>
        <v>#DIV/0!</v>
      </c>
      <c r="AZ14" s="43" t="e">
        <f>BI$3*MIN(1,(ATM_Conf!$C$6-Links!AG14)/(ATM_Conf!$C$6-ATM_Conf!$C$7))</f>
        <v>#DIV/0!</v>
      </c>
      <c r="BA14" s="43" t="e">
        <f>BJ$3*MIN(1,(ATM_Conf!$C$6-Links!AH14)/(ATM_Conf!$C$6-ATM_Conf!$C$7))</f>
        <v>#DIV/0!</v>
      </c>
      <c r="BB14" s="43" t="e">
        <f>BK$3*MIN(1,(ATM_Conf!$C$6-Links!AK14)/(ATM_Conf!$C$6-ATM_Conf!$C$7))</f>
        <v>#DIV/0!</v>
      </c>
      <c r="BC14" s="43" t="e">
        <f>BL$3*MIN(1,(ATM_Conf!$C$6-Links!AM14)/(ATM_Conf!$C$6-ATM_Conf!$C$7))</f>
        <v>#DIV/0!</v>
      </c>
      <c r="BD14" s="43">
        <f t="shared" si="25"/>
        <v>0</v>
      </c>
      <c r="BE14" s="43">
        <f t="shared" si="12"/>
        <v>0</v>
      </c>
      <c r="BF14" s="43">
        <f t="shared" si="12"/>
        <v>0</v>
      </c>
      <c r="BG14" s="43">
        <f t="shared" si="12"/>
        <v>0</v>
      </c>
      <c r="BH14" s="43">
        <f t="shared" si="12"/>
        <v>0</v>
      </c>
      <c r="BI14" s="43">
        <f t="shared" si="12"/>
        <v>0</v>
      </c>
      <c r="BJ14" s="43">
        <f t="shared" si="12"/>
        <v>0</v>
      </c>
      <c r="BK14" s="43">
        <f t="shared" si="12"/>
        <v>0</v>
      </c>
      <c r="BL14" s="43">
        <f t="shared" si="12"/>
        <v>0</v>
      </c>
      <c r="BM14" s="51"/>
      <c r="BN14" s="51"/>
      <c r="BO14" s="51"/>
      <c r="BP14" s="51"/>
      <c r="BQ14" s="51"/>
      <c r="BR14" s="51"/>
      <c r="BS14" s="51"/>
      <c r="BT14" s="51"/>
      <c r="BU14" s="51"/>
      <c r="BV14" s="51" t="e">
        <f t="shared" si="13"/>
        <v>#DIV/0!</v>
      </c>
      <c r="BW14" s="51" t="e">
        <f t="shared" si="14"/>
        <v>#DIV/0!</v>
      </c>
      <c r="BX14" s="51" t="e">
        <f t="shared" si="15"/>
        <v>#DIV/0!</v>
      </c>
      <c r="BY14" s="51" t="e">
        <f t="shared" si="16"/>
        <v>#DIV/0!</v>
      </c>
      <c r="BZ14" s="51" t="e">
        <f t="shared" si="17"/>
        <v>#DIV/0!</v>
      </c>
      <c r="CA14" s="51" t="e">
        <f t="shared" si="18"/>
        <v>#DIV/0!</v>
      </c>
      <c r="CB14" s="51" t="e">
        <f t="shared" si="19"/>
        <v>#DIV/0!</v>
      </c>
      <c r="CC14" s="51" t="e">
        <f t="shared" si="20"/>
        <v>#DIV/0!</v>
      </c>
      <c r="CD14" s="51" t="e">
        <f t="shared" si="21"/>
        <v>#DIV/0!</v>
      </c>
      <c r="CE14" s="53">
        <f t="shared" si="26"/>
        <v>0</v>
      </c>
      <c r="CF14" s="53">
        <f t="shared" si="22"/>
        <v>0</v>
      </c>
      <c r="CG14" s="53">
        <f t="shared" si="22"/>
        <v>0</v>
      </c>
      <c r="CH14" s="53">
        <f t="shared" si="22"/>
        <v>0</v>
      </c>
      <c r="CI14" s="53">
        <f t="shared" si="22"/>
        <v>0</v>
      </c>
      <c r="CJ14" s="53">
        <f t="shared" si="22"/>
        <v>0</v>
      </c>
      <c r="CK14" s="53">
        <f t="shared" si="22"/>
        <v>0</v>
      </c>
      <c r="CL14" s="53">
        <f t="shared" si="22"/>
        <v>0</v>
      </c>
      <c r="CM14" s="53">
        <f t="shared" si="22"/>
        <v>0</v>
      </c>
    </row>
    <row r="15" spans="1:91" x14ac:dyDescent="0.15">
      <c r="A15" s="41">
        <v>13</v>
      </c>
      <c r="B15" s="45">
        <v>1</v>
      </c>
      <c r="C15" s="45">
        <v>1</v>
      </c>
      <c r="D15" s="45">
        <v>1</v>
      </c>
      <c r="E15" s="45">
        <v>1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3" t="e">
        <f>K14+ATM_Conf!$C$5*(T14-AC14)</f>
        <v>#DIV/0!</v>
      </c>
      <c r="L15" s="43" t="e">
        <f>L14+ATM_Conf!$C$5*(U14-AD14)</f>
        <v>#DIV/0!</v>
      </c>
      <c r="M15" s="43" t="e">
        <f>M14+ATM_Conf!$C$5*(V14-AE14)</f>
        <v>#DIV/0!</v>
      </c>
      <c r="N15" s="43" t="e">
        <f>N14+ATM_Conf!$C$5*(W14-AF14)</f>
        <v>#DIV/0!</v>
      </c>
      <c r="O15" s="43" t="e">
        <f>O14+ATM_Conf!$C$5*(X14-AG14)</f>
        <v>#DIV/0!</v>
      </c>
      <c r="P15" s="43" t="e">
        <f>P14+ATM_Conf!$C$5*(Y14-AH14)</f>
        <v>#DIV/0!</v>
      </c>
      <c r="Q15" s="43" t="e">
        <f>Q14+ATM_Conf!$C$5*(Z14-AI14)</f>
        <v>#DIV/0!</v>
      </c>
      <c r="R15" s="43" t="e">
        <f>R14+ATM_Conf!$C$5*(AA14-AJ14)</f>
        <v>#DIV/0!</v>
      </c>
      <c r="S15" s="43" t="e">
        <f>S14+ATM_Conf!$C$5*(AB14-AK14)</f>
        <v>#DIV/0!</v>
      </c>
      <c r="T15" s="43">
        <f t="shared" si="24"/>
        <v>0</v>
      </c>
      <c r="U15" s="43">
        <f t="shared" si="2"/>
        <v>0</v>
      </c>
      <c r="V15" s="43">
        <f t="shared" si="2"/>
        <v>0</v>
      </c>
      <c r="W15" s="43">
        <f t="shared" si="2"/>
        <v>0</v>
      </c>
      <c r="X15" s="43">
        <f t="shared" si="2"/>
        <v>0</v>
      </c>
      <c r="Y15" s="43">
        <f t="shared" si="2"/>
        <v>0</v>
      </c>
      <c r="Z15" s="43">
        <f t="shared" si="2"/>
        <v>0</v>
      </c>
      <c r="AA15" s="43">
        <f t="shared" si="2"/>
        <v>0</v>
      </c>
      <c r="AB15" s="43">
        <f t="shared" si="2"/>
        <v>0</v>
      </c>
      <c r="AC15" s="43" t="e">
        <f t="shared" si="3"/>
        <v>#DIV/0!</v>
      </c>
      <c r="AD15" s="43" t="e">
        <f t="shared" si="4"/>
        <v>#DIV/0!</v>
      </c>
      <c r="AE15" s="43" t="e">
        <f t="shared" si="5"/>
        <v>#DIV/0!</v>
      </c>
      <c r="AF15" s="43" t="e">
        <f t="shared" si="6"/>
        <v>#DIV/0!</v>
      </c>
      <c r="AG15" s="43" t="e">
        <f t="shared" si="7"/>
        <v>#DIV/0!</v>
      </c>
      <c r="AH15" s="43" t="e">
        <f t="shared" si="8"/>
        <v>#DIV/0!</v>
      </c>
      <c r="AI15" s="43" t="e">
        <f t="shared" si="9"/>
        <v>#DIV/0!</v>
      </c>
      <c r="AJ15" s="43" t="e">
        <f t="shared" si="10"/>
        <v>#DIV/0!</v>
      </c>
      <c r="AK15" s="43" t="e">
        <f t="shared" si="11"/>
        <v>#DIV/0!</v>
      </c>
      <c r="AL15" s="43" t="e">
        <f>T$3+K15/ATM_Conf!$C$5</f>
        <v>#DIV/0!</v>
      </c>
      <c r="AM15" s="43" t="e">
        <f>U$3+L15/ATM_Conf!$C$5</f>
        <v>#DIV/0!</v>
      </c>
      <c r="AN15" s="43" t="e">
        <f>V$3+M15/ATM_Conf!$C$5</f>
        <v>#DIV/0!</v>
      </c>
      <c r="AO15" s="43" t="e">
        <f>W$3+N15/ATM_Conf!$C$5</f>
        <v>#DIV/0!</v>
      </c>
      <c r="AP15" s="43" t="e">
        <f>X$3+O15/ATM_Conf!$C$5</f>
        <v>#DIV/0!</v>
      </c>
      <c r="AQ15" s="43" t="e">
        <f>Y$3+P15/ATM_Conf!$C$5</f>
        <v>#DIV/0!</v>
      </c>
      <c r="AR15" s="43" t="e">
        <f>Z$3+Q15/ATM_Conf!$C$5</f>
        <v>#DIV/0!</v>
      </c>
      <c r="AS15" s="43" t="e">
        <f>AA$3+R15/ATM_Conf!$C$5</f>
        <v>#DIV/0!</v>
      </c>
      <c r="AT15" s="43" t="e">
        <f>AB$3+S15/ATM_Conf!$C$5</f>
        <v>#DIV/0!</v>
      </c>
      <c r="AU15" s="43" t="e">
        <f>BD$3*MIN(1,(ATM_Conf!$C$6-Links!X15)/(ATM_Conf!$C$6-ATM_Conf!$C$7))</f>
        <v>#DIV/0!</v>
      </c>
      <c r="AV15" s="43" t="e">
        <f>BE$3*MIN(1,(ATM_Conf!$C$6-Links!Z15)/(ATM_Conf!$C$6-ATM_Conf!$C$7))</f>
        <v>#DIV/0!</v>
      </c>
      <c r="AW15" s="43" t="e">
        <f>BF$3*MIN(1,(ATM_Conf!$C$6-Links!AA15)/(ATM_Conf!$C$6-ATM_Conf!$C$7))</f>
        <v>#DIV/0!</v>
      </c>
      <c r="AX15" s="43" t="e">
        <f>BG$3*MIN(1,(ATM_Conf!$C$6-Links!AD15)/(ATM_Conf!$C$6-ATM_Conf!$C$7))</f>
        <v>#DIV/0!</v>
      </c>
      <c r="AY15" s="43" t="e">
        <f>BH$3*MIN(1,(ATM_Conf!$C$6-Links!AE15)/(ATM_Conf!$C$6-ATM_Conf!$C$7))</f>
        <v>#DIV/0!</v>
      </c>
      <c r="AZ15" s="43" t="e">
        <f>BI$3*MIN(1,(ATM_Conf!$C$6-Links!AG15)/(ATM_Conf!$C$6-ATM_Conf!$C$7))</f>
        <v>#DIV/0!</v>
      </c>
      <c r="BA15" s="43" t="e">
        <f>BJ$3*MIN(1,(ATM_Conf!$C$6-Links!AH15)/(ATM_Conf!$C$6-ATM_Conf!$C$7))</f>
        <v>#DIV/0!</v>
      </c>
      <c r="BB15" s="43" t="e">
        <f>BK$3*MIN(1,(ATM_Conf!$C$6-Links!AK15)/(ATM_Conf!$C$6-ATM_Conf!$C$7))</f>
        <v>#DIV/0!</v>
      </c>
      <c r="BC15" s="43" t="e">
        <f>BL$3*MIN(1,(ATM_Conf!$C$6-Links!AM15)/(ATM_Conf!$C$6-ATM_Conf!$C$7))</f>
        <v>#DIV/0!</v>
      </c>
      <c r="BD15" s="43">
        <f t="shared" si="25"/>
        <v>0</v>
      </c>
      <c r="BE15" s="43">
        <f t="shared" si="12"/>
        <v>0</v>
      </c>
      <c r="BF15" s="43">
        <f t="shared" si="12"/>
        <v>0</v>
      </c>
      <c r="BG15" s="43">
        <f t="shared" si="12"/>
        <v>0</v>
      </c>
      <c r="BH15" s="43">
        <f t="shared" si="12"/>
        <v>0</v>
      </c>
      <c r="BI15" s="43">
        <f t="shared" si="12"/>
        <v>0</v>
      </c>
      <c r="BJ15" s="43">
        <f t="shared" si="12"/>
        <v>0</v>
      </c>
      <c r="BK15" s="43">
        <f t="shared" si="12"/>
        <v>0</v>
      </c>
      <c r="BL15" s="43">
        <f t="shared" si="12"/>
        <v>0</v>
      </c>
      <c r="BM15" s="51">
        <f>(B15-B3)^2</f>
        <v>0</v>
      </c>
      <c r="BN15" s="51">
        <f t="shared" ref="BN15:BU15" si="27">(C15-C3)^2</f>
        <v>0</v>
      </c>
      <c r="BO15" s="51">
        <f t="shared" si="27"/>
        <v>0</v>
      </c>
      <c r="BP15" s="51">
        <f t="shared" si="27"/>
        <v>0</v>
      </c>
      <c r="BQ15" s="51">
        <f t="shared" si="27"/>
        <v>0</v>
      </c>
      <c r="BR15" s="51">
        <f t="shared" si="27"/>
        <v>0</v>
      </c>
      <c r="BS15" s="51">
        <f t="shared" si="27"/>
        <v>0</v>
      </c>
      <c r="BT15" s="51">
        <f t="shared" si="27"/>
        <v>0</v>
      </c>
      <c r="BU15" s="51">
        <f t="shared" si="27"/>
        <v>0</v>
      </c>
      <c r="BV15" s="51" t="e">
        <f t="shared" si="13"/>
        <v>#DIV/0!</v>
      </c>
      <c r="BW15" s="51" t="e">
        <f t="shared" si="14"/>
        <v>#DIV/0!</v>
      </c>
      <c r="BX15" s="51" t="e">
        <f t="shared" si="15"/>
        <v>#DIV/0!</v>
      </c>
      <c r="BY15" s="51" t="e">
        <f t="shared" si="16"/>
        <v>#DIV/0!</v>
      </c>
      <c r="BZ15" s="51" t="e">
        <f t="shared" si="17"/>
        <v>#DIV/0!</v>
      </c>
      <c r="CA15" s="51" t="e">
        <f t="shared" si="18"/>
        <v>#DIV/0!</v>
      </c>
      <c r="CB15" s="51" t="e">
        <f t="shared" si="19"/>
        <v>#DIV/0!</v>
      </c>
      <c r="CC15" s="51" t="e">
        <f t="shared" si="20"/>
        <v>#DIV/0!</v>
      </c>
      <c r="CD15" s="51" t="e">
        <f t="shared" si="21"/>
        <v>#DIV/0!</v>
      </c>
      <c r="CE15" s="53">
        <f t="shared" si="26"/>
        <v>0</v>
      </c>
      <c r="CF15" s="53">
        <f t="shared" si="22"/>
        <v>0</v>
      </c>
      <c r="CG15" s="53">
        <f t="shared" si="22"/>
        <v>0</v>
      </c>
      <c r="CH15" s="53">
        <f t="shared" si="22"/>
        <v>0</v>
      </c>
      <c r="CI15" s="53">
        <f t="shared" si="22"/>
        <v>0</v>
      </c>
      <c r="CJ15" s="53">
        <f t="shared" si="22"/>
        <v>0</v>
      </c>
      <c r="CK15" s="53">
        <f t="shared" si="22"/>
        <v>0</v>
      </c>
      <c r="CL15" s="53">
        <f t="shared" si="22"/>
        <v>0</v>
      </c>
      <c r="CM15" s="53">
        <f t="shared" si="22"/>
        <v>0</v>
      </c>
    </row>
    <row r="16" spans="1:91" x14ac:dyDescent="0.15">
      <c r="A16" s="41">
        <v>14</v>
      </c>
      <c r="B16" s="43">
        <f>B$15</f>
        <v>1</v>
      </c>
      <c r="C16" s="43">
        <f t="shared" ref="C16:J26" si="28">C$15</f>
        <v>1</v>
      </c>
      <c r="D16" s="43">
        <f t="shared" si="28"/>
        <v>1</v>
      </c>
      <c r="E16" s="43">
        <f t="shared" si="28"/>
        <v>1</v>
      </c>
      <c r="F16" s="43">
        <f t="shared" si="28"/>
        <v>1</v>
      </c>
      <c r="G16" s="43">
        <f t="shared" si="28"/>
        <v>1</v>
      </c>
      <c r="H16" s="43">
        <f t="shared" si="28"/>
        <v>1</v>
      </c>
      <c r="I16" s="43">
        <f t="shared" si="28"/>
        <v>1</v>
      </c>
      <c r="J16" s="43">
        <f t="shared" si="28"/>
        <v>1</v>
      </c>
      <c r="K16" s="43" t="e">
        <f>K15+ATM_Conf!$C$5*(T15-AC15)</f>
        <v>#DIV/0!</v>
      </c>
      <c r="L16" s="43" t="e">
        <f>L15+ATM_Conf!$C$5*(U15-AD15)</f>
        <v>#DIV/0!</v>
      </c>
      <c r="M16" s="43" t="e">
        <f>M15+ATM_Conf!$C$5*(V15-AE15)</f>
        <v>#DIV/0!</v>
      </c>
      <c r="N16" s="43" t="e">
        <f>N15+ATM_Conf!$C$5*(W15-AF15)</f>
        <v>#DIV/0!</v>
      </c>
      <c r="O16" s="43" t="e">
        <f>O15+ATM_Conf!$C$5*(X15-AG15)</f>
        <v>#DIV/0!</v>
      </c>
      <c r="P16" s="43" t="e">
        <f>P15+ATM_Conf!$C$5*(Y15-AH15)</f>
        <v>#DIV/0!</v>
      </c>
      <c r="Q16" s="43" t="e">
        <f>Q15+ATM_Conf!$C$5*(Z15-AI15)</f>
        <v>#DIV/0!</v>
      </c>
      <c r="R16" s="43" t="e">
        <f>R15+ATM_Conf!$C$5*(AA15-AJ15)</f>
        <v>#DIV/0!</v>
      </c>
      <c r="S16" s="43" t="e">
        <f>S15+ATM_Conf!$C$5*(AB15-AK15)</f>
        <v>#DIV/0!</v>
      </c>
      <c r="T16" s="43">
        <f t="shared" si="24"/>
        <v>0</v>
      </c>
      <c r="U16" s="43">
        <f t="shared" si="2"/>
        <v>0</v>
      </c>
      <c r="V16" s="43">
        <f t="shared" si="2"/>
        <v>0</v>
      </c>
      <c r="W16" s="43">
        <f t="shared" si="2"/>
        <v>0</v>
      </c>
      <c r="X16" s="43">
        <f t="shared" si="2"/>
        <v>0</v>
      </c>
      <c r="Y16" s="43">
        <f t="shared" si="2"/>
        <v>0</v>
      </c>
      <c r="Z16" s="43">
        <f t="shared" si="2"/>
        <v>0</v>
      </c>
      <c r="AA16" s="43">
        <f t="shared" si="2"/>
        <v>0</v>
      </c>
      <c r="AB16" s="43">
        <f t="shared" si="2"/>
        <v>0</v>
      </c>
      <c r="AC16" s="43" t="e">
        <f t="shared" si="3"/>
        <v>#DIV/0!</v>
      </c>
      <c r="AD16" s="43" t="e">
        <f t="shared" si="4"/>
        <v>#DIV/0!</v>
      </c>
      <c r="AE16" s="43" t="e">
        <f t="shared" si="5"/>
        <v>#DIV/0!</v>
      </c>
      <c r="AF16" s="43" t="e">
        <f t="shared" si="6"/>
        <v>#DIV/0!</v>
      </c>
      <c r="AG16" s="43" t="e">
        <f t="shared" si="7"/>
        <v>#DIV/0!</v>
      </c>
      <c r="AH16" s="43" t="e">
        <f t="shared" si="8"/>
        <v>#DIV/0!</v>
      </c>
      <c r="AI16" s="43" t="e">
        <f t="shared" si="9"/>
        <v>#DIV/0!</v>
      </c>
      <c r="AJ16" s="43" t="e">
        <f t="shared" si="10"/>
        <v>#DIV/0!</v>
      </c>
      <c r="AK16" s="43" t="e">
        <f t="shared" si="11"/>
        <v>#DIV/0!</v>
      </c>
      <c r="AL16" s="43" t="e">
        <f>T$3+K16/ATM_Conf!$C$5</f>
        <v>#DIV/0!</v>
      </c>
      <c r="AM16" s="43" t="e">
        <f>U$3+L16/ATM_Conf!$C$5</f>
        <v>#DIV/0!</v>
      </c>
      <c r="AN16" s="43" t="e">
        <f>V$3+M16/ATM_Conf!$C$5</f>
        <v>#DIV/0!</v>
      </c>
      <c r="AO16" s="43" t="e">
        <f>W$3+N16/ATM_Conf!$C$5</f>
        <v>#DIV/0!</v>
      </c>
      <c r="AP16" s="43" t="e">
        <f>X$3+O16/ATM_Conf!$C$5</f>
        <v>#DIV/0!</v>
      </c>
      <c r="AQ16" s="43" t="e">
        <f>Y$3+P16/ATM_Conf!$C$5</f>
        <v>#DIV/0!</v>
      </c>
      <c r="AR16" s="43" t="e">
        <f>Z$3+Q16/ATM_Conf!$C$5</f>
        <v>#DIV/0!</v>
      </c>
      <c r="AS16" s="43" t="e">
        <f>AA$3+R16/ATM_Conf!$C$5</f>
        <v>#DIV/0!</v>
      </c>
      <c r="AT16" s="43" t="e">
        <f>AB$3+S16/ATM_Conf!$C$5</f>
        <v>#DIV/0!</v>
      </c>
      <c r="AU16" s="43" t="e">
        <f>BD$3*MIN(1,(ATM_Conf!$C$6-Links!X16)/(ATM_Conf!$C$6-ATM_Conf!$C$7))</f>
        <v>#DIV/0!</v>
      </c>
      <c r="AV16" s="43" t="e">
        <f>BE$3*MIN(1,(ATM_Conf!$C$6-Links!Z16)/(ATM_Conf!$C$6-ATM_Conf!$C$7))</f>
        <v>#DIV/0!</v>
      </c>
      <c r="AW16" s="43" t="e">
        <f>BF$3*MIN(1,(ATM_Conf!$C$6-Links!AA16)/(ATM_Conf!$C$6-ATM_Conf!$C$7))</f>
        <v>#DIV/0!</v>
      </c>
      <c r="AX16" s="43" t="e">
        <f>BG$3*MIN(1,(ATM_Conf!$C$6-Links!AD16)/(ATM_Conf!$C$6-ATM_Conf!$C$7))</f>
        <v>#DIV/0!</v>
      </c>
      <c r="AY16" s="43" t="e">
        <f>BH$3*MIN(1,(ATM_Conf!$C$6-Links!AE16)/(ATM_Conf!$C$6-ATM_Conf!$C$7))</f>
        <v>#DIV/0!</v>
      </c>
      <c r="AZ16" s="43" t="e">
        <f>BI$3*MIN(1,(ATM_Conf!$C$6-Links!AG16)/(ATM_Conf!$C$6-ATM_Conf!$C$7))</f>
        <v>#DIV/0!</v>
      </c>
      <c r="BA16" s="43" t="e">
        <f>BJ$3*MIN(1,(ATM_Conf!$C$6-Links!AH16)/(ATM_Conf!$C$6-ATM_Conf!$C$7))</f>
        <v>#DIV/0!</v>
      </c>
      <c r="BB16" s="43" t="e">
        <f>BK$3*MIN(1,(ATM_Conf!$C$6-Links!AK16)/(ATM_Conf!$C$6-ATM_Conf!$C$7))</f>
        <v>#DIV/0!</v>
      </c>
      <c r="BC16" s="43" t="e">
        <f>BL$3*MIN(1,(ATM_Conf!$C$6-Links!AM16)/(ATM_Conf!$C$6-ATM_Conf!$C$7))</f>
        <v>#DIV/0!</v>
      </c>
      <c r="BD16" s="43">
        <f t="shared" si="25"/>
        <v>0</v>
      </c>
      <c r="BE16" s="43">
        <f t="shared" si="12"/>
        <v>0</v>
      </c>
      <c r="BF16" s="43">
        <f t="shared" si="12"/>
        <v>0</v>
      </c>
      <c r="BG16" s="43">
        <f t="shared" si="12"/>
        <v>0</v>
      </c>
      <c r="BH16" s="43">
        <f t="shared" si="12"/>
        <v>0</v>
      </c>
      <c r="BI16" s="43">
        <f t="shared" si="12"/>
        <v>0</v>
      </c>
      <c r="BJ16" s="43">
        <f t="shared" si="12"/>
        <v>0</v>
      </c>
      <c r="BK16" s="43">
        <f t="shared" si="12"/>
        <v>0</v>
      </c>
      <c r="BL16" s="43">
        <f t="shared" si="12"/>
        <v>0</v>
      </c>
      <c r="BM16" s="51"/>
      <c r="BN16" s="51"/>
      <c r="BO16" s="51"/>
      <c r="BP16" s="51"/>
      <c r="BQ16" s="51"/>
      <c r="BR16" s="51"/>
      <c r="BS16" s="51"/>
      <c r="BT16" s="51"/>
      <c r="BU16" s="51"/>
      <c r="BV16" s="51" t="e">
        <f t="shared" si="13"/>
        <v>#DIV/0!</v>
      </c>
      <c r="BW16" s="51" t="e">
        <f t="shared" si="14"/>
        <v>#DIV/0!</v>
      </c>
      <c r="BX16" s="51" t="e">
        <f t="shared" si="15"/>
        <v>#DIV/0!</v>
      </c>
      <c r="BY16" s="51" t="e">
        <f t="shared" si="16"/>
        <v>#DIV/0!</v>
      </c>
      <c r="BZ16" s="51" t="e">
        <f t="shared" si="17"/>
        <v>#DIV/0!</v>
      </c>
      <c r="CA16" s="51" t="e">
        <f t="shared" si="18"/>
        <v>#DIV/0!</v>
      </c>
      <c r="CB16" s="51" t="e">
        <f t="shared" si="19"/>
        <v>#DIV/0!</v>
      </c>
      <c r="CC16" s="51" t="e">
        <f t="shared" si="20"/>
        <v>#DIV/0!</v>
      </c>
      <c r="CD16" s="51" t="e">
        <f t="shared" si="21"/>
        <v>#DIV/0!</v>
      </c>
      <c r="CE16" s="53">
        <f t="shared" si="26"/>
        <v>0</v>
      </c>
      <c r="CF16" s="53">
        <f t="shared" si="22"/>
        <v>0</v>
      </c>
      <c r="CG16" s="53">
        <f t="shared" si="22"/>
        <v>0</v>
      </c>
      <c r="CH16" s="53">
        <f t="shared" si="22"/>
        <v>0</v>
      </c>
      <c r="CI16" s="53">
        <f t="shared" si="22"/>
        <v>0</v>
      </c>
      <c r="CJ16" s="53">
        <f t="shared" si="22"/>
        <v>0</v>
      </c>
      <c r="CK16" s="53">
        <f t="shared" si="22"/>
        <v>0</v>
      </c>
      <c r="CL16" s="53">
        <f t="shared" si="22"/>
        <v>0</v>
      </c>
      <c r="CM16" s="53">
        <f t="shared" si="22"/>
        <v>0</v>
      </c>
    </row>
    <row r="17" spans="1:91" x14ac:dyDescent="0.15">
      <c r="A17" s="41">
        <v>15</v>
      </c>
      <c r="B17" s="43">
        <f t="shared" ref="B17:B26" si="29">B$15</f>
        <v>1</v>
      </c>
      <c r="C17" s="43">
        <f t="shared" si="28"/>
        <v>1</v>
      </c>
      <c r="D17" s="43">
        <f t="shared" si="28"/>
        <v>1</v>
      </c>
      <c r="E17" s="43">
        <f t="shared" si="28"/>
        <v>1</v>
      </c>
      <c r="F17" s="43">
        <f t="shared" si="28"/>
        <v>1</v>
      </c>
      <c r="G17" s="43">
        <f t="shared" si="28"/>
        <v>1</v>
      </c>
      <c r="H17" s="43">
        <f t="shared" si="28"/>
        <v>1</v>
      </c>
      <c r="I17" s="43">
        <f t="shared" si="28"/>
        <v>1</v>
      </c>
      <c r="J17" s="43">
        <f t="shared" si="28"/>
        <v>1</v>
      </c>
      <c r="K17" s="43" t="e">
        <f>K16+ATM_Conf!$C$5*(T16-AC16)</f>
        <v>#DIV/0!</v>
      </c>
      <c r="L17" s="43" t="e">
        <f>L16+ATM_Conf!$C$5*(U16-AD16)</f>
        <v>#DIV/0!</v>
      </c>
      <c r="M17" s="43" t="e">
        <f>M16+ATM_Conf!$C$5*(V16-AE16)</f>
        <v>#DIV/0!</v>
      </c>
      <c r="N17" s="43" t="e">
        <f>N16+ATM_Conf!$C$5*(W16-AF16)</f>
        <v>#DIV/0!</v>
      </c>
      <c r="O17" s="43" t="e">
        <f>O16+ATM_Conf!$C$5*(X16-AG16)</f>
        <v>#DIV/0!</v>
      </c>
      <c r="P17" s="43" t="e">
        <f>P16+ATM_Conf!$C$5*(Y16-AH16)</f>
        <v>#DIV/0!</v>
      </c>
      <c r="Q17" s="43" t="e">
        <f>Q16+ATM_Conf!$C$5*(Z16-AI16)</f>
        <v>#DIV/0!</v>
      </c>
      <c r="R17" s="43" t="e">
        <f>R16+ATM_Conf!$C$5*(AA16-AJ16)</f>
        <v>#DIV/0!</v>
      </c>
      <c r="S17" s="43" t="e">
        <f>S16+ATM_Conf!$C$5*(AB16-AK16)</f>
        <v>#DIV/0!</v>
      </c>
      <c r="T17" s="43">
        <f t="shared" si="24"/>
        <v>0</v>
      </c>
      <c r="U17" s="43">
        <f t="shared" si="2"/>
        <v>0</v>
      </c>
      <c r="V17" s="43">
        <f t="shared" si="2"/>
        <v>0</v>
      </c>
      <c r="W17" s="43">
        <f t="shared" si="2"/>
        <v>0</v>
      </c>
      <c r="X17" s="43">
        <f t="shared" si="2"/>
        <v>0</v>
      </c>
      <c r="Y17" s="43">
        <f t="shared" si="2"/>
        <v>0</v>
      </c>
      <c r="Z17" s="43">
        <f t="shared" si="2"/>
        <v>0</v>
      </c>
      <c r="AA17" s="43">
        <f t="shared" si="2"/>
        <v>0</v>
      </c>
      <c r="AB17" s="43">
        <f t="shared" si="2"/>
        <v>0</v>
      </c>
      <c r="AC17" s="43" t="e">
        <f t="shared" si="3"/>
        <v>#DIV/0!</v>
      </c>
      <c r="AD17" s="43" t="e">
        <f t="shared" si="4"/>
        <v>#DIV/0!</v>
      </c>
      <c r="AE17" s="43" t="e">
        <f t="shared" si="5"/>
        <v>#DIV/0!</v>
      </c>
      <c r="AF17" s="43" t="e">
        <f t="shared" si="6"/>
        <v>#DIV/0!</v>
      </c>
      <c r="AG17" s="43" t="e">
        <f t="shared" si="7"/>
        <v>#DIV/0!</v>
      </c>
      <c r="AH17" s="43" t="e">
        <f t="shared" si="8"/>
        <v>#DIV/0!</v>
      </c>
      <c r="AI17" s="43" t="e">
        <f t="shared" si="9"/>
        <v>#DIV/0!</v>
      </c>
      <c r="AJ17" s="43" t="e">
        <f t="shared" si="10"/>
        <v>#DIV/0!</v>
      </c>
      <c r="AK17" s="43" t="e">
        <f t="shared" si="11"/>
        <v>#DIV/0!</v>
      </c>
      <c r="AL17" s="43" t="e">
        <f>T$3+K17/ATM_Conf!$C$5</f>
        <v>#DIV/0!</v>
      </c>
      <c r="AM17" s="43" t="e">
        <f>U$3+L17/ATM_Conf!$C$5</f>
        <v>#DIV/0!</v>
      </c>
      <c r="AN17" s="43" t="e">
        <f>V$3+M17/ATM_Conf!$C$5</f>
        <v>#DIV/0!</v>
      </c>
      <c r="AO17" s="43" t="e">
        <f>W$3+N17/ATM_Conf!$C$5</f>
        <v>#DIV/0!</v>
      </c>
      <c r="AP17" s="43" t="e">
        <f>X$3+O17/ATM_Conf!$C$5</f>
        <v>#DIV/0!</v>
      </c>
      <c r="AQ17" s="43" t="e">
        <f>Y$3+P17/ATM_Conf!$C$5</f>
        <v>#DIV/0!</v>
      </c>
      <c r="AR17" s="43" t="e">
        <f>Z$3+Q17/ATM_Conf!$C$5</f>
        <v>#DIV/0!</v>
      </c>
      <c r="AS17" s="43" t="e">
        <f>AA$3+R17/ATM_Conf!$C$5</f>
        <v>#DIV/0!</v>
      </c>
      <c r="AT17" s="43" t="e">
        <f>AB$3+S17/ATM_Conf!$C$5</f>
        <v>#DIV/0!</v>
      </c>
      <c r="AU17" s="43" t="e">
        <f>BD$3*MIN(1,(ATM_Conf!$C$6-Links!X17)/(ATM_Conf!$C$6-ATM_Conf!$C$7))</f>
        <v>#DIV/0!</v>
      </c>
      <c r="AV17" s="43" t="e">
        <f>BE$3*MIN(1,(ATM_Conf!$C$6-Links!Z17)/(ATM_Conf!$C$6-ATM_Conf!$C$7))</f>
        <v>#DIV/0!</v>
      </c>
      <c r="AW17" s="43" t="e">
        <f>BF$3*MIN(1,(ATM_Conf!$C$6-Links!AA17)/(ATM_Conf!$C$6-ATM_Conf!$C$7))</f>
        <v>#DIV/0!</v>
      </c>
      <c r="AX17" s="43" t="e">
        <f>BG$3*MIN(1,(ATM_Conf!$C$6-Links!AD17)/(ATM_Conf!$C$6-ATM_Conf!$C$7))</f>
        <v>#DIV/0!</v>
      </c>
      <c r="AY17" s="43" t="e">
        <f>BH$3*MIN(1,(ATM_Conf!$C$6-Links!AE17)/(ATM_Conf!$C$6-ATM_Conf!$C$7))</f>
        <v>#DIV/0!</v>
      </c>
      <c r="AZ17" s="43" t="e">
        <f>BI$3*MIN(1,(ATM_Conf!$C$6-Links!AG17)/(ATM_Conf!$C$6-ATM_Conf!$C$7))</f>
        <v>#DIV/0!</v>
      </c>
      <c r="BA17" s="43" t="e">
        <f>BJ$3*MIN(1,(ATM_Conf!$C$6-Links!AH17)/(ATM_Conf!$C$6-ATM_Conf!$C$7))</f>
        <v>#DIV/0!</v>
      </c>
      <c r="BB17" s="43" t="e">
        <f>BK$3*MIN(1,(ATM_Conf!$C$6-Links!AK17)/(ATM_Conf!$C$6-ATM_Conf!$C$7))</f>
        <v>#DIV/0!</v>
      </c>
      <c r="BC17" s="43" t="e">
        <f>BL$3*MIN(1,(ATM_Conf!$C$6-Links!AM17)/(ATM_Conf!$C$6-ATM_Conf!$C$7))</f>
        <v>#DIV/0!</v>
      </c>
      <c r="BD17" s="43">
        <f t="shared" si="25"/>
        <v>0</v>
      </c>
      <c r="BE17" s="43">
        <f t="shared" si="12"/>
        <v>0</v>
      </c>
      <c r="BF17" s="43">
        <f t="shared" si="12"/>
        <v>0</v>
      </c>
      <c r="BG17" s="43">
        <f t="shared" si="12"/>
        <v>0</v>
      </c>
      <c r="BH17" s="43">
        <f t="shared" si="12"/>
        <v>0</v>
      </c>
      <c r="BI17" s="43">
        <f t="shared" si="12"/>
        <v>0</v>
      </c>
      <c r="BJ17" s="43">
        <f t="shared" si="12"/>
        <v>0</v>
      </c>
      <c r="BK17" s="43">
        <f t="shared" si="12"/>
        <v>0</v>
      </c>
      <c r="BL17" s="43">
        <f t="shared" si="12"/>
        <v>0</v>
      </c>
      <c r="BM17" s="51"/>
      <c r="BN17" s="51"/>
      <c r="BO17" s="51"/>
      <c r="BP17" s="51"/>
      <c r="BQ17" s="51"/>
      <c r="BR17" s="51"/>
      <c r="BS17" s="51"/>
      <c r="BT17" s="51"/>
      <c r="BU17" s="51"/>
      <c r="BV17" s="51" t="e">
        <f t="shared" si="13"/>
        <v>#DIV/0!</v>
      </c>
      <c r="BW17" s="51" t="e">
        <f t="shared" si="14"/>
        <v>#DIV/0!</v>
      </c>
      <c r="BX17" s="51" t="e">
        <f t="shared" si="15"/>
        <v>#DIV/0!</v>
      </c>
      <c r="BY17" s="51" t="e">
        <f t="shared" si="16"/>
        <v>#DIV/0!</v>
      </c>
      <c r="BZ17" s="51" t="e">
        <f t="shared" si="17"/>
        <v>#DIV/0!</v>
      </c>
      <c r="CA17" s="51" t="e">
        <f t="shared" si="18"/>
        <v>#DIV/0!</v>
      </c>
      <c r="CB17" s="51" t="e">
        <f t="shared" si="19"/>
        <v>#DIV/0!</v>
      </c>
      <c r="CC17" s="51" t="e">
        <f t="shared" si="20"/>
        <v>#DIV/0!</v>
      </c>
      <c r="CD17" s="51" t="e">
        <f t="shared" si="21"/>
        <v>#DIV/0!</v>
      </c>
      <c r="CE17" s="53">
        <f t="shared" si="26"/>
        <v>0</v>
      </c>
      <c r="CF17" s="53">
        <f t="shared" si="22"/>
        <v>0</v>
      </c>
      <c r="CG17" s="53">
        <f t="shared" si="22"/>
        <v>0</v>
      </c>
      <c r="CH17" s="53">
        <f t="shared" si="22"/>
        <v>0</v>
      </c>
      <c r="CI17" s="53">
        <f t="shared" si="22"/>
        <v>0</v>
      </c>
      <c r="CJ17" s="53">
        <f t="shared" si="22"/>
        <v>0</v>
      </c>
      <c r="CK17" s="53">
        <f t="shared" si="22"/>
        <v>0</v>
      </c>
      <c r="CL17" s="53">
        <f t="shared" si="22"/>
        <v>0</v>
      </c>
      <c r="CM17" s="53">
        <f t="shared" si="22"/>
        <v>0</v>
      </c>
    </row>
    <row r="18" spans="1:91" x14ac:dyDescent="0.15">
      <c r="A18" s="41">
        <v>16</v>
      </c>
      <c r="B18" s="43">
        <f t="shared" si="29"/>
        <v>1</v>
      </c>
      <c r="C18" s="43">
        <f t="shared" si="28"/>
        <v>1</v>
      </c>
      <c r="D18" s="43">
        <f t="shared" si="28"/>
        <v>1</v>
      </c>
      <c r="E18" s="43">
        <f t="shared" si="28"/>
        <v>1</v>
      </c>
      <c r="F18" s="43">
        <f t="shared" si="28"/>
        <v>1</v>
      </c>
      <c r="G18" s="43">
        <f t="shared" si="28"/>
        <v>1</v>
      </c>
      <c r="H18" s="43">
        <f t="shared" si="28"/>
        <v>1</v>
      </c>
      <c r="I18" s="43">
        <f t="shared" si="28"/>
        <v>1</v>
      </c>
      <c r="J18" s="43">
        <f t="shared" si="28"/>
        <v>1</v>
      </c>
      <c r="K18" s="43" t="e">
        <f>K17+ATM_Conf!$C$5*(T17-AC17)</f>
        <v>#DIV/0!</v>
      </c>
      <c r="L18" s="43" t="e">
        <f>L17+ATM_Conf!$C$5*(U17-AD17)</f>
        <v>#DIV/0!</v>
      </c>
      <c r="M18" s="43" t="e">
        <f>M17+ATM_Conf!$C$5*(V17-AE17)</f>
        <v>#DIV/0!</v>
      </c>
      <c r="N18" s="43" t="e">
        <f>N17+ATM_Conf!$C$5*(W17-AF17)</f>
        <v>#DIV/0!</v>
      </c>
      <c r="O18" s="43" t="e">
        <f>O17+ATM_Conf!$C$5*(X17-AG17)</f>
        <v>#DIV/0!</v>
      </c>
      <c r="P18" s="43" t="e">
        <f>P17+ATM_Conf!$C$5*(Y17-AH17)</f>
        <v>#DIV/0!</v>
      </c>
      <c r="Q18" s="43" t="e">
        <f>Q17+ATM_Conf!$C$5*(Z17-AI17)</f>
        <v>#DIV/0!</v>
      </c>
      <c r="R18" s="43" t="e">
        <f>R17+ATM_Conf!$C$5*(AA17-AJ17)</f>
        <v>#DIV/0!</v>
      </c>
      <c r="S18" s="43" t="e">
        <f>S17+ATM_Conf!$C$5*(AB17-AK17)</f>
        <v>#DIV/0!</v>
      </c>
      <c r="T18" s="43">
        <f t="shared" si="24"/>
        <v>0</v>
      </c>
      <c r="U18" s="43">
        <f t="shared" si="2"/>
        <v>0</v>
      </c>
      <c r="V18" s="43">
        <f t="shared" si="2"/>
        <v>0</v>
      </c>
      <c r="W18" s="43">
        <f t="shared" si="2"/>
        <v>0</v>
      </c>
      <c r="X18" s="43">
        <f t="shared" si="2"/>
        <v>0</v>
      </c>
      <c r="Y18" s="43">
        <f t="shared" si="2"/>
        <v>0</v>
      </c>
      <c r="Z18" s="43">
        <f t="shared" si="2"/>
        <v>0</v>
      </c>
      <c r="AA18" s="43">
        <f t="shared" si="2"/>
        <v>0</v>
      </c>
      <c r="AB18" s="43">
        <f t="shared" si="2"/>
        <v>0</v>
      </c>
      <c r="AC18" s="43" t="e">
        <f t="shared" si="3"/>
        <v>#DIV/0!</v>
      </c>
      <c r="AD18" s="43" t="e">
        <f t="shared" si="4"/>
        <v>#DIV/0!</v>
      </c>
      <c r="AE18" s="43" t="e">
        <f t="shared" si="5"/>
        <v>#DIV/0!</v>
      </c>
      <c r="AF18" s="43" t="e">
        <f t="shared" si="6"/>
        <v>#DIV/0!</v>
      </c>
      <c r="AG18" s="43" t="e">
        <f t="shared" si="7"/>
        <v>#DIV/0!</v>
      </c>
      <c r="AH18" s="43" t="e">
        <f t="shared" si="8"/>
        <v>#DIV/0!</v>
      </c>
      <c r="AI18" s="43" t="e">
        <f t="shared" si="9"/>
        <v>#DIV/0!</v>
      </c>
      <c r="AJ18" s="43" t="e">
        <f t="shared" si="10"/>
        <v>#DIV/0!</v>
      </c>
      <c r="AK18" s="43" t="e">
        <f t="shared" si="11"/>
        <v>#DIV/0!</v>
      </c>
      <c r="AL18" s="43" t="e">
        <f>T$3+K18/ATM_Conf!$C$5</f>
        <v>#DIV/0!</v>
      </c>
      <c r="AM18" s="43" t="e">
        <f>U$3+L18/ATM_Conf!$C$5</f>
        <v>#DIV/0!</v>
      </c>
      <c r="AN18" s="43" t="e">
        <f>V$3+M18/ATM_Conf!$C$5</f>
        <v>#DIV/0!</v>
      </c>
      <c r="AO18" s="43" t="e">
        <f>W$3+N18/ATM_Conf!$C$5</f>
        <v>#DIV/0!</v>
      </c>
      <c r="AP18" s="43" t="e">
        <f>X$3+O18/ATM_Conf!$C$5</f>
        <v>#DIV/0!</v>
      </c>
      <c r="AQ18" s="43" t="e">
        <f>Y$3+P18/ATM_Conf!$C$5</f>
        <v>#DIV/0!</v>
      </c>
      <c r="AR18" s="43" t="e">
        <f>Z$3+Q18/ATM_Conf!$C$5</f>
        <v>#DIV/0!</v>
      </c>
      <c r="AS18" s="43" t="e">
        <f>AA$3+R18/ATM_Conf!$C$5</f>
        <v>#DIV/0!</v>
      </c>
      <c r="AT18" s="43" t="e">
        <f>AB$3+S18/ATM_Conf!$C$5</f>
        <v>#DIV/0!</v>
      </c>
      <c r="AU18" s="43" t="e">
        <f>BD$3*MIN(1,(ATM_Conf!$C$6-Links!X18)/(ATM_Conf!$C$6-ATM_Conf!$C$7))</f>
        <v>#DIV/0!</v>
      </c>
      <c r="AV18" s="43" t="e">
        <f>BE$3*MIN(1,(ATM_Conf!$C$6-Links!Z18)/(ATM_Conf!$C$6-ATM_Conf!$C$7))</f>
        <v>#DIV/0!</v>
      </c>
      <c r="AW18" s="43" t="e">
        <f>BF$3*MIN(1,(ATM_Conf!$C$6-Links!AA18)/(ATM_Conf!$C$6-ATM_Conf!$C$7))</f>
        <v>#DIV/0!</v>
      </c>
      <c r="AX18" s="43" t="e">
        <f>BG$3*MIN(1,(ATM_Conf!$C$6-Links!AD18)/(ATM_Conf!$C$6-ATM_Conf!$C$7))</f>
        <v>#DIV/0!</v>
      </c>
      <c r="AY18" s="43" t="e">
        <f>BH$3*MIN(1,(ATM_Conf!$C$6-Links!AE18)/(ATM_Conf!$C$6-ATM_Conf!$C$7))</f>
        <v>#DIV/0!</v>
      </c>
      <c r="AZ18" s="43" t="e">
        <f>BI$3*MIN(1,(ATM_Conf!$C$6-Links!AG18)/(ATM_Conf!$C$6-ATM_Conf!$C$7))</f>
        <v>#DIV/0!</v>
      </c>
      <c r="BA18" s="43" t="e">
        <f>BJ$3*MIN(1,(ATM_Conf!$C$6-Links!AH18)/(ATM_Conf!$C$6-ATM_Conf!$C$7))</f>
        <v>#DIV/0!</v>
      </c>
      <c r="BB18" s="43" t="e">
        <f>BK$3*MIN(1,(ATM_Conf!$C$6-Links!AK18)/(ATM_Conf!$C$6-ATM_Conf!$C$7))</f>
        <v>#DIV/0!</v>
      </c>
      <c r="BC18" s="43" t="e">
        <f>BL$3*MIN(1,(ATM_Conf!$C$6-Links!AM18)/(ATM_Conf!$C$6-ATM_Conf!$C$7))</f>
        <v>#DIV/0!</v>
      </c>
      <c r="BD18" s="43">
        <f t="shared" si="25"/>
        <v>0</v>
      </c>
      <c r="BE18" s="43">
        <f t="shared" si="12"/>
        <v>0</v>
      </c>
      <c r="BF18" s="43">
        <f t="shared" si="12"/>
        <v>0</v>
      </c>
      <c r="BG18" s="43">
        <f t="shared" si="12"/>
        <v>0</v>
      </c>
      <c r="BH18" s="43">
        <f t="shared" si="12"/>
        <v>0</v>
      </c>
      <c r="BI18" s="43">
        <f t="shared" si="12"/>
        <v>0</v>
      </c>
      <c r="BJ18" s="43">
        <f t="shared" si="12"/>
        <v>0</v>
      </c>
      <c r="BK18" s="43">
        <f t="shared" si="12"/>
        <v>0</v>
      </c>
      <c r="BL18" s="43">
        <f t="shared" si="12"/>
        <v>0</v>
      </c>
      <c r="BM18" s="51"/>
      <c r="BN18" s="51"/>
      <c r="BO18" s="51"/>
      <c r="BP18" s="51"/>
      <c r="BQ18" s="51"/>
      <c r="BR18" s="51"/>
      <c r="BS18" s="51"/>
      <c r="BT18" s="51"/>
      <c r="BU18" s="51"/>
      <c r="BV18" s="51" t="e">
        <f t="shared" si="13"/>
        <v>#DIV/0!</v>
      </c>
      <c r="BW18" s="51" t="e">
        <f t="shared" si="14"/>
        <v>#DIV/0!</v>
      </c>
      <c r="BX18" s="51" t="e">
        <f t="shared" si="15"/>
        <v>#DIV/0!</v>
      </c>
      <c r="BY18" s="51" t="e">
        <f t="shared" si="16"/>
        <v>#DIV/0!</v>
      </c>
      <c r="BZ18" s="51" t="e">
        <f t="shared" si="17"/>
        <v>#DIV/0!</v>
      </c>
      <c r="CA18" s="51" t="e">
        <f t="shared" si="18"/>
        <v>#DIV/0!</v>
      </c>
      <c r="CB18" s="51" t="e">
        <f t="shared" si="19"/>
        <v>#DIV/0!</v>
      </c>
      <c r="CC18" s="51" t="e">
        <f t="shared" si="20"/>
        <v>#DIV/0!</v>
      </c>
      <c r="CD18" s="51" t="e">
        <f t="shared" si="21"/>
        <v>#DIV/0!</v>
      </c>
      <c r="CE18" s="53">
        <f t="shared" si="26"/>
        <v>0</v>
      </c>
      <c r="CF18" s="53">
        <f t="shared" si="22"/>
        <v>0</v>
      </c>
      <c r="CG18" s="53">
        <f t="shared" si="22"/>
        <v>0</v>
      </c>
      <c r="CH18" s="53">
        <f t="shared" si="22"/>
        <v>0</v>
      </c>
      <c r="CI18" s="53">
        <f t="shared" si="22"/>
        <v>0</v>
      </c>
      <c r="CJ18" s="53">
        <f t="shared" si="22"/>
        <v>0</v>
      </c>
      <c r="CK18" s="53">
        <f t="shared" si="22"/>
        <v>0</v>
      </c>
      <c r="CL18" s="53">
        <f t="shared" si="22"/>
        <v>0</v>
      </c>
      <c r="CM18" s="53">
        <f t="shared" si="22"/>
        <v>0</v>
      </c>
    </row>
    <row r="19" spans="1:91" x14ac:dyDescent="0.15">
      <c r="A19" s="41">
        <v>17</v>
      </c>
      <c r="B19" s="43">
        <f t="shared" si="29"/>
        <v>1</v>
      </c>
      <c r="C19" s="43">
        <f t="shared" si="28"/>
        <v>1</v>
      </c>
      <c r="D19" s="43">
        <f t="shared" si="28"/>
        <v>1</v>
      </c>
      <c r="E19" s="43">
        <f t="shared" si="28"/>
        <v>1</v>
      </c>
      <c r="F19" s="43">
        <f t="shared" si="28"/>
        <v>1</v>
      </c>
      <c r="G19" s="43">
        <f t="shared" si="28"/>
        <v>1</v>
      </c>
      <c r="H19" s="43">
        <f t="shared" si="28"/>
        <v>1</v>
      </c>
      <c r="I19" s="43">
        <f t="shared" si="28"/>
        <v>1</v>
      </c>
      <c r="J19" s="43">
        <f t="shared" si="28"/>
        <v>1</v>
      </c>
      <c r="K19" s="43" t="e">
        <f>K18+ATM_Conf!$C$5*(T18-AC18)</f>
        <v>#DIV/0!</v>
      </c>
      <c r="L19" s="43" t="e">
        <f>L18+ATM_Conf!$C$5*(U18-AD18)</f>
        <v>#DIV/0!</v>
      </c>
      <c r="M19" s="43" t="e">
        <f>M18+ATM_Conf!$C$5*(V18-AE18)</f>
        <v>#DIV/0!</v>
      </c>
      <c r="N19" s="43" t="e">
        <f>N18+ATM_Conf!$C$5*(W18-AF18)</f>
        <v>#DIV/0!</v>
      </c>
      <c r="O19" s="43" t="e">
        <f>O18+ATM_Conf!$C$5*(X18-AG18)</f>
        <v>#DIV/0!</v>
      </c>
      <c r="P19" s="43" t="e">
        <f>P18+ATM_Conf!$C$5*(Y18-AH18)</f>
        <v>#DIV/0!</v>
      </c>
      <c r="Q19" s="43" t="e">
        <f>Q18+ATM_Conf!$C$5*(Z18-AI18)</f>
        <v>#DIV/0!</v>
      </c>
      <c r="R19" s="43" t="e">
        <f>R18+ATM_Conf!$C$5*(AA18-AJ18)</f>
        <v>#DIV/0!</v>
      </c>
      <c r="S19" s="43" t="e">
        <f>S18+ATM_Conf!$C$5*(AB18-AK18)</f>
        <v>#DIV/0!</v>
      </c>
      <c r="T19" s="43">
        <f t="shared" si="24"/>
        <v>0</v>
      </c>
      <c r="U19" s="43">
        <f t="shared" si="2"/>
        <v>0</v>
      </c>
      <c r="V19" s="43">
        <f t="shared" si="2"/>
        <v>0</v>
      </c>
      <c r="W19" s="43">
        <f t="shared" si="2"/>
        <v>0</v>
      </c>
      <c r="X19" s="43">
        <f t="shared" si="2"/>
        <v>0</v>
      </c>
      <c r="Y19" s="43">
        <f t="shared" si="2"/>
        <v>0</v>
      </c>
      <c r="Z19" s="43">
        <f t="shared" si="2"/>
        <v>0</v>
      </c>
      <c r="AA19" s="43">
        <f t="shared" si="2"/>
        <v>0</v>
      </c>
      <c r="AB19" s="43">
        <f t="shared" si="2"/>
        <v>0</v>
      </c>
      <c r="AC19" s="43" t="e">
        <f t="shared" si="3"/>
        <v>#DIV/0!</v>
      </c>
      <c r="AD19" s="43" t="e">
        <f t="shared" si="4"/>
        <v>#DIV/0!</v>
      </c>
      <c r="AE19" s="43" t="e">
        <f t="shared" si="5"/>
        <v>#DIV/0!</v>
      </c>
      <c r="AF19" s="43" t="e">
        <f t="shared" si="6"/>
        <v>#DIV/0!</v>
      </c>
      <c r="AG19" s="43" t="e">
        <f t="shared" si="7"/>
        <v>#DIV/0!</v>
      </c>
      <c r="AH19" s="43" t="e">
        <f t="shared" si="8"/>
        <v>#DIV/0!</v>
      </c>
      <c r="AI19" s="43" t="e">
        <f t="shared" si="9"/>
        <v>#DIV/0!</v>
      </c>
      <c r="AJ19" s="43" t="e">
        <f t="shared" si="10"/>
        <v>#DIV/0!</v>
      </c>
      <c r="AK19" s="43" t="e">
        <f t="shared" si="11"/>
        <v>#DIV/0!</v>
      </c>
      <c r="AL19" s="43" t="e">
        <f>T$3+K19/ATM_Conf!$C$5</f>
        <v>#DIV/0!</v>
      </c>
      <c r="AM19" s="43" t="e">
        <f>U$3+L19/ATM_Conf!$C$5</f>
        <v>#DIV/0!</v>
      </c>
      <c r="AN19" s="43" t="e">
        <f>V$3+M19/ATM_Conf!$C$5</f>
        <v>#DIV/0!</v>
      </c>
      <c r="AO19" s="43" t="e">
        <f>W$3+N19/ATM_Conf!$C$5</f>
        <v>#DIV/0!</v>
      </c>
      <c r="AP19" s="43" t="e">
        <f>X$3+O19/ATM_Conf!$C$5</f>
        <v>#DIV/0!</v>
      </c>
      <c r="AQ19" s="43" t="e">
        <f>Y$3+P19/ATM_Conf!$C$5</f>
        <v>#DIV/0!</v>
      </c>
      <c r="AR19" s="43" t="e">
        <f>Z$3+Q19/ATM_Conf!$C$5</f>
        <v>#DIV/0!</v>
      </c>
      <c r="AS19" s="43" t="e">
        <f>AA$3+R19/ATM_Conf!$C$5</f>
        <v>#DIV/0!</v>
      </c>
      <c r="AT19" s="43" t="e">
        <f>AB$3+S19/ATM_Conf!$C$5</f>
        <v>#DIV/0!</v>
      </c>
      <c r="AU19" s="43" t="e">
        <f>BD$3*MIN(1,(ATM_Conf!$C$6-Links!X19)/(ATM_Conf!$C$6-ATM_Conf!$C$7))</f>
        <v>#DIV/0!</v>
      </c>
      <c r="AV19" s="43" t="e">
        <f>BE$3*MIN(1,(ATM_Conf!$C$6-Links!Z19)/(ATM_Conf!$C$6-ATM_Conf!$C$7))</f>
        <v>#DIV/0!</v>
      </c>
      <c r="AW19" s="43" t="e">
        <f>BF$3*MIN(1,(ATM_Conf!$C$6-Links!AA19)/(ATM_Conf!$C$6-ATM_Conf!$C$7))</f>
        <v>#DIV/0!</v>
      </c>
      <c r="AX19" s="43" t="e">
        <f>BG$3*MIN(1,(ATM_Conf!$C$6-Links!AD19)/(ATM_Conf!$C$6-ATM_Conf!$C$7))</f>
        <v>#DIV/0!</v>
      </c>
      <c r="AY19" s="43" t="e">
        <f>BH$3*MIN(1,(ATM_Conf!$C$6-Links!AE19)/(ATM_Conf!$C$6-ATM_Conf!$C$7))</f>
        <v>#DIV/0!</v>
      </c>
      <c r="AZ19" s="43" t="e">
        <f>BI$3*MIN(1,(ATM_Conf!$C$6-Links!AG19)/(ATM_Conf!$C$6-ATM_Conf!$C$7))</f>
        <v>#DIV/0!</v>
      </c>
      <c r="BA19" s="43" t="e">
        <f>BJ$3*MIN(1,(ATM_Conf!$C$6-Links!AH19)/(ATM_Conf!$C$6-ATM_Conf!$C$7))</f>
        <v>#DIV/0!</v>
      </c>
      <c r="BB19" s="43" t="e">
        <f>BK$3*MIN(1,(ATM_Conf!$C$6-Links!AK19)/(ATM_Conf!$C$6-ATM_Conf!$C$7))</f>
        <v>#DIV/0!</v>
      </c>
      <c r="BC19" s="43" t="e">
        <f>BL$3*MIN(1,(ATM_Conf!$C$6-Links!AM19)/(ATM_Conf!$C$6-ATM_Conf!$C$7))</f>
        <v>#DIV/0!</v>
      </c>
      <c r="BD19" s="43">
        <f t="shared" si="25"/>
        <v>0</v>
      </c>
      <c r="BE19" s="43">
        <f t="shared" si="12"/>
        <v>0</v>
      </c>
      <c r="BF19" s="43">
        <f t="shared" si="12"/>
        <v>0</v>
      </c>
      <c r="BG19" s="43">
        <f t="shared" si="12"/>
        <v>0</v>
      </c>
      <c r="BH19" s="43">
        <f t="shared" si="12"/>
        <v>0</v>
      </c>
      <c r="BI19" s="43">
        <f t="shared" si="12"/>
        <v>0</v>
      </c>
      <c r="BJ19" s="43">
        <f t="shared" si="12"/>
        <v>0</v>
      </c>
      <c r="BK19" s="43">
        <f t="shared" si="12"/>
        <v>0</v>
      </c>
      <c r="BL19" s="43">
        <f t="shared" si="12"/>
        <v>0</v>
      </c>
      <c r="BM19" s="51"/>
      <c r="BN19" s="51"/>
      <c r="BO19" s="51"/>
      <c r="BP19" s="51"/>
      <c r="BQ19" s="51"/>
      <c r="BR19" s="51"/>
      <c r="BS19" s="51"/>
      <c r="BT19" s="51"/>
      <c r="BU19" s="51"/>
      <c r="BV19" s="51" t="e">
        <f t="shared" si="13"/>
        <v>#DIV/0!</v>
      </c>
      <c r="BW19" s="51" t="e">
        <f t="shared" si="14"/>
        <v>#DIV/0!</v>
      </c>
      <c r="BX19" s="51" t="e">
        <f t="shared" si="15"/>
        <v>#DIV/0!</v>
      </c>
      <c r="BY19" s="51" t="e">
        <f t="shared" si="16"/>
        <v>#DIV/0!</v>
      </c>
      <c r="BZ19" s="51" t="e">
        <f t="shared" si="17"/>
        <v>#DIV/0!</v>
      </c>
      <c r="CA19" s="51" t="e">
        <f t="shared" si="18"/>
        <v>#DIV/0!</v>
      </c>
      <c r="CB19" s="51" t="e">
        <f t="shared" si="19"/>
        <v>#DIV/0!</v>
      </c>
      <c r="CC19" s="51" t="e">
        <f t="shared" si="20"/>
        <v>#DIV/0!</v>
      </c>
      <c r="CD19" s="51" t="e">
        <f t="shared" si="21"/>
        <v>#DIV/0!</v>
      </c>
      <c r="CE19" s="53">
        <f t="shared" si="26"/>
        <v>0</v>
      </c>
      <c r="CF19" s="53">
        <f t="shared" si="22"/>
        <v>0</v>
      </c>
      <c r="CG19" s="53">
        <f t="shared" si="22"/>
        <v>0</v>
      </c>
      <c r="CH19" s="53">
        <f t="shared" si="22"/>
        <v>0</v>
      </c>
      <c r="CI19" s="53">
        <f t="shared" si="22"/>
        <v>0</v>
      </c>
      <c r="CJ19" s="53">
        <f t="shared" si="22"/>
        <v>0</v>
      </c>
      <c r="CK19" s="53">
        <f t="shared" si="22"/>
        <v>0</v>
      </c>
      <c r="CL19" s="53">
        <f t="shared" si="22"/>
        <v>0</v>
      </c>
      <c r="CM19" s="53">
        <f t="shared" si="22"/>
        <v>0</v>
      </c>
    </row>
    <row r="20" spans="1:91" x14ac:dyDescent="0.15">
      <c r="A20" s="41">
        <v>18</v>
      </c>
      <c r="B20" s="43">
        <f t="shared" si="29"/>
        <v>1</v>
      </c>
      <c r="C20" s="43">
        <f t="shared" si="28"/>
        <v>1</v>
      </c>
      <c r="D20" s="43">
        <f t="shared" si="28"/>
        <v>1</v>
      </c>
      <c r="E20" s="43">
        <f t="shared" si="28"/>
        <v>1</v>
      </c>
      <c r="F20" s="43">
        <f t="shared" si="28"/>
        <v>1</v>
      </c>
      <c r="G20" s="43">
        <f t="shared" si="28"/>
        <v>1</v>
      </c>
      <c r="H20" s="43">
        <f t="shared" si="28"/>
        <v>1</v>
      </c>
      <c r="I20" s="43">
        <f t="shared" si="28"/>
        <v>1</v>
      </c>
      <c r="J20" s="43">
        <f t="shared" si="28"/>
        <v>1</v>
      </c>
      <c r="K20" s="43" t="e">
        <f>K19+ATM_Conf!$C$5*(T19-AC19)</f>
        <v>#DIV/0!</v>
      </c>
      <c r="L20" s="43" t="e">
        <f>L19+ATM_Conf!$C$5*(U19-AD19)</f>
        <v>#DIV/0!</v>
      </c>
      <c r="M20" s="43" t="e">
        <f>M19+ATM_Conf!$C$5*(V19-AE19)</f>
        <v>#DIV/0!</v>
      </c>
      <c r="N20" s="43" t="e">
        <f>N19+ATM_Conf!$C$5*(W19-AF19)</f>
        <v>#DIV/0!</v>
      </c>
      <c r="O20" s="43" t="e">
        <f>O19+ATM_Conf!$C$5*(X19-AG19)</f>
        <v>#DIV/0!</v>
      </c>
      <c r="P20" s="43" t="e">
        <f>P19+ATM_Conf!$C$5*(Y19-AH19)</f>
        <v>#DIV/0!</v>
      </c>
      <c r="Q20" s="43" t="e">
        <f>Q19+ATM_Conf!$C$5*(Z19-AI19)</f>
        <v>#DIV/0!</v>
      </c>
      <c r="R20" s="43" t="e">
        <f>R19+ATM_Conf!$C$5*(AA19-AJ19)</f>
        <v>#DIV/0!</v>
      </c>
      <c r="S20" s="43" t="e">
        <f>S19+ATM_Conf!$C$5*(AB19-AK19)</f>
        <v>#DIV/0!</v>
      </c>
      <c r="T20" s="43">
        <f t="shared" si="24"/>
        <v>0</v>
      </c>
      <c r="U20" s="43">
        <f t="shared" si="24"/>
        <v>0</v>
      </c>
      <c r="V20" s="43">
        <f t="shared" si="24"/>
        <v>0</v>
      </c>
      <c r="W20" s="43">
        <f t="shared" si="24"/>
        <v>0</v>
      </c>
      <c r="X20" s="43">
        <f t="shared" si="24"/>
        <v>0</v>
      </c>
      <c r="Y20" s="43">
        <f t="shared" si="24"/>
        <v>0</v>
      </c>
      <c r="Z20" s="43">
        <f t="shared" si="24"/>
        <v>0</v>
      </c>
      <c r="AA20" s="43">
        <f t="shared" si="24"/>
        <v>0</v>
      </c>
      <c r="AB20" s="43">
        <f t="shared" si="24"/>
        <v>0</v>
      </c>
      <c r="AC20" s="43" t="e">
        <f t="shared" si="3"/>
        <v>#DIV/0!</v>
      </c>
      <c r="AD20" s="43" t="e">
        <f t="shared" si="4"/>
        <v>#DIV/0!</v>
      </c>
      <c r="AE20" s="43" t="e">
        <f t="shared" si="5"/>
        <v>#DIV/0!</v>
      </c>
      <c r="AF20" s="43" t="e">
        <f t="shared" si="6"/>
        <v>#DIV/0!</v>
      </c>
      <c r="AG20" s="43" t="e">
        <f t="shared" si="7"/>
        <v>#DIV/0!</v>
      </c>
      <c r="AH20" s="43" t="e">
        <f t="shared" si="8"/>
        <v>#DIV/0!</v>
      </c>
      <c r="AI20" s="43" t="e">
        <f t="shared" si="9"/>
        <v>#DIV/0!</v>
      </c>
      <c r="AJ20" s="43" t="e">
        <f t="shared" si="10"/>
        <v>#DIV/0!</v>
      </c>
      <c r="AK20" s="43" t="e">
        <f t="shared" si="11"/>
        <v>#DIV/0!</v>
      </c>
      <c r="AL20" s="43" t="e">
        <f>T$3+K20/ATM_Conf!$C$5</f>
        <v>#DIV/0!</v>
      </c>
      <c r="AM20" s="43" t="e">
        <f>U$3+L20/ATM_Conf!$C$5</f>
        <v>#DIV/0!</v>
      </c>
      <c r="AN20" s="43" t="e">
        <f>V$3+M20/ATM_Conf!$C$5</f>
        <v>#DIV/0!</v>
      </c>
      <c r="AO20" s="43" t="e">
        <f>W$3+N20/ATM_Conf!$C$5</f>
        <v>#DIV/0!</v>
      </c>
      <c r="AP20" s="43" t="e">
        <f>X$3+O20/ATM_Conf!$C$5</f>
        <v>#DIV/0!</v>
      </c>
      <c r="AQ20" s="43" t="e">
        <f>Y$3+P20/ATM_Conf!$C$5</f>
        <v>#DIV/0!</v>
      </c>
      <c r="AR20" s="43" t="e">
        <f>Z$3+Q20/ATM_Conf!$C$5</f>
        <v>#DIV/0!</v>
      </c>
      <c r="AS20" s="43" t="e">
        <f>AA$3+R20/ATM_Conf!$C$5</f>
        <v>#DIV/0!</v>
      </c>
      <c r="AT20" s="43" t="e">
        <f>AB$3+S20/ATM_Conf!$C$5</f>
        <v>#DIV/0!</v>
      </c>
      <c r="AU20" s="43" t="e">
        <f>BD$3*MIN(1,(ATM_Conf!$C$6-Links!X20)/(ATM_Conf!$C$6-ATM_Conf!$C$7))</f>
        <v>#DIV/0!</v>
      </c>
      <c r="AV20" s="43" t="e">
        <f>BE$3*MIN(1,(ATM_Conf!$C$6-Links!Z20)/(ATM_Conf!$C$6-ATM_Conf!$C$7))</f>
        <v>#DIV/0!</v>
      </c>
      <c r="AW20" s="43" t="e">
        <f>BF$3*MIN(1,(ATM_Conf!$C$6-Links!AA20)/(ATM_Conf!$C$6-ATM_Conf!$C$7))</f>
        <v>#DIV/0!</v>
      </c>
      <c r="AX20" s="43" t="e">
        <f>BG$3*MIN(1,(ATM_Conf!$C$6-Links!AD20)/(ATM_Conf!$C$6-ATM_Conf!$C$7))</f>
        <v>#DIV/0!</v>
      </c>
      <c r="AY20" s="43" t="e">
        <f>BH$3*MIN(1,(ATM_Conf!$C$6-Links!AE20)/(ATM_Conf!$C$6-ATM_Conf!$C$7))</f>
        <v>#DIV/0!</v>
      </c>
      <c r="AZ20" s="43" t="e">
        <f>BI$3*MIN(1,(ATM_Conf!$C$6-Links!AG20)/(ATM_Conf!$C$6-ATM_Conf!$C$7))</f>
        <v>#DIV/0!</v>
      </c>
      <c r="BA20" s="43" t="e">
        <f>BJ$3*MIN(1,(ATM_Conf!$C$6-Links!AH20)/(ATM_Conf!$C$6-ATM_Conf!$C$7))</f>
        <v>#DIV/0!</v>
      </c>
      <c r="BB20" s="43" t="e">
        <f>BK$3*MIN(1,(ATM_Conf!$C$6-Links!AK20)/(ATM_Conf!$C$6-ATM_Conf!$C$7))</f>
        <v>#DIV/0!</v>
      </c>
      <c r="BC20" s="43" t="e">
        <f>BL$3*MIN(1,(ATM_Conf!$C$6-Links!AM20)/(ATM_Conf!$C$6-ATM_Conf!$C$7))</f>
        <v>#DIV/0!</v>
      </c>
      <c r="BD20" s="43">
        <f t="shared" si="25"/>
        <v>0</v>
      </c>
      <c r="BE20" s="43">
        <f t="shared" si="25"/>
        <v>0</v>
      </c>
      <c r="BF20" s="43">
        <f t="shared" si="25"/>
        <v>0</v>
      </c>
      <c r="BG20" s="43">
        <f t="shared" si="25"/>
        <v>0</v>
      </c>
      <c r="BH20" s="43">
        <f t="shared" si="25"/>
        <v>0</v>
      </c>
      <c r="BI20" s="43">
        <f t="shared" si="25"/>
        <v>0</v>
      </c>
      <c r="BJ20" s="43">
        <f t="shared" si="25"/>
        <v>0</v>
      </c>
      <c r="BK20" s="43">
        <f t="shared" si="25"/>
        <v>0</v>
      </c>
      <c r="BL20" s="43">
        <f t="shared" si="25"/>
        <v>0</v>
      </c>
      <c r="BM20" s="51"/>
      <c r="BN20" s="51"/>
      <c r="BO20" s="51"/>
      <c r="BP20" s="51"/>
      <c r="BQ20" s="51"/>
      <c r="BR20" s="51"/>
      <c r="BS20" s="51"/>
      <c r="BT20" s="51"/>
      <c r="BU20" s="51"/>
      <c r="BV20" s="51" t="e">
        <f t="shared" si="13"/>
        <v>#DIV/0!</v>
      </c>
      <c r="BW20" s="51" t="e">
        <f t="shared" si="14"/>
        <v>#DIV/0!</v>
      </c>
      <c r="BX20" s="51" t="e">
        <f t="shared" si="15"/>
        <v>#DIV/0!</v>
      </c>
      <c r="BY20" s="51" t="e">
        <f t="shared" si="16"/>
        <v>#DIV/0!</v>
      </c>
      <c r="BZ20" s="51" t="e">
        <f t="shared" si="17"/>
        <v>#DIV/0!</v>
      </c>
      <c r="CA20" s="51" t="e">
        <f t="shared" si="18"/>
        <v>#DIV/0!</v>
      </c>
      <c r="CB20" s="51" t="e">
        <f t="shared" si="19"/>
        <v>#DIV/0!</v>
      </c>
      <c r="CC20" s="51" t="e">
        <f t="shared" si="20"/>
        <v>#DIV/0!</v>
      </c>
      <c r="CD20" s="51" t="e">
        <f t="shared" si="21"/>
        <v>#DIV/0!</v>
      </c>
      <c r="CE20" s="53">
        <f t="shared" si="26"/>
        <v>0</v>
      </c>
      <c r="CF20" s="53">
        <f t="shared" si="26"/>
        <v>0</v>
      </c>
      <c r="CG20" s="53">
        <f t="shared" si="26"/>
        <v>0</v>
      </c>
      <c r="CH20" s="53">
        <f t="shared" si="26"/>
        <v>0</v>
      </c>
      <c r="CI20" s="53">
        <f t="shared" si="26"/>
        <v>0</v>
      </c>
      <c r="CJ20" s="53">
        <f t="shared" si="26"/>
        <v>0</v>
      </c>
      <c r="CK20" s="53">
        <f t="shared" si="26"/>
        <v>0</v>
      </c>
      <c r="CL20" s="53">
        <f t="shared" si="26"/>
        <v>0</v>
      </c>
      <c r="CM20" s="53">
        <f t="shared" si="26"/>
        <v>0</v>
      </c>
    </row>
    <row r="21" spans="1:91" x14ac:dyDescent="0.15">
      <c r="A21" s="41">
        <v>19</v>
      </c>
      <c r="B21" s="43">
        <f t="shared" si="29"/>
        <v>1</v>
      </c>
      <c r="C21" s="43">
        <f t="shared" si="28"/>
        <v>1</v>
      </c>
      <c r="D21" s="43">
        <f t="shared" si="28"/>
        <v>1</v>
      </c>
      <c r="E21" s="43">
        <f t="shared" si="28"/>
        <v>1</v>
      </c>
      <c r="F21" s="43">
        <f t="shared" si="28"/>
        <v>1</v>
      </c>
      <c r="G21" s="43">
        <f t="shared" si="28"/>
        <v>1</v>
      </c>
      <c r="H21" s="43">
        <f t="shared" si="28"/>
        <v>1</v>
      </c>
      <c r="I21" s="43">
        <f t="shared" si="28"/>
        <v>1</v>
      </c>
      <c r="J21" s="43">
        <f t="shared" si="28"/>
        <v>1</v>
      </c>
      <c r="K21" s="43" t="e">
        <f>K20+ATM_Conf!$C$5*(T20-AC20)</f>
        <v>#DIV/0!</v>
      </c>
      <c r="L21" s="43" t="e">
        <f>L20+ATM_Conf!$C$5*(U20-AD20)</f>
        <v>#DIV/0!</v>
      </c>
      <c r="M21" s="43" t="e">
        <f>M20+ATM_Conf!$C$5*(V20-AE20)</f>
        <v>#DIV/0!</v>
      </c>
      <c r="N21" s="43" t="e">
        <f>N20+ATM_Conf!$C$5*(W20-AF20)</f>
        <v>#DIV/0!</v>
      </c>
      <c r="O21" s="43" t="e">
        <f>O20+ATM_Conf!$C$5*(X20-AG20)</f>
        <v>#DIV/0!</v>
      </c>
      <c r="P21" s="43" t="e">
        <f>P20+ATM_Conf!$C$5*(Y20-AH20)</f>
        <v>#DIV/0!</v>
      </c>
      <c r="Q21" s="43" t="e">
        <f>Q20+ATM_Conf!$C$5*(Z20-AI20)</f>
        <v>#DIV/0!</v>
      </c>
      <c r="R21" s="43" t="e">
        <f>R20+ATM_Conf!$C$5*(AA20-AJ20)</f>
        <v>#DIV/0!</v>
      </c>
      <c r="S21" s="43" t="e">
        <f>S20+ATM_Conf!$C$5*(AB20-AK20)</f>
        <v>#DIV/0!</v>
      </c>
      <c r="T21" s="43">
        <f t="shared" si="24"/>
        <v>0</v>
      </c>
      <c r="U21" s="43">
        <f t="shared" si="24"/>
        <v>0</v>
      </c>
      <c r="V21" s="43">
        <f t="shared" si="24"/>
        <v>0</v>
      </c>
      <c r="W21" s="43">
        <f t="shared" si="24"/>
        <v>0</v>
      </c>
      <c r="X21" s="43">
        <f t="shared" si="24"/>
        <v>0</v>
      </c>
      <c r="Y21" s="43">
        <f t="shared" si="24"/>
        <v>0</v>
      </c>
      <c r="Z21" s="43">
        <f t="shared" si="24"/>
        <v>0</v>
      </c>
      <c r="AA21" s="43">
        <f t="shared" si="24"/>
        <v>0</v>
      </c>
      <c r="AB21" s="43">
        <f t="shared" si="24"/>
        <v>0</v>
      </c>
      <c r="AC21" s="43" t="e">
        <f t="shared" si="3"/>
        <v>#DIV/0!</v>
      </c>
      <c r="AD21" s="43" t="e">
        <f t="shared" si="4"/>
        <v>#DIV/0!</v>
      </c>
      <c r="AE21" s="43" t="e">
        <f t="shared" si="5"/>
        <v>#DIV/0!</v>
      </c>
      <c r="AF21" s="43" t="e">
        <f t="shared" si="6"/>
        <v>#DIV/0!</v>
      </c>
      <c r="AG21" s="43" t="e">
        <f t="shared" si="7"/>
        <v>#DIV/0!</v>
      </c>
      <c r="AH21" s="43" t="e">
        <f t="shared" si="8"/>
        <v>#DIV/0!</v>
      </c>
      <c r="AI21" s="43" t="e">
        <f t="shared" si="9"/>
        <v>#DIV/0!</v>
      </c>
      <c r="AJ21" s="43" t="e">
        <f t="shared" si="10"/>
        <v>#DIV/0!</v>
      </c>
      <c r="AK21" s="43" t="e">
        <f t="shared" si="11"/>
        <v>#DIV/0!</v>
      </c>
      <c r="AL21" s="43" t="e">
        <f>T$3+K21/ATM_Conf!$C$5</f>
        <v>#DIV/0!</v>
      </c>
      <c r="AM21" s="43" t="e">
        <f>U$3+L21/ATM_Conf!$C$5</f>
        <v>#DIV/0!</v>
      </c>
      <c r="AN21" s="43" t="e">
        <f>V$3+M21/ATM_Conf!$C$5</f>
        <v>#DIV/0!</v>
      </c>
      <c r="AO21" s="43" t="e">
        <f>W$3+N21/ATM_Conf!$C$5</f>
        <v>#DIV/0!</v>
      </c>
      <c r="AP21" s="43" t="e">
        <f>X$3+O21/ATM_Conf!$C$5</f>
        <v>#DIV/0!</v>
      </c>
      <c r="AQ21" s="43" t="e">
        <f>Y$3+P21/ATM_Conf!$C$5</f>
        <v>#DIV/0!</v>
      </c>
      <c r="AR21" s="43" t="e">
        <f>Z$3+Q21/ATM_Conf!$C$5</f>
        <v>#DIV/0!</v>
      </c>
      <c r="AS21" s="43" t="e">
        <f>AA$3+R21/ATM_Conf!$C$5</f>
        <v>#DIV/0!</v>
      </c>
      <c r="AT21" s="43" t="e">
        <f>AB$3+S21/ATM_Conf!$C$5</f>
        <v>#DIV/0!</v>
      </c>
      <c r="AU21" s="43" t="e">
        <f>BD$3*MIN(1,(ATM_Conf!$C$6-Links!X21)/(ATM_Conf!$C$6-ATM_Conf!$C$7))</f>
        <v>#DIV/0!</v>
      </c>
      <c r="AV21" s="43" t="e">
        <f>BE$3*MIN(1,(ATM_Conf!$C$6-Links!Z21)/(ATM_Conf!$C$6-ATM_Conf!$C$7))</f>
        <v>#DIV/0!</v>
      </c>
      <c r="AW21" s="43" t="e">
        <f>BF$3*MIN(1,(ATM_Conf!$C$6-Links!AA21)/(ATM_Conf!$C$6-ATM_Conf!$C$7))</f>
        <v>#DIV/0!</v>
      </c>
      <c r="AX21" s="43" t="e">
        <f>BG$3*MIN(1,(ATM_Conf!$C$6-Links!AD21)/(ATM_Conf!$C$6-ATM_Conf!$C$7))</f>
        <v>#DIV/0!</v>
      </c>
      <c r="AY21" s="43" t="e">
        <f>BH$3*MIN(1,(ATM_Conf!$C$6-Links!AE21)/(ATM_Conf!$C$6-ATM_Conf!$C$7))</f>
        <v>#DIV/0!</v>
      </c>
      <c r="AZ21" s="43" t="e">
        <f>BI$3*MIN(1,(ATM_Conf!$C$6-Links!AG21)/(ATM_Conf!$C$6-ATM_Conf!$C$7))</f>
        <v>#DIV/0!</v>
      </c>
      <c r="BA21" s="43" t="e">
        <f>BJ$3*MIN(1,(ATM_Conf!$C$6-Links!AH21)/(ATM_Conf!$C$6-ATM_Conf!$C$7))</f>
        <v>#DIV/0!</v>
      </c>
      <c r="BB21" s="43" t="e">
        <f>BK$3*MIN(1,(ATM_Conf!$C$6-Links!AK21)/(ATM_Conf!$C$6-ATM_Conf!$C$7))</f>
        <v>#DIV/0!</v>
      </c>
      <c r="BC21" s="43" t="e">
        <f>BL$3*MIN(1,(ATM_Conf!$C$6-Links!AM21)/(ATM_Conf!$C$6-ATM_Conf!$C$7))</f>
        <v>#DIV/0!</v>
      </c>
      <c r="BD21" s="43">
        <f t="shared" si="25"/>
        <v>0</v>
      </c>
      <c r="BE21" s="43">
        <f t="shared" si="25"/>
        <v>0</v>
      </c>
      <c r="BF21" s="43">
        <f t="shared" si="25"/>
        <v>0</v>
      </c>
      <c r="BG21" s="43">
        <f t="shared" si="25"/>
        <v>0</v>
      </c>
      <c r="BH21" s="43">
        <f t="shared" si="25"/>
        <v>0</v>
      </c>
      <c r="BI21" s="43">
        <f t="shared" si="25"/>
        <v>0</v>
      </c>
      <c r="BJ21" s="43">
        <f t="shared" si="25"/>
        <v>0</v>
      </c>
      <c r="BK21" s="43">
        <f t="shared" si="25"/>
        <v>0</v>
      </c>
      <c r="BL21" s="43">
        <f t="shared" si="25"/>
        <v>0</v>
      </c>
      <c r="BM21" s="51"/>
      <c r="BN21" s="51"/>
      <c r="BO21" s="51"/>
      <c r="BP21" s="51"/>
      <c r="BQ21" s="51"/>
      <c r="BR21" s="51"/>
      <c r="BS21" s="51"/>
      <c r="BT21" s="51"/>
      <c r="BU21" s="51"/>
      <c r="BV21" s="51" t="e">
        <f t="shared" si="13"/>
        <v>#DIV/0!</v>
      </c>
      <c r="BW21" s="51" t="e">
        <f t="shared" si="14"/>
        <v>#DIV/0!</v>
      </c>
      <c r="BX21" s="51" t="e">
        <f t="shared" si="15"/>
        <v>#DIV/0!</v>
      </c>
      <c r="BY21" s="51" t="e">
        <f t="shared" si="16"/>
        <v>#DIV/0!</v>
      </c>
      <c r="BZ21" s="51" t="e">
        <f t="shared" si="17"/>
        <v>#DIV/0!</v>
      </c>
      <c r="CA21" s="51" t="e">
        <f t="shared" si="18"/>
        <v>#DIV/0!</v>
      </c>
      <c r="CB21" s="51" t="e">
        <f t="shared" si="19"/>
        <v>#DIV/0!</v>
      </c>
      <c r="CC21" s="51" t="e">
        <f t="shared" si="20"/>
        <v>#DIV/0!</v>
      </c>
      <c r="CD21" s="51" t="e">
        <f t="shared" si="21"/>
        <v>#DIV/0!</v>
      </c>
      <c r="CE21" s="53">
        <f t="shared" si="26"/>
        <v>0</v>
      </c>
      <c r="CF21" s="53">
        <f t="shared" si="26"/>
        <v>0</v>
      </c>
      <c r="CG21" s="53">
        <f t="shared" si="26"/>
        <v>0</v>
      </c>
      <c r="CH21" s="53">
        <f t="shared" si="26"/>
        <v>0</v>
      </c>
      <c r="CI21" s="53">
        <f t="shared" si="26"/>
        <v>0</v>
      </c>
      <c r="CJ21" s="53">
        <f t="shared" si="26"/>
        <v>0</v>
      </c>
      <c r="CK21" s="53">
        <f t="shared" si="26"/>
        <v>0</v>
      </c>
      <c r="CL21" s="53">
        <f t="shared" si="26"/>
        <v>0</v>
      </c>
      <c r="CM21" s="53">
        <f t="shared" si="26"/>
        <v>0</v>
      </c>
    </row>
    <row r="22" spans="1:91" x14ac:dyDescent="0.15">
      <c r="A22" s="41">
        <v>20</v>
      </c>
      <c r="B22" s="43">
        <f t="shared" si="29"/>
        <v>1</v>
      </c>
      <c r="C22" s="43">
        <f t="shared" si="28"/>
        <v>1</v>
      </c>
      <c r="D22" s="43">
        <f t="shared" si="28"/>
        <v>1</v>
      </c>
      <c r="E22" s="43">
        <f t="shared" si="28"/>
        <v>1</v>
      </c>
      <c r="F22" s="43">
        <f t="shared" si="28"/>
        <v>1</v>
      </c>
      <c r="G22" s="43">
        <f t="shared" si="28"/>
        <v>1</v>
      </c>
      <c r="H22" s="43">
        <f t="shared" si="28"/>
        <v>1</v>
      </c>
      <c r="I22" s="43">
        <f t="shared" si="28"/>
        <v>1</v>
      </c>
      <c r="J22" s="43">
        <f t="shared" si="28"/>
        <v>1</v>
      </c>
      <c r="K22" s="43" t="e">
        <f>K21+ATM_Conf!$C$5*(T21-AC21)</f>
        <v>#DIV/0!</v>
      </c>
      <c r="L22" s="43" t="e">
        <f>L21+ATM_Conf!$C$5*(U21-AD21)</f>
        <v>#DIV/0!</v>
      </c>
      <c r="M22" s="43" t="e">
        <f>M21+ATM_Conf!$C$5*(V21-AE21)</f>
        <v>#DIV/0!</v>
      </c>
      <c r="N22" s="43" t="e">
        <f>N21+ATM_Conf!$C$5*(W21-AF21)</f>
        <v>#DIV/0!</v>
      </c>
      <c r="O22" s="43" t="e">
        <f>O21+ATM_Conf!$C$5*(X21-AG21)</f>
        <v>#DIV/0!</v>
      </c>
      <c r="P22" s="43" t="e">
        <f>P21+ATM_Conf!$C$5*(Y21-AH21)</f>
        <v>#DIV/0!</v>
      </c>
      <c r="Q22" s="43" t="e">
        <f>Q21+ATM_Conf!$C$5*(Z21-AI21)</f>
        <v>#DIV/0!</v>
      </c>
      <c r="R22" s="43" t="e">
        <f>R21+ATM_Conf!$C$5*(AA21-AJ21)</f>
        <v>#DIV/0!</v>
      </c>
      <c r="S22" s="43" t="e">
        <f>S21+ATM_Conf!$C$5*(AB21-AK21)</f>
        <v>#DIV/0!</v>
      </c>
      <c r="T22" s="43">
        <f t="shared" si="24"/>
        <v>0</v>
      </c>
      <c r="U22" s="43">
        <f t="shared" si="24"/>
        <v>0</v>
      </c>
      <c r="V22" s="43">
        <f t="shared" si="24"/>
        <v>0</v>
      </c>
      <c r="W22" s="43">
        <f t="shared" si="24"/>
        <v>0</v>
      </c>
      <c r="X22" s="43">
        <f t="shared" si="24"/>
        <v>0</v>
      </c>
      <c r="Y22" s="43">
        <f t="shared" si="24"/>
        <v>0</v>
      </c>
      <c r="Z22" s="43">
        <f t="shared" si="24"/>
        <v>0</v>
      </c>
      <c r="AA22" s="43">
        <f t="shared" si="24"/>
        <v>0</v>
      </c>
      <c r="AB22" s="43">
        <f t="shared" si="24"/>
        <v>0</v>
      </c>
      <c r="AC22" s="43" t="e">
        <f t="shared" si="3"/>
        <v>#DIV/0!</v>
      </c>
      <c r="AD22" s="43" t="e">
        <f t="shared" si="4"/>
        <v>#DIV/0!</v>
      </c>
      <c r="AE22" s="43" t="e">
        <f t="shared" si="5"/>
        <v>#DIV/0!</v>
      </c>
      <c r="AF22" s="43" t="e">
        <f t="shared" si="6"/>
        <v>#DIV/0!</v>
      </c>
      <c r="AG22" s="43" t="e">
        <f t="shared" si="7"/>
        <v>#DIV/0!</v>
      </c>
      <c r="AH22" s="43" t="e">
        <f t="shared" si="8"/>
        <v>#DIV/0!</v>
      </c>
      <c r="AI22" s="43" t="e">
        <f t="shared" si="9"/>
        <v>#DIV/0!</v>
      </c>
      <c r="AJ22" s="43" t="e">
        <f t="shared" si="10"/>
        <v>#DIV/0!</v>
      </c>
      <c r="AK22" s="43" t="e">
        <f t="shared" si="11"/>
        <v>#DIV/0!</v>
      </c>
      <c r="AL22" s="43" t="e">
        <f>T$3+K22/ATM_Conf!$C$5</f>
        <v>#DIV/0!</v>
      </c>
      <c r="AM22" s="43" t="e">
        <f>U$3+L22/ATM_Conf!$C$5</f>
        <v>#DIV/0!</v>
      </c>
      <c r="AN22" s="43" t="e">
        <f>V$3+M22/ATM_Conf!$C$5</f>
        <v>#DIV/0!</v>
      </c>
      <c r="AO22" s="43" t="e">
        <f>W$3+N22/ATM_Conf!$C$5</f>
        <v>#DIV/0!</v>
      </c>
      <c r="AP22" s="43" t="e">
        <f>X$3+O22/ATM_Conf!$C$5</f>
        <v>#DIV/0!</v>
      </c>
      <c r="AQ22" s="43" t="e">
        <f>Y$3+P22/ATM_Conf!$C$5</f>
        <v>#DIV/0!</v>
      </c>
      <c r="AR22" s="43" t="e">
        <f>Z$3+Q22/ATM_Conf!$C$5</f>
        <v>#DIV/0!</v>
      </c>
      <c r="AS22" s="43" t="e">
        <f>AA$3+R22/ATM_Conf!$C$5</f>
        <v>#DIV/0!</v>
      </c>
      <c r="AT22" s="43" t="e">
        <f>AB$3+S22/ATM_Conf!$C$5</f>
        <v>#DIV/0!</v>
      </c>
      <c r="AU22" s="43" t="e">
        <f>BD$3*MIN(1,(ATM_Conf!$C$6-Links!X22)/(ATM_Conf!$C$6-ATM_Conf!$C$7))</f>
        <v>#DIV/0!</v>
      </c>
      <c r="AV22" s="43" t="e">
        <f>BE$3*MIN(1,(ATM_Conf!$C$6-Links!Z22)/(ATM_Conf!$C$6-ATM_Conf!$C$7))</f>
        <v>#DIV/0!</v>
      </c>
      <c r="AW22" s="43" t="e">
        <f>BF$3*MIN(1,(ATM_Conf!$C$6-Links!AA22)/(ATM_Conf!$C$6-ATM_Conf!$C$7))</f>
        <v>#DIV/0!</v>
      </c>
      <c r="AX22" s="43" t="e">
        <f>BG$3*MIN(1,(ATM_Conf!$C$6-Links!AD22)/(ATM_Conf!$C$6-ATM_Conf!$C$7))</f>
        <v>#DIV/0!</v>
      </c>
      <c r="AY22" s="43" t="e">
        <f>BH$3*MIN(1,(ATM_Conf!$C$6-Links!AE22)/(ATM_Conf!$C$6-ATM_Conf!$C$7))</f>
        <v>#DIV/0!</v>
      </c>
      <c r="AZ22" s="43" t="e">
        <f>BI$3*MIN(1,(ATM_Conf!$C$6-Links!AG22)/(ATM_Conf!$C$6-ATM_Conf!$C$7))</f>
        <v>#DIV/0!</v>
      </c>
      <c r="BA22" s="43" t="e">
        <f>BJ$3*MIN(1,(ATM_Conf!$C$6-Links!AH22)/(ATM_Conf!$C$6-ATM_Conf!$C$7))</f>
        <v>#DIV/0!</v>
      </c>
      <c r="BB22" s="43" t="e">
        <f>BK$3*MIN(1,(ATM_Conf!$C$6-Links!AK22)/(ATM_Conf!$C$6-ATM_Conf!$C$7))</f>
        <v>#DIV/0!</v>
      </c>
      <c r="BC22" s="43" t="e">
        <f>BL$3*MIN(1,(ATM_Conf!$C$6-Links!AM22)/(ATM_Conf!$C$6-ATM_Conf!$C$7))</f>
        <v>#DIV/0!</v>
      </c>
      <c r="BD22" s="43">
        <f t="shared" si="25"/>
        <v>0</v>
      </c>
      <c r="BE22" s="43">
        <f t="shared" si="25"/>
        <v>0</v>
      </c>
      <c r="BF22" s="43">
        <f t="shared" si="25"/>
        <v>0</v>
      </c>
      <c r="BG22" s="43">
        <f t="shared" si="25"/>
        <v>0</v>
      </c>
      <c r="BH22" s="43">
        <f t="shared" si="25"/>
        <v>0</v>
      </c>
      <c r="BI22" s="43">
        <f t="shared" si="25"/>
        <v>0</v>
      </c>
      <c r="BJ22" s="43">
        <f t="shared" si="25"/>
        <v>0</v>
      </c>
      <c r="BK22" s="43">
        <f t="shared" si="25"/>
        <v>0</v>
      </c>
      <c r="BL22" s="43">
        <f t="shared" si="25"/>
        <v>0</v>
      </c>
      <c r="BM22" s="51"/>
      <c r="BN22" s="51"/>
      <c r="BO22" s="51"/>
      <c r="BP22" s="51"/>
      <c r="BQ22" s="51"/>
      <c r="BR22" s="51"/>
      <c r="BS22" s="51"/>
      <c r="BT22" s="51"/>
      <c r="BU22" s="51"/>
      <c r="BV22" s="51" t="e">
        <f t="shared" si="13"/>
        <v>#DIV/0!</v>
      </c>
      <c r="BW22" s="51" t="e">
        <f t="shared" si="14"/>
        <v>#DIV/0!</v>
      </c>
      <c r="BX22" s="51" t="e">
        <f t="shared" si="15"/>
        <v>#DIV/0!</v>
      </c>
      <c r="BY22" s="51" t="e">
        <f t="shared" si="16"/>
        <v>#DIV/0!</v>
      </c>
      <c r="BZ22" s="51" t="e">
        <f t="shared" si="17"/>
        <v>#DIV/0!</v>
      </c>
      <c r="CA22" s="51" t="e">
        <f t="shared" si="18"/>
        <v>#DIV/0!</v>
      </c>
      <c r="CB22" s="51" t="e">
        <f t="shared" si="19"/>
        <v>#DIV/0!</v>
      </c>
      <c r="CC22" s="51" t="e">
        <f t="shared" si="20"/>
        <v>#DIV/0!</v>
      </c>
      <c r="CD22" s="51" t="e">
        <f t="shared" si="21"/>
        <v>#DIV/0!</v>
      </c>
      <c r="CE22" s="53">
        <f t="shared" si="26"/>
        <v>0</v>
      </c>
      <c r="CF22" s="53">
        <f t="shared" si="26"/>
        <v>0</v>
      </c>
      <c r="CG22" s="53">
        <f t="shared" si="26"/>
        <v>0</v>
      </c>
      <c r="CH22" s="53">
        <f t="shared" si="26"/>
        <v>0</v>
      </c>
      <c r="CI22" s="53">
        <f t="shared" si="26"/>
        <v>0</v>
      </c>
      <c r="CJ22" s="53">
        <f t="shared" si="26"/>
        <v>0</v>
      </c>
      <c r="CK22" s="53">
        <f t="shared" si="26"/>
        <v>0</v>
      </c>
      <c r="CL22" s="53">
        <f t="shared" si="26"/>
        <v>0</v>
      </c>
      <c r="CM22" s="53">
        <f t="shared" si="26"/>
        <v>0</v>
      </c>
    </row>
    <row r="23" spans="1:91" x14ac:dyDescent="0.15">
      <c r="A23" s="41">
        <v>21</v>
      </c>
      <c r="B23" s="43">
        <f t="shared" si="29"/>
        <v>1</v>
      </c>
      <c r="C23" s="43">
        <f t="shared" si="28"/>
        <v>1</v>
      </c>
      <c r="D23" s="43">
        <f t="shared" si="28"/>
        <v>1</v>
      </c>
      <c r="E23" s="43">
        <f t="shared" si="28"/>
        <v>1</v>
      </c>
      <c r="F23" s="43">
        <f t="shared" si="28"/>
        <v>1</v>
      </c>
      <c r="G23" s="43">
        <f t="shared" si="28"/>
        <v>1</v>
      </c>
      <c r="H23" s="43">
        <f t="shared" si="28"/>
        <v>1</v>
      </c>
      <c r="I23" s="43">
        <f t="shared" si="28"/>
        <v>1</v>
      </c>
      <c r="J23" s="43">
        <f t="shared" si="28"/>
        <v>1</v>
      </c>
      <c r="K23" s="43" t="e">
        <f>K22+ATM_Conf!$C$5*(T22-AC22)</f>
        <v>#DIV/0!</v>
      </c>
      <c r="L23" s="43" t="e">
        <f>L22+ATM_Conf!$C$5*(U22-AD22)</f>
        <v>#DIV/0!</v>
      </c>
      <c r="M23" s="43" t="e">
        <f>M22+ATM_Conf!$C$5*(V22-AE22)</f>
        <v>#DIV/0!</v>
      </c>
      <c r="N23" s="43" t="e">
        <f>N22+ATM_Conf!$C$5*(W22-AF22)</f>
        <v>#DIV/0!</v>
      </c>
      <c r="O23" s="43" t="e">
        <f>O22+ATM_Conf!$C$5*(X22-AG22)</f>
        <v>#DIV/0!</v>
      </c>
      <c r="P23" s="43" t="e">
        <f>P22+ATM_Conf!$C$5*(Y22-AH22)</f>
        <v>#DIV/0!</v>
      </c>
      <c r="Q23" s="43" t="e">
        <f>Q22+ATM_Conf!$C$5*(Z22-AI22)</f>
        <v>#DIV/0!</v>
      </c>
      <c r="R23" s="43" t="e">
        <f>R22+ATM_Conf!$C$5*(AA22-AJ22)</f>
        <v>#DIV/0!</v>
      </c>
      <c r="S23" s="43" t="e">
        <f>S22+ATM_Conf!$C$5*(AB22-AK22)</f>
        <v>#DIV/0!</v>
      </c>
      <c r="T23" s="43">
        <f t="shared" si="24"/>
        <v>0</v>
      </c>
      <c r="U23" s="43">
        <f t="shared" si="24"/>
        <v>0</v>
      </c>
      <c r="V23" s="43">
        <f t="shared" si="24"/>
        <v>0</v>
      </c>
      <c r="W23" s="43">
        <f t="shared" si="24"/>
        <v>0</v>
      </c>
      <c r="X23" s="43">
        <f t="shared" si="24"/>
        <v>0</v>
      </c>
      <c r="Y23" s="43">
        <f t="shared" si="24"/>
        <v>0</v>
      </c>
      <c r="Z23" s="43">
        <f t="shared" si="24"/>
        <v>0</v>
      </c>
      <c r="AA23" s="43">
        <f t="shared" si="24"/>
        <v>0</v>
      </c>
      <c r="AB23" s="43">
        <f t="shared" si="24"/>
        <v>0</v>
      </c>
      <c r="AC23" s="43" t="e">
        <f t="shared" si="3"/>
        <v>#DIV/0!</v>
      </c>
      <c r="AD23" s="43" t="e">
        <f t="shared" si="4"/>
        <v>#DIV/0!</v>
      </c>
      <c r="AE23" s="43" t="e">
        <f t="shared" si="5"/>
        <v>#DIV/0!</v>
      </c>
      <c r="AF23" s="43" t="e">
        <f t="shared" si="6"/>
        <v>#DIV/0!</v>
      </c>
      <c r="AG23" s="43" t="e">
        <f t="shared" si="7"/>
        <v>#DIV/0!</v>
      </c>
      <c r="AH23" s="43" t="e">
        <f t="shared" si="8"/>
        <v>#DIV/0!</v>
      </c>
      <c r="AI23" s="43" t="e">
        <f t="shared" si="9"/>
        <v>#DIV/0!</v>
      </c>
      <c r="AJ23" s="43" t="e">
        <f t="shared" si="10"/>
        <v>#DIV/0!</v>
      </c>
      <c r="AK23" s="43" t="e">
        <f t="shared" si="11"/>
        <v>#DIV/0!</v>
      </c>
      <c r="AL23" s="43" t="e">
        <f>T$3+K23/ATM_Conf!$C$5</f>
        <v>#DIV/0!</v>
      </c>
      <c r="AM23" s="43" t="e">
        <f>U$3+L23/ATM_Conf!$C$5</f>
        <v>#DIV/0!</v>
      </c>
      <c r="AN23" s="43" t="e">
        <f>V$3+M23/ATM_Conf!$C$5</f>
        <v>#DIV/0!</v>
      </c>
      <c r="AO23" s="43" t="e">
        <f>W$3+N23/ATM_Conf!$C$5</f>
        <v>#DIV/0!</v>
      </c>
      <c r="AP23" s="43" t="e">
        <f>X$3+O23/ATM_Conf!$C$5</f>
        <v>#DIV/0!</v>
      </c>
      <c r="AQ23" s="43" t="e">
        <f>Y$3+P23/ATM_Conf!$C$5</f>
        <v>#DIV/0!</v>
      </c>
      <c r="AR23" s="43" t="e">
        <f>Z$3+Q23/ATM_Conf!$C$5</f>
        <v>#DIV/0!</v>
      </c>
      <c r="AS23" s="43" t="e">
        <f>AA$3+R23/ATM_Conf!$C$5</f>
        <v>#DIV/0!</v>
      </c>
      <c r="AT23" s="43" t="e">
        <f>AB$3+S23/ATM_Conf!$C$5</f>
        <v>#DIV/0!</v>
      </c>
      <c r="AU23" s="43" t="e">
        <f>BD$3*MIN(1,(ATM_Conf!$C$6-Links!X23)/(ATM_Conf!$C$6-ATM_Conf!$C$7))</f>
        <v>#DIV/0!</v>
      </c>
      <c r="AV23" s="43" t="e">
        <f>BE$3*MIN(1,(ATM_Conf!$C$6-Links!Z23)/(ATM_Conf!$C$6-ATM_Conf!$C$7))</f>
        <v>#DIV/0!</v>
      </c>
      <c r="AW23" s="43" t="e">
        <f>BF$3*MIN(1,(ATM_Conf!$C$6-Links!AA23)/(ATM_Conf!$C$6-ATM_Conf!$C$7))</f>
        <v>#DIV/0!</v>
      </c>
      <c r="AX23" s="43" t="e">
        <f>BG$3*MIN(1,(ATM_Conf!$C$6-Links!AD23)/(ATM_Conf!$C$6-ATM_Conf!$C$7))</f>
        <v>#DIV/0!</v>
      </c>
      <c r="AY23" s="43" t="e">
        <f>BH$3*MIN(1,(ATM_Conf!$C$6-Links!AE23)/(ATM_Conf!$C$6-ATM_Conf!$C$7))</f>
        <v>#DIV/0!</v>
      </c>
      <c r="AZ23" s="43" t="e">
        <f>BI$3*MIN(1,(ATM_Conf!$C$6-Links!AG23)/(ATM_Conf!$C$6-ATM_Conf!$C$7))</f>
        <v>#DIV/0!</v>
      </c>
      <c r="BA23" s="43" t="e">
        <f>BJ$3*MIN(1,(ATM_Conf!$C$6-Links!AH23)/(ATM_Conf!$C$6-ATM_Conf!$C$7))</f>
        <v>#DIV/0!</v>
      </c>
      <c r="BB23" s="43" t="e">
        <f>BK$3*MIN(1,(ATM_Conf!$C$6-Links!AK23)/(ATM_Conf!$C$6-ATM_Conf!$C$7))</f>
        <v>#DIV/0!</v>
      </c>
      <c r="BC23" s="43" t="e">
        <f>BL$3*MIN(1,(ATM_Conf!$C$6-Links!AM23)/(ATM_Conf!$C$6-ATM_Conf!$C$7))</f>
        <v>#DIV/0!</v>
      </c>
      <c r="BD23" s="43">
        <f t="shared" si="25"/>
        <v>0</v>
      </c>
      <c r="BE23" s="43">
        <f t="shared" si="25"/>
        <v>0</v>
      </c>
      <c r="BF23" s="43">
        <f t="shared" si="25"/>
        <v>0</v>
      </c>
      <c r="BG23" s="43">
        <f t="shared" si="25"/>
        <v>0</v>
      </c>
      <c r="BH23" s="43">
        <f t="shared" si="25"/>
        <v>0</v>
      </c>
      <c r="BI23" s="43">
        <f t="shared" si="25"/>
        <v>0</v>
      </c>
      <c r="BJ23" s="43">
        <f t="shared" si="25"/>
        <v>0</v>
      </c>
      <c r="BK23" s="43">
        <f t="shared" si="25"/>
        <v>0</v>
      </c>
      <c r="BL23" s="43">
        <f t="shared" si="25"/>
        <v>0</v>
      </c>
      <c r="BM23" s="51"/>
      <c r="BN23" s="51"/>
      <c r="BO23" s="51"/>
      <c r="BP23" s="51"/>
      <c r="BQ23" s="51"/>
      <c r="BR23" s="51"/>
      <c r="BS23" s="51"/>
      <c r="BT23" s="51"/>
      <c r="BU23" s="51"/>
      <c r="BV23" s="51" t="e">
        <f t="shared" si="13"/>
        <v>#DIV/0!</v>
      </c>
      <c r="BW23" s="51" t="e">
        <f t="shared" si="14"/>
        <v>#DIV/0!</v>
      </c>
      <c r="BX23" s="51" t="e">
        <f t="shared" si="15"/>
        <v>#DIV/0!</v>
      </c>
      <c r="BY23" s="51" t="e">
        <f t="shared" si="16"/>
        <v>#DIV/0!</v>
      </c>
      <c r="BZ23" s="51" t="e">
        <f t="shared" si="17"/>
        <v>#DIV/0!</v>
      </c>
      <c r="CA23" s="51" t="e">
        <f t="shared" si="18"/>
        <v>#DIV/0!</v>
      </c>
      <c r="CB23" s="51" t="e">
        <f t="shared" si="19"/>
        <v>#DIV/0!</v>
      </c>
      <c r="CC23" s="51" t="e">
        <f t="shared" si="20"/>
        <v>#DIV/0!</v>
      </c>
      <c r="CD23" s="51" t="e">
        <f t="shared" si="21"/>
        <v>#DIV/0!</v>
      </c>
      <c r="CE23" s="53">
        <f t="shared" si="26"/>
        <v>0</v>
      </c>
      <c r="CF23" s="53">
        <f t="shared" si="26"/>
        <v>0</v>
      </c>
      <c r="CG23" s="53">
        <f t="shared" si="26"/>
        <v>0</v>
      </c>
      <c r="CH23" s="53">
        <f t="shared" si="26"/>
        <v>0</v>
      </c>
      <c r="CI23" s="53">
        <f t="shared" si="26"/>
        <v>0</v>
      </c>
      <c r="CJ23" s="53">
        <f t="shared" si="26"/>
        <v>0</v>
      </c>
      <c r="CK23" s="53">
        <f t="shared" si="26"/>
        <v>0</v>
      </c>
      <c r="CL23" s="53">
        <f t="shared" si="26"/>
        <v>0</v>
      </c>
      <c r="CM23" s="53">
        <f t="shared" si="26"/>
        <v>0</v>
      </c>
    </row>
    <row r="24" spans="1:91" x14ac:dyDescent="0.15">
      <c r="A24" s="41">
        <v>22</v>
      </c>
      <c r="B24" s="43">
        <f t="shared" si="29"/>
        <v>1</v>
      </c>
      <c r="C24" s="43">
        <f t="shared" si="28"/>
        <v>1</v>
      </c>
      <c r="D24" s="43">
        <f t="shared" si="28"/>
        <v>1</v>
      </c>
      <c r="E24" s="43">
        <f t="shared" si="28"/>
        <v>1</v>
      </c>
      <c r="F24" s="43">
        <f t="shared" si="28"/>
        <v>1</v>
      </c>
      <c r="G24" s="43">
        <f t="shared" si="28"/>
        <v>1</v>
      </c>
      <c r="H24" s="43">
        <f t="shared" si="28"/>
        <v>1</v>
      </c>
      <c r="I24" s="43">
        <f t="shared" si="28"/>
        <v>1</v>
      </c>
      <c r="J24" s="43">
        <f t="shared" si="28"/>
        <v>1</v>
      </c>
      <c r="K24" s="43" t="e">
        <f>K23+ATM_Conf!$C$5*(T23-AC23)</f>
        <v>#DIV/0!</v>
      </c>
      <c r="L24" s="43" t="e">
        <f>L23+ATM_Conf!$C$5*(U23-AD23)</f>
        <v>#DIV/0!</v>
      </c>
      <c r="M24" s="43" t="e">
        <f>M23+ATM_Conf!$C$5*(V23-AE23)</f>
        <v>#DIV/0!</v>
      </c>
      <c r="N24" s="43" t="e">
        <f>N23+ATM_Conf!$C$5*(W23-AF23)</f>
        <v>#DIV/0!</v>
      </c>
      <c r="O24" s="43" t="e">
        <f>O23+ATM_Conf!$C$5*(X23-AG23)</f>
        <v>#DIV/0!</v>
      </c>
      <c r="P24" s="43" t="e">
        <f>P23+ATM_Conf!$C$5*(Y23-AH23)</f>
        <v>#DIV/0!</v>
      </c>
      <c r="Q24" s="43" t="e">
        <f>Q23+ATM_Conf!$C$5*(Z23-AI23)</f>
        <v>#DIV/0!</v>
      </c>
      <c r="R24" s="43" t="e">
        <f>R23+ATM_Conf!$C$5*(AA23-AJ23)</f>
        <v>#DIV/0!</v>
      </c>
      <c r="S24" s="43" t="e">
        <f>S23+ATM_Conf!$C$5*(AB23-AK23)</f>
        <v>#DIV/0!</v>
      </c>
      <c r="T24" s="43">
        <f t="shared" si="24"/>
        <v>0</v>
      </c>
      <c r="U24" s="43">
        <f t="shared" si="24"/>
        <v>0</v>
      </c>
      <c r="V24" s="43">
        <f t="shared" si="24"/>
        <v>0</v>
      </c>
      <c r="W24" s="43">
        <f t="shared" si="24"/>
        <v>0</v>
      </c>
      <c r="X24" s="43">
        <f t="shared" si="24"/>
        <v>0</v>
      </c>
      <c r="Y24" s="43">
        <f t="shared" si="24"/>
        <v>0</v>
      </c>
      <c r="Z24" s="43">
        <f t="shared" si="24"/>
        <v>0</v>
      </c>
      <c r="AA24" s="43">
        <f t="shared" si="24"/>
        <v>0</v>
      </c>
      <c r="AB24" s="43">
        <f t="shared" si="24"/>
        <v>0</v>
      </c>
      <c r="AC24" s="43" t="e">
        <f t="shared" si="3"/>
        <v>#DIV/0!</v>
      </c>
      <c r="AD24" s="43" t="e">
        <f t="shared" si="4"/>
        <v>#DIV/0!</v>
      </c>
      <c r="AE24" s="43" t="e">
        <f t="shared" si="5"/>
        <v>#DIV/0!</v>
      </c>
      <c r="AF24" s="43" t="e">
        <f t="shared" si="6"/>
        <v>#DIV/0!</v>
      </c>
      <c r="AG24" s="43" t="e">
        <f t="shared" si="7"/>
        <v>#DIV/0!</v>
      </c>
      <c r="AH24" s="43" t="e">
        <f t="shared" si="8"/>
        <v>#DIV/0!</v>
      </c>
      <c r="AI24" s="43" t="e">
        <f t="shared" si="9"/>
        <v>#DIV/0!</v>
      </c>
      <c r="AJ24" s="43" t="e">
        <f t="shared" si="10"/>
        <v>#DIV/0!</v>
      </c>
      <c r="AK24" s="43" t="e">
        <f t="shared" si="11"/>
        <v>#DIV/0!</v>
      </c>
      <c r="AL24" s="43" t="e">
        <f>T$3+K24/ATM_Conf!$C$5</f>
        <v>#DIV/0!</v>
      </c>
      <c r="AM24" s="43" t="e">
        <f>U$3+L24/ATM_Conf!$C$5</f>
        <v>#DIV/0!</v>
      </c>
      <c r="AN24" s="43" t="e">
        <f>V$3+M24/ATM_Conf!$C$5</f>
        <v>#DIV/0!</v>
      </c>
      <c r="AO24" s="43" t="e">
        <f>W$3+N24/ATM_Conf!$C$5</f>
        <v>#DIV/0!</v>
      </c>
      <c r="AP24" s="43" t="e">
        <f>X$3+O24/ATM_Conf!$C$5</f>
        <v>#DIV/0!</v>
      </c>
      <c r="AQ24" s="43" t="e">
        <f>Y$3+P24/ATM_Conf!$C$5</f>
        <v>#DIV/0!</v>
      </c>
      <c r="AR24" s="43" t="e">
        <f>Z$3+Q24/ATM_Conf!$C$5</f>
        <v>#DIV/0!</v>
      </c>
      <c r="AS24" s="43" t="e">
        <f>AA$3+R24/ATM_Conf!$C$5</f>
        <v>#DIV/0!</v>
      </c>
      <c r="AT24" s="43" t="e">
        <f>AB$3+S24/ATM_Conf!$C$5</f>
        <v>#DIV/0!</v>
      </c>
      <c r="AU24" s="43" t="e">
        <f>BD$3*MIN(1,(ATM_Conf!$C$6-Links!X24)/(ATM_Conf!$C$6-ATM_Conf!$C$7))</f>
        <v>#DIV/0!</v>
      </c>
      <c r="AV24" s="43" t="e">
        <f>BE$3*MIN(1,(ATM_Conf!$C$6-Links!Z24)/(ATM_Conf!$C$6-ATM_Conf!$C$7))</f>
        <v>#DIV/0!</v>
      </c>
      <c r="AW24" s="43" t="e">
        <f>BF$3*MIN(1,(ATM_Conf!$C$6-Links!AA24)/(ATM_Conf!$C$6-ATM_Conf!$C$7))</f>
        <v>#DIV/0!</v>
      </c>
      <c r="AX24" s="43" t="e">
        <f>BG$3*MIN(1,(ATM_Conf!$C$6-Links!AD24)/(ATM_Conf!$C$6-ATM_Conf!$C$7))</f>
        <v>#DIV/0!</v>
      </c>
      <c r="AY24" s="43" t="e">
        <f>BH$3*MIN(1,(ATM_Conf!$C$6-Links!AE24)/(ATM_Conf!$C$6-ATM_Conf!$C$7))</f>
        <v>#DIV/0!</v>
      </c>
      <c r="AZ24" s="43" t="e">
        <f>BI$3*MIN(1,(ATM_Conf!$C$6-Links!AG24)/(ATM_Conf!$C$6-ATM_Conf!$C$7))</f>
        <v>#DIV/0!</v>
      </c>
      <c r="BA24" s="43" t="e">
        <f>BJ$3*MIN(1,(ATM_Conf!$C$6-Links!AH24)/(ATM_Conf!$C$6-ATM_Conf!$C$7))</f>
        <v>#DIV/0!</v>
      </c>
      <c r="BB24" s="43" t="e">
        <f>BK$3*MIN(1,(ATM_Conf!$C$6-Links!AK24)/(ATM_Conf!$C$6-ATM_Conf!$C$7))</f>
        <v>#DIV/0!</v>
      </c>
      <c r="BC24" s="43" t="e">
        <f>BL$3*MIN(1,(ATM_Conf!$C$6-Links!AM24)/(ATM_Conf!$C$6-ATM_Conf!$C$7))</f>
        <v>#DIV/0!</v>
      </c>
      <c r="BD24" s="43">
        <f t="shared" si="25"/>
        <v>0</v>
      </c>
      <c r="BE24" s="43">
        <f t="shared" si="25"/>
        <v>0</v>
      </c>
      <c r="BF24" s="43">
        <f t="shared" si="25"/>
        <v>0</v>
      </c>
      <c r="BG24" s="43">
        <f t="shared" si="25"/>
        <v>0</v>
      </c>
      <c r="BH24" s="43">
        <f t="shared" si="25"/>
        <v>0</v>
      </c>
      <c r="BI24" s="43">
        <f t="shared" si="25"/>
        <v>0</v>
      </c>
      <c r="BJ24" s="43">
        <f t="shared" si="25"/>
        <v>0</v>
      </c>
      <c r="BK24" s="43">
        <f t="shared" si="25"/>
        <v>0</v>
      </c>
      <c r="BL24" s="43">
        <f t="shared" si="25"/>
        <v>0</v>
      </c>
      <c r="BM24" s="51"/>
      <c r="BN24" s="51"/>
      <c r="BO24" s="51"/>
      <c r="BP24" s="51"/>
      <c r="BQ24" s="51"/>
      <c r="BR24" s="51"/>
      <c r="BS24" s="51"/>
      <c r="BT24" s="51"/>
      <c r="BU24" s="51"/>
      <c r="BV24" s="51" t="e">
        <f t="shared" si="13"/>
        <v>#DIV/0!</v>
      </c>
      <c r="BW24" s="51" t="e">
        <f t="shared" si="14"/>
        <v>#DIV/0!</v>
      </c>
      <c r="BX24" s="51" t="e">
        <f t="shared" si="15"/>
        <v>#DIV/0!</v>
      </c>
      <c r="BY24" s="51" t="e">
        <f t="shared" si="16"/>
        <v>#DIV/0!</v>
      </c>
      <c r="BZ24" s="51" t="e">
        <f t="shared" si="17"/>
        <v>#DIV/0!</v>
      </c>
      <c r="CA24" s="51" t="e">
        <f t="shared" si="18"/>
        <v>#DIV/0!</v>
      </c>
      <c r="CB24" s="51" t="e">
        <f t="shared" si="19"/>
        <v>#DIV/0!</v>
      </c>
      <c r="CC24" s="51" t="e">
        <f t="shared" si="20"/>
        <v>#DIV/0!</v>
      </c>
      <c r="CD24" s="51" t="e">
        <f t="shared" si="21"/>
        <v>#DIV/0!</v>
      </c>
      <c r="CE24" s="53">
        <f t="shared" si="26"/>
        <v>0</v>
      </c>
      <c r="CF24" s="53">
        <f t="shared" si="26"/>
        <v>0</v>
      </c>
      <c r="CG24" s="53">
        <f t="shared" si="26"/>
        <v>0</v>
      </c>
      <c r="CH24" s="53">
        <f t="shared" si="26"/>
        <v>0</v>
      </c>
      <c r="CI24" s="53">
        <f t="shared" si="26"/>
        <v>0</v>
      </c>
      <c r="CJ24" s="53">
        <f t="shared" si="26"/>
        <v>0</v>
      </c>
      <c r="CK24" s="53">
        <f t="shared" si="26"/>
        <v>0</v>
      </c>
      <c r="CL24" s="53">
        <f t="shared" si="26"/>
        <v>0</v>
      </c>
      <c r="CM24" s="53">
        <f t="shared" si="26"/>
        <v>0</v>
      </c>
    </row>
    <row r="25" spans="1:91" x14ac:dyDescent="0.15">
      <c r="A25" s="41">
        <v>23</v>
      </c>
      <c r="B25" s="43">
        <f t="shared" si="29"/>
        <v>1</v>
      </c>
      <c r="C25" s="43">
        <f t="shared" si="28"/>
        <v>1</v>
      </c>
      <c r="D25" s="43">
        <f t="shared" si="28"/>
        <v>1</v>
      </c>
      <c r="E25" s="43">
        <f t="shared" si="28"/>
        <v>1</v>
      </c>
      <c r="F25" s="43">
        <f t="shared" si="28"/>
        <v>1</v>
      </c>
      <c r="G25" s="43">
        <f t="shared" si="28"/>
        <v>1</v>
      </c>
      <c r="H25" s="43">
        <f t="shared" si="28"/>
        <v>1</v>
      </c>
      <c r="I25" s="43">
        <f t="shared" si="28"/>
        <v>1</v>
      </c>
      <c r="J25" s="43">
        <f t="shared" si="28"/>
        <v>1</v>
      </c>
      <c r="K25" s="43" t="e">
        <f>K24+ATM_Conf!$C$5*(T24-AC24)</f>
        <v>#DIV/0!</v>
      </c>
      <c r="L25" s="43" t="e">
        <f>L24+ATM_Conf!$C$5*(U24-AD24)</f>
        <v>#DIV/0!</v>
      </c>
      <c r="M25" s="43" t="e">
        <f>M24+ATM_Conf!$C$5*(V24-AE24)</f>
        <v>#DIV/0!</v>
      </c>
      <c r="N25" s="43" t="e">
        <f>N24+ATM_Conf!$C$5*(W24-AF24)</f>
        <v>#DIV/0!</v>
      </c>
      <c r="O25" s="43" t="e">
        <f>O24+ATM_Conf!$C$5*(X24-AG24)</f>
        <v>#DIV/0!</v>
      </c>
      <c r="P25" s="43" t="e">
        <f>P24+ATM_Conf!$C$5*(Y24-AH24)</f>
        <v>#DIV/0!</v>
      </c>
      <c r="Q25" s="43" t="e">
        <f>Q24+ATM_Conf!$C$5*(Z24-AI24)</f>
        <v>#DIV/0!</v>
      </c>
      <c r="R25" s="43" t="e">
        <f>R24+ATM_Conf!$C$5*(AA24-AJ24)</f>
        <v>#DIV/0!</v>
      </c>
      <c r="S25" s="43" t="e">
        <f>S24+ATM_Conf!$C$5*(AB24-AK24)</f>
        <v>#DIV/0!</v>
      </c>
      <c r="T25" s="43">
        <f t="shared" si="24"/>
        <v>0</v>
      </c>
      <c r="U25" s="43">
        <f t="shared" si="24"/>
        <v>0</v>
      </c>
      <c r="V25" s="43">
        <f t="shared" si="24"/>
        <v>0</v>
      </c>
      <c r="W25" s="43">
        <f t="shared" si="24"/>
        <v>0</v>
      </c>
      <c r="X25" s="43">
        <f t="shared" si="24"/>
        <v>0</v>
      </c>
      <c r="Y25" s="43">
        <f t="shared" si="24"/>
        <v>0</v>
      </c>
      <c r="Z25" s="43">
        <f t="shared" si="24"/>
        <v>0</v>
      </c>
      <c r="AA25" s="43">
        <f t="shared" si="24"/>
        <v>0</v>
      </c>
      <c r="AB25" s="43">
        <f t="shared" si="24"/>
        <v>0</v>
      </c>
      <c r="AC25" s="43" t="e">
        <f t="shared" si="3"/>
        <v>#DIV/0!</v>
      </c>
      <c r="AD25" s="43" t="e">
        <f t="shared" si="4"/>
        <v>#DIV/0!</v>
      </c>
      <c r="AE25" s="43" t="e">
        <f t="shared" si="5"/>
        <v>#DIV/0!</v>
      </c>
      <c r="AF25" s="43" t="e">
        <f t="shared" si="6"/>
        <v>#DIV/0!</v>
      </c>
      <c r="AG25" s="43" t="e">
        <f t="shared" si="7"/>
        <v>#DIV/0!</v>
      </c>
      <c r="AH25" s="43" t="e">
        <f t="shared" si="8"/>
        <v>#DIV/0!</v>
      </c>
      <c r="AI25" s="43" t="e">
        <f t="shared" si="9"/>
        <v>#DIV/0!</v>
      </c>
      <c r="AJ25" s="43" t="e">
        <f t="shared" si="10"/>
        <v>#DIV/0!</v>
      </c>
      <c r="AK25" s="43" t="e">
        <f t="shared" si="11"/>
        <v>#DIV/0!</v>
      </c>
      <c r="AL25" s="43" t="e">
        <f>T$3+K25/ATM_Conf!$C$5</f>
        <v>#DIV/0!</v>
      </c>
      <c r="AM25" s="43" t="e">
        <f>U$3+L25/ATM_Conf!$C$5</f>
        <v>#DIV/0!</v>
      </c>
      <c r="AN25" s="43" t="e">
        <f>V$3+M25/ATM_Conf!$C$5</f>
        <v>#DIV/0!</v>
      </c>
      <c r="AO25" s="43" t="e">
        <f>W$3+N25/ATM_Conf!$C$5</f>
        <v>#DIV/0!</v>
      </c>
      <c r="AP25" s="43" t="e">
        <f>X$3+O25/ATM_Conf!$C$5</f>
        <v>#DIV/0!</v>
      </c>
      <c r="AQ25" s="43" t="e">
        <f>Y$3+P25/ATM_Conf!$C$5</f>
        <v>#DIV/0!</v>
      </c>
      <c r="AR25" s="43" t="e">
        <f>Z$3+Q25/ATM_Conf!$C$5</f>
        <v>#DIV/0!</v>
      </c>
      <c r="AS25" s="43" t="e">
        <f>AA$3+R25/ATM_Conf!$C$5</f>
        <v>#DIV/0!</v>
      </c>
      <c r="AT25" s="43" t="e">
        <f>AB$3+S25/ATM_Conf!$C$5</f>
        <v>#DIV/0!</v>
      </c>
      <c r="AU25" s="43" t="e">
        <f>BD$3*MIN(1,(ATM_Conf!$C$6-Links!X25)/(ATM_Conf!$C$6-ATM_Conf!$C$7))</f>
        <v>#DIV/0!</v>
      </c>
      <c r="AV25" s="43" t="e">
        <f>BE$3*MIN(1,(ATM_Conf!$C$6-Links!Z25)/(ATM_Conf!$C$6-ATM_Conf!$C$7))</f>
        <v>#DIV/0!</v>
      </c>
      <c r="AW25" s="43" t="e">
        <f>BF$3*MIN(1,(ATM_Conf!$C$6-Links!AA25)/(ATM_Conf!$C$6-ATM_Conf!$C$7))</f>
        <v>#DIV/0!</v>
      </c>
      <c r="AX25" s="43" t="e">
        <f>BG$3*MIN(1,(ATM_Conf!$C$6-Links!AD25)/(ATM_Conf!$C$6-ATM_Conf!$C$7))</f>
        <v>#DIV/0!</v>
      </c>
      <c r="AY25" s="43" t="e">
        <f>BH$3*MIN(1,(ATM_Conf!$C$6-Links!AE25)/(ATM_Conf!$C$6-ATM_Conf!$C$7))</f>
        <v>#DIV/0!</v>
      </c>
      <c r="AZ25" s="43" t="e">
        <f>BI$3*MIN(1,(ATM_Conf!$C$6-Links!AG25)/(ATM_Conf!$C$6-ATM_Conf!$C$7))</f>
        <v>#DIV/0!</v>
      </c>
      <c r="BA25" s="43" t="e">
        <f>BJ$3*MIN(1,(ATM_Conf!$C$6-Links!AH25)/(ATM_Conf!$C$6-ATM_Conf!$C$7))</f>
        <v>#DIV/0!</v>
      </c>
      <c r="BB25" s="43" t="e">
        <f>BK$3*MIN(1,(ATM_Conf!$C$6-Links!AK25)/(ATM_Conf!$C$6-ATM_Conf!$C$7))</f>
        <v>#DIV/0!</v>
      </c>
      <c r="BC25" s="43" t="e">
        <f>BL$3*MIN(1,(ATM_Conf!$C$6-Links!AM25)/(ATM_Conf!$C$6-ATM_Conf!$C$7))</f>
        <v>#DIV/0!</v>
      </c>
      <c r="BD25" s="43">
        <f t="shared" si="25"/>
        <v>0</v>
      </c>
      <c r="BE25" s="43">
        <f t="shared" si="25"/>
        <v>0</v>
      </c>
      <c r="BF25" s="43">
        <f t="shared" si="25"/>
        <v>0</v>
      </c>
      <c r="BG25" s="43">
        <f t="shared" si="25"/>
        <v>0</v>
      </c>
      <c r="BH25" s="43">
        <f t="shared" si="25"/>
        <v>0</v>
      </c>
      <c r="BI25" s="43">
        <f t="shared" si="25"/>
        <v>0</v>
      </c>
      <c r="BJ25" s="43">
        <f t="shared" si="25"/>
        <v>0</v>
      </c>
      <c r="BK25" s="43">
        <f t="shared" si="25"/>
        <v>0</v>
      </c>
      <c r="BL25" s="43">
        <f t="shared" si="25"/>
        <v>0</v>
      </c>
      <c r="BM25" s="51"/>
      <c r="BN25" s="51"/>
      <c r="BO25" s="51"/>
      <c r="BP25" s="51"/>
      <c r="BQ25" s="51"/>
      <c r="BR25" s="51"/>
      <c r="BS25" s="51"/>
      <c r="BT25" s="51"/>
      <c r="BU25" s="51"/>
      <c r="BV25" s="51" t="e">
        <f t="shared" si="13"/>
        <v>#DIV/0!</v>
      </c>
      <c r="BW25" s="51" t="e">
        <f t="shared" si="14"/>
        <v>#DIV/0!</v>
      </c>
      <c r="BX25" s="51" t="e">
        <f t="shared" si="15"/>
        <v>#DIV/0!</v>
      </c>
      <c r="BY25" s="51" t="e">
        <f t="shared" si="16"/>
        <v>#DIV/0!</v>
      </c>
      <c r="BZ25" s="51" t="e">
        <f t="shared" si="17"/>
        <v>#DIV/0!</v>
      </c>
      <c r="CA25" s="51" t="e">
        <f t="shared" si="18"/>
        <v>#DIV/0!</v>
      </c>
      <c r="CB25" s="51" t="e">
        <f t="shared" si="19"/>
        <v>#DIV/0!</v>
      </c>
      <c r="CC25" s="51" t="e">
        <f t="shared" si="20"/>
        <v>#DIV/0!</v>
      </c>
      <c r="CD25" s="51" t="e">
        <f t="shared" si="21"/>
        <v>#DIV/0!</v>
      </c>
      <c r="CE25" s="53">
        <f t="shared" si="26"/>
        <v>0</v>
      </c>
      <c r="CF25" s="53">
        <f t="shared" si="26"/>
        <v>0</v>
      </c>
      <c r="CG25" s="53">
        <f t="shared" si="26"/>
        <v>0</v>
      </c>
      <c r="CH25" s="53">
        <f t="shared" si="26"/>
        <v>0</v>
      </c>
      <c r="CI25" s="53">
        <f t="shared" si="26"/>
        <v>0</v>
      </c>
      <c r="CJ25" s="53">
        <f t="shared" si="26"/>
        <v>0</v>
      </c>
      <c r="CK25" s="53">
        <f t="shared" si="26"/>
        <v>0</v>
      </c>
      <c r="CL25" s="53">
        <f t="shared" si="26"/>
        <v>0</v>
      </c>
      <c r="CM25" s="53">
        <f t="shared" si="26"/>
        <v>0</v>
      </c>
    </row>
    <row r="26" spans="1:91" x14ac:dyDescent="0.15">
      <c r="A26" s="41">
        <v>24</v>
      </c>
      <c r="B26" s="43">
        <f t="shared" si="29"/>
        <v>1</v>
      </c>
      <c r="C26" s="43">
        <f t="shared" si="28"/>
        <v>1</v>
      </c>
      <c r="D26" s="43">
        <f t="shared" si="28"/>
        <v>1</v>
      </c>
      <c r="E26" s="43">
        <f t="shared" si="28"/>
        <v>1</v>
      </c>
      <c r="F26" s="43">
        <f t="shared" si="28"/>
        <v>1</v>
      </c>
      <c r="G26" s="43">
        <f t="shared" si="28"/>
        <v>1</v>
      </c>
      <c r="H26" s="43">
        <f t="shared" si="28"/>
        <v>1</v>
      </c>
      <c r="I26" s="43">
        <f t="shared" si="28"/>
        <v>1</v>
      </c>
      <c r="J26" s="43">
        <f t="shared" si="28"/>
        <v>1</v>
      </c>
      <c r="K26" s="43" t="e">
        <f>K25+ATM_Conf!$C$5*(T25-AC25)</f>
        <v>#DIV/0!</v>
      </c>
      <c r="L26" s="43" t="e">
        <f>L25+ATM_Conf!$C$5*(U25-AD25)</f>
        <v>#DIV/0!</v>
      </c>
      <c r="M26" s="43" t="e">
        <f>M25+ATM_Conf!$C$5*(V25-AE25)</f>
        <v>#DIV/0!</v>
      </c>
      <c r="N26" s="43" t="e">
        <f>N25+ATM_Conf!$C$5*(W25-AF25)</f>
        <v>#DIV/0!</v>
      </c>
      <c r="O26" s="43" t="e">
        <f>O25+ATM_Conf!$C$5*(X25-AG25)</f>
        <v>#DIV/0!</v>
      </c>
      <c r="P26" s="43" t="e">
        <f>P25+ATM_Conf!$C$5*(Y25-AH25)</f>
        <v>#DIV/0!</v>
      </c>
      <c r="Q26" s="43" t="e">
        <f>Q25+ATM_Conf!$C$5*(Z25-AI25)</f>
        <v>#DIV/0!</v>
      </c>
      <c r="R26" s="43" t="e">
        <f>R25+ATM_Conf!$C$5*(AA25-AJ25)</f>
        <v>#DIV/0!</v>
      </c>
      <c r="S26" s="43" t="e">
        <f>S25+ATM_Conf!$C$5*(AB25-AK25)</f>
        <v>#DIV/0!</v>
      </c>
      <c r="T26" s="43">
        <f t="shared" si="24"/>
        <v>0</v>
      </c>
      <c r="U26" s="43">
        <f t="shared" si="24"/>
        <v>0</v>
      </c>
      <c r="V26" s="43">
        <f t="shared" si="24"/>
        <v>0</v>
      </c>
      <c r="W26" s="43">
        <f t="shared" si="24"/>
        <v>0</v>
      </c>
      <c r="X26" s="43">
        <f t="shared" si="24"/>
        <v>0</v>
      </c>
      <c r="Y26" s="43">
        <f t="shared" si="24"/>
        <v>0</v>
      </c>
      <c r="Z26" s="43">
        <f t="shared" si="24"/>
        <v>0</v>
      </c>
      <c r="AA26" s="43">
        <f t="shared" si="24"/>
        <v>0</v>
      </c>
      <c r="AB26" s="43">
        <f t="shared" si="24"/>
        <v>0</v>
      </c>
      <c r="AC26" s="43" t="e">
        <f t="shared" si="3"/>
        <v>#DIV/0!</v>
      </c>
      <c r="AD26" s="43" t="e">
        <f t="shared" si="4"/>
        <v>#DIV/0!</v>
      </c>
      <c r="AE26" s="43" t="e">
        <f t="shared" si="5"/>
        <v>#DIV/0!</v>
      </c>
      <c r="AF26" s="43" t="e">
        <f t="shared" si="6"/>
        <v>#DIV/0!</v>
      </c>
      <c r="AG26" s="43" t="e">
        <f t="shared" si="7"/>
        <v>#DIV/0!</v>
      </c>
      <c r="AH26" s="43" t="e">
        <f t="shared" si="8"/>
        <v>#DIV/0!</v>
      </c>
      <c r="AI26" s="43" t="e">
        <f t="shared" si="9"/>
        <v>#DIV/0!</v>
      </c>
      <c r="AJ26" s="43" t="e">
        <f t="shared" si="10"/>
        <v>#DIV/0!</v>
      </c>
      <c r="AK26" s="43" t="e">
        <f t="shared" si="11"/>
        <v>#DIV/0!</v>
      </c>
      <c r="AL26" s="43" t="e">
        <f>T$3+K26/ATM_Conf!$C$5</f>
        <v>#DIV/0!</v>
      </c>
      <c r="AM26" s="43" t="e">
        <f>U$3+L26/ATM_Conf!$C$5</f>
        <v>#DIV/0!</v>
      </c>
      <c r="AN26" s="43" t="e">
        <f>V$3+M26/ATM_Conf!$C$5</f>
        <v>#DIV/0!</v>
      </c>
      <c r="AO26" s="43" t="e">
        <f>W$3+N26/ATM_Conf!$C$5</f>
        <v>#DIV/0!</v>
      </c>
      <c r="AP26" s="43" t="e">
        <f>X$3+O26/ATM_Conf!$C$5</f>
        <v>#DIV/0!</v>
      </c>
      <c r="AQ26" s="43" t="e">
        <f>Y$3+P26/ATM_Conf!$C$5</f>
        <v>#DIV/0!</v>
      </c>
      <c r="AR26" s="43" t="e">
        <f>Z$3+Q26/ATM_Conf!$C$5</f>
        <v>#DIV/0!</v>
      </c>
      <c r="AS26" s="43" t="e">
        <f>AA$3+R26/ATM_Conf!$C$5</f>
        <v>#DIV/0!</v>
      </c>
      <c r="AT26" s="43" t="e">
        <f>AB$3+S26/ATM_Conf!$C$5</f>
        <v>#DIV/0!</v>
      </c>
      <c r="AU26" s="43" t="e">
        <f>BD$3*MIN(1,(ATM_Conf!$C$6-Links!X26)/(ATM_Conf!$C$6-ATM_Conf!$C$7))</f>
        <v>#DIV/0!</v>
      </c>
      <c r="AV26" s="43" t="e">
        <f>BE$3*MIN(1,(ATM_Conf!$C$6-Links!Z26)/(ATM_Conf!$C$6-ATM_Conf!$C$7))</f>
        <v>#DIV/0!</v>
      </c>
      <c r="AW26" s="43" t="e">
        <f>BF$3*MIN(1,(ATM_Conf!$C$6-Links!AA26)/(ATM_Conf!$C$6-ATM_Conf!$C$7))</f>
        <v>#DIV/0!</v>
      </c>
      <c r="AX26" s="43" t="e">
        <f>BG$3*MIN(1,(ATM_Conf!$C$6-Links!AD26)/(ATM_Conf!$C$6-ATM_Conf!$C$7))</f>
        <v>#DIV/0!</v>
      </c>
      <c r="AY26" s="43" t="e">
        <f>BH$3*MIN(1,(ATM_Conf!$C$6-Links!AE26)/(ATM_Conf!$C$6-ATM_Conf!$C$7))</f>
        <v>#DIV/0!</v>
      </c>
      <c r="AZ26" s="43" t="e">
        <f>BI$3*MIN(1,(ATM_Conf!$C$6-Links!AG26)/(ATM_Conf!$C$6-ATM_Conf!$C$7))</f>
        <v>#DIV/0!</v>
      </c>
      <c r="BA26" s="43" t="e">
        <f>BJ$3*MIN(1,(ATM_Conf!$C$6-Links!AH26)/(ATM_Conf!$C$6-ATM_Conf!$C$7))</f>
        <v>#DIV/0!</v>
      </c>
      <c r="BB26" s="43" t="e">
        <f>BK$3*MIN(1,(ATM_Conf!$C$6-Links!AK26)/(ATM_Conf!$C$6-ATM_Conf!$C$7))</f>
        <v>#DIV/0!</v>
      </c>
      <c r="BC26" s="43" t="e">
        <f>BL$3*MIN(1,(ATM_Conf!$C$6-Links!AM26)/(ATM_Conf!$C$6-ATM_Conf!$C$7))</f>
        <v>#DIV/0!</v>
      </c>
      <c r="BD26" s="43">
        <f t="shared" si="25"/>
        <v>0</v>
      </c>
      <c r="BE26" s="43">
        <f t="shared" si="25"/>
        <v>0</v>
      </c>
      <c r="BF26" s="43">
        <f t="shared" si="25"/>
        <v>0</v>
      </c>
      <c r="BG26" s="43">
        <f t="shared" si="25"/>
        <v>0</v>
      </c>
      <c r="BH26" s="43">
        <f t="shared" si="25"/>
        <v>0</v>
      </c>
      <c r="BI26" s="43">
        <f t="shared" si="25"/>
        <v>0</v>
      </c>
      <c r="BJ26" s="43">
        <f t="shared" si="25"/>
        <v>0</v>
      </c>
      <c r="BK26" s="43">
        <f t="shared" si="25"/>
        <v>0</v>
      </c>
      <c r="BL26" s="43">
        <f t="shared" si="25"/>
        <v>0</v>
      </c>
      <c r="BM26" s="51"/>
      <c r="BN26" s="51"/>
      <c r="BO26" s="51"/>
      <c r="BP26" s="51"/>
      <c r="BQ26" s="51"/>
      <c r="BR26" s="51"/>
      <c r="BS26" s="51"/>
      <c r="BT26" s="51"/>
      <c r="BU26" s="51"/>
      <c r="BV26" s="51" t="e">
        <f t="shared" si="13"/>
        <v>#DIV/0!</v>
      </c>
      <c r="BW26" s="51" t="e">
        <f t="shared" si="14"/>
        <v>#DIV/0!</v>
      </c>
      <c r="BX26" s="51" t="e">
        <f t="shared" si="15"/>
        <v>#DIV/0!</v>
      </c>
      <c r="BY26" s="51" t="e">
        <f t="shared" si="16"/>
        <v>#DIV/0!</v>
      </c>
      <c r="BZ26" s="51" t="e">
        <f t="shared" si="17"/>
        <v>#DIV/0!</v>
      </c>
      <c r="CA26" s="51" t="e">
        <f t="shared" si="18"/>
        <v>#DIV/0!</v>
      </c>
      <c r="CB26" s="51" t="e">
        <f t="shared" si="19"/>
        <v>#DIV/0!</v>
      </c>
      <c r="CC26" s="51" t="e">
        <f t="shared" si="20"/>
        <v>#DIV/0!</v>
      </c>
      <c r="CD26" s="51" t="e">
        <f t="shared" si="21"/>
        <v>#DIV/0!</v>
      </c>
      <c r="CE26" s="53">
        <f t="shared" si="26"/>
        <v>0</v>
      </c>
      <c r="CF26" s="53">
        <f t="shared" si="26"/>
        <v>0</v>
      </c>
      <c r="CG26" s="53">
        <f t="shared" si="26"/>
        <v>0</v>
      </c>
      <c r="CH26" s="53">
        <f t="shared" si="26"/>
        <v>0</v>
      </c>
      <c r="CI26" s="53">
        <f t="shared" si="26"/>
        <v>0</v>
      </c>
      <c r="CJ26" s="53">
        <f t="shared" si="26"/>
        <v>0</v>
      </c>
      <c r="CK26" s="53">
        <f t="shared" si="26"/>
        <v>0</v>
      </c>
      <c r="CL26" s="53">
        <f t="shared" si="26"/>
        <v>0</v>
      </c>
      <c r="CM26" s="53">
        <f t="shared" si="26"/>
        <v>0</v>
      </c>
    </row>
    <row r="27" spans="1:91" x14ac:dyDescent="0.15">
      <c r="A27" s="41">
        <v>25</v>
      </c>
      <c r="B27" s="45">
        <v>1</v>
      </c>
      <c r="C27" s="45">
        <v>1</v>
      </c>
      <c r="D27" s="45">
        <v>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3" t="e">
        <f>K26+ATM_Conf!$C$5*(T26-AC26)</f>
        <v>#DIV/0!</v>
      </c>
      <c r="L27" s="43" t="e">
        <f>L26+ATM_Conf!$C$5*(U26-AD26)</f>
        <v>#DIV/0!</v>
      </c>
      <c r="M27" s="43" t="e">
        <f>M26+ATM_Conf!$C$5*(V26-AE26)</f>
        <v>#DIV/0!</v>
      </c>
      <c r="N27" s="43" t="e">
        <f>N26+ATM_Conf!$C$5*(W26-AF26)</f>
        <v>#DIV/0!</v>
      </c>
      <c r="O27" s="43" t="e">
        <f>O26+ATM_Conf!$C$5*(X26-AG26)</f>
        <v>#DIV/0!</v>
      </c>
      <c r="P27" s="43" t="e">
        <f>P26+ATM_Conf!$C$5*(Y26-AH26)</f>
        <v>#DIV/0!</v>
      </c>
      <c r="Q27" s="43" t="e">
        <f>Q26+ATM_Conf!$C$5*(Z26-AI26)</f>
        <v>#DIV/0!</v>
      </c>
      <c r="R27" s="43" t="e">
        <f>R26+ATM_Conf!$C$5*(AA26-AJ26)</f>
        <v>#DIV/0!</v>
      </c>
      <c r="S27" s="43" t="e">
        <f>S26+ATM_Conf!$C$5*(AB26-AK26)</f>
        <v>#DIV/0!</v>
      </c>
      <c r="T27" s="43">
        <f t="shared" si="24"/>
        <v>0</v>
      </c>
      <c r="U27" s="43">
        <f t="shared" si="24"/>
        <v>0</v>
      </c>
      <c r="V27" s="43">
        <f t="shared" si="24"/>
        <v>0</v>
      </c>
      <c r="W27" s="43">
        <f t="shared" si="24"/>
        <v>0</v>
      </c>
      <c r="X27" s="43">
        <f t="shared" si="24"/>
        <v>0</v>
      </c>
      <c r="Y27" s="43">
        <f t="shared" si="24"/>
        <v>0</v>
      </c>
      <c r="Z27" s="43">
        <f t="shared" si="24"/>
        <v>0</v>
      </c>
      <c r="AA27" s="43">
        <f t="shared" si="24"/>
        <v>0</v>
      </c>
      <c r="AB27" s="43">
        <f t="shared" si="24"/>
        <v>0</v>
      </c>
      <c r="AC27" s="43" t="e">
        <f t="shared" si="3"/>
        <v>#DIV/0!</v>
      </c>
      <c r="AD27" s="43" t="e">
        <f t="shared" si="4"/>
        <v>#DIV/0!</v>
      </c>
      <c r="AE27" s="43" t="e">
        <f t="shared" si="5"/>
        <v>#DIV/0!</v>
      </c>
      <c r="AF27" s="43" t="e">
        <f t="shared" si="6"/>
        <v>#DIV/0!</v>
      </c>
      <c r="AG27" s="43" t="e">
        <f t="shared" si="7"/>
        <v>#DIV/0!</v>
      </c>
      <c r="AH27" s="43" t="e">
        <f t="shared" si="8"/>
        <v>#DIV/0!</v>
      </c>
      <c r="AI27" s="43" t="e">
        <f t="shared" si="9"/>
        <v>#DIV/0!</v>
      </c>
      <c r="AJ27" s="43" t="e">
        <f t="shared" si="10"/>
        <v>#DIV/0!</v>
      </c>
      <c r="AK27" s="43" t="e">
        <f t="shared" si="11"/>
        <v>#DIV/0!</v>
      </c>
      <c r="AL27" s="43" t="e">
        <f>T$3+K27/ATM_Conf!$C$5</f>
        <v>#DIV/0!</v>
      </c>
      <c r="AM27" s="43" t="e">
        <f>U$3+L27/ATM_Conf!$C$5</f>
        <v>#DIV/0!</v>
      </c>
      <c r="AN27" s="43" t="e">
        <f>V$3+M27/ATM_Conf!$C$5</f>
        <v>#DIV/0!</v>
      </c>
      <c r="AO27" s="43" t="e">
        <f>W$3+N27/ATM_Conf!$C$5</f>
        <v>#DIV/0!</v>
      </c>
      <c r="AP27" s="43" t="e">
        <f>X$3+O27/ATM_Conf!$C$5</f>
        <v>#DIV/0!</v>
      </c>
      <c r="AQ27" s="43" t="e">
        <f>Y$3+P27/ATM_Conf!$C$5</f>
        <v>#DIV/0!</v>
      </c>
      <c r="AR27" s="43" t="e">
        <f>Z$3+Q27/ATM_Conf!$C$5</f>
        <v>#DIV/0!</v>
      </c>
      <c r="AS27" s="43" t="e">
        <f>AA$3+R27/ATM_Conf!$C$5</f>
        <v>#DIV/0!</v>
      </c>
      <c r="AT27" s="43" t="e">
        <f>AB$3+S27/ATM_Conf!$C$5</f>
        <v>#DIV/0!</v>
      </c>
      <c r="AU27" s="43" t="e">
        <f>BD$3*MIN(1,(ATM_Conf!$C$6-Links!X27)/(ATM_Conf!$C$6-ATM_Conf!$C$7))</f>
        <v>#DIV/0!</v>
      </c>
      <c r="AV27" s="43" t="e">
        <f>BE$3*MIN(1,(ATM_Conf!$C$6-Links!Z27)/(ATM_Conf!$C$6-ATM_Conf!$C$7))</f>
        <v>#DIV/0!</v>
      </c>
      <c r="AW27" s="43" t="e">
        <f>BF$3*MIN(1,(ATM_Conf!$C$6-Links!AA27)/(ATM_Conf!$C$6-ATM_Conf!$C$7))</f>
        <v>#DIV/0!</v>
      </c>
      <c r="AX27" s="43" t="e">
        <f>BG$3*MIN(1,(ATM_Conf!$C$6-Links!AD27)/(ATM_Conf!$C$6-ATM_Conf!$C$7))</f>
        <v>#DIV/0!</v>
      </c>
      <c r="AY27" s="43" t="e">
        <f>BH$3*MIN(1,(ATM_Conf!$C$6-Links!AE27)/(ATM_Conf!$C$6-ATM_Conf!$C$7))</f>
        <v>#DIV/0!</v>
      </c>
      <c r="AZ27" s="43" t="e">
        <f>BI$3*MIN(1,(ATM_Conf!$C$6-Links!AG27)/(ATM_Conf!$C$6-ATM_Conf!$C$7))</f>
        <v>#DIV/0!</v>
      </c>
      <c r="BA27" s="43" t="e">
        <f>BJ$3*MIN(1,(ATM_Conf!$C$6-Links!AH27)/(ATM_Conf!$C$6-ATM_Conf!$C$7))</f>
        <v>#DIV/0!</v>
      </c>
      <c r="BB27" s="43" t="e">
        <f>BK$3*MIN(1,(ATM_Conf!$C$6-Links!AK27)/(ATM_Conf!$C$6-ATM_Conf!$C$7))</f>
        <v>#DIV/0!</v>
      </c>
      <c r="BC27" s="43" t="e">
        <f>BL$3*MIN(1,(ATM_Conf!$C$6-Links!AM27)/(ATM_Conf!$C$6-ATM_Conf!$C$7))</f>
        <v>#DIV/0!</v>
      </c>
      <c r="BD27" s="43">
        <f t="shared" si="25"/>
        <v>0</v>
      </c>
      <c r="BE27" s="43">
        <f t="shared" si="25"/>
        <v>0</v>
      </c>
      <c r="BF27" s="43">
        <f t="shared" si="25"/>
        <v>0</v>
      </c>
      <c r="BG27" s="43">
        <f t="shared" si="25"/>
        <v>0</v>
      </c>
      <c r="BH27" s="43">
        <f t="shared" si="25"/>
        <v>0</v>
      </c>
      <c r="BI27" s="43">
        <f t="shared" si="25"/>
        <v>0</v>
      </c>
      <c r="BJ27" s="43">
        <f t="shared" si="25"/>
        <v>0</v>
      </c>
      <c r="BK27" s="43">
        <f t="shared" si="25"/>
        <v>0</v>
      </c>
      <c r="BL27" s="43">
        <f t="shared" si="25"/>
        <v>0</v>
      </c>
      <c r="BM27" s="51">
        <f>(B27-B15)^2</f>
        <v>0</v>
      </c>
      <c r="BN27" s="51">
        <f t="shared" ref="BN27:BU27" si="30">(C27-C15)^2</f>
        <v>0</v>
      </c>
      <c r="BO27" s="51">
        <f t="shared" si="30"/>
        <v>0</v>
      </c>
      <c r="BP27" s="51">
        <f t="shared" si="30"/>
        <v>0</v>
      </c>
      <c r="BQ27" s="51">
        <f t="shared" si="30"/>
        <v>0</v>
      </c>
      <c r="BR27" s="51">
        <f t="shared" si="30"/>
        <v>0</v>
      </c>
      <c r="BS27" s="51">
        <f t="shared" si="30"/>
        <v>0</v>
      </c>
      <c r="BT27" s="51">
        <f t="shared" si="30"/>
        <v>0</v>
      </c>
      <c r="BU27" s="51">
        <f t="shared" si="30"/>
        <v>0</v>
      </c>
      <c r="BV27" s="51" t="e">
        <f t="shared" si="13"/>
        <v>#DIV/0!</v>
      </c>
      <c r="BW27" s="51" t="e">
        <f t="shared" si="14"/>
        <v>#DIV/0!</v>
      </c>
      <c r="BX27" s="51" t="e">
        <f t="shared" si="15"/>
        <v>#DIV/0!</v>
      </c>
      <c r="BY27" s="51" t="e">
        <f t="shared" si="16"/>
        <v>#DIV/0!</v>
      </c>
      <c r="BZ27" s="51" t="e">
        <f t="shared" si="17"/>
        <v>#DIV/0!</v>
      </c>
      <c r="CA27" s="51" t="e">
        <f t="shared" si="18"/>
        <v>#DIV/0!</v>
      </c>
      <c r="CB27" s="51" t="e">
        <f t="shared" si="19"/>
        <v>#DIV/0!</v>
      </c>
      <c r="CC27" s="51" t="e">
        <f t="shared" si="20"/>
        <v>#DIV/0!</v>
      </c>
      <c r="CD27" s="51" t="e">
        <f t="shared" si="21"/>
        <v>#DIV/0!</v>
      </c>
      <c r="CE27" s="53">
        <f t="shared" si="26"/>
        <v>0</v>
      </c>
      <c r="CF27" s="53">
        <f t="shared" si="26"/>
        <v>0</v>
      </c>
      <c r="CG27" s="53">
        <f t="shared" si="26"/>
        <v>0</v>
      </c>
      <c r="CH27" s="53">
        <f t="shared" si="26"/>
        <v>0</v>
      </c>
      <c r="CI27" s="53">
        <f t="shared" si="26"/>
        <v>0</v>
      </c>
      <c r="CJ27" s="53">
        <f t="shared" si="26"/>
        <v>0</v>
      </c>
      <c r="CK27" s="53">
        <f t="shared" si="26"/>
        <v>0</v>
      </c>
      <c r="CL27" s="53">
        <f t="shared" si="26"/>
        <v>0</v>
      </c>
      <c r="CM27" s="53">
        <f t="shared" si="26"/>
        <v>0</v>
      </c>
    </row>
    <row r="28" spans="1:91" x14ac:dyDescent="0.15">
      <c r="A28" s="41">
        <v>26</v>
      </c>
      <c r="B28" s="43">
        <f>B$27</f>
        <v>1</v>
      </c>
      <c r="C28" s="43">
        <f t="shared" ref="C28:J28" si="31">C$27</f>
        <v>1</v>
      </c>
      <c r="D28" s="43">
        <f t="shared" si="31"/>
        <v>1</v>
      </c>
      <c r="E28" s="43">
        <f t="shared" si="31"/>
        <v>1</v>
      </c>
      <c r="F28" s="43">
        <f t="shared" si="31"/>
        <v>1</v>
      </c>
      <c r="G28" s="43">
        <f t="shared" si="31"/>
        <v>1</v>
      </c>
      <c r="H28" s="43">
        <f t="shared" si="31"/>
        <v>1</v>
      </c>
      <c r="I28" s="43">
        <f t="shared" si="31"/>
        <v>1</v>
      </c>
      <c r="J28" s="43">
        <f t="shared" si="31"/>
        <v>1</v>
      </c>
      <c r="K28" s="43" t="e">
        <f>K27+ATM_Conf!$C$5*(T27-AC27)</f>
        <v>#DIV/0!</v>
      </c>
      <c r="L28" s="43" t="e">
        <f>L27+ATM_Conf!$C$5*(U27-AD27)</f>
        <v>#DIV/0!</v>
      </c>
      <c r="M28" s="43" t="e">
        <f>M27+ATM_Conf!$C$5*(V27-AE27)</f>
        <v>#DIV/0!</v>
      </c>
      <c r="N28" s="43" t="e">
        <f>N27+ATM_Conf!$C$5*(W27-AF27)</f>
        <v>#DIV/0!</v>
      </c>
      <c r="O28" s="43" t="e">
        <f>O27+ATM_Conf!$C$5*(X27-AG27)</f>
        <v>#DIV/0!</v>
      </c>
      <c r="P28" s="43" t="e">
        <f>P27+ATM_Conf!$C$5*(Y27-AH27)</f>
        <v>#DIV/0!</v>
      </c>
      <c r="Q28" s="43" t="e">
        <f>Q27+ATM_Conf!$C$5*(Z27-AI27)</f>
        <v>#DIV/0!</v>
      </c>
      <c r="R28" s="43" t="e">
        <f>R27+ATM_Conf!$C$5*(AA27-AJ27)</f>
        <v>#DIV/0!</v>
      </c>
      <c r="S28" s="43" t="e">
        <f>S27+ATM_Conf!$C$5*(AB27-AK27)</f>
        <v>#DIV/0!</v>
      </c>
      <c r="T28" s="43">
        <f t="shared" si="24"/>
        <v>0</v>
      </c>
      <c r="U28" s="43">
        <f t="shared" si="24"/>
        <v>0</v>
      </c>
      <c r="V28" s="43">
        <f t="shared" si="24"/>
        <v>0</v>
      </c>
      <c r="W28" s="43">
        <f t="shared" si="24"/>
        <v>0</v>
      </c>
      <c r="X28" s="43">
        <f t="shared" si="24"/>
        <v>0</v>
      </c>
      <c r="Y28" s="43">
        <f t="shared" si="24"/>
        <v>0</v>
      </c>
      <c r="Z28" s="43">
        <f t="shared" si="24"/>
        <v>0</v>
      </c>
      <c r="AA28" s="43">
        <f t="shared" si="24"/>
        <v>0</v>
      </c>
      <c r="AB28" s="43">
        <f t="shared" si="24"/>
        <v>0</v>
      </c>
      <c r="AC28" s="43" t="e">
        <f t="shared" si="3"/>
        <v>#DIV/0!</v>
      </c>
      <c r="AD28" s="43" t="e">
        <f t="shared" si="4"/>
        <v>#DIV/0!</v>
      </c>
      <c r="AE28" s="43" t="e">
        <f t="shared" si="5"/>
        <v>#DIV/0!</v>
      </c>
      <c r="AF28" s="43" t="e">
        <f t="shared" si="6"/>
        <v>#DIV/0!</v>
      </c>
      <c r="AG28" s="43" t="e">
        <f t="shared" si="7"/>
        <v>#DIV/0!</v>
      </c>
      <c r="AH28" s="43" t="e">
        <f t="shared" si="8"/>
        <v>#DIV/0!</v>
      </c>
      <c r="AI28" s="43" t="e">
        <f t="shared" si="9"/>
        <v>#DIV/0!</v>
      </c>
      <c r="AJ28" s="43" t="e">
        <f t="shared" si="10"/>
        <v>#DIV/0!</v>
      </c>
      <c r="AK28" s="43" t="e">
        <f t="shared" si="11"/>
        <v>#DIV/0!</v>
      </c>
      <c r="AL28" s="43" t="e">
        <f>T$3+K28/ATM_Conf!$C$5</f>
        <v>#DIV/0!</v>
      </c>
      <c r="AM28" s="43" t="e">
        <f>U$3+L28/ATM_Conf!$C$5</f>
        <v>#DIV/0!</v>
      </c>
      <c r="AN28" s="43" t="e">
        <f>V$3+M28/ATM_Conf!$C$5</f>
        <v>#DIV/0!</v>
      </c>
      <c r="AO28" s="43" t="e">
        <f>W$3+N28/ATM_Conf!$C$5</f>
        <v>#DIV/0!</v>
      </c>
      <c r="AP28" s="43" t="e">
        <f>X$3+O28/ATM_Conf!$C$5</f>
        <v>#DIV/0!</v>
      </c>
      <c r="AQ28" s="43" t="e">
        <f>Y$3+P28/ATM_Conf!$C$5</f>
        <v>#DIV/0!</v>
      </c>
      <c r="AR28" s="43" t="e">
        <f>Z$3+Q28/ATM_Conf!$C$5</f>
        <v>#DIV/0!</v>
      </c>
      <c r="AS28" s="43" t="e">
        <f>AA$3+R28/ATM_Conf!$C$5</f>
        <v>#DIV/0!</v>
      </c>
      <c r="AT28" s="43" t="e">
        <f>AB$3+S28/ATM_Conf!$C$5</f>
        <v>#DIV/0!</v>
      </c>
      <c r="AU28" s="43" t="e">
        <f>BD$3*MIN(1,(ATM_Conf!$C$6-Links!X28)/(ATM_Conf!$C$6-ATM_Conf!$C$7))</f>
        <v>#DIV/0!</v>
      </c>
      <c r="AV28" s="43" t="e">
        <f>BE$3*MIN(1,(ATM_Conf!$C$6-Links!Z28)/(ATM_Conf!$C$6-ATM_Conf!$C$7))</f>
        <v>#DIV/0!</v>
      </c>
      <c r="AW28" s="43" t="e">
        <f>BF$3*MIN(1,(ATM_Conf!$C$6-Links!AA28)/(ATM_Conf!$C$6-ATM_Conf!$C$7))</f>
        <v>#DIV/0!</v>
      </c>
      <c r="AX28" s="43" t="e">
        <f>BG$3*MIN(1,(ATM_Conf!$C$6-Links!AD28)/(ATM_Conf!$C$6-ATM_Conf!$C$7))</f>
        <v>#DIV/0!</v>
      </c>
      <c r="AY28" s="43" t="e">
        <f>BH$3*MIN(1,(ATM_Conf!$C$6-Links!AE28)/(ATM_Conf!$C$6-ATM_Conf!$C$7))</f>
        <v>#DIV/0!</v>
      </c>
      <c r="AZ28" s="43" t="e">
        <f>BI$3*MIN(1,(ATM_Conf!$C$6-Links!AG28)/(ATM_Conf!$C$6-ATM_Conf!$C$7))</f>
        <v>#DIV/0!</v>
      </c>
      <c r="BA28" s="43" t="e">
        <f>BJ$3*MIN(1,(ATM_Conf!$C$6-Links!AH28)/(ATM_Conf!$C$6-ATM_Conf!$C$7))</f>
        <v>#DIV/0!</v>
      </c>
      <c r="BB28" s="43" t="e">
        <f>BK$3*MIN(1,(ATM_Conf!$C$6-Links!AK28)/(ATM_Conf!$C$6-ATM_Conf!$C$7))</f>
        <v>#DIV/0!</v>
      </c>
      <c r="BC28" s="43" t="e">
        <f>BL$3*MIN(1,(ATM_Conf!$C$6-Links!AM28)/(ATM_Conf!$C$6-ATM_Conf!$C$7))</f>
        <v>#DIV/0!</v>
      </c>
      <c r="BD28" s="43">
        <f t="shared" si="25"/>
        <v>0</v>
      </c>
      <c r="BE28" s="43">
        <f t="shared" si="25"/>
        <v>0</v>
      </c>
      <c r="BF28" s="43">
        <f t="shared" si="25"/>
        <v>0</v>
      </c>
      <c r="BG28" s="43">
        <f t="shared" si="25"/>
        <v>0</v>
      </c>
      <c r="BH28" s="43">
        <f t="shared" si="25"/>
        <v>0</v>
      </c>
      <c r="BI28" s="43">
        <f t="shared" si="25"/>
        <v>0</v>
      </c>
      <c r="BJ28" s="43">
        <f t="shared" si="25"/>
        <v>0</v>
      </c>
      <c r="BK28" s="43">
        <f t="shared" si="25"/>
        <v>0</v>
      </c>
      <c r="BL28" s="43">
        <f t="shared" si="25"/>
        <v>0</v>
      </c>
      <c r="BM28" s="51"/>
      <c r="BN28" s="51"/>
      <c r="BO28" s="51"/>
      <c r="BP28" s="51"/>
      <c r="BQ28" s="51"/>
      <c r="BR28" s="51"/>
      <c r="BS28" s="51"/>
      <c r="BT28" s="51"/>
      <c r="BU28" s="51"/>
      <c r="BV28" s="51" t="e">
        <f t="shared" si="13"/>
        <v>#DIV/0!</v>
      </c>
      <c r="BW28" s="51" t="e">
        <f t="shared" si="14"/>
        <v>#DIV/0!</v>
      </c>
      <c r="BX28" s="51" t="e">
        <f t="shared" si="15"/>
        <v>#DIV/0!</v>
      </c>
      <c r="BY28" s="51" t="e">
        <f t="shared" si="16"/>
        <v>#DIV/0!</v>
      </c>
      <c r="BZ28" s="51" t="e">
        <f t="shared" si="17"/>
        <v>#DIV/0!</v>
      </c>
      <c r="CA28" s="51" t="e">
        <f t="shared" si="18"/>
        <v>#DIV/0!</v>
      </c>
      <c r="CB28" s="51" t="e">
        <f t="shared" si="19"/>
        <v>#DIV/0!</v>
      </c>
      <c r="CC28" s="51" t="e">
        <f t="shared" si="20"/>
        <v>#DIV/0!</v>
      </c>
      <c r="CD28" s="51" t="e">
        <f t="shared" si="21"/>
        <v>#DIV/0!</v>
      </c>
      <c r="CE28" s="53">
        <f t="shared" si="26"/>
        <v>0</v>
      </c>
      <c r="CF28" s="53">
        <f t="shared" si="26"/>
        <v>0</v>
      </c>
      <c r="CG28" s="53">
        <f t="shared" si="26"/>
        <v>0</v>
      </c>
      <c r="CH28" s="53">
        <f t="shared" si="26"/>
        <v>0</v>
      </c>
      <c r="CI28" s="53">
        <f t="shared" si="26"/>
        <v>0</v>
      </c>
      <c r="CJ28" s="53">
        <f t="shared" si="26"/>
        <v>0</v>
      </c>
      <c r="CK28" s="53">
        <f t="shared" si="26"/>
        <v>0</v>
      </c>
      <c r="CL28" s="53">
        <f t="shared" si="26"/>
        <v>0</v>
      </c>
      <c r="CM28" s="53">
        <f t="shared" si="26"/>
        <v>0</v>
      </c>
    </row>
    <row r="29" spans="1:91" x14ac:dyDescent="0.15">
      <c r="A29" s="41">
        <v>27</v>
      </c>
      <c r="B29" s="43">
        <f t="shared" ref="B29:J38" si="32">B$27</f>
        <v>1</v>
      </c>
      <c r="C29" s="43">
        <f t="shared" si="32"/>
        <v>1</v>
      </c>
      <c r="D29" s="43">
        <f t="shared" si="32"/>
        <v>1</v>
      </c>
      <c r="E29" s="43">
        <f t="shared" si="32"/>
        <v>1</v>
      </c>
      <c r="F29" s="43">
        <f t="shared" si="32"/>
        <v>1</v>
      </c>
      <c r="G29" s="43">
        <f t="shared" si="32"/>
        <v>1</v>
      </c>
      <c r="H29" s="43">
        <f t="shared" si="32"/>
        <v>1</v>
      </c>
      <c r="I29" s="43">
        <f t="shared" si="32"/>
        <v>1</v>
      </c>
      <c r="J29" s="43">
        <f t="shared" si="32"/>
        <v>1</v>
      </c>
      <c r="K29" s="43" t="e">
        <f>K28+ATM_Conf!$C$5*(T28-AC28)</f>
        <v>#DIV/0!</v>
      </c>
      <c r="L29" s="43" t="e">
        <f>L28+ATM_Conf!$C$5*(U28-AD28)</f>
        <v>#DIV/0!</v>
      </c>
      <c r="M29" s="43" t="e">
        <f>M28+ATM_Conf!$C$5*(V28-AE28)</f>
        <v>#DIV/0!</v>
      </c>
      <c r="N29" s="43" t="e">
        <f>N28+ATM_Conf!$C$5*(W28-AF28)</f>
        <v>#DIV/0!</v>
      </c>
      <c r="O29" s="43" t="e">
        <f>O28+ATM_Conf!$C$5*(X28-AG28)</f>
        <v>#DIV/0!</v>
      </c>
      <c r="P29" s="43" t="e">
        <f>P28+ATM_Conf!$C$5*(Y28-AH28)</f>
        <v>#DIV/0!</v>
      </c>
      <c r="Q29" s="43" t="e">
        <f>Q28+ATM_Conf!$C$5*(Z28-AI28)</f>
        <v>#DIV/0!</v>
      </c>
      <c r="R29" s="43" t="e">
        <f>R28+ATM_Conf!$C$5*(AA28-AJ28)</f>
        <v>#DIV/0!</v>
      </c>
      <c r="S29" s="43" t="e">
        <f>S28+ATM_Conf!$C$5*(AB28-AK28)</f>
        <v>#DIV/0!</v>
      </c>
      <c r="T29" s="43">
        <f t="shared" si="24"/>
        <v>0</v>
      </c>
      <c r="U29" s="43">
        <f t="shared" si="24"/>
        <v>0</v>
      </c>
      <c r="V29" s="43">
        <f t="shared" si="24"/>
        <v>0</v>
      </c>
      <c r="W29" s="43">
        <f t="shared" si="24"/>
        <v>0</v>
      </c>
      <c r="X29" s="43">
        <f t="shared" si="24"/>
        <v>0</v>
      </c>
      <c r="Y29" s="43">
        <f t="shared" si="24"/>
        <v>0</v>
      </c>
      <c r="Z29" s="43">
        <f t="shared" si="24"/>
        <v>0</v>
      </c>
      <c r="AA29" s="43">
        <f t="shared" si="24"/>
        <v>0</v>
      </c>
      <c r="AB29" s="43">
        <f t="shared" si="24"/>
        <v>0</v>
      </c>
      <c r="AC29" s="43" t="e">
        <f t="shared" si="3"/>
        <v>#DIV/0!</v>
      </c>
      <c r="AD29" s="43" t="e">
        <f t="shared" si="4"/>
        <v>#DIV/0!</v>
      </c>
      <c r="AE29" s="43" t="e">
        <f t="shared" si="5"/>
        <v>#DIV/0!</v>
      </c>
      <c r="AF29" s="43" t="e">
        <f t="shared" si="6"/>
        <v>#DIV/0!</v>
      </c>
      <c r="AG29" s="43" t="e">
        <f t="shared" si="7"/>
        <v>#DIV/0!</v>
      </c>
      <c r="AH29" s="43" t="e">
        <f t="shared" si="8"/>
        <v>#DIV/0!</v>
      </c>
      <c r="AI29" s="43" t="e">
        <f t="shared" si="9"/>
        <v>#DIV/0!</v>
      </c>
      <c r="AJ29" s="43" t="e">
        <f t="shared" si="10"/>
        <v>#DIV/0!</v>
      </c>
      <c r="AK29" s="43" t="e">
        <f t="shared" si="11"/>
        <v>#DIV/0!</v>
      </c>
      <c r="AL29" s="43" t="e">
        <f>T$3+K29/ATM_Conf!$C$5</f>
        <v>#DIV/0!</v>
      </c>
      <c r="AM29" s="43" t="e">
        <f>U$3+L29/ATM_Conf!$C$5</f>
        <v>#DIV/0!</v>
      </c>
      <c r="AN29" s="43" t="e">
        <f>V$3+M29/ATM_Conf!$C$5</f>
        <v>#DIV/0!</v>
      </c>
      <c r="AO29" s="43" t="e">
        <f>W$3+N29/ATM_Conf!$C$5</f>
        <v>#DIV/0!</v>
      </c>
      <c r="AP29" s="43" t="e">
        <f>X$3+O29/ATM_Conf!$C$5</f>
        <v>#DIV/0!</v>
      </c>
      <c r="AQ29" s="43" t="e">
        <f>Y$3+P29/ATM_Conf!$C$5</f>
        <v>#DIV/0!</v>
      </c>
      <c r="AR29" s="43" t="e">
        <f>Z$3+Q29/ATM_Conf!$C$5</f>
        <v>#DIV/0!</v>
      </c>
      <c r="AS29" s="43" t="e">
        <f>AA$3+R29/ATM_Conf!$C$5</f>
        <v>#DIV/0!</v>
      </c>
      <c r="AT29" s="43" t="e">
        <f>AB$3+S29/ATM_Conf!$C$5</f>
        <v>#DIV/0!</v>
      </c>
      <c r="AU29" s="43" t="e">
        <f>BD$3*MIN(1,(ATM_Conf!$C$6-Links!X29)/(ATM_Conf!$C$6-ATM_Conf!$C$7))</f>
        <v>#DIV/0!</v>
      </c>
      <c r="AV29" s="43" t="e">
        <f>BE$3*MIN(1,(ATM_Conf!$C$6-Links!Z29)/(ATM_Conf!$C$6-ATM_Conf!$C$7))</f>
        <v>#DIV/0!</v>
      </c>
      <c r="AW29" s="43" t="e">
        <f>BF$3*MIN(1,(ATM_Conf!$C$6-Links!AA29)/(ATM_Conf!$C$6-ATM_Conf!$C$7))</f>
        <v>#DIV/0!</v>
      </c>
      <c r="AX29" s="43" t="e">
        <f>BG$3*MIN(1,(ATM_Conf!$C$6-Links!AD29)/(ATM_Conf!$C$6-ATM_Conf!$C$7))</f>
        <v>#DIV/0!</v>
      </c>
      <c r="AY29" s="43" t="e">
        <f>BH$3*MIN(1,(ATM_Conf!$C$6-Links!AE29)/(ATM_Conf!$C$6-ATM_Conf!$C$7))</f>
        <v>#DIV/0!</v>
      </c>
      <c r="AZ29" s="43" t="e">
        <f>BI$3*MIN(1,(ATM_Conf!$C$6-Links!AG29)/(ATM_Conf!$C$6-ATM_Conf!$C$7))</f>
        <v>#DIV/0!</v>
      </c>
      <c r="BA29" s="43" t="e">
        <f>BJ$3*MIN(1,(ATM_Conf!$C$6-Links!AH29)/(ATM_Conf!$C$6-ATM_Conf!$C$7))</f>
        <v>#DIV/0!</v>
      </c>
      <c r="BB29" s="43" t="e">
        <f>BK$3*MIN(1,(ATM_Conf!$C$6-Links!AK29)/(ATM_Conf!$C$6-ATM_Conf!$C$7))</f>
        <v>#DIV/0!</v>
      </c>
      <c r="BC29" s="43" t="e">
        <f>BL$3*MIN(1,(ATM_Conf!$C$6-Links!AM29)/(ATM_Conf!$C$6-ATM_Conf!$C$7))</f>
        <v>#DIV/0!</v>
      </c>
      <c r="BD29" s="43">
        <f t="shared" si="25"/>
        <v>0</v>
      </c>
      <c r="BE29" s="43">
        <f t="shared" si="25"/>
        <v>0</v>
      </c>
      <c r="BF29" s="43">
        <f t="shared" si="25"/>
        <v>0</v>
      </c>
      <c r="BG29" s="43">
        <f t="shared" si="25"/>
        <v>0</v>
      </c>
      <c r="BH29" s="43">
        <f t="shared" si="25"/>
        <v>0</v>
      </c>
      <c r="BI29" s="43">
        <f t="shared" si="25"/>
        <v>0</v>
      </c>
      <c r="BJ29" s="43">
        <f t="shared" si="25"/>
        <v>0</v>
      </c>
      <c r="BK29" s="43">
        <f t="shared" si="25"/>
        <v>0</v>
      </c>
      <c r="BL29" s="43">
        <f t="shared" si="25"/>
        <v>0</v>
      </c>
      <c r="BM29" s="51"/>
      <c r="BN29" s="51"/>
      <c r="BO29" s="51"/>
      <c r="BP29" s="51"/>
      <c r="BQ29" s="51"/>
      <c r="BR29" s="51"/>
      <c r="BS29" s="51"/>
      <c r="BT29" s="51"/>
      <c r="BU29" s="51"/>
      <c r="BV29" s="51" t="e">
        <f t="shared" si="13"/>
        <v>#DIV/0!</v>
      </c>
      <c r="BW29" s="51" t="e">
        <f t="shared" si="14"/>
        <v>#DIV/0!</v>
      </c>
      <c r="BX29" s="51" t="e">
        <f t="shared" si="15"/>
        <v>#DIV/0!</v>
      </c>
      <c r="BY29" s="51" t="e">
        <f t="shared" si="16"/>
        <v>#DIV/0!</v>
      </c>
      <c r="BZ29" s="51" t="e">
        <f t="shared" si="17"/>
        <v>#DIV/0!</v>
      </c>
      <c r="CA29" s="51" t="e">
        <f t="shared" si="18"/>
        <v>#DIV/0!</v>
      </c>
      <c r="CB29" s="51" t="e">
        <f t="shared" si="19"/>
        <v>#DIV/0!</v>
      </c>
      <c r="CC29" s="51" t="e">
        <f t="shared" si="20"/>
        <v>#DIV/0!</v>
      </c>
      <c r="CD29" s="51" t="e">
        <f t="shared" si="21"/>
        <v>#DIV/0!</v>
      </c>
      <c r="CE29" s="53">
        <f t="shared" si="26"/>
        <v>0</v>
      </c>
      <c r="CF29" s="53">
        <f t="shared" si="26"/>
        <v>0</v>
      </c>
      <c r="CG29" s="53">
        <f t="shared" si="26"/>
        <v>0</v>
      </c>
      <c r="CH29" s="53">
        <f t="shared" si="26"/>
        <v>0</v>
      </c>
      <c r="CI29" s="53">
        <f t="shared" si="26"/>
        <v>0</v>
      </c>
      <c r="CJ29" s="53">
        <f t="shared" si="26"/>
        <v>0</v>
      </c>
      <c r="CK29" s="53">
        <f t="shared" si="26"/>
        <v>0</v>
      </c>
      <c r="CL29" s="53">
        <f t="shared" si="26"/>
        <v>0</v>
      </c>
      <c r="CM29" s="53">
        <f t="shared" si="26"/>
        <v>0</v>
      </c>
    </row>
    <row r="30" spans="1:91" x14ac:dyDescent="0.15">
      <c r="A30" s="41">
        <v>28</v>
      </c>
      <c r="B30" s="43">
        <f t="shared" si="32"/>
        <v>1</v>
      </c>
      <c r="C30" s="43">
        <f t="shared" si="32"/>
        <v>1</v>
      </c>
      <c r="D30" s="43">
        <f t="shared" si="32"/>
        <v>1</v>
      </c>
      <c r="E30" s="43">
        <f t="shared" si="32"/>
        <v>1</v>
      </c>
      <c r="F30" s="43">
        <f t="shared" si="32"/>
        <v>1</v>
      </c>
      <c r="G30" s="43">
        <f t="shared" si="32"/>
        <v>1</v>
      </c>
      <c r="H30" s="43">
        <f t="shared" si="32"/>
        <v>1</v>
      </c>
      <c r="I30" s="43">
        <f t="shared" si="32"/>
        <v>1</v>
      </c>
      <c r="J30" s="43">
        <f t="shared" si="32"/>
        <v>1</v>
      </c>
      <c r="K30" s="43" t="e">
        <f>K29+ATM_Conf!$C$5*(T29-AC29)</f>
        <v>#DIV/0!</v>
      </c>
      <c r="L30" s="43" t="e">
        <f>L29+ATM_Conf!$C$5*(U29-AD29)</f>
        <v>#DIV/0!</v>
      </c>
      <c r="M30" s="43" t="e">
        <f>M29+ATM_Conf!$C$5*(V29-AE29)</f>
        <v>#DIV/0!</v>
      </c>
      <c r="N30" s="43" t="e">
        <f>N29+ATM_Conf!$C$5*(W29-AF29)</f>
        <v>#DIV/0!</v>
      </c>
      <c r="O30" s="43" t="e">
        <f>O29+ATM_Conf!$C$5*(X29-AG29)</f>
        <v>#DIV/0!</v>
      </c>
      <c r="P30" s="43" t="e">
        <f>P29+ATM_Conf!$C$5*(Y29-AH29)</f>
        <v>#DIV/0!</v>
      </c>
      <c r="Q30" s="43" t="e">
        <f>Q29+ATM_Conf!$C$5*(Z29-AI29)</f>
        <v>#DIV/0!</v>
      </c>
      <c r="R30" s="43" t="e">
        <f>R29+ATM_Conf!$C$5*(AA29-AJ29)</f>
        <v>#DIV/0!</v>
      </c>
      <c r="S30" s="43" t="e">
        <f>S29+ATM_Conf!$C$5*(AB29-AK29)</f>
        <v>#DIV/0!</v>
      </c>
      <c r="T30" s="43">
        <f t="shared" si="24"/>
        <v>0</v>
      </c>
      <c r="U30" s="43">
        <f t="shared" si="24"/>
        <v>0</v>
      </c>
      <c r="V30" s="43">
        <f t="shared" si="24"/>
        <v>0</v>
      </c>
      <c r="W30" s="43">
        <f t="shared" si="24"/>
        <v>0</v>
      </c>
      <c r="X30" s="43">
        <f t="shared" si="24"/>
        <v>0</v>
      </c>
      <c r="Y30" s="43">
        <f t="shared" si="24"/>
        <v>0</v>
      </c>
      <c r="Z30" s="43">
        <f t="shared" si="24"/>
        <v>0</v>
      </c>
      <c r="AA30" s="43">
        <f t="shared" si="24"/>
        <v>0</v>
      </c>
      <c r="AB30" s="43">
        <f t="shared" si="24"/>
        <v>0</v>
      </c>
      <c r="AC30" s="43" t="e">
        <f t="shared" si="3"/>
        <v>#DIV/0!</v>
      </c>
      <c r="AD30" s="43" t="e">
        <f t="shared" si="4"/>
        <v>#DIV/0!</v>
      </c>
      <c r="AE30" s="43" t="e">
        <f t="shared" si="5"/>
        <v>#DIV/0!</v>
      </c>
      <c r="AF30" s="43" t="e">
        <f t="shared" si="6"/>
        <v>#DIV/0!</v>
      </c>
      <c r="AG30" s="43" t="e">
        <f t="shared" si="7"/>
        <v>#DIV/0!</v>
      </c>
      <c r="AH30" s="43" t="e">
        <f t="shared" si="8"/>
        <v>#DIV/0!</v>
      </c>
      <c r="AI30" s="43" t="e">
        <f t="shared" si="9"/>
        <v>#DIV/0!</v>
      </c>
      <c r="AJ30" s="43" t="e">
        <f t="shared" si="10"/>
        <v>#DIV/0!</v>
      </c>
      <c r="AK30" s="43" t="e">
        <f t="shared" si="11"/>
        <v>#DIV/0!</v>
      </c>
      <c r="AL30" s="43" t="e">
        <f>T$3+K30/ATM_Conf!$C$5</f>
        <v>#DIV/0!</v>
      </c>
      <c r="AM30" s="43" t="e">
        <f>U$3+L30/ATM_Conf!$C$5</f>
        <v>#DIV/0!</v>
      </c>
      <c r="AN30" s="43" t="e">
        <f>V$3+M30/ATM_Conf!$C$5</f>
        <v>#DIV/0!</v>
      </c>
      <c r="AO30" s="43" t="e">
        <f>W$3+N30/ATM_Conf!$C$5</f>
        <v>#DIV/0!</v>
      </c>
      <c r="AP30" s="43" t="e">
        <f>X$3+O30/ATM_Conf!$C$5</f>
        <v>#DIV/0!</v>
      </c>
      <c r="AQ30" s="43" t="e">
        <f>Y$3+P30/ATM_Conf!$C$5</f>
        <v>#DIV/0!</v>
      </c>
      <c r="AR30" s="43" t="e">
        <f>Z$3+Q30/ATM_Conf!$C$5</f>
        <v>#DIV/0!</v>
      </c>
      <c r="AS30" s="43" t="e">
        <f>AA$3+R30/ATM_Conf!$C$5</f>
        <v>#DIV/0!</v>
      </c>
      <c r="AT30" s="43" t="e">
        <f>AB$3+S30/ATM_Conf!$C$5</f>
        <v>#DIV/0!</v>
      </c>
      <c r="AU30" s="43" t="e">
        <f>BD$3*MIN(1,(ATM_Conf!$C$6-Links!X30)/(ATM_Conf!$C$6-ATM_Conf!$C$7))</f>
        <v>#DIV/0!</v>
      </c>
      <c r="AV30" s="43" t="e">
        <f>BE$3*MIN(1,(ATM_Conf!$C$6-Links!Z30)/(ATM_Conf!$C$6-ATM_Conf!$C$7))</f>
        <v>#DIV/0!</v>
      </c>
      <c r="AW30" s="43" t="e">
        <f>BF$3*MIN(1,(ATM_Conf!$C$6-Links!AA30)/(ATM_Conf!$C$6-ATM_Conf!$C$7))</f>
        <v>#DIV/0!</v>
      </c>
      <c r="AX30" s="43" t="e">
        <f>BG$3*MIN(1,(ATM_Conf!$C$6-Links!AD30)/(ATM_Conf!$C$6-ATM_Conf!$C$7))</f>
        <v>#DIV/0!</v>
      </c>
      <c r="AY30" s="43" t="e">
        <f>BH$3*MIN(1,(ATM_Conf!$C$6-Links!AE30)/(ATM_Conf!$C$6-ATM_Conf!$C$7))</f>
        <v>#DIV/0!</v>
      </c>
      <c r="AZ30" s="43" t="e">
        <f>BI$3*MIN(1,(ATM_Conf!$C$6-Links!AG30)/(ATM_Conf!$C$6-ATM_Conf!$C$7))</f>
        <v>#DIV/0!</v>
      </c>
      <c r="BA30" s="43" t="e">
        <f>BJ$3*MIN(1,(ATM_Conf!$C$6-Links!AH30)/(ATM_Conf!$C$6-ATM_Conf!$C$7))</f>
        <v>#DIV/0!</v>
      </c>
      <c r="BB30" s="43" t="e">
        <f>BK$3*MIN(1,(ATM_Conf!$C$6-Links!AK30)/(ATM_Conf!$C$6-ATM_Conf!$C$7))</f>
        <v>#DIV/0!</v>
      </c>
      <c r="BC30" s="43" t="e">
        <f>BL$3*MIN(1,(ATM_Conf!$C$6-Links!AM30)/(ATM_Conf!$C$6-ATM_Conf!$C$7))</f>
        <v>#DIV/0!</v>
      </c>
      <c r="BD30" s="43">
        <f t="shared" si="25"/>
        <v>0</v>
      </c>
      <c r="BE30" s="43">
        <f t="shared" si="25"/>
        <v>0</v>
      </c>
      <c r="BF30" s="43">
        <f t="shared" si="25"/>
        <v>0</v>
      </c>
      <c r="BG30" s="43">
        <f t="shared" si="25"/>
        <v>0</v>
      </c>
      <c r="BH30" s="43">
        <f t="shared" si="25"/>
        <v>0</v>
      </c>
      <c r="BI30" s="43">
        <f t="shared" si="25"/>
        <v>0</v>
      </c>
      <c r="BJ30" s="43">
        <f t="shared" si="25"/>
        <v>0</v>
      </c>
      <c r="BK30" s="43">
        <f t="shared" si="25"/>
        <v>0</v>
      </c>
      <c r="BL30" s="43">
        <f t="shared" si="25"/>
        <v>0</v>
      </c>
      <c r="BM30" s="51"/>
      <c r="BN30" s="51"/>
      <c r="BO30" s="51"/>
      <c r="BP30" s="51"/>
      <c r="BQ30" s="51"/>
      <c r="BR30" s="51"/>
      <c r="BS30" s="51"/>
      <c r="BT30" s="51"/>
      <c r="BU30" s="51"/>
      <c r="BV30" s="51" t="e">
        <f t="shared" si="13"/>
        <v>#DIV/0!</v>
      </c>
      <c r="BW30" s="51" t="e">
        <f t="shared" si="14"/>
        <v>#DIV/0!</v>
      </c>
      <c r="BX30" s="51" t="e">
        <f t="shared" si="15"/>
        <v>#DIV/0!</v>
      </c>
      <c r="BY30" s="51" t="e">
        <f t="shared" si="16"/>
        <v>#DIV/0!</v>
      </c>
      <c r="BZ30" s="51" t="e">
        <f t="shared" si="17"/>
        <v>#DIV/0!</v>
      </c>
      <c r="CA30" s="51" t="e">
        <f t="shared" si="18"/>
        <v>#DIV/0!</v>
      </c>
      <c r="CB30" s="51" t="e">
        <f t="shared" si="19"/>
        <v>#DIV/0!</v>
      </c>
      <c r="CC30" s="51" t="e">
        <f t="shared" si="20"/>
        <v>#DIV/0!</v>
      </c>
      <c r="CD30" s="51" t="e">
        <f t="shared" si="21"/>
        <v>#DIV/0!</v>
      </c>
      <c r="CE30" s="53">
        <f t="shared" si="26"/>
        <v>0</v>
      </c>
      <c r="CF30" s="53">
        <f t="shared" si="26"/>
        <v>0</v>
      </c>
      <c r="CG30" s="53">
        <f t="shared" si="26"/>
        <v>0</v>
      </c>
      <c r="CH30" s="53">
        <f t="shared" si="26"/>
        <v>0</v>
      </c>
      <c r="CI30" s="53">
        <f t="shared" si="26"/>
        <v>0</v>
      </c>
      <c r="CJ30" s="53">
        <f t="shared" si="26"/>
        <v>0</v>
      </c>
      <c r="CK30" s="53">
        <f t="shared" si="26"/>
        <v>0</v>
      </c>
      <c r="CL30" s="53">
        <f t="shared" si="26"/>
        <v>0</v>
      </c>
      <c r="CM30" s="53">
        <f t="shared" si="26"/>
        <v>0</v>
      </c>
    </row>
    <row r="31" spans="1:91" x14ac:dyDescent="0.15">
      <c r="A31" s="41">
        <v>29</v>
      </c>
      <c r="B31" s="43">
        <f t="shared" si="32"/>
        <v>1</v>
      </c>
      <c r="C31" s="43">
        <f t="shared" si="32"/>
        <v>1</v>
      </c>
      <c r="D31" s="43">
        <f t="shared" si="32"/>
        <v>1</v>
      </c>
      <c r="E31" s="43">
        <f t="shared" si="32"/>
        <v>1</v>
      </c>
      <c r="F31" s="43">
        <f t="shared" si="32"/>
        <v>1</v>
      </c>
      <c r="G31" s="43">
        <f t="shared" si="32"/>
        <v>1</v>
      </c>
      <c r="H31" s="43">
        <f t="shared" si="32"/>
        <v>1</v>
      </c>
      <c r="I31" s="43">
        <f t="shared" si="32"/>
        <v>1</v>
      </c>
      <c r="J31" s="43">
        <f t="shared" si="32"/>
        <v>1</v>
      </c>
      <c r="K31" s="43" t="e">
        <f>K30+ATM_Conf!$C$5*(T30-AC30)</f>
        <v>#DIV/0!</v>
      </c>
      <c r="L31" s="43" t="e">
        <f>L30+ATM_Conf!$C$5*(U30-AD30)</f>
        <v>#DIV/0!</v>
      </c>
      <c r="M31" s="43" t="e">
        <f>M30+ATM_Conf!$C$5*(V30-AE30)</f>
        <v>#DIV/0!</v>
      </c>
      <c r="N31" s="43" t="e">
        <f>N30+ATM_Conf!$C$5*(W30-AF30)</f>
        <v>#DIV/0!</v>
      </c>
      <c r="O31" s="43" t="e">
        <f>O30+ATM_Conf!$C$5*(X30-AG30)</f>
        <v>#DIV/0!</v>
      </c>
      <c r="P31" s="43" t="e">
        <f>P30+ATM_Conf!$C$5*(Y30-AH30)</f>
        <v>#DIV/0!</v>
      </c>
      <c r="Q31" s="43" t="e">
        <f>Q30+ATM_Conf!$C$5*(Z30-AI30)</f>
        <v>#DIV/0!</v>
      </c>
      <c r="R31" s="43" t="e">
        <f>R30+ATM_Conf!$C$5*(AA30-AJ30)</f>
        <v>#DIV/0!</v>
      </c>
      <c r="S31" s="43" t="e">
        <f>S30+ATM_Conf!$C$5*(AB30-AK30)</f>
        <v>#DIV/0!</v>
      </c>
      <c r="T31" s="43">
        <f t="shared" si="24"/>
        <v>0</v>
      </c>
      <c r="U31" s="43">
        <f t="shared" si="24"/>
        <v>0</v>
      </c>
      <c r="V31" s="43">
        <f t="shared" si="24"/>
        <v>0</v>
      </c>
      <c r="W31" s="43">
        <f t="shared" si="24"/>
        <v>0</v>
      </c>
      <c r="X31" s="43">
        <f t="shared" si="24"/>
        <v>0</v>
      </c>
      <c r="Y31" s="43">
        <f t="shared" si="24"/>
        <v>0</v>
      </c>
      <c r="Z31" s="43">
        <f t="shared" si="24"/>
        <v>0</v>
      </c>
      <c r="AA31" s="43">
        <f t="shared" si="24"/>
        <v>0</v>
      </c>
      <c r="AB31" s="43">
        <f t="shared" si="24"/>
        <v>0</v>
      </c>
      <c r="AC31" s="43" t="e">
        <f t="shared" si="3"/>
        <v>#DIV/0!</v>
      </c>
      <c r="AD31" s="43" t="e">
        <f t="shared" si="4"/>
        <v>#DIV/0!</v>
      </c>
      <c r="AE31" s="43" t="e">
        <f t="shared" si="5"/>
        <v>#DIV/0!</v>
      </c>
      <c r="AF31" s="43" t="e">
        <f t="shared" si="6"/>
        <v>#DIV/0!</v>
      </c>
      <c r="AG31" s="43" t="e">
        <f t="shared" si="7"/>
        <v>#DIV/0!</v>
      </c>
      <c r="AH31" s="43" t="e">
        <f t="shared" si="8"/>
        <v>#DIV/0!</v>
      </c>
      <c r="AI31" s="43" t="e">
        <f t="shared" si="9"/>
        <v>#DIV/0!</v>
      </c>
      <c r="AJ31" s="43" t="e">
        <f t="shared" si="10"/>
        <v>#DIV/0!</v>
      </c>
      <c r="AK31" s="43" t="e">
        <f t="shared" si="11"/>
        <v>#DIV/0!</v>
      </c>
      <c r="AL31" s="43" t="e">
        <f>T$3+K31/ATM_Conf!$C$5</f>
        <v>#DIV/0!</v>
      </c>
      <c r="AM31" s="43" t="e">
        <f>U$3+L31/ATM_Conf!$C$5</f>
        <v>#DIV/0!</v>
      </c>
      <c r="AN31" s="43" t="e">
        <f>V$3+M31/ATM_Conf!$C$5</f>
        <v>#DIV/0!</v>
      </c>
      <c r="AO31" s="43" t="e">
        <f>W$3+N31/ATM_Conf!$C$5</f>
        <v>#DIV/0!</v>
      </c>
      <c r="AP31" s="43" t="e">
        <f>X$3+O31/ATM_Conf!$C$5</f>
        <v>#DIV/0!</v>
      </c>
      <c r="AQ31" s="43" t="e">
        <f>Y$3+P31/ATM_Conf!$C$5</f>
        <v>#DIV/0!</v>
      </c>
      <c r="AR31" s="43" t="e">
        <f>Z$3+Q31/ATM_Conf!$C$5</f>
        <v>#DIV/0!</v>
      </c>
      <c r="AS31" s="43" t="e">
        <f>AA$3+R31/ATM_Conf!$C$5</f>
        <v>#DIV/0!</v>
      </c>
      <c r="AT31" s="43" t="e">
        <f>AB$3+S31/ATM_Conf!$C$5</f>
        <v>#DIV/0!</v>
      </c>
      <c r="AU31" s="43" t="e">
        <f>BD$3*MIN(1,(ATM_Conf!$C$6-Links!X31)/(ATM_Conf!$C$6-ATM_Conf!$C$7))</f>
        <v>#DIV/0!</v>
      </c>
      <c r="AV31" s="43" t="e">
        <f>BE$3*MIN(1,(ATM_Conf!$C$6-Links!Z31)/(ATM_Conf!$C$6-ATM_Conf!$C$7))</f>
        <v>#DIV/0!</v>
      </c>
      <c r="AW31" s="43" t="e">
        <f>BF$3*MIN(1,(ATM_Conf!$C$6-Links!AA31)/(ATM_Conf!$C$6-ATM_Conf!$C$7))</f>
        <v>#DIV/0!</v>
      </c>
      <c r="AX31" s="43" t="e">
        <f>BG$3*MIN(1,(ATM_Conf!$C$6-Links!AD31)/(ATM_Conf!$C$6-ATM_Conf!$C$7))</f>
        <v>#DIV/0!</v>
      </c>
      <c r="AY31" s="43" t="e">
        <f>BH$3*MIN(1,(ATM_Conf!$C$6-Links!AE31)/(ATM_Conf!$C$6-ATM_Conf!$C$7))</f>
        <v>#DIV/0!</v>
      </c>
      <c r="AZ31" s="43" t="e">
        <f>BI$3*MIN(1,(ATM_Conf!$C$6-Links!AG31)/(ATM_Conf!$C$6-ATM_Conf!$C$7))</f>
        <v>#DIV/0!</v>
      </c>
      <c r="BA31" s="43" t="e">
        <f>BJ$3*MIN(1,(ATM_Conf!$C$6-Links!AH31)/(ATM_Conf!$C$6-ATM_Conf!$C$7))</f>
        <v>#DIV/0!</v>
      </c>
      <c r="BB31" s="43" t="e">
        <f>BK$3*MIN(1,(ATM_Conf!$C$6-Links!AK31)/(ATM_Conf!$C$6-ATM_Conf!$C$7))</f>
        <v>#DIV/0!</v>
      </c>
      <c r="BC31" s="43" t="e">
        <f>BL$3*MIN(1,(ATM_Conf!$C$6-Links!AM31)/(ATM_Conf!$C$6-ATM_Conf!$C$7))</f>
        <v>#DIV/0!</v>
      </c>
      <c r="BD31" s="43">
        <f t="shared" si="25"/>
        <v>0</v>
      </c>
      <c r="BE31" s="43">
        <f t="shared" si="25"/>
        <v>0</v>
      </c>
      <c r="BF31" s="43">
        <f t="shared" si="25"/>
        <v>0</v>
      </c>
      <c r="BG31" s="43">
        <f t="shared" si="25"/>
        <v>0</v>
      </c>
      <c r="BH31" s="43">
        <f t="shared" si="25"/>
        <v>0</v>
      </c>
      <c r="BI31" s="43">
        <f t="shared" si="25"/>
        <v>0</v>
      </c>
      <c r="BJ31" s="43">
        <f t="shared" si="25"/>
        <v>0</v>
      </c>
      <c r="BK31" s="43">
        <f t="shared" si="25"/>
        <v>0</v>
      </c>
      <c r="BL31" s="43">
        <f t="shared" si="25"/>
        <v>0</v>
      </c>
      <c r="BM31" s="51"/>
      <c r="BN31" s="51"/>
      <c r="BO31" s="51"/>
      <c r="BP31" s="51"/>
      <c r="BQ31" s="51"/>
      <c r="BR31" s="51"/>
      <c r="BS31" s="51"/>
      <c r="BT31" s="51"/>
      <c r="BU31" s="51"/>
      <c r="BV31" s="51" t="e">
        <f t="shared" si="13"/>
        <v>#DIV/0!</v>
      </c>
      <c r="BW31" s="51" t="e">
        <f t="shared" si="14"/>
        <v>#DIV/0!</v>
      </c>
      <c r="BX31" s="51" t="e">
        <f t="shared" si="15"/>
        <v>#DIV/0!</v>
      </c>
      <c r="BY31" s="51" t="e">
        <f t="shared" si="16"/>
        <v>#DIV/0!</v>
      </c>
      <c r="BZ31" s="51" t="e">
        <f t="shared" si="17"/>
        <v>#DIV/0!</v>
      </c>
      <c r="CA31" s="51" t="e">
        <f t="shared" si="18"/>
        <v>#DIV/0!</v>
      </c>
      <c r="CB31" s="51" t="e">
        <f t="shared" si="19"/>
        <v>#DIV/0!</v>
      </c>
      <c r="CC31" s="51" t="e">
        <f t="shared" si="20"/>
        <v>#DIV/0!</v>
      </c>
      <c r="CD31" s="51" t="e">
        <f t="shared" si="21"/>
        <v>#DIV/0!</v>
      </c>
      <c r="CE31" s="53">
        <f t="shared" si="26"/>
        <v>0</v>
      </c>
      <c r="CF31" s="53">
        <f t="shared" si="26"/>
        <v>0</v>
      </c>
      <c r="CG31" s="53">
        <f t="shared" si="26"/>
        <v>0</v>
      </c>
      <c r="CH31" s="53">
        <f t="shared" si="26"/>
        <v>0</v>
      </c>
      <c r="CI31" s="53">
        <f t="shared" si="26"/>
        <v>0</v>
      </c>
      <c r="CJ31" s="53">
        <f t="shared" si="26"/>
        <v>0</v>
      </c>
      <c r="CK31" s="53">
        <f t="shared" si="26"/>
        <v>0</v>
      </c>
      <c r="CL31" s="53">
        <f t="shared" si="26"/>
        <v>0</v>
      </c>
      <c r="CM31" s="53">
        <f t="shared" si="26"/>
        <v>0</v>
      </c>
    </row>
    <row r="32" spans="1:91" x14ac:dyDescent="0.15">
      <c r="A32" s="41">
        <v>30</v>
      </c>
      <c r="B32" s="43">
        <f t="shared" si="32"/>
        <v>1</v>
      </c>
      <c r="C32" s="43">
        <f t="shared" si="32"/>
        <v>1</v>
      </c>
      <c r="D32" s="43">
        <f t="shared" si="32"/>
        <v>1</v>
      </c>
      <c r="E32" s="43">
        <f t="shared" si="32"/>
        <v>1</v>
      </c>
      <c r="F32" s="43">
        <f t="shared" si="32"/>
        <v>1</v>
      </c>
      <c r="G32" s="43">
        <f t="shared" si="32"/>
        <v>1</v>
      </c>
      <c r="H32" s="43">
        <f t="shared" si="32"/>
        <v>1</v>
      </c>
      <c r="I32" s="43">
        <f t="shared" si="32"/>
        <v>1</v>
      </c>
      <c r="J32" s="43">
        <f t="shared" si="32"/>
        <v>1</v>
      </c>
      <c r="K32" s="43" t="e">
        <f>K31+ATM_Conf!$C$5*(T31-AC31)</f>
        <v>#DIV/0!</v>
      </c>
      <c r="L32" s="43" t="e">
        <f>L31+ATM_Conf!$C$5*(U31-AD31)</f>
        <v>#DIV/0!</v>
      </c>
      <c r="M32" s="43" t="e">
        <f>M31+ATM_Conf!$C$5*(V31-AE31)</f>
        <v>#DIV/0!</v>
      </c>
      <c r="N32" s="43" t="e">
        <f>N31+ATM_Conf!$C$5*(W31-AF31)</f>
        <v>#DIV/0!</v>
      </c>
      <c r="O32" s="43" t="e">
        <f>O31+ATM_Conf!$C$5*(X31-AG31)</f>
        <v>#DIV/0!</v>
      </c>
      <c r="P32" s="43" t="e">
        <f>P31+ATM_Conf!$C$5*(Y31-AH31)</f>
        <v>#DIV/0!</v>
      </c>
      <c r="Q32" s="43" t="e">
        <f>Q31+ATM_Conf!$C$5*(Z31-AI31)</f>
        <v>#DIV/0!</v>
      </c>
      <c r="R32" s="43" t="e">
        <f>R31+ATM_Conf!$C$5*(AA31-AJ31)</f>
        <v>#DIV/0!</v>
      </c>
      <c r="S32" s="43" t="e">
        <f>S31+ATM_Conf!$C$5*(AB31-AK31)</f>
        <v>#DIV/0!</v>
      </c>
      <c r="T32" s="43">
        <f t="shared" si="24"/>
        <v>0</v>
      </c>
      <c r="U32" s="43">
        <f t="shared" si="24"/>
        <v>0</v>
      </c>
      <c r="V32" s="43">
        <f t="shared" si="24"/>
        <v>0</v>
      </c>
      <c r="W32" s="43">
        <f t="shared" si="24"/>
        <v>0</v>
      </c>
      <c r="X32" s="43">
        <f t="shared" si="24"/>
        <v>0</v>
      </c>
      <c r="Y32" s="43">
        <f t="shared" si="24"/>
        <v>0</v>
      </c>
      <c r="Z32" s="43">
        <f t="shared" si="24"/>
        <v>0</v>
      </c>
      <c r="AA32" s="43">
        <f t="shared" si="24"/>
        <v>0</v>
      </c>
      <c r="AB32" s="43">
        <f t="shared" si="24"/>
        <v>0</v>
      </c>
      <c r="AC32" s="43" t="e">
        <f t="shared" si="3"/>
        <v>#DIV/0!</v>
      </c>
      <c r="AD32" s="43" t="e">
        <f t="shared" si="4"/>
        <v>#DIV/0!</v>
      </c>
      <c r="AE32" s="43" t="e">
        <f t="shared" si="5"/>
        <v>#DIV/0!</v>
      </c>
      <c r="AF32" s="43" t="e">
        <f t="shared" si="6"/>
        <v>#DIV/0!</v>
      </c>
      <c r="AG32" s="43" t="e">
        <f t="shared" si="7"/>
        <v>#DIV/0!</v>
      </c>
      <c r="AH32" s="43" t="e">
        <f t="shared" si="8"/>
        <v>#DIV/0!</v>
      </c>
      <c r="AI32" s="43" t="e">
        <f t="shared" si="9"/>
        <v>#DIV/0!</v>
      </c>
      <c r="AJ32" s="43" t="e">
        <f t="shared" si="10"/>
        <v>#DIV/0!</v>
      </c>
      <c r="AK32" s="43" t="e">
        <f t="shared" si="11"/>
        <v>#DIV/0!</v>
      </c>
      <c r="AL32" s="43" t="e">
        <f>T$3+K32/ATM_Conf!$C$5</f>
        <v>#DIV/0!</v>
      </c>
      <c r="AM32" s="43" t="e">
        <f>U$3+L32/ATM_Conf!$C$5</f>
        <v>#DIV/0!</v>
      </c>
      <c r="AN32" s="43" t="e">
        <f>V$3+M32/ATM_Conf!$C$5</f>
        <v>#DIV/0!</v>
      </c>
      <c r="AO32" s="43" t="e">
        <f>W$3+N32/ATM_Conf!$C$5</f>
        <v>#DIV/0!</v>
      </c>
      <c r="AP32" s="43" t="e">
        <f>X$3+O32/ATM_Conf!$C$5</f>
        <v>#DIV/0!</v>
      </c>
      <c r="AQ32" s="43" t="e">
        <f>Y$3+P32/ATM_Conf!$C$5</f>
        <v>#DIV/0!</v>
      </c>
      <c r="AR32" s="43" t="e">
        <f>Z$3+Q32/ATM_Conf!$C$5</f>
        <v>#DIV/0!</v>
      </c>
      <c r="AS32" s="43" t="e">
        <f>AA$3+R32/ATM_Conf!$C$5</f>
        <v>#DIV/0!</v>
      </c>
      <c r="AT32" s="43" t="e">
        <f>AB$3+S32/ATM_Conf!$C$5</f>
        <v>#DIV/0!</v>
      </c>
      <c r="AU32" s="43" t="e">
        <f>BD$3*MIN(1,(ATM_Conf!$C$6-Links!X32)/(ATM_Conf!$C$6-ATM_Conf!$C$7))</f>
        <v>#DIV/0!</v>
      </c>
      <c r="AV32" s="43" t="e">
        <f>BE$3*MIN(1,(ATM_Conf!$C$6-Links!Z32)/(ATM_Conf!$C$6-ATM_Conf!$C$7))</f>
        <v>#DIV/0!</v>
      </c>
      <c r="AW32" s="43" t="e">
        <f>BF$3*MIN(1,(ATM_Conf!$C$6-Links!AA32)/(ATM_Conf!$C$6-ATM_Conf!$C$7))</f>
        <v>#DIV/0!</v>
      </c>
      <c r="AX32" s="43" t="e">
        <f>BG$3*MIN(1,(ATM_Conf!$C$6-Links!AD32)/(ATM_Conf!$C$6-ATM_Conf!$C$7))</f>
        <v>#DIV/0!</v>
      </c>
      <c r="AY32" s="43" t="e">
        <f>BH$3*MIN(1,(ATM_Conf!$C$6-Links!AE32)/(ATM_Conf!$C$6-ATM_Conf!$C$7))</f>
        <v>#DIV/0!</v>
      </c>
      <c r="AZ32" s="43" t="e">
        <f>BI$3*MIN(1,(ATM_Conf!$C$6-Links!AG32)/(ATM_Conf!$C$6-ATM_Conf!$C$7))</f>
        <v>#DIV/0!</v>
      </c>
      <c r="BA32" s="43" t="e">
        <f>BJ$3*MIN(1,(ATM_Conf!$C$6-Links!AH32)/(ATM_Conf!$C$6-ATM_Conf!$C$7))</f>
        <v>#DIV/0!</v>
      </c>
      <c r="BB32" s="43" t="e">
        <f>BK$3*MIN(1,(ATM_Conf!$C$6-Links!AK32)/(ATM_Conf!$C$6-ATM_Conf!$C$7))</f>
        <v>#DIV/0!</v>
      </c>
      <c r="BC32" s="43" t="e">
        <f>BL$3*MIN(1,(ATM_Conf!$C$6-Links!AM32)/(ATM_Conf!$C$6-ATM_Conf!$C$7))</f>
        <v>#DIV/0!</v>
      </c>
      <c r="BD32" s="43">
        <f t="shared" si="25"/>
        <v>0</v>
      </c>
      <c r="BE32" s="43">
        <f t="shared" si="25"/>
        <v>0</v>
      </c>
      <c r="BF32" s="43">
        <f t="shared" si="25"/>
        <v>0</v>
      </c>
      <c r="BG32" s="43">
        <f t="shared" si="25"/>
        <v>0</v>
      </c>
      <c r="BH32" s="43">
        <f t="shared" si="25"/>
        <v>0</v>
      </c>
      <c r="BI32" s="43">
        <f t="shared" si="25"/>
        <v>0</v>
      </c>
      <c r="BJ32" s="43">
        <f t="shared" si="25"/>
        <v>0</v>
      </c>
      <c r="BK32" s="43">
        <f t="shared" si="25"/>
        <v>0</v>
      </c>
      <c r="BL32" s="43">
        <f t="shared" si="25"/>
        <v>0</v>
      </c>
      <c r="BM32" s="51"/>
      <c r="BN32" s="51"/>
      <c r="BO32" s="51"/>
      <c r="BP32" s="51"/>
      <c r="BQ32" s="51"/>
      <c r="BR32" s="51"/>
      <c r="BS32" s="51"/>
      <c r="BT32" s="51"/>
      <c r="BU32" s="51"/>
      <c r="BV32" s="51" t="e">
        <f t="shared" si="13"/>
        <v>#DIV/0!</v>
      </c>
      <c r="BW32" s="51" t="e">
        <f t="shared" si="14"/>
        <v>#DIV/0!</v>
      </c>
      <c r="BX32" s="51" t="e">
        <f t="shared" si="15"/>
        <v>#DIV/0!</v>
      </c>
      <c r="BY32" s="51" t="e">
        <f t="shared" si="16"/>
        <v>#DIV/0!</v>
      </c>
      <c r="BZ32" s="51" t="e">
        <f t="shared" si="17"/>
        <v>#DIV/0!</v>
      </c>
      <c r="CA32" s="51" t="e">
        <f t="shared" si="18"/>
        <v>#DIV/0!</v>
      </c>
      <c r="CB32" s="51" t="e">
        <f t="shared" si="19"/>
        <v>#DIV/0!</v>
      </c>
      <c r="CC32" s="51" t="e">
        <f t="shared" si="20"/>
        <v>#DIV/0!</v>
      </c>
      <c r="CD32" s="51" t="e">
        <f t="shared" si="21"/>
        <v>#DIV/0!</v>
      </c>
      <c r="CE32" s="53">
        <f t="shared" si="26"/>
        <v>0</v>
      </c>
      <c r="CF32" s="53">
        <f t="shared" si="26"/>
        <v>0</v>
      </c>
      <c r="CG32" s="53">
        <f t="shared" si="26"/>
        <v>0</v>
      </c>
      <c r="CH32" s="53">
        <f t="shared" si="26"/>
        <v>0</v>
      </c>
      <c r="CI32" s="53">
        <f t="shared" si="26"/>
        <v>0</v>
      </c>
      <c r="CJ32" s="53">
        <f t="shared" si="26"/>
        <v>0</v>
      </c>
      <c r="CK32" s="53">
        <f t="shared" si="26"/>
        <v>0</v>
      </c>
      <c r="CL32" s="53">
        <f t="shared" si="26"/>
        <v>0</v>
      </c>
      <c r="CM32" s="53">
        <f t="shared" si="26"/>
        <v>0</v>
      </c>
    </row>
    <row r="33" spans="1:91" x14ac:dyDescent="0.15">
      <c r="A33" s="41">
        <v>31</v>
      </c>
      <c r="B33" s="43">
        <f t="shared" si="32"/>
        <v>1</v>
      </c>
      <c r="C33" s="43">
        <f t="shared" si="32"/>
        <v>1</v>
      </c>
      <c r="D33" s="43">
        <f t="shared" si="32"/>
        <v>1</v>
      </c>
      <c r="E33" s="43">
        <f t="shared" si="32"/>
        <v>1</v>
      </c>
      <c r="F33" s="43">
        <f t="shared" si="32"/>
        <v>1</v>
      </c>
      <c r="G33" s="43">
        <f t="shared" si="32"/>
        <v>1</v>
      </c>
      <c r="H33" s="43">
        <f t="shared" si="32"/>
        <v>1</v>
      </c>
      <c r="I33" s="43">
        <f t="shared" si="32"/>
        <v>1</v>
      </c>
      <c r="J33" s="43">
        <f t="shared" si="32"/>
        <v>1</v>
      </c>
      <c r="K33" s="43" t="e">
        <f>K32+ATM_Conf!$C$5*(T32-AC32)</f>
        <v>#DIV/0!</v>
      </c>
      <c r="L33" s="43" t="e">
        <f>L32+ATM_Conf!$C$5*(U32-AD32)</f>
        <v>#DIV/0!</v>
      </c>
      <c r="M33" s="43" t="e">
        <f>M32+ATM_Conf!$C$5*(V32-AE32)</f>
        <v>#DIV/0!</v>
      </c>
      <c r="N33" s="43" t="e">
        <f>N32+ATM_Conf!$C$5*(W32-AF32)</f>
        <v>#DIV/0!</v>
      </c>
      <c r="O33" s="43" t="e">
        <f>O32+ATM_Conf!$C$5*(X32-AG32)</f>
        <v>#DIV/0!</v>
      </c>
      <c r="P33" s="43" t="e">
        <f>P32+ATM_Conf!$C$5*(Y32-AH32)</f>
        <v>#DIV/0!</v>
      </c>
      <c r="Q33" s="43" t="e">
        <f>Q32+ATM_Conf!$C$5*(Z32-AI32)</f>
        <v>#DIV/0!</v>
      </c>
      <c r="R33" s="43" t="e">
        <f>R32+ATM_Conf!$C$5*(AA32-AJ32)</f>
        <v>#DIV/0!</v>
      </c>
      <c r="S33" s="43" t="e">
        <f>S32+ATM_Conf!$C$5*(AB32-AK32)</f>
        <v>#DIV/0!</v>
      </c>
      <c r="T33" s="43">
        <f t="shared" si="24"/>
        <v>0</v>
      </c>
      <c r="U33" s="43">
        <f t="shared" si="24"/>
        <v>0</v>
      </c>
      <c r="V33" s="43">
        <f t="shared" si="24"/>
        <v>0</v>
      </c>
      <c r="W33" s="43">
        <f t="shared" si="24"/>
        <v>0</v>
      </c>
      <c r="X33" s="43">
        <f t="shared" si="24"/>
        <v>0</v>
      </c>
      <c r="Y33" s="43">
        <f t="shared" si="24"/>
        <v>0</v>
      </c>
      <c r="Z33" s="43">
        <f t="shared" si="24"/>
        <v>0</v>
      </c>
      <c r="AA33" s="43">
        <f t="shared" si="24"/>
        <v>0</v>
      </c>
      <c r="AB33" s="43">
        <f t="shared" si="24"/>
        <v>0</v>
      </c>
      <c r="AC33" s="43" t="e">
        <f t="shared" si="3"/>
        <v>#DIV/0!</v>
      </c>
      <c r="AD33" s="43" t="e">
        <f t="shared" si="4"/>
        <v>#DIV/0!</v>
      </c>
      <c r="AE33" s="43" t="e">
        <f t="shared" si="5"/>
        <v>#DIV/0!</v>
      </c>
      <c r="AF33" s="43" t="e">
        <f t="shared" si="6"/>
        <v>#DIV/0!</v>
      </c>
      <c r="AG33" s="43" t="e">
        <f t="shared" si="7"/>
        <v>#DIV/0!</v>
      </c>
      <c r="AH33" s="43" t="e">
        <f t="shared" si="8"/>
        <v>#DIV/0!</v>
      </c>
      <c r="AI33" s="43" t="e">
        <f t="shared" si="9"/>
        <v>#DIV/0!</v>
      </c>
      <c r="AJ33" s="43" t="e">
        <f t="shared" si="10"/>
        <v>#DIV/0!</v>
      </c>
      <c r="AK33" s="43" t="e">
        <f t="shared" si="11"/>
        <v>#DIV/0!</v>
      </c>
      <c r="AL33" s="43" t="e">
        <f>T$3+K33/ATM_Conf!$C$5</f>
        <v>#DIV/0!</v>
      </c>
      <c r="AM33" s="43" t="e">
        <f>U$3+L33/ATM_Conf!$C$5</f>
        <v>#DIV/0!</v>
      </c>
      <c r="AN33" s="43" t="e">
        <f>V$3+M33/ATM_Conf!$C$5</f>
        <v>#DIV/0!</v>
      </c>
      <c r="AO33" s="43" t="e">
        <f>W$3+N33/ATM_Conf!$C$5</f>
        <v>#DIV/0!</v>
      </c>
      <c r="AP33" s="43" t="e">
        <f>X$3+O33/ATM_Conf!$C$5</f>
        <v>#DIV/0!</v>
      </c>
      <c r="AQ33" s="43" t="e">
        <f>Y$3+P33/ATM_Conf!$C$5</f>
        <v>#DIV/0!</v>
      </c>
      <c r="AR33" s="43" t="e">
        <f>Z$3+Q33/ATM_Conf!$C$5</f>
        <v>#DIV/0!</v>
      </c>
      <c r="AS33" s="43" t="e">
        <f>AA$3+R33/ATM_Conf!$C$5</f>
        <v>#DIV/0!</v>
      </c>
      <c r="AT33" s="43" t="e">
        <f>AB$3+S33/ATM_Conf!$C$5</f>
        <v>#DIV/0!</v>
      </c>
      <c r="AU33" s="43" t="e">
        <f>BD$3*MIN(1,(ATM_Conf!$C$6-Links!X33)/(ATM_Conf!$C$6-ATM_Conf!$C$7))</f>
        <v>#DIV/0!</v>
      </c>
      <c r="AV33" s="43" t="e">
        <f>BE$3*MIN(1,(ATM_Conf!$C$6-Links!Z33)/(ATM_Conf!$C$6-ATM_Conf!$C$7))</f>
        <v>#DIV/0!</v>
      </c>
      <c r="AW33" s="43" t="e">
        <f>BF$3*MIN(1,(ATM_Conf!$C$6-Links!AA33)/(ATM_Conf!$C$6-ATM_Conf!$C$7))</f>
        <v>#DIV/0!</v>
      </c>
      <c r="AX33" s="43" t="e">
        <f>BG$3*MIN(1,(ATM_Conf!$C$6-Links!AD33)/(ATM_Conf!$C$6-ATM_Conf!$C$7))</f>
        <v>#DIV/0!</v>
      </c>
      <c r="AY33" s="43" t="e">
        <f>BH$3*MIN(1,(ATM_Conf!$C$6-Links!AE33)/(ATM_Conf!$C$6-ATM_Conf!$C$7))</f>
        <v>#DIV/0!</v>
      </c>
      <c r="AZ33" s="43" t="e">
        <f>BI$3*MIN(1,(ATM_Conf!$C$6-Links!AG33)/(ATM_Conf!$C$6-ATM_Conf!$C$7))</f>
        <v>#DIV/0!</v>
      </c>
      <c r="BA33" s="43" t="e">
        <f>BJ$3*MIN(1,(ATM_Conf!$C$6-Links!AH33)/(ATM_Conf!$C$6-ATM_Conf!$C$7))</f>
        <v>#DIV/0!</v>
      </c>
      <c r="BB33" s="43" t="e">
        <f>BK$3*MIN(1,(ATM_Conf!$C$6-Links!AK33)/(ATM_Conf!$C$6-ATM_Conf!$C$7))</f>
        <v>#DIV/0!</v>
      </c>
      <c r="BC33" s="43" t="e">
        <f>BL$3*MIN(1,(ATM_Conf!$C$6-Links!AM33)/(ATM_Conf!$C$6-ATM_Conf!$C$7))</f>
        <v>#DIV/0!</v>
      </c>
      <c r="BD33" s="43">
        <f t="shared" si="25"/>
        <v>0</v>
      </c>
      <c r="BE33" s="43">
        <f t="shared" si="25"/>
        <v>0</v>
      </c>
      <c r="BF33" s="43">
        <f t="shared" si="25"/>
        <v>0</v>
      </c>
      <c r="BG33" s="43">
        <f t="shared" si="25"/>
        <v>0</v>
      </c>
      <c r="BH33" s="43">
        <f t="shared" si="25"/>
        <v>0</v>
      </c>
      <c r="BI33" s="43">
        <f t="shared" si="25"/>
        <v>0</v>
      </c>
      <c r="BJ33" s="43">
        <f t="shared" si="25"/>
        <v>0</v>
      </c>
      <c r="BK33" s="43">
        <f t="shared" si="25"/>
        <v>0</v>
      </c>
      <c r="BL33" s="43">
        <f t="shared" si="25"/>
        <v>0</v>
      </c>
      <c r="BM33" s="51"/>
      <c r="BN33" s="51"/>
      <c r="BO33" s="51"/>
      <c r="BP33" s="51"/>
      <c r="BQ33" s="51"/>
      <c r="BR33" s="51"/>
      <c r="BS33" s="51"/>
      <c r="BT33" s="51"/>
      <c r="BU33" s="51"/>
      <c r="BV33" s="51" t="e">
        <f t="shared" si="13"/>
        <v>#DIV/0!</v>
      </c>
      <c r="BW33" s="51" t="e">
        <f t="shared" si="14"/>
        <v>#DIV/0!</v>
      </c>
      <c r="BX33" s="51" t="e">
        <f t="shared" si="15"/>
        <v>#DIV/0!</v>
      </c>
      <c r="BY33" s="51" t="e">
        <f t="shared" si="16"/>
        <v>#DIV/0!</v>
      </c>
      <c r="BZ33" s="51" t="e">
        <f t="shared" si="17"/>
        <v>#DIV/0!</v>
      </c>
      <c r="CA33" s="51" t="e">
        <f t="shared" si="18"/>
        <v>#DIV/0!</v>
      </c>
      <c r="CB33" s="51" t="e">
        <f t="shared" si="19"/>
        <v>#DIV/0!</v>
      </c>
      <c r="CC33" s="51" t="e">
        <f t="shared" si="20"/>
        <v>#DIV/0!</v>
      </c>
      <c r="CD33" s="51" t="e">
        <f t="shared" si="21"/>
        <v>#DIV/0!</v>
      </c>
      <c r="CE33" s="53">
        <f t="shared" si="26"/>
        <v>0</v>
      </c>
      <c r="CF33" s="53">
        <f t="shared" si="26"/>
        <v>0</v>
      </c>
      <c r="CG33" s="53">
        <f t="shared" si="26"/>
        <v>0</v>
      </c>
      <c r="CH33" s="53">
        <f t="shared" si="26"/>
        <v>0</v>
      </c>
      <c r="CI33" s="53">
        <f t="shared" si="26"/>
        <v>0</v>
      </c>
      <c r="CJ33" s="53">
        <f t="shared" si="26"/>
        <v>0</v>
      </c>
      <c r="CK33" s="53">
        <f t="shared" si="26"/>
        <v>0</v>
      </c>
      <c r="CL33" s="53">
        <f t="shared" si="26"/>
        <v>0</v>
      </c>
      <c r="CM33" s="53">
        <f t="shared" si="26"/>
        <v>0</v>
      </c>
    </row>
    <row r="34" spans="1:91" x14ac:dyDescent="0.15">
      <c r="A34" s="41">
        <v>32</v>
      </c>
      <c r="B34" s="43">
        <f t="shared" si="32"/>
        <v>1</v>
      </c>
      <c r="C34" s="43">
        <f t="shared" si="32"/>
        <v>1</v>
      </c>
      <c r="D34" s="43">
        <f t="shared" si="32"/>
        <v>1</v>
      </c>
      <c r="E34" s="43">
        <f t="shared" si="32"/>
        <v>1</v>
      </c>
      <c r="F34" s="43">
        <f t="shared" si="32"/>
        <v>1</v>
      </c>
      <c r="G34" s="43">
        <f t="shared" si="32"/>
        <v>1</v>
      </c>
      <c r="H34" s="43">
        <f t="shared" si="32"/>
        <v>1</v>
      </c>
      <c r="I34" s="43">
        <f t="shared" si="32"/>
        <v>1</v>
      </c>
      <c r="J34" s="43">
        <f t="shared" si="32"/>
        <v>1</v>
      </c>
      <c r="K34" s="43" t="e">
        <f>K33+ATM_Conf!$C$5*(T33-AC33)</f>
        <v>#DIV/0!</v>
      </c>
      <c r="L34" s="43" t="e">
        <f>L33+ATM_Conf!$C$5*(U33-AD33)</f>
        <v>#DIV/0!</v>
      </c>
      <c r="M34" s="43" t="e">
        <f>M33+ATM_Conf!$C$5*(V33-AE33)</f>
        <v>#DIV/0!</v>
      </c>
      <c r="N34" s="43" t="e">
        <f>N33+ATM_Conf!$C$5*(W33-AF33)</f>
        <v>#DIV/0!</v>
      </c>
      <c r="O34" s="43" t="e">
        <f>O33+ATM_Conf!$C$5*(X33-AG33)</f>
        <v>#DIV/0!</v>
      </c>
      <c r="P34" s="43" t="e">
        <f>P33+ATM_Conf!$C$5*(Y33-AH33)</f>
        <v>#DIV/0!</v>
      </c>
      <c r="Q34" s="43" t="e">
        <f>Q33+ATM_Conf!$C$5*(Z33-AI33)</f>
        <v>#DIV/0!</v>
      </c>
      <c r="R34" s="43" t="e">
        <f>R33+ATM_Conf!$C$5*(AA33-AJ33)</f>
        <v>#DIV/0!</v>
      </c>
      <c r="S34" s="43" t="e">
        <f>S33+ATM_Conf!$C$5*(AB33-AK33)</f>
        <v>#DIV/0!</v>
      </c>
      <c r="T34" s="43">
        <f t="shared" si="24"/>
        <v>0</v>
      </c>
      <c r="U34" s="43">
        <f t="shared" si="24"/>
        <v>0</v>
      </c>
      <c r="V34" s="43">
        <f t="shared" si="24"/>
        <v>0</v>
      </c>
      <c r="W34" s="43">
        <f t="shared" si="24"/>
        <v>0</v>
      </c>
      <c r="X34" s="43">
        <f t="shared" si="24"/>
        <v>0</v>
      </c>
      <c r="Y34" s="43">
        <f t="shared" si="24"/>
        <v>0</v>
      </c>
      <c r="Z34" s="43">
        <f t="shared" si="24"/>
        <v>0</v>
      </c>
      <c r="AA34" s="43">
        <f t="shared" si="24"/>
        <v>0</v>
      </c>
      <c r="AB34" s="43">
        <f t="shared" si="24"/>
        <v>0</v>
      </c>
      <c r="AC34" s="43" t="e">
        <f t="shared" si="3"/>
        <v>#DIV/0!</v>
      </c>
      <c r="AD34" s="43" t="e">
        <f t="shared" si="4"/>
        <v>#DIV/0!</v>
      </c>
      <c r="AE34" s="43" t="e">
        <f t="shared" si="5"/>
        <v>#DIV/0!</v>
      </c>
      <c r="AF34" s="43" t="e">
        <f t="shared" si="6"/>
        <v>#DIV/0!</v>
      </c>
      <c r="AG34" s="43" t="e">
        <f t="shared" si="7"/>
        <v>#DIV/0!</v>
      </c>
      <c r="AH34" s="43" t="e">
        <f t="shared" si="8"/>
        <v>#DIV/0!</v>
      </c>
      <c r="AI34" s="43" t="e">
        <f t="shared" si="9"/>
        <v>#DIV/0!</v>
      </c>
      <c r="AJ34" s="43" t="e">
        <f t="shared" si="10"/>
        <v>#DIV/0!</v>
      </c>
      <c r="AK34" s="43" t="e">
        <f t="shared" si="11"/>
        <v>#DIV/0!</v>
      </c>
      <c r="AL34" s="43" t="e">
        <f>T$3+K34/ATM_Conf!$C$5</f>
        <v>#DIV/0!</v>
      </c>
      <c r="AM34" s="43" t="e">
        <f>U$3+L34/ATM_Conf!$C$5</f>
        <v>#DIV/0!</v>
      </c>
      <c r="AN34" s="43" t="e">
        <f>V$3+M34/ATM_Conf!$C$5</f>
        <v>#DIV/0!</v>
      </c>
      <c r="AO34" s="43" t="e">
        <f>W$3+N34/ATM_Conf!$C$5</f>
        <v>#DIV/0!</v>
      </c>
      <c r="AP34" s="43" t="e">
        <f>X$3+O34/ATM_Conf!$C$5</f>
        <v>#DIV/0!</v>
      </c>
      <c r="AQ34" s="43" t="e">
        <f>Y$3+P34/ATM_Conf!$C$5</f>
        <v>#DIV/0!</v>
      </c>
      <c r="AR34" s="43" t="e">
        <f>Z$3+Q34/ATM_Conf!$C$5</f>
        <v>#DIV/0!</v>
      </c>
      <c r="AS34" s="43" t="e">
        <f>AA$3+R34/ATM_Conf!$C$5</f>
        <v>#DIV/0!</v>
      </c>
      <c r="AT34" s="43" t="e">
        <f>AB$3+S34/ATM_Conf!$C$5</f>
        <v>#DIV/0!</v>
      </c>
      <c r="AU34" s="43" t="e">
        <f>BD$3*MIN(1,(ATM_Conf!$C$6-Links!X34)/(ATM_Conf!$C$6-ATM_Conf!$C$7))</f>
        <v>#DIV/0!</v>
      </c>
      <c r="AV34" s="43" t="e">
        <f>BE$3*MIN(1,(ATM_Conf!$C$6-Links!Z34)/(ATM_Conf!$C$6-ATM_Conf!$C$7))</f>
        <v>#DIV/0!</v>
      </c>
      <c r="AW34" s="43" t="e">
        <f>BF$3*MIN(1,(ATM_Conf!$C$6-Links!AA34)/(ATM_Conf!$C$6-ATM_Conf!$C$7))</f>
        <v>#DIV/0!</v>
      </c>
      <c r="AX34" s="43" t="e">
        <f>BG$3*MIN(1,(ATM_Conf!$C$6-Links!AD34)/(ATM_Conf!$C$6-ATM_Conf!$C$7))</f>
        <v>#DIV/0!</v>
      </c>
      <c r="AY34" s="43" t="e">
        <f>BH$3*MIN(1,(ATM_Conf!$C$6-Links!AE34)/(ATM_Conf!$C$6-ATM_Conf!$C$7))</f>
        <v>#DIV/0!</v>
      </c>
      <c r="AZ34" s="43" t="e">
        <f>BI$3*MIN(1,(ATM_Conf!$C$6-Links!AG34)/(ATM_Conf!$C$6-ATM_Conf!$C$7))</f>
        <v>#DIV/0!</v>
      </c>
      <c r="BA34" s="43" t="e">
        <f>BJ$3*MIN(1,(ATM_Conf!$C$6-Links!AH34)/(ATM_Conf!$C$6-ATM_Conf!$C$7))</f>
        <v>#DIV/0!</v>
      </c>
      <c r="BB34" s="43" t="e">
        <f>BK$3*MIN(1,(ATM_Conf!$C$6-Links!AK34)/(ATM_Conf!$C$6-ATM_Conf!$C$7))</f>
        <v>#DIV/0!</v>
      </c>
      <c r="BC34" s="43" t="e">
        <f>BL$3*MIN(1,(ATM_Conf!$C$6-Links!AM34)/(ATM_Conf!$C$6-ATM_Conf!$C$7))</f>
        <v>#DIV/0!</v>
      </c>
      <c r="BD34" s="43">
        <f t="shared" si="25"/>
        <v>0</v>
      </c>
      <c r="BE34" s="43">
        <f t="shared" si="25"/>
        <v>0</v>
      </c>
      <c r="BF34" s="43">
        <f t="shared" si="25"/>
        <v>0</v>
      </c>
      <c r="BG34" s="43">
        <f t="shared" si="25"/>
        <v>0</v>
      </c>
      <c r="BH34" s="43">
        <f t="shared" si="25"/>
        <v>0</v>
      </c>
      <c r="BI34" s="43">
        <f t="shared" si="25"/>
        <v>0</v>
      </c>
      <c r="BJ34" s="43">
        <f t="shared" si="25"/>
        <v>0</v>
      </c>
      <c r="BK34" s="43">
        <f t="shared" si="25"/>
        <v>0</v>
      </c>
      <c r="BL34" s="43">
        <f t="shared" si="25"/>
        <v>0</v>
      </c>
      <c r="BM34" s="51"/>
      <c r="BN34" s="51"/>
      <c r="BO34" s="51"/>
      <c r="BP34" s="51"/>
      <c r="BQ34" s="51"/>
      <c r="BR34" s="51"/>
      <c r="BS34" s="51"/>
      <c r="BT34" s="51"/>
      <c r="BU34" s="51"/>
      <c r="BV34" s="51" t="e">
        <f t="shared" si="13"/>
        <v>#DIV/0!</v>
      </c>
      <c r="BW34" s="51" t="e">
        <f t="shared" si="14"/>
        <v>#DIV/0!</v>
      </c>
      <c r="BX34" s="51" t="e">
        <f t="shared" si="15"/>
        <v>#DIV/0!</v>
      </c>
      <c r="BY34" s="51" t="e">
        <f t="shared" si="16"/>
        <v>#DIV/0!</v>
      </c>
      <c r="BZ34" s="51" t="e">
        <f t="shared" si="17"/>
        <v>#DIV/0!</v>
      </c>
      <c r="CA34" s="51" t="e">
        <f t="shared" si="18"/>
        <v>#DIV/0!</v>
      </c>
      <c r="CB34" s="51" t="e">
        <f t="shared" si="19"/>
        <v>#DIV/0!</v>
      </c>
      <c r="CC34" s="51" t="e">
        <f t="shared" si="20"/>
        <v>#DIV/0!</v>
      </c>
      <c r="CD34" s="51" t="e">
        <f t="shared" si="21"/>
        <v>#DIV/0!</v>
      </c>
      <c r="CE34" s="53">
        <f t="shared" si="26"/>
        <v>0</v>
      </c>
      <c r="CF34" s="53">
        <f t="shared" si="26"/>
        <v>0</v>
      </c>
      <c r="CG34" s="53">
        <f t="shared" si="26"/>
        <v>0</v>
      </c>
      <c r="CH34" s="53">
        <f t="shared" si="26"/>
        <v>0</v>
      </c>
      <c r="CI34" s="53">
        <f t="shared" si="26"/>
        <v>0</v>
      </c>
      <c r="CJ34" s="53">
        <f t="shared" si="26"/>
        <v>0</v>
      </c>
      <c r="CK34" s="53">
        <f t="shared" si="26"/>
        <v>0</v>
      </c>
      <c r="CL34" s="53">
        <f t="shared" si="26"/>
        <v>0</v>
      </c>
      <c r="CM34" s="53">
        <f t="shared" si="26"/>
        <v>0</v>
      </c>
    </row>
    <row r="35" spans="1:91" x14ac:dyDescent="0.15">
      <c r="A35" s="41">
        <v>33</v>
      </c>
      <c r="B35" s="43">
        <f t="shared" si="32"/>
        <v>1</v>
      </c>
      <c r="C35" s="43">
        <f t="shared" si="32"/>
        <v>1</v>
      </c>
      <c r="D35" s="43">
        <f t="shared" si="32"/>
        <v>1</v>
      </c>
      <c r="E35" s="43">
        <f t="shared" si="32"/>
        <v>1</v>
      </c>
      <c r="F35" s="43">
        <f t="shared" si="32"/>
        <v>1</v>
      </c>
      <c r="G35" s="43">
        <f t="shared" si="32"/>
        <v>1</v>
      </c>
      <c r="H35" s="43">
        <f t="shared" si="32"/>
        <v>1</v>
      </c>
      <c r="I35" s="43">
        <f t="shared" si="32"/>
        <v>1</v>
      </c>
      <c r="J35" s="43">
        <f t="shared" si="32"/>
        <v>1</v>
      </c>
      <c r="K35" s="43" t="e">
        <f>K34+ATM_Conf!$C$5*(T34-AC34)</f>
        <v>#DIV/0!</v>
      </c>
      <c r="L35" s="43" t="e">
        <f>L34+ATM_Conf!$C$5*(U34-AD34)</f>
        <v>#DIV/0!</v>
      </c>
      <c r="M35" s="43" t="e">
        <f>M34+ATM_Conf!$C$5*(V34-AE34)</f>
        <v>#DIV/0!</v>
      </c>
      <c r="N35" s="43" t="e">
        <f>N34+ATM_Conf!$C$5*(W34-AF34)</f>
        <v>#DIV/0!</v>
      </c>
      <c r="O35" s="43" t="e">
        <f>O34+ATM_Conf!$C$5*(X34-AG34)</f>
        <v>#DIV/0!</v>
      </c>
      <c r="P35" s="43" t="e">
        <f>P34+ATM_Conf!$C$5*(Y34-AH34)</f>
        <v>#DIV/0!</v>
      </c>
      <c r="Q35" s="43" t="e">
        <f>Q34+ATM_Conf!$C$5*(Z34-AI34)</f>
        <v>#DIV/0!</v>
      </c>
      <c r="R35" s="43" t="e">
        <f>R34+ATM_Conf!$C$5*(AA34-AJ34)</f>
        <v>#DIV/0!</v>
      </c>
      <c r="S35" s="43" t="e">
        <f>S34+ATM_Conf!$C$5*(AB34-AK34)</f>
        <v>#DIV/0!</v>
      </c>
      <c r="T35" s="43">
        <f t="shared" si="24"/>
        <v>0</v>
      </c>
      <c r="U35" s="43">
        <f t="shared" si="24"/>
        <v>0</v>
      </c>
      <c r="V35" s="43">
        <f t="shared" si="24"/>
        <v>0</v>
      </c>
      <c r="W35" s="43">
        <f t="shared" si="24"/>
        <v>0</v>
      </c>
      <c r="X35" s="43">
        <f t="shared" si="24"/>
        <v>0</v>
      </c>
      <c r="Y35" s="43">
        <f t="shared" si="24"/>
        <v>0</v>
      </c>
      <c r="Z35" s="43">
        <f t="shared" si="24"/>
        <v>0</v>
      </c>
      <c r="AA35" s="43">
        <f t="shared" si="24"/>
        <v>0</v>
      </c>
      <c r="AB35" s="43">
        <f t="shared" si="24"/>
        <v>0</v>
      </c>
      <c r="AC35" s="43" t="e">
        <f t="shared" si="3"/>
        <v>#DIV/0!</v>
      </c>
      <c r="AD35" s="43" t="e">
        <f t="shared" si="4"/>
        <v>#DIV/0!</v>
      </c>
      <c r="AE35" s="43" t="e">
        <f t="shared" si="5"/>
        <v>#DIV/0!</v>
      </c>
      <c r="AF35" s="43" t="e">
        <f t="shared" si="6"/>
        <v>#DIV/0!</v>
      </c>
      <c r="AG35" s="43" t="e">
        <f t="shared" si="7"/>
        <v>#DIV/0!</v>
      </c>
      <c r="AH35" s="43" t="e">
        <f t="shared" si="8"/>
        <v>#DIV/0!</v>
      </c>
      <c r="AI35" s="43" t="e">
        <f t="shared" si="9"/>
        <v>#DIV/0!</v>
      </c>
      <c r="AJ35" s="43" t="e">
        <f t="shared" si="10"/>
        <v>#DIV/0!</v>
      </c>
      <c r="AK35" s="43" t="e">
        <f t="shared" si="11"/>
        <v>#DIV/0!</v>
      </c>
      <c r="AL35" s="43" t="e">
        <f>T$3+K35/ATM_Conf!$C$5</f>
        <v>#DIV/0!</v>
      </c>
      <c r="AM35" s="43" t="e">
        <f>U$3+L35/ATM_Conf!$C$5</f>
        <v>#DIV/0!</v>
      </c>
      <c r="AN35" s="43" t="e">
        <f>V$3+M35/ATM_Conf!$C$5</f>
        <v>#DIV/0!</v>
      </c>
      <c r="AO35" s="43" t="e">
        <f>W$3+N35/ATM_Conf!$C$5</f>
        <v>#DIV/0!</v>
      </c>
      <c r="AP35" s="43" t="e">
        <f>X$3+O35/ATM_Conf!$C$5</f>
        <v>#DIV/0!</v>
      </c>
      <c r="AQ35" s="43" t="e">
        <f>Y$3+P35/ATM_Conf!$C$5</f>
        <v>#DIV/0!</v>
      </c>
      <c r="AR35" s="43" t="e">
        <f>Z$3+Q35/ATM_Conf!$C$5</f>
        <v>#DIV/0!</v>
      </c>
      <c r="AS35" s="43" t="e">
        <f>AA$3+R35/ATM_Conf!$C$5</f>
        <v>#DIV/0!</v>
      </c>
      <c r="AT35" s="43" t="e">
        <f>AB$3+S35/ATM_Conf!$C$5</f>
        <v>#DIV/0!</v>
      </c>
      <c r="AU35" s="43" t="e">
        <f>BD$3*MIN(1,(ATM_Conf!$C$6-Links!X35)/(ATM_Conf!$C$6-ATM_Conf!$C$7))</f>
        <v>#DIV/0!</v>
      </c>
      <c r="AV35" s="43" t="e">
        <f>BE$3*MIN(1,(ATM_Conf!$C$6-Links!Z35)/(ATM_Conf!$C$6-ATM_Conf!$C$7))</f>
        <v>#DIV/0!</v>
      </c>
      <c r="AW35" s="43" t="e">
        <f>BF$3*MIN(1,(ATM_Conf!$C$6-Links!AA35)/(ATM_Conf!$C$6-ATM_Conf!$C$7))</f>
        <v>#DIV/0!</v>
      </c>
      <c r="AX35" s="43" t="e">
        <f>BG$3*MIN(1,(ATM_Conf!$C$6-Links!AD35)/(ATM_Conf!$C$6-ATM_Conf!$C$7))</f>
        <v>#DIV/0!</v>
      </c>
      <c r="AY35" s="43" t="e">
        <f>BH$3*MIN(1,(ATM_Conf!$C$6-Links!AE35)/(ATM_Conf!$C$6-ATM_Conf!$C$7))</f>
        <v>#DIV/0!</v>
      </c>
      <c r="AZ35" s="43" t="e">
        <f>BI$3*MIN(1,(ATM_Conf!$C$6-Links!AG35)/(ATM_Conf!$C$6-ATM_Conf!$C$7))</f>
        <v>#DIV/0!</v>
      </c>
      <c r="BA35" s="43" t="e">
        <f>BJ$3*MIN(1,(ATM_Conf!$C$6-Links!AH35)/(ATM_Conf!$C$6-ATM_Conf!$C$7))</f>
        <v>#DIV/0!</v>
      </c>
      <c r="BB35" s="43" t="e">
        <f>BK$3*MIN(1,(ATM_Conf!$C$6-Links!AK35)/(ATM_Conf!$C$6-ATM_Conf!$C$7))</f>
        <v>#DIV/0!</v>
      </c>
      <c r="BC35" s="43" t="e">
        <f>BL$3*MIN(1,(ATM_Conf!$C$6-Links!AM35)/(ATM_Conf!$C$6-ATM_Conf!$C$7))</f>
        <v>#DIV/0!</v>
      </c>
      <c r="BD35" s="43">
        <f t="shared" si="25"/>
        <v>0</v>
      </c>
      <c r="BE35" s="43">
        <f t="shared" si="25"/>
        <v>0</v>
      </c>
      <c r="BF35" s="43">
        <f t="shared" si="25"/>
        <v>0</v>
      </c>
      <c r="BG35" s="43">
        <f t="shared" si="25"/>
        <v>0</v>
      </c>
      <c r="BH35" s="43">
        <f t="shared" si="25"/>
        <v>0</v>
      </c>
      <c r="BI35" s="43">
        <f t="shared" si="25"/>
        <v>0</v>
      </c>
      <c r="BJ35" s="43">
        <f t="shared" si="25"/>
        <v>0</v>
      </c>
      <c r="BK35" s="43">
        <f t="shared" si="25"/>
        <v>0</v>
      </c>
      <c r="BL35" s="43">
        <f t="shared" si="25"/>
        <v>0</v>
      </c>
      <c r="BM35" s="51"/>
      <c r="BN35" s="51"/>
      <c r="BO35" s="51"/>
      <c r="BP35" s="51"/>
      <c r="BQ35" s="51"/>
      <c r="BR35" s="51"/>
      <c r="BS35" s="51"/>
      <c r="BT35" s="51"/>
      <c r="BU35" s="51"/>
      <c r="BV35" s="51" t="e">
        <f t="shared" si="13"/>
        <v>#DIV/0!</v>
      </c>
      <c r="BW35" s="51" t="e">
        <f t="shared" si="14"/>
        <v>#DIV/0!</v>
      </c>
      <c r="BX35" s="51" t="e">
        <f t="shared" si="15"/>
        <v>#DIV/0!</v>
      </c>
      <c r="BY35" s="51" t="e">
        <f t="shared" si="16"/>
        <v>#DIV/0!</v>
      </c>
      <c r="BZ35" s="51" t="e">
        <f t="shared" si="17"/>
        <v>#DIV/0!</v>
      </c>
      <c r="CA35" s="51" t="e">
        <f t="shared" si="18"/>
        <v>#DIV/0!</v>
      </c>
      <c r="CB35" s="51" t="e">
        <f t="shared" si="19"/>
        <v>#DIV/0!</v>
      </c>
      <c r="CC35" s="51" t="e">
        <f t="shared" si="20"/>
        <v>#DIV/0!</v>
      </c>
      <c r="CD35" s="51" t="e">
        <f t="shared" si="21"/>
        <v>#DIV/0!</v>
      </c>
      <c r="CE35" s="53">
        <f t="shared" si="26"/>
        <v>0</v>
      </c>
      <c r="CF35" s="53">
        <f t="shared" si="26"/>
        <v>0</v>
      </c>
      <c r="CG35" s="53">
        <f t="shared" si="26"/>
        <v>0</v>
      </c>
      <c r="CH35" s="53">
        <f t="shared" si="26"/>
        <v>0</v>
      </c>
      <c r="CI35" s="53">
        <f t="shared" si="26"/>
        <v>0</v>
      </c>
      <c r="CJ35" s="53">
        <f t="shared" si="26"/>
        <v>0</v>
      </c>
      <c r="CK35" s="53">
        <f t="shared" si="26"/>
        <v>0</v>
      </c>
      <c r="CL35" s="53">
        <f t="shared" si="26"/>
        <v>0</v>
      </c>
      <c r="CM35" s="53">
        <f t="shared" si="26"/>
        <v>0</v>
      </c>
    </row>
    <row r="36" spans="1:91" x14ac:dyDescent="0.15">
      <c r="A36" s="41">
        <v>34</v>
      </c>
      <c r="B36" s="43">
        <f t="shared" si="32"/>
        <v>1</v>
      </c>
      <c r="C36" s="43">
        <f t="shared" si="32"/>
        <v>1</v>
      </c>
      <c r="D36" s="43">
        <f t="shared" si="32"/>
        <v>1</v>
      </c>
      <c r="E36" s="43">
        <f t="shared" si="32"/>
        <v>1</v>
      </c>
      <c r="F36" s="43">
        <f t="shared" si="32"/>
        <v>1</v>
      </c>
      <c r="G36" s="43">
        <f t="shared" si="32"/>
        <v>1</v>
      </c>
      <c r="H36" s="43">
        <f t="shared" si="32"/>
        <v>1</v>
      </c>
      <c r="I36" s="43">
        <f t="shared" si="32"/>
        <v>1</v>
      </c>
      <c r="J36" s="43">
        <f t="shared" si="32"/>
        <v>1</v>
      </c>
      <c r="K36" s="43" t="e">
        <f>K35+ATM_Conf!$C$5*(T35-AC35)</f>
        <v>#DIV/0!</v>
      </c>
      <c r="L36" s="43" t="e">
        <f>L35+ATM_Conf!$C$5*(U35-AD35)</f>
        <v>#DIV/0!</v>
      </c>
      <c r="M36" s="43" t="e">
        <f>M35+ATM_Conf!$C$5*(V35-AE35)</f>
        <v>#DIV/0!</v>
      </c>
      <c r="N36" s="43" t="e">
        <f>N35+ATM_Conf!$C$5*(W35-AF35)</f>
        <v>#DIV/0!</v>
      </c>
      <c r="O36" s="43" t="e">
        <f>O35+ATM_Conf!$C$5*(X35-AG35)</f>
        <v>#DIV/0!</v>
      </c>
      <c r="P36" s="43" t="e">
        <f>P35+ATM_Conf!$C$5*(Y35-AH35)</f>
        <v>#DIV/0!</v>
      </c>
      <c r="Q36" s="43" t="e">
        <f>Q35+ATM_Conf!$C$5*(Z35-AI35)</f>
        <v>#DIV/0!</v>
      </c>
      <c r="R36" s="43" t="e">
        <f>R35+ATM_Conf!$C$5*(AA35-AJ35)</f>
        <v>#DIV/0!</v>
      </c>
      <c r="S36" s="43" t="e">
        <f>S35+ATM_Conf!$C$5*(AB35-AK35)</f>
        <v>#DIV/0!</v>
      </c>
      <c r="T36" s="43">
        <f t="shared" si="24"/>
        <v>0</v>
      </c>
      <c r="U36" s="43">
        <f t="shared" si="24"/>
        <v>0</v>
      </c>
      <c r="V36" s="43">
        <f t="shared" si="24"/>
        <v>0</v>
      </c>
      <c r="W36" s="43">
        <f t="shared" si="24"/>
        <v>0</v>
      </c>
      <c r="X36" s="43">
        <f t="shared" si="24"/>
        <v>0</v>
      </c>
      <c r="Y36" s="43">
        <f t="shared" si="24"/>
        <v>0</v>
      </c>
      <c r="Z36" s="43">
        <f t="shared" si="24"/>
        <v>0</v>
      </c>
      <c r="AA36" s="43">
        <f t="shared" si="24"/>
        <v>0</v>
      </c>
      <c r="AB36" s="43">
        <f t="shared" si="24"/>
        <v>0</v>
      </c>
      <c r="AC36" s="43" t="e">
        <f t="shared" si="3"/>
        <v>#DIV/0!</v>
      </c>
      <c r="AD36" s="43" t="e">
        <f t="shared" si="4"/>
        <v>#DIV/0!</v>
      </c>
      <c r="AE36" s="43" t="e">
        <f t="shared" si="5"/>
        <v>#DIV/0!</v>
      </c>
      <c r="AF36" s="43" t="e">
        <f t="shared" si="6"/>
        <v>#DIV/0!</v>
      </c>
      <c r="AG36" s="43" t="e">
        <f t="shared" si="7"/>
        <v>#DIV/0!</v>
      </c>
      <c r="AH36" s="43" t="e">
        <f t="shared" si="8"/>
        <v>#DIV/0!</v>
      </c>
      <c r="AI36" s="43" t="e">
        <f t="shared" si="9"/>
        <v>#DIV/0!</v>
      </c>
      <c r="AJ36" s="43" t="e">
        <f t="shared" si="10"/>
        <v>#DIV/0!</v>
      </c>
      <c r="AK36" s="43" t="e">
        <f t="shared" si="11"/>
        <v>#DIV/0!</v>
      </c>
      <c r="AL36" s="43" t="e">
        <f>T$3+K36/ATM_Conf!$C$5</f>
        <v>#DIV/0!</v>
      </c>
      <c r="AM36" s="43" t="e">
        <f>U$3+L36/ATM_Conf!$C$5</f>
        <v>#DIV/0!</v>
      </c>
      <c r="AN36" s="43" t="e">
        <f>V$3+M36/ATM_Conf!$C$5</f>
        <v>#DIV/0!</v>
      </c>
      <c r="AO36" s="43" t="e">
        <f>W$3+N36/ATM_Conf!$C$5</f>
        <v>#DIV/0!</v>
      </c>
      <c r="AP36" s="43" t="e">
        <f>X$3+O36/ATM_Conf!$C$5</f>
        <v>#DIV/0!</v>
      </c>
      <c r="AQ36" s="43" t="e">
        <f>Y$3+P36/ATM_Conf!$C$5</f>
        <v>#DIV/0!</v>
      </c>
      <c r="AR36" s="43" t="e">
        <f>Z$3+Q36/ATM_Conf!$C$5</f>
        <v>#DIV/0!</v>
      </c>
      <c r="AS36" s="43" t="e">
        <f>AA$3+R36/ATM_Conf!$C$5</f>
        <v>#DIV/0!</v>
      </c>
      <c r="AT36" s="43" t="e">
        <f>AB$3+S36/ATM_Conf!$C$5</f>
        <v>#DIV/0!</v>
      </c>
      <c r="AU36" s="43" t="e">
        <f>BD$3*MIN(1,(ATM_Conf!$C$6-Links!X36)/(ATM_Conf!$C$6-ATM_Conf!$C$7))</f>
        <v>#DIV/0!</v>
      </c>
      <c r="AV36" s="43" t="e">
        <f>BE$3*MIN(1,(ATM_Conf!$C$6-Links!Z36)/(ATM_Conf!$C$6-ATM_Conf!$C$7))</f>
        <v>#DIV/0!</v>
      </c>
      <c r="AW36" s="43" t="e">
        <f>BF$3*MIN(1,(ATM_Conf!$C$6-Links!AA36)/(ATM_Conf!$C$6-ATM_Conf!$C$7))</f>
        <v>#DIV/0!</v>
      </c>
      <c r="AX36" s="43" t="e">
        <f>BG$3*MIN(1,(ATM_Conf!$C$6-Links!AD36)/(ATM_Conf!$C$6-ATM_Conf!$C$7))</f>
        <v>#DIV/0!</v>
      </c>
      <c r="AY36" s="43" t="e">
        <f>BH$3*MIN(1,(ATM_Conf!$C$6-Links!AE36)/(ATM_Conf!$C$6-ATM_Conf!$C$7))</f>
        <v>#DIV/0!</v>
      </c>
      <c r="AZ36" s="43" t="e">
        <f>BI$3*MIN(1,(ATM_Conf!$C$6-Links!AG36)/(ATM_Conf!$C$6-ATM_Conf!$C$7))</f>
        <v>#DIV/0!</v>
      </c>
      <c r="BA36" s="43" t="e">
        <f>BJ$3*MIN(1,(ATM_Conf!$C$6-Links!AH36)/(ATM_Conf!$C$6-ATM_Conf!$C$7))</f>
        <v>#DIV/0!</v>
      </c>
      <c r="BB36" s="43" t="e">
        <f>BK$3*MIN(1,(ATM_Conf!$C$6-Links!AK36)/(ATM_Conf!$C$6-ATM_Conf!$C$7))</f>
        <v>#DIV/0!</v>
      </c>
      <c r="BC36" s="43" t="e">
        <f>BL$3*MIN(1,(ATM_Conf!$C$6-Links!AM36)/(ATM_Conf!$C$6-ATM_Conf!$C$7))</f>
        <v>#DIV/0!</v>
      </c>
      <c r="BD36" s="43">
        <f t="shared" si="25"/>
        <v>0</v>
      </c>
      <c r="BE36" s="43">
        <f t="shared" si="25"/>
        <v>0</v>
      </c>
      <c r="BF36" s="43">
        <f t="shared" si="25"/>
        <v>0</v>
      </c>
      <c r="BG36" s="43">
        <f t="shared" si="25"/>
        <v>0</v>
      </c>
      <c r="BH36" s="43">
        <f t="shared" si="25"/>
        <v>0</v>
      </c>
      <c r="BI36" s="43">
        <f t="shared" si="25"/>
        <v>0</v>
      </c>
      <c r="BJ36" s="43">
        <f t="shared" si="25"/>
        <v>0</v>
      </c>
      <c r="BK36" s="43">
        <f t="shared" si="25"/>
        <v>0</v>
      </c>
      <c r="BL36" s="43">
        <f t="shared" si="25"/>
        <v>0</v>
      </c>
      <c r="BM36" s="51"/>
      <c r="BN36" s="51"/>
      <c r="BO36" s="51"/>
      <c r="BP36" s="51"/>
      <c r="BQ36" s="51"/>
      <c r="BR36" s="51"/>
      <c r="BS36" s="51"/>
      <c r="BT36" s="51"/>
      <c r="BU36" s="51"/>
      <c r="BV36" s="51" t="e">
        <f t="shared" si="13"/>
        <v>#DIV/0!</v>
      </c>
      <c r="BW36" s="51" t="e">
        <f t="shared" si="14"/>
        <v>#DIV/0!</v>
      </c>
      <c r="BX36" s="51" t="e">
        <f t="shared" si="15"/>
        <v>#DIV/0!</v>
      </c>
      <c r="BY36" s="51" t="e">
        <f t="shared" si="16"/>
        <v>#DIV/0!</v>
      </c>
      <c r="BZ36" s="51" t="e">
        <f t="shared" si="17"/>
        <v>#DIV/0!</v>
      </c>
      <c r="CA36" s="51" t="e">
        <f t="shared" si="18"/>
        <v>#DIV/0!</v>
      </c>
      <c r="CB36" s="51" t="e">
        <f t="shared" si="19"/>
        <v>#DIV/0!</v>
      </c>
      <c r="CC36" s="51" t="e">
        <f t="shared" si="20"/>
        <v>#DIV/0!</v>
      </c>
      <c r="CD36" s="51" t="e">
        <f t="shared" si="21"/>
        <v>#DIV/0!</v>
      </c>
      <c r="CE36" s="53">
        <f t="shared" si="26"/>
        <v>0</v>
      </c>
      <c r="CF36" s="53">
        <f t="shared" si="26"/>
        <v>0</v>
      </c>
      <c r="CG36" s="53">
        <f t="shared" si="26"/>
        <v>0</v>
      </c>
      <c r="CH36" s="53">
        <f t="shared" si="26"/>
        <v>0</v>
      </c>
      <c r="CI36" s="53">
        <f t="shared" si="26"/>
        <v>0</v>
      </c>
      <c r="CJ36" s="53">
        <f t="shared" si="26"/>
        <v>0</v>
      </c>
      <c r="CK36" s="53">
        <f t="shared" si="26"/>
        <v>0</v>
      </c>
      <c r="CL36" s="53">
        <f t="shared" si="26"/>
        <v>0</v>
      </c>
      <c r="CM36" s="53">
        <f t="shared" si="26"/>
        <v>0</v>
      </c>
    </row>
    <row r="37" spans="1:91" x14ac:dyDescent="0.15">
      <c r="A37" s="41">
        <v>35</v>
      </c>
      <c r="B37" s="43">
        <f t="shared" si="32"/>
        <v>1</v>
      </c>
      <c r="C37" s="43">
        <f t="shared" si="32"/>
        <v>1</v>
      </c>
      <c r="D37" s="43">
        <f t="shared" si="32"/>
        <v>1</v>
      </c>
      <c r="E37" s="43">
        <f t="shared" si="32"/>
        <v>1</v>
      </c>
      <c r="F37" s="43">
        <f t="shared" si="32"/>
        <v>1</v>
      </c>
      <c r="G37" s="43">
        <f t="shared" si="32"/>
        <v>1</v>
      </c>
      <c r="H37" s="43">
        <f t="shared" si="32"/>
        <v>1</v>
      </c>
      <c r="I37" s="43">
        <f t="shared" si="32"/>
        <v>1</v>
      </c>
      <c r="J37" s="43">
        <f t="shared" si="32"/>
        <v>1</v>
      </c>
      <c r="K37" s="43" t="e">
        <f>K36+ATM_Conf!$C$5*(T36-AC36)</f>
        <v>#DIV/0!</v>
      </c>
      <c r="L37" s="43" t="e">
        <f>L36+ATM_Conf!$C$5*(U36-AD36)</f>
        <v>#DIV/0!</v>
      </c>
      <c r="M37" s="43" t="e">
        <f>M36+ATM_Conf!$C$5*(V36-AE36)</f>
        <v>#DIV/0!</v>
      </c>
      <c r="N37" s="43" t="e">
        <f>N36+ATM_Conf!$C$5*(W36-AF36)</f>
        <v>#DIV/0!</v>
      </c>
      <c r="O37" s="43" t="e">
        <f>O36+ATM_Conf!$C$5*(X36-AG36)</f>
        <v>#DIV/0!</v>
      </c>
      <c r="P37" s="43" t="e">
        <f>P36+ATM_Conf!$C$5*(Y36-AH36)</f>
        <v>#DIV/0!</v>
      </c>
      <c r="Q37" s="43" t="e">
        <f>Q36+ATM_Conf!$C$5*(Z36-AI36)</f>
        <v>#DIV/0!</v>
      </c>
      <c r="R37" s="43" t="e">
        <f>R36+ATM_Conf!$C$5*(AA36-AJ36)</f>
        <v>#DIV/0!</v>
      </c>
      <c r="S37" s="43" t="e">
        <f>S36+ATM_Conf!$C$5*(AB36-AK36)</f>
        <v>#DIV/0!</v>
      </c>
      <c r="T37" s="43">
        <f t="shared" ref="T37:AB68" si="33">T$3</f>
        <v>0</v>
      </c>
      <c r="U37" s="43">
        <f t="shared" si="33"/>
        <v>0</v>
      </c>
      <c r="V37" s="43">
        <f t="shared" si="33"/>
        <v>0</v>
      </c>
      <c r="W37" s="43">
        <f t="shared" si="33"/>
        <v>0</v>
      </c>
      <c r="X37" s="43">
        <f t="shared" si="33"/>
        <v>0</v>
      </c>
      <c r="Y37" s="43">
        <f t="shared" si="33"/>
        <v>0</v>
      </c>
      <c r="Z37" s="43">
        <f t="shared" si="33"/>
        <v>0</v>
      </c>
      <c r="AA37" s="43">
        <f t="shared" si="33"/>
        <v>0</v>
      </c>
      <c r="AB37" s="43">
        <f t="shared" si="33"/>
        <v>0</v>
      </c>
      <c r="AC37" s="43" t="e">
        <f t="shared" si="3"/>
        <v>#DIV/0!</v>
      </c>
      <c r="AD37" s="43" t="e">
        <f t="shared" si="4"/>
        <v>#DIV/0!</v>
      </c>
      <c r="AE37" s="43" t="e">
        <f t="shared" si="5"/>
        <v>#DIV/0!</v>
      </c>
      <c r="AF37" s="43" t="e">
        <f t="shared" si="6"/>
        <v>#DIV/0!</v>
      </c>
      <c r="AG37" s="43" t="e">
        <f t="shared" si="7"/>
        <v>#DIV/0!</v>
      </c>
      <c r="AH37" s="43" t="e">
        <f t="shared" si="8"/>
        <v>#DIV/0!</v>
      </c>
      <c r="AI37" s="43" t="e">
        <f t="shared" si="9"/>
        <v>#DIV/0!</v>
      </c>
      <c r="AJ37" s="43" t="e">
        <f t="shared" si="10"/>
        <v>#DIV/0!</v>
      </c>
      <c r="AK37" s="43" t="e">
        <f t="shared" si="11"/>
        <v>#DIV/0!</v>
      </c>
      <c r="AL37" s="43" t="e">
        <f>T$3+K37/ATM_Conf!$C$5</f>
        <v>#DIV/0!</v>
      </c>
      <c r="AM37" s="43" t="e">
        <f>U$3+L37/ATM_Conf!$C$5</f>
        <v>#DIV/0!</v>
      </c>
      <c r="AN37" s="43" t="e">
        <f>V$3+M37/ATM_Conf!$C$5</f>
        <v>#DIV/0!</v>
      </c>
      <c r="AO37" s="43" t="e">
        <f>W$3+N37/ATM_Conf!$C$5</f>
        <v>#DIV/0!</v>
      </c>
      <c r="AP37" s="43" t="e">
        <f>X$3+O37/ATM_Conf!$C$5</f>
        <v>#DIV/0!</v>
      </c>
      <c r="AQ37" s="43" t="e">
        <f>Y$3+P37/ATM_Conf!$C$5</f>
        <v>#DIV/0!</v>
      </c>
      <c r="AR37" s="43" t="e">
        <f>Z$3+Q37/ATM_Conf!$C$5</f>
        <v>#DIV/0!</v>
      </c>
      <c r="AS37" s="43" t="e">
        <f>AA$3+R37/ATM_Conf!$C$5</f>
        <v>#DIV/0!</v>
      </c>
      <c r="AT37" s="43" t="e">
        <f>AB$3+S37/ATM_Conf!$C$5</f>
        <v>#DIV/0!</v>
      </c>
      <c r="AU37" s="43" t="e">
        <f>BD$3*MIN(1,(ATM_Conf!$C$6-Links!X37)/(ATM_Conf!$C$6-ATM_Conf!$C$7))</f>
        <v>#DIV/0!</v>
      </c>
      <c r="AV37" s="43" t="e">
        <f>BE$3*MIN(1,(ATM_Conf!$C$6-Links!Z37)/(ATM_Conf!$C$6-ATM_Conf!$C$7))</f>
        <v>#DIV/0!</v>
      </c>
      <c r="AW37" s="43" t="e">
        <f>BF$3*MIN(1,(ATM_Conf!$C$6-Links!AA37)/(ATM_Conf!$C$6-ATM_Conf!$C$7))</f>
        <v>#DIV/0!</v>
      </c>
      <c r="AX37" s="43" t="e">
        <f>BG$3*MIN(1,(ATM_Conf!$C$6-Links!AD37)/(ATM_Conf!$C$6-ATM_Conf!$C$7))</f>
        <v>#DIV/0!</v>
      </c>
      <c r="AY37" s="43" t="e">
        <f>BH$3*MIN(1,(ATM_Conf!$C$6-Links!AE37)/(ATM_Conf!$C$6-ATM_Conf!$C$7))</f>
        <v>#DIV/0!</v>
      </c>
      <c r="AZ37" s="43" t="e">
        <f>BI$3*MIN(1,(ATM_Conf!$C$6-Links!AG37)/(ATM_Conf!$C$6-ATM_Conf!$C$7))</f>
        <v>#DIV/0!</v>
      </c>
      <c r="BA37" s="43" t="e">
        <f>BJ$3*MIN(1,(ATM_Conf!$C$6-Links!AH37)/(ATM_Conf!$C$6-ATM_Conf!$C$7))</f>
        <v>#DIV/0!</v>
      </c>
      <c r="BB37" s="43" t="e">
        <f>BK$3*MIN(1,(ATM_Conf!$C$6-Links!AK37)/(ATM_Conf!$C$6-ATM_Conf!$C$7))</f>
        <v>#DIV/0!</v>
      </c>
      <c r="BC37" s="43" t="e">
        <f>BL$3*MIN(1,(ATM_Conf!$C$6-Links!AM37)/(ATM_Conf!$C$6-ATM_Conf!$C$7))</f>
        <v>#DIV/0!</v>
      </c>
      <c r="BD37" s="43">
        <f t="shared" ref="BD37:BL68" si="34">BD$3</f>
        <v>0</v>
      </c>
      <c r="BE37" s="43">
        <f t="shared" si="34"/>
        <v>0</v>
      </c>
      <c r="BF37" s="43">
        <f t="shared" si="34"/>
        <v>0</v>
      </c>
      <c r="BG37" s="43">
        <f t="shared" si="34"/>
        <v>0</v>
      </c>
      <c r="BH37" s="43">
        <f t="shared" si="34"/>
        <v>0</v>
      </c>
      <c r="BI37" s="43">
        <f t="shared" si="34"/>
        <v>0</v>
      </c>
      <c r="BJ37" s="43">
        <f t="shared" si="34"/>
        <v>0</v>
      </c>
      <c r="BK37" s="43">
        <f t="shared" si="34"/>
        <v>0</v>
      </c>
      <c r="BL37" s="43">
        <f t="shared" si="34"/>
        <v>0</v>
      </c>
      <c r="BM37" s="51"/>
      <c r="BN37" s="51"/>
      <c r="BO37" s="51"/>
      <c r="BP37" s="51"/>
      <c r="BQ37" s="51"/>
      <c r="BR37" s="51"/>
      <c r="BS37" s="51"/>
      <c r="BT37" s="51"/>
      <c r="BU37" s="51"/>
      <c r="BV37" s="51" t="e">
        <f t="shared" si="13"/>
        <v>#DIV/0!</v>
      </c>
      <c r="BW37" s="51" t="e">
        <f t="shared" si="14"/>
        <v>#DIV/0!</v>
      </c>
      <c r="BX37" s="51" t="e">
        <f t="shared" si="15"/>
        <v>#DIV/0!</v>
      </c>
      <c r="BY37" s="51" t="e">
        <f t="shared" si="16"/>
        <v>#DIV/0!</v>
      </c>
      <c r="BZ37" s="51" t="e">
        <f t="shared" si="17"/>
        <v>#DIV/0!</v>
      </c>
      <c r="CA37" s="51" t="e">
        <f t="shared" si="18"/>
        <v>#DIV/0!</v>
      </c>
      <c r="CB37" s="51" t="e">
        <f t="shared" si="19"/>
        <v>#DIV/0!</v>
      </c>
      <c r="CC37" s="51" t="e">
        <f t="shared" si="20"/>
        <v>#DIV/0!</v>
      </c>
      <c r="CD37" s="51" t="e">
        <f t="shared" si="21"/>
        <v>#DIV/0!</v>
      </c>
      <c r="CE37" s="53">
        <f t="shared" ref="CE37:CM65" si="35">CE$3</f>
        <v>0</v>
      </c>
      <c r="CF37" s="53">
        <f t="shared" si="35"/>
        <v>0</v>
      </c>
      <c r="CG37" s="53">
        <f t="shared" si="35"/>
        <v>0</v>
      </c>
      <c r="CH37" s="53">
        <f t="shared" si="35"/>
        <v>0</v>
      </c>
      <c r="CI37" s="53">
        <f t="shared" si="35"/>
        <v>0</v>
      </c>
      <c r="CJ37" s="53">
        <f t="shared" si="35"/>
        <v>0</v>
      </c>
      <c r="CK37" s="53">
        <f t="shared" si="35"/>
        <v>0</v>
      </c>
      <c r="CL37" s="53">
        <f t="shared" si="35"/>
        <v>0</v>
      </c>
      <c r="CM37" s="53">
        <f t="shared" si="35"/>
        <v>0</v>
      </c>
    </row>
    <row r="38" spans="1:91" x14ac:dyDescent="0.15">
      <c r="A38" s="41">
        <v>36</v>
      </c>
      <c r="B38" s="43">
        <f t="shared" si="32"/>
        <v>1</v>
      </c>
      <c r="C38" s="43">
        <f t="shared" si="32"/>
        <v>1</v>
      </c>
      <c r="D38" s="43">
        <f t="shared" si="32"/>
        <v>1</v>
      </c>
      <c r="E38" s="43">
        <f t="shared" si="32"/>
        <v>1</v>
      </c>
      <c r="F38" s="43">
        <f t="shared" si="32"/>
        <v>1</v>
      </c>
      <c r="G38" s="43">
        <f t="shared" si="32"/>
        <v>1</v>
      </c>
      <c r="H38" s="43">
        <f t="shared" si="32"/>
        <v>1</v>
      </c>
      <c r="I38" s="43">
        <f t="shared" si="32"/>
        <v>1</v>
      </c>
      <c r="J38" s="43">
        <f t="shared" si="32"/>
        <v>1</v>
      </c>
      <c r="K38" s="43" t="e">
        <f>K37+ATM_Conf!$C$5*(T37-AC37)</f>
        <v>#DIV/0!</v>
      </c>
      <c r="L38" s="43" t="e">
        <f>L37+ATM_Conf!$C$5*(U37-AD37)</f>
        <v>#DIV/0!</v>
      </c>
      <c r="M38" s="43" t="e">
        <f>M37+ATM_Conf!$C$5*(V37-AE37)</f>
        <v>#DIV/0!</v>
      </c>
      <c r="N38" s="43" t="e">
        <f>N37+ATM_Conf!$C$5*(W37-AF37)</f>
        <v>#DIV/0!</v>
      </c>
      <c r="O38" s="43" t="e">
        <f>O37+ATM_Conf!$C$5*(X37-AG37)</f>
        <v>#DIV/0!</v>
      </c>
      <c r="P38" s="43" t="e">
        <f>P37+ATM_Conf!$C$5*(Y37-AH37)</f>
        <v>#DIV/0!</v>
      </c>
      <c r="Q38" s="43" t="e">
        <f>Q37+ATM_Conf!$C$5*(Z37-AI37)</f>
        <v>#DIV/0!</v>
      </c>
      <c r="R38" s="43" t="e">
        <f>R37+ATM_Conf!$C$5*(AA37-AJ37)</f>
        <v>#DIV/0!</v>
      </c>
      <c r="S38" s="43" t="e">
        <f>S37+ATM_Conf!$C$5*(AB37-AK37)</f>
        <v>#DIV/0!</v>
      </c>
      <c r="T38" s="43">
        <f t="shared" si="33"/>
        <v>0</v>
      </c>
      <c r="U38" s="43">
        <f t="shared" si="33"/>
        <v>0</v>
      </c>
      <c r="V38" s="43">
        <f t="shared" si="33"/>
        <v>0</v>
      </c>
      <c r="W38" s="43">
        <f t="shared" si="33"/>
        <v>0</v>
      </c>
      <c r="X38" s="43">
        <f t="shared" si="33"/>
        <v>0</v>
      </c>
      <c r="Y38" s="43">
        <f t="shared" si="33"/>
        <v>0</v>
      </c>
      <c r="Z38" s="43">
        <f t="shared" si="33"/>
        <v>0</v>
      </c>
      <c r="AA38" s="43">
        <f t="shared" si="33"/>
        <v>0</v>
      </c>
      <c r="AB38" s="43">
        <f t="shared" si="33"/>
        <v>0</v>
      </c>
      <c r="AC38" s="43" t="e">
        <f t="shared" si="3"/>
        <v>#DIV/0!</v>
      </c>
      <c r="AD38" s="43" t="e">
        <f t="shared" si="4"/>
        <v>#DIV/0!</v>
      </c>
      <c r="AE38" s="43" t="e">
        <f t="shared" si="5"/>
        <v>#DIV/0!</v>
      </c>
      <c r="AF38" s="43" t="e">
        <f t="shared" si="6"/>
        <v>#DIV/0!</v>
      </c>
      <c r="AG38" s="43" t="e">
        <f t="shared" si="7"/>
        <v>#DIV/0!</v>
      </c>
      <c r="AH38" s="43" t="e">
        <f t="shared" si="8"/>
        <v>#DIV/0!</v>
      </c>
      <c r="AI38" s="43" t="e">
        <f t="shared" si="9"/>
        <v>#DIV/0!</v>
      </c>
      <c r="AJ38" s="43" t="e">
        <f t="shared" si="10"/>
        <v>#DIV/0!</v>
      </c>
      <c r="AK38" s="43" t="e">
        <f t="shared" si="11"/>
        <v>#DIV/0!</v>
      </c>
      <c r="AL38" s="43" t="e">
        <f>T$3+K38/ATM_Conf!$C$5</f>
        <v>#DIV/0!</v>
      </c>
      <c r="AM38" s="43" t="e">
        <f>U$3+L38/ATM_Conf!$C$5</f>
        <v>#DIV/0!</v>
      </c>
      <c r="AN38" s="43" t="e">
        <f>V$3+M38/ATM_Conf!$C$5</f>
        <v>#DIV/0!</v>
      </c>
      <c r="AO38" s="43" t="e">
        <f>W$3+N38/ATM_Conf!$C$5</f>
        <v>#DIV/0!</v>
      </c>
      <c r="AP38" s="43" t="e">
        <f>X$3+O38/ATM_Conf!$C$5</f>
        <v>#DIV/0!</v>
      </c>
      <c r="AQ38" s="43" t="e">
        <f>Y$3+P38/ATM_Conf!$C$5</f>
        <v>#DIV/0!</v>
      </c>
      <c r="AR38" s="43" t="e">
        <f>Z$3+Q38/ATM_Conf!$C$5</f>
        <v>#DIV/0!</v>
      </c>
      <c r="AS38" s="43" t="e">
        <f>AA$3+R38/ATM_Conf!$C$5</f>
        <v>#DIV/0!</v>
      </c>
      <c r="AT38" s="43" t="e">
        <f>AB$3+S38/ATM_Conf!$C$5</f>
        <v>#DIV/0!</v>
      </c>
      <c r="AU38" s="43" t="e">
        <f>BD$3*MIN(1,(ATM_Conf!$C$6-Links!X38)/(ATM_Conf!$C$6-ATM_Conf!$C$7))</f>
        <v>#DIV/0!</v>
      </c>
      <c r="AV38" s="43" t="e">
        <f>BE$3*MIN(1,(ATM_Conf!$C$6-Links!Z38)/(ATM_Conf!$C$6-ATM_Conf!$C$7))</f>
        <v>#DIV/0!</v>
      </c>
      <c r="AW38" s="43" t="e">
        <f>BF$3*MIN(1,(ATM_Conf!$C$6-Links!AA38)/(ATM_Conf!$C$6-ATM_Conf!$C$7))</f>
        <v>#DIV/0!</v>
      </c>
      <c r="AX38" s="43" t="e">
        <f>BG$3*MIN(1,(ATM_Conf!$C$6-Links!AD38)/(ATM_Conf!$C$6-ATM_Conf!$C$7))</f>
        <v>#DIV/0!</v>
      </c>
      <c r="AY38" s="43" t="e">
        <f>BH$3*MIN(1,(ATM_Conf!$C$6-Links!AE38)/(ATM_Conf!$C$6-ATM_Conf!$C$7))</f>
        <v>#DIV/0!</v>
      </c>
      <c r="AZ38" s="43" t="e">
        <f>BI$3*MIN(1,(ATM_Conf!$C$6-Links!AG38)/(ATM_Conf!$C$6-ATM_Conf!$C$7))</f>
        <v>#DIV/0!</v>
      </c>
      <c r="BA38" s="43" t="e">
        <f>BJ$3*MIN(1,(ATM_Conf!$C$6-Links!AH38)/(ATM_Conf!$C$6-ATM_Conf!$C$7))</f>
        <v>#DIV/0!</v>
      </c>
      <c r="BB38" s="43" t="e">
        <f>BK$3*MIN(1,(ATM_Conf!$C$6-Links!AK38)/(ATM_Conf!$C$6-ATM_Conf!$C$7))</f>
        <v>#DIV/0!</v>
      </c>
      <c r="BC38" s="43" t="e">
        <f>BL$3*MIN(1,(ATM_Conf!$C$6-Links!AM38)/(ATM_Conf!$C$6-ATM_Conf!$C$7))</f>
        <v>#DIV/0!</v>
      </c>
      <c r="BD38" s="43">
        <f t="shared" si="34"/>
        <v>0</v>
      </c>
      <c r="BE38" s="43">
        <f t="shared" si="34"/>
        <v>0</v>
      </c>
      <c r="BF38" s="43">
        <f t="shared" si="34"/>
        <v>0</v>
      </c>
      <c r="BG38" s="43">
        <f t="shared" si="34"/>
        <v>0</v>
      </c>
      <c r="BH38" s="43">
        <f t="shared" si="34"/>
        <v>0</v>
      </c>
      <c r="BI38" s="43">
        <f t="shared" si="34"/>
        <v>0</v>
      </c>
      <c r="BJ38" s="43">
        <f t="shared" si="34"/>
        <v>0</v>
      </c>
      <c r="BK38" s="43">
        <f t="shared" si="34"/>
        <v>0</v>
      </c>
      <c r="BL38" s="43">
        <f t="shared" si="34"/>
        <v>0</v>
      </c>
      <c r="BM38" s="51"/>
      <c r="BN38" s="51"/>
      <c r="BO38" s="51"/>
      <c r="BP38" s="51"/>
      <c r="BQ38" s="51"/>
      <c r="BR38" s="51"/>
      <c r="BS38" s="51"/>
      <c r="BT38" s="51"/>
      <c r="BU38" s="51"/>
      <c r="BV38" s="51" t="e">
        <f t="shared" si="13"/>
        <v>#DIV/0!</v>
      </c>
      <c r="BW38" s="51" t="e">
        <f t="shared" si="14"/>
        <v>#DIV/0!</v>
      </c>
      <c r="BX38" s="51" t="e">
        <f t="shared" si="15"/>
        <v>#DIV/0!</v>
      </c>
      <c r="BY38" s="51" t="e">
        <f t="shared" si="16"/>
        <v>#DIV/0!</v>
      </c>
      <c r="BZ38" s="51" t="e">
        <f t="shared" si="17"/>
        <v>#DIV/0!</v>
      </c>
      <c r="CA38" s="51" t="e">
        <f t="shared" si="18"/>
        <v>#DIV/0!</v>
      </c>
      <c r="CB38" s="51" t="e">
        <f t="shared" si="19"/>
        <v>#DIV/0!</v>
      </c>
      <c r="CC38" s="51" t="e">
        <f t="shared" si="20"/>
        <v>#DIV/0!</v>
      </c>
      <c r="CD38" s="51" t="e">
        <f t="shared" si="21"/>
        <v>#DIV/0!</v>
      </c>
      <c r="CE38" s="53">
        <f t="shared" si="35"/>
        <v>0</v>
      </c>
      <c r="CF38" s="53">
        <f t="shared" si="35"/>
        <v>0</v>
      </c>
      <c r="CG38" s="53">
        <f t="shared" si="35"/>
        <v>0</v>
      </c>
      <c r="CH38" s="53">
        <f t="shared" si="35"/>
        <v>0</v>
      </c>
      <c r="CI38" s="53">
        <f t="shared" si="35"/>
        <v>0</v>
      </c>
      <c r="CJ38" s="53">
        <f t="shared" si="35"/>
        <v>0</v>
      </c>
      <c r="CK38" s="53">
        <f t="shared" si="35"/>
        <v>0</v>
      </c>
      <c r="CL38" s="53">
        <f t="shared" si="35"/>
        <v>0</v>
      </c>
      <c r="CM38" s="53">
        <f t="shared" si="35"/>
        <v>0</v>
      </c>
    </row>
    <row r="39" spans="1:91" x14ac:dyDescent="0.15">
      <c r="A39" s="41">
        <v>37</v>
      </c>
      <c r="B39" s="45">
        <v>1</v>
      </c>
      <c r="C39" s="45">
        <v>1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3" t="e">
        <f>K38+ATM_Conf!$C$5*(T38-AC38)</f>
        <v>#DIV/0!</v>
      </c>
      <c r="L39" s="43" t="e">
        <f>L38+ATM_Conf!$C$5*(U38-AD38)</f>
        <v>#DIV/0!</v>
      </c>
      <c r="M39" s="43" t="e">
        <f>M38+ATM_Conf!$C$5*(V38-AE38)</f>
        <v>#DIV/0!</v>
      </c>
      <c r="N39" s="43" t="e">
        <f>N38+ATM_Conf!$C$5*(W38-AF38)</f>
        <v>#DIV/0!</v>
      </c>
      <c r="O39" s="43" t="e">
        <f>O38+ATM_Conf!$C$5*(X38-AG38)</f>
        <v>#DIV/0!</v>
      </c>
      <c r="P39" s="43" t="e">
        <f>P38+ATM_Conf!$C$5*(Y38-AH38)</f>
        <v>#DIV/0!</v>
      </c>
      <c r="Q39" s="43" t="e">
        <f>Q38+ATM_Conf!$C$5*(Z38-AI38)</f>
        <v>#DIV/0!</v>
      </c>
      <c r="R39" s="43" t="e">
        <f>R38+ATM_Conf!$C$5*(AA38-AJ38)</f>
        <v>#DIV/0!</v>
      </c>
      <c r="S39" s="43" t="e">
        <f>S38+ATM_Conf!$C$5*(AB38-AK38)</f>
        <v>#DIV/0!</v>
      </c>
      <c r="T39" s="43">
        <f t="shared" si="33"/>
        <v>0</v>
      </c>
      <c r="U39" s="43">
        <f t="shared" si="33"/>
        <v>0</v>
      </c>
      <c r="V39" s="43">
        <f t="shared" si="33"/>
        <v>0</v>
      </c>
      <c r="W39" s="43">
        <f t="shared" si="33"/>
        <v>0</v>
      </c>
      <c r="X39" s="43">
        <f t="shared" si="33"/>
        <v>0</v>
      </c>
      <c r="Y39" s="43">
        <f t="shared" si="33"/>
        <v>0</v>
      </c>
      <c r="Z39" s="43">
        <f t="shared" si="33"/>
        <v>0</v>
      </c>
      <c r="AA39" s="43">
        <f t="shared" si="33"/>
        <v>0</v>
      </c>
      <c r="AB39" s="43">
        <f t="shared" si="33"/>
        <v>0</v>
      </c>
      <c r="AC39" s="43" t="e">
        <f t="shared" si="3"/>
        <v>#DIV/0!</v>
      </c>
      <c r="AD39" s="43" t="e">
        <f t="shared" si="4"/>
        <v>#DIV/0!</v>
      </c>
      <c r="AE39" s="43" t="e">
        <f t="shared" si="5"/>
        <v>#DIV/0!</v>
      </c>
      <c r="AF39" s="43" t="e">
        <f t="shared" si="6"/>
        <v>#DIV/0!</v>
      </c>
      <c r="AG39" s="43" t="e">
        <f t="shared" si="7"/>
        <v>#DIV/0!</v>
      </c>
      <c r="AH39" s="43" t="e">
        <f t="shared" si="8"/>
        <v>#DIV/0!</v>
      </c>
      <c r="AI39" s="43" t="e">
        <f t="shared" si="9"/>
        <v>#DIV/0!</v>
      </c>
      <c r="AJ39" s="43" t="e">
        <f t="shared" si="10"/>
        <v>#DIV/0!</v>
      </c>
      <c r="AK39" s="43" t="e">
        <f t="shared" si="11"/>
        <v>#DIV/0!</v>
      </c>
      <c r="AL39" s="43" t="e">
        <f>T$3+K39/ATM_Conf!$C$5</f>
        <v>#DIV/0!</v>
      </c>
      <c r="AM39" s="43" t="e">
        <f>U$3+L39/ATM_Conf!$C$5</f>
        <v>#DIV/0!</v>
      </c>
      <c r="AN39" s="43" t="e">
        <f>V$3+M39/ATM_Conf!$C$5</f>
        <v>#DIV/0!</v>
      </c>
      <c r="AO39" s="43" t="e">
        <f>W$3+N39/ATM_Conf!$C$5</f>
        <v>#DIV/0!</v>
      </c>
      <c r="AP39" s="43" t="e">
        <f>X$3+O39/ATM_Conf!$C$5</f>
        <v>#DIV/0!</v>
      </c>
      <c r="AQ39" s="43" t="e">
        <f>Y$3+P39/ATM_Conf!$C$5</f>
        <v>#DIV/0!</v>
      </c>
      <c r="AR39" s="43" t="e">
        <f>Z$3+Q39/ATM_Conf!$C$5</f>
        <v>#DIV/0!</v>
      </c>
      <c r="AS39" s="43" t="e">
        <f>AA$3+R39/ATM_Conf!$C$5</f>
        <v>#DIV/0!</v>
      </c>
      <c r="AT39" s="43" t="e">
        <f>AB$3+S39/ATM_Conf!$C$5</f>
        <v>#DIV/0!</v>
      </c>
      <c r="AU39" s="43" t="e">
        <f>BD$3*MIN(1,(ATM_Conf!$C$6-Links!X39)/(ATM_Conf!$C$6-ATM_Conf!$C$7))</f>
        <v>#DIV/0!</v>
      </c>
      <c r="AV39" s="43" t="e">
        <f>BE$3*MIN(1,(ATM_Conf!$C$6-Links!Z39)/(ATM_Conf!$C$6-ATM_Conf!$C$7))</f>
        <v>#DIV/0!</v>
      </c>
      <c r="AW39" s="43" t="e">
        <f>BF$3*MIN(1,(ATM_Conf!$C$6-Links!AA39)/(ATM_Conf!$C$6-ATM_Conf!$C$7))</f>
        <v>#DIV/0!</v>
      </c>
      <c r="AX39" s="43" t="e">
        <f>BG$3*MIN(1,(ATM_Conf!$C$6-Links!AD39)/(ATM_Conf!$C$6-ATM_Conf!$C$7))</f>
        <v>#DIV/0!</v>
      </c>
      <c r="AY39" s="43" t="e">
        <f>BH$3*MIN(1,(ATM_Conf!$C$6-Links!AE39)/(ATM_Conf!$C$6-ATM_Conf!$C$7))</f>
        <v>#DIV/0!</v>
      </c>
      <c r="AZ39" s="43" t="e">
        <f>BI$3*MIN(1,(ATM_Conf!$C$6-Links!AG39)/(ATM_Conf!$C$6-ATM_Conf!$C$7))</f>
        <v>#DIV/0!</v>
      </c>
      <c r="BA39" s="43" t="e">
        <f>BJ$3*MIN(1,(ATM_Conf!$C$6-Links!AH39)/(ATM_Conf!$C$6-ATM_Conf!$C$7))</f>
        <v>#DIV/0!</v>
      </c>
      <c r="BB39" s="43" t="e">
        <f>BK$3*MIN(1,(ATM_Conf!$C$6-Links!AK39)/(ATM_Conf!$C$6-ATM_Conf!$C$7))</f>
        <v>#DIV/0!</v>
      </c>
      <c r="BC39" s="43" t="e">
        <f>BL$3*MIN(1,(ATM_Conf!$C$6-Links!AM39)/(ATM_Conf!$C$6-ATM_Conf!$C$7))</f>
        <v>#DIV/0!</v>
      </c>
      <c r="BD39" s="43">
        <f t="shared" si="34"/>
        <v>0</v>
      </c>
      <c r="BE39" s="43">
        <f t="shared" si="34"/>
        <v>0</v>
      </c>
      <c r="BF39" s="43">
        <f t="shared" si="34"/>
        <v>0</v>
      </c>
      <c r="BG39" s="43">
        <f t="shared" si="34"/>
        <v>0</v>
      </c>
      <c r="BH39" s="43">
        <f t="shared" si="34"/>
        <v>0</v>
      </c>
      <c r="BI39" s="43">
        <f t="shared" si="34"/>
        <v>0</v>
      </c>
      <c r="BJ39" s="43">
        <f t="shared" si="34"/>
        <v>0</v>
      </c>
      <c r="BK39" s="43">
        <f t="shared" si="34"/>
        <v>0</v>
      </c>
      <c r="BL39" s="43">
        <f t="shared" si="34"/>
        <v>0</v>
      </c>
      <c r="BM39" s="51">
        <f>(B39-B27)^2</f>
        <v>0</v>
      </c>
      <c r="BN39" s="51">
        <f t="shared" ref="BN39:BU39" si="36">(C39-C27)^2</f>
        <v>0</v>
      </c>
      <c r="BO39" s="51">
        <f t="shared" si="36"/>
        <v>0</v>
      </c>
      <c r="BP39" s="51">
        <f t="shared" si="36"/>
        <v>0</v>
      </c>
      <c r="BQ39" s="51">
        <f t="shared" si="36"/>
        <v>0</v>
      </c>
      <c r="BR39" s="51">
        <f t="shared" si="36"/>
        <v>0</v>
      </c>
      <c r="BS39" s="51">
        <f t="shared" si="36"/>
        <v>0</v>
      </c>
      <c r="BT39" s="51">
        <f t="shared" si="36"/>
        <v>0</v>
      </c>
      <c r="BU39" s="51">
        <f t="shared" si="36"/>
        <v>0</v>
      </c>
      <c r="BV39" s="51" t="e">
        <f t="shared" si="13"/>
        <v>#DIV/0!</v>
      </c>
      <c r="BW39" s="51" t="e">
        <f t="shared" si="14"/>
        <v>#DIV/0!</v>
      </c>
      <c r="BX39" s="51" t="e">
        <f t="shared" si="15"/>
        <v>#DIV/0!</v>
      </c>
      <c r="BY39" s="51" t="e">
        <f t="shared" si="16"/>
        <v>#DIV/0!</v>
      </c>
      <c r="BZ39" s="51" t="e">
        <f t="shared" si="17"/>
        <v>#DIV/0!</v>
      </c>
      <c r="CA39" s="51" t="e">
        <f t="shared" si="18"/>
        <v>#DIV/0!</v>
      </c>
      <c r="CB39" s="51" t="e">
        <f t="shared" si="19"/>
        <v>#DIV/0!</v>
      </c>
      <c r="CC39" s="51" t="e">
        <f t="shared" si="20"/>
        <v>#DIV/0!</v>
      </c>
      <c r="CD39" s="51" t="e">
        <f t="shared" si="21"/>
        <v>#DIV/0!</v>
      </c>
      <c r="CE39" s="53">
        <f t="shared" si="35"/>
        <v>0</v>
      </c>
      <c r="CF39" s="53">
        <f t="shared" si="35"/>
        <v>0</v>
      </c>
      <c r="CG39" s="53">
        <f t="shared" si="35"/>
        <v>0</v>
      </c>
      <c r="CH39" s="53">
        <f t="shared" si="35"/>
        <v>0</v>
      </c>
      <c r="CI39" s="53">
        <f t="shared" si="35"/>
        <v>0</v>
      </c>
      <c r="CJ39" s="53">
        <f t="shared" si="35"/>
        <v>0</v>
      </c>
      <c r="CK39" s="53">
        <f t="shared" si="35"/>
        <v>0</v>
      </c>
      <c r="CL39" s="53">
        <f t="shared" si="35"/>
        <v>0</v>
      </c>
      <c r="CM39" s="53">
        <f t="shared" si="35"/>
        <v>0</v>
      </c>
    </row>
    <row r="40" spans="1:91" x14ac:dyDescent="0.15">
      <c r="A40" s="41">
        <v>38</v>
      </c>
      <c r="B40" s="43">
        <f>B$39</f>
        <v>1</v>
      </c>
      <c r="C40" s="43">
        <f t="shared" ref="C40:J50" si="37">C$39</f>
        <v>1</v>
      </c>
      <c r="D40" s="43">
        <f t="shared" si="37"/>
        <v>1</v>
      </c>
      <c r="E40" s="43">
        <f t="shared" si="37"/>
        <v>1</v>
      </c>
      <c r="F40" s="43">
        <f t="shared" si="37"/>
        <v>1</v>
      </c>
      <c r="G40" s="43">
        <f t="shared" si="37"/>
        <v>1</v>
      </c>
      <c r="H40" s="43">
        <f t="shared" si="37"/>
        <v>1</v>
      </c>
      <c r="I40" s="43">
        <f t="shared" si="37"/>
        <v>1</v>
      </c>
      <c r="J40" s="43">
        <f t="shared" si="37"/>
        <v>1</v>
      </c>
      <c r="K40" s="43" t="e">
        <f>K39+ATM_Conf!$C$5*(T39-AC39)</f>
        <v>#DIV/0!</v>
      </c>
      <c r="L40" s="43" t="e">
        <f>L39+ATM_Conf!$C$5*(U39-AD39)</f>
        <v>#DIV/0!</v>
      </c>
      <c r="M40" s="43" t="e">
        <f>M39+ATM_Conf!$C$5*(V39-AE39)</f>
        <v>#DIV/0!</v>
      </c>
      <c r="N40" s="43" t="e">
        <f>N39+ATM_Conf!$C$5*(W39-AF39)</f>
        <v>#DIV/0!</v>
      </c>
      <c r="O40" s="43" t="e">
        <f>O39+ATM_Conf!$C$5*(X39-AG39)</f>
        <v>#DIV/0!</v>
      </c>
      <c r="P40" s="43" t="e">
        <f>P39+ATM_Conf!$C$5*(Y39-AH39)</f>
        <v>#DIV/0!</v>
      </c>
      <c r="Q40" s="43" t="e">
        <f>Q39+ATM_Conf!$C$5*(Z39-AI39)</f>
        <v>#DIV/0!</v>
      </c>
      <c r="R40" s="43" t="e">
        <f>R39+ATM_Conf!$C$5*(AA39-AJ39)</f>
        <v>#DIV/0!</v>
      </c>
      <c r="S40" s="43" t="e">
        <f>S39+ATM_Conf!$C$5*(AB39-AK39)</f>
        <v>#DIV/0!</v>
      </c>
      <c r="T40" s="43">
        <f t="shared" si="33"/>
        <v>0</v>
      </c>
      <c r="U40" s="43">
        <f t="shared" si="33"/>
        <v>0</v>
      </c>
      <c r="V40" s="43">
        <f t="shared" si="33"/>
        <v>0</v>
      </c>
      <c r="W40" s="43">
        <f t="shared" si="33"/>
        <v>0</v>
      </c>
      <c r="X40" s="43">
        <f t="shared" si="33"/>
        <v>0</v>
      </c>
      <c r="Y40" s="43">
        <f t="shared" si="33"/>
        <v>0</v>
      </c>
      <c r="Z40" s="43">
        <f t="shared" si="33"/>
        <v>0</v>
      </c>
      <c r="AA40" s="43">
        <f t="shared" si="33"/>
        <v>0</v>
      </c>
      <c r="AB40" s="43">
        <f t="shared" si="33"/>
        <v>0</v>
      </c>
      <c r="AC40" s="43" t="e">
        <f t="shared" si="3"/>
        <v>#DIV/0!</v>
      </c>
      <c r="AD40" s="43" t="e">
        <f t="shared" si="4"/>
        <v>#DIV/0!</v>
      </c>
      <c r="AE40" s="43" t="e">
        <f t="shared" si="5"/>
        <v>#DIV/0!</v>
      </c>
      <c r="AF40" s="43" t="e">
        <f t="shared" si="6"/>
        <v>#DIV/0!</v>
      </c>
      <c r="AG40" s="43" t="e">
        <f t="shared" si="7"/>
        <v>#DIV/0!</v>
      </c>
      <c r="AH40" s="43" t="e">
        <f t="shared" si="8"/>
        <v>#DIV/0!</v>
      </c>
      <c r="AI40" s="43" t="e">
        <f t="shared" si="9"/>
        <v>#DIV/0!</v>
      </c>
      <c r="AJ40" s="43" t="e">
        <f t="shared" si="10"/>
        <v>#DIV/0!</v>
      </c>
      <c r="AK40" s="43" t="e">
        <f t="shared" si="11"/>
        <v>#DIV/0!</v>
      </c>
      <c r="AL40" s="43" t="e">
        <f>T$3+K40/ATM_Conf!$C$5</f>
        <v>#DIV/0!</v>
      </c>
      <c r="AM40" s="43" t="e">
        <f>U$3+L40/ATM_Conf!$C$5</f>
        <v>#DIV/0!</v>
      </c>
      <c r="AN40" s="43" t="e">
        <f>V$3+M40/ATM_Conf!$C$5</f>
        <v>#DIV/0!</v>
      </c>
      <c r="AO40" s="43" t="e">
        <f>W$3+N40/ATM_Conf!$C$5</f>
        <v>#DIV/0!</v>
      </c>
      <c r="AP40" s="43" t="e">
        <f>X$3+O40/ATM_Conf!$C$5</f>
        <v>#DIV/0!</v>
      </c>
      <c r="AQ40" s="43" t="e">
        <f>Y$3+P40/ATM_Conf!$C$5</f>
        <v>#DIV/0!</v>
      </c>
      <c r="AR40" s="43" t="e">
        <f>Z$3+Q40/ATM_Conf!$C$5</f>
        <v>#DIV/0!</v>
      </c>
      <c r="AS40" s="43" t="e">
        <f>AA$3+R40/ATM_Conf!$C$5</f>
        <v>#DIV/0!</v>
      </c>
      <c r="AT40" s="43" t="e">
        <f>AB$3+S40/ATM_Conf!$C$5</f>
        <v>#DIV/0!</v>
      </c>
      <c r="AU40" s="43" t="e">
        <f>BD$3*MIN(1,(ATM_Conf!$C$6-Links!X40)/(ATM_Conf!$C$6-ATM_Conf!$C$7))</f>
        <v>#DIV/0!</v>
      </c>
      <c r="AV40" s="43" t="e">
        <f>BE$3*MIN(1,(ATM_Conf!$C$6-Links!Z40)/(ATM_Conf!$C$6-ATM_Conf!$C$7))</f>
        <v>#DIV/0!</v>
      </c>
      <c r="AW40" s="43" t="e">
        <f>BF$3*MIN(1,(ATM_Conf!$C$6-Links!AA40)/(ATM_Conf!$C$6-ATM_Conf!$C$7))</f>
        <v>#DIV/0!</v>
      </c>
      <c r="AX40" s="43" t="e">
        <f>BG$3*MIN(1,(ATM_Conf!$C$6-Links!AD40)/(ATM_Conf!$C$6-ATM_Conf!$C$7))</f>
        <v>#DIV/0!</v>
      </c>
      <c r="AY40" s="43" t="e">
        <f>BH$3*MIN(1,(ATM_Conf!$C$6-Links!AE40)/(ATM_Conf!$C$6-ATM_Conf!$C$7))</f>
        <v>#DIV/0!</v>
      </c>
      <c r="AZ40" s="43" t="e">
        <f>BI$3*MIN(1,(ATM_Conf!$C$6-Links!AG40)/(ATM_Conf!$C$6-ATM_Conf!$C$7))</f>
        <v>#DIV/0!</v>
      </c>
      <c r="BA40" s="43" t="e">
        <f>BJ$3*MIN(1,(ATM_Conf!$C$6-Links!AH40)/(ATM_Conf!$C$6-ATM_Conf!$C$7))</f>
        <v>#DIV/0!</v>
      </c>
      <c r="BB40" s="43" t="e">
        <f>BK$3*MIN(1,(ATM_Conf!$C$6-Links!AK40)/(ATM_Conf!$C$6-ATM_Conf!$C$7))</f>
        <v>#DIV/0!</v>
      </c>
      <c r="BC40" s="43" t="e">
        <f>BL$3*MIN(1,(ATM_Conf!$C$6-Links!AM40)/(ATM_Conf!$C$6-ATM_Conf!$C$7))</f>
        <v>#DIV/0!</v>
      </c>
      <c r="BD40" s="43">
        <f t="shared" si="34"/>
        <v>0</v>
      </c>
      <c r="BE40" s="43">
        <f t="shared" si="34"/>
        <v>0</v>
      </c>
      <c r="BF40" s="43">
        <f t="shared" si="34"/>
        <v>0</v>
      </c>
      <c r="BG40" s="43">
        <f t="shared" si="34"/>
        <v>0</v>
      </c>
      <c r="BH40" s="43">
        <f t="shared" si="34"/>
        <v>0</v>
      </c>
      <c r="BI40" s="43">
        <f t="shared" si="34"/>
        <v>0</v>
      </c>
      <c r="BJ40" s="43">
        <f t="shared" si="34"/>
        <v>0</v>
      </c>
      <c r="BK40" s="43">
        <f t="shared" si="34"/>
        <v>0</v>
      </c>
      <c r="BL40" s="43">
        <f t="shared" si="34"/>
        <v>0</v>
      </c>
      <c r="BM40" s="51"/>
      <c r="BN40" s="51"/>
      <c r="BO40" s="51"/>
      <c r="BP40" s="51"/>
      <c r="BQ40" s="51"/>
      <c r="BR40" s="51"/>
      <c r="BS40" s="51"/>
      <c r="BT40" s="51"/>
      <c r="BU40" s="51"/>
      <c r="BV40" s="51" t="e">
        <f t="shared" si="13"/>
        <v>#DIV/0!</v>
      </c>
      <c r="BW40" s="51" t="e">
        <f t="shared" si="14"/>
        <v>#DIV/0!</v>
      </c>
      <c r="BX40" s="51" t="e">
        <f t="shared" si="15"/>
        <v>#DIV/0!</v>
      </c>
      <c r="BY40" s="51" t="e">
        <f t="shared" si="16"/>
        <v>#DIV/0!</v>
      </c>
      <c r="BZ40" s="51" t="e">
        <f t="shared" si="17"/>
        <v>#DIV/0!</v>
      </c>
      <c r="CA40" s="51" t="e">
        <f t="shared" si="18"/>
        <v>#DIV/0!</v>
      </c>
      <c r="CB40" s="51" t="e">
        <f t="shared" si="19"/>
        <v>#DIV/0!</v>
      </c>
      <c r="CC40" s="51" t="e">
        <f t="shared" si="20"/>
        <v>#DIV/0!</v>
      </c>
      <c r="CD40" s="51" t="e">
        <f t="shared" si="21"/>
        <v>#DIV/0!</v>
      </c>
      <c r="CE40" s="53">
        <f t="shared" si="35"/>
        <v>0</v>
      </c>
      <c r="CF40" s="53">
        <f t="shared" si="35"/>
        <v>0</v>
      </c>
      <c r="CG40" s="53">
        <f t="shared" si="35"/>
        <v>0</v>
      </c>
      <c r="CH40" s="53">
        <f t="shared" si="35"/>
        <v>0</v>
      </c>
      <c r="CI40" s="53">
        <f t="shared" si="35"/>
        <v>0</v>
      </c>
      <c r="CJ40" s="53">
        <f t="shared" si="35"/>
        <v>0</v>
      </c>
      <c r="CK40" s="53">
        <f t="shared" si="35"/>
        <v>0</v>
      </c>
      <c r="CL40" s="53">
        <f t="shared" si="35"/>
        <v>0</v>
      </c>
      <c r="CM40" s="53">
        <f t="shared" si="35"/>
        <v>0</v>
      </c>
    </row>
    <row r="41" spans="1:91" x14ac:dyDescent="0.15">
      <c r="A41" s="41">
        <v>39</v>
      </c>
      <c r="B41" s="43">
        <f t="shared" ref="B41:B50" si="38">B$39</f>
        <v>1</v>
      </c>
      <c r="C41" s="43">
        <f t="shared" si="37"/>
        <v>1</v>
      </c>
      <c r="D41" s="43">
        <f t="shared" si="37"/>
        <v>1</v>
      </c>
      <c r="E41" s="43">
        <f t="shared" si="37"/>
        <v>1</v>
      </c>
      <c r="F41" s="43">
        <f t="shared" si="37"/>
        <v>1</v>
      </c>
      <c r="G41" s="43">
        <f t="shared" si="37"/>
        <v>1</v>
      </c>
      <c r="H41" s="43">
        <f t="shared" si="37"/>
        <v>1</v>
      </c>
      <c r="I41" s="43">
        <f t="shared" si="37"/>
        <v>1</v>
      </c>
      <c r="J41" s="43">
        <f t="shared" si="37"/>
        <v>1</v>
      </c>
      <c r="K41" s="43" t="e">
        <f>K40+ATM_Conf!$C$5*(T40-AC40)</f>
        <v>#DIV/0!</v>
      </c>
      <c r="L41" s="43" t="e">
        <f>L40+ATM_Conf!$C$5*(U40-AD40)</f>
        <v>#DIV/0!</v>
      </c>
      <c r="M41" s="43" t="e">
        <f>M40+ATM_Conf!$C$5*(V40-AE40)</f>
        <v>#DIV/0!</v>
      </c>
      <c r="N41" s="43" t="e">
        <f>N40+ATM_Conf!$C$5*(W40-AF40)</f>
        <v>#DIV/0!</v>
      </c>
      <c r="O41" s="43" t="e">
        <f>O40+ATM_Conf!$C$5*(X40-AG40)</f>
        <v>#DIV/0!</v>
      </c>
      <c r="P41" s="43" t="e">
        <f>P40+ATM_Conf!$C$5*(Y40-AH40)</f>
        <v>#DIV/0!</v>
      </c>
      <c r="Q41" s="43" t="e">
        <f>Q40+ATM_Conf!$C$5*(Z40-AI40)</f>
        <v>#DIV/0!</v>
      </c>
      <c r="R41" s="43" t="e">
        <f>R40+ATM_Conf!$C$5*(AA40-AJ40)</f>
        <v>#DIV/0!</v>
      </c>
      <c r="S41" s="43" t="e">
        <f>S40+ATM_Conf!$C$5*(AB40-AK40)</f>
        <v>#DIV/0!</v>
      </c>
      <c r="T41" s="43">
        <f t="shared" si="33"/>
        <v>0</v>
      </c>
      <c r="U41" s="43">
        <f t="shared" si="33"/>
        <v>0</v>
      </c>
      <c r="V41" s="43">
        <f t="shared" si="33"/>
        <v>0</v>
      </c>
      <c r="W41" s="43">
        <f t="shared" si="33"/>
        <v>0</v>
      </c>
      <c r="X41" s="43">
        <f t="shared" si="33"/>
        <v>0</v>
      </c>
      <c r="Y41" s="43">
        <f t="shared" si="33"/>
        <v>0</v>
      </c>
      <c r="Z41" s="43">
        <f t="shared" si="33"/>
        <v>0</v>
      </c>
      <c r="AA41" s="43">
        <f t="shared" si="33"/>
        <v>0</v>
      </c>
      <c r="AB41" s="43">
        <f t="shared" si="33"/>
        <v>0</v>
      </c>
      <c r="AC41" s="43" t="e">
        <f t="shared" si="3"/>
        <v>#DIV/0!</v>
      </c>
      <c r="AD41" s="43" t="e">
        <f t="shared" si="4"/>
        <v>#DIV/0!</v>
      </c>
      <c r="AE41" s="43" t="e">
        <f t="shared" si="5"/>
        <v>#DIV/0!</v>
      </c>
      <c r="AF41" s="43" t="e">
        <f t="shared" si="6"/>
        <v>#DIV/0!</v>
      </c>
      <c r="AG41" s="43" t="e">
        <f t="shared" si="7"/>
        <v>#DIV/0!</v>
      </c>
      <c r="AH41" s="43" t="e">
        <f t="shared" si="8"/>
        <v>#DIV/0!</v>
      </c>
      <c r="AI41" s="43" t="e">
        <f t="shared" si="9"/>
        <v>#DIV/0!</v>
      </c>
      <c r="AJ41" s="43" t="e">
        <f t="shared" si="10"/>
        <v>#DIV/0!</v>
      </c>
      <c r="AK41" s="43" t="e">
        <f t="shared" si="11"/>
        <v>#DIV/0!</v>
      </c>
      <c r="AL41" s="43" t="e">
        <f>T$3+K41/ATM_Conf!$C$5</f>
        <v>#DIV/0!</v>
      </c>
      <c r="AM41" s="43" t="e">
        <f>U$3+L41/ATM_Conf!$C$5</f>
        <v>#DIV/0!</v>
      </c>
      <c r="AN41" s="43" t="e">
        <f>V$3+M41/ATM_Conf!$C$5</f>
        <v>#DIV/0!</v>
      </c>
      <c r="AO41" s="43" t="e">
        <f>W$3+N41/ATM_Conf!$C$5</f>
        <v>#DIV/0!</v>
      </c>
      <c r="AP41" s="43" t="e">
        <f>X$3+O41/ATM_Conf!$C$5</f>
        <v>#DIV/0!</v>
      </c>
      <c r="AQ41" s="43" t="e">
        <f>Y$3+P41/ATM_Conf!$C$5</f>
        <v>#DIV/0!</v>
      </c>
      <c r="AR41" s="43" t="e">
        <f>Z$3+Q41/ATM_Conf!$C$5</f>
        <v>#DIV/0!</v>
      </c>
      <c r="AS41" s="43" t="e">
        <f>AA$3+R41/ATM_Conf!$C$5</f>
        <v>#DIV/0!</v>
      </c>
      <c r="AT41" s="43" t="e">
        <f>AB$3+S41/ATM_Conf!$C$5</f>
        <v>#DIV/0!</v>
      </c>
      <c r="AU41" s="43" t="e">
        <f>BD$3*MIN(1,(ATM_Conf!$C$6-Links!X41)/(ATM_Conf!$C$6-ATM_Conf!$C$7))</f>
        <v>#DIV/0!</v>
      </c>
      <c r="AV41" s="43" t="e">
        <f>BE$3*MIN(1,(ATM_Conf!$C$6-Links!Z41)/(ATM_Conf!$C$6-ATM_Conf!$C$7))</f>
        <v>#DIV/0!</v>
      </c>
      <c r="AW41" s="43" t="e">
        <f>BF$3*MIN(1,(ATM_Conf!$C$6-Links!AA41)/(ATM_Conf!$C$6-ATM_Conf!$C$7))</f>
        <v>#DIV/0!</v>
      </c>
      <c r="AX41" s="43" t="e">
        <f>BG$3*MIN(1,(ATM_Conf!$C$6-Links!AD41)/(ATM_Conf!$C$6-ATM_Conf!$C$7))</f>
        <v>#DIV/0!</v>
      </c>
      <c r="AY41" s="43" t="e">
        <f>BH$3*MIN(1,(ATM_Conf!$C$6-Links!AE41)/(ATM_Conf!$C$6-ATM_Conf!$C$7))</f>
        <v>#DIV/0!</v>
      </c>
      <c r="AZ41" s="43" t="e">
        <f>BI$3*MIN(1,(ATM_Conf!$C$6-Links!AG41)/(ATM_Conf!$C$6-ATM_Conf!$C$7))</f>
        <v>#DIV/0!</v>
      </c>
      <c r="BA41" s="43" t="e">
        <f>BJ$3*MIN(1,(ATM_Conf!$C$6-Links!AH41)/(ATM_Conf!$C$6-ATM_Conf!$C$7))</f>
        <v>#DIV/0!</v>
      </c>
      <c r="BB41" s="43" t="e">
        <f>BK$3*MIN(1,(ATM_Conf!$C$6-Links!AK41)/(ATM_Conf!$C$6-ATM_Conf!$C$7))</f>
        <v>#DIV/0!</v>
      </c>
      <c r="BC41" s="43" t="e">
        <f>BL$3*MIN(1,(ATM_Conf!$C$6-Links!AM41)/(ATM_Conf!$C$6-ATM_Conf!$C$7))</f>
        <v>#DIV/0!</v>
      </c>
      <c r="BD41" s="43">
        <f t="shared" si="34"/>
        <v>0</v>
      </c>
      <c r="BE41" s="43">
        <f t="shared" si="34"/>
        <v>0</v>
      </c>
      <c r="BF41" s="43">
        <f t="shared" si="34"/>
        <v>0</v>
      </c>
      <c r="BG41" s="43">
        <f t="shared" si="34"/>
        <v>0</v>
      </c>
      <c r="BH41" s="43">
        <f t="shared" si="34"/>
        <v>0</v>
      </c>
      <c r="BI41" s="43">
        <f t="shared" si="34"/>
        <v>0</v>
      </c>
      <c r="BJ41" s="43">
        <f t="shared" si="34"/>
        <v>0</v>
      </c>
      <c r="BK41" s="43">
        <f t="shared" si="34"/>
        <v>0</v>
      </c>
      <c r="BL41" s="43">
        <f t="shared" si="34"/>
        <v>0</v>
      </c>
      <c r="BM41" s="51"/>
      <c r="BN41" s="51"/>
      <c r="BO41" s="51"/>
      <c r="BP41" s="51"/>
      <c r="BQ41" s="51"/>
      <c r="BR41" s="51"/>
      <c r="BS41" s="51"/>
      <c r="BT41" s="51"/>
      <c r="BU41" s="51"/>
      <c r="BV41" s="51" t="e">
        <f t="shared" si="13"/>
        <v>#DIV/0!</v>
      </c>
      <c r="BW41" s="51" t="e">
        <f t="shared" si="14"/>
        <v>#DIV/0!</v>
      </c>
      <c r="BX41" s="51" t="e">
        <f t="shared" si="15"/>
        <v>#DIV/0!</v>
      </c>
      <c r="BY41" s="51" t="e">
        <f t="shared" si="16"/>
        <v>#DIV/0!</v>
      </c>
      <c r="BZ41" s="51" t="e">
        <f t="shared" si="17"/>
        <v>#DIV/0!</v>
      </c>
      <c r="CA41" s="51" t="e">
        <f t="shared" si="18"/>
        <v>#DIV/0!</v>
      </c>
      <c r="CB41" s="51" t="e">
        <f t="shared" si="19"/>
        <v>#DIV/0!</v>
      </c>
      <c r="CC41" s="51" t="e">
        <f t="shared" si="20"/>
        <v>#DIV/0!</v>
      </c>
      <c r="CD41" s="51" t="e">
        <f t="shared" si="21"/>
        <v>#DIV/0!</v>
      </c>
      <c r="CE41" s="53">
        <f t="shared" si="35"/>
        <v>0</v>
      </c>
      <c r="CF41" s="53">
        <f t="shared" si="35"/>
        <v>0</v>
      </c>
      <c r="CG41" s="53">
        <f t="shared" si="35"/>
        <v>0</v>
      </c>
      <c r="CH41" s="53">
        <f t="shared" si="35"/>
        <v>0</v>
      </c>
      <c r="CI41" s="53">
        <f t="shared" si="35"/>
        <v>0</v>
      </c>
      <c r="CJ41" s="53">
        <f t="shared" si="35"/>
        <v>0</v>
      </c>
      <c r="CK41" s="53">
        <f t="shared" si="35"/>
        <v>0</v>
      </c>
      <c r="CL41" s="53">
        <f t="shared" si="35"/>
        <v>0</v>
      </c>
      <c r="CM41" s="53">
        <f t="shared" si="35"/>
        <v>0</v>
      </c>
    </row>
    <row r="42" spans="1:91" x14ac:dyDescent="0.15">
      <c r="A42" s="41">
        <v>40</v>
      </c>
      <c r="B42" s="43">
        <f t="shared" si="38"/>
        <v>1</v>
      </c>
      <c r="C42" s="43">
        <f t="shared" si="37"/>
        <v>1</v>
      </c>
      <c r="D42" s="43">
        <f t="shared" si="37"/>
        <v>1</v>
      </c>
      <c r="E42" s="43">
        <f t="shared" si="37"/>
        <v>1</v>
      </c>
      <c r="F42" s="43">
        <f t="shared" si="37"/>
        <v>1</v>
      </c>
      <c r="G42" s="43">
        <f t="shared" si="37"/>
        <v>1</v>
      </c>
      <c r="H42" s="43">
        <f t="shared" si="37"/>
        <v>1</v>
      </c>
      <c r="I42" s="43">
        <f t="shared" si="37"/>
        <v>1</v>
      </c>
      <c r="J42" s="43">
        <f t="shared" si="37"/>
        <v>1</v>
      </c>
      <c r="K42" s="43" t="e">
        <f>K41+ATM_Conf!$C$5*(T41-AC41)</f>
        <v>#DIV/0!</v>
      </c>
      <c r="L42" s="43" t="e">
        <f>L41+ATM_Conf!$C$5*(U41-AD41)</f>
        <v>#DIV/0!</v>
      </c>
      <c r="M42" s="43" t="e">
        <f>M41+ATM_Conf!$C$5*(V41-AE41)</f>
        <v>#DIV/0!</v>
      </c>
      <c r="N42" s="43" t="e">
        <f>N41+ATM_Conf!$C$5*(W41-AF41)</f>
        <v>#DIV/0!</v>
      </c>
      <c r="O42" s="43" t="e">
        <f>O41+ATM_Conf!$C$5*(X41-AG41)</f>
        <v>#DIV/0!</v>
      </c>
      <c r="P42" s="43" t="e">
        <f>P41+ATM_Conf!$C$5*(Y41-AH41)</f>
        <v>#DIV/0!</v>
      </c>
      <c r="Q42" s="43" t="e">
        <f>Q41+ATM_Conf!$C$5*(Z41-AI41)</f>
        <v>#DIV/0!</v>
      </c>
      <c r="R42" s="43" t="e">
        <f>R41+ATM_Conf!$C$5*(AA41-AJ41)</f>
        <v>#DIV/0!</v>
      </c>
      <c r="S42" s="43" t="e">
        <f>S41+ATM_Conf!$C$5*(AB41-AK41)</f>
        <v>#DIV/0!</v>
      </c>
      <c r="T42" s="43">
        <f t="shared" si="33"/>
        <v>0</v>
      </c>
      <c r="U42" s="43">
        <f t="shared" si="33"/>
        <v>0</v>
      </c>
      <c r="V42" s="43">
        <f t="shared" si="33"/>
        <v>0</v>
      </c>
      <c r="W42" s="43">
        <f t="shared" si="33"/>
        <v>0</v>
      </c>
      <c r="X42" s="43">
        <f t="shared" si="33"/>
        <v>0</v>
      </c>
      <c r="Y42" s="43">
        <f t="shared" si="33"/>
        <v>0</v>
      </c>
      <c r="Z42" s="43">
        <f t="shared" si="33"/>
        <v>0</v>
      </c>
      <c r="AA42" s="43">
        <f t="shared" si="33"/>
        <v>0</v>
      </c>
      <c r="AB42" s="43">
        <f t="shared" si="33"/>
        <v>0</v>
      </c>
      <c r="AC42" s="43" t="e">
        <f t="shared" si="3"/>
        <v>#DIV/0!</v>
      </c>
      <c r="AD42" s="43" t="e">
        <f t="shared" si="4"/>
        <v>#DIV/0!</v>
      </c>
      <c r="AE42" s="43" t="e">
        <f t="shared" si="5"/>
        <v>#DIV/0!</v>
      </c>
      <c r="AF42" s="43" t="e">
        <f t="shared" si="6"/>
        <v>#DIV/0!</v>
      </c>
      <c r="AG42" s="43" t="e">
        <f t="shared" si="7"/>
        <v>#DIV/0!</v>
      </c>
      <c r="AH42" s="43" t="e">
        <f t="shared" si="8"/>
        <v>#DIV/0!</v>
      </c>
      <c r="AI42" s="43" t="e">
        <f t="shared" si="9"/>
        <v>#DIV/0!</v>
      </c>
      <c r="AJ42" s="43" t="e">
        <f t="shared" si="10"/>
        <v>#DIV/0!</v>
      </c>
      <c r="AK42" s="43" t="e">
        <f t="shared" si="11"/>
        <v>#DIV/0!</v>
      </c>
      <c r="AL42" s="43" t="e">
        <f>T$3+K42/ATM_Conf!$C$5</f>
        <v>#DIV/0!</v>
      </c>
      <c r="AM42" s="43" t="e">
        <f>U$3+L42/ATM_Conf!$C$5</f>
        <v>#DIV/0!</v>
      </c>
      <c r="AN42" s="43" t="e">
        <f>V$3+M42/ATM_Conf!$C$5</f>
        <v>#DIV/0!</v>
      </c>
      <c r="AO42" s="43" t="e">
        <f>W$3+N42/ATM_Conf!$C$5</f>
        <v>#DIV/0!</v>
      </c>
      <c r="AP42" s="43" t="e">
        <f>X$3+O42/ATM_Conf!$C$5</f>
        <v>#DIV/0!</v>
      </c>
      <c r="AQ42" s="43" t="e">
        <f>Y$3+P42/ATM_Conf!$C$5</f>
        <v>#DIV/0!</v>
      </c>
      <c r="AR42" s="43" t="e">
        <f>Z$3+Q42/ATM_Conf!$C$5</f>
        <v>#DIV/0!</v>
      </c>
      <c r="AS42" s="43" t="e">
        <f>AA$3+R42/ATM_Conf!$C$5</f>
        <v>#DIV/0!</v>
      </c>
      <c r="AT42" s="43" t="e">
        <f>AB$3+S42/ATM_Conf!$C$5</f>
        <v>#DIV/0!</v>
      </c>
      <c r="AU42" s="43" t="e">
        <f>BD$3*MIN(1,(ATM_Conf!$C$6-Links!X42)/(ATM_Conf!$C$6-ATM_Conf!$C$7))</f>
        <v>#DIV/0!</v>
      </c>
      <c r="AV42" s="43" t="e">
        <f>BE$3*MIN(1,(ATM_Conf!$C$6-Links!Z42)/(ATM_Conf!$C$6-ATM_Conf!$C$7))</f>
        <v>#DIV/0!</v>
      </c>
      <c r="AW42" s="43" t="e">
        <f>BF$3*MIN(1,(ATM_Conf!$C$6-Links!AA42)/(ATM_Conf!$C$6-ATM_Conf!$C$7))</f>
        <v>#DIV/0!</v>
      </c>
      <c r="AX42" s="43" t="e">
        <f>BG$3*MIN(1,(ATM_Conf!$C$6-Links!AD42)/(ATM_Conf!$C$6-ATM_Conf!$C$7))</f>
        <v>#DIV/0!</v>
      </c>
      <c r="AY42" s="43" t="e">
        <f>BH$3*MIN(1,(ATM_Conf!$C$6-Links!AE42)/(ATM_Conf!$C$6-ATM_Conf!$C$7))</f>
        <v>#DIV/0!</v>
      </c>
      <c r="AZ42" s="43" t="e">
        <f>BI$3*MIN(1,(ATM_Conf!$C$6-Links!AG42)/(ATM_Conf!$C$6-ATM_Conf!$C$7))</f>
        <v>#DIV/0!</v>
      </c>
      <c r="BA42" s="43" t="e">
        <f>BJ$3*MIN(1,(ATM_Conf!$C$6-Links!AH42)/(ATM_Conf!$C$6-ATM_Conf!$C$7))</f>
        <v>#DIV/0!</v>
      </c>
      <c r="BB42" s="43" t="e">
        <f>BK$3*MIN(1,(ATM_Conf!$C$6-Links!AK42)/(ATM_Conf!$C$6-ATM_Conf!$C$7))</f>
        <v>#DIV/0!</v>
      </c>
      <c r="BC42" s="43" t="e">
        <f>BL$3*MIN(1,(ATM_Conf!$C$6-Links!AM42)/(ATM_Conf!$C$6-ATM_Conf!$C$7))</f>
        <v>#DIV/0!</v>
      </c>
      <c r="BD42" s="43">
        <f t="shared" si="34"/>
        <v>0</v>
      </c>
      <c r="BE42" s="43">
        <f t="shared" si="34"/>
        <v>0</v>
      </c>
      <c r="BF42" s="43">
        <f t="shared" si="34"/>
        <v>0</v>
      </c>
      <c r="BG42" s="43">
        <f t="shared" si="34"/>
        <v>0</v>
      </c>
      <c r="BH42" s="43">
        <f t="shared" si="34"/>
        <v>0</v>
      </c>
      <c r="BI42" s="43">
        <f t="shared" si="34"/>
        <v>0</v>
      </c>
      <c r="BJ42" s="43">
        <f t="shared" si="34"/>
        <v>0</v>
      </c>
      <c r="BK42" s="43">
        <f t="shared" si="34"/>
        <v>0</v>
      </c>
      <c r="BL42" s="43">
        <f t="shared" si="34"/>
        <v>0</v>
      </c>
      <c r="BM42" s="51"/>
      <c r="BN42" s="51"/>
      <c r="BO42" s="51"/>
      <c r="BP42" s="51"/>
      <c r="BQ42" s="51"/>
      <c r="BR42" s="51"/>
      <c r="BS42" s="51"/>
      <c r="BT42" s="51"/>
      <c r="BU42" s="51"/>
      <c r="BV42" s="51" t="e">
        <f t="shared" si="13"/>
        <v>#DIV/0!</v>
      </c>
      <c r="BW42" s="51" t="e">
        <f t="shared" si="14"/>
        <v>#DIV/0!</v>
      </c>
      <c r="BX42" s="51" t="e">
        <f t="shared" si="15"/>
        <v>#DIV/0!</v>
      </c>
      <c r="BY42" s="51" t="e">
        <f t="shared" si="16"/>
        <v>#DIV/0!</v>
      </c>
      <c r="BZ42" s="51" t="e">
        <f t="shared" si="17"/>
        <v>#DIV/0!</v>
      </c>
      <c r="CA42" s="51" t="e">
        <f t="shared" si="18"/>
        <v>#DIV/0!</v>
      </c>
      <c r="CB42" s="51" t="e">
        <f t="shared" si="19"/>
        <v>#DIV/0!</v>
      </c>
      <c r="CC42" s="51" t="e">
        <f t="shared" si="20"/>
        <v>#DIV/0!</v>
      </c>
      <c r="CD42" s="51" t="e">
        <f t="shared" si="21"/>
        <v>#DIV/0!</v>
      </c>
      <c r="CE42" s="53">
        <f t="shared" si="35"/>
        <v>0</v>
      </c>
      <c r="CF42" s="53">
        <f t="shared" si="35"/>
        <v>0</v>
      </c>
      <c r="CG42" s="53">
        <f t="shared" si="35"/>
        <v>0</v>
      </c>
      <c r="CH42" s="53">
        <f t="shared" si="35"/>
        <v>0</v>
      </c>
      <c r="CI42" s="53">
        <f t="shared" si="35"/>
        <v>0</v>
      </c>
      <c r="CJ42" s="53">
        <f t="shared" si="35"/>
        <v>0</v>
      </c>
      <c r="CK42" s="53">
        <f t="shared" si="35"/>
        <v>0</v>
      </c>
      <c r="CL42" s="53">
        <f t="shared" si="35"/>
        <v>0</v>
      </c>
      <c r="CM42" s="53">
        <f t="shared" si="35"/>
        <v>0</v>
      </c>
    </row>
    <row r="43" spans="1:91" x14ac:dyDescent="0.15">
      <c r="A43" s="41">
        <v>41</v>
      </c>
      <c r="B43" s="43">
        <f t="shared" si="38"/>
        <v>1</v>
      </c>
      <c r="C43" s="43">
        <f t="shared" si="37"/>
        <v>1</v>
      </c>
      <c r="D43" s="43">
        <f t="shared" si="37"/>
        <v>1</v>
      </c>
      <c r="E43" s="43">
        <f t="shared" si="37"/>
        <v>1</v>
      </c>
      <c r="F43" s="43">
        <f t="shared" si="37"/>
        <v>1</v>
      </c>
      <c r="G43" s="43">
        <f t="shared" si="37"/>
        <v>1</v>
      </c>
      <c r="H43" s="43">
        <f t="shared" si="37"/>
        <v>1</v>
      </c>
      <c r="I43" s="43">
        <f t="shared" si="37"/>
        <v>1</v>
      </c>
      <c r="J43" s="43">
        <f t="shared" si="37"/>
        <v>1</v>
      </c>
      <c r="K43" s="43" t="e">
        <f>K42+ATM_Conf!$C$5*(T42-AC42)</f>
        <v>#DIV/0!</v>
      </c>
      <c r="L43" s="43" t="e">
        <f>L42+ATM_Conf!$C$5*(U42-AD42)</f>
        <v>#DIV/0!</v>
      </c>
      <c r="M43" s="43" t="e">
        <f>M42+ATM_Conf!$C$5*(V42-AE42)</f>
        <v>#DIV/0!</v>
      </c>
      <c r="N43" s="43" t="e">
        <f>N42+ATM_Conf!$C$5*(W42-AF42)</f>
        <v>#DIV/0!</v>
      </c>
      <c r="O43" s="43" t="e">
        <f>O42+ATM_Conf!$C$5*(X42-AG42)</f>
        <v>#DIV/0!</v>
      </c>
      <c r="P43" s="43" t="e">
        <f>P42+ATM_Conf!$C$5*(Y42-AH42)</f>
        <v>#DIV/0!</v>
      </c>
      <c r="Q43" s="43" t="e">
        <f>Q42+ATM_Conf!$C$5*(Z42-AI42)</f>
        <v>#DIV/0!</v>
      </c>
      <c r="R43" s="43" t="e">
        <f>R42+ATM_Conf!$C$5*(AA42-AJ42)</f>
        <v>#DIV/0!</v>
      </c>
      <c r="S43" s="43" t="e">
        <f>S42+ATM_Conf!$C$5*(AB42-AK42)</f>
        <v>#DIV/0!</v>
      </c>
      <c r="T43" s="43">
        <f t="shared" si="33"/>
        <v>0</v>
      </c>
      <c r="U43" s="43">
        <f t="shared" si="33"/>
        <v>0</v>
      </c>
      <c r="V43" s="43">
        <f t="shared" si="33"/>
        <v>0</v>
      </c>
      <c r="W43" s="43">
        <f t="shared" si="33"/>
        <v>0</v>
      </c>
      <c r="X43" s="43">
        <f t="shared" si="33"/>
        <v>0</v>
      </c>
      <c r="Y43" s="43">
        <f t="shared" si="33"/>
        <v>0</v>
      </c>
      <c r="Z43" s="43">
        <f t="shared" si="33"/>
        <v>0</v>
      </c>
      <c r="AA43" s="43">
        <f t="shared" si="33"/>
        <v>0</v>
      </c>
      <c r="AB43" s="43">
        <f t="shared" si="33"/>
        <v>0</v>
      </c>
      <c r="AC43" s="43" t="e">
        <f t="shared" si="3"/>
        <v>#DIV/0!</v>
      </c>
      <c r="AD43" s="43" t="e">
        <f t="shared" si="4"/>
        <v>#DIV/0!</v>
      </c>
      <c r="AE43" s="43" t="e">
        <f t="shared" si="5"/>
        <v>#DIV/0!</v>
      </c>
      <c r="AF43" s="43" t="e">
        <f t="shared" si="6"/>
        <v>#DIV/0!</v>
      </c>
      <c r="AG43" s="43" t="e">
        <f t="shared" si="7"/>
        <v>#DIV/0!</v>
      </c>
      <c r="AH43" s="43" t="e">
        <f t="shared" si="8"/>
        <v>#DIV/0!</v>
      </c>
      <c r="AI43" s="43" t="e">
        <f t="shared" si="9"/>
        <v>#DIV/0!</v>
      </c>
      <c r="AJ43" s="43" t="e">
        <f t="shared" si="10"/>
        <v>#DIV/0!</v>
      </c>
      <c r="AK43" s="43" t="e">
        <f t="shared" si="11"/>
        <v>#DIV/0!</v>
      </c>
      <c r="AL43" s="43" t="e">
        <f>T$3+K43/ATM_Conf!$C$5</f>
        <v>#DIV/0!</v>
      </c>
      <c r="AM43" s="43" t="e">
        <f>U$3+L43/ATM_Conf!$C$5</f>
        <v>#DIV/0!</v>
      </c>
      <c r="AN43" s="43" t="e">
        <f>V$3+M43/ATM_Conf!$C$5</f>
        <v>#DIV/0!</v>
      </c>
      <c r="AO43" s="43" t="e">
        <f>W$3+N43/ATM_Conf!$C$5</f>
        <v>#DIV/0!</v>
      </c>
      <c r="AP43" s="43" t="e">
        <f>X$3+O43/ATM_Conf!$C$5</f>
        <v>#DIV/0!</v>
      </c>
      <c r="AQ43" s="43" t="e">
        <f>Y$3+P43/ATM_Conf!$C$5</f>
        <v>#DIV/0!</v>
      </c>
      <c r="AR43" s="43" t="e">
        <f>Z$3+Q43/ATM_Conf!$C$5</f>
        <v>#DIV/0!</v>
      </c>
      <c r="AS43" s="43" t="e">
        <f>AA$3+R43/ATM_Conf!$C$5</f>
        <v>#DIV/0!</v>
      </c>
      <c r="AT43" s="43" t="e">
        <f>AB$3+S43/ATM_Conf!$C$5</f>
        <v>#DIV/0!</v>
      </c>
      <c r="AU43" s="43" t="e">
        <f>BD$3*MIN(1,(ATM_Conf!$C$6-Links!X43)/(ATM_Conf!$C$6-ATM_Conf!$C$7))</f>
        <v>#DIV/0!</v>
      </c>
      <c r="AV43" s="43" t="e">
        <f>BE$3*MIN(1,(ATM_Conf!$C$6-Links!Z43)/(ATM_Conf!$C$6-ATM_Conf!$C$7))</f>
        <v>#DIV/0!</v>
      </c>
      <c r="AW43" s="43" t="e">
        <f>BF$3*MIN(1,(ATM_Conf!$C$6-Links!AA43)/(ATM_Conf!$C$6-ATM_Conf!$C$7))</f>
        <v>#DIV/0!</v>
      </c>
      <c r="AX43" s="43" t="e">
        <f>BG$3*MIN(1,(ATM_Conf!$C$6-Links!AD43)/(ATM_Conf!$C$6-ATM_Conf!$C$7))</f>
        <v>#DIV/0!</v>
      </c>
      <c r="AY43" s="43" t="e">
        <f>BH$3*MIN(1,(ATM_Conf!$C$6-Links!AE43)/(ATM_Conf!$C$6-ATM_Conf!$C$7))</f>
        <v>#DIV/0!</v>
      </c>
      <c r="AZ43" s="43" t="e">
        <f>BI$3*MIN(1,(ATM_Conf!$C$6-Links!AG43)/(ATM_Conf!$C$6-ATM_Conf!$C$7))</f>
        <v>#DIV/0!</v>
      </c>
      <c r="BA43" s="43" t="e">
        <f>BJ$3*MIN(1,(ATM_Conf!$C$6-Links!AH43)/(ATM_Conf!$C$6-ATM_Conf!$C$7))</f>
        <v>#DIV/0!</v>
      </c>
      <c r="BB43" s="43" t="e">
        <f>BK$3*MIN(1,(ATM_Conf!$C$6-Links!AK43)/(ATM_Conf!$C$6-ATM_Conf!$C$7))</f>
        <v>#DIV/0!</v>
      </c>
      <c r="BC43" s="43" t="e">
        <f>BL$3*MIN(1,(ATM_Conf!$C$6-Links!AM43)/(ATM_Conf!$C$6-ATM_Conf!$C$7))</f>
        <v>#DIV/0!</v>
      </c>
      <c r="BD43" s="43">
        <f t="shared" si="34"/>
        <v>0</v>
      </c>
      <c r="BE43" s="43">
        <f t="shared" si="34"/>
        <v>0</v>
      </c>
      <c r="BF43" s="43">
        <f t="shared" si="34"/>
        <v>0</v>
      </c>
      <c r="BG43" s="43">
        <f t="shared" si="34"/>
        <v>0</v>
      </c>
      <c r="BH43" s="43">
        <f t="shared" si="34"/>
        <v>0</v>
      </c>
      <c r="BI43" s="43">
        <f t="shared" si="34"/>
        <v>0</v>
      </c>
      <c r="BJ43" s="43">
        <f t="shared" si="34"/>
        <v>0</v>
      </c>
      <c r="BK43" s="43">
        <f t="shared" si="34"/>
        <v>0</v>
      </c>
      <c r="BL43" s="43">
        <f t="shared" si="34"/>
        <v>0</v>
      </c>
      <c r="BM43" s="51"/>
      <c r="BN43" s="51"/>
      <c r="BO43" s="51"/>
      <c r="BP43" s="51"/>
      <c r="BQ43" s="51"/>
      <c r="BR43" s="51"/>
      <c r="BS43" s="51"/>
      <c r="BT43" s="51"/>
      <c r="BU43" s="51"/>
      <c r="BV43" s="51" t="e">
        <f t="shared" si="13"/>
        <v>#DIV/0!</v>
      </c>
      <c r="BW43" s="51" t="e">
        <f t="shared" si="14"/>
        <v>#DIV/0!</v>
      </c>
      <c r="BX43" s="51" t="e">
        <f t="shared" si="15"/>
        <v>#DIV/0!</v>
      </c>
      <c r="BY43" s="51" t="e">
        <f t="shared" si="16"/>
        <v>#DIV/0!</v>
      </c>
      <c r="BZ43" s="51" t="e">
        <f t="shared" si="17"/>
        <v>#DIV/0!</v>
      </c>
      <c r="CA43" s="51" t="e">
        <f t="shared" si="18"/>
        <v>#DIV/0!</v>
      </c>
      <c r="CB43" s="51" t="e">
        <f t="shared" si="19"/>
        <v>#DIV/0!</v>
      </c>
      <c r="CC43" s="51" t="e">
        <f t="shared" si="20"/>
        <v>#DIV/0!</v>
      </c>
      <c r="CD43" s="51" t="e">
        <f t="shared" si="21"/>
        <v>#DIV/0!</v>
      </c>
      <c r="CE43" s="53">
        <f t="shared" si="35"/>
        <v>0</v>
      </c>
      <c r="CF43" s="53">
        <f t="shared" si="35"/>
        <v>0</v>
      </c>
      <c r="CG43" s="53">
        <f t="shared" si="35"/>
        <v>0</v>
      </c>
      <c r="CH43" s="53">
        <f t="shared" si="35"/>
        <v>0</v>
      </c>
      <c r="CI43" s="53">
        <f t="shared" si="35"/>
        <v>0</v>
      </c>
      <c r="CJ43" s="53">
        <f t="shared" si="35"/>
        <v>0</v>
      </c>
      <c r="CK43" s="53">
        <f t="shared" si="35"/>
        <v>0</v>
      </c>
      <c r="CL43" s="53">
        <f t="shared" si="35"/>
        <v>0</v>
      </c>
      <c r="CM43" s="53">
        <f t="shared" si="35"/>
        <v>0</v>
      </c>
    </row>
    <row r="44" spans="1:91" x14ac:dyDescent="0.15">
      <c r="A44" s="41">
        <v>42</v>
      </c>
      <c r="B44" s="43">
        <f t="shared" si="38"/>
        <v>1</v>
      </c>
      <c r="C44" s="43">
        <f t="shared" si="37"/>
        <v>1</v>
      </c>
      <c r="D44" s="43">
        <f t="shared" si="37"/>
        <v>1</v>
      </c>
      <c r="E44" s="43">
        <f t="shared" si="37"/>
        <v>1</v>
      </c>
      <c r="F44" s="43">
        <f t="shared" si="37"/>
        <v>1</v>
      </c>
      <c r="G44" s="43">
        <f t="shared" si="37"/>
        <v>1</v>
      </c>
      <c r="H44" s="43">
        <f t="shared" si="37"/>
        <v>1</v>
      </c>
      <c r="I44" s="43">
        <f t="shared" si="37"/>
        <v>1</v>
      </c>
      <c r="J44" s="43">
        <f t="shared" si="37"/>
        <v>1</v>
      </c>
      <c r="K44" s="43" t="e">
        <f>K43+ATM_Conf!$C$5*(T43-AC43)</f>
        <v>#DIV/0!</v>
      </c>
      <c r="L44" s="43" t="e">
        <f>L43+ATM_Conf!$C$5*(U43-AD43)</f>
        <v>#DIV/0!</v>
      </c>
      <c r="M44" s="43" t="e">
        <f>M43+ATM_Conf!$C$5*(V43-AE43)</f>
        <v>#DIV/0!</v>
      </c>
      <c r="N44" s="43" t="e">
        <f>N43+ATM_Conf!$C$5*(W43-AF43)</f>
        <v>#DIV/0!</v>
      </c>
      <c r="O44" s="43" t="e">
        <f>O43+ATM_Conf!$C$5*(X43-AG43)</f>
        <v>#DIV/0!</v>
      </c>
      <c r="P44" s="43" t="e">
        <f>P43+ATM_Conf!$C$5*(Y43-AH43)</f>
        <v>#DIV/0!</v>
      </c>
      <c r="Q44" s="43" t="e">
        <f>Q43+ATM_Conf!$C$5*(Z43-AI43)</f>
        <v>#DIV/0!</v>
      </c>
      <c r="R44" s="43" t="e">
        <f>R43+ATM_Conf!$C$5*(AA43-AJ43)</f>
        <v>#DIV/0!</v>
      </c>
      <c r="S44" s="43" t="e">
        <f>S43+ATM_Conf!$C$5*(AB43-AK43)</f>
        <v>#DIV/0!</v>
      </c>
      <c r="T44" s="43">
        <f t="shared" si="33"/>
        <v>0</v>
      </c>
      <c r="U44" s="43">
        <f t="shared" si="33"/>
        <v>0</v>
      </c>
      <c r="V44" s="43">
        <f t="shared" si="33"/>
        <v>0</v>
      </c>
      <c r="W44" s="43">
        <f t="shared" si="33"/>
        <v>0</v>
      </c>
      <c r="X44" s="43">
        <f t="shared" si="33"/>
        <v>0</v>
      </c>
      <c r="Y44" s="43">
        <f t="shared" si="33"/>
        <v>0</v>
      </c>
      <c r="Z44" s="43">
        <f t="shared" si="33"/>
        <v>0</v>
      </c>
      <c r="AA44" s="43">
        <f t="shared" si="33"/>
        <v>0</v>
      </c>
      <c r="AB44" s="43">
        <f t="shared" si="33"/>
        <v>0</v>
      </c>
      <c r="AC44" s="43" t="e">
        <f t="shared" si="3"/>
        <v>#DIV/0!</v>
      </c>
      <c r="AD44" s="43" t="e">
        <f t="shared" si="4"/>
        <v>#DIV/0!</v>
      </c>
      <c r="AE44" s="43" t="e">
        <f t="shared" si="5"/>
        <v>#DIV/0!</v>
      </c>
      <c r="AF44" s="43" t="e">
        <f t="shared" si="6"/>
        <v>#DIV/0!</v>
      </c>
      <c r="AG44" s="43" t="e">
        <f t="shared" si="7"/>
        <v>#DIV/0!</v>
      </c>
      <c r="AH44" s="43" t="e">
        <f t="shared" si="8"/>
        <v>#DIV/0!</v>
      </c>
      <c r="AI44" s="43" t="e">
        <f t="shared" si="9"/>
        <v>#DIV/0!</v>
      </c>
      <c r="AJ44" s="43" t="e">
        <f t="shared" si="10"/>
        <v>#DIV/0!</v>
      </c>
      <c r="AK44" s="43" t="e">
        <f t="shared" si="11"/>
        <v>#DIV/0!</v>
      </c>
      <c r="AL44" s="43" t="e">
        <f>T$3+K44/ATM_Conf!$C$5</f>
        <v>#DIV/0!</v>
      </c>
      <c r="AM44" s="43" t="e">
        <f>U$3+L44/ATM_Conf!$C$5</f>
        <v>#DIV/0!</v>
      </c>
      <c r="AN44" s="43" t="e">
        <f>V$3+M44/ATM_Conf!$C$5</f>
        <v>#DIV/0!</v>
      </c>
      <c r="AO44" s="43" t="e">
        <f>W$3+N44/ATM_Conf!$C$5</f>
        <v>#DIV/0!</v>
      </c>
      <c r="AP44" s="43" t="e">
        <f>X$3+O44/ATM_Conf!$C$5</f>
        <v>#DIV/0!</v>
      </c>
      <c r="AQ44" s="43" t="e">
        <f>Y$3+P44/ATM_Conf!$C$5</f>
        <v>#DIV/0!</v>
      </c>
      <c r="AR44" s="43" t="e">
        <f>Z$3+Q44/ATM_Conf!$C$5</f>
        <v>#DIV/0!</v>
      </c>
      <c r="AS44" s="43" t="e">
        <f>AA$3+R44/ATM_Conf!$C$5</f>
        <v>#DIV/0!</v>
      </c>
      <c r="AT44" s="43" t="e">
        <f>AB$3+S44/ATM_Conf!$C$5</f>
        <v>#DIV/0!</v>
      </c>
      <c r="AU44" s="43" t="e">
        <f>BD$3*MIN(1,(ATM_Conf!$C$6-Links!X44)/(ATM_Conf!$C$6-ATM_Conf!$C$7))</f>
        <v>#DIV/0!</v>
      </c>
      <c r="AV44" s="43" t="e">
        <f>BE$3*MIN(1,(ATM_Conf!$C$6-Links!Z44)/(ATM_Conf!$C$6-ATM_Conf!$C$7))</f>
        <v>#DIV/0!</v>
      </c>
      <c r="AW44" s="43" t="e">
        <f>BF$3*MIN(1,(ATM_Conf!$C$6-Links!AA44)/(ATM_Conf!$C$6-ATM_Conf!$C$7))</f>
        <v>#DIV/0!</v>
      </c>
      <c r="AX44" s="43" t="e">
        <f>BG$3*MIN(1,(ATM_Conf!$C$6-Links!AD44)/(ATM_Conf!$C$6-ATM_Conf!$C$7))</f>
        <v>#DIV/0!</v>
      </c>
      <c r="AY44" s="43" t="e">
        <f>BH$3*MIN(1,(ATM_Conf!$C$6-Links!AE44)/(ATM_Conf!$C$6-ATM_Conf!$C$7))</f>
        <v>#DIV/0!</v>
      </c>
      <c r="AZ44" s="43" t="e">
        <f>BI$3*MIN(1,(ATM_Conf!$C$6-Links!AG44)/(ATM_Conf!$C$6-ATM_Conf!$C$7))</f>
        <v>#DIV/0!</v>
      </c>
      <c r="BA44" s="43" t="e">
        <f>BJ$3*MIN(1,(ATM_Conf!$C$6-Links!AH44)/(ATM_Conf!$C$6-ATM_Conf!$C$7))</f>
        <v>#DIV/0!</v>
      </c>
      <c r="BB44" s="43" t="e">
        <f>BK$3*MIN(1,(ATM_Conf!$C$6-Links!AK44)/(ATM_Conf!$C$6-ATM_Conf!$C$7))</f>
        <v>#DIV/0!</v>
      </c>
      <c r="BC44" s="43" t="e">
        <f>BL$3*MIN(1,(ATM_Conf!$C$6-Links!AM44)/(ATM_Conf!$C$6-ATM_Conf!$C$7))</f>
        <v>#DIV/0!</v>
      </c>
      <c r="BD44" s="43">
        <f t="shared" si="34"/>
        <v>0</v>
      </c>
      <c r="BE44" s="43">
        <f t="shared" si="34"/>
        <v>0</v>
      </c>
      <c r="BF44" s="43">
        <f t="shared" si="34"/>
        <v>0</v>
      </c>
      <c r="BG44" s="43">
        <f t="shared" si="34"/>
        <v>0</v>
      </c>
      <c r="BH44" s="43">
        <f t="shared" si="34"/>
        <v>0</v>
      </c>
      <c r="BI44" s="43">
        <f t="shared" si="34"/>
        <v>0</v>
      </c>
      <c r="BJ44" s="43">
        <f t="shared" si="34"/>
        <v>0</v>
      </c>
      <c r="BK44" s="43">
        <f t="shared" si="34"/>
        <v>0</v>
      </c>
      <c r="BL44" s="43">
        <f t="shared" si="34"/>
        <v>0</v>
      </c>
      <c r="BM44" s="51"/>
      <c r="BN44" s="51"/>
      <c r="BO44" s="51"/>
      <c r="BP44" s="51"/>
      <c r="BQ44" s="51"/>
      <c r="BR44" s="51"/>
      <c r="BS44" s="51"/>
      <c r="BT44" s="51"/>
      <c r="BU44" s="51"/>
      <c r="BV44" s="51" t="e">
        <f t="shared" si="13"/>
        <v>#DIV/0!</v>
      </c>
      <c r="BW44" s="51" t="e">
        <f t="shared" si="14"/>
        <v>#DIV/0!</v>
      </c>
      <c r="BX44" s="51" t="e">
        <f t="shared" si="15"/>
        <v>#DIV/0!</v>
      </c>
      <c r="BY44" s="51" t="e">
        <f t="shared" si="16"/>
        <v>#DIV/0!</v>
      </c>
      <c r="BZ44" s="51" t="e">
        <f t="shared" si="17"/>
        <v>#DIV/0!</v>
      </c>
      <c r="CA44" s="51" t="e">
        <f t="shared" si="18"/>
        <v>#DIV/0!</v>
      </c>
      <c r="CB44" s="51" t="e">
        <f t="shared" si="19"/>
        <v>#DIV/0!</v>
      </c>
      <c r="CC44" s="51" t="e">
        <f t="shared" si="20"/>
        <v>#DIV/0!</v>
      </c>
      <c r="CD44" s="51" t="e">
        <f t="shared" si="21"/>
        <v>#DIV/0!</v>
      </c>
      <c r="CE44" s="53">
        <f t="shared" si="35"/>
        <v>0</v>
      </c>
      <c r="CF44" s="53">
        <f t="shared" si="35"/>
        <v>0</v>
      </c>
      <c r="CG44" s="53">
        <f t="shared" si="35"/>
        <v>0</v>
      </c>
      <c r="CH44" s="53">
        <f t="shared" si="35"/>
        <v>0</v>
      </c>
      <c r="CI44" s="53">
        <f t="shared" si="35"/>
        <v>0</v>
      </c>
      <c r="CJ44" s="53">
        <f t="shared" si="35"/>
        <v>0</v>
      </c>
      <c r="CK44" s="53">
        <f t="shared" si="35"/>
        <v>0</v>
      </c>
      <c r="CL44" s="53">
        <f t="shared" si="35"/>
        <v>0</v>
      </c>
      <c r="CM44" s="53">
        <f t="shared" si="35"/>
        <v>0</v>
      </c>
    </row>
    <row r="45" spans="1:91" x14ac:dyDescent="0.15">
      <c r="A45" s="41">
        <v>43</v>
      </c>
      <c r="B45" s="43">
        <f t="shared" si="38"/>
        <v>1</v>
      </c>
      <c r="C45" s="43">
        <f t="shared" si="37"/>
        <v>1</v>
      </c>
      <c r="D45" s="43">
        <f t="shared" si="37"/>
        <v>1</v>
      </c>
      <c r="E45" s="43">
        <f t="shared" si="37"/>
        <v>1</v>
      </c>
      <c r="F45" s="43">
        <f t="shared" si="37"/>
        <v>1</v>
      </c>
      <c r="G45" s="43">
        <f t="shared" si="37"/>
        <v>1</v>
      </c>
      <c r="H45" s="43">
        <f t="shared" si="37"/>
        <v>1</v>
      </c>
      <c r="I45" s="43">
        <f t="shared" si="37"/>
        <v>1</v>
      </c>
      <c r="J45" s="43">
        <f t="shared" si="37"/>
        <v>1</v>
      </c>
      <c r="K45" s="43" t="e">
        <f>K44+ATM_Conf!$C$5*(T44-AC44)</f>
        <v>#DIV/0!</v>
      </c>
      <c r="L45" s="43" t="e">
        <f>L44+ATM_Conf!$C$5*(U44-AD44)</f>
        <v>#DIV/0!</v>
      </c>
      <c r="M45" s="43" t="e">
        <f>M44+ATM_Conf!$C$5*(V44-AE44)</f>
        <v>#DIV/0!</v>
      </c>
      <c r="N45" s="43" t="e">
        <f>N44+ATM_Conf!$C$5*(W44-AF44)</f>
        <v>#DIV/0!</v>
      </c>
      <c r="O45" s="43" t="e">
        <f>O44+ATM_Conf!$C$5*(X44-AG44)</f>
        <v>#DIV/0!</v>
      </c>
      <c r="P45" s="43" t="e">
        <f>P44+ATM_Conf!$C$5*(Y44-AH44)</f>
        <v>#DIV/0!</v>
      </c>
      <c r="Q45" s="43" t="e">
        <f>Q44+ATM_Conf!$C$5*(Z44-AI44)</f>
        <v>#DIV/0!</v>
      </c>
      <c r="R45" s="43" t="e">
        <f>R44+ATM_Conf!$C$5*(AA44-AJ44)</f>
        <v>#DIV/0!</v>
      </c>
      <c r="S45" s="43" t="e">
        <f>S44+ATM_Conf!$C$5*(AB44-AK44)</f>
        <v>#DIV/0!</v>
      </c>
      <c r="T45" s="43">
        <f t="shared" si="33"/>
        <v>0</v>
      </c>
      <c r="U45" s="43">
        <f t="shared" si="33"/>
        <v>0</v>
      </c>
      <c r="V45" s="43">
        <f t="shared" si="33"/>
        <v>0</v>
      </c>
      <c r="W45" s="43">
        <f t="shared" si="33"/>
        <v>0</v>
      </c>
      <c r="X45" s="43">
        <f t="shared" si="33"/>
        <v>0</v>
      </c>
      <c r="Y45" s="43">
        <f t="shared" si="33"/>
        <v>0</v>
      </c>
      <c r="Z45" s="43">
        <f t="shared" si="33"/>
        <v>0</v>
      </c>
      <c r="AA45" s="43">
        <f t="shared" si="33"/>
        <v>0</v>
      </c>
      <c r="AB45" s="43">
        <f t="shared" si="33"/>
        <v>0</v>
      </c>
      <c r="AC45" s="43" t="e">
        <f t="shared" si="3"/>
        <v>#DIV/0!</v>
      </c>
      <c r="AD45" s="43" t="e">
        <f t="shared" si="4"/>
        <v>#DIV/0!</v>
      </c>
      <c r="AE45" s="43" t="e">
        <f t="shared" si="5"/>
        <v>#DIV/0!</v>
      </c>
      <c r="AF45" s="43" t="e">
        <f t="shared" si="6"/>
        <v>#DIV/0!</v>
      </c>
      <c r="AG45" s="43" t="e">
        <f t="shared" si="7"/>
        <v>#DIV/0!</v>
      </c>
      <c r="AH45" s="43" t="e">
        <f t="shared" si="8"/>
        <v>#DIV/0!</v>
      </c>
      <c r="AI45" s="43" t="e">
        <f t="shared" si="9"/>
        <v>#DIV/0!</v>
      </c>
      <c r="AJ45" s="43" t="e">
        <f t="shared" si="10"/>
        <v>#DIV/0!</v>
      </c>
      <c r="AK45" s="43" t="e">
        <f t="shared" si="11"/>
        <v>#DIV/0!</v>
      </c>
      <c r="AL45" s="43" t="e">
        <f>T$3+K45/ATM_Conf!$C$5</f>
        <v>#DIV/0!</v>
      </c>
      <c r="AM45" s="43" t="e">
        <f>U$3+L45/ATM_Conf!$C$5</f>
        <v>#DIV/0!</v>
      </c>
      <c r="AN45" s="43" t="e">
        <f>V$3+M45/ATM_Conf!$C$5</f>
        <v>#DIV/0!</v>
      </c>
      <c r="AO45" s="43" t="e">
        <f>W$3+N45/ATM_Conf!$C$5</f>
        <v>#DIV/0!</v>
      </c>
      <c r="AP45" s="43" t="e">
        <f>X$3+O45/ATM_Conf!$C$5</f>
        <v>#DIV/0!</v>
      </c>
      <c r="AQ45" s="43" t="e">
        <f>Y$3+P45/ATM_Conf!$C$5</f>
        <v>#DIV/0!</v>
      </c>
      <c r="AR45" s="43" t="e">
        <f>Z$3+Q45/ATM_Conf!$C$5</f>
        <v>#DIV/0!</v>
      </c>
      <c r="AS45" s="43" t="e">
        <f>AA$3+R45/ATM_Conf!$C$5</f>
        <v>#DIV/0!</v>
      </c>
      <c r="AT45" s="43" t="e">
        <f>AB$3+S45/ATM_Conf!$C$5</f>
        <v>#DIV/0!</v>
      </c>
      <c r="AU45" s="43" t="e">
        <f>BD$3*MIN(1,(ATM_Conf!$C$6-Links!X45)/(ATM_Conf!$C$6-ATM_Conf!$C$7))</f>
        <v>#DIV/0!</v>
      </c>
      <c r="AV45" s="43" t="e">
        <f>BE$3*MIN(1,(ATM_Conf!$C$6-Links!Z45)/(ATM_Conf!$C$6-ATM_Conf!$C$7))</f>
        <v>#DIV/0!</v>
      </c>
      <c r="AW45" s="43" t="e">
        <f>BF$3*MIN(1,(ATM_Conf!$C$6-Links!AA45)/(ATM_Conf!$C$6-ATM_Conf!$C$7))</f>
        <v>#DIV/0!</v>
      </c>
      <c r="AX45" s="43" t="e">
        <f>BG$3*MIN(1,(ATM_Conf!$C$6-Links!AD45)/(ATM_Conf!$C$6-ATM_Conf!$C$7))</f>
        <v>#DIV/0!</v>
      </c>
      <c r="AY45" s="43" t="e">
        <f>BH$3*MIN(1,(ATM_Conf!$C$6-Links!AE45)/(ATM_Conf!$C$6-ATM_Conf!$C$7))</f>
        <v>#DIV/0!</v>
      </c>
      <c r="AZ45" s="43" t="e">
        <f>BI$3*MIN(1,(ATM_Conf!$C$6-Links!AG45)/(ATM_Conf!$C$6-ATM_Conf!$C$7))</f>
        <v>#DIV/0!</v>
      </c>
      <c r="BA45" s="43" t="e">
        <f>BJ$3*MIN(1,(ATM_Conf!$C$6-Links!AH45)/(ATM_Conf!$C$6-ATM_Conf!$C$7))</f>
        <v>#DIV/0!</v>
      </c>
      <c r="BB45" s="43" t="e">
        <f>BK$3*MIN(1,(ATM_Conf!$C$6-Links!AK45)/(ATM_Conf!$C$6-ATM_Conf!$C$7))</f>
        <v>#DIV/0!</v>
      </c>
      <c r="BC45" s="43" t="e">
        <f>BL$3*MIN(1,(ATM_Conf!$C$6-Links!AM45)/(ATM_Conf!$C$6-ATM_Conf!$C$7))</f>
        <v>#DIV/0!</v>
      </c>
      <c r="BD45" s="43">
        <f t="shared" si="34"/>
        <v>0</v>
      </c>
      <c r="BE45" s="43">
        <f t="shared" si="34"/>
        <v>0</v>
      </c>
      <c r="BF45" s="43">
        <f t="shared" si="34"/>
        <v>0</v>
      </c>
      <c r="BG45" s="43">
        <f t="shared" si="34"/>
        <v>0</v>
      </c>
      <c r="BH45" s="43">
        <f t="shared" si="34"/>
        <v>0</v>
      </c>
      <c r="BI45" s="43">
        <f t="shared" si="34"/>
        <v>0</v>
      </c>
      <c r="BJ45" s="43">
        <f t="shared" si="34"/>
        <v>0</v>
      </c>
      <c r="BK45" s="43">
        <f t="shared" si="34"/>
        <v>0</v>
      </c>
      <c r="BL45" s="43">
        <f t="shared" si="34"/>
        <v>0</v>
      </c>
      <c r="BM45" s="51"/>
      <c r="BN45" s="51"/>
      <c r="BO45" s="51"/>
      <c r="BP45" s="51"/>
      <c r="BQ45" s="51"/>
      <c r="BR45" s="51"/>
      <c r="BS45" s="51"/>
      <c r="BT45" s="51"/>
      <c r="BU45" s="51"/>
      <c r="BV45" s="51" t="e">
        <f t="shared" si="13"/>
        <v>#DIV/0!</v>
      </c>
      <c r="BW45" s="51" t="e">
        <f t="shared" si="14"/>
        <v>#DIV/0!</v>
      </c>
      <c r="BX45" s="51" t="e">
        <f t="shared" si="15"/>
        <v>#DIV/0!</v>
      </c>
      <c r="BY45" s="51" t="e">
        <f t="shared" si="16"/>
        <v>#DIV/0!</v>
      </c>
      <c r="BZ45" s="51" t="e">
        <f t="shared" si="17"/>
        <v>#DIV/0!</v>
      </c>
      <c r="CA45" s="51" t="e">
        <f t="shared" si="18"/>
        <v>#DIV/0!</v>
      </c>
      <c r="CB45" s="51" t="e">
        <f t="shared" si="19"/>
        <v>#DIV/0!</v>
      </c>
      <c r="CC45" s="51" t="e">
        <f t="shared" si="20"/>
        <v>#DIV/0!</v>
      </c>
      <c r="CD45" s="51" t="e">
        <f t="shared" si="21"/>
        <v>#DIV/0!</v>
      </c>
      <c r="CE45" s="53">
        <f t="shared" si="35"/>
        <v>0</v>
      </c>
      <c r="CF45" s="53">
        <f t="shared" si="35"/>
        <v>0</v>
      </c>
      <c r="CG45" s="53">
        <f t="shared" si="35"/>
        <v>0</v>
      </c>
      <c r="CH45" s="53">
        <f t="shared" si="35"/>
        <v>0</v>
      </c>
      <c r="CI45" s="53">
        <f t="shared" si="35"/>
        <v>0</v>
      </c>
      <c r="CJ45" s="53">
        <f t="shared" si="35"/>
        <v>0</v>
      </c>
      <c r="CK45" s="53">
        <f t="shared" si="35"/>
        <v>0</v>
      </c>
      <c r="CL45" s="53">
        <f t="shared" si="35"/>
        <v>0</v>
      </c>
      <c r="CM45" s="53">
        <f t="shared" si="35"/>
        <v>0</v>
      </c>
    </row>
    <row r="46" spans="1:91" x14ac:dyDescent="0.15">
      <c r="A46" s="41">
        <v>44</v>
      </c>
      <c r="B46" s="43">
        <f t="shared" si="38"/>
        <v>1</v>
      </c>
      <c r="C46" s="43">
        <f t="shared" si="37"/>
        <v>1</v>
      </c>
      <c r="D46" s="43">
        <f t="shared" si="37"/>
        <v>1</v>
      </c>
      <c r="E46" s="43">
        <f t="shared" si="37"/>
        <v>1</v>
      </c>
      <c r="F46" s="43">
        <f t="shared" si="37"/>
        <v>1</v>
      </c>
      <c r="G46" s="43">
        <f t="shared" si="37"/>
        <v>1</v>
      </c>
      <c r="H46" s="43">
        <f t="shared" si="37"/>
        <v>1</v>
      </c>
      <c r="I46" s="43">
        <f t="shared" si="37"/>
        <v>1</v>
      </c>
      <c r="J46" s="43">
        <f t="shared" si="37"/>
        <v>1</v>
      </c>
      <c r="K46" s="43" t="e">
        <f>K45+ATM_Conf!$C$5*(T45-AC45)</f>
        <v>#DIV/0!</v>
      </c>
      <c r="L46" s="43" t="e">
        <f>L45+ATM_Conf!$C$5*(U45-AD45)</f>
        <v>#DIV/0!</v>
      </c>
      <c r="M46" s="43" t="e">
        <f>M45+ATM_Conf!$C$5*(V45-AE45)</f>
        <v>#DIV/0!</v>
      </c>
      <c r="N46" s="43" t="e">
        <f>N45+ATM_Conf!$C$5*(W45-AF45)</f>
        <v>#DIV/0!</v>
      </c>
      <c r="O46" s="43" t="e">
        <f>O45+ATM_Conf!$C$5*(X45-AG45)</f>
        <v>#DIV/0!</v>
      </c>
      <c r="P46" s="43" t="e">
        <f>P45+ATM_Conf!$C$5*(Y45-AH45)</f>
        <v>#DIV/0!</v>
      </c>
      <c r="Q46" s="43" t="e">
        <f>Q45+ATM_Conf!$C$5*(Z45-AI45)</f>
        <v>#DIV/0!</v>
      </c>
      <c r="R46" s="43" t="e">
        <f>R45+ATM_Conf!$C$5*(AA45-AJ45)</f>
        <v>#DIV/0!</v>
      </c>
      <c r="S46" s="43" t="e">
        <f>S45+ATM_Conf!$C$5*(AB45-AK45)</f>
        <v>#DIV/0!</v>
      </c>
      <c r="T46" s="43">
        <f t="shared" si="33"/>
        <v>0</v>
      </c>
      <c r="U46" s="43">
        <f t="shared" si="33"/>
        <v>0</v>
      </c>
      <c r="V46" s="43">
        <f t="shared" si="33"/>
        <v>0</v>
      </c>
      <c r="W46" s="43">
        <f t="shared" si="33"/>
        <v>0</v>
      </c>
      <c r="X46" s="43">
        <f t="shared" si="33"/>
        <v>0</v>
      </c>
      <c r="Y46" s="43">
        <f t="shared" si="33"/>
        <v>0</v>
      </c>
      <c r="Z46" s="43">
        <f t="shared" si="33"/>
        <v>0</v>
      </c>
      <c r="AA46" s="43">
        <f t="shared" si="33"/>
        <v>0</v>
      </c>
      <c r="AB46" s="43">
        <f t="shared" si="33"/>
        <v>0</v>
      </c>
      <c r="AC46" s="43" t="e">
        <f t="shared" si="3"/>
        <v>#DIV/0!</v>
      </c>
      <c r="AD46" s="43" t="e">
        <f t="shared" si="4"/>
        <v>#DIV/0!</v>
      </c>
      <c r="AE46" s="43" t="e">
        <f t="shared" si="5"/>
        <v>#DIV/0!</v>
      </c>
      <c r="AF46" s="43" t="e">
        <f t="shared" si="6"/>
        <v>#DIV/0!</v>
      </c>
      <c r="AG46" s="43" t="e">
        <f t="shared" si="7"/>
        <v>#DIV/0!</v>
      </c>
      <c r="AH46" s="43" t="e">
        <f t="shared" si="8"/>
        <v>#DIV/0!</v>
      </c>
      <c r="AI46" s="43" t="e">
        <f t="shared" si="9"/>
        <v>#DIV/0!</v>
      </c>
      <c r="AJ46" s="43" t="e">
        <f t="shared" si="10"/>
        <v>#DIV/0!</v>
      </c>
      <c r="AK46" s="43" t="e">
        <f t="shared" si="11"/>
        <v>#DIV/0!</v>
      </c>
      <c r="AL46" s="43" t="e">
        <f>T$3+K46/ATM_Conf!$C$5</f>
        <v>#DIV/0!</v>
      </c>
      <c r="AM46" s="43" t="e">
        <f>U$3+L46/ATM_Conf!$C$5</f>
        <v>#DIV/0!</v>
      </c>
      <c r="AN46" s="43" t="e">
        <f>V$3+M46/ATM_Conf!$C$5</f>
        <v>#DIV/0!</v>
      </c>
      <c r="AO46" s="43" t="e">
        <f>W$3+N46/ATM_Conf!$C$5</f>
        <v>#DIV/0!</v>
      </c>
      <c r="AP46" s="43" t="e">
        <f>X$3+O46/ATM_Conf!$C$5</f>
        <v>#DIV/0!</v>
      </c>
      <c r="AQ46" s="43" t="e">
        <f>Y$3+P46/ATM_Conf!$C$5</f>
        <v>#DIV/0!</v>
      </c>
      <c r="AR46" s="43" t="e">
        <f>Z$3+Q46/ATM_Conf!$C$5</f>
        <v>#DIV/0!</v>
      </c>
      <c r="AS46" s="43" t="e">
        <f>AA$3+R46/ATM_Conf!$C$5</f>
        <v>#DIV/0!</v>
      </c>
      <c r="AT46" s="43" t="e">
        <f>AB$3+S46/ATM_Conf!$C$5</f>
        <v>#DIV/0!</v>
      </c>
      <c r="AU46" s="43" t="e">
        <f>BD$3*MIN(1,(ATM_Conf!$C$6-Links!X46)/(ATM_Conf!$C$6-ATM_Conf!$C$7))</f>
        <v>#DIV/0!</v>
      </c>
      <c r="AV46" s="43" t="e">
        <f>BE$3*MIN(1,(ATM_Conf!$C$6-Links!Z46)/(ATM_Conf!$C$6-ATM_Conf!$C$7))</f>
        <v>#DIV/0!</v>
      </c>
      <c r="AW46" s="43" t="e">
        <f>BF$3*MIN(1,(ATM_Conf!$C$6-Links!AA46)/(ATM_Conf!$C$6-ATM_Conf!$C$7))</f>
        <v>#DIV/0!</v>
      </c>
      <c r="AX46" s="43" t="e">
        <f>BG$3*MIN(1,(ATM_Conf!$C$6-Links!AD46)/(ATM_Conf!$C$6-ATM_Conf!$C$7))</f>
        <v>#DIV/0!</v>
      </c>
      <c r="AY46" s="43" t="e">
        <f>BH$3*MIN(1,(ATM_Conf!$C$6-Links!AE46)/(ATM_Conf!$C$6-ATM_Conf!$C$7))</f>
        <v>#DIV/0!</v>
      </c>
      <c r="AZ46" s="43" t="e">
        <f>BI$3*MIN(1,(ATM_Conf!$C$6-Links!AG46)/(ATM_Conf!$C$6-ATM_Conf!$C$7))</f>
        <v>#DIV/0!</v>
      </c>
      <c r="BA46" s="43" t="e">
        <f>BJ$3*MIN(1,(ATM_Conf!$C$6-Links!AH46)/(ATM_Conf!$C$6-ATM_Conf!$C$7))</f>
        <v>#DIV/0!</v>
      </c>
      <c r="BB46" s="43" t="e">
        <f>BK$3*MIN(1,(ATM_Conf!$C$6-Links!AK46)/(ATM_Conf!$C$6-ATM_Conf!$C$7))</f>
        <v>#DIV/0!</v>
      </c>
      <c r="BC46" s="43" t="e">
        <f>BL$3*MIN(1,(ATM_Conf!$C$6-Links!AM46)/(ATM_Conf!$C$6-ATM_Conf!$C$7))</f>
        <v>#DIV/0!</v>
      </c>
      <c r="BD46" s="43">
        <f t="shared" si="34"/>
        <v>0</v>
      </c>
      <c r="BE46" s="43">
        <f t="shared" si="34"/>
        <v>0</v>
      </c>
      <c r="BF46" s="43">
        <f t="shared" si="34"/>
        <v>0</v>
      </c>
      <c r="BG46" s="43">
        <f t="shared" si="34"/>
        <v>0</v>
      </c>
      <c r="BH46" s="43">
        <f t="shared" si="34"/>
        <v>0</v>
      </c>
      <c r="BI46" s="43">
        <f t="shared" si="34"/>
        <v>0</v>
      </c>
      <c r="BJ46" s="43">
        <f t="shared" si="34"/>
        <v>0</v>
      </c>
      <c r="BK46" s="43">
        <f t="shared" si="34"/>
        <v>0</v>
      </c>
      <c r="BL46" s="43">
        <f t="shared" si="34"/>
        <v>0</v>
      </c>
      <c r="BM46" s="51"/>
      <c r="BN46" s="51"/>
      <c r="BO46" s="51"/>
      <c r="BP46" s="51"/>
      <c r="BQ46" s="51"/>
      <c r="BR46" s="51"/>
      <c r="BS46" s="51"/>
      <c r="BT46" s="51"/>
      <c r="BU46" s="51"/>
      <c r="BV46" s="51" t="e">
        <f t="shared" si="13"/>
        <v>#DIV/0!</v>
      </c>
      <c r="BW46" s="51" t="e">
        <f t="shared" si="14"/>
        <v>#DIV/0!</v>
      </c>
      <c r="BX46" s="51" t="e">
        <f t="shared" si="15"/>
        <v>#DIV/0!</v>
      </c>
      <c r="BY46" s="51" t="e">
        <f t="shared" si="16"/>
        <v>#DIV/0!</v>
      </c>
      <c r="BZ46" s="51" t="e">
        <f t="shared" si="17"/>
        <v>#DIV/0!</v>
      </c>
      <c r="CA46" s="51" t="e">
        <f t="shared" si="18"/>
        <v>#DIV/0!</v>
      </c>
      <c r="CB46" s="51" t="e">
        <f t="shared" si="19"/>
        <v>#DIV/0!</v>
      </c>
      <c r="CC46" s="51" t="e">
        <f t="shared" si="20"/>
        <v>#DIV/0!</v>
      </c>
      <c r="CD46" s="51" t="e">
        <f t="shared" si="21"/>
        <v>#DIV/0!</v>
      </c>
      <c r="CE46" s="53">
        <f t="shared" si="35"/>
        <v>0</v>
      </c>
      <c r="CF46" s="53">
        <f t="shared" si="35"/>
        <v>0</v>
      </c>
      <c r="CG46" s="53">
        <f t="shared" si="35"/>
        <v>0</v>
      </c>
      <c r="CH46" s="53">
        <f t="shared" si="35"/>
        <v>0</v>
      </c>
      <c r="CI46" s="53">
        <f t="shared" si="35"/>
        <v>0</v>
      </c>
      <c r="CJ46" s="53">
        <f t="shared" si="35"/>
        <v>0</v>
      </c>
      <c r="CK46" s="53">
        <f t="shared" si="35"/>
        <v>0</v>
      </c>
      <c r="CL46" s="53">
        <f t="shared" si="35"/>
        <v>0</v>
      </c>
      <c r="CM46" s="53">
        <f t="shared" si="35"/>
        <v>0</v>
      </c>
    </row>
    <row r="47" spans="1:91" x14ac:dyDescent="0.15">
      <c r="A47" s="41">
        <v>45</v>
      </c>
      <c r="B47" s="43">
        <f t="shared" si="38"/>
        <v>1</v>
      </c>
      <c r="C47" s="43">
        <f t="shared" si="37"/>
        <v>1</v>
      </c>
      <c r="D47" s="43">
        <f t="shared" si="37"/>
        <v>1</v>
      </c>
      <c r="E47" s="43">
        <f t="shared" si="37"/>
        <v>1</v>
      </c>
      <c r="F47" s="43">
        <f t="shared" si="37"/>
        <v>1</v>
      </c>
      <c r="G47" s="43">
        <f t="shared" si="37"/>
        <v>1</v>
      </c>
      <c r="H47" s="43">
        <f t="shared" si="37"/>
        <v>1</v>
      </c>
      <c r="I47" s="43">
        <f t="shared" si="37"/>
        <v>1</v>
      </c>
      <c r="J47" s="43">
        <f t="shared" si="37"/>
        <v>1</v>
      </c>
      <c r="K47" s="43" t="e">
        <f>K46+ATM_Conf!$C$5*(T46-AC46)</f>
        <v>#DIV/0!</v>
      </c>
      <c r="L47" s="43" t="e">
        <f>L46+ATM_Conf!$C$5*(U46-AD46)</f>
        <v>#DIV/0!</v>
      </c>
      <c r="M47" s="43" t="e">
        <f>M46+ATM_Conf!$C$5*(V46-AE46)</f>
        <v>#DIV/0!</v>
      </c>
      <c r="N47" s="43" t="e">
        <f>N46+ATM_Conf!$C$5*(W46-AF46)</f>
        <v>#DIV/0!</v>
      </c>
      <c r="O47" s="43" t="e">
        <f>O46+ATM_Conf!$C$5*(X46-AG46)</f>
        <v>#DIV/0!</v>
      </c>
      <c r="P47" s="43" t="e">
        <f>P46+ATM_Conf!$C$5*(Y46-AH46)</f>
        <v>#DIV/0!</v>
      </c>
      <c r="Q47" s="43" t="e">
        <f>Q46+ATM_Conf!$C$5*(Z46-AI46)</f>
        <v>#DIV/0!</v>
      </c>
      <c r="R47" s="43" t="e">
        <f>R46+ATM_Conf!$C$5*(AA46-AJ46)</f>
        <v>#DIV/0!</v>
      </c>
      <c r="S47" s="43" t="e">
        <f>S46+ATM_Conf!$C$5*(AB46-AK46)</f>
        <v>#DIV/0!</v>
      </c>
      <c r="T47" s="43">
        <f t="shared" si="33"/>
        <v>0</v>
      </c>
      <c r="U47" s="43">
        <f t="shared" si="33"/>
        <v>0</v>
      </c>
      <c r="V47" s="43">
        <f t="shared" si="33"/>
        <v>0</v>
      </c>
      <c r="W47" s="43">
        <f t="shared" si="33"/>
        <v>0</v>
      </c>
      <c r="X47" s="43">
        <f t="shared" si="33"/>
        <v>0</v>
      </c>
      <c r="Y47" s="43">
        <f t="shared" si="33"/>
        <v>0</v>
      </c>
      <c r="Z47" s="43">
        <f t="shared" si="33"/>
        <v>0</v>
      </c>
      <c r="AA47" s="43">
        <f t="shared" si="33"/>
        <v>0</v>
      </c>
      <c r="AB47" s="43">
        <f t="shared" si="33"/>
        <v>0</v>
      </c>
      <c r="AC47" s="43" t="e">
        <f t="shared" si="3"/>
        <v>#DIV/0!</v>
      </c>
      <c r="AD47" s="43" t="e">
        <f t="shared" si="4"/>
        <v>#DIV/0!</v>
      </c>
      <c r="AE47" s="43" t="e">
        <f t="shared" si="5"/>
        <v>#DIV/0!</v>
      </c>
      <c r="AF47" s="43" t="e">
        <f t="shared" si="6"/>
        <v>#DIV/0!</v>
      </c>
      <c r="AG47" s="43" t="e">
        <f t="shared" si="7"/>
        <v>#DIV/0!</v>
      </c>
      <c r="AH47" s="43" t="e">
        <f t="shared" si="8"/>
        <v>#DIV/0!</v>
      </c>
      <c r="AI47" s="43" t="e">
        <f t="shared" si="9"/>
        <v>#DIV/0!</v>
      </c>
      <c r="AJ47" s="43" t="e">
        <f t="shared" si="10"/>
        <v>#DIV/0!</v>
      </c>
      <c r="AK47" s="43" t="e">
        <f t="shared" si="11"/>
        <v>#DIV/0!</v>
      </c>
      <c r="AL47" s="43" t="e">
        <f>T$3+K47/ATM_Conf!$C$5</f>
        <v>#DIV/0!</v>
      </c>
      <c r="AM47" s="43" t="e">
        <f>U$3+L47/ATM_Conf!$C$5</f>
        <v>#DIV/0!</v>
      </c>
      <c r="AN47" s="43" t="e">
        <f>V$3+M47/ATM_Conf!$C$5</f>
        <v>#DIV/0!</v>
      </c>
      <c r="AO47" s="43" t="e">
        <f>W$3+N47/ATM_Conf!$C$5</f>
        <v>#DIV/0!</v>
      </c>
      <c r="AP47" s="43" t="e">
        <f>X$3+O47/ATM_Conf!$C$5</f>
        <v>#DIV/0!</v>
      </c>
      <c r="AQ47" s="43" t="e">
        <f>Y$3+P47/ATM_Conf!$C$5</f>
        <v>#DIV/0!</v>
      </c>
      <c r="AR47" s="43" t="e">
        <f>Z$3+Q47/ATM_Conf!$C$5</f>
        <v>#DIV/0!</v>
      </c>
      <c r="AS47" s="43" t="e">
        <f>AA$3+R47/ATM_Conf!$C$5</f>
        <v>#DIV/0!</v>
      </c>
      <c r="AT47" s="43" t="e">
        <f>AB$3+S47/ATM_Conf!$C$5</f>
        <v>#DIV/0!</v>
      </c>
      <c r="AU47" s="43" t="e">
        <f>BD$3*MIN(1,(ATM_Conf!$C$6-Links!X47)/(ATM_Conf!$C$6-ATM_Conf!$C$7))</f>
        <v>#DIV/0!</v>
      </c>
      <c r="AV47" s="43" t="e">
        <f>BE$3*MIN(1,(ATM_Conf!$C$6-Links!Z47)/(ATM_Conf!$C$6-ATM_Conf!$C$7))</f>
        <v>#DIV/0!</v>
      </c>
      <c r="AW47" s="43" t="e">
        <f>BF$3*MIN(1,(ATM_Conf!$C$6-Links!AA47)/(ATM_Conf!$C$6-ATM_Conf!$C$7))</f>
        <v>#DIV/0!</v>
      </c>
      <c r="AX47" s="43" t="e">
        <f>BG$3*MIN(1,(ATM_Conf!$C$6-Links!AD47)/(ATM_Conf!$C$6-ATM_Conf!$C$7))</f>
        <v>#DIV/0!</v>
      </c>
      <c r="AY47" s="43" t="e">
        <f>BH$3*MIN(1,(ATM_Conf!$C$6-Links!AE47)/(ATM_Conf!$C$6-ATM_Conf!$C$7))</f>
        <v>#DIV/0!</v>
      </c>
      <c r="AZ47" s="43" t="e">
        <f>BI$3*MIN(1,(ATM_Conf!$C$6-Links!AG47)/(ATM_Conf!$C$6-ATM_Conf!$C$7))</f>
        <v>#DIV/0!</v>
      </c>
      <c r="BA47" s="43" t="e">
        <f>BJ$3*MIN(1,(ATM_Conf!$C$6-Links!AH47)/(ATM_Conf!$C$6-ATM_Conf!$C$7))</f>
        <v>#DIV/0!</v>
      </c>
      <c r="BB47" s="43" t="e">
        <f>BK$3*MIN(1,(ATM_Conf!$C$6-Links!AK47)/(ATM_Conf!$C$6-ATM_Conf!$C$7))</f>
        <v>#DIV/0!</v>
      </c>
      <c r="BC47" s="43" t="e">
        <f>BL$3*MIN(1,(ATM_Conf!$C$6-Links!AM47)/(ATM_Conf!$C$6-ATM_Conf!$C$7))</f>
        <v>#DIV/0!</v>
      </c>
      <c r="BD47" s="43">
        <f t="shared" si="34"/>
        <v>0</v>
      </c>
      <c r="BE47" s="43">
        <f t="shared" si="34"/>
        <v>0</v>
      </c>
      <c r="BF47" s="43">
        <f t="shared" si="34"/>
        <v>0</v>
      </c>
      <c r="BG47" s="43">
        <f t="shared" si="34"/>
        <v>0</v>
      </c>
      <c r="BH47" s="43">
        <f t="shared" si="34"/>
        <v>0</v>
      </c>
      <c r="BI47" s="43">
        <f t="shared" si="34"/>
        <v>0</v>
      </c>
      <c r="BJ47" s="43">
        <f t="shared" si="34"/>
        <v>0</v>
      </c>
      <c r="BK47" s="43">
        <f t="shared" si="34"/>
        <v>0</v>
      </c>
      <c r="BL47" s="43">
        <f t="shared" si="34"/>
        <v>0</v>
      </c>
      <c r="BM47" s="51"/>
      <c r="BN47" s="51"/>
      <c r="BO47" s="51"/>
      <c r="BP47" s="51"/>
      <c r="BQ47" s="51"/>
      <c r="BR47" s="51"/>
      <c r="BS47" s="51"/>
      <c r="BT47" s="51"/>
      <c r="BU47" s="51"/>
      <c r="BV47" s="51" t="e">
        <f t="shared" si="13"/>
        <v>#DIV/0!</v>
      </c>
      <c r="BW47" s="51" t="e">
        <f t="shared" si="14"/>
        <v>#DIV/0!</v>
      </c>
      <c r="BX47" s="51" t="e">
        <f t="shared" si="15"/>
        <v>#DIV/0!</v>
      </c>
      <c r="BY47" s="51" t="e">
        <f t="shared" si="16"/>
        <v>#DIV/0!</v>
      </c>
      <c r="BZ47" s="51" t="e">
        <f t="shared" si="17"/>
        <v>#DIV/0!</v>
      </c>
      <c r="CA47" s="51" t="e">
        <f t="shared" si="18"/>
        <v>#DIV/0!</v>
      </c>
      <c r="CB47" s="51" t="e">
        <f t="shared" si="19"/>
        <v>#DIV/0!</v>
      </c>
      <c r="CC47" s="51" t="e">
        <f t="shared" si="20"/>
        <v>#DIV/0!</v>
      </c>
      <c r="CD47" s="51" t="e">
        <f t="shared" si="21"/>
        <v>#DIV/0!</v>
      </c>
      <c r="CE47" s="53">
        <f t="shared" si="35"/>
        <v>0</v>
      </c>
      <c r="CF47" s="53">
        <f t="shared" si="35"/>
        <v>0</v>
      </c>
      <c r="CG47" s="53">
        <f t="shared" si="35"/>
        <v>0</v>
      </c>
      <c r="CH47" s="53">
        <f t="shared" si="35"/>
        <v>0</v>
      </c>
      <c r="CI47" s="53">
        <f t="shared" si="35"/>
        <v>0</v>
      </c>
      <c r="CJ47" s="53">
        <f t="shared" si="35"/>
        <v>0</v>
      </c>
      <c r="CK47" s="53">
        <f t="shared" si="35"/>
        <v>0</v>
      </c>
      <c r="CL47" s="53">
        <f t="shared" si="35"/>
        <v>0</v>
      </c>
      <c r="CM47" s="53">
        <f t="shared" si="35"/>
        <v>0</v>
      </c>
    </row>
    <row r="48" spans="1:91" x14ac:dyDescent="0.15">
      <c r="A48" s="41">
        <v>46</v>
      </c>
      <c r="B48" s="43">
        <f t="shared" si="38"/>
        <v>1</v>
      </c>
      <c r="C48" s="43">
        <f t="shared" si="37"/>
        <v>1</v>
      </c>
      <c r="D48" s="43">
        <f t="shared" si="37"/>
        <v>1</v>
      </c>
      <c r="E48" s="43">
        <f t="shared" si="37"/>
        <v>1</v>
      </c>
      <c r="F48" s="43">
        <f t="shared" si="37"/>
        <v>1</v>
      </c>
      <c r="G48" s="43">
        <f t="shared" si="37"/>
        <v>1</v>
      </c>
      <c r="H48" s="43">
        <f t="shared" si="37"/>
        <v>1</v>
      </c>
      <c r="I48" s="43">
        <f t="shared" si="37"/>
        <v>1</v>
      </c>
      <c r="J48" s="43">
        <f t="shared" si="37"/>
        <v>1</v>
      </c>
      <c r="K48" s="43" t="e">
        <f>K47+ATM_Conf!$C$5*(T47-AC47)</f>
        <v>#DIV/0!</v>
      </c>
      <c r="L48" s="43" t="e">
        <f>L47+ATM_Conf!$C$5*(U47-AD47)</f>
        <v>#DIV/0!</v>
      </c>
      <c r="M48" s="43" t="e">
        <f>M47+ATM_Conf!$C$5*(V47-AE47)</f>
        <v>#DIV/0!</v>
      </c>
      <c r="N48" s="43" t="e">
        <f>N47+ATM_Conf!$C$5*(W47-AF47)</f>
        <v>#DIV/0!</v>
      </c>
      <c r="O48" s="43" t="e">
        <f>O47+ATM_Conf!$C$5*(X47-AG47)</f>
        <v>#DIV/0!</v>
      </c>
      <c r="P48" s="43" t="e">
        <f>P47+ATM_Conf!$C$5*(Y47-AH47)</f>
        <v>#DIV/0!</v>
      </c>
      <c r="Q48" s="43" t="e">
        <f>Q47+ATM_Conf!$C$5*(Z47-AI47)</f>
        <v>#DIV/0!</v>
      </c>
      <c r="R48" s="43" t="e">
        <f>R47+ATM_Conf!$C$5*(AA47-AJ47)</f>
        <v>#DIV/0!</v>
      </c>
      <c r="S48" s="43" t="e">
        <f>S47+ATM_Conf!$C$5*(AB47-AK47)</f>
        <v>#DIV/0!</v>
      </c>
      <c r="T48" s="43">
        <f t="shared" si="33"/>
        <v>0</v>
      </c>
      <c r="U48" s="43">
        <f t="shared" si="33"/>
        <v>0</v>
      </c>
      <c r="V48" s="43">
        <f t="shared" si="33"/>
        <v>0</v>
      </c>
      <c r="W48" s="43">
        <f t="shared" si="33"/>
        <v>0</v>
      </c>
      <c r="X48" s="43">
        <f t="shared" si="33"/>
        <v>0</v>
      </c>
      <c r="Y48" s="43">
        <f t="shared" si="33"/>
        <v>0</v>
      </c>
      <c r="Z48" s="43">
        <f t="shared" si="33"/>
        <v>0</v>
      </c>
      <c r="AA48" s="43">
        <f t="shared" si="33"/>
        <v>0</v>
      </c>
      <c r="AB48" s="43">
        <f t="shared" si="33"/>
        <v>0</v>
      </c>
      <c r="AC48" s="43" t="e">
        <f t="shared" si="3"/>
        <v>#DIV/0!</v>
      </c>
      <c r="AD48" s="43" t="e">
        <f t="shared" si="4"/>
        <v>#DIV/0!</v>
      </c>
      <c r="AE48" s="43" t="e">
        <f t="shared" si="5"/>
        <v>#DIV/0!</v>
      </c>
      <c r="AF48" s="43" t="e">
        <f t="shared" si="6"/>
        <v>#DIV/0!</v>
      </c>
      <c r="AG48" s="43" t="e">
        <f t="shared" si="7"/>
        <v>#DIV/0!</v>
      </c>
      <c r="AH48" s="43" t="e">
        <f t="shared" si="8"/>
        <v>#DIV/0!</v>
      </c>
      <c r="AI48" s="43" t="e">
        <f t="shared" si="9"/>
        <v>#DIV/0!</v>
      </c>
      <c r="AJ48" s="43" t="e">
        <f t="shared" si="10"/>
        <v>#DIV/0!</v>
      </c>
      <c r="AK48" s="43" t="e">
        <f t="shared" si="11"/>
        <v>#DIV/0!</v>
      </c>
      <c r="AL48" s="43" t="e">
        <f>T$3+K48/ATM_Conf!$C$5</f>
        <v>#DIV/0!</v>
      </c>
      <c r="AM48" s="43" t="e">
        <f>U$3+L48/ATM_Conf!$C$5</f>
        <v>#DIV/0!</v>
      </c>
      <c r="AN48" s="43" t="e">
        <f>V$3+M48/ATM_Conf!$C$5</f>
        <v>#DIV/0!</v>
      </c>
      <c r="AO48" s="43" t="e">
        <f>W$3+N48/ATM_Conf!$C$5</f>
        <v>#DIV/0!</v>
      </c>
      <c r="AP48" s="43" t="e">
        <f>X$3+O48/ATM_Conf!$C$5</f>
        <v>#DIV/0!</v>
      </c>
      <c r="AQ48" s="43" t="e">
        <f>Y$3+P48/ATM_Conf!$C$5</f>
        <v>#DIV/0!</v>
      </c>
      <c r="AR48" s="43" t="e">
        <f>Z$3+Q48/ATM_Conf!$C$5</f>
        <v>#DIV/0!</v>
      </c>
      <c r="AS48" s="43" t="e">
        <f>AA$3+R48/ATM_Conf!$C$5</f>
        <v>#DIV/0!</v>
      </c>
      <c r="AT48" s="43" t="e">
        <f>AB$3+S48/ATM_Conf!$C$5</f>
        <v>#DIV/0!</v>
      </c>
      <c r="AU48" s="43" t="e">
        <f>BD$3*MIN(1,(ATM_Conf!$C$6-Links!X48)/(ATM_Conf!$C$6-ATM_Conf!$C$7))</f>
        <v>#DIV/0!</v>
      </c>
      <c r="AV48" s="43" t="e">
        <f>BE$3*MIN(1,(ATM_Conf!$C$6-Links!Z48)/(ATM_Conf!$C$6-ATM_Conf!$C$7))</f>
        <v>#DIV/0!</v>
      </c>
      <c r="AW48" s="43" t="e">
        <f>BF$3*MIN(1,(ATM_Conf!$C$6-Links!AA48)/(ATM_Conf!$C$6-ATM_Conf!$C$7))</f>
        <v>#DIV/0!</v>
      </c>
      <c r="AX48" s="43" t="e">
        <f>BG$3*MIN(1,(ATM_Conf!$C$6-Links!AD48)/(ATM_Conf!$C$6-ATM_Conf!$C$7))</f>
        <v>#DIV/0!</v>
      </c>
      <c r="AY48" s="43" t="e">
        <f>BH$3*MIN(1,(ATM_Conf!$C$6-Links!AE48)/(ATM_Conf!$C$6-ATM_Conf!$C$7))</f>
        <v>#DIV/0!</v>
      </c>
      <c r="AZ48" s="43" t="e">
        <f>BI$3*MIN(1,(ATM_Conf!$C$6-Links!AG48)/(ATM_Conf!$C$6-ATM_Conf!$C$7))</f>
        <v>#DIV/0!</v>
      </c>
      <c r="BA48" s="43" t="e">
        <f>BJ$3*MIN(1,(ATM_Conf!$C$6-Links!AH48)/(ATM_Conf!$C$6-ATM_Conf!$C$7))</f>
        <v>#DIV/0!</v>
      </c>
      <c r="BB48" s="43" t="e">
        <f>BK$3*MIN(1,(ATM_Conf!$C$6-Links!AK48)/(ATM_Conf!$C$6-ATM_Conf!$C$7))</f>
        <v>#DIV/0!</v>
      </c>
      <c r="BC48" s="43" t="e">
        <f>BL$3*MIN(1,(ATM_Conf!$C$6-Links!AM48)/(ATM_Conf!$C$6-ATM_Conf!$C$7))</f>
        <v>#DIV/0!</v>
      </c>
      <c r="BD48" s="43">
        <f t="shared" si="34"/>
        <v>0</v>
      </c>
      <c r="BE48" s="43">
        <f t="shared" si="34"/>
        <v>0</v>
      </c>
      <c r="BF48" s="43">
        <f t="shared" si="34"/>
        <v>0</v>
      </c>
      <c r="BG48" s="43">
        <f t="shared" si="34"/>
        <v>0</v>
      </c>
      <c r="BH48" s="43">
        <f t="shared" si="34"/>
        <v>0</v>
      </c>
      <c r="BI48" s="43">
        <f t="shared" si="34"/>
        <v>0</v>
      </c>
      <c r="BJ48" s="43">
        <f t="shared" si="34"/>
        <v>0</v>
      </c>
      <c r="BK48" s="43">
        <f t="shared" si="34"/>
        <v>0</v>
      </c>
      <c r="BL48" s="43">
        <f t="shared" si="34"/>
        <v>0</v>
      </c>
      <c r="BM48" s="51"/>
      <c r="BN48" s="51"/>
      <c r="BO48" s="51"/>
      <c r="BP48" s="51"/>
      <c r="BQ48" s="51"/>
      <c r="BR48" s="51"/>
      <c r="BS48" s="51"/>
      <c r="BT48" s="51"/>
      <c r="BU48" s="51"/>
      <c r="BV48" s="51" t="e">
        <f t="shared" si="13"/>
        <v>#DIV/0!</v>
      </c>
      <c r="BW48" s="51" t="e">
        <f t="shared" si="14"/>
        <v>#DIV/0!</v>
      </c>
      <c r="BX48" s="51" t="e">
        <f t="shared" si="15"/>
        <v>#DIV/0!</v>
      </c>
      <c r="BY48" s="51" t="e">
        <f t="shared" si="16"/>
        <v>#DIV/0!</v>
      </c>
      <c r="BZ48" s="51" t="e">
        <f t="shared" si="17"/>
        <v>#DIV/0!</v>
      </c>
      <c r="CA48" s="51" t="e">
        <f t="shared" si="18"/>
        <v>#DIV/0!</v>
      </c>
      <c r="CB48" s="51" t="e">
        <f t="shared" si="19"/>
        <v>#DIV/0!</v>
      </c>
      <c r="CC48" s="51" t="e">
        <f t="shared" si="20"/>
        <v>#DIV/0!</v>
      </c>
      <c r="CD48" s="51" t="e">
        <f t="shared" si="21"/>
        <v>#DIV/0!</v>
      </c>
      <c r="CE48" s="53">
        <f t="shared" si="35"/>
        <v>0</v>
      </c>
      <c r="CF48" s="53">
        <f t="shared" si="35"/>
        <v>0</v>
      </c>
      <c r="CG48" s="53">
        <f t="shared" si="35"/>
        <v>0</v>
      </c>
      <c r="CH48" s="53">
        <f t="shared" si="35"/>
        <v>0</v>
      </c>
      <c r="CI48" s="53">
        <f t="shared" si="35"/>
        <v>0</v>
      </c>
      <c r="CJ48" s="53">
        <f t="shared" si="35"/>
        <v>0</v>
      </c>
      <c r="CK48" s="53">
        <f t="shared" si="35"/>
        <v>0</v>
      </c>
      <c r="CL48" s="53">
        <f t="shared" si="35"/>
        <v>0</v>
      </c>
      <c r="CM48" s="53">
        <f t="shared" si="35"/>
        <v>0</v>
      </c>
    </row>
    <row r="49" spans="1:91" x14ac:dyDescent="0.15">
      <c r="A49" s="41">
        <v>47</v>
      </c>
      <c r="B49" s="43">
        <f t="shared" si="38"/>
        <v>1</v>
      </c>
      <c r="C49" s="43">
        <f t="shared" si="37"/>
        <v>1</v>
      </c>
      <c r="D49" s="43">
        <f t="shared" si="37"/>
        <v>1</v>
      </c>
      <c r="E49" s="43">
        <f t="shared" si="37"/>
        <v>1</v>
      </c>
      <c r="F49" s="43">
        <f t="shared" si="37"/>
        <v>1</v>
      </c>
      <c r="G49" s="43">
        <f t="shared" si="37"/>
        <v>1</v>
      </c>
      <c r="H49" s="43">
        <f t="shared" si="37"/>
        <v>1</v>
      </c>
      <c r="I49" s="43">
        <f t="shared" si="37"/>
        <v>1</v>
      </c>
      <c r="J49" s="43">
        <f t="shared" si="37"/>
        <v>1</v>
      </c>
      <c r="K49" s="43" t="e">
        <f>K48+ATM_Conf!$C$5*(T48-AC48)</f>
        <v>#DIV/0!</v>
      </c>
      <c r="L49" s="43" t="e">
        <f>L48+ATM_Conf!$C$5*(U48-AD48)</f>
        <v>#DIV/0!</v>
      </c>
      <c r="M49" s="43" t="e">
        <f>M48+ATM_Conf!$C$5*(V48-AE48)</f>
        <v>#DIV/0!</v>
      </c>
      <c r="N49" s="43" t="e">
        <f>N48+ATM_Conf!$C$5*(W48-AF48)</f>
        <v>#DIV/0!</v>
      </c>
      <c r="O49" s="43" t="e">
        <f>O48+ATM_Conf!$C$5*(X48-AG48)</f>
        <v>#DIV/0!</v>
      </c>
      <c r="P49" s="43" t="e">
        <f>P48+ATM_Conf!$C$5*(Y48-AH48)</f>
        <v>#DIV/0!</v>
      </c>
      <c r="Q49" s="43" t="e">
        <f>Q48+ATM_Conf!$C$5*(Z48-AI48)</f>
        <v>#DIV/0!</v>
      </c>
      <c r="R49" s="43" t="e">
        <f>R48+ATM_Conf!$C$5*(AA48-AJ48)</f>
        <v>#DIV/0!</v>
      </c>
      <c r="S49" s="43" t="e">
        <f>S48+ATM_Conf!$C$5*(AB48-AK48)</f>
        <v>#DIV/0!</v>
      </c>
      <c r="T49" s="43">
        <f t="shared" si="33"/>
        <v>0</v>
      </c>
      <c r="U49" s="43">
        <f t="shared" si="33"/>
        <v>0</v>
      </c>
      <c r="V49" s="43">
        <f t="shared" si="33"/>
        <v>0</v>
      </c>
      <c r="W49" s="43">
        <f t="shared" si="33"/>
        <v>0</v>
      </c>
      <c r="X49" s="43">
        <f t="shared" si="33"/>
        <v>0</v>
      </c>
      <c r="Y49" s="43">
        <f t="shared" si="33"/>
        <v>0</v>
      </c>
      <c r="Z49" s="43">
        <f t="shared" si="33"/>
        <v>0</v>
      </c>
      <c r="AA49" s="43">
        <f t="shared" si="33"/>
        <v>0</v>
      </c>
      <c r="AB49" s="43">
        <f t="shared" si="33"/>
        <v>0</v>
      </c>
      <c r="AC49" s="43" t="e">
        <f t="shared" si="3"/>
        <v>#DIV/0!</v>
      </c>
      <c r="AD49" s="43" t="e">
        <f t="shared" si="4"/>
        <v>#DIV/0!</v>
      </c>
      <c r="AE49" s="43" t="e">
        <f t="shared" si="5"/>
        <v>#DIV/0!</v>
      </c>
      <c r="AF49" s="43" t="e">
        <f t="shared" si="6"/>
        <v>#DIV/0!</v>
      </c>
      <c r="AG49" s="43" t="e">
        <f t="shared" si="7"/>
        <v>#DIV/0!</v>
      </c>
      <c r="AH49" s="43" t="e">
        <f t="shared" si="8"/>
        <v>#DIV/0!</v>
      </c>
      <c r="AI49" s="43" t="e">
        <f t="shared" si="9"/>
        <v>#DIV/0!</v>
      </c>
      <c r="AJ49" s="43" t="e">
        <f t="shared" si="10"/>
        <v>#DIV/0!</v>
      </c>
      <c r="AK49" s="43" t="e">
        <f t="shared" si="11"/>
        <v>#DIV/0!</v>
      </c>
      <c r="AL49" s="43" t="e">
        <f>T$3+K49/ATM_Conf!$C$5</f>
        <v>#DIV/0!</v>
      </c>
      <c r="AM49" s="43" t="e">
        <f>U$3+L49/ATM_Conf!$C$5</f>
        <v>#DIV/0!</v>
      </c>
      <c r="AN49" s="43" t="e">
        <f>V$3+M49/ATM_Conf!$C$5</f>
        <v>#DIV/0!</v>
      </c>
      <c r="AO49" s="43" t="e">
        <f>W$3+N49/ATM_Conf!$C$5</f>
        <v>#DIV/0!</v>
      </c>
      <c r="AP49" s="43" t="e">
        <f>X$3+O49/ATM_Conf!$C$5</f>
        <v>#DIV/0!</v>
      </c>
      <c r="AQ49" s="43" t="e">
        <f>Y$3+P49/ATM_Conf!$C$5</f>
        <v>#DIV/0!</v>
      </c>
      <c r="AR49" s="43" t="e">
        <f>Z$3+Q49/ATM_Conf!$C$5</f>
        <v>#DIV/0!</v>
      </c>
      <c r="AS49" s="43" t="e">
        <f>AA$3+R49/ATM_Conf!$C$5</f>
        <v>#DIV/0!</v>
      </c>
      <c r="AT49" s="43" t="e">
        <f>AB$3+S49/ATM_Conf!$C$5</f>
        <v>#DIV/0!</v>
      </c>
      <c r="AU49" s="43" t="e">
        <f>BD$3*MIN(1,(ATM_Conf!$C$6-Links!X49)/(ATM_Conf!$C$6-ATM_Conf!$C$7))</f>
        <v>#DIV/0!</v>
      </c>
      <c r="AV49" s="43" t="e">
        <f>BE$3*MIN(1,(ATM_Conf!$C$6-Links!Z49)/(ATM_Conf!$C$6-ATM_Conf!$C$7))</f>
        <v>#DIV/0!</v>
      </c>
      <c r="AW49" s="43" t="e">
        <f>BF$3*MIN(1,(ATM_Conf!$C$6-Links!AA49)/(ATM_Conf!$C$6-ATM_Conf!$C$7))</f>
        <v>#DIV/0!</v>
      </c>
      <c r="AX49" s="43" t="e">
        <f>BG$3*MIN(1,(ATM_Conf!$C$6-Links!AD49)/(ATM_Conf!$C$6-ATM_Conf!$C$7))</f>
        <v>#DIV/0!</v>
      </c>
      <c r="AY49" s="43" t="e">
        <f>BH$3*MIN(1,(ATM_Conf!$C$6-Links!AE49)/(ATM_Conf!$C$6-ATM_Conf!$C$7))</f>
        <v>#DIV/0!</v>
      </c>
      <c r="AZ49" s="43" t="e">
        <f>BI$3*MIN(1,(ATM_Conf!$C$6-Links!AG49)/(ATM_Conf!$C$6-ATM_Conf!$C$7))</f>
        <v>#DIV/0!</v>
      </c>
      <c r="BA49" s="43" t="e">
        <f>BJ$3*MIN(1,(ATM_Conf!$C$6-Links!AH49)/(ATM_Conf!$C$6-ATM_Conf!$C$7))</f>
        <v>#DIV/0!</v>
      </c>
      <c r="BB49" s="43" t="e">
        <f>BK$3*MIN(1,(ATM_Conf!$C$6-Links!AK49)/(ATM_Conf!$C$6-ATM_Conf!$C$7))</f>
        <v>#DIV/0!</v>
      </c>
      <c r="BC49" s="43" t="e">
        <f>BL$3*MIN(1,(ATM_Conf!$C$6-Links!AM49)/(ATM_Conf!$C$6-ATM_Conf!$C$7))</f>
        <v>#DIV/0!</v>
      </c>
      <c r="BD49" s="43">
        <f t="shared" si="34"/>
        <v>0</v>
      </c>
      <c r="BE49" s="43">
        <f t="shared" si="34"/>
        <v>0</v>
      </c>
      <c r="BF49" s="43">
        <f t="shared" si="34"/>
        <v>0</v>
      </c>
      <c r="BG49" s="43">
        <f t="shared" si="34"/>
        <v>0</v>
      </c>
      <c r="BH49" s="43">
        <f t="shared" si="34"/>
        <v>0</v>
      </c>
      <c r="BI49" s="43">
        <f t="shared" si="34"/>
        <v>0</v>
      </c>
      <c r="BJ49" s="43">
        <f t="shared" si="34"/>
        <v>0</v>
      </c>
      <c r="BK49" s="43">
        <f t="shared" si="34"/>
        <v>0</v>
      </c>
      <c r="BL49" s="43">
        <f t="shared" si="34"/>
        <v>0</v>
      </c>
      <c r="BM49" s="51"/>
      <c r="BN49" s="51"/>
      <c r="BO49" s="51"/>
      <c r="BP49" s="51"/>
      <c r="BQ49" s="51"/>
      <c r="BR49" s="51"/>
      <c r="BS49" s="51"/>
      <c r="BT49" s="51"/>
      <c r="BU49" s="51"/>
      <c r="BV49" s="51" t="e">
        <f t="shared" si="13"/>
        <v>#DIV/0!</v>
      </c>
      <c r="BW49" s="51" t="e">
        <f t="shared" si="14"/>
        <v>#DIV/0!</v>
      </c>
      <c r="BX49" s="51" t="e">
        <f t="shared" si="15"/>
        <v>#DIV/0!</v>
      </c>
      <c r="BY49" s="51" t="e">
        <f t="shared" si="16"/>
        <v>#DIV/0!</v>
      </c>
      <c r="BZ49" s="51" t="e">
        <f t="shared" si="17"/>
        <v>#DIV/0!</v>
      </c>
      <c r="CA49" s="51" t="e">
        <f t="shared" si="18"/>
        <v>#DIV/0!</v>
      </c>
      <c r="CB49" s="51" t="e">
        <f t="shared" si="19"/>
        <v>#DIV/0!</v>
      </c>
      <c r="CC49" s="51" t="e">
        <f t="shared" si="20"/>
        <v>#DIV/0!</v>
      </c>
      <c r="CD49" s="51" t="e">
        <f t="shared" si="21"/>
        <v>#DIV/0!</v>
      </c>
      <c r="CE49" s="53">
        <f t="shared" si="35"/>
        <v>0</v>
      </c>
      <c r="CF49" s="53">
        <f t="shared" si="35"/>
        <v>0</v>
      </c>
      <c r="CG49" s="53">
        <f t="shared" si="35"/>
        <v>0</v>
      </c>
      <c r="CH49" s="53">
        <f t="shared" si="35"/>
        <v>0</v>
      </c>
      <c r="CI49" s="53">
        <f t="shared" si="35"/>
        <v>0</v>
      </c>
      <c r="CJ49" s="53">
        <f t="shared" si="35"/>
        <v>0</v>
      </c>
      <c r="CK49" s="53">
        <f t="shared" si="35"/>
        <v>0</v>
      </c>
      <c r="CL49" s="53">
        <f t="shared" si="35"/>
        <v>0</v>
      </c>
      <c r="CM49" s="53">
        <f t="shared" si="35"/>
        <v>0</v>
      </c>
    </row>
    <row r="50" spans="1:91" x14ac:dyDescent="0.15">
      <c r="A50" s="41">
        <v>48</v>
      </c>
      <c r="B50" s="43">
        <f t="shared" si="38"/>
        <v>1</v>
      </c>
      <c r="C50" s="43">
        <f t="shared" si="37"/>
        <v>1</v>
      </c>
      <c r="D50" s="43">
        <f t="shared" si="37"/>
        <v>1</v>
      </c>
      <c r="E50" s="43">
        <f t="shared" si="37"/>
        <v>1</v>
      </c>
      <c r="F50" s="43">
        <f t="shared" si="37"/>
        <v>1</v>
      </c>
      <c r="G50" s="43">
        <f t="shared" si="37"/>
        <v>1</v>
      </c>
      <c r="H50" s="43">
        <f t="shared" si="37"/>
        <v>1</v>
      </c>
      <c r="I50" s="43">
        <f t="shared" si="37"/>
        <v>1</v>
      </c>
      <c r="J50" s="43">
        <f t="shared" si="37"/>
        <v>1</v>
      </c>
      <c r="K50" s="43" t="e">
        <f>K49+ATM_Conf!$C$5*(T49-AC49)</f>
        <v>#DIV/0!</v>
      </c>
      <c r="L50" s="43" t="e">
        <f>L49+ATM_Conf!$C$5*(U49-AD49)</f>
        <v>#DIV/0!</v>
      </c>
      <c r="M50" s="43" t="e">
        <f>M49+ATM_Conf!$C$5*(V49-AE49)</f>
        <v>#DIV/0!</v>
      </c>
      <c r="N50" s="43" t="e">
        <f>N49+ATM_Conf!$C$5*(W49-AF49)</f>
        <v>#DIV/0!</v>
      </c>
      <c r="O50" s="43" t="e">
        <f>O49+ATM_Conf!$C$5*(X49-AG49)</f>
        <v>#DIV/0!</v>
      </c>
      <c r="P50" s="43" t="e">
        <f>P49+ATM_Conf!$C$5*(Y49-AH49)</f>
        <v>#DIV/0!</v>
      </c>
      <c r="Q50" s="43" t="e">
        <f>Q49+ATM_Conf!$C$5*(Z49-AI49)</f>
        <v>#DIV/0!</v>
      </c>
      <c r="R50" s="43" t="e">
        <f>R49+ATM_Conf!$C$5*(AA49-AJ49)</f>
        <v>#DIV/0!</v>
      </c>
      <c r="S50" s="43" t="e">
        <f>S49+ATM_Conf!$C$5*(AB49-AK49)</f>
        <v>#DIV/0!</v>
      </c>
      <c r="T50" s="43">
        <f t="shared" si="33"/>
        <v>0</v>
      </c>
      <c r="U50" s="43">
        <f t="shared" si="33"/>
        <v>0</v>
      </c>
      <c r="V50" s="43">
        <f t="shared" si="33"/>
        <v>0</v>
      </c>
      <c r="W50" s="43">
        <f t="shared" si="33"/>
        <v>0</v>
      </c>
      <c r="X50" s="43">
        <f t="shared" si="33"/>
        <v>0</v>
      </c>
      <c r="Y50" s="43">
        <f t="shared" si="33"/>
        <v>0</v>
      </c>
      <c r="Z50" s="43">
        <f t="shared" si="33"/>
        <v>0</v>
      </c>
      <c r="AA50" s="43">
        <f t="shared" si="33"/>
        <v>0</v>
      </c>
      <c r="AB50" s="43">
        <f t="shared" si="33"/>
        <v>0</v>
      </c>
      <c r="AC50" s="43" t="e">
        <f t="shared" si="3"/>
        <v>#DIV/0!</v>
      </c>
      <c r="AD50" s="43" t="e">
        <f t="shared" si="4"/>
        <v>#DIV/0!</v>
      </c>
      <c r="AE50" s="43" t="e">
        <f t="shared" si="5"/>
        <v>#DIV/0!</v>
      </c>
      <c r="AF50" s="43" t="e">
        <f t="shared" si="6"/>
        <v>#DIV/0!</v>
      </c>
      <c r="AG50" s="43" t="e">
        <f t="shared" si="7"/>
        <v>#DIV/0!</v>
      </c>
      <c r="AH50" s="43" t="e">
        <f t="shared" si="8"/>
        <v>#DIV/0!</v>
      </c>
      <c r="AI50" s="43" t="e">
        <f t="shared" si="9"/>
        <v>#DIV/0!</v>
      </c>
      <c r="AJ50" s="43" t="e">
        <f t="shared" si="10"/>
        <v>#DIV/0!</v>
      </c>
      <c r="AK50" s="43" t="e">
        <f t="shared" si="11"/>
        <v>#DIV/0!</v>
      </c>
      <c r="AL50" s="43" t="e">
        <f>T$3+K50/ATM_Conf!$C$5</f>
        <v>#DIV/0!</v>
      </c>
      <c r="AM50" s="43" t="e">
        <f>U$3+L50/ATM_Conf!$C$5</f>
        <v>#DIV/0!</v>
      </c>
      <c r="AN50" s="43" t="e">
        <f>V$3+M50/ATM_Conf!$C$5</f>
        <v>#DIV/0!</v>
      </c>
      <c r="AO50" s="43" t="e">
        <f>W$3+N50/ATM_Conf!$C$5</f>
        <v>#DIV/0!</v>
      </c>
      <c r="AP50" s="43" t="e">
        <f>X$3+O50/ATM_Conf!$C$5</f>
        <v>#DIV/0!</v>
      </c>
      <c r="AQ50" s="43" t="e">
        <f>Y$3+P50/ATM_Conf!$C$5</f>
        <v>#DIV/0!</v>
      </c>
      <c r="AR50" s="43" t="e">
        <f>Z$3+Q50/ATM_Conf!$C$5</f>
        <v>#DIV/0!</v>
      </c>
      <c r="AS50" s="43" t="e">
        <f>AA$3+R50/ATM_Conf!$C$5</f>
        <v>#DIV/0!</v>
      </c>
      <c r="AT50" s="43" t="e">
        <f>AB$3+S50/ATM_Conf!$C$5</f>
        <v>#DIV/0!</v>
      </c>
      <c r="AU50" s="43" t="e">
        <f>BD$3*MIN(1,(ATM_Conf!$C$6-Links!X50)/(ATM_Conf!$C$6-ATM_Conf!$C$7))</f>
        <v>#DIV/0!</v>
      </c>
      <c r="AV50" s="43" t="e">
        <f>BE$3*MIN(1,(ATM_Conf!$C$6-Links!Z50)/(ATM_Conf!$C$6-ATM_Conf!$C$7))</f>
        <v>#DIV/0!</v>
      </c>
      <c r="AW50" s="43" t="e">
        <f>BF$3*MIN(1,(ATM_Conf!$C$6-Links!AA50)/(ATM_Conf!$C$6-ATM_Conf!$C$7))</f>
        <v>#DIV/0!</v>
      </c>
      <c r="AX50" s="43" t="e">
        <f>BG$3*MIN(1,(ATM_Conf!$C$6-Links!AD50)/(ATM_Conf!$C$6-ATM_Conf!$C$7))</f>
        <v>#DIV/0!</v>
      </c>
      <c r="AY50" s="43" t="e">
        <f>BH$3*MIN(1,(ATM_Conf!$C$6-Links!AE50)/(ATM_Conf!$C$6-ATM_Conf!$C$7))</f>
        <v>#DIV/0!</v>
      </c>
      <c r="AZ50" s="43" t="e">
        <f>BI$3*MIN(1,(ATM_Conf!$C$6-Links!AG50)/(ATM_Conf!$C$6-ATM_Conf!$C$7))</f>
        <v>#DIV/0!</v>
      </c>
      <c r="BA50" s="43" t="e">
        <f>BJ$3*MIN(1,(ATM_Conf!$C$6-Links!AH50)/(ATM_Conf!$C$6-ATM_Conf!$C$7))</f>
        <v>#DIV/0!</v>
      </c>
      <c r="BB50" s="43" t="e">
        <f>BK$3*MIN(1,(ATM_Conf!$C$6-Links!AK50)/(ATM_Conf!$C$6-ATM_Conf!$C$7))</f>
        <v>#DIV/0!</v>
      </c>
      <c r="BC50" s="43" t="e">
        <f>BL$3*MIN(1,(ATM_Conf!$C$6-Links!AM50)/(ATM_Conf!$C$6-ATM_Conf!$C$7))</f>
        <v>#DIV/0!</v>
      </c>
      <c r="BD50" s="43">
        <f t="shared" si="34"/>
        <v>0</v>
      </c>
      <c r="BE50" s="43">
        <f t="shared" si="34"/>
        <v>0</v>
      </c>
      <c r="BF50" s="43">
        <f t="shared" si="34"/>
        <v>0</v>
      </c>
      <c r="BG50" s="43">
        <f t="shared" si="34"/>
        <v>0</v>
      </c>
      <c r="BH50" s="43">
        <f t="shared" si="34"/>
        <v>0</v>
      </c>
      <c r="BI50" s="43">
        <f t="shared" si="34"/>
        <v>0</v>
      </c>
      <c r="BJ50" s="43">
        <f t="shared" si="34"/>
        <v>0</v>
      </c>
      <c r="BK50" s="43">
        <f t="shared" si="34"/>
        <v>0</v>
      </c>
      <c r="BL50" s="43">
        <f t="shared" si="34"/>
        <v>0</v>
      </c>
      <c r="BM50" s="51"/>
      <c r="BN50" s="51"/>
      <c r="BO50" s="51"/>
      <c r="BP50" s="51"/>
      <c r="BQ50" s="51"/>
      <c r="BR50" s="51"/>
      <c r="BS50" s="51"/>
      <c r="BT50" s="51"/>
      <c r="BU50" s="51"/>
      <c r="BV50" s="51" t="e">
        <f t="shared" si="13"/>
        <v>#DIV/0!</v>
      </c>
      <c r="BW50" s="51" t="e">
        <f t="shared" si="14"/>
        <v>#DIV/0!</v>
      </c>
      <c r="BX50" s="51" t="e">
        <f t="shared" si="15"/>
        <v>#DIV/0!</v>
      </c>
      <c r="BY50" s="51" t="e">
        <f t="shared" si="16"/>
        <v>#DIV/0!</v>
      </c>
      <c r="BZ50" s="51" t="e">
        <f t="shared" si="17"/>
        <v>#DIV/0!</v>
      </c>
      <c r="CA50" s="51" t="e">
        <f t="shared" si="18"/>
        <v>#DIV/0!</v>
      </c>
      <c r="CB50" s="51" t="e">
        <f t="shared" si="19"/>
        <v>#DIV/0!</v>
      </c>
      <c r="CC50" s="51" t="e">
        <f t="shared" si="20"/>
        <v>#DIV/0!</v>
      </c>
      <c r="CD50" s="51" t="e">
        <f t="shared" si="21"/>
        <v>#DIV/0!</v>
      </c>
      <c r="CE50" s="53">
        <f t="shared" si="35"/>
        <v>0</v>
      </c>
      <c r="CF50" s="53">
        <f t="shared" si="35"/>
        <v>0</v>
      </c>
      <c r="CG50" s="53">
        <f t="shared" si="35"/>
        <v>0</v>
      </c>
      <c r="CH50" s="53">
        <f t="shared" si="35"/>
        <v>0</v>
      </c>
      <c r="CI50" s="53">
        <f t="shared" si="35"/>
        <v>0</v>
      </c>
      <c r="CJ50" s="53">
        <f t="shared" si="35"/>
        <v>0</v>
      </c>
      <c r="CK50" s="53">
        <f t="shared" si="35"/>
        <v>0</v>
      </c>
      <c r="CL50" s="53">
        <f t="shared" si="35"/>
        <v>0</v>
      </c>
      <c r="CM50" s="53">
        <f t="shared" si="35"/>
        <v>0</v>
      </c>
    </row>
    <row r="51" spans="1:91" x14ac:dyDescent="0.15">
      <c r="A51" s="41">
        <v>49</v>
      </c>
      <c r="B51" s="45">
        <v>1</v>
      </c>
      <c r="C51" s="45">
        <v>1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3" t="e">
        <f>K50+ATM_Conf!$C$5*(T50-AC50)</f>
        <v>#DIV/0!</v>
      </c>
      <c r="L51" s="43" t="e">
        <f>L50+ATM_Conf!$C$5*(U50-AD50)</f>
        <v>#DIV/0!</v>
      </c>
      <c r="M51" s="43" t="e">
        <f>M50+ATM_Conf!$C$5*(V50-AE50)</f>
        <v>#DIV/0!</v>
      </c>
      <c r="N51" s="43" t="e">
        <f>N50+ATM_Conf!$C$5*(W50-AF50)</f>
        <v>#DIV/0!</v>
      </c>
      <c r="O51" s="43" t="e">
        <f>O50+ATM_Conf!$C$5*(X50-AG50)</f>
        <v>#DIV/0!</v>
      </c>
      <c r="P51" s="43" t="e">
        <f>P50+ATM_Conf!$C$5*(Y50-AH50)</f>
        <v>#DIV/0!</v>
      </c>
      <c r="Q51" s="43" t="e">
        <f>Q50+ATM_Conf!$C$5*(Z50-AI50)</f>
        <v>#DIV/0!</v>
      </c>
      <c r="R51" s="43" t="e">
        <f>R50+ATM_Conf!$C$5*(AA50-AJ50)</f>
        <v>#DIV/0!</v>
      </c>
      <c r="S51" s="43" t="e">
        <f>S50+ATM_Conf!$C$5*(AB50-AK50)</f>
        <v>#DIV/0!</v>
      </c>
      <c r="T51" s="43">
        <f t="shared" si="33"/>
        <v>0</v>
      </c>
      <c r="U51" s="43">
        <f t="shared" si="33"/>
        <v>0</v>
      </c>
      <c r="V51" s="43">
        <f t="shared" si="33"/>
        <v>0</v>
      </c>
      <c r="W51" s="43">
        <f t="shared" si="33"/>
        <v>0</v>
      </c>
      <c r="X51" s="43">
        <f t="shared" si="33"/>
        <v>0</v>
      </c>
      <c r="Y51" s="43">
        <f t="shared" si="33"/>
        <v>0</v>
      </c>
      <c r="Z51" s="43">
        <f t="shared" si="33"/>
        <v>0</v>
      </c>
      <c r="AA51" s="43">
        <f t="shared" si="33"/>
        <v>0</v>
      </c>
      <c r="AB51" s="43">
        <f t="shared" si="33"/>
        <v>0</v>
      </c>
      <c r="AC51" s="43" t="e">
        <f t="shared" si="3"/>
        <v>#DIV/0!</v>
      </c>
      <c r="AD51" s="43" t="e">
        <f t="shared" si="4"/>
        <v>#DIV/0!</v>
      </c>
      <c r="AE51" s="43" t="e">
        <f t="shared" si="5"/>
        <v>#DIV/0!</v>
      </c>
      <c r="AF51" s="43" t="e">
        <f t="shared" si="6"/>
        <v>#DIV/0!</v>
      </c>
      <c r="AG51" s="43" t="e">
        <f t="shared" si="7"/>
        <v>#DIV/0!</v>
      </c>
      <c r="AH51" s="43" t="e">
        <f t="shared" si="8"/>
        <v>#DIV/0!</v>
      </c>
      <c r="AI51" s="43" t="e">
        <f t="shared" si="9"/>
        <v>#DIV/0!</v>
      </c>
      <c r="AJ51" s="43" t="e">
        <f t="shared" si="10"/>
        <v>#DIV/0!</v>
      </c>
      <c r="AK51" s="43" t="e">
        <f t="shared" si="11"/>
        <v>#DIV/0!</v>
      </c>
      <c r="AL51" s="43" t="e">
        <f>T$3+K51/ATM_Conf!$C$5</f>
        <v>#DIV/0!</v>
      </c>
      <c r="AM51" s="43" t="e">
        <f>U$3+L51/ATM_Conf!$C$5</f>
        <v>#DIV/0!</v>
      </c>
      <c r="AN51" s="43" t="e">
        <f>V$3+M51/ATM_Conf!$C$5</f>
        <v>#DIV/0!</v>
      </c>
      <c r="AO51" s="43" t="e">
        <f>W$3+N51/ATM_Conf!$C$5</f>
        <v>#DIV/0!</v>
      </c>
      <c r="AP51" s="43" t="e">
        <f>X$3+O51/ATM_Conf!$C$5</f>
        <v>#DIV/0!</v>
      </c>
      <c r="AQ51" s="43" t="e">
        <f>Y$3+P51/ATM_Conf!$C$5</f>
        <v>#DIV/0!</v>
      </c>
      <c r="AR51" s="43" t="e">
        <f>Z$3+Q51/ATM_Conf!$C$5</f>
        <v>#DIV/0!</v>
      </c>
      <c r="AS51" s="43" t="e">
        <f>AA$3+R51/ATM_Conf!$C$5</f>
        <v>#DIV/0!</v>
      </c>
      <c r="AT51" s="43" t="e">
        <f>AB$3+S51/ATM_Conf!$C$5</f>
        <v>#DIV/0!</v>
      </c>
      <c r="AU51" s="43" t="e">
        <f>BD$3*MIN(1,(ATM_Conf!$C$6-Links!X51)/(ATM_Conf!$C$6-ATM_Conf!$C$7))</f>
        <v>#DIV/0!</v>
      </c>
      <c r="AV51" s="43" t="e">
        <f>BE$3*MIN(1,(ATM_Conf!$C$6-Links!Z51)/(ATM_Conf!$C$6-ATM_Conf!$C$7))</f>
        <v>#DIV/0!</v>
      </c>
      <c r="AW51" s="43" t="e">
        <f>BF$3*MIN(1,(ATM_Conf!$C$6-Links!AA51)/(ATM_Conf!$C$6-ATM_Conf!$C$7))</f>
        <v>#DIV/0!</v>
      </c>
      <c r="AX51" s="43" t="e">
        <f>BG$3*MIN(1,(ATM_Conf!$C$6-Links!AD51)/(ATM_Conf!$C$6-ATM_Conf!$C$7))</f>
        <v>#DIV/0!</v>
      </c>
      <c r="AY51" s="43" t="e">
        <f>BH$3*MIN(1,(ATM_Conf!$C$6-Links!AE51)/(ATM_Conf!$C$6-ATM_Conf!$C$7))</f>
        <v>#DIV/0!</v>
      </c>
      <c r="AZ51" s="43" t="e">
        <f>BI$3*MIN(1,(ATM_Conf!$C$6-Links!AG51)/(ATM_Conf!$C$6-ATM_Conf!$C$7))</f>
        <v>#DIV/0!</v>
      </c>
      <c r="BA51" s="43" t="e">
        <f>BJ$3*MIN(1,(ATM_Conf!$C$6-Links!AH51)/(ATM_Conf!$C$6-ATM_Conf!$C$7))</f>
        <v>#DIV/0!</v>
      </c>
      <c r="BB51" s="43" t="e">
        <f>BK$3*MIN(1,(ATM_Conf!$C$6-Links!AK51)/(ATM_Conf!$C$6-ATM_Conf!$C$7))</f>
        <v>#DIV/0!</v>
      </c>
      <c r="BC51" s="43" t="e">
        <f>BL$3*MIN(1,(ATM_Conf!$C$6-Links!AM51)/(ATM_Conf!$C$6-ATM_Conf!$C$7))</f>
        <v>#DIV/0!</v>
      </c>
      <c r="BD51" s="43">
        <f t="shared" si="34"/>
        <v>0</v>
      </c>
      <c r="BE51" s="43">
        <f t="shared" si="34"/>
        <v>0</v>
      </c>
      <c r="BF51" s="43">
        <f t="shared" si="34"/>
        <v>0</v>
      </c>
      <c r="BG51" s="43">
        <f t="shared" si="34"/>
        <v>0</v>
      </c>
      <c r="BH51" s="43">
        <f t="shared" si="34"/>
        <v>0</v>
      </c>
      <c r="BI51" s="43">
        <f t="shared" si="34"/>
        <v>0</v>
      </c>
      <c r="BJ51" s="43">
        <f t="shared" si="34"/>
        <v>0</v>
      </c>
      <c r="BK51" s="43">
        <f t="shared" si="34"/>
        <v>0</v>
      </c>
      <c r="BL51" s="43">
        <f t="shared" si="34"/>
        <v>0</v>
      </c>
      <c r="BM51" s="51">
        <f>(B51-B39)^2</f>
        <v>0</v>
      </c>
      <c r="BN51" s="51">
        <f t="shared" ref="BN51:BU51" si="39">(C51-C39)^2</f>
        <v>0</v>
      </c>
      <c r="BO51" s="51">
        <f t="shared" si="39"/>
        <v>0</v>
      </c>
      <c r="BP51" s="51">
        <f t="shared" si="39"/>
        <v>0</v>
      </c>
      <c r="BQ51" s="51">
        <f t="shared" si="39"/>
        <v>0</v>
      </c>
      <c r="BR51" s="51">
        <f t="shared" si="39"/>
        <v>0</v>
      </c>
      <c r="BS51" s="51">
        <f t="shared" si="39"/>
        <v>0</v>
      </c>
      <c r="BT51" s="51">
        <f t="shared" si="39"/>
        <v>0</v>
      </c>
      <c r="BU51" s="51">
        <f t="shared" si="39"/>
        <v>0</v>
      </c>
      <c r="BV51" s="51" t="e">
        <f t="shared" si="13"/>
        <v>#DIV/0!</v>
      </c>
      <c r="BW51" s="51" t="e">
        <f t="shared" si="14"/>
        <v>#DIV/0!</v>
      </c>
      <c r="BX51" s="51" t="e">
        <f t="shared" si="15"/>
        <v>#DIV/0!</v>
      </c>
      <c r="BY51" s="51" t="e">
        <f t="shared" si="16"/>
        <v>#DIV/0!</v>
      </c>
      <c r="BZ51" s="51" t="e">
        <f t="shared" si="17"/>
        <v>#DIV/0!</v>
      </c>
      <c r="CA51" s="51" t="e">
        <f t="shared" si="18"/>
        <v>#DIV/0!</v>
      </c>
      <c r="CB51" s="51" t="e">
        <f t="shared" si="19"/>
        <v>#DIV/0!</v>
      </c>
      <c r="CC51" s="51" t="e">
        <f t="shared" si="20"/>
        <v>#DIV/0!</v>
      </c>
      <c r="CD51" s="51" t="e">
        <f t="shared" si="21"/>
        <v>#DIV/0!</v>
      </c>
      <c r="CE51" s="53">
        <f t="shared" si="35"/>
        <v>0</v>
      </c>
      <c r="CF51" s="53">
        <f t="shared" si="35"/>
        <v>0</v>
      </c>
      <c r="CG51" s="53">
        <f t="shared" si="35"/>
        <v>0</v>
      </c>
      <c r="CH51" s="53">
        <f t="shared" si="35"/>
        <v>0</v>
      </c>
      <c r="CI51" s="53">
        <f t="shared" si="35"/>
        <v>0</v>
      </c>
      <c r="CJ51" s="53">
        <f t="shared" si="35"/>
        <v>0</v>
      </c>
      <c r="CK51" s="53">
        <f t="shared" si="35"/>
        <v>0</v>
      </c>
      <c r="CL51" s="53">
        <f t="shared" si="35"/>
        <v>0</v>
      </c>
      <c r="CM51" s="53">
        <f t="shared" si="35"/>
        <v>0</v>
      </c>
    </row>
    <row r="52" spans="1:91" x14ac:dyDescent="0.15">
      <c r="A52" s="41">
        <v>50</v>
      </c>
      <c r="B52" s="43">
        <f>B$51</f>
        <v>1</v>
      </c>
      <c r="C52" s="43">
        <f t="shared" ref="C52:J62" si="40">C$51</f>
        <v>1</v>
      </c>
      <c r="D52" s="43">
        <f t="shared" si="40"/>
        <v>1</v>
      </c>
      <c r="E52" s="43">
        <f t="shared" si="40"/>
        <v>1</v>
      </c>
      <c r="F52" s="43">
        <f t="shared" si="40"/>
        <v>1</v>
      </c>
      <c r="G52" s="43">
        <f t="shared" si="40"/>
        <v>1</v>
      </c>
      <c r="H52" s="43">
        <f t="shared" si="40"/>
        <v>1</v>
      </c>
      <c r="I52" s="43">
        <f t="shared" si="40"/>
        <v>1</v>
      </c>
      <c r="J52" s="43">
        <f t="shared" si="40"/>
        <v>1</v>
      </c>
      <c r="K52" s="43" t="e">
        <f>K51+ATM_Conf!$C$5*(T51-AC51)</f>
        <v>#DIV/0!</v>
      </c>
      <c r="L52" s="43" t="e">
        <f>L51+ATM_Conf!$C$5*(U51-AD51)</f>
        <v>#DIV/0!</v>
      </c>
      <c r="M52" s="43" t="e">
        <f>M51+ATM_Conf!$C$5*(V51-AE51)</f>
        <v>#DIV/0!</v>
      </c>
      <c r="N52" s="43" t="e">
        <f>N51+ATM_Conf!$C$5*(W51-AF51)</f>
        <v>#DIV/0!</v>
      </c>
      <c r="O52" s="43" t="e">
        <f>O51+ATM_Conf!$C$5*(X51-AG51)</f>
        <v>#DIV/0!</v>
      </c>
      <c r="P52" s="43" t="e">
        <f>P51+ATM_Conf!$C$5*(Y51-AH51)</f>
        <v>#DIV/0!</v>
      </c>
      <c r="Q52" s="43" t="e">
        <f>Q51+ATM_Conf!$C$5*(Z51-AI51)</f>
        <v>#DIV/0!</v>
      </c>
      <c r="R52" s="43" t="e">
        <f>R51+ATM_Conf!$C$5*(AA51-AJ51)</f>
        <v>#DIV/0!</v>
      </c>
      <c r="S52" s="43" t="e">
        <f>S51+ATM_Conf!$C$5*(AB51-AK51)</f>
        <v>#DIV/0!</v>
      </c>
      <c r="T52" s="43">
        <f t="shared" si="33"/>
        <v>0</v>
      </c>
      <c r="U52" s="43">
        <f t="shared" si="33"/>
        <v>0</v>
      </c>
      <c r="V52" s="43">
        <f t="shared" si="33"/>
        <v>0</v>
      </c>
      <c r="W52" s="43">
        <f t="shared" si="33"/>
        <v>0</v>
      </c>
      <c r="X52" s="43">
        <f t="shared" si="33"/>
        <v>0</v>
      </c>
      <c r="Y52" s="43">
        <f t="shared" si="33"/>
        <v>0</v>
      </c>
      <c r="Z52" s="43">
        <f t="shared" si="33"/>
        <v>0</v>
      </c>
      <c r="AA52" s="43">
        <f t="shared" si="33"/>
        <v>0</v>
      </c>
      <c r="AB52" s="43">
        <f t="shared" si="33"/>
        <v>0</v>
      </c>
      <c r="AC52" s="43" t="e">
        <f t="shared" si="3"/>
        <v>#DIV/0!</v>
      </c>
      <c r="AD52" s="43" t="e">
        <f t="shared" si="4"/>
        <v>#DIV/0!</v>
      </c>
      <c r="AE52" s="43" t="e">
        <f t="shared" si="5"/>
        <v>#DIV/0!</v>
      </c>
      <c r="AF52" s="43" t="e">
        <f t="shared" si="6"/>
        <v>#DIV/0!</v>
      </c>
      <c r="AG52" s="43" t="e">
        <f t="shared" si="7"/>
        <v>#DIV/0!</v>
      </c>
      <c r="AH52" s="43" t="e">
        <f t="shared" si="8"/>
        <v>#DIV/0!</v>
      </c>
      <c r="AI52" s="43" t="e">
        <f t="shared" si="9"/>
        <v>#DIV/0!</v>
      </c>
      <c r="AJ52" s="43" t="e">
        <f t="shared" si="10"/>
        <v>#DIV/0!</v>
      </c>
      <c r="AK52" s="43" t="e">
        <f t="shared" si="11"/>
        <v>#DIV/0!</v>
      </c>
      <c r="AL52" s="43" t="e">
        <f>T$3+K52/ATM_Conf!$C$5</f>
        <v>#DIV/0!</v>
      </c>
      <c r="AM52" s="43" t="e">
        <f>U$3+L52/ATM_Conf!$C$5</f>
        <v>#DIV/0!</v>
      </c>
      <c r="AN52" s="43" t="e">
        <f>V$3+M52/ATM_Conf!$C$5</f>
        <v>#DIV/0!</v>
      </c>
      <c r="AO52" s="43" t="e">
        <f>W$3+N52/ATM_Conf!$C$5</f>
        <v>#DIV/0!</v>
      </c>
      <c r="AP52" s="43" t="e">
        <f>X$3+O52/ATM_Conf!$C$5</f>
        <v>#DIV/0!</v>
      </c>
      <c r="AQ52" s="43" t="e">
        <f>Y$3+P52/ATM_Conf!$C$5</f>
        <v>#DIV/0!</v>
      </c>
      <c r="AR52" s="43" t="e">
        <f>Z$3+Q52/ATM_Conf!$C$5</f>
        <v>#DIV/0!</v>
      </c>
      <c r="AS52" s="43" t="e">
        <f>AA$3+R52/ATM_Conf!$C$5</f>
        <v>#DIV/0!</v>
      </c>
      <c r="AT52" s="43" t="e">
        <f>AB$3+S52/ATM_Conf!$C$5</f>
        <v>#DIV/0!</v>
      </c>
      <c r="AU52" s="43" t="e">
        <f>BD$3*MIN(1,(ATM_Conf!$C$6-Links!X52)/(ATM_Conf!$C$6-ATM_Conf!$C$7))</f>
        <v>#DIV/0!</v>
      </c>
      <c r="AV52" s="43" t="e">
        <f>BE$3*MIN(1,(ATM_Conf!$C$6-Links!Z52)/(ATM_Conf!$C$6-ATM_Conf!$C$7))</f>
        <v>#DIV/0!</v>
      </c>
      <c r="AW52" s="43" t="e">
        <f>BF$3*MIN(1,(ATM_Conf!$C$6-Links!AA52)/(ATM_Conf!$C$6-ATM_Conf!$C$7))</f>
        <v>#DIV/0!</v>
      </c>
      <c r="AX52" s="43" t="e">
        <f>BG$3*MIN(1,(ATM_Conf!$C$6-Links!AD52)/(ATM_Conf!$C$6-ATM_Conf!$C$7))</f>
        <v>#DIV/0!</v>
      </c>
      <c r="AY52" s="43" t="e">
        <f>BH$3*MIN(1,(ATM_Conf!$C$6-Links!AE52)/(ATM_Conf!$C$6-ATM_Conf!$C$7))</f>
        <v>#DIV/0!</v>
      </c>
      <c r="AZ52" s="43" t="e">
        <f>BI$3*MIN(1,(ATM_Conf!$C$6-Links!AG52)/(ATM_Conf!$C$6-ATM_Conf!$C$7))</f>
        <v>#DIV/0!</v>
      </c>
      <c r="BA52" s="43" t="e">
        <f>BJ$3*MIN(1,(ATM_Conf!$C$6-Links!AH52)/(ATM_Conf!$C$6-ATM_Conf!$C$7))</f>
        <v>#DIV/0!</v>
      </c>
      <c r="BB52" s="43" t="e">
        <f>BK$3*MIN(1,(ATM_Conf!$C$6-Links!AK52)/(ATM_Conf!$C$6-ATM_Conf!$C$7))</f>
        <v>#DIV/0!</v>
      </c>
      <c r="BC52" s="43" t="e">
        <f>BL$3*MIN(1,(ATM_Conf!$C$6-Links!AM52)/(ATM_Conf!$C$6-ATM_Conf!$C$7))</f>
        <v>#DIV/0!</v>
      </c>
      <c r="BD52" s="43">
        <f t="shared" si="34"/>
        <v>0</v>
      </c>
      <c r="BE52" s="43">
        <f t="shared" si="34"/>
        <v>0</v>
      </c>
      <c r="BF52" s="43">
        <f t="shared" si="34"/>
        <v>0</v>
      </c>
      <c r="BG52" s="43">
        <f t="shared" si="34"/>
        <v>0</v>
      </c>
      <c r="BH52" s="43">
        <f t="shared" si="34"/>
        <v>0</v>
      </c>
      <c r="BI52" s="43">
        <f t="shared" si="34"/>
        <v>0</v>
      </c>
      <c r="BJ52" s="43">
        <f t="shared" si="34"/>
        <v>0</v>
      </c>
      <c r="BK52" s="43">
        <f t="shared" si="34"/>
        <v>0</v>
      </c>
      <c r="BL52" s="43">
        <f t="shared" si="34"/>
        <v>0</v>
      </c>
      <c r="BM52" s="51"/>
      <c r="BN52" s="51"/>
      <c r="BO52" s="51"/>
      <c r="BP52" s="51"/>
      <c r="BQ52" s="51"/>
      <c r="BR52" s="51"/>
      <c r="BS52" s="51"/>
      <c r="BT52" s="51"/>
      <c r="BU52" s="51"/>
      <c r="BV52" s="51" t="e">
        <f t="shared" si="13"/>
        <v>#DIV/0!</v>
      </c>
      <c r="BW52" s="51" t="e">
        <f t="shared" si="14"/>
        <v>#DIV/0!</v>
      </c>
      <c r="BX52" s="51" t="e">
        <f t="shared" si="15"/>
        <v>#DIV/0!</v>
      </c>
      <c r="BY52" s="51" t="e">
        <f t="shared" si="16"/>
        <v>#DIV/0!</v>
      </c>
      <c r="BZ52" s="51" t="e">
        <f t="shared" si="17"/>
        <v>#DIV/0!</v>
      </c>
      <c r="CA52" s="51" t="e">
        <f t="shared" si="18"/>
        <v>#DIV/0!</v>
      </c>
      <c r="CB52" s="51" t="e">
        <f t="shared" si="19"/>
        <v>#DIV/0!</v>
      </c>
      <c r="CC52" s="51" t="e">
        <f t="shared" si="20"/>
        <v>#DIV/0!</v>
      </c>
      <c r="CD52" s="51" t="e">
        <f t="shared" si="21"/>
        <v>#DIV/0!</v>
      </c>
      <c r="CE52" s="53">
        <f t="shared" si="35"/>
        <v>0</v>
      </c>
      <c r="CF52" s="53">
        <f t="shared" si="35"/>
        <v>0</v>
      </c>
      <c r="CG52" s="53">
        <f t="shared" si="35"/>
        <v>0</v>
      </c>
      <c r="CH52" s="53">
        <f t="shared" si="35"/>
        <v>0</v>
      </c>
      <c r="CI52" s="53">
        <f t="shared" si="35"/>
        <v>0</v>
      </c>
      <c r="CJ52" s="53">
        <f t="shared" si="35"/>
        <v>0</v>
      </c>
      <c r="CK52" s="53">
        <f t="shared" si="35"/>
        <v>0</v>
      </c>
      <c r="CL52" s="53">
        <f t="shared" si="35"/>
        <v>0</v>
      </c>
      <c r="CM52" s="53">
        <f t="shared" si="35"/>
        <v>0</v>
      </c>
    </row>
    <row r="53" spans="1:91" x14ac:dyDescent="0.15">
      <c r="A53" s="41">
        <v>51</v>
      </c>
      <c r="B53" s="43">
        <f t="shared" ref="B53:B62" si="41">B$51</f>
        <v>1</v>
      </c>
      <c r="C53" s="43">
        <f t="shared" si="40"/>
        <v>1</v>
      </c>
      <c r="D53" s="43">
        <f t="shared" si="40"/>
        <v>1</v>
      </c>
      <c r="E53" s="43">
        <f t="shared" si="40"/>
        <v>1</v>
      </c>
      <c r="F53" s="43">
        <f t="shared" si="40"/>
        <v>1</v>
      </c>
      <c r="G53" s="43">
        <f t="shared" si="40"/>
        <v>1</v>
      </c>
      <c r="H53" s="43">
        <f t="shared" si="40"/>
        <v>1</v>
      </c>
      <c r="I53" s="43">
        <f t="shared" si="40"/>
        <v>1</v>
      </c>
      <c r="J53" s="43">
        <f t="shared" si="40"/>
        <v>1</v>
      </c>
      <c r="K53" s="43" t="e">
        <f>K52+ATM_Conf!$C$5*(T52-AC52)</f>
        <v>#DIV/0!</v>
      </c>
      <c r="L53" s="43" t="e">
        <f>L52+ATM_Conf!$C$5*(U52-AD52)</f>
        <v>#DIV/0!</v>
      </c>
      <c r="M53" s="43" t="e">
        <f>M52+ATM_Conf!$C$5*(V52-AE52)</f>
        <v>#DIV/0!</v>
      </c>
      <c r="N53" s="43" t="e">
        <f>N52+ATM_Conf!$C$5*(W52-AF52)</f>
        <v>#DIV/0!</v>
      </c>
      <c r="O53" s="43" t="e">
        <f>O52+ATM_Conf!$C$5*(X52-AG52)</f>
        <v>#DIV/0!</v>
      </c>
      <c r="P53" s="43" t="e">
        <f>P52+ATM_Conf!$C$5*(Y52-AH52)</f>
        <v>#DIV/0!</v>
      </c>
      <c r="Q53" s="43" t="e">
        <f>Q52+ATM_Conf!$C$5*(Z52-AI52)</f>
        <v>#DIV/0!</v>
      </c>
      <c r="R53" s="43" t="e">
        <f>R52+ATM_Conf!$C$5*(AA52-AJ52)</f>
        <v>#DIV/0!</v>
      </c>
      <c r="S53" s="43" t="e">
        <f>S52+ATM_Conf!$C$5*(AB52-AK52)</f>
        <v>#DIV/0!</v>
      </c>
      <c r="T53" s="43">
        <f t="shared" si="33"/>
        <v>0</v>
      </c>
      <c r="U53" s="43">
        <f t="shared" si="33"/>
        <v>0</v>
      </c>
      <c r="V53" s="43">
        <f t="shared" si="33"/>
        <v>0</v>
      </c>
      <c r="W53" s="43">
        <f t="shared" si="33"/>
        <v>0</v>
      </c>
      <c r="X53" s="43">
        <f t="shared" si="33"/>
        <v>0</v>
      </c>
      <c r="Y53" s="43">
        <f t="shared" si="33"/>
        <v>0</v>
      </c>
      <c r="Z53" s="43">
        <f t="shared" si="33"/>
        <v>0</v>
      </c>
      <c r="AA53" s="43">
        <f t="shared" si="33"/>
        <v>0</v>
      </c>
      <c r="AB53" s="43">
        <f t="shared" si="33"/>
        <v>0</v>
      </c>
      <c r="AC53" s="43" t="e">
        <f t="shared" si="3"/>
        <v>#DIV/0!</v>
      </c>
      <c r="AD53" s="43" t="e">
        <f t="shared" si="4"/>
        <v>#DIV/0!</v>
      </c>
      <c r="AE53" s="43" t="e">
        <f t="shared" si="5"/>
        <v>#DIV/0!</v>
      </c>
      <c r="AF53" s="43" t="e">
        <f t="shared" si="6"/>
        <v>#DIV/0!</v>
      </c>
      <c r="AG53" s="43" t="e">
        <f t="shared" si="7"/>
        <v>#DIV/0!</v>
      </c>
      <c r="AH53" s="43" t="e">
        <f t="shared" si="8"/>
        <v>#DIV/0!</v>
      </c>
      <c r="AI53" s="43" t="e">
        <f t="shared" si="9"/>
        <v>#DIV/0!</v>
      </c>
      <c r="AJ53" s="43" t="e">
        <f t="shared" si="10"/>
        <v>#DIV/0!</v>
      </c>
      <c r="AK53" s="43" t="e">
        <f t="shared" si="11"/>
        <v>#DIV/0!</v>
      </c>
      <c r="AL53" s="43" t="e">
        <f>T$3+K53/ATM_Conf!$C$5</f>
        <v>#DIV/0!</v>
      </c>
      <c r="AM53" s="43" t="e">
        <f>U$3+L53/ATM_Conf!$C$5</f>
        <v>#DIV/0!</v>
      </c>
      <c r="AN53" s="43" t="e">
        <f>V$3+M53/ATM_Conf!$C$5</f>
        <v>#DIV/0!</v>
      </c>
      <c r="AO53" s="43" t="e">
        <f>W$3+N53/ATM_Conf!$C$5</f>
        <v>#DIV/0!</v>
      </c>
      <c r="AP53" s="43" t="e">
        <f>X$3+O53/ATM_Conf!$C$5</f>
        <v>#DIV/0!</v>
      </c>
      <c r="AQ53" s="43" t="e">
        <f>Y$3+P53/ATM_Conf!$C$5</f>
        <v>#DIV/0!</v>
      </c>
      <c r="AR53" s="43" t="e">
        <f>Z$3+Q53/ATM_Conf!$C$5</f>
        <v>#DIV/0!</v>
      </c>
      <c r="AS53" s="43" t="e">
        <f>AA$3+R53/ATM_Conf!$C$5</f>
        <v>#DIV/0!</v>
      </c>
      <c r="AT53" s="43" t="e">
        <f>AB$3+S53/ATM_Conf!$C$5</f>
        <v>#DIV/0!</v>
      </c>
      <c r="AU53" s="43" t="e">
        <f>BD$3*MIN(1,(ATM_Conf!$C$6-Links!X53)/(ATM_Conf!$C$6-ATM_Conf!$C$7))</f>
        <v>#DIV/0!</v>
      </c>
      <c r="AV53" s="43" t="e">
        <f>BE$3*MIN(1,(ATM_Conf!$C$6-Links!Z53)/(ATM_Conf!$C$6-ATM_Conf!$C$7))</f>
        <v>#DIV/0!</v>
      </c>
      <c r="AW53" s="43" t="e">
        <f>BF$3*MIN(1,(ATM_Conf!$C$6-Links!AA53)/(ATM_Conf!$C$6-ATM_Conf!$C$7))</f>
        <v>#DIV/0!</v>
      </c>
      <c r="AX53" s="43" t="e">
        <f>BG$3*MIN(1,(ATM_Conf!$C$6-Links!AD53)/(ATM_Conf!$C$6-ATM_Conf!$C$7))</f>
        <v>#DIV/0!</v>
      </c>
      <c r="AY53" s="43" t="e">
        <f>BH$3*MIN(1,(ATM_Conf!$C$6-Links!AE53)/(ATM_Conf!$C$6-ATM_Conf!$C$7))</f>
        <v>#DIV/0!</v>
      </c>
      <c r="AZ53" s="43" t="e">
        <f>BI$3*MIN(1,(ATM_Conf!$C$6-Links!AG53)/(ATM_Conf!$C$6-ATM_Conf!$C$7))</f>
        <v>#DIV/0!</v>
      </c>
      <c r="BA53" s="43" t="e">
        <f>BJ$3*MIN(1,(ATM_Conf!$C$6-Links!AH53)/(ATM_Conf!$C$6-ATM_Conf!$C$7))</f>
        <v>#DIV/0!</v>
      </c>
      <c r="BB53" s="43" t="e">
        <f>BK$3*MIN(1,(ATM_Conf!$C$6-Links!AK53)/(ATM_Conf!$C$6-ATM_Conf!$C$7))</f>
        <v>#DIV/0!</v>
      </c>
      <c r="BC53" s="43" t="e">
        <f>BL$3*MIN(1,(ATM_Conf!$C$6-Links!AM53)/(ATM_Conf!$C$6-ATM_Conf!$C$7))</f>
        <v>#DIV/0!</v>
      </c>
      <c r="BD53" s="43">
        <f t="shared" si="34"/>
        <v>0</v>
      </c>
      <c r="BE53" s="43">
        <f t="shared" si="34"/>
        <v>0</v>
      </c>
      <c r="BF53" s="43">
        <f t="shared" si="34"/>
        <v>0</v>
      </c>
      <c r="BG53" s="43">
        <f t="shared" si="34"/>
        <v>0</v>
      </c>
      <c r="BH53" s="43">
        <f t="shared" si="34"/>
        <v>0</v>
      </c>
      <c r="BI53" s="43">
        <f t="shared" si="34"/>
        <v>0</v>
      </c>
      <c r="BJ53" s="43">
        <f t="shared" si="34"/>
        <v>0</v>
      </c>
      <c r="BK53" s="43">
        <f t="shared" si="34"/>
        <v>0</v>
      </c>
      <c r="BL53" s="43">
        <f t="shared" si="34"/>
        <v>0</v>
      </c>
      <c r="BM53" s="51"/>
      <c r="BN53" s="51"/>
      <c r="BO53" s="51"/>
      <c r="BP53" s="51"/>
      <c r="BQ53" s="51"/>
      <c r="BR53" s="51"/>
      <c r="BS53" s="51"/>
      <c r="BT53" s="51"/>
      <c r="BU53" s="51"/>
      <c r="BV53" s="51" t="e">
        <f t="shared" si="13"/>
        <v>#DIV/0!</v>
      </c>
      <c r="BW53" s="51" t="e">
        <f t="shared" si="14"/>
        <v>#DIV/0!</v>
      </c>
      <c r="BX53" s="51" t="e">
        <f t="shared" si="15"/>
        <v>#DIV/0!</v>
      </c>
      <c r="BY53" s="51" t="e">
        <f t="shared" si="16"/>
        <v>#DIV/0!</v>
      </c>
      <c r="BZ53" s="51" t="e">
        <f t="shared" si="17"/>
        <v>#DIV/0!</v>
      </c>
      <c r="CA53" s="51" t="e">
        <f t="shared" si="18"/>
        <v>#DIV/0!</v>
      </c>
      <c r="CB53" s="51" t="e">
        <f t="shared" si="19"/>
        <v>#DIV/0!</v>
      </c>
      <c r="CC53" s="51" t="e">
        <f t="shared" si="20"/>
        <v>#DIV/0!</v>
      </c>
      <c r="CD53" s="51" t="e">
        <f t="shared" si="21"/>
        <v>#DIV/0!</v>
      </c>
      <c r="CE53" s="53">
        <f t="shared" si="35"/>
        <v>0</v>
      </c>
      <c r="CF53" s="53">
        <f t="shared" si="35"/>
        <v>0</v>
      </c>
      <c r="CG53" s="53">
        <f t="shared" si="35"/>
        <v>0</v>
      </c>
      <c r="CH53" s="53">
        <f t="shared" si="35"/>
        <v>0</v>
      </c>
      <c r="CI53" s="53">
        <f t="shared" si="35"/>
        <v>0</v>
      </c>
      <c r="CJ53" s="53">
        <f t="shared" si="35"/>
        <v>0</v>
      </c>
      <c r="CK53" s="53">
        <f t="shared" si="35"/>
        <v>0</v>
      </c>
      <c r="CL53" s="53">
        <f t="shared" si="35"/>
        <v>0</v>
      </c>
      <c r="CM53" s="53">
        <f t="shared" si="35"/>
        <v>0</v>
      </c>
    </row>
    <row r="54" spans="1:91" x14ac:dyDescent="0.15">
      <c r="A54" s="41">
        <v>52</v>
      </c>
      <c r="B54" s="43">
        <f t="shared" si="41"/>
        <v>1</v>
      </c>
      <c r="C54" s="43">
        <f t="shared" si="40"/>
        <v>1</v>
      </c>
      <c r="D54" s="43">
        <f t="shared" si="40"/>
        <v>1</v>
      </c>
      <c r="E54" s="43">
        <f t="shared" si="40"/>
        <v>1</v>
      </c>
      <c r="F54" s="43">
        <f t="shared" si="40"/>
        <v>1</v>
      </c>
      <c r="G54" s="43">
        <f t="shared" si="40"/>
        <v>1</v>
      </c>
      <c r="H54" s="43">
        <f t="shared" si="40"/>
        <v>1</v>
      </c>
      <c r="I54" s="43">
        <f t="shared" si="40"/>
        <v>1</v>
      </c>
      <c r="J54" s="43">
        <f t="shared" si="40"/>
        <v>1</v>
      </c>
      <c r="K54" s="43" t="e">
        <f>K53+ATM_Conf!$C$5*(T53-AC53)</f>
        <v>#DIV/0!</v>
      </c>
      <c r="L54" s="43" t="e">
        <f>L53+ATM_Conf!$C$5*(U53-AD53)</f>
        <v>#DIV/0!</v>
      </c>
      <c r="M54" s="43" t="e">
        <f>M53+ATM_Conf!$C$5*(V53-AE53)</f>
        <v>#DIV/0!</v>
      </c>
      <c r="N54" s="43" t="e">
        <f>N53+ATM_Conf!$C$5*(W53-AF53)</f>
        <v>#DIV/0!</v>
      </c>
      <c r="O54" s="43" t="e">
        <f>O53+ATM_Conf!$C$5*(X53-AG53)</f>
        <v>#DIV/0!</v>
      </c>
      <c r="P54" s="43" t="e">
        <f>P53+ATM_Conf!$C$5*(Y53-AH53)</f>
        <v>#DIV/0!</v>
      </c>
      <c r="Q54" s="43" t="e">
        <f>Q53+ATM_Conf!$C$5*(Z53-AI53)</f>
        <v>#DIV/0!</v>
      </c>
      <c r="R54" s="43" t="e">
        <f>R53+ATM_Conf!$C$5*(AA53-AJ53)</f>
        <v>#DIV/0!</v>
      </c>
      <c r="S54" s="43" t="e">
        <f>S53+ATM_Conf!$C$5*(AB53-AK53)</f>
        <v>#DIV/0!</v>
      </c>
      <c r="T54" s="43">
        <f t="shared" si="33"/>
        <v>0</v>
      </c>
      <c r="U54" s="43">
        <f t="shared" si="33"/>
        <v>0</v>
      </c>
      <c r="V54" s="43">
        <f t="shared" si="33"/>
        <v>0</v>
      </c>
      <c r="W54" s="43">
        <f t="shared" si="33"/>
        <v>0</v>
      </c>
      <c r="X54" s="43">
        <f t="shared" si="33"/>
        <v>0</v>
      </c>
      <c r="Y54" s="43">
        <f t="shared" si="33"/>
        <v>0</v>
      </c>
      <c r="Z54" s="43">
        <f t="shared" si="33"/>
        <v>0</v>
      </c>
      <c r="AA54" s="43">
        <f t="shared" si="33"/>
        <v>0</v>
      </c>
      <c r="AB54" s="43">
        <f t="shared" si="33"/>
        <v>0</v>
      </c>
      <c r="AC54" s="43" t="e">
        <f t="shared" si="3"/>
        <v>#DIV/0!</v>
      </c>
      <c r="AD54" s="43" t="e">
        <f t="shared" si="4"/>
        <v>#DIV/0!</v>
      </c>
      <c r="AE54" s="43" t="e">
        <f t="shared" si="5"/>
        <v>#DIV/0!</v>
      </c>
      <c r="AF54" s="43" t="e">
        <f t="shared" si="6"/>
        <v>#DIV/0!</v>
      </c>
      <c r="AG54" s="43" t="e">
        <f t="shared" si="7"/>
        <v>#DIV/0!</v>
      </c>
      <c r="AH54" s="43" t="e">
        <f t="shared" si="8"/>
        <v>#DIV/0!</v>
      </c>
      <c r="AI54" s="43" t="e">
        <f t="shared" si="9"/>
        <v>#DIV/0!</v>
      </c>
      <c r="AJ54" s="43" t="e">
        <f t="shared" si="10"/>
        <v>#DIV/0!</v>
      </c>
      <c r="AK54" s="43" t="e">
        <f t="shared" si="11"/>
        <v>#DIV/0!</v>
      </c>
      <c r="AL54" s="43" t="e">
        <f>T$3+K54/ATM_Conf!$C$5</f>
        <v>#DIV/0!</v>
      </c>
      <c r="AM54" s="43" t="e">
        <f>U$3+L54/ATM_Conf!$C$5</f>
        <v>#DIV/0!</v>
      </c>
      <c r="AN54" s="43" t="e">
        <f>V$3+M54/ATM_Conf!$C$5</f>
        <v>#DIV/0!</v>
      </c>
      <c r="AO54" s="43" t="e">
        <f>W$3+N54/ATM_Conf!$C$5</f>
        <v>#DIV/0!</v>
      </c>
      <c r="AP54" s="43" t="e">
        <f>X$3+O54/ATM_Conf!$C$5</f>
        <v>#DIV/0!</v>
      </c>
      <c r="AQ54" s="43" t="e">
        <f>Y$3+P54/ATM_Conf!$C$5</f>
        <v>#DIV/0!</v>
      </c>
      <c r="AR54" s="43" t="e">
        <f>Z$3+Q54/ATM_Conf!$C$5</f>
        <v>#DIV/0!</v>
      </c>
      <c r="AS54" s="43" t="e">
        <f>AA$3+R54/ATM_Conf!$C$5</f>
        <v>#DIV/0!</v>
      </c>
      <c r="AT54" s="43" t="e">
        <f>AB$3+S54/ATM_Conf!$C$5</f>
        <v>#DIV/0!</v>
      </c>
      <c r="AU54" s="43" t="e">
        <f>BD$3*MIN(1,(ATM_Conf!$C$6-Links!X54)/(ATM_Conf!$C$6-ATM_Conf!$C$7))</f>
        <v>#DIV/0!</v>
      </c>
      <c r="AV54" s="43" t="e">
        <f>BE$3*MIN(1,(ATM_Conf!$C$6-Links!Z54)/(ATM_Conf!$C$6-ATM_Conf!$C$7))</f>
        <v>#DIV/0!</v>
      </c>
      <c r="AW54" s="43" t="e">
        <f>BF$3*MIN(1,(ATM_Conf!$C$6-Links!AA54)/(ATM_Conf!$C$6-ATM_Conf!$C$7))</f>
        <v>#DIV/0!</v>
      </c>
      <c r="AX54" s="43" t="e">
        <f>BG$3*MIN(1,(ATM_Conf!$C$6-Links!AD54)/(ATM_Conf!$C$6-ATM_Conf!$C$7))</f>
        <v>#DIV/0!</v>
      </c>
      <c r="AY54" s="43" t="e">
        <f>BH$3*MIN(1,(ATM_Conf!$C$6-Links!AE54)/(ATM_Conf!$C$6-ATM_Conf!$C$7))</f>
        <v>#DIV/0!</v>
      </c>
      <c r="AZ54" s="43" t="e">
        <f>BI$3*MIN(1,(ATM_Conf!$C$6-Links!AG54)/(ATM_Conf!$C$6-ATM_Conf!$C$7))</f>
        <v>#DIV/0!</v>
      </c>
      <c r="BA54" s="43" t="e">
        <f>BJ$3*MIN(1,(ATM_Conf!$C$6-Links!AH54)/(ATM_Conf!$C$6-ATM_Conf!$C$7))</f>
        <v>#DIV/0!</v>
      </c>
      <c r="BB54" s="43" t="e">
        <f>BK$3*MIN(1,(ATM_Conf!$C$6-Links!AK54)/(ATM_Conf!$C$6-ATM_Conf!$C$7))</f>
        <v>#DIV/0!</v>
      </c>
      <c r="BC54" s="43" t="e">
        <f>BL$3*MIN(1,(ATM_Conf!$C$6-Links!AM54)/(ATM_Conf!$C$6-ATM_Conf!$C$7))</f>
        <v>#DIV/0!</v>
      </c>
      <c r="BD54" s="43">
        <f t="shared" si="34"/>
        <v>0</v>
      </c>
      <c r="BE54" s="43">
        <f t="shared" si="34"/>
        <v>0</v>
      </c>
      <c r="BF54" s="43">
        <f t="shared" si="34"/>
        <v>0</v>
      </c>
      <c r="BG54" s="43">
        <f t="shared" si="34"/>
        <v>0</v>
      </c>
      <c r="BH54" s="43">
        <f t="shared" si="34"/>
        <v>0</v>
      </c>
      <c r="BI54" s="43">
        <f t="shared" si="34"/>
        <v>0</v>
      </c>
      <c r="BJ54" s="43">
        <f t="shared" si="34"/>
        <v>0</v>
      </c>
      <c r="BK54" s="43">
        <f t="shared" si="34"/>
        <v>0</v>
      </c>
      <c r="BL54" s="43">
        <f t="shared" si="34"/>
        <v>0</v>
      </c>
      <c r="BM54" s="51"/>
      <c r="BN54" s="51"/>
      <c r="BO54" s="51"/>
      <c r="BP54" s="51"/>
      <c r="BQ54" s="51"/>
      <c r="BR54" s="51"/>
      <c r="BS54" s="51"/>
      <c r="BT54" s="51"/>
      <c r="BU54" s="51"/>
      <c r="BV54" s="51" t="e">
        <f t="shared" si="13"/>
        <v>#DIV/0!</v>
      </c>
      <c r="BW54" s="51" t="e">
        <f t="shared" si="14"/>
        <v>#DIV/0!</v>
      </c>
      <c r="BX54" s="51" t="e">
        <f t="shared" si="15"/>
        <v>#DIV/0!</v>
      </c>
      <c r="BY54" s="51" t="e">
        <f t="shared" si="16"/>
        <v>#DIV/0!</v>
      </c>
      <c r="BZ54" s="51" t="e">
        <f t="shared" si="17"/>
        <v>#DIV/0!</v>
      </c>
      <c r="CA54" s="51" t="e">
        <f t="shared" si="18"/>
        <v>#DIV/0!</v>
      </c>
      <c r="CB54" s="51" t="e">
        <f t="shared" si="19"/>
        <v>#DIV/0!</v>
      </c>
      <c r="CC54" s="51" t="e">
        <f t="shared" si="20"/>
        <v>#DIV/0!</v>
      </c>
      <c r="CD54" s="51" t="e">
        <f t="shared" si="21"/>
        <v>#DIV/0!</v>
      </c>
      <c r="CE54" s="53">
        <f t="shared" si="35"/>
        <v>0</v>
      </c>
      <c r="CF54" s="53">
        <f t="shared" si="35"/>
        <v>0</v>
      </c>
      <c r="CG54" s="53">
        <f t="shared" si="35"/>
        <v>0</v>
      </c>
      <c r="CH54" s="53">
        <f t="shared" si="35"/>
        <v>0</v>
      </c>
      <c r="CI54" s="53">
        <f t="shared" si="35"/>
        <v>0</v>
      </c>
      <c r="CJ54" s="53">
        <f t="shared" si="35"/>
        <v>0</v>
      </c>
      <c r="CK54" s="53">
        <f t="shared" si="35"/>
        <v>0</v>
      </c>
      <c r="CL54" s="53">
        <f t="shared" si="35"/>
        <v>0</v>
      </c>
      <c r="CM54" s="53">
        <f t="shared" si="35"/>
        <v>0</v>
      </c>
    </row>
    <row r="55" spans="1:91" x14ac:dyDescent="0.15">
      <c r="A55" s="41">
        <v>53</v>
      </c>
      <c r="B55" s="43">
        <f t="shared" si="41"/>
        <v>1</v>
      </c>
      <c r="C55" s="43">
        <f t="shared" si="40"/>
        <v>1</v>
      </c>
      <c r="D55" s="43">
        <f t="shared" si="40"/>
        <v>1</v>
      </c>
      <c r="E55" s="43">
        <f t="shared" si="40"/>
        <v>1</v>
      </c>
      <c r="F55" s="43">
        <f t="shared" si="40"/>
        <v>1</v>
      </c>
      <c r="G55" s="43">
        <f t="shared" si="40"/>
        <v>1</v>
      </c>
      <c r="H55" s="43">
        <f t="shared" si="40"/>
        <v>1</v>
      </c>
      <c r="I55" s="43">
        <f t="shared" si="40"/>
        <v>1</v>
      </c>
      <c r="J55" s="43">
        <f t="shared" si="40"/>
        <v>1</v>
      </c>
      <c r="K55" s="43" t="e">
        <f>K54+ATM_Conf!$C$5*(T54-AC54)</f>
        <v>#DIV/0!</v>
      </c>
      <c r="L55" s="43" t="e">
        <f>L54+ATM_Conf!$C$5*(U54-AD54)</f>
        <v>#DIV/0!</v>
      </c>
      <c r="M55" s="43" t="e">
        <f>M54+ATM_Conf!$C$5*(V54-AE54)</f>
        <v>#DIV/0!</v>
      </c>
      <c r="N55" s="43" t="e">
        <f>N54+ATM_Conf!$C$5*(W54-AF54)</f>
        <v>#DIV/0!</v>
      </c>
      <c r="O55" s="43" t="e">
        <f>O54+ATM_Conf!$C$5*(X54-AG54)</f>
        <v>#DIV/0!</v>
      </c>
      <c r="P55" s="43" t="e">
        <f>P54+ATM_Conf!$C$5*(Y54-AH54)</f>
        <v>#DIV/0!</v>
      </c>
      <c r="Q55" s="43" t="e">
        <f>Q54+ATM_Conf!$C$5*(Z54-AI54)</f>
        <v>#DIV/0!</v>
      </c>
      <c r="R55" s="43" t="e">
        <f>R54+ATM_Conf!$C$5*(AA54-AJ54)</f>
        <v>#DIV/0!</v>
      </c>
      <c r="S55" s="43" t="e">
        <f>S54+ATM_Conf!$C$5*(AB54-AK54)</f>
        <v>#DIV/0!</v>
      </c>
      <c r="T55" s="43">
        <f t="shared" si="33"/>
        <v>0</v>
      </c>
      <c r="U55" s="43">
        <f t="shared" si="33"/>
        <v>0</v>
      </c>
      <c r="V55" s="43">
        <f t="shared" si="33"/>
        <v>0</v>
      </c>
      <c r="W55" s="43">
        <f t="shared" si="33"/>
        <v>0</v>
      </c>
      <c r="X55" s="43">
        <f t="shared" si="33"/>
        <v>0</v>
      </c>
      <c r="Y55" s="43">
        <f t="shared" si="33"/>
        <v>0</v>
      </c>
      <c r="Z55" s="43">
        <f t="shared" si="33"/>
        <v>0</v>
      </c>
      <c r="AA55" s="43">
        <f t="shared" si="33"/>
        <v>0</v>
      </c>
      <c r="AB55" s="43">
        <f t="shared" si="33"/>
        <v>0</v>
      </c>
      <c r="AC55" s="43" t="e">
        <f t="shared" si="3"/>
        <v>#DIV/0!</v>
      </c>
      <c r="AD55" s="43" t="e">
        <f t="shared" si="4"/>
        <v>#DIV/0!</v>
      </c>
      <c r="AE55" s="43" t="e">
        <f t="shared" si="5"/>
        <v>#DIV/0!</v>
      </c>
      <c r="AF55" s="43" t="e">
        <f t="shared" si="6"/>
        <v>#DIV/0!</v>
      </c>
      <c r="AG55" s="43" t="e">
        <f t="shared" si="7"/>
        <v>#DIV/0!</v>
      </c>
      <c r="AH55" s="43" t="e">
        <f t="shared" si="8"/>
        <v>#DIV/0!</v>
      </c>
      <c r="AI55" s="43" t="e">
        <f t="shared" si="9"/>
        <v>#DIV/0!</v>
      </c>
      <c r="AJ55" s="43" t="e">
        <f t="shared" si="10"/>
        <v>#DIV/0!</v>
      </c>
      <c r="AK55" s="43" t="e">
        <f t="shared" si="11"/>
        <v>#DIV/0!</v>
      </c>
      <c r="AL55" s="43" t="e">
        <f>T$3+K55/ATM_Conf!$C$5</f>
        <v>#DIV/0!</v>
      </c>
      <c r="AM55" s="43" t="e">
        <f>U$3+L55/ATM_Conf!$C$5</f>
        <v>#DIV/0!</v>
      </c>
      <c r="AN55" s="43" t="e">
        <f>V$3+M55/ATM_Conf!$C$5</f>
        <v>#DIV/0!</v>
      </c>
      <c r="AO55" s="43" t="e">
        <f>W$3+N55/ATM_Conf!$C$5</f>
        <v>#DIV/0!</v>
      </c>
      <c r="AP55" s="43" t="e">
        <f>X$3+O55/ATM_Conf!$C$5</f>
        <v>#DIV/0!</v>
      </c>
      <c r="AQ55" s="43" t="e">
        <f>Y$3+P55/ATM_Conf!$C$5</f>
        <v>#DIV/0!</v>
      </c>
      <c r="AR55" s="43" t="e">
        <f>Z$3+Q55/ATM_Conf!$C$5</f>
        <v>#DIV/0!</v>
      </c>
      <c r="AS55" s="43" t="e">
        <f>AA$3+R55/ATM_Conf!$C$5</f>
        <v>#DIV/0!</v>
      </c>
      <c r="AT55" s="43" t="e">
        <f>AB$3+S55/ATM_Conf!$C$5</f>
        <v>#DIV/0!</v>
      </c>
      <c r="AU55" s="43" t="e">
        <f>BD$3*MIN(1,(ATM_Conf!$C$6-Links!X55)/(ATM_Conf!$C$6-ATM_Conf!$C$7))</f>
        <v>#DIV/0!</v>
      </c>
      <c r="AV55" s="43" t="e">
        <f>BE$3*MIN(1,(ATM_Conf!$C$6-Links!Z55)/(ATM_Conf!$C$6-ATM_Conf!$C$7))</f>
        <v>#DIV/0!</v>
      </c>
      <c r="AW55" s="43" t="e">
        <f>BF$3*MIN(1,(ATM_Conf!$C$6-Links!AA55)/(ATM_Conf!$C$6-ATM_Conf!$C$7))</f>
        <v>#DIV/0!</v>
      </c>
      <c r="AX55" s="43" t="e">
        <f>BG$3*MIN(1,(ATM_Conf!$C$6-Links!AD55)/(ATM_Conf!$C$6-ATM_Conf!$C$7))</f>
        <v>#DIV/0!</v>
      </c>
      <c r="AY55" s="43" t="e">
        <f>BH$3*MIN(1,(ATM_Conf!$C$6-Links!AE55)/(ATM_Conf!$C$6-ATM_Conf!$C$7))</f>
        <v>#DIV/0!</v>
      </c>
      <c r="AZ55" s="43" t="e">
        <f>BI$3*MIN(1,(ATM_Conf!$C$6-Links!AG55)/(ATM_Conf!$C$6-ATM_Conf!$C$7))</f>
        <v>#DIV/0!</v>
      </c>
      <c r="BA55" s="43" t="e">
        <f>BJ$3*MIN(1,(ATM_Conf!$C$6-Links!AH55)/(ATM_Conf!$C$6-ATM_Conf!$C$7))</f>
        <v>#DIV/0!</v>
      </c>
      <c r="BB55" s="43" t="e">
        <f>BK$3*MIN(1,(ATM_Conf!$C$6-Links!AK55)/(ATM_Conf!$C$6-ATM_Conf!$C$7))</f>
        <v>#DIV/0!</v>
      </c>
      <c r="BC55" s="43" t="e">
        <f>BL$3*MIN(1,(ATM_Conf!$C$6-Links!AM55)/(ATM_Conf!$C$6-ATM_Conf!$C$7))</f>
        <v>#DIV/0!</v>
      </c>
      <c r="BD55" s="43">
        <f t="shared" si="34"/>
        <v>0</v>
      </c>
      <c r="BE55" s="43">
        <f t="shared" si="34"/>
        <v>0</v>
      </c>
      <c r="BF55" s="43">
        <f t="shared" si="34"/>
        <v>0</v>
      </c>
      <c r="BG55" s="43">
        <f t="shared" si="34"/>
        <v>0</v>
      </c>
      <c r="BH55" s="43">
        <f t="shared" si="34"/>
        <v>0</v>
      </c>
      <c r="BI55" s="43">
        <f t="shared" si="34"/>
        <v>0</v>
      </c>
      <c r="BJ55" s="43">
        <f t="shared" si="34"/>
        <v>0</v>
      </c>
      <c r="BK55" s="43">
        <f t="shared" si="34"/>
        <v>0</v>
      </c>
      <c r="BL55" s="43">
        <f t="shared" si="34"/>
        <v>0</v>
      </c>
      <c r="BM55" s="51"/>
      <c r="BN55" s="51"/>
      <c r="BO55" s="51"/>
      <c r="BP55" s="51"/>
      <c r="BQ55" s="51"/>
      <c r="BR55" s="51"/>
      <c r="BS55" s="51"/>
      <c r="BT55" s="51"/>
      <c r="BU55" s="51"/>
      <c r="BV55" s="51" t="e">
        <f t="shared" si="13"/>
        <v>#DIV/0!</v>
      </c>
      <c r="BW55" s="51" t="e">
        <f t="shared" si="14"/>
        <v>#DIV/0!</v>
      </c>
      <c r="BX55" s="51" t="e">
        <f t="shared" si="15"/>
        <v>#DIV/0!</v>
      </c>
      <c r="BY55" s="51" t="e">
        <f t="shared" si="16"/>
        <v>#DIV/0!</v>
      </c>
      <c r="BZ55" s="51" t="e">
        <f t="shared" si="17"/>
        <v>#DIV/0!</v>
      </c>
      <c r="CA55" s="51" t="e">
        <f t="shared" si="18"/>
        <v>#DIV/0!</v>
      </c>
      <c r="CB55" s="51" t="e">
        <f t="shared" si="19"/>
        <v>#DIV/0!</v>
      </c>
      <c r="CC55" s="51" t="e">
        <f t="shared" si="20"/>
        <v>#DIV/0!</v>
      </c>
      <c r="CD55" s="51" t="e">
        <f t="shared" si="21"/>
        <v>#DIV/0!</v>
      </c>
      <c r="CE55" s="53">
        <f t="shared" si="35"/>
        <v>0</v>
      </c>
      <c r="CF55" s="53">
        <f t="shared" si="35"/>
        <v>0</v>
      </c>
      <c r="CG55" s="53">
        <f t="shared" si="35"/>
        <v>0</v>
      </c>
      <c r="CH55" s="53">
        <f t="shared" si="35"/>
        <v>0</v>
      </c>
      <c r="CI55" s="53">
        <f t="shared" si="35"/>
        <v>0</v>
      </c>
      <c r="CJ55" s="53">
        <f t="shared" si="35"/>
        <v>0</v>
      </c>
      <c r="CK55" s="53">
        <f t="shared" si="35"/>
        <v>0</v>
      </c>
      <c r="CL55" s="53">
        <f t="shared" si="35"/>
        <v>0</v>
      </c>
      <c r="CM55" s="53">
        <f t="shared" si="35"/>
        <v>0</v>
      </c>
    </row>
    <row r="56" spans="1:91" x14ac:dyDescent="0.15">
      <c r="A56" s="41">
        <v>54</v>
      </c>
      <c r="B56" s="43">
        <f t="shared" si="41"/>
        <v>1</v>
      </c>
      <c r="C56" s="43">
        <f t="shared" si="40"/>
        <v>1</v>
      </c>
      <c r="D56" s="43">
        <f t="shared" si="40"/>
        <v>1</v>
      </c>
      <c r="E56" s="43">
        <f t="shared" si="40"/>
        <v>1</v>
      </c>
      <c r="F56" s="43">
        <f t="shared" si="40"/>
        <v>1</v>
      </c>
      <c r="G56" s="43">
        <f t="shared" si="40"/>
        <v>1</v>
      </c>
      <c r="H56" s="43">
        <f t="shared" si="40"/>
        <v>1</v>
      </c>
      <c r="I56" s="43">
        <f t="shared" si="40"/>
        <v>1</v>
      </c>
      <c r="J56" s="43">
        <f t="shared" si="40"/>
        <v>1</v>
      </c>
      <c r="K56" s="43" t="e">
        <f>K55+ATM_Conf!$C$5*(T55-AC55)</f>
        <v>#DIV/0!</v>
      </c>
      <c r="L56" s="43" t="e">
        <f>L55+ATM_Conf!$C$5*(U55-AD55)</f>
        <v>#DIV/0!</v>
      </c>
      <c r="M56" s="43" t="e">
        <f>M55+ATM_Conf!$C$5*(V55-AE55)</f>
        <v>#DIV/0!</v>
      </c>
      <c r="N56" s="43" t="e">
        <f>N55+ATM_Conf!$C$5*(W55-AF55)</f>
        <v>#DIV/0!</v>
      </c>
      <c r="O56" s="43" t="e">
        <f>O55+ATM_Conf!$C$5*(X55-AG55)</f>
        <v>#DIV/0!</v>
      </c>
      <c r="P56" s="43" t="e">
        <f>P55+ATM_Conf!$C$5*(Y55-AH55)</f>
        <v>#DIV/0!</v>
      </c>
      <c r="Q56" s="43" t="e">
        <f>Q55+ATM_Conf!$C$5*(Z55-AI55)</f>
        <v>#DIV/0!</v>
      </c>
      <c r="R56" s="43" t="e">
        <f>R55+ATM_Conf!$C$5*(AA55-AJ55)</f>
        <v>#DIV/0!</v>
      </c>
      <c r="S56" s="43" t="e">
        <f>S55+ATM_Conf!$C$5*(AB55-AK55)</f>
        <v>#DIV/0!</v>
      </c>
      <c r="T56" s="43">
        <f t="shared" si="33"/>
        <v>0</v>
      </c>
      <c r="U56" s="43">
        <f t="shared" si="33"/>
        <v>0</v>
      </c>
      <c r="V56" s="43">
        <f t="shared" si="33"/>
        <v>0</v>
      </c>
      <c r="W56" s="43">
        <f t="shared" si="33"/>
        <v>0</v>
      </c>
      <c r="X56" s="43">
        <f t="shared" si="33"/>
        <v>0</v>
      </c>
      <c r="Y56" s="43">
        <f t="shared" si="33"/>
        <v>0</v>
      </c>
      <c r="Z56" s="43">
        <f t="shared" si="33"/>
        <v>0</v>
      </c>
      <c r="AA56" s="43">
        <f t="shared" si="33"/>
        <v>0</v>
      </c>
      <c r="AB56" s="43">
        <f t="shared" si="33"/>
        <v>0</v>
      </c>
      <c r="AC56" s="43" t="e">
        <f t="shared" si="3"/>
        <v>#DIV/0!</v>
      </c>
      <c r="AD56" s="43" t="e">
        <f t="shared" si="4"/>
        <v>#DIV/0!</v>
      </c>
      <c r="AE56" s="43" t="e">
        <f t="shared" si="5"/>
        <v>#DIV/0!</v>
      </c>
      <c r="AF56" s="43" t="e">
        <f t="shared" si="6"/>
        <v>#DIV/0!</v>
      </c>
      <c r="AG56" s="43" t="e">
        <f t="shared" si="7"/>
        <v>#DIV/0!</v>
      </c>
      <c r="AH56" s="43" t="e">
        <f t="shared" si="8"/>
        <v>#DIV/0!</v>
      </c>
      <c r="AI56" s="43" t="e">
        <f t="shared" si="9"/>
        <v>#DIV/0!</v>
      </c>
      <c r="AJ56" s="43" t="e">
        <f t="shared" si="10"/>
        <v>#DIV/0!</v>
      </c>
      <c r="AK56" s="43" t="e">
        <f t="shared" si="11"/>
        <v>#DIV/0!</v>
      </c>
      <c r="AL56" s="43" t="e">
        <f>T$3+K56/ATM_Conf!$C$5</f>
        <v>#DIV/0!</v>
      </c>
      <c r="AM56" s="43" t="e">
        <f>U$3+L56/ATM_Conf!$C$5</f>
        <v>#DIV/0!</v>
      </c>
      <c r="AN56" s="43" t="e">
        <f>V$3+M56/ATM_Conf!$C$5</f>
        <v>#DIV/0!</v>
      </c>
      <c r="AO56" s="43" t="e">
        <f>W$3+N56/ATM_Conf!$C$5</f>
        <v>#DIV/0!</v>
      </c>
      <c r="AP56" s="43" t="e">
        <f>X$3+O56/ATM_Conf!$C$5</f>
        <v>#DIV/0!</v>
      </c>
      <c r="AQ56" s="43" t="e">
        <f>Y$3+P56/ATM_Conf!$C$5</f>
        <v>#DIV/0!</v>
      </c>
      <c r="AR56" s="43" t="e">
        <f>Z$3+Q56/ATM_Conf!$C$5</f>
        <v>#DIV/0!</v>
      </c>
      <c r="AS56" s="43" t="e">
        <f>AA$3+R56/ATM_Conf!$C$5</f>
        <v>#DIV/0!</v>
      </c>
      <c r="AT56" s="43" t="e">
        <f>AB$3+S56/ATM_Conf!$C$5</f>
        <v>#DIV/0!</v>
      </c>
      <c r="AU56" s="43" t="e">
        <f>BD$3*MIN(1,(ATM_Conf!$C$6-Links!X56)/(ATM_Conf!$C$6-ATM_Conf!$C$7))</f>
        <v>#DIV/0!</v>
      </c>
      <c r="AV56" s="43" t="e">
        <f>BE$3*MIN(1,(ATM_Conf!$C$6-Links!Z56)/(ATM_Conf!$C$6-ATM_Conf!$C$7))</f>
        <v>#DIV/0!</v>
      </c>
      <c r="AW56" s="43" t="e">
        <f>BF$3*MIN(1,(ATM_Conf!$C$6-Links!AA56)/(ATM_Conf!$C$6-ATM_Conf!$C$7))</f>
        <v>#DIV/0!</v>
      </c>
      <c r="AX56" s="43" t="e">
        <f>BG$3*MIN(1,(ATM_Conf!$C$6-Links!AD56)/(ATM_Conf!$C$6-ATM_Conf!$C$7))</f>
        <v>#DIV/0!</v>
      </c>
      <c r="AY56" s="43" t="e">
        <f>BH$3*MIN(1,(ATM_Conf!$C$6-Links!AE56)/(ATM_Conf!$C$6-ATM_Conf!$C$7))</f>
        <v>#DIV/0!</v>
      </c>
      <c r="AZ56" s="43" t="e">
        <f>BI$3*MIN(1,(ATM_Conf!$C$6-Links!AG56)/(ATM_Conf!$C$6-ATM_Conf!$C$7))</f>
        <v>#DIV/0!</v>
      </c>
      <c r="BA56" s="43" t="e">
        <f>BJ$3*MIN(1,(ATM_Conf!$C$6-Links!AH56)/(ATM_Conf!$C$6-ATM_Conf!$C$7))</f>
        <v>#DIV/0!</v>
      </c>
      <c r="BB56" s="43" t="e">
        <f>BK$3*MIN(1,(ATM_Conf!$C$6-Links!AK56)/(ATM_Conf!$C$6-ATM_Conf!$C$7))</f>
        <v>#DIV/0!</v>
      </c>
      <c r="BC56" s="43" t="e">
        <f>BL$3*MIN(1,(ATM_Conf!$C$6-Links!AM56)/(ATM_Conf!$C$6-ATM_Conf!$C$7))</f>
        <v>#DIV/0!</v>
      </c>
      <c r="BD56" s="43">
        <f t="shared" si="34"/>
        <v>0</v>
      </c>
      <c r="BE56" s="43">
        <f t="shared" si="34"/>
        <v>0</v>
      </c>
      <c r="BF56" s="43">
        <f t="shared" si="34"/>
        <v>0</v>
      </c>
      <c r="BG56" s="43">
        <f t="shared" si="34"/>
        <v>0</v>
      </c>
      <c r="BH56" s="43">
        <f t="shared" si="34"/>
        <v>0</v>
      </c>
      <c r="BI56" s="43">
        <f t="shared" si="34"/>
        <v>0</v>
      </c>
      <c r="BJ56" s="43">
        <f t="shared" si="34"/>
        <v>0</v>
      </c>
      <c r="BK56" s="43">
        <f t="shared" si="34"/>
        <v>0</v>
      </c>
      <c r="BL56" s="43">
        <f t="shared" si="34"/>
        <v>0</v>
      </c>
      <c r="BM56" s="51"/>
      <c r="BN56" s="51"/>
      <c r="BO56" s="51"/>
      <c r="BP56" s="51"/>
      <c r="BQ56" s="51"/>
      <c r="BR56" s="51"/>
      <c r="BS56" s="51"/>
      <c r="BT56" s="51"/>
      <c r="BU56" s="51"/>
      <c r="BV56" s="51" t="e">
        <f t="shared" si="13"/>
        <v>#DIV/0!</v>
      </c>
      <c r="BW56" s="51" t="e">
        <f t="shared" si="14"/>
        <v>#DIV/0!</v>
      </c>
      <c r="BX56" s="51" t="e">
        <f t="shared" si="15"/>
        <v>#DIV/0!</v>
      </c>
      <c r="BY56" s="51" t="e">
        <f t="shared" si="16"/>
        <v>#DIV/0!</v>
      </c>
      <c r="BZ56" s="51" t="e">
        <f t="shared" si="17"/>
        <v>#DIV/0!</v>
      </c>
      <c r="CA56" s="51" t="e">
        <f t="shared" si="18"/>
        <v>#DIV/0!</v>
      </c>
      <c r="CB56" s="51" t="e">
        <f t="shared" si="19"/>
        <v>#DIV/0!</v>
      </c>
      <c r="CC56" s="51" t="e">
        <f t="shared" si="20"/>
        <v>#DIV/0!</v>
      </c>
      <c r="CD56" s="51" t="e">
        <f t="shared" si="21"/>
        <v>#DIV/0!</v>
      </c>
      <c r="CE56" s="53">
        <f t="shared" si="35"/>
        <v>0</v>
      </c>
      <c r="CF56" s="53">
        <f t="shared" si="35"/>
        <v>0</v>
      </c>
      <c r="CG56" s="53">
        <f t="shared" si="35"/>
        <v>0</v>
      </c>
      <c r="CH56" s="53">
        <f t="shared" si="35"/>
        <v>0</v>
      </c>
      <c r="CI56" s="53">
        <f t="shared" si="35"/>
        <v>0</v>
      </c>
      <c r="CJ56" s="53">
        <f t="shared" si="35"/>
        <v>0</v>
      </c>
      <c r="CK56" s="53">
        <f t="shared" si="35"/>
        <v>0</v>
      </c>
      <c r="CL56" s="53">
        <f t="shared" si="35"/>
        <v>0</v>
      </c>
      <c r="CM56" s="53">
        <f t="shared" si="35"/>
        <v>0</v>
      </c>
    </row>
    <row r="57" spans="1:91" x14ac:dyDescent="0.15">
      <c r="A57" s="41">
        <v>55</v>
      </c>
      <c r="B57" s="43">
        <f t="shared" si="41"/>
        <v>1</v>
      </c>
      <c r="C57" s="43">
        <f t="shared" si="40"/>
        <v>1</v>
      </c>
      <c r="D57" s="43">
        <f t="shared" si="40"/>
        <v>1</v>
      </c>
      <c r="E57" s="43">
        <f t="shared" si="40"/>
        <v>1</v>
      </c>
      <c r="F57" s="43">
        <f t="shared" si="40"/>
        <v>1</v>
      </c>
      <c r="G57" s="43">
        <f t="shared" si="40"/>
        <v>1</v>
      </c>
      <c r="H57" s="43">
        <f t="shared" si="40"/>
        <v>1</v>
      </c>
      <c r="I57" s="43">
        <f t="shared" si="40"/>
        <v>1</v>
      </c>
      <c r="J57" s="43">
        <f t="shared" si="40"/>
        <v>1</v>
      </c>
      <c r="K57" s="43" t="e">
        <f>K56+ATM_Conf!$C$5*(T56-AC56)</f>
        <v>#DIV/0!</v>
      </c>
      <c r="L57" s="43" t="e">
        <f>L56+ATM_Conf!$C$5*(U56-AD56)</f>
        <v>#DIV/0!</v>
      </c>
      <c r="M57" s="43" t="e">
        <f>M56+ATM_Conf!$C$5*(V56-AE56)</f>
        <v>#DIV/0!</v>
      </c>
      <c r="N57" s="43" t="e">
        <f>N56+ATM_Conf!$C$5*(W56-AF56)</f>
        <v>#DIV/0!</v>
      </c>
      <c r="O57" s="43" t="e">
        <f>O56+ATM_Conf!$C$5*(X56-AG56)</f>
        <v>#DIV/0!</v>
      </c>
      <c r="P57" s="43" t="e">
        <f>P56+ATM_Conf!$C$5*(Y56-AH56)</f>
        <v>#DIV/0!</v>
      </c>
      <c r="Q57" s="43" t="e">
        <f>Q56+ATM_Conf!$C$5*(Z56-AI56)</f>
        <v>#DIV/0!</v>
      </c>
      <c r="R57" s="43" t="e">
        <f>R56+ATM_Conf!$C$5*(AA56-AJ56)</f>
        <v>#DIV/0!</v>
      </c>
      <c r="S57" s="43" t="e">
        <f>S56+ATM_Conf!$C$5*(AB56-AK56)</f>
        <v>#DIV/0!</v>
      </c>
      <c r="T57" s="43">
        <f t="shared" si="33"/>
        <v>0</v>
      </c>
      <c r="U57" s="43">
        <f t="shared" si="33"/>
        <v>0</v>
      </c>
      <c r="V57" s="43">
        <f t="shared" si="33"/>
        <v>0</v>
      </c>
      <c r="W57" s="43">
        <f t="shared" si="33"/>
        <v>0</v>
      </c>
      <c r="X57" s="43">
        <f t="shared" si="33"/>
        <v>0</v>
      </c>
      <c r="Y57" s="43">
        <f t="shared" si="33"/>
        <v>0</v>
      </c>
      <c r="Z57" s="43">
        <f t="shared" si="33"/>
        <v>0</v>
      </c>
      <c r="AA57" s="43">
        <f t="shared" si="33"/>
        <v>0</v>
      </c>
      <c r="AB57" s="43">
        <f t="shared" si="33"/>
        <v>0</v>
      </c>
      <c r="AC57" s="43" t="e">
        <f t="shared" si="3"/>
        <v>#DIV/0!</v>
      </c>
      <c r="AD57" s="43" t="e">
        <f t="shared" si="4"/>
        <v>#DIV/0!</v>
      </c>
      <c r="AE57" s="43" t="e">
        <f t="shared" si="5"/>
        <v>#DIV/0!</v>
      </c>
      <c r="AF57" s="43" t="e">
        <f t="shared" si="6"/>
        <v>#DIV/0!</v>
      </c>
      <c r="AG57" s="43" t="e">
        <f t="shared" si="7"/>
        <v>#DIV/0!</v>
      </c>
      <c r="AH57" s="43" t="e">
        <f t="shared" si="8"/>
        <v>#DIV/0!</v>
      </c>
      <c r="AI57" s="43" t="e">
        <f t="shared" si="9"/>
        <v>#DIV/0!</v>
      </c>
      <c r="AJ57" s="43" t="e">
        <f t="shared" si="10"/>
        <v>#DIV/0!</v>
      </c>
      <c r="AK57" s="43" t="e">
        <f t="shared" si="11"/>
        <v>#DIV/0!</v>
      </c>
      <c r="AL57" s="43" t="e">
        <f>T$3+K57/ATM_Conf!$C$5</f>
        <v>#DIV/0!</v>
      </c>
      <c r="AM57" s="43" t="e">
        <f>U$3+L57/ATM_Conf!$C$5</f>
        <v>#DIV/0!</v>
      </c>
      <c r="AN57" s="43" t="e">
        <f>V$3+M57/ATM_Conf!$C$5</f>
        <v>#DIV/0!</v>
      </c>
      <c r="AO57" s="43" t="e">
        <f>W$3+N57/ATM_Conf!$C$5</f>
        <v>#DIV/0!</v>
      </c>
      <c r="AP57" s="43" t="e">
        <f>X$3+O57/ATM_Conf!$C$5</f>
        <v>#DIV/0!</v>
      </c>
      <c r="AQ57" s="43" t="e">
        <f>Y$3+P57/ATM_Conf!$C$5</f>
        <v>#DIV/0!</v>
      </c>
      <c r="AR57" s="43" t="e">
        <f>Z$3+Q57/ATM_Conf!$C$5</f>
        <v>#DIV/0!</v>
      </c>
      <c r="AS57" s="43" t="e">
        <f>AA$3+R57/ATM_Conf!$C$5</f>
        <v>#DIV/0!</v>
      </c>
      <c r="AT57" s="43" t="e">
        <f>AB$3+S57/ATM_Conf!$C$5</f>
        <v>#DIV/0!</v>
      </c>
      <c r="AU57" s="43" t="e">
        <f>BD$3*MIN(1,(ATM_Conf!$C$6-Links!X57)/(ATM_Conf!$C$6-ATM_Conf!$C$7))</f>
        <v>#DIV/0!</v>
      </c>
      <c r="AV57" s="43" t="e">
        <f>BE$3*MIN(1,(ATM_Conf!$C$6-Links!Z57)/(ATM_Conf!$C$6-ATM_Conf!$C$7))</f>
        <v>#DIV/0!</v>
      </c>
      <c r="AW57" s="43" t="e">
        <f>BF$3*MIN(1,(ATM_Conf!$C$6-Links!AA57)/(ATM_Conf!$C$6-ATM_Conf!$C$7))</f>
        <v>#DIV/0!</v>
      </c>
      <c r="AX57" s="43" t="e">
        <f>BG$3*MIN(1,(ATM_Conf!$C$6-Links!AD57)/(ATM_Conf!$C$6-ATM_Conf!$C$7))</f>
        <v>#DIV/0!</v>
      </c>
      <c r="AY57" s="43" t="e">
        <f>BH$3*MIN(1,(ATM_Conf!$C$6-Links!AE57)/(ATM_Conf!$C$6-ATM_Conf!$C$7))</f>
        <v>#DIV/0!</v>
      </c>
      <c r="AZ57" s="43" t="e">
        <f>BI$3*MIN(1,(ATM_Conf!$C$6-Links!AG57)/(ATM_Conf!$C$6-ATM_Conf!$C$7))</f>
        <v>#DIV/0!</v>
      </c>
      <c r="BA57" s="43" t="e">
        <f>BJ$3*MIN(1,(ATM_Conf!$C$6-Links!AH57)/(ATM_Conf!$C$6-ATM_Conf!$C$7))</f>
        <v>#DIV/0!</v>
      </c>
      <c r="BB57" s="43" t="e">
        <f>BK$3*MIN(1,(ATM_Conf!$C$6-Links!AK57)/(ATM_Conf!$C$6-ATM_Conf!$C$7))</f>
        <v>#DIV/0!</v>
      </c>
      <c r="BC57" s="43" t="e">
        <f>BL$3*MIN(1,(ATM_Conf!$C$6-Links!AM57)/(ATM_Conf!$C$6-ATM_Conf!$C$7))</f>
        <v>#DIV/0!</v>
      </c>
      <c r="BD57" s="43">
        <f t="shared" si="34"/>
        <v>0</v>
      </c>
      <c r="BE57" s="43">
        <f t="shared" si="34"/>
        <v>0</v>
      </c>
      <c r="BF57" s="43">
        <f t="shared" si="34"/>
        <v>0</v>
      </c>
      <c r="BG57" s="43">
        <f t="shared" si="34"/>
        <v>0</v>
      </c>
      <c r="BH57" s="43">
        <f t="shared" si="34"/>
        <v>0</v>
      </c>
      <c r="BI57" s="43">
        <f t="shared" si="34"/>
        <v>0</v>
      </c>
      <c r="BJ57" s="43">
        <f t="shared" si="34"/>
        <v>0</v>
      </c>
      <c r="BK57" s="43">
        <f t="shared" si="34"/>
        <v>0</v>
      </c>
      <c r="BL57" s="43">
        <f t="shared" si="34"/>
        <v>0</v>
      </c>
      <c r="BM57" s="51"/>
      <c r="BN57" s="51"/>
      <c r="BO57" s="51"/>
      <c r="BP57" s="51"/>
      <c r="BQ57" s="51"/>
      <c r="BR57" s="51"/>
      <c r="BS57" s="51"/>
      <c r="BT57" s="51"/>
      <c r="BU57" s="51"/>
      <c r="BV57" s="51" t="e">
        <f t="shared" si="13"/>
        <v>#DIV/0!</v>
      </c>
      <c r="BW57" s="51" t="e">
        <f t="shared" si="14"/>
        <v>#DIV/0!</v>
      </c>
      <c r="BX57" s="51" t="e">
        <f t="shared" si="15"/>
        <v>#DIV/0!</v>
      </c>
      <c r="BY57" s="51" t="e">
        <f t="shared" si="16"/>
        <v>#DIV/0!</v>
      </c>
      <c r="BZ57" s="51" t="e">
        <f t="shared" si="17"/>
        <v>#DIV/0!</v>
      </c>
      <c r="CA57" s="51" t="e">
        <f t="shared" si="18"/>
        <v>#DIV/0!</v>
      </c>
      <c r="CB57" s="51" t="e">
        <f t="shared" si="19"/>
        <v>#DIV/0!</v>
      </c>
      <c r="CC57" s="51" t="e">
        <f t="shared" si="20"/>
        <v>#DIV/0!</v>
      </c>
      <c r="CD57" s="51" t="e">
        <f t="shared" si="21"/>
        <v>#DIV/0!</v>
      </c>
      <c r="CE57" s="53">
        <f t="shared" si="35"/>
        <v>0</v>
      </c>
      <c r="CF57" s="53">
        <f t="shared" si="35"/>
        <v>0</v>
      </c>
      <c r="CG57" s="53">
        <f t="shared" si="35"/>
        <v>0</v>
      </c>
      <c r="CH57" s="53">
        <f t="shared" si="35"/>
        <v>0</v>
      </c>
      <c r="CI57" s="53">
        <f t="shared" si="35"/>
        <v>0</v>
      </c>
      <c r="CJ57" s="53">
        <f t="shared" si="35"/>
        <v>0</v>
      </c>
      <c r="CK57" s="53">
        <f t="shared" si="35"/>
        <v>0</v>
      </c>
      <c r="CL57" s="53">
        <f t="shared" si="35"/>
        <v>0</v>
      </c>
      <c r="CM57" s="53">
        <f t="shared" si="35"/>
        <v>0</v>
      </c>
    </row>
    <row r="58" spans="1:91" x14ac:dyDescent="0.15">
      <c r="A58" s="41">
        <v>56</v>
      </c>
      <c r="B58" s="43">
        <f t="shared" si="41"/>
        <v>1</v>
      </c>
      <c r="C58" s="43">
        <f t="shared" si="40"/>
        <v>1</v>
      </c>
      <c r="D58" s="43">
        <f t="shared" si="40"/>
        <v>1</v>
      </c>
      <c r="E58" s="43">
        <f t="shared" si="40"/>
        <v>1</v>
      </c>
      <c r="F58" s="43">
        <f t="shared" si="40"/>
        <v>1</v>
      </c>
      <c r="G58" s="43">
        <f t="shared" si="40"/>
        <v>1</v>
      </c>
      <c r="H58" s="43">
        <f t="shared" si="40"/>
        <v>1</v>
      </c>
      <c r="I58" s="43">
        <f t="shared" si="40"/>
        <v>1</v>
      </c>
      <c r="J58" s="43">
        <f t="shared" si="40"/>
        <v>1</v>
      </c>
      <c r="K58" s="43" t="e">
        <f>K57+ATM_Conf!$C$5*(T57-AC57)</f>
        <v>#DIV/0!</v>
      </c>
      <c r="L58" s="43" t="e">
        <f>L57+ATM_Conf!$C$5*(U57-AD57)</f>
        <v>#DIV/0!</v>
      </c>
      <c r="M58" s="43" t="e">
        <f>M57+ATM_Conf!$C$5*(V57-AE57)</f>
        <v>#DIV/0!</v>
      </c>
      <c r="N58" s="43" t="e">
        <f>N57+ATM_Conf!$C$5*(W57-AF57)</f>
        <v>#DIV/0!</v>
      </c>
      <c r="O58" s="43" t="e">
        <f>O57+ATM_Conf!$C$5*(X57-AG57)</f>
        <v>#DIV/0!</v>
      </c>
      <c r="P58" s="43" t="e">
        <f>P57+ATM_Conf!$C$5*(Y57-AH57)</f>
        <v>#DIV/0!</v>
      </c>
      <c r="Q58" s="43" t="e">
        <f>Q57+ATM_Conf!$C$5*(Z57-AI57)</f>
        <v>#DIV/0!</v>
      </c>
      <c r="R58" s="43" t="e">
        <f>R57+ATM_Conf!$C$5*(AA57-AJ57)</f>
        <v>#DIV/0!</v>
      </c>
      <c r="S58" s="43" t="e">
        <f>S57+ATM_Conf!$C$5*(AB57-AK57)</f>
        <v>#DIV/0!</v>
      </c>
      <c r="T58" s="43">
        <f t="shared" si="33"/>
        <v>0</v>
      </c>
      <c r="U58" s="43">
        <f t="shared" si="33"/>
        <v>0</v>
      </c>
      <c r="V58" s="43">
        <f t="shared" si="33"/>
        <v>0</v>
      </c>
      <c r="W58" s="43">
        <f t="shared" si="33"/>
        <v>0</v>
      </c>
      <c r="X58" s="43">
        <f t="shared" si="33"/>
        <v>0</v>
      </c>
      <c r="Y58" s="43">
        <f t="shared" si="33"/>
        <v>0</v>
      </c>
      <c r="Z58" s="43">
        <f t="shared" si="33"/>
        <v>0</v>
      </c>
      <c r="AA58" s="43">
        <f t="shared" si="33"/>
        <v>0</v>
      </c>
      <c r="AB58" s="43">
        <f t="shared" si="33"/>
        <v>0</v>
      </c>
      <c r="AC58" s="43" t="e">
        <f t="shared" si="3"/>
        <v>#DIV/0!</v>
      </c>
      <c r="AD58" s="43" t="e">
        <f t="shared" si="4"/>
        <v>#DIV/0!</v>
      </c>
      <c r="AE58" s="43" t="e">
        <f t="shared" si="5"/>
        <v>#DIV/0!</v>
      </c>
      <c r="AF58" s="43" t="e">
        <f t="shared" si="6"/>
        <v>#DIV/0!</v>
      </c>
      <c r="AG58" s="43" t="e">
        <f t="shared" si="7"/>
        <v>#DIV/0!</v>
      </c>
      <c r="AH58" s="43" t="e">
        <f t="shared" si="8"/>
        <v>#DIV/0!</v>
      </c>
      <c r="AI58" s="43" t="e">
        <f t="shared" si="9"/>
        <v>#DIV/0!</v>
      </c>
      <c r="AJ58" s="43" t="e">
        <f t="shared" si="10"/>
        <v>#DIV/0!</v>
      </c>
      <c r="AK58" s="43" t="e">
        <f t="shared" si="11"/>
        <v>#DIV/0!</v>
      </c>
      <c r="AL58" s="43" t="e">
        <f>T$3+K58/ATM_Conf!$C$5</f>
        <v>#DIV/0!</v>
      </c>
      <c r="AM58" s="43" t="e">
        <f>U$3+L58/ATM_Conf!$C$5</f>
        <v>#DIV/0!</v>
      </c>
      <c r="AN58" s="43" t="e">
        <f>V$3+M58/ATM_Conf!$C$5</f>
        <v>#DIV/0!</v>
      </c>
      <c r="AO58" s="43" t="e">
        <f>W$3+N58/ATM_Conf!$C$5</f>
        <v>#DIV/0!</v>
      </c>
      <c r="AP58" s="43" t="e">
        <f>X$3+O58/ATM_Conf!$C$5</f>
        <v>#DIV/0!</v>
      </c>
      <c r="AQ58" s="43" t="e">
        <f>Y$3+P58/ATM_Conf!$C$5</f>
        <v>#DIV/0!</v>
      </c>
      <c r="AR58" s="43" t="e">
        <f>Z$3+Q58/ATM_Conf!$C$5</f>
        <v>#DIV/0!</v>
      </c>
      <c r="AS58" s="43" t="e">
        <f>AA$3+R58/ATM_Conf!$C$5</f>
        <v>#DIV/0!</v>
      </c>
      <c r="AT58" s="43" t="e">
        <f>AB$3+S58/ATM_Conf!$C$5</f>
        <v>#DIV/0!</v>
      </c>
      <c r="AU58" s="43" t="e">
        <f>BD$3*MIN(1,(ATM_Conf!$C$6-Links!X58)/(ATM_Conf!$C$6-ATM_Conf!$C$7))</f>
        <v>#DIV/0!</v>
      </c>
      <c r="AV58" s="43" t="e">
        <f>BE$3*MIN(1,(ATM_Conf!$C$6-Links!Z58)/(ATM_Conf!$C$6-ATM_Conf!$C$7))</f>
        <v>#DIV/0!</v>
      </c>
      <c r="AW58" s="43" t="e">
        <f>BF$3*MIN(1,(ATM_Conf!$C$6-Links!AA58)/(ATM_Conf!$C$6-ATM_Conf!$C$7))</f>
        <v>#DIV/0!</v>
      </c>
      <c r="AX58" s="43" t="e">
        <f>BG$3*MIN(1,(ATM_Conf!$C$6-Links!AD58)/(ATM_Conf!$C$6-ATM_Conf!$C$7))</f>
        <v>#DIV/0!</v>
      </c>
      <c r="AY58" s="43" t="e">
        <f>BH$3*MIN(1,(ATM_Conf!$C$6-Links!AE58)/(ATM_Conf!$C$6-ATM_Conf!$C$7))</f>
        <v>#DIV/0!</v>
      </c>
      <c r="AZ58" s="43" t="e">
        <f>BI$3*MIN(1,(ATM_Conf!$C$6-Links!AG58)/(ATM_Conf!$C$6-ATM_Conf!$C$7))</f>
        <v>#DIV/0!</v>
      </c>
      <c r="BA58" s="43" t="e">
        <f>BJ$3*MIN(1,(ATM_Conf!$C$6-Links!AH58)/(ATM_Conf!$C$6-ATM_Conf!$C$7))</f>
        <v>#DIV/0!</v>
      </c>
      <c r="BB58" s="43" t="e">
        <f>BK$3*MIN(1,(ATM_Conf!$C$6-Links!AK58)/(ATM_Conf!$C$6-ATM_Conf!$C$7))</f>
        <v>#DIV/0!</v>
      </c>
      <c r="BC58" s="43" t="e">
        <f>BL$3*MIN(1,(ATM_Conf!$C$6-Links!AM58)/(ATM_Conf!$C$6-ATM_Conf!$C$7))</f>
        <v>#DIV/0!</v>
      </c>
      <c r="BD58" s="43">
        <f t="shared" si="34"/>
        <v>0</v>
      </c>
      <c r="BE58" s="43">
        <f t="shared" si="34"/>
        <v>0</v>
      </c>
      <c r="BF58" s="43">
        <f t="shared" si="34"/>
        <v>0</v>
      </c>
      <c r="BG58" s="43">
        <f t="shared" si="34"/>
        <v>0</v>
      </c>
      <c r="BH58" s="43">
        <f t="shared" si="34"/>
        <v>0</v>
      </c>
      <c r="BI58" s="43">
        <f t="shared" si="34"/>
        <v>0</v>
      </c>
      <c r="BJ58" s="43">
        <f t="shared" si="34"/>
        <v>0</v>
      </c>
      <c r="BK58" s="43">
        <f t="shared" si="34"/>
        <v>0</v>
      </c>
      <c r="BL58" s="43">
        <f t="shared" si="34"/>
        <v>0</v>
      </c>
      <c r="BM58" s="51"/>
      <c r="BN58" s="51"/>
      <c r="BO58" s="51"/>
      <c r="BP58" s="51"/>
      <c r="BQ58" s="51"/>
      <c r="BR58" s="51"/>
      <c r="BS58" s="51"/>
      <c r="BT58" s="51"/>
      <c r="BU58" s="51"/>
      <c r="BV58" s="51" t="e">
        <f t="shared" si="13"/>
        <v>#DIV/0!</v>
      </c>
      <c r="BW58" s="51" t="e">
        <f t="shared" si="14"/>
        <v>#DIV/0!</v>
      </c>
      <c r="BX58" s="51" t="e">
        <f t="shared" si="15"/>
        <v>#DIV/0!</v>
      </c>
      <c r="BY58" s="51" t="e">
        <f t="shared" si="16"/>
        <v>#DIV/0!</v>
      </c>
      <c r="BZ58" s="51" t="e">
        <f t="shared" si="17"/>
        <v>#DIV/0!</v>
      </c>
      <c r="CA58" s="51" t="e">
        <f t="shared" si="18"/>
        <v>#DIV/0!</v>
      </c>
      <c r="CB58" s="51" t="e">
        <f t="shared" si="19"/>
        <v>#DIV/0!</v>
      </c>
      <c r="CC58" s="51" t="e">
        <f t="shared" si="20"/>
        <v>#DIV/0!</v>
      </c>
      <c r="CD58" s="51" t="e">
        <f t="shared" si="21"/>
        <v>#DIV/0!</v>
      </c>
      <c r="CE58" s="53">
        <f t="shared" si="35"/>
        <v>0</v>
      </c>
      <c r="CF58" s="53">
        <f t="shared" si="35"/>
        <v>0</v>
      </c>
      <c r="CG58" s="53">
        <f t="shared" si="35"/>
        <v>0</v>
      </c>
      <c r="CH58" s="53">
        <f t="shared" si="35"/>
        <v>0</v>
      </c>
      <c r="CI58" s="53">
        <f t="shared" si="35"/>
        <v>0</v>
      </c>
      <c r="CJ58" s="53">
        <f t="shared" si="35"/>
        <v>0</v>
      </c>
      <c r="CK58" s="53">
        <f t="shared" si="35"/>
        <v>0</v>
      </c>
      <c r="CL58" s="53">
        <f t="shared" si="35"/>
        <v>0</v>
      </c>
      <c r="CM58" s="53">
        <f t="shared" si="35"/>
        <v>0</v>
      </c>
    </row>
    <row r="59" spans="1:91" x14ac:dyDescent="0.15">
      <c r="A59" s="41">
        <v>57</v>
      </c>
      <c r="B59" s="43">
        <f t="shared" si="41"/>
        <v>1</v>
      </c>
      <c r="C59" s="43">
        <f t="shared" si="40"/>
        <v>1</v>
      </c>
      <c r="D59" s="43">
        <f t="shared" si="40"/>
        <v>1</v>
      </c>
      <c r="E59" s="43">
        <f t="shared" si="40"/>
        <v>1</v>
      </c>
      <c r="F59" s="43">
        <f t="shared" si="40"/>
        <v>1</v>
      </c>
      <c r="G59" s="43">
        <f t="shared" si="40"/>
        <v>1</v>
      </c>
      <c r="H59" s="43">
        <f t="shared" si="40"/>
        <v>1</v>
      </c>
      <c r="I59" s="43">
        <f t="shared" si="40"/>
        <v>1</v>
      </c>
      <c r="J59" s="43">
        <f t="shared" si="40"/>
        <v>1</v>
      </c>
      <c r="K59" s="43" t="e">
        <f>K58+ATM_Conf!$C$5*(T58-AC58)</f>
        <v>#DIV/0!</v>
      </c>
      <c r="L59" s="43" t="e">
        <f>L58+ATM_Conf!$C$5*(U58-AD58)</f>
        <v>#DIV/0!</v>
      </c>
      <c r="M59" s="43" t="e">
        <f>M58+ATM_Conf!$C$5*(V58-AE58)</f>
        <v>#DIV/0!</v>
      </c>
      <c r="N59" s="43" t="e">
        <f>N58+ATM_Conf!$C$5*(W58-AF58)</f>
        <v>#DIV/0!</v>
      </c>
      <c r="O59" s="43" t="e">
        <f>O58+ATM_Conf!$C$5*(X58-AG58)</f>
        <v>#DIV/0!</v>
      </c>
      <c r="P59" s="43" t="e">
        <f>P58+ATM_Conf!$C$5*(Y58-AH58)</f>
        <v>#DIV/0!</v>
      </c>
      <c r="Q59" s="43" t="e">
        <f>Q58+ATM_Conf!$C$5*(Z58-AI58)</f>
        <v>#DIV/0!</v>
      </c>
      <c r="R59" s="43" t="e">
        <f>R58+ATM_Conf!$C$5*(AA58-AJ58)</f>
        <v>#DIV/0!</v>
      </c>
      <c r="S59" s="43" t="e">
        <f>S58+ATM_Conf!$C$5*(AB58-AK58)</f>
        <v>#DIV/0!</v>
      </c>
      <c r="T59" s="43">
        <f t="shared" si="33"/>
        <v>0</v>
      </c>
      <c r="U59" s="43">
        <f t="shared" si="33"/>
        <v>0</v>
      </c>
      <c r="V59" s="43">
        <f t="shared" si="33"/>
        <v>0</v>
      </c>
      <c r="W59" s="43">
        <f t="shared" si="33"/>
        <v>0</v>
      </c>
      <c r="X59" s="43">
        <f t="shared" si="33"/>
        <v>0</v>
      </c>
      <c r="Y59" s="43">
        <f t="shared" si="33"/>
        <v>0</v>
      </c>
      <c r="Z59" s="43">
        <f t="shared" si="33"/>
        <v>0</v>
      </c>
      <c r="AA59" s="43">
        <f t="shared" si="33"/>
        <v>0</v>
      </c>
      <c r="AB59" s="43">
        <f t="shared" si="33"/>
        <v>0</v>
      </c>
      <c r="AC59" s="43" t="e">
        <f t="shared" si="3"/>
        <v>#DIV/0!</v>
      </c>
      <c r="AD59" s="43" t="e">
        <f t="shared" si="4"/>
        <v>#DIV/0!</v>
      </c>
      <c r="AE59" s="43" t="e">
        <f t="shared" si="5"/>
        <v>#DIV/0!</v>
      </c>
      <c r="AF59" s="43" t="e">
        <f t="shared" si="6"/>
        <v>#DIV/0!</v>
      </c>
      <c r="AG59" s="43" t="e">
        <f t="shared" si="7"/>
        <v>#DIV/0!</v>
      </c>
      <c r="AH59" s="43" t="e">
        <f t="shared" si="8"/>
        <v>#DIV/0!</v>
      </c>
      <c r="AI59" s="43" t="e">
        <f t="shared" si="9"/>
        <v>#DIV/0!</v>
      </c>
      <c r="AJ59" s="43" t="e">
        <f t="shared" si="10"/>
        <v>#DIV/0!</v>
      </c>
      <c r="AK59" s="43" t="e">
        <f t="shared" si="11"/>
        <v>#DIV/0!</v>
      </c>
      <c r="AL59" s="43" t="e">
        <f>T$3+K59/ATM_Conf!$C$5</f>
        <v>#DIV/0!</v>
      </c>
      <c r="AM59" s="43" t="e">
        <f>U$3+L59/ATM_Conf!$C$5</f>
        <v>#DIV/0!</v>
      </c>
      <c r="AN59" s="43" t="e">
        <f>V$3+M59/ATM_Conf!$C$5</f>
        <v>#DIV/0!</v>
      </c>
      <c r="AO59" s="43" t="e">
        <f>W$3+N59/ATM_Conf!$C$5</f>
        <v>#DIV/0!</v>
      </c>
      <c r="AP59" s="43" t="e">
        <f>X$3+O59/ATM_Conf!$C$5</f>
        <v>#DIV/0!</v>
      </c>
      <c r="AQ59" s="43" t="e">
        <f>Y$3+P59/ATM_Conf!$C$5</f>
        <v>#DIV/0!</v>
      </c>
      <c r="AR59" s="43" t="e">
        <f>Z$3+Q59/ATM_Conf!$C$5</f>
        <v>#DIV/0!</v>
      </c>
      <c r="AS59" s="43" t="e">
        <f>AA$3+R59/ATM_Conf!$C$5</f>
        <v>#DIV/0!</v>
      </c>
      <c r="AT59" s="43" t="e">
        <f>AB$3+S59/ATM_Conf!$C$5</f>
        <v>#DIV/0!</v>
      </c>
      <c r="AU59" s="43" t="e">
        <f>BD$3*MIN(1,(ATM_Conf!$C$6-Links!X59)/(ATM_Conf!$C$6-ATM_Conf!$C$7))</f>
        <v>#DIV/0!</v>
      </c>
      <c r="AV59" s="43" t="e">
        <f>BE$3*MIN(1,(ATM_Conf!$C$6-Links!Z59)/(ATM_Conf!$C$6-ATM_Conf!$C$7))</f>
        <v>#DIV/0!</v>
      </c>
      <c r="AW59" s="43" t="e">
        <f>BF$3*MIN(1,(ATM_Conf!$C$6-Links!AA59)/(ATM_Conf!$C$6-ATM_Conf!$C$7))</f>
        <v>#DIV/0!</v>
      </c>
      <c r="AX59" s="43" t="e">
        <f>BG$3*MIN(1,(ATM_Conf!$C$6-Links!AD59)/(ATM_Conf!$C$6-ATM_Conf!$C$7))</f>
        <v>#DIV/0!</v>
      </c>
      <c r="AY59" s="43" t="e">
        <f>BH$3*MIN(1,(ATM_Conf!$C$6-Links!AE59)/(ATM_Conf!$C$6-ATM_Conf!$C$7))</f>
        <v>#DIV/0!</v>
      </c>
      <c r="AZ59" s="43" t="e">
        <f>BI$3*MIN(1,(ATM_Conf!$C$6-Links!AG59)/(ATM_Conf!$C$6-ATM_Conf!$C$7))</f>
        <v>#DIV/0!</v>
      </c>
      <c r="BA59" s="43" t="e">
        <f>BJ$3*MIN(1,(ATM_Conf!$C$6-Links!AH59)/(ATM_Conf!$C$6-ATM_Conf!$C$7))</f>
        <v>#DIV/0!</v>
      </c>
      <c r="BB59" s="43" t="e">
        <f>BK$3*MIN(1,(ATM_Conf!$C$6-Links!AK59)/(ATM_Conf!$C$6-ATM_Conf!$C$7))</f>
        <v>#DIV/0!</v>
      </c>
      <c r="BC59" s="43" t="e">
        <f>BL$3*MIN(1,(ATM_Conf!$C$6-Links!AM59)/(ATM_Conf!$C$6-ATM_Conf!$C$7))</f>
        <v>#DIV/0!</v>
      </c>
      <c r="BD59" s="43">
        <f t="shared" si="34"/>
        <v>0</v>
      </c>
      <c r="BE59" s="43">
        <f t="shared" si="34"/>
        <v>0</v>
      </c>
      <c r="BF59" s="43">
        <f t="shared" si="34"/>
        <v>0</v>
      </c>
      <c r="BG59" s="43">
        <f t="shared" si="34"/>
        <v>0</v>
      </c>
      <c r="BH59" s="43">
        <f t="shared" si="34"/>
        <v>0</v>
      </c>
      <c r="BI59" s="43">
        <f t="shared" si="34"/>
        <v>0</v>
      </c>
      <c r="BJ59" s="43">
        <f t="shared" si="34"/>
        <v>0</v>
      </c>
      <c r="BK59" s="43">
        <f t="shared" si="34"/>
        <v>0</v>
      </c>
      <c r="BL59" s="43">
        <f t="shared" si="34"/>
        <v>0</v>
      </c>
      <c r="BM59" s="51"/>
      <c r="BN59" s="51"/>
      <c r="BO59" s="51"/>
      <c r="BP59" s="51"/>
      <c r="BQ59" s="51"/>
      <c r="BR59" s="51"/>
      <c r="BS59" s="51"/>
      <c r="BT59" s="51"/>
      <c r="BU59" s="51"/>
      <c r="BV59" s="51" t="e">
        <f t="shared" si="13"/>
        <v>#DIV/0!</v>
      </c>
      <c r="BW59" s="51" t="e">
        <f t="shared" si="14"/>
        <v>#DIV/0!</v>
      </c>
      <c r="BX59" s="51" t="e">
        <f t="shared" si="15"/>
        <v>#DIV/0!</v>
      </c>
      <c r="BY59" s="51" t="e">
        <f t="shared" si="16"/>
        <v>#DIV/0!</v>
      </c>
      <c r="BZ59" s="51" t="e">
        <f t="shared" si="17"/>
        <v>#DIV/0!</v>
      </c>
      <c r="CA59" s="51" t="e">
        <f t="shared" si="18"/>
        <v>#DIV/0!</v>
      </c>
      <c r="CB59" s="51" t="e">
        <f t="shared" si="19"/>
        <v>#DIV/0!</v>
      </c>
      <c r="CC59" s="51" t="e">
        <f t="shared" si="20"/>
        <v>#DIV/0!</v>
      </c>
      <c r="CD59" s="51" t="e">
        <f t="shared" si="21"/>
        <v>#DIV/0!</v>
      </c>
      <c r="CE59" s="53">
        <f t="shared" si="35"/>
        <v>0</v>
      </c>
      <c r="CF59" s="53">
        <f t="shared" si="35"/>
        <v>0</v>
      </c>
      <c r="CG59" s="53">
        <f t="shared" si="35"/>
        <v>0</v>
      </c>
      <c r="CH59" s="53">
        <f t="shared" si="35"/>
        <v>0</v>
      </c>
      <c r="CI59" s="53">
        <f t="shared" si="35"/>
        <v>0</v>
      </c>
      <c r="CJ59" s="53">
        <f t="shared" si="35"/>
        <v>0</v>
      </c>
      <c r="CK59" s="53">
        <f t="shared" si="35"/>
        <v>0</v>
      </c>
      <c r="CL59" s="53">
        <f t="shared" si="35"/>
        <v>0</v>
      </c>
      <c r="CM59" s="53">
        <f t="shared" si="35"/>
        <v>0</v>
      </c>
    </row>
    <row r="60" spans="1:91" x14ac:dyDescent="0.15">
      <c r="A60" s="41">
        <v>58</v>
      </c>
      <c r="B60" s="43">
        <f t="shared" si="41"/>
        <v>1</v>
      </c>
      <c r="C60" s="43">
        <f t="shared" si="40"/>
        <v>1</v>
      </c>
      <c r="D60" s="43">
        <f t="shared" si="40"/>
        <v>1</v>
      </c>
      <c r="E60" s="43">
        <f t="shared" si="40"/>
        <v>1</v>
      </c>
      <c r="F60" s="43">
        <f t="shared" si="40"/>
        <v>1</v>
      </c>
      <c r="G60" s="43">
        <f t="shared" si="40"/>
        <v>1</v>
      </c>
      <c r="H60" s="43">
        <f t="shared" si="40"/>
        <v>1</v>
      </c>
      <c r="I60" s="43">
        <f t="shared" si="40"/>
        <v>1</v>
      </c>
      <c r="J60" s="43">
        <f t="shared" si="40"/>
        <v>1</v>
      </c>
      <c r="K60" s="43" t="e">
        <f>K59+ATM_Conf!$C$5*(T59-AC59)</f>
        <v>#DIV/0!</v>
      </c>
      <c r="L60" s="43" t="e">
        <f>L59+ATM_Conf!$C$5*(U59-AD59)</f>
        <v>#DIV/0!</v>
      </c>
      <c r="M60" s="43" t="e">
        <f>M59+ATM_Conf!$C$5*(V59-AE59)</f>
        <v>#DIV/0!</v>
      </c>
      <c r="N60" s="43" t="e">
        <f>N59+ATM_Conf!$C$5*(W59-AF59)</f>
        <v>#DIV/0!</v>
      </c>
      <c r="O60" s="43" t="e">
        <f>O59+ATM_Conf!$C$5*(X59-AG59)</f>
        <v>#DIV/0!</v>
      </c>
      <c r="P60" s="43" t="e">
        <f>P59+ATM_Conf!$C$5*(Y59-AH59)</f>
        <v>#DIV/0!</v>
      </c>
      <c r="Q60" s="43" t="e">
        <f>Q59+ATM_Conf!$C$5*(Z59-AI59)</f>
        <v>#DIV/0!</v>
      </c>
      <c r="R60" s="43" t="e">
        <f>R59+ATM_Conf!$C$5*(AA59-AJ59)</f>
        <v>#DIV/0!</v>
      </c>
      <c r="S60" s="43" t="e">
        <f>S59+ATM_Conf!$C$5*(AB59-AK59)</f>
        <v>#DIV/0!</v>
      </c>
      <c r="T60" s="43">
        <f t="shared" si="33"/>
        <v>0</v>
      </c>
      <c r="U60" s="43">
        <f t="shared" si="33"/>
        <v>0</v>
      </c>
      <c r="V60" s="43">
        <f t="shared" si="33"/>
        <v>0</v>
      </c>
      <c r="W60" s="43">
        <f t="shared" si="33"/>
        <v>0</v>
      </c>
      <c r="X60" s="43">
        <f t="shared" si="33"/>
        <v>0</v>
      </c>
      <c r="Y60" s="43">
        <f t="shared" si="33"/>
        <v>0</v>
      </c>
      <c r="Z60" s="43">
        <f t="shared" si="33"/>
        <v>0</v>
      </c>
      <c r="AA60" s="43">
        <f t="shared" si="33"/>
        <v>0</v>
      </c>
      <c r="AB60" s="43">
        <f t="shared" si="33"/>
        <v>0</v>
      </c>
      <c r="AC60" s="43" t="e">
        <f t="shared" si="3"/>
        <v>#DIV/0!</v>
      </c>
      <c r="AD60" s="43" t="e">
        <f t="shared" si="4"/>
        <v>#DIV/0!</v>
      </c>
      <c r="AE60" s="43" t="e">
        <f t="shared" si="5"/>
        <v>#DIV/0!</v>
      </c>
      <c r="AF60" s="43" t="e">
        <f t="shared" si="6"/>
        <v>#DIV/0!</v>
      </c>
      <c r="AG60" s="43" t="e">
        <f t="shared" si="7"/>
        <v>#DIV/0!</v>
      </c>
      <c r="AH60" s="43" t="e">
        <f t="shared" si="8"/>
        <v>#DIV/0!</v>
      </c>
      <c r="AI60" s="43" t="e">
        <f t="shared" si="9"/>
        <v>#DIV/0!</v>
      </c>
      <c r="AJ60" s="43" t="e">
        <f t="shared" si="10"/>
        <v>#DIV/0!</v>
      </c>
      <c r="AK60" s="43" t="e">
        <f t="shared" si="11"/>
        <v>#DIV/0!</v>
      </c>
      <c r="AL60" s="43" t="e">
        <f>T$3+K60/ATM_Conf!$C$5</f>
        <v>#DIV/0!</v>
      </c>
      <c r="AM60" s="43" t="e">
        <f>U$3+L60/ATM_Conf!$C$5</f>
        <v>#DIV/0!</v>
      </c>
      <c r="AN60" s="43" t="e">
        <f>V$3+M60/ATM_Conf!$C$5</f>
        <v>#DIV/0!</v>
      </c>
      <c r="AO60" s="43" t="e">
        <f>W$3+N60/ATM_Conf!$C$5</f>
        <v>#DIV/0!</v>
      </c>
      <c r="AP60" s="43" t="e">
        <f>X$3+O60/ATM_Conf!$C$5</f>
        <v>#DIV/0!</v>
      </c>
      <c r="AQ60" s="43" t="e">
        <f>Y$3+P60/ATM_Conf!$C$5</f>
        <v>#DIV/0!</v>
      </c>
      <c r="AR60" s="43" t="e">
        <f>Z$3+Q60/ATM_Conf!$C$5</f>
        <v>#DIV/0!</v>
      </c>
      <c r="AS60" s="43" t="e">
        <f>AA$3+R60/ATM_Conf!$C$5</f>
        <v>#DIV/0!</v>
      </c>
      <c r="AT60" s="43" t="e">
        <f>AB$3+S60/ATM_Conf!$C$5</f>
        <v>#DIV/0!</v>
      </c>
      <c r="AU60" s="43" t="e">
        <f>BD$3*MIN(1,(ATM_Conf!$C$6-Links!X60)/(ATM_Conf!$C$6-ATM_Conf!$C$7))</f>
        <v>#DIV/0!</v>
      </c>
      <c r="AV60" s="43" t="e">
        <f>BE$3*MIN(1,(ATM_Conf!$C$6-Links!Z60)/(ATM_Conf!$C$6-ATM_Conf!$C$7))</f>
        <v>#DIV/0!</v>
      </c>
      <c r="AW60" s="43" t="e">
        <f>BF$3*MIN(1,(ATM_Conf!$C$6-Links!AA60)/(ATM_Conf!$C$6-ATM_Conf!$C$7))</f>
        <v>#DIV/0!</v>
      </c>
      <c r="AX60" s="43" t="e">
        <f>BG$3*MIN(1,(ATM_Conf!$C$6-Links!AD60)/(ATM_Conf!$C$6-ATM_Conf!$C$7))</f>
        <v>#DIV/0!</v>
      </c>
      <c r="AY60" s="43" t="e">
        <f>BH$3*MIN(1,(ATM_Conf!$C$6-Links!AE60)/(ATM_Conf!$C$6-ATM_Conf!$C$7))</f>
        <v>#DIV/0!</v>
      </c>
      <c r="AZ60" s="43" t="e">
        <f>BI$3*MIN(1,(ATM_Conf!$C$6-Links!AG60)/(ATM_Conf!$C$6-ATM_Conf!$C$7))</f>
        <v>#DIV/0!</v>
      </c>
      <c r="BA60" s="43" t="e">
        <f>BJ$3*MIN(1,(ATM_Conf!$C$6-Links!AH60)/(ATM_Conf!$C$6-ATM_Conf!$C$7))</f>
        <v>#DIV/0!</v>
      </c>
      <c r="BB60" s="43" t="e">
        <f>BK$3*MIN(1,(ATM_Conf!$C$6-Links!AK60)/(ATM_Conf!$C$6-ATM_Conf!$C$7))</f>
        <v>#DIV/0!</v>
      </c>
      <c r="BC60" s="43" t="e">
        <f>BL$3*MIN(1,(ATM_Conf!$C$6-Links!AM60)/(ATM_Conf!$C$6-ATM_Conf!$C$7))</f>
        <v>#DIV/0!</v>
      </c>
      <c r="BD60" s="43">
        <f t="shared" si="34"/>
        <v>0</v>
      </c>
      <c r="BE60" s="43">
        <f t="shared" si="34"/>
        <v>0</v>
      </c>
      <c r="BF60" s="43">
        <f t="shared" si="34"/>
        <v>0</v>
      </c>
      <c r="BG60" s="43">
        <f t="shared" si="34"/>
        <v>0</v>
      </c>
      <c r="BH60" s="43">
        <f t="shared" si="34"/>
        <v>0</v>
      </c>
      <c r="BI60" s="43">
        <f t="shared" si="34"/>
        <v>0</v>
      </c>
      <c r="BJ60" s="43">
        <f t="shared" si="34"/>
        <v>0</v>
      </c>
      <c r="BK60" s="43">
        <f t="shared" si="34"/>
        <v>0</v>
      </c>
      <c r="BL60" s="43">
        <f t="shared" si="34"/>
        <v>0</v>
      </c>
      <c r="BM60" s="51"/>
      <c r="BN60" s="51"/>
      <c r="BO60" s="51"/>
      <c r="BP60" s="51"/>
      <c r="BQ60" s="51"/>
      <c r="BR60" s="51"/>
      <c r="BS60" s="51"/>
      <c r="BT60" s="51"/>
      <c r="BU60" s="51"/>
      <c r="BV60" s="51" t="e">
        <f t="shared" si="13"/>
        <v>#DIV/0!</v>
      </c>
      <c r="BW60" s="51" t="e">
        <f t="shared" si="14"/>
        <v>#DIV/0!</v>
      </c>
      <c r="BX60" s="51" t="e">
        <f t="shared" si="15"/>
        <v>#DIV/0!</v>
      </c>
      <c r="BY60" s="51" t="e">
        <f t="shared" si="16"/>
        <v>#DIV/0!</v>
      </c>
      <c r="BZ60" s="51" t="e">
        <f t="shared" si="17"/>
        <v>#DIV/0!</v>
      </c>
      <c r="CA60" s="51" t="e">
        <f t="shared" si="18"/>
        <v>#DIV/0!</v>
      </c>
      <c r="CB60" s="51" t="e">
        <f t="shared" si="19"/>
        <v>#DIV/0!</v>
      </c>
      <c r="CC60" s="51" t="e">
        <f t="shared" si="20"/>
        <v>#DIV/0!</v>
      </c>
      <c r="CD60" s="51" t="e">
        <f t="shared" si="21"/>
        <v>#DIV/0!</v>
      </c>
      <c r="CE60" s="53">
        <f t="shared" si="35"/>
        <v>0</v>
      </c>
      <c r="CF60" s="53">
        <f t="shared" si="35"/>
        <v>0</v>
      </c>
      <c r="CG60" s="53">
        <f t="shared" si="35"/>
        <v>0</v>
      </c>
      <c r="CH60" s="53">
        <f t="shared" si="35"/>
        <v>0</v>
      </c>
      <c r="CI60" s="53">
        <f t="shared" si="35"/>
        <v>0</v>
      </c>
      <c r="CJ60" s="53">
        <f t="shared" si="35"/>
        <v>0</v>
      </c>
      <c r="CK60" s="53">
        <f t="shared" si="35"/>
        <v>0</v>
      </c>
      <c r="CL60" s="53">
        <f t="shared" si="35"/>
        <v>0</v>
      </c>
      <c r="CM60" s="53">
        <f t="shared" si="35"/>
        <v>0</v>
      </c>
    </row>
    <row r="61" spans="1:91" x14ac:dyDescent="0.15">
      <c r="A61" s="41">
        <v>59</v>
      </c>
      <c r="B61" s="43">
        <f t="shared" si="41"/>
        <v>1</v>
      </c>
      <c r="C61" s="43">
        <f t="shared" si="40"/>
        <v>1</v>
      </c>
      <c r="D61" s="43">
        <f t="shared" si="40"/>
        <v>1</v>
      </c>
      <c r="E61" s="43">
        <f t="shared" si="40"/>
        <v>1</v>
      </c>
      <c r="F61" s="43">
        <f t="shared" si="40"/>
        <v>1</v>
      </c>
      <c r="G61" s="43">
        <f t="shared" si="40"/>
        <v>1</v>
      </c>
      <c r="H61" s="43">
        <f t="shared" si="40"/>
        <v>1</v>
      </c>
      <c r="I61" s="43">
        <f t="shared" si="40"/>
        <v>1</v>
      </c>
      <c r="J61" s="43">
        <f t="shared" si="40"/>
        <v>1</v>
      </c>
      <c r="K61" s="43" t="e">
        <f>K60+ATM_Conf!$C$5*(T60-AC60)</f>
        <v>#DIV/0!</v>
      </c>
      <c r="L61" s="43" t="e">
        <f>L60+ATM_Conf!$C$5*(U60-AD60)</f>
        <v>#DIV/0!</v>
      </c>
      <c r="M61" s="43" t="e">
        <f>M60+ATM_Conf!$C$5*(V60-AE60)</f>
        <v>#DIV/0!</v>
      </c>
      <c r="N61" s="43" t="e">
        <f>N60+ATM_Conf!$C$5*(W60-AF60)</f>
        <v>#DIV/0!</v>
      </c>
      <c r="O61" s="43" t="e">
        <f>O60+ATM_Conf!$C$5*(X60-AG60)</f>
        <v>#DIV/0!</v>
      </c>
      <c r="P61" s="43" t="e">
        <f>P60+ATM_Conf!$C$5*(Y60-AH60)</f>
        <v>#DIV/0!</v>
      </c>
      <c r="Q61" s="43" t="e">
        <f>Q60+ATM_Conf!$C$5*(Z60-AI60)</f>
        <v>#DIV/0!</v>
      </c>
      <c r="R61" s="43" t="e">
        <f>R60+ATM_Conf!$C$5*(AA60-AJ60)</f>
        <v>#DIV/0!</v>
      </c>
      <c r="S61" s="43" t="e">
        <f>S60+ATM_Conf!$C$5*(AB60-AK60)</f>
        <v>#DIV/0!</v>
      </c>
      <c r="T61" s="43">
        <f t="shared" si="33"/>
        <v>0</v>
      </c>
      <c r="U61" s="43">
        <f t="shared" si="33"/>
        <v>0</v>
      </c>
      <c r="V61" s="43">
        <f t="shared" si="33"/>
        <v>0</v>
      </c>
      <c r="W61" s="43">
        <f t="shared" si="33"/>
        <v>0</v>
      </c>
      <c r="X61" s="43">
        <f t="shared" si="33"/>
        <v>0</v>
      </c>
      <c r="Y61" s="43">
        <f t="shared" si="33"/>
        <v>0</v>
      </c>
      <c r="Z61" s="43">
        <f t="shared" si="33"/>
        <v>0</v>
      </c>
      <c r="AA61" s="43">
        <f t="shared" si="33"/>
        <v>0</v>
      </c>
      <c r="AB61" s="43">
        <f t="shared" si="33"/>
        <v>0</v>
      </c>
      <c r="AC61" s="43" t="e">
        <f t="shared" si="3"/>
        <v>#DIV/0!</v>
      </c>
      <c r="AD61" s="43" t="e">
        <f t="shared" si="4"/>
        <v>#DIV/0!</v>
      </c>
      <c r="AE61" s="43" t="e">
        <f t="shared" si="5"/>
        <v>#DIV/0!</v>
      </c>
      <c r="AF61" s="43" t="e">
        <f t="shared" si="6"/>
        <v>#DIV/0!</v>
      </c>
      <c r="AG61" s="43" t="e">
        <f t="shared" si="7"/>
        <v>#DIV/0!</v>
      </c>
      <c r="AH61" s="43" t="e">
        <f t="shared" si="8"/>
        <v>#DIV/0!</v>
      </c>
      <c r="AI61" s="43" t="e">
        <f t="shared" si="9"/>
        <v>#DIV/0!</v>
      </c>
      <c r="AJ61" s="43" t="e">
        <f t="shared" si="10"/>
        <v>#DIV/0!</v>
      </c>
      <c r="AK61" s="43" t="e">
        <f t="shared" si="11"/>
        <v>#DIV/0!</v>
      </c>
      <c r="AL61" s="43" t="e">
        <f>T$3+K61/ATM_Conf!$C$5</f>
        <v>#DIV/0!</v>
      </c>
      <c r="AM61" s="43" t="e">
        <f>U$3+L61/ATM_Conf!$C$5</f>
        <v>#DIV/0!</v>
      </c>
      <c r="AN61" s="43" t="e">
        <f>V$3+M61/ATM_Conf!$C$5</f>
        <v>#DIV/0!</v>
      </c>
      <c r="AO61" s="43" t="e">
        <f>W$3+N61/ATM_Conf!$C$5</f>
        <v>#DIV/0!</v>
      </c>
      <c r="AP61" s="43" t="e">
        <f>X$3+O61/ATM_Conf!$C$5</f>
        <v>#DIV/0!</v>
      </c>
      <c r="AQ61" s="43" t="e">
        <f>Y$3+P61/ATM_Conf!$C$5</f>
        <v>#DIV/0!</v>
      </c>
      <c r="AR61" s="43" t="e">
        <f>Z$3+Q61/ATM_Conf!$C$5</f>
        <v>#DIV/0!</v>
      </c>
      <c r="AS61" s="43" t="e">
        <f>AA$3+R61/ATM_Conf!$C$5</f>
        <v>#DIV/0!</v>
      </c>
      <c r="AT61" s="43" t="e">
        <f>AB$3+S61/ATM_Conf!$C$5</f>
        <v>#DIV/0!</v>
      </c>
      <c r="AU61" s="43" t="e">
        <f>BD$3*MIN(1,(ATM_Conf!$C$6-Links!X61)/(ATM_Conf!$C$6-ATM_Conf!$C$7))</f>
        <v>#DIV/0!</v>
      </c>
      <c r="AV61" s="43" t="e">
        <f>BE$3*MIN(1,(ATM_Conf!$C$6-Links!Z61)/(ATM_Conf!$C$6-ATM_Conf!$C$7))</f>
        <v>#DIV/0!</v>
      </c>
      <c r="AW61" s="43" t="e">
        <f>BF$3*MIN(1,(ATM_Conf!$C$6-Links!AA61)/(ATM_Conf!$C$6-ATM_Conf!$C$7))</f>
        <v>#DIV/0!</v>
      </c>
      <c r="AX61" s="43" t="e">
        <f>BG$3*MIN(1,(ATM_Conf!$C$6-Links!AD61)/(ATM_Conf!$C$6-ATM_Conf!$C$7))</f>
        <v>#DIV/0!</v>
      </c>
      <c r="AY61" s="43" t="e">
        <f>BH$3*MIN(1,(ATM_Conf!$C$6-Links!AE61)/(ATM_Conf!$C$6-ATM_Conf!$C$7))</f>
        <v>#DIV/0!</v>
      </c>
      <c r="AZ61" s="43" t="e">
        <f>BI$3*MIN(1,(ATM_Conf!$C$6-Links!AG61)/(ATM_Conf!$C$6-ATM_Conf!$C$7))</f>
        <v>#DIV/0!</v>
      </c>
      <c r="BA61" s="43" t="e">
        <f>BJ$3*MIN(1,(ATM_Conf!$C$6-Links!AH61)/(ATM_Conf!$C$6-ATM_Conf!$C$7))</f>
        <v>#DIV/0!</v>
      </c>
      <c r="BB61" s="43" t="e">
        <f>BK$3*MIN(1,(ATM_Conf!$C$6-Links!AK61)/(ATM_Conf!$C$6-ATM_Conf!$C$7))</f>
        <v>#DIV/0!</v>
      </c>
      <c r="BC61" s="43" t="e">
        <f>BL$3*MIN(1,(ATM_Conf!$C$6-Links!AM61)/(ATM_Conf!$C$6-ATM_Conf!$C$7))</f>
        <v>#DIV/0!</v>
      </c>
      <c r="BD61" s="43">
        <f t="shared" si="34"/>
        <v>0</v>
      </c>
      <c r="BE61" s="43">
        <f t="shared" si="34"/>
        <v>0</v>
      </c>
      <c r="BF61" s="43">
        <f t="shared" si="34"/>
        <v>0</v>
      </c>
      <c r="BG61" s="43">
        <f t="shared" si="34"/>
        <v>0</v>
      </c>
      <c r="BH61" s="43">
        <f t="shared" si="34"/>
        <v>0</v>
      </c>
      <c r="BI61" s="43">
        <f t="shared" si="34"/>
        <v>0</v>
      </c>
      <c r="BJ61" s="43">
        <f t="shared" si="34"/>
        <v>0</v>
      </c>
      <c r="BK61" s="43">
        <f t="shared" si="34"/>
        <v>0</v>
      </c>
      <c r="BL61" s="43">
        <f t="shared" si="34"/>
        <v>0</v>
      </c>
      <c r="BM61" s="51"/>
      <c r="BN61" s="51"/>
      <c r="BO61" s="51"/>
      <c r="BP61" s="51"/>
      <c r="BQ61" s="51"/>
      <c r="BR61" s="51"/>
      <c r="BS61" s="51"/>
      <c r="BT61" s="51"/>
      <c r="BU61" s="51"/>
      <c r="BV61" s="51" t="e">
        <f t="shared" si="13"/>
        <v>#DIV/0!</v>
      </c>
      <c r="BW61" s="51" t="e">
        <f t="shared" si="14"/>
        <v>#DIV/0!</v>
      </c>
      <c r="BX61" s="51" t="e">
        <f t="shared" si="15"/>
        <v>#DIV/0!</v>
      </c>
      <c r="BY61" s="51" t="e">
        <f t="shared" si="16"/>
        <v>#DIV/0!</v>
      </c>
      <c r="BZ61" s="51" t="e">
        <f t="shared" si="17"/>
        <v>#DIV/0!</v>
      </c>
      <c r="CA61" s="51" t="e">
        <f t="shared" si="18"/>
        <v>#DIV/0!</v>
      </c>
      <c r="CB61" s="51" t="e">
        <f t="shared" si="19"/>
        <v>#DIV/0!</v>
      </c>
      <c r="CC61" s="51" t="e">
        <f t="shared" si="20"/>
        <v>#DIV/0!</v>
      </c>
      <c r="CD61" s="51" t="e">
        <f t="shared" si="21"/>
        <v>#DIV/0!</v>
      </c>
      <c r="CE61" s="53">
        <f t="shared" si="35"/>
        <v>0</v>
      </c>
      <c r="CF61" s="53">
        <f t="shared" si="35"/>
        <v>0</v>
      </c>
      <c r="CG61" s="53">
        <f t="shared" si="35"/>
        <v>0</v>
      </c>
      <c r="CH61" s="53">
        <f t="shared" si="35"/>
        <v>0</v>
      </c>
      <c r="CI61" s="53">
        <f t="shared" si="35"/>
        <v>0</v>
      </c>
      <c r="CJ61" s="53">
        <f t="shared" si="35"/>
        <v>0</v>
      </c>
      <c r="CK61" s="53">
        <f t="shared" si="35"/>
        <v>0</v>
      </c>
      <c r="CL61" s="53">
        <f t="shared" si="35"/>
        <v>0</v>
      </c>
      <c r="CM61" s="53">
        <f t="shared" si="35"/>
        <v>0</v>
      </c>
    </row>
    <row r="62" spans="1:91" x14ac:dyDescent="0.15">
      <c r="A62" s="41">
        <v>60</v>
      </c>
      <c r="B62" s="43">
        <f t="shared" si="41"/>
        <v>1</v>
      </c>
      <c r="C62" s="43">
        <f t="shared" si="40"/>
        <v>1</v>
      </c>
      <c r="D62" s="43">
        <f t="shared" si="40"/>
        <v>1</v>
      </c>
      <c r="E62" s="43">
        <f t="shared" si="40"/>
        <v>1</v>
      </c>
      <c r="F62" s="43">
        <f t="shared" si="40"/>
        <v>1</v>
      </c>
      <c r="G62" s="43">
        <f t="shared" si="40"/>
        <v>1</v>
      </c>
      <c r="H62" s="43">
        <f t="shared" si="40"/>
        <v>1</v>
      </c>
      <c r="I62" s="43">
        <f t="shared" si="40"/>
        <v>1</v>
      </c>
      <c r="J62" s="43">
        <f t="shared" si="40"/>
        <v>1</v>
      </c>
      <c r="K62" s="43" t="e">
        <f>K61+ATM_Conf!$C$5*(T61-AC61)</f>
        <v>#DIV/0!</v>
      </c>
      <c r="L62" s="43" t="e">
        <f>L61+ATM_Conf!$C$5*(U61-AD61)</f>
        <v>#DIV/0!</v>
      </c>
      <c r="M62" s="43" t="e">
        <f>M61+ATM_Conf!$C$5*(V61-AE61)</f>
        <v>#DIV/0!</v>
      </c>
      <c r="N62" s="43" t="e">
        <f>N61+ATM_Conf!$C$5*(W61-AF61)</f>
        <v>#DIV/0!</v>
      </c>
      <c r="O62" s="43" t="e">
        <f>O61+ATM_Conf!$C$5*(X61-AG61)</f>
        <v>#DIV/0!</v>
      </c>
      <c r="P62" s="43" t="e">
        <f>P61+ATM_Conf!$C$5*(Y61-AH61)</f>
        <v>#DIV/0!</v>
      </c>
      <c r="Q62" s="43" t="e">
        <f>Q61+ATM_Conf!$C$5*(Z61-AI61)</f>
        <v>#DIV/0!</v>
      </c>
      <c r="R62" s="43" t="e">
        <f>R61+ATM_Conf!$C$5*(AA61-AJ61)</f>
        <v>#DIV/0!</v>
      </c>
      <c r="S62" s="43" t="e">
        <f>S61+ATM_Conf!$C$5*(AB61-AK61)</f>
        <v>#DIV/0!</v>
      </c>
      <c r="T62" s="43">
        <f t="shared" si="33"/>
        <v>0</v>
      </c>
      <c r="U62" s="43">
        <f t="shared" si="33"/>
        <v>0</v>
      </c>
      <c r="V62" s="43">
        <f t="shared" si="33"/>
        <v>0</v>
      </c>
      <c r="W62" s="43">
        <f t="shared" si="33"/>
        <v>0</v>
      </c>
      <c r="X62" s="43">
        <f t="shared" si="33"/>
        <v>0</v>
      </c>
      <c r="Y62" s="43">
        <f t="shared" si="33"/>
        <v>0</v>
      </c>
      <c r="Z62" s="43">
        <f t="shared" si="33"/>
        <v>0</v>
      </c>
      <c r="AA62" s="43">
        <f t="shared" si="33"/>
        <v>0</v>
      </c>
      <c r="AB62" s="43">
        <f t="shared" si="33"/>
        <v>0</v>
      </c>
      <c r="AC62" s="43" t="e">
        <f t="shared" si="3"/>
        <v>#DIV/0!</v>
      </c>
      <c r="AD62" s="43" t="e">
        <f t="shared" si="4"/>
        <v>#DIV/0!</v>
      </c>
      <c r="AE62" s="43" t="e">
        <f t="shared" si="5"/>
        <v>#DIV/0!</v>
      </c>
      <c r="AF62" s="43" t="e">
        <f t="shared" si="6"/>
        <v>#DIV/0!</v>
      </c>
      <c r="AG62" s="43" t="e">
        <f t="shared" si="7"/>
        <v>#DIV/0!</v>
      </c>
      <c r="AH62" s="43" t="e">
        <f t="shared" si="8"/>
        <v>#DIV/0!</v>
      </c>
      <c r="AI62" s="43" t="e">
        <f t="shared" si="9"/>
        <v>#DIV/0!</v>
      </c>
      <c r="AJ62" s="43" t="e">
        <f t="shared" si="10"/>
        <v>#DIV/0!</v>
      </c>
      <c r="AK62" s="43" t="e">
        <f t="shared" si="11"/>
        <v>#DIV/0!</v>
      </c>
      <c r="AL62" s="43" t="e">
        <f>T$3+K62/ATM_Conf!$C$5</f>
        <v>#DIV/0!</v>
      </c>
      <c r="AM62" s="43" t="e">
        <f>U$3+L62/ATM_Conf!$C$5</f>
        <v>#DIV/0!</v>
      </c>
      <c r="AN62" s="43" t="e">
        <f>V$3+M62/ATM_Conf!$C$5</f>
        <v>#DIV/0!</v>
      </c>
      <c r="AO62" s="43" t="e">
        <f>W$3+N62/ATM_Conf!$C$5</f>
        <v>#DIV/0!</v>
      </c>
      <c r="AP62" s="43" t="e">
        <f>X$3+O62/ATM_Conf!$C$5</f>
        <v>#DIV/0!</v>
      </c>
      <c r="AQ62" s="43" t="e">
        <f>Y$3+P62/ATM_Conf!$C$5</f>
        <v>#DIV/0!</v>
      </c>
      <c r="AR62" s="43" t="e">
        <f>Z$3+Q62/ATM_Conf!$C$5</f>
        <v>#DIV/0!</v>
      </c>
      <c r="AS62" s="43" t="e">
        <f>AA$3+R62/ATM_Conf!$C$5</f>
        <v>#DIV/0!</v>
      </c>
      <c r="AT62" s="43" t="e">
        <f>AB$3+S62/ATM_Conf!$C$5</f>
        <v>#DIV/0!</v>
      </c>
      <c r="AU62" s="43" t="e">
        <f>BD$3*MIN(1,(ATM_Conf!$C$6-Links!X62)/(ATM_Conf!$C$6-ATM_Conf!$C$7))</f>
        <v>#DIV/0!</v>
      </c>
      <c r="AV62" s="43" t="e">
        <f>BE$3*MIN(1,(ATM_Conf!$C$6-Links!Z62)/(ATM_Conf!$C$6-ATM_Conf!$C$7))</f>
        <v>#DIV/0!</v>
      </c>
      <c r="AW62" s="43" t="e">
        <f>BF$3*MIN(1,(ATM_Conf!$C$6-Links!AA62)/(ATM_Conf!$C$6-ATM_Conf!$C$7))</f>
        <v>#DIV/0!</v>
      </c>
      <c r="AX62" s="43" t="e">
        <f>BG$3*MIN(1,(ATM_Conf!$C$6-Links!AD62)/(ATM_Conf!$C$6-ATM_Conf!$C$7))</f>
        <v>#DIV/0!</v>
      </c>
      <c r="AY62" s="43" t="e">
        <f>BH$3*MIN(1,(ATM_Conf!$C$6-Links!AE62)/(ATM_Conf!$C$6-ATM_Conf!$C$7))</f>
        <v>#DIV/0!</v>
      </c>
      <c r="AZ62" s="43" t="e">
        <f>BI$3*MIN(1,(ATM_Conf!$C$6-Links!AG62)/(ATM_Conf!$C$6-ATM_Conf!$C$7))</f>
        <v>#DIV/0!</v>
      </c>
      <c r="BA62" s="43" t="e">
        <f>BJ$3*MIN(1,(ATM_Conf!$C$6-Links!AH62)/(ATM_Conf!$C$6-ATM_Conf!$C$7))</f>
        <v>#DIV/0!</v>
      </c>
      <c r="BB62" s="43" t="e">
        <f>BK$3*MIN(1,(ATM_Conf!$C$6-Links!AK62)/(ATM_Conf!$C$6-ATM_Conf!$C$7))</f>
        <v>#DIV/0!</v>
      </c>
      <c r="BC62" s="43" t="e">
        <f>BL$3*MIN(1,(ATM_Conf!$C$6-Links!AM62)/(ATM_Conf!$C$6-ATM_Conf!$C$7))</f>
        <v>#DIV/0!</v>
      </c>
      <c r="BD62" s="43">
        <f t="shared" si="34"/>
        <v>0</v>
      </c>
      <c r="BE62" s="43">
        <f t="shared" si="34"/>
        <v>0</v>
      </c>
      <c r="BF62" s="43">
        <f t="shared" si="34"/>
        <v>0</v>
      </c>
      <c r="BG62" s="43">
        <f t="shared" si="34"/>
        <v>0</v>
      </c>
      <c r="BH62" s="43">
        <f t="shared" si="34"/>
        <v>0</v>
      </c>
      <c r="BI62" s="43">
        <f t="shared" si="34"/>
        <v>0</v>
      </c>
      <c r="BJ62" s="43">
        <f t="shared" si="34"/>
        <v>0</v>
      </c>
      <c r="BK62" s="43">
        <f t="shared" si="34"/>
        <v>0</v>
      </c>
      <c r="BL62" s="43">
        <f t="shared" si="34"/>
        <v>0</v>
      </c>
      <c r="BM62" s="51"/>
      <c r="BN62" s="51"/>
      <c r="BO62" s="51"/>
      <c r="BP62" s="51"/>
      <c r="BQ62" s="51"/>
      <c r="BR62" s="51"/>
      <c r="BS62" s="51"/>
      <c r="BT62" s="51"/>
      <c r="BU62" s="51"/>
      <c r="BV62" s="51" t="e">
        <f t="shared" si="13"/>
        <v>#DIV/0!</v>
      </c>
      <c r="BW62" s="51" t="e">
        <f t="shared" si="14"/>
        <v>#DIV/0!</v>
      </c>
      <c r="BX62" s="51" t="e">
        <f t="shared" si="15"/>
        <v>#DIV/0!</v>
      </c>
      <c r="BY62" s="51" t="e">
        <f t="shared" si="16"/>
        <v>#DIV/0!</v>
      </c>
      <c r="BZ62" s="51" t="e">
        <f t="shared" si="17"/>
        <v>#DIV/0!</v>
      </c>
      <c r="CA62" s="51" t="e">
        <f t="shared" si="18"/>
        <v>#DIV/0!</v>
      </c>
      <c r="CB62" s="51" t="e">
        <f t="shared" si="19"/>
        <v>#DIV/0!</v>
      </c>
      <c r="CC62" s="51" t="e">
        <f t="shared" si="20"/>
        <v>#DIV/0!</v>
      </c>
      <c r="CD62" s="51" t="e">
        <f t="shared" si="21"/>
        <v>#DIV/0!</v>
      </c>
      <c r="CE62" s="53">
        <f t="shared" si="35"/>
        <v>0</v>
      </c>
      <c r="CF62" s="53">
        <f t="shared" si="35"/>
        <v>0</v>
      </c>
      <c r="CG62" s="53">
        <f t="shared" si="35"/>
        <v>0</v>
      </c>
      <c r="CH62" s="53">
        <f t="shared" si="35"/>
        <v>0</v>
      </c>
      <c r="CI62" s="53">
        <f t="shared" si="35"/>
        <v>0</v>
      </c>
      <c r="CJ62" s="53">
        <f t="shared" si="35"/>
        <v>0</v>
      </c>
      <c r="CK62" s="53">
        <f t="shared" si="35"/>
        <v>0</v>
      </c>
      <c r="CL62" s="53">
        <f t="shared" si="35"/>
        <v>0</v>
      </c>
      <c r="CM62" s="53">
        <f t="shared" si="35"/>
        <v>0</v>
      </c>
    </row>
    <row r="63" spans="1:91" x14ac:dyDescent="0.15">
      <c r="A63" s="41">
        <v>61</v>
      </c>
      <c r="B63" s="45">
        <v>1</v>
      </c>
      <c r="C63" s="45">
        <v>1</v>
      </c>
      <c r="D63" s="45">
        <v>1</v>
      </c>
      <c r="E63" s="45">
        <v>1</v>
      </c>
      <c r="F63" s="45">
        <v>1</v>
      </c>
      <c r="G63" s="45">
        <v>1</v>
      </c>
      <c r="H63" s="45">
        <v>1</v>
      </c>
      <c r="I63" s="45">
        <v>1</v>
      </c>
      <c r="J63" s="45">
        <v>1</v>
      </c>
      <c r="K63" s="43" t="e">
        <f>K62+ATM_Conf!$C$5*(T62-AC62)</f>
        <v>#DIV/0!</v>
      </c>
      <c r="L63" s="43" t="e">
        <f>L62+ATM_Conf!$C$5*(U62-AD62)</f>
        <v>#DIV/0!</v>
      </c>
      <c r="M63" s="43" t="e">
        <f>M62+ATM_Conf!$C$5*(V62-AE62)</f>
        <v>#DIV/0!</v>
      </c>
      <c r="N63" s="43" t="e">
        <f>N62+ATM_Conf!$C$5*(W62-AF62)</f>
        <v>#DIV/0!</v>
      </c>
      <c r="O63" s="43" t="e">
        <f>O62+ATM_Conf!$C$5*(X62-AG62)</f>
        <v>#DIV/0!</v>
      </c>
      <c r="P63" s="43" t="e">
        <f>P62+ATM_Conf!$C$5*(Y62-AH62)</f>
        <v>#DIV/0!</v>
      </c>
      <c r="Q63" s="43" t="e">
        <f>Q62+ATM_Conf!$C$5*(Z62-AI62)</f>
        <v>#DIV/0!</v>
      </c>
      <c r="R63" s="43" t="e">
        <f>R62+ATM_Conf!$C$5*(AA62-AJ62)</f>
        <v>#DIV/0!</v>
      </c>
      <c r="S63" s="43" t="e">
        <f>S62+ATM_Conf!$C$5*(AB62-AK62)</f>
        <v>#DIV/0!</v>
      </c>
      <c r="T63" s="43">
        <f t="shared" si="33"/>
        <v>0</v>
      </c>
      <c r="U63" s="43">
        <f t="shared" si="33"/>
        <v>0</v>
      </c>
      <c r="V63" s="43">
        <f t="shared" si="33"/>
        <v>0</v>
      </c>
      <c r="W63" s="43">
        <f t="shared" si="33"/>
        <v>0</v>
      </c>
      <c r="X63" s="43">
        <f t="shared" si="33"/>
        <v>0</v>
      </c>
      <c r="Y63" s="43">
        <f t="shared" si="33"/>
        <v>0</v>
      </c>
      <c r="Z63" s="43">
        <f t="shared" si="33"/>
        <v>0</v>
      </c>
      <c r="AA63" s="43">
        <f t="shared" si="33"/>
        <v>0</v>
      </c>
      <c r="AB63" s="43">
        <f t="shared" si="33"/>
        <v>0</v>
      </c>
      <c r="AC63" s="43" t="e">
        <f t="shared" si="3"/>
        <v>#DIV/0!</v>
      </c>
      <c r="AD63" s="43" t="e">
        <f t="shared" si="4"/>
        <v>#DIV/0!</v>
      </c>
      <c r="AE63" s="43" t="e">
        <f t="shared" si="5"/>
        <v>#DIV/0!</v>
      </c>
      <c r="AF63" s="43" t="e">
        <f t="shared" si="6"/>
        <v>#DIV/0!</v>
      </c>
      <c r="AG63" s="43" t="e">
        <f t="shared" si="7"/>
        <v>#DIV/0!</v>
      </c>
      <c r="AH63" s="43" t="e">
        <f t="shared" si="8"/>
        <v>#DIV/0!</v>
      </c>
      <c r="AI63" s="43" t="e">
        <f t="shared" si="9"/>
        <v>#DIV/0!</v>
      </c>
      <c r="AJ63" s="43" t="e">
        <f t="shared" si="10"/>
        <v>#DIV/0!</v>
      </c>
      <c r="AK63" s="43" t="e">
        <f t="shared" si="11"/>
        <v>#DIV/0!</v>
      </c>
      <c r="AL63" s="43" t="e">
        <f>T$3+K63/ATM_Conf!$C$5</f>
        <v>#DIV/0!</v>
      </c>
      <c r="AM63" s="43" t="e">
        <f>U$3+L63/ATM_Conf!$C$5</f>
        <v>#DIV/0!</v>
      </c>
      <c r="AN63" s="43" t="e">
        <f>V$3+M63/ATM_Conf!$C$5</f>
        <v>#DIV/0!</v>
      </c>
      <c r="AO63" s="43" t="e">
        <f>W$3+N63/ATM_Conf!$C$5</f>
        <v>#DIV/0!</v>
      </c>
      <c r="AP63" s="43" t="e">
        <f>X$3+O63/ATM_Conf!$C$5</f>
        <v>#DIV/0!</v>
      </c>
      <c r="AQ63" s="43" t="e">
        <f>Y$3+P63/ATM_Conf!$C$5</f>
        <v>#DIV/0!</v>
      </c>
      <c r="AR63" s="43" t="e">
        <f>Z$3+Q63/ATM_Conf!$C$5</f>
        <v>#DIV/0!</v>
      </c>
      <c r="AS63" s="43" t="e">
        <f>AA$3+R63/ATM_Conf!$C$5</f>
        <v>#DIV/0!</v>
      </c>
      <c r="AT63" s="43" t="e">
        <f>AB$3+S63/ATM_Conf!$C$5</f>
        <v>#DIV/0!</v>
      </c>
      <c r="AU63" s="43" t="e">
        <f>BD$3*MIN(1,(ATM_Conf!$C$6-Links!X63)/(ATM_Conf!$C$6-ATM_Conf!$C$7))</f>
        <v>#DIV/0!</v>
      </c>
      <c r="AV63" s="43" t="e">
        <f>BE$3*MIN(1,(ATM_Conf!$C$6-Links!Z63)/(ATM_Conf!$C$6-ATM_Conf!$C$7))</f>
        <v>#DIV/0!</v>
      </c>
      <c r="AW63" s="43" t="e">
        <f>BF$3*MIN(1,(ATM_Conf!$C$6-Links!AA63)/(ATM_Conf!$C$6-ATM_Conf!$C$7))</f>
        <v>#DIV/0!</v>
      </c>
      <c r="AX63" s="43" t="e">
        <f>BG$3*MIN(1,(ATM_Conf!$C$6-Links!AD63)/(ATM_Conf!$C$6-ATM_Conf!$C$7))</f>
        <v>#DIV/0!</v>
      </c>
      <c r="AY63" s="43" t="e">
        <f>BH$3*MIN(1,(ATM_Conf!$C$6-Links!AE63)/(ATM_Conf!$C$6-ATM_Conf!$C$7))</f>
        <v>#DIV/0!</v>
      </c>
      <c r="AZ63" s="43" t="e">
        <f>BI$3*MIN(1,(ATM_Conf!$C$6-Links!AG63)/(ATM_Conf!$C$6-ATM_Conf!$C$7))</f>
        <v>#DIV/0!</v>
      </c>
      <c r="BA63" s="43" t="e">
        <f>BJ$3*MIN(1,(ATM_Conf!$C$6-Links!AH63)/(ATM_Conf!$C$6-ATM_Conf!$C$7))</f>
        <v>#DIV/0!</v>
      </c>
      <c r="BB63" s="43" t="e">
        <f>BK$3*MIN(1,(ATM_Conf!$C$6-Links!AK63)/(ATM_Conf!$C$6-ATM_Conf!$C$7))</f>
        <v>#DIV/0!</v>
      </c>
      <c r="BC63" s="43" t="e">
        <f>BL$3*MIN(1,(ATM_Conf!$C$6-Links!AM63)/(ATM_Conf!$C$6-ATM_Conf!$C$7))</f>
        <v>#DIV/0!</v>
      </c>
      <c r="BD63" s="43">
        <f t="shared" si="34"/>
        <v>0</v>
      </c>
      <c r="BE63" s="43">
        <f t="shared" si="34"/>
        <v>0</v>
      </c>
      <c r="BF63" s="43">
        <f t="shared" si="34"/>
        <v>0</v>
      </c>
      <c r="BG63" s="43">
        <f t="shared" si="34"/>
        <v>0</v>
      </c>
      <c r="BH63" s="43">
        <f t="shared" si="34"/>
        <v>0</v>
      </c>
      <c r="BI63" s="43">
        <f t="shared" si="34"/>
        <v>0</v>
      </c>
      <c r="BJ63" s="43">
        <f t="shared" si="34"/>
        <v>0</v>
      </c>
      <c r="BK63" s="43">
        <f t="shared" si="34"/>
        <v>0</v>
      </c>
      <c r="BL63" s="43">
        <f t="shared" si="34"/>
        <v>0</v>
      </c>
      <c r="BM63" s="51">
        <f>(B63-B51)^2</f>
        <v>0</v>
      </c>
      <c r="BN63" s="51">
        <f t="shared" ref="BN63:BU63" si="42">(C63-C51)^2</f>
        <v>0</v>
      </c>
      <c r="BO63" s="51">
        <f t="shared" si="42"/>
        <v>0</v>
      </c>
      <c r="BP63" s="51">
        <f t="shared" si="42"/>
        <v>0</v>
      </c>
      <c r="BQ63" s="51">
        <f t="shared" si="42"/>
        <v>0</v>
      </c>
      <c r="BR63" s="51">
        <f t="shared" si="42"/>
        <v>0</v>
      </c>
      <c r="BS63" s="51">
        <f t="shared" si="42"/>
        <v>0</v>
      </c>
      <c r="BT63" s="51">
        <f t="shared" si="42"/>
        <v>0</v>
      </c>
      <c r="BU63" s="51">
        <f t="shared" si="42"/>
        <v>0</v>
      </c>
      <c r="BV63" s="51" t="e">
        <f t="shared" si="13"/>
        <v>#DIV/0!</v>
      </c>
      <c r="BW63" s="51" t="e">
        <f t="shared" si="14"/>
        <v>#DIV/0!</v>
      </c>
      <c r="BX63" s="51" t="e">
        <f t="shared" si="15"/>
        <v>#DIV/0!</v>
      </c>
      <c r="BY63" s="51" t="e">
        <f t="shared" si="16"/>
        <v>#DIV/0!</v>
      </c>
      <c r="BZ63" s="51" t="e">
        <f t="shared" si="17"/>
        <v>#DIV/0!</v>
      </c>
      <c r="CA63" s="51" t="e">
        <f t="shared" si="18"/>
        <v>#DIV/0!</v>
      </c>
      <c r="CB63" s="51" t="e">
        <f t="shared" si="19"/>
        <v>#DIV/0!</v>
      </c>
      <c r="CC63" s="51" t="e">
        <f t="shared" si="20"/>
        <v>#DIV/0!</v>
      </c>
      <c r="CD63" s="51" t="e">
        <f t="shared" si="21"/>
        <v>#DIV/0!</v>
      </c>
      <c r="CE63" s="53">
        <f t="shared" si="35"/>
        <v>0</v>
      </c>
      <c r="CF63" s="53">
        <f t="shared" si="35"/>
        <v>0</v>
      </c>
      <c r="CG63" s="53">
        <f t="shared" si="35"/>
        <v>0</v>
      </c>
      <c r="CH63" s="53">
        <f t="shared" si="35"/>
        <v>0</v>
      </c>
      <c r="CI63" s="53">
        <f t="shared" si="35"/>
        <v>0</v>
      </c>
      <c r="CJ63" s="53">
        <f t="shared" si="35"/>
        <v>0</v>
      </c>
      <c r="CK63" s="53">
        <f t="shared" si="35"/>
        <v>0</v>
      </c>
      <c r="CL63" s="53">
        <f t="shared" si="35"/>
        <v>0</v>
      </c>
      <c r="CM63" s="53">
        <f t="shared" si="35"/>
        <v>0</v>
      </c>
    </row>
    <row r="64" spans="1:91" x14ac:dyDescent="0.15">
      <c r="A64" s="41">
        <v>62</v>
      </c>
      <c r="B64" s="43">
        <f>B$63</f>
        <v>1</v>
      </c>
      <c r="C64" s="43">
        <f t="shared" ref="C64:J74" si="43">C$63</f>
        <v>1</v>
      </c>
      <c r="D64" s="43">
        <f t="shared" si="43"/>
        <v>1</v>
      </c>
      <c r="E64" s="43">
        <f t="shared" si="43"/>
        <v>1</v>
      </c>
      <c r="F64" s="43">
        <f t="shared" si="43"/>
        <v>1</v>
      </c>
      <c r="G64" s="43">
        <f t="shared" si="43"/>
        <v>1</v>
      </c>
      <c r="H64" s="43">
        <f t="shared" si="43"/>
        <v>1</v>
      </c>
      <c r="I64" s="43">
        <f t="shared" si="43"/>
        <v>1</v>
      </c>
      <c r="J64" s="43">
        <f t="shared" si="43"/>
        <v>1</v>
      </c>
      <c r="K64" s="43" t="e">
        <f>K63+ATM_Conf!$C$5*(T63-AC63)</f>
        <v>#DIV/0!</v>
      </c>
      <c r="L64" s="43" t="e">
        <f>L63+ATM_Conf!$C$5*(U63-AD63)</f>
        <v>#DIV/0!</v>
      </c>
      <c r="M64" s="43" t="e">
        <f>M63+ATM_Conf!$C$5*(V63-AE63)</f>
        <v>#DIV/0!</v>
      </c>
      <c r="N64" s="43" t="e">
        <f>N63+ATM_Conf!$C$5*(W63-AF63)</f>
        <v>#DIV/0!</v>
      </c>
      <c r="O64" s="43" t="e">
        <f>O63+ATM_Conf!$C$5*(X63-AG63)</f>
        <v>#DIV/0!</v>
      </c>
      <c r="P64" s="43" t="e">
        <f>P63+ATM_Conf!$C$5*(Y63-AH63)</f>
        <v>#DIV/0!</v>
      </c>
      <c r="Q64" s="43" t="e">
        <f>Q63+ATM_Conf!$C$5*(Z63-AI63)</f>
        <v>#DIV/0!</v>
      </c>
      <c r="R64" s="43" t="e">
        <f>R63+ATM_Conf!$C$5*(AA63-AJ63)</f>
        <v>#DIV/0!</v>
      </c>
      <c r="S64" s="43" t="e">
        <f>S63+ATM_Conf!$C$5*(AB63-AK63)</f>
        <v>#DIV/0!</v>
      </c>
      <c r="T64" s="43">
        <f t="shared" si="33"/>
        <v>0</v>
      </c>
      <c r="U64" s="43">
        <f t="shared" si="33"/>
        <v>0</v>
      </c>
      <c r="V64" s="43">
        <f t="shared" si="33"/>
        <v>0</v>
      </c>
      <c r="W64" s="43">
        <f t="shared" si="33"/>
        <v>0</v>
      </c>
      <c r="X64" s="43">
        <f t="shared" si="33"/>
        <v>0</v>
      </c>
      <c r="Y64" s="43">
        <f t="shared" si="33"/>
        <v>0</v>
      </c>
      <c r="Z64" s="43">
        <f t="shared" si="33"/>
        <v>0</v>
      </c>
      <c r="AA64" s="43">
        <f t="shared" si="33"/>
        <v>0</v>
      </c>
      <c r="AB64" s="43">
        <f t="shared" si="33"/>
        <v>0</v>
      </c>
      <c r="AC64" s="43" t="e">
        <f t="shared" si="3"/>
        <v>#DIV/0!</v>
      </c>
      <c r="AD64" s="43" t="e">
        <f t="shared" si="4"/>
        <v>#DIV/0!</v>
      </c>
      <c r="AE64" s="43" t="e">
        <f t="shared" si="5"/>
        <v>#DIV/0!</v>
      </c>
      <c r="AF64" s="43" t="e">
        <f t="shared" si="6"/>
        <v>#DIV/0!</v>
      </c>
      <c r="AG64" s="43" t="e">
        <f t="shared" si="7"/>
        <v>#DIV/0!</v>
      </c>
      <c r="AH64" s="43" t="e">
        <f t="shared" si="8"/>
        <v>#DIV/0!</v>
      </c>
      <c r="AI64" s="43" t="e">
        <f t="shared" si="9"/>
        <v>#DIV/0!</v>
      </c>
      <c r="AJ64" s="43" t="e">
        <f t="shared" si="10"/>
        <v>#DIV/0!</v>
      </c>
      <c r="AK64" s="43" t="e">
        <f t="shared" si="11"/>
        <v>#DIV/0!</v>
      </c>
      <c r="AL64" s="43" t="e">
        <f>T$3+K64/ATM_Conf!$C$5</f>
        <v>#DIV/0!</v>
      </c>
      <c r="AM64" s="43" t="e">
        <f>U$3+L64/ATM_Conf!$C$5</f>
        <v>#DIV/0!</v>
      </c>
      <c r="AN64" s="43" t="e">
        <f>V$3+M64/ATM_Conf!$C$5</f>
        <v>#DIV/0!</v>
      </c>
      <c r="AO64" s="43" t="e">
        <f>W$3+N64/ATM_Conf!$C$5</f>
        <v>#DIV/0!</v>
      </c>
      <c r="AP64" s="43" t="e">
        <f>X$3+O64/ATM_Conf!$C$5</f>
        <v>#DIV/0!</v>
      </c>
      <c r="AQ64" s="43" t="e">
        <f>Y$3+P64/ATM_Conf!$C$5</f>
        <v>#DIV/0!</v>
      </c>
      <c r="AR64" s="43" t="e">
        <f>Z$3+Q64/ATM_Conf!$C$5</f>
        <v>#DIV/0!</v>
      </c>
      <c r="AS64" s="43" t="e">
        <f>AA$3+R64/ATM_Conf!$C$5</f>
        <v>#DIV/0!</v>
      </c>
      <c r="AT64" s="43" t="e">
        <f>AB$3+S64/ATM_Conf!$C$5</f>
        <v>#DIV/0!</v>
      </c>
      <c r="AU64" s="43" t="e">
        <f>BD$3*MIN(1,(ATM_Conf!$C$6-Links!X64)/(ATM_Conf!$C$6-ATM_Conf!$C$7))</f>
        <v>#DIV/0!</v>
      </c>
      <c r="AV64" s="43" t="e">
        <f>BE$3*MIN(1,(ATM_Conf!$C$6-Links!Z64)/(ATM_Conf!$C$6-ATM_Conf!$C$7))</f>
        <v>#DIV/0!</v>
      </c>
      <c r="AW64" s="43" t="e">
        <f>BF$3*MIN(1,(ATM_Conf!$C$6-Links!AA64)/(ATM_Conf!$C$6-ATM_Conf!$C$7))</f>
        <v>#DIV/0!</v>
      </c>
      <c r="AX64" s="43" t="e">
        <f>BG$3*MIN(1,(ATM_Conf!$C$6-Links!AD64)/(ATM_Conf!$C$6-ATM_Conf!$C$7))</f>
        <v>#DIV/0!</v>
      </c>
      <c r="AY64" s="43" t="e">
        <f>BH$3*MIN(1,(ATM_Conf!$C$6-Links!AE64)/(ATM_Conf!$C$6-ATM_Conf!$C$7))</f>
        <v>#DIV/0!</v>
      </c>
      <c r="AZ64" s="43" t="e">
        <f>BI$3*MIN(1,(ATM_Conf!$C$6-Links!AG64)/(ATM_Conf!$C$6-ATM_Conf!$C$7))</f>
        <v>#DIV/0!</v>
      </c>
      <c r="BA64" s="43" t="e">
        <f>BJ$3*MIN(1,(ATM_Conf!$C$6-Links!AH64)/(ATM_Conf!$C$6-ATM_Conf!$C$7))</f>
        <v>#DIV/0!</v>
      </c>
      <c r="BB64" s="43" t="e">
        <f>BK$3*MIN(1,(ATM_Conf!$C$6-Links!AK64)/(ATM_Conf!$C$6-ATM_Conf!$C$7))</f>
        <v>#DIV/0!</v>
      </c>
      <c r="BC64" s="43" t="e">
        <f>BL$3*MIN(1,(ATM_Conf!$C$6-Links!AM64)/(ATM_Conf!$C$6-ATM_Conf!$C$7))</f>
        <v>#DIV/0!</v>
      </c>
      <c r="BD64" s="43">
        <f t="shared" si="34"/>
        <v>0</v>
      </c>
      <c r="BE64" s="43">
        <f t="shared" si="34"/>
        <v>0</v>
      </c>
      <c r="BF64" s="43">
        <f t="shared" si="34"/>
        <v>0</v>
      </c>
      <c r="BG64" s="43">
        <f t="shared" si="34"/>
        <v>0</v>
      </c>
      <c r="BH64" s="43">
        <f t="shared" si="34"/>
        <v>0</v>
      </c>
      <c r="BI64" s="43">
        <f t="shared" si="34"/>
        <v>0</v>
      </c>
      <c r="BJ64" s="43">
        <f t="shared" si="34"/>
        <v>0</v>
      </c>
      <c r="BK64" s="43">
        <f t="shared" si="34"/>
        <v>0</v>
      </c>
      <c r="BL64" s="43">
        <f t="shared" si="34"/>
        <v>0</v>
      </c>
      <c r="BM64" s="51"/>
      <c r="BN64" s="51"/>
      <c r="BO64" s="51"/>
      <c r="BP64" s="51"/>
      <c r="BQ64" s="51"/>
      <c r="BR64" s="51"/>
      <c r="BS64" s="51"/>
      <c r="BT64" s="51"/>
      <c r="BU64" s="51"/>
      <c r="BV64" s="51" t="e">
        <f t="shared" si="13"/>
        <v>#DIV/0!</v>
      </c>
      <c r="BW64" s="51" t="e">
        <f t="shared" si="14"/>
        <v>#DIV/0!</v>
      </c>
      <c r="BX64" s="51" t="e">
        <f t="shared" si="15"/>
        <v>#DIV/0!</v>
      </c>
      <c r="BY64" s="51" t="e">
        <f t="shared" si="16"/>
        <v>#DIV/0!</v>
      </c>
      <c r="BZ64" s="51" t="e">
        <f t="shared" si="17"/>
        <v>#DIV/0!</v>
      </c>
      <c r="CA64" s="51" t="e">
        <f t="shared" si="18"/>
        <v>#DIV/0!</v>
      </c>
      <c r="CB64" s="51" t="e">
        <f t="shared" si="19"/>
        <v>#DIV/0!</v>
      </c>
      <c r="CC64" s="51" t="e">
        <f t="shared" si="20"/>
        <v>#DIV/0!</v>
      </c>
      <c r="CD64" s="51" t="e">
        <f t="shared" si="21"/>
        <v>#DIV/0!</v>
      </c>
      <c r="CE64" s="53">
        <f t="shared" si="35"/>
        <v>0</v>
      </c>
      <c r="CF64" s="53">
        <f t="shared" si="35"/>
        <v>0</v>
      </c>
      <c r="CG64" s="53">
        <f t="shared" si="35"/>
        <v>0</v>
      </c>
      <c r="CH64" s="53">
        <f t="shared" si="35"/>
        <v>0</v>
      </c>
      <c r="CI64" s="53">
        <f t="shared" si="35"/>
        <v>0</v>
      </c>
      <c r="CJ64" s="53">
        <f t="shared" si="35"/>
        <v>0</v>
      </c>
      <c r="CK64" s="53">
        <f t="shared" si="35"/>
        <v>0</v>
      </c>
      <c r="CL64" s="53">
        <f t="shared" si="35"/>
        <v>0</v>
      </c>
      <c r="CM64" s="53">
        <f t="shared" si="35"/>
        <v>0</v>
      </c>
    </row>
    <row r="65" spans="1:91" x14ac:dyDescent="0.15">
      <c r="A65" s="41">
        <v>63</v>
      </c>
      <c r="B65" s="43">
        <f t="shared" ref="B65:B74" si="44">B$63</f>
        <v>1</v>
      </c>
      <c r="C65" s="43">
        <f t="shared" si="43"/>
        <v>1</v>
      </c>
      <c r="D65" s="43">
        <f t="shared" si="43"/>
        <v>1</v>
      </c>
      <c r="E65" s="43">
        <f t="shared" si="43"/>
        <v>1</v>
      </c>
      <c r="F65" s="43">
        <f t="shared" si="43"/>
        <v>1</v>
      </c>
      <c r="G65" s="43">
        <f t="shared" si="43"/>
        <v>1</v>
      </c>
      <c r="H65" s="43">
        <f t="shared" si="43"/>
        <v>1</v>
      </c>
      <c r="I65" s="43">
        <f t="shared" si="43"/>
        <v>1</v>
      </c>
      <c r="J65" s="43">
        <f t="shared" si="43"/>
        <v>1</v>
      </c>
      <c r="K65" s="43" t="e">
        <f>K64+ATM_Conf!$C$5*(T64-AC64)</f>
        <v>#DIV/0!</v>
      </c>
      <c r="L65" s="43" t="e">
        <f>L64+ATM_Conf!$C$5*(U64-AD64)</f>
        <v>#DIV/0!</v>
      </c>
      <c r="M65" s="43" t="e">
        <f>M64+ATM_Conf!$C$5*(V64-AE64)</f>
        <v>#DIV/0!</v>
      </c>
      <c r="N65" s="43" t="e">
        <f>N64+ATM_Conf!$C$5*(W64-AF64)</f>
        <v>#DIV/0!</v>
      </c>
      <c r="O65" s="43" t="e">
        <f>O64+ATM_Conf!$C$5*(X64-AG64)</f>
        <v>#DIV/0!</v>
      </c>
      <c r="P65" s="43" t="e">
        <f>P64+ATM_Conf!$C$5*(Y64-AH64)</f>
        <v>#DIV/0!</v>
      </c>
      <c r="Q65" s="43" t="e">
        <f>Q64+ATM_Conf!$C$5*(Z64-AI64)</f>
        <v>#DIV/0!</v>
      </c>
      <c r="R65" s="43" t="e">
        <f>R64+ATM_Conf!$C$5*(AA64-AJ64)</f>
        <v>#DIV/0!</v>
      </c>
      <c r="S65" s="43" t="e">
        <f>S64+ATM_Conf!$C$5*(AB64-AK64)</f>
        <v>#DIV/0!</v>
      </c>
      <c r="T65" s="43">
        <f t="shared" si="33"/>
        <v>0</v>
      </c>
      <c r="U65" s="43">
        <f t="shared" si="33"/>
        <v>0</v>
      </c>
      <c r="V65" s="43">
        <f t="shared" si="33"/>
        <v>0</v>
      </c>
      <c r="W65" s="43">
        <f t="shared" ref="U65:AB128" si="45">W$3</f>
        <v>0</v>
      </c>
      <c r="X65" s="43">
        <f t="shared" si="45"/>
        <v>0</v>
      </c>
      <c r="Y65" s="43">
        <f t="shared" si="45"/>
        <v>0</v>
      </c>
      <c r="Z65" s="43">
        <f t="shared" si="45"/>
        <v>0</v>
      </c>
      <c r="AA65" s="43">
        <f t="shared" si="45"/>
        <v>0</v>
      </c>
      <c r="AB65" s="43">
        <f t="shared" si="45"/>
        <v>0</v>
      </c>
      <c r="AC65" s="43" t="e">
        <f t="shared" si="3"/>
        <v>#DIV/0!</v>
      </c>
      <c r="AD65" s="43" t="e">
        <f t="shared" si="4"/>
        <v>#DIV/0!</v>
      </c>
      <c r="AE65" s="43" t="e">
        <f t="shared" si="5"/>
        <v>#DIV/0!</v>
      </c>
      <c r="AF65" s="43" t="e">
        <f t="shared" si="6"/>
        <v>#DIV/0!</v>
      </c>
      <c r="AG65" s="43" t="e">
        <f t="shared" si="7"/>
        <v>#DIV/0!</v>
      </c>
      <c r="AH65" s="43" t="e">
        <f t="shared" si="8"/>
        <v>#DIV/0!</v>
      </c>
      <c r="AI65" s="43" t="e">
        <f t="shared" si="9"/>
        <v>#DIV/0!</v>
      </c>
      <c r="AJ65" s="43" t="e">
        <f t="shared" si="10"/>
        <v>#DIV/0!</v>
      </c>
      <c r="AK65" s="43" t="e">
        <f t="shared" si="11"/>
        <v>#DIV/0!</v>
      </c>
      <c r="AL65" s="43" t="e">
        <f>T$3+K65/ATM_Conf!$C$5</f>
        <v>#DIV/0!</v>
      </c>
      <c r="AM65" s="43" t="e">
        <f>U$3+L65/ATM_Conf!$C$5</f>
        <v>#DIV/0!</v>
      </c>
      <c r="AN65" s="43" t="e">
        <f>V$3+M65/ATM_Conf!$C$5</f>
        <v>#DIV/0!</v>
      </c>
      <c r="AO65" s="43" t="e">
        <f>W$3+N65/ATM_Conf!$C$5</f>
        <v>#DIV/0!</v>
      </c>
      <c r="AP65" s="43" t="e">
        <f>X$3+O65/ATM_Conf!$C$5</f>
        <v>#DIV/0!</v>
      </c>
      <c r="AQ65" s="43" t="e">
        <f>Y$3+P65/ATM_Conf!$C$5</f>
        <v>#DIV/0!</v>
      </c>
      <c r="AR65" s="43" t="e">
        <f>Z$3+Q65/ATM_Conf!$C$5</f>
        <v>#DIV/0!</v>
      </c>
      <c r="AS65" s="43" t="e">
        <f>AA$3+R65/ATM_Conf!$C$5</f>
        <v>#DIV/0!</v>
      </c>
      <c r="AT65" s="43" t="e">
        <f>AB$3+S65/ATM_Conf!$C$5</f>
        <v>#DIV/0!</v>
      </c>
      <c r="AU65" s="43" t="e">
        <f>BD$3*MIN(1,(ATM_Conf!$C$6-Links!X65)/(ATM_Conf!$C$6-ATM_Conf!$C$7))</f>
        <v>#DIV/0!</v>
      </c>
      <c r="AV65" s="43" t="e">
        <f>BE$3*MIN(1,(ATM_Conf!$C$6-Links!Z65)/(ATM_Conf!$C$6-ATM_Conf!$C$7))</f>
        <v>#DIV/0!</v>
      </c>
      <c r="AW65" s="43" t="e">
        <f>BF$3*MIN(1,(ATM_Conf!$C$6-Links!AA65)/(ATM_Conf!$C$6-ATM_Conf!$C$7))</f>
        <v>#DIV/0!</v>
      </c>
      <c r="AX65" s="43" t="e">
        <f>BG$3*MIN(1,(ATM_Conf!$C$6-Links!AD65)/(ATM_Conf!$C$6-ATM_Conf!$C$7))</f>
        <v>#DIV/0!</v>
      </c>
      <c r="AY65" s="43" t="e">
        <f>BH$3*MIN(1,(ATM_Conf!$C$6-Links!AE65)/(ATM_Conf!$C$6-ATM_Conf!$C$7))</f>
        <v>#DIV/0!</v>
      </c>
      <c r="AZ65" s="43" t="e">
        <f>BI$3*MIN(1,(ATM_Conf!$C$6-Links!AG65)/(ATM_Conf!$C$6-ATM_Conf!$C$7))</f>
        <v>#DIV/0!</v>
      </c>
      <c r="BA65" s="43" t="e">
        <f>BJ$3*MIN(1,(ATM_Conf!$C$6-Links!AH65)/(ATM_Conf!$C$6-ATM_Conf!$C$7))</f>
        <v>#DIV/0!</v>
      </c>
      <c r="BB65" s="43" t="e">
        <f>BK$3*MIN(1,(ATM_Conf!$C$6-Links!AK65)/(ATM_Conf!$C$6-ATM_Conf!$C$7))</f>
        <v>#DIV/0!</v>
      </c>
      <c r="BC65" s="43" t="e">
        <f>BL$3*MIN(1,(ATM_Conf!$C$6-Links!AM65)/(ATM_Conf!$C$6-ATM_Conf!$C$7))</f>
        <v>#DIV/0!</v>
      </c>
      <c r="BD65" s="43">
        <f t="shared" si="34"/>
        <v>0</v>
      </c>
      <c r="BE65" s="43">
        <f t="shared" si="34"/>
        <v>0</v>
      </c>
      <c r="BF65" s="43">
        <f t="shared" si="34"/>
        <v>0</v>
      </c>
      <c r="BG65" s="43">
        <f t="shared" ref="BE65:BL128" si="46">BG$3</f>
        <v>0</v>
      </c>
      <c r="BH65" s="43">
        <f t="shared" si="46"/>
        <v>0</v>
      </c>
      <c r="BI65" s="43">
        <f t="shared" si="46"/>
        <v>0</v>
      </c>
      <c r="BJ65" s="43">
        <f t="shared" si="46"/>
        <v>0</v>
      </c>
      <c r="BK65" s="43">
        <f t="shared" si="46"/>
        <v>0</v>
      </c>
      <c r="BL65" s="43">
        <f t="shared" si="46"/>
        <v>0</v>
      </c>
      <c r="BM65" s="51"/>
      <c r="BN65" s="51"/>
      <c r="BO65" s="51"/>
      <c r="BP65" s="51"/>
      <c r="BQ65" s="51"/>
      <c r="BR65" s="51"/>
      <c r="BS65" s="51"/>
      <c r="BT65" s="51"/>
      <c r="BU65" s="51"/>
      <c r="BV65" s="51" t="e">
        <f t="shared" si="13"/>
        <v>#DIV/0!</v>
      </c>
      <c r="BW65" s="51" t="e">
        <f t="shared" si="14"/>
        <v>#DIV/0!</v>
      </c>
      <c r="BX65" s="51" t="e">
        <f t="shared" si="15"/>
        <v>#DIV/0!</v>
      </c>
      <c r="BY65" s="51" t="e">
        <f t="shared" si="16"/>
        <v>#DIV/0!</v>
      </c>
      <c r="BZ65" s="51" t="e">
        <f t="shared" si="17"/>
        <v>#DIV/0!</v>
      </c>
      <c r="CA65" s="51" t="e">
        <f t="shared" si="18"/>
        <v>#DIV/0!</v>
      </c>
      <c r="CB65" s="51" t="e">
        <f t="shared" si="19"/>
        <v>#DIV/0!</v>
      </c>
      <c r="CC65" s="51" t="e">
        <f t="shared" si="20"/>
        <v>#DIV/0!</v>
      </c>
      <c r="CD65" s="51" t="e">
        <f t="shared" si="21"/>
        <v>#DIV/0!</v>
      </c>
      <c r="CE65" s="53">
        <f t="shared" si="35"/>
        <v>0</v>
      </c>
      <c r="CF65" s="53">
        <f t="shared" si="35"/>
        <v>0</v>
      </c>
      <c r="CG65" s="53">
        <f t="shared" si="35"/>
        <v>0</v>
      </c>
      <c r="CH65" s="53">
        <f t="shared" ref="CF65:CM97" si="47">CH$3</f>
        <v>0</v>
      </c>
      <c r="CI65" s="53">
        <f t="shared" si="47"/>
        <v>0</v>
      </c>
      <c r="CJ65" s="53">
        <f t="shared" si="47"/>
        <v>0</v>
      </c>
      <c r="CK65" s="53">
        <f t="shared" si="47"/>
        <v>0</v>
      </c>
      <c r="CL65" s="53">
        <f t="shared" si="47"/>
        <v>0</v>
      </c>
      <c r="CM65" s="53">
        <f t="shared" si="47"/>
        <v>0</v>
      </c>
    </row>
    <row r="66" spans="1:91" x14ac:dyDescent="0.15">
      <c r="A66" s="41">
        <v>64</v>
      </c>
      <c r="B66" s="43">
        <f t="shared" si="44"/>
        <v>1</v>
      </c>
      <c r="C66" s="43">
        <f t="shared" si="43"/>
        <v>1</v>
      </c>
      <c r="D66" s="43">
        <f t="shared" si="43"/>
        <v>1</v>
      </c>
      <c r="E66" s="43">
        <f t="shared" si="43"/>
        <v>1</v>
      </c>
      <c r="F66" s="43">
        <f t="shared" si="43"/>
        <v>1</v>
      </c>
      <c r="G66" s="43">
        <f t="shared" si="43"/>
        <v>1</v>
      </c>
      <c r="H66" s="43">
        <f t="shared" si="43"/>
        <v>1</v>
      </c>
      <c r="I66" s="43">
        <f t="shared" si="43"/>
        <v>1</v>
      </c>
      <c r="J66" s="43">
        <f t="shared" si="43"/>
        <v>1</v>
      </c>
      <c r="K66" s="43" t="e">
        <f>K65+ATM_Conf!$C$5*(T65-AC65)</f>
        <v>#DIV/0!</v>
      </c>
      <c r="L66" s="43" t="e">
        <f>L65+ATM_Conf!$C$5*(U65-AD65)</f>
        <v>#DIV/0!</v>
      </c>
      <c r="M66" s="43" t="e">
        <f>M65+ATM_Conf!$C$5*(V65-AE65)</f>
        <v>#DIV/0!</v>
      </c>
      <c r="N66" s="43" t="e">
        <f>N65+ATM_Conf!$C$5*(W65-AF65)</f>
        <v>#DIV/0!</v>
      </c>
      <c r="O66" s="43" t="e">
        <f>O65+ATM_Conf!$C$5*(X65-AG65)</f>
        <v>#DIV/0!</v>
      </c>
      <c r="P66" s="43" t="e">
        <f>P65+ATM_Conf!$C$5*(Y65-AH65)</f>
        <v>#DIV/0!</v>
      </c>
      <c r="Q66" s="43" t="e">
        <f>Q65+ATM_Conf!$C$5*(Z65-AI65)</f>
        <v>#DIV/0!</v>
      </c>
      <c r="R66" s="43" t="e">
        <f>R65+ATM_Conf!$C$5*(AA65-AJ65)</f>
        <v>#DIV/0!</v>
      </c>
      <c r="S66" s="43" t="e">
        <f>S65+ATM_Conf!$C$5*(AB65-AK65)</f>
        <v>#DIV/0!</v>
      </c>
      <c r="T66" s="43">
        <f t="shared" ref="T66:AB129" si="48">T$3</f>
        <v>0</v>
      </c>
      <c r="U66" s="43">
        <f t="shared" si="45"/>
        <v>0</v>
      </c>
      <c r="V66" s="43">
        <f t="shared" si="45"/>
        <v>0</v>
      </c>
      <c r="W66" s="43">
        <f t="shared" si="45"/>
        <v>0</v>
      </c>
      <c r="X66" s="43">
        <f t="shared" si="45"/>
        <v>0</v>
      </c>
      <c r="Y66" s="43">
        <f t="shared" si="45"/>
        <v>0</v>
      </c>
      <c r="Z66" s="43">
        <f t="shared" si="45"/>
        <v>0</v>
      </c>
      <c r="AA66" s="43">
        <f t="shared" si="45"/>
        <v>0</v>
      </c>
      <c r="AB66" s="43">
        <f t="shared" si="45"/>
        <v>0</v>
      </c>
      <c r="AC66" s="43" t="e">
        <f t="shared" si="3"/>
        <v>#DIV/0!</v>
      </c>
      <c r="AD66" s="43" t="e">
        <f t="shared" si="4"/>
        <v>#DIV/0!</v>
      </c>
      <c r="AE66" s="43" t="e">
        <f t="shared" si="5"/>
        <v>#DIV/0!</v>
      </c>
      <c r="AF66" s="43" t="e">
        <f t="shared" si="6"/>
        <v>#DIV/0!</v>
      </c>
      <c r="AG66" s="43" t="e">
        <f t="shared" si="7"/>
        <v>#DIV/0!</v>
      </c>
      <c r="AH66" s="43" t="e">
        <f t="shared" si="8"/>
        <v>#DIV/0!</v>
      </c>
      <c r="AI66" s="43" t="e">
        <f t="shared" si="9"/>
        <v>#DIV/0!</v>
      </c>
      <c r="AJ66" s="43" t="e">
        <f t="shared" si="10"/>
        <v>#DIV/0!</v>
      </c>
      <c r="AK66" s="43" t="e">
        <f t="shared" si="11"/>
        <v>#DIV/0!</v>
      </c>
      <c r="AL66" s="43" t="e">
        <f>T$3+K66/ATM_Conf!$C$5</f>
        <v>#DIV/0!</v>
      </c>
      <c r="AM66" s="43" t="e">
        <f>U$3+L66/ATM_Conf!$C$5</f>
        <v>#DIV/0!</v>
      </c>
      <c r="AN66" s="43" t="e">
        <f>V$3+M66/ATM_Conf!$C$5</f>
        <v>#DIV/0!</v>
      </c>
      <c r="AO66" s="43" t="e">
        <f>W$3+N66/ATM_Conf!$C$5</f>
        <v>#DIV/0!</v>
      </c>
      <c r="AP66" s="43" t="e">
        <f>X$3+O66/ATM_Conf!$C$5</f>
        <v>#DIV/0!</v>
      </c>
      <c r="AQ66" s="43" t="e">
        <f>Y$3+P66/ATM_Conf!$C$5</f>
        <v>#DIV/0!</v>
      </c>
      <c r="AR66" s="43" t="e">
        <f>Z$3+Q66/ATM_Conf!$C$5</f>
        <v>#DIV/0!</v>
      </c>
      <c r="AS66" s="43" t="e">
        <f>AA$3+R66/ATM_Conf!$C$5</f>
        <v>#DIV/0!</v>
      </c>
      <c r="AT66" s="43" t="e">
        <f>AB$3+S66/ATM_Conf!$C$5</f>
        <v>#DIV/0!</v>
      </c>
      <c r="AU66" s="43" t="e">
        <f>BD$3*MIN(1,(ATM_Conf!$C$6-Links!X66)/(ATM_Conf!$C$6-ATM_Conf!$C$7))</f>
        <v>#DIV/0!</v>
      </c>
      <c r="AV66" s="43" t="e">
        <f>BE$3*MIN(1,(ATM_Conf!$C$6-Links!Z66)/(ATM_Conf!$C$6-ATM_Conf!$C$7))</f>
        <v>#DIV/0!</v>
      </c>
      <c r="AW66" s="43" t="e">
        <f>BF$3*MIN(1,(ATM_Conf!$C$6-Links!AA66)/(ATM_Conf!$C$6-ATM_Conf!$C$7))</f>
        <v>#DIV/0!</v>
      </c>
      <c r="AX66" s="43" t="e">
        <f>BG$3*MIN(1,(ATM_Conf!$C$6-Links!AD66)/(ATM_Conf!$C$6-ATM_Conf!$C$7))</f>
        <v>#DIV/0!</v>
      </c>
      <c r="AY66" s="43" t="e">
        <f>BH$3*MIN(1,(ATM_Conf!$C$6-Links!AE66)/(ATM_Conf!$C$6-ATM_Conf!$C$7))</f>
        <v>#DIV/0!</v>
      </c>
      <c r="AZ66" s="43" t="e">
        <f>BI$3*MIN(1,(ATM_Conf!$C$6-Links!AG66)/(ATM_Conf!$C$6-ATM_Conf!$C$7))</f>
        <v>#DIV/0!</v>
      </c>
      <c r="BA66" s="43" t="e">
        <f>BJ$3*MIN(1,(ATM_Conf!$C$6-Links!AH66)/(ATM_Conf!$C$6-ATM_Conf!$C$7))</f>
        <v>#DIV/0!</v>
      </c>
      <c r="BB66" s="43" t="e">
        <f>BK$3*MIN(1,(ATM_Conf!$C$6-Links!AK66)/(ATM_Conf!$C$6-ATM_Conf!$C$7))</f>
        <v>#DIV/0!</v>
      </c>
      <c r="BC66" s="43" t="e">
        <f>BL$3*MIN(1,(ATM_Conf!$C$6-Links!AM66)/(ATM_Conf!$C$6-ATM_Conf!$C$7))</f>
        <v>#DIV/0!</v>
      </c>
      <c r="BD66" s="43">
        <f t="shared" ref="BD66:BL129" si="49">BD$3</f>
        <v>0</v>
      </c>
      <c r="BE66" s="43">
        <f t="shared" si="46"/>
        <v>0</v>
      </c>
      <c r="BF66" s="43">
        <f t="shared" si="46"/>
        <v>0</v>
      </c>
      <c r="BG66" s="43">
        <f t="shared" si="46"/>
        <v>0</v>
      </c>
      <c r="BH66" s="43">
        <f t="shared" si="46"/>
        <v>0</v>
      </c>
      <c r="BI66" s="43">
        <f t="shared" si="46"/>
        <v>0</v>
      </c>
      <c r="BJ66" s="43">
        <f t="shared" si="46"/>
        <v>0</v>
      </c>
      <c r="BK66" s="43">
        <f t="shared" si="46"/>
        <v>0</v>
      </c>
      <c r="BL66" s="43">
        <f t="shared" si="46"/>
        <v>0</v>
      </c>
      <c r="BM66" s="51"/>
      <c r="BN66" s="51"/>
      <c r="BO66" s="51"/>
      <c r="BP66" s="51"/>
      <c r="BQ66" s="51"/>
      <c r="BR66" s="51"/>
      <c r="BS66" s="51"/>
      <c r="BT66" s="51"/>
      <c r="BU66" s="51"/>
      <c r="BV66" s="51" t="e">
        <f t="shared" si="13"/>
        <v>#DIV/0!</v>
      </c>
      <c r="BW66" s="51" t="e">
        <f t="shared" si="14"/>
        <v>#DIV/0!</v>
      </c>
      <c r="BX66" s="51" t="e">
        <f t="shared" si="15"/>
        <v>#DIV/0!</v>
      </c>
      <c r="BY66" s="51" t="e">
        <f t="shared" si="16"/>
        <v>#DIV/0!</v>
      </c>
      <c r="BZ66" s="51" t="e">
        <f t="shared" si="17"/>
        <v>#DIV/0!</v>
      </c>
      <c r="CA66" s="51" t="e">
        <f t="shared" si="18"/>
        <v>#DIV/0!</v>
      </c>
      <c r="CB66" s="51" t="e">
        <f t="shared" si="19"/>
        <v>#DIV/0!</v>
      </c>
      <c r="CC66" s="51" t="e">
        <f t="shared" si="20"/>
        <v>#DIV/0!</v>
      </c>
      <c r="CD66" s="51" t="e">
        <f t="shared" si="21"/>
        <v>#DIV/0!</v>
      </c>
      <c r="CE66" s="53">
        <f t="shared" ref="CE66:CM129" si="50">CE$3</f>
        <v>0</v>
      </c>
      <c r="CF66" s="53">
        <f t="shared" si="47"/>
        <v>0</v>
      </c>
      <c r="CG66" s="53">
        <f t="shared" si="47"/>
        <v>0</v>
      </c>
      <c r="CH66" s="53">
        <f t="shared" si="47"/>
        <v>0</v>
      </c>
      <c r="CI66" s="53">
        <f t="shared" si="47"/>
        <v>0</v>
      </c>
      <c r="CJ66" s="53">
        <f t="shared" si="47"/>
        <v>0</v>
      </c>
      <c r="CK66" s="53">
        <f t="shared" si="47"/>
        <v>0</v>
      </c>
      <c r="CL66" s="53">
        <f t="shared" si="47"/>
        <v>0</v>
      </c>
      <c r="CM66" s="53">
        <f t="shared" si="47"/>
        <v>0</v>
      </c>
    </row>
    <row r="67" spans="1:91" x14ac:dyDescent="0.15">
      <c r="A67" s="41">
        <v>65</v>
      </c>
      <c r="B67" s="43">
        <f t="shared" si="44"/>
        <v>1</v>
      </c>
      <c r="C67" s="43">
        <f t="shared" si="43"/>
        <v>1</v>
      </c>
      <c r="D67" s="43">
        <f t="shared" si="43"/>
        <v>1</v>
      </c>
      <c r="E67" s="43">
        <f t="shared" si="43"/>
        <v>1</v>
      </c>
      <c r="F67" s="43">
        <f t="shared" si="43"/>
        <v>1</v>
      </c>
      <c r="G67" s="43">
        <f t="shared" si="43"/>
        <v>1</v>
      </c>
      <c r="H67" s="43">
        <f t="shared" si="43"/>
        <v>1</v>
      </c>
      <c r="I67" s="43">
        <f t="shared" si="43"/>
        <v>1</v>
      </c>
      <c r="J67" s="43">
        <f t="shared" si="43"/>
        <v>1</v>
      </c>
      <c r="K67" s="43" t="e">
        <f>K66+ATM_Conf!$C$5*(T66-AC66)</f>
        <v>#DIV/0!</v>
      </c>
      <c r="L67" s="43" t="e">
        <f>L66+ATM_Conf!$C$5*(U66-AD66)</f>
        <v>#DIV/0!</v>
      </c>
      <c r="M67" s="43" t="e">
        <f>M66+ATM_Conf!$C$5*(V66-AE66)</f>
        <v>#DIV/0!</v>
      </c>
      <c r="N67" s="43" t="e">
        <f>N66+ATM_Conf!$C$5*(W66-AF66)</f>
        <v>#DIV/0!</v>
      </c>
      <c r="O67" s="43" t="e">
        <f>O66+ATM_Conf!$C$5*(X66-AG66)</f>
        <v>#DIV/0!</v>
      </c>
      <c r="P67" s="43" t="e">
        <f>P66+ATM_Conf!$C$5*(Y66-AH66)</f>
        <v>#DIV/0!</v>
      </c>
      <c r="Q67" s="43" t="e">
        <f>Q66+ATM_Conf!$C$5*(Z66-AI66)</f>
        <v>#DIV/0!</v>
      </c>
      <c r="R67" s="43" t="e">
        <f>R66+ATM_Conf!$C$5*(AA66-AJ66)</f>
        <v>#DIV/0!</v>
      </c>
      <c r="S67" s="43" t="e">
        <f>S66+ATM_Conf!$C$5*(AB66-AK66)</f>
        <v>#DIV/0!</v>
      </c>
      <c r="T67" s="43">
        <f t="shared" si="48"/>
        <v>0</v>
      </c>
      <c r="U67" s="43">
        <f t="shared" si="45"/>
        <v>0</v>
      </c>
      <c r="V67" s="43">
        <f t="shared" si="45"/>
        <v>0</v>
      </c>
      <c r="W67" s="43">
        <f t="shared" si="45"/>
        <v>0</v>
      </c>
      <c r="X67" s="43">
        <f t="shared" si="45"/>
        <v>0</v>
      </c>
      <c r="Y67" s="43">
        <f t="shared" si="45"/>
        <v>0</v>
      </c>
      <c r="Z67" s="43">
        <f t="shared" si="45"/>
        <v>0</v>
      </c>
      <c r="AA67" s="43">
        <f t="shared" si="45"/>
        <v>0</v>
      </c>
      <c r="AB67" s="43">
        <f t="shared" si="45"/>
        <v>0</v>
      </c>
      <c r="AC67" s="43" t="e">
        <f t="shared" si="3"/>
        <v>#DIV/0!</v>
      </c>
      <c r="AD67" s="43" t="e">
        <f t="shared" si="4"/>
        <v>#DIV/0!</v>
      </c>
      <c r="AE67" s="43" t="e">
        <f t="shared" si="5"/>
        <v>#DIV/0!</v>
      </c>
      <c r="AF67" s="43" t="e">
        <f t="shared" si="6"/>
        <v>#DIV/0!</v>
      </c>
      <c r="AG67" s="43" t="e">
        <f t="shared" si="7"/>
        <v>#DIV/0!</v>
      </c>
      <c r="AH67" s="43" t="e">
        <f t="shared" si="8"/>
        <v>#DIV/0!</v>
      </c>
      <c r="AI67" s="43" t="e">
        <f t="shared" si="9"/>
        <v>#DIV/0!</v>
      </c>
      <c r="AJ67" s="43" t="e">
        <f t="shared" si="10"/>
        <v>#DIV/0!</v>
      </c>
      <c r="AK67" s="43" t="e">
        <f t="shared" si="11"/>
        <v>#DIV/0!</v>
      </c>
      <c r="AL67" s="43" t="e">
        <f>T$3+K67/ATM_Conf!$C$5</f>
        <v>#DIV/0!</v>
      </c>
      <c r="AM67" s="43" t="e">
        <f>U$3+L67/ATM_Conf!$C$5</f>
        <v>#DIV/0!</v>
      </c>
      <c r="AN67" s="43" t="e">
        <f>V$3+M67/ATM_Conf!$C$5</f>
        <v>#DIV/0!</v>
      </c>
      <c r="AO67" s="43" t="e">
        <f>W$3+N67/ATM_Conf!$C$5</f>
        <v>#DIV/0!</v>
      </c>
      <c r="AP67" s="43" t="e">
        <f>X$3+O67/ATM_Conf!$C$5</f>
        <v>#DIV/0!</v>
      </c>
      <c r="AQ67" s="43" t="e">
        <f>Y$3+P67/ATM_Conf!$C$5</f>
        <v>#DIV/0!</v>
      </c>
      <c r="AR67" s="43" t="e">
        <f>Z$3+Q67/ATM_Conf!$C$5</f>
        <v>#DIV/0!</v>
      </c>
      <c r="AS67" s="43" t="e">
        <f>AA$3+R67/ATM_Conf!$C$5</f>
        <v>#DIV/0!</v>
      </c>
      <c r="AT67" s="43" t="e">
        <f>AB$3+S67/ATM_Conf!$C$5</f>
        <v>#DIV/0!</v>
      </c>
      <c r="AU67" s="43" t="e">
        <f>BD$3*MIN(1,(ATM_Conf!$C$6-Links!X67)/(ATM_Conf!$C$6-ATM_Conf!$C$7))</f>
        <v>#DIV/0!</v>
      </c>
      <c r="AV67" s="43" t="e">
        <f>BE$3*MIN(1,(ATM_Conf!$C$6-Links!Z67)/(ATM_Conf!$C$6-ATM_Conf!$C$7))</f>
        <v>#DIV/0!</v>
      </c>
      <c r="AW67" s="43" t="e">
        <f>BF$3*MIN(1,(ATM_Conf!$C$6-Links!AA67)/(ATM_Conf!$C$6-ATM_Conf!$C$7))</f>
        <v>#DIV/0!</v>
      </c>
      <c r="AX67" s="43" t="e">
        <f>BG$3*MIN(1,(ATM_Conf!$C$6-Links!AD67)/(ATM_Conf!$C$6-ATM_Conf!$C$7))</f>
        <v>#DIV/0!</v>
      </c>
      <c r="AY67" s="43" t="e">
        <f>BH$3*MIN(1,(ATM_Conf!$C$6-Links!AE67)/(ATM_Conf!$C$6-ATM_Conf!$C$7))</f>
        <v>#DIV/0!</v>
      </c>
      <c r="AZ67" s="43" t="e">
        <f>BI$3*MIN(1,(ATM_Conf!$C$6-Links!AG67)/(ATM_Conf!$C$6-ATM_Conf!$C$7))</f>
        <v>#DIV/0!</v>
      </c>
      <c r="BA67" s="43" t="e">
        <f>BJ$3*MIN(1,(ATM_Conf!$C$6-Links!AH67)/(ATM_Conf!$C$6-ATM_Conf!$C$7))</f>
        <v>#DIV/0!</v>
      </c>
      <c r="BB67" s="43" t="e">
        <f>BK$3*MIN(1,(ATM_Conf!$C$6-Links!AK67)/(ATM_Conf!$C$6-ATM_Conf!$C$7))</f>
        <v>#DIV/0!</v>
      </c>
      <c r="BC67" s="43" t="e">
        <f>BL$3*MIN(1,(ATM_Conf!$C$6-Links!AM67)/(ATM_Conf!$C$6-ATM_Conf!$C$7))</f>
        <v>#DIV/0!</v>
      </c>
      <c r="BD67" s="43">
        <f t="shared" si="49"/>
        <v>0</v>
      </c>
      <c r="BE67" s="43">
        <f t="shared" si="46"/>
        <v>0</v>
      </c>
      <c r="BF67" s="43">
        <f t="shared" si="46"/>
        <v>0</v>
      </c>
      <c r="BG67" s="43">
        <f t="shared" si="46"/>
        <v>0</v>
      </c>
      <c r="BH67" s="43">
        <f t="shared" si="46"/>
        <v>0</v>
      </c>
      <c r="BI67" s="43">
        <f t="shared" si="46"/>
        <v>0</v>
      </c>
      <c r="BJ67" s="43">
        <f t="shared" si="46"/>
        <v>0</v>
      </c>
      <c r="BK67" s="43">
        <f t="shared" si="46"/>
        <v>0</v>
      </c>
      <c r="BL67" s="43">
        <f t="shared" si="46"/>
        <v>0</v>
      </c>
      <c r="BM67" s="51"/>
      <c r="BN67" s="51"/>
      <c r="BO67" s="51"/>
      <c r="BP67" s="51"/>
      <c r="BQ67" s="51"/>
      <c r="BR67" s="51"/>
      <c r="BS67" s="51"/>
      <c r="BT67" s="51"/>
      <c r="BU67" s="51"/>
      <c r="BV67" s="51" t="e">
        <f t="shared" si="13"/>
        <v>#DIV/0!</v>
      </c>
      <c r="BW67" s="51" t="e">
        <f t="shared" si="14"/>
        <v>#DIV/0!</v>
      </c>
      <c r="BX67" s="51" t="e">
        <f t="shared" si="15"/>
        <v>#DIV/0!</v>
      </c>
      <c r="BY67" s="51" t="e">
        <f t="shared" si="16"/>
        <v>#DIV/0!</v>
      </c>
      <c r="BZ67" s="51" t="e">
        <f t="shared" si="17"/>
        <v>#DIV/0!</v>
      </c>
      <c r="CA67" s="51" t="e">
        <f t="shared" si="18"/>
        <v>#DIV/0!</v>
      </c>
      <c r="CB67" s="51" t="e">
        <f t="shared" si="19"/>
        <v>#DIV/0!</v>
      </c>
      <c r="CC67" s="51" t="e">
        <f t="shared" si="20"/>
        <v>#DIV/0!</v>
      </c>
      <c r="CD67" s="51" t="e">
        <f t="shared" si="21"/>
        <v>#DIV/0!</v>
      </c>
      <c r="CE67" s="53">
        <f t="shared" si="50"/>
        <v>0</v>
      </c>
      <c r="CF67" s="53">
        <f t="shared" si="47"/>
        <v>0</v>
      </c>
      <c r="CG67" s="53">
        <f t="shared" si="47"/>
        <v>0</v>
      </c>
      <c r="CH67" s="53">
        <f t="shared" si="47"/>
        <v>0</v>
      </c>
      <c r="CI67" s="53">
        <f t="shared" si="47"/>
        <v>0</v>
      </c>
      <c r="CJ67" s="53">
        <f t="shared" si="47"/>
        <v>0</v>
      </c>
      <c r="CK67" s="53">
        <f t="shared" si="47"/>
        <v>0</v>
      </c>
      <c r="CL67" s="53">
        <f t="shared" si="47"/>
        <v>0</v>
      </c>
      <c r="CM67" s="53">
        <f t="shared" si="47"/>
        <v>0</v>
      </c>
    </row>
    <row r="68" spans="1:91" x14ac:dyDescent="0.15">
      <c r="A68" s="41">
        <v>66</v>
      </c>
      <c r="B68" s="43">
        <f t="shared" si="44"/>
        <v>1</v>
      </c>
      <c r="C68" s="43">
        <f t="shared" si="43"/>
        <v>1</v>
      </c>
      <c r="D68" s="43">
        <f t="shared" si="43"/>
        <v>1</v>
      </c>
      <c r="E68" s="43">
        <f t="shared" si="43"/>
        <v>1</v>
      </c>
      <c r="F68" s="43">
        <f t="shared" si="43"/>
        <v>1</v>
      </c>
      <c r="G68" s="43">
        <f t="shared" si="43"/>
        <v>1</v>
      </c>
      <c r="H68" s="43">
        <f t="shared" si="43"/>
        <v>1</v>
      </c>
      <c r="I68" s="43">
        <f t="shared" si="43"/>
        <v>1</v>
      </c>
      <c r="J68" s="43">
        <f t="shared" si="43"/>
        <v>1</v>
      </c>
      <c r="K68" s="43" t="e">
        <f>K67+ATM_Conf!$C$5*(T67-AC67)</f>
        <v>#DIV/0!</v>
      </c>
      <c r="L68" s="43" t="e">
        <f>L67+ATM_Conf!$C$5*(U67-AD67)</f>
        <v>#DIV/0!</v>
      </c>
      <c r="M68" s="43" t="e">
        <f>M67+ATM_Conf!$C$5*(V67-AE67)</f>
        <v>#DIV/0!</v>
      </c>
      <c r="N68" s="43" t="e">
        <f>N67+ATM_Conf!$C$5*(W67-AF67)</f>
        <v>#DIV/0!</v>
      </c>
      <c r="O68" s="43" t="e">
        <f>O67+ATM_Conf!$C$5*(X67-AG67)</f>
        <v>#DIV/0!</v>
      </c>
      <c r="P68" s="43" t="e">
        <f>P67+ATM_Conf!$C$5*(Y67-AH67)</f>
        <v>#DIV/0!</v>
      </c>
      <c r="Q68" s="43" t="e">
        <f>Q67+ATM_Conf!$C$5*(Z67-AI67)</f>
        <v>#DIV/0!</v>
      </c>
      <c r="R68" s="43" t="e">
        <f>R67+ATM_Conf!$C$5*(AA67-AJ67)</f>
        <v>#DIV/0!</v>
      </c>
      <c r="S68" s="43" t="e">
        <f>S67+ATM_Conf!$C$5*(AB67-AK67)</f>
        <v>#DIV/0!</v>
      </c>
      <c r="T68" s="43">
        <f t="shared" si="48"/>
        <v>0</v>
      </c>
      <c r="U68" s="43">
        <f t="shared" si="45"/>
        <v>0</v>
      </c>
      <c r="V68" s="43">
        <f t="shared" si="45"/>
        <v>0</v>
      </c>
      <c r="W68" s="43">
        <f t="shared" si="45"/>
        <v>0</v>
      </c>
      <c r="X68" s="43">
        <f t="shared" si="45"/>
        <v>0</v>
      </c>
      <c r="Y68" s="43">
        <f t="shared" si="45"/>
        <v>0</v>
      </c>
      <c r="Z68" s="43">
        <f t="shared" si="45"/>
        <v>0</v>
      </c>
      <c r="AA68" s="43">
        <f t="shared" si="45"/>
        <v>0</v>
      </c>
      <c r="AB68" s="43">
        <f t="shared" si="45"/>
        <v>0</v>
      </c>
      <c r="AC68" s="43" t="e">
        <f t="shared" ref="AC68:AC131" si="51">B68*MIN(AL68,AU68)</f>
        <v>#DIV/0!</v>
      </c>
      <c r="AD68" s="43" t="e">
        <f t="shared" ref="AD68:AD131" si="52">C68*MIN(AM68,AV68)</f>
        <v>#DIV/0!</v>
      </c>
      <c r="AE68" s="43" t="e">
        <f t="shared" ref="AE68:AE131" si="53">D68*MIN(AN68,AW68)</f>
        <v>#DIV/0!</v>
      </c>
      <c r="AF68" s="43" t="e">
        <f t="shared" ref="AF68:AF131" si="54">E68*MIN(AO68,AX68)</f>
        <v>#DIV/0!</v>
      </c>
      <c r="AG68" s="43" t="e">
        <f t="shared" ref="AG68:AG131" si="55">F68*MIN(AP68,AY68)</f>
        <v>#DIV/0!</v>
      </c>
      <c r="AH68" s="43" t="e">
        <f t="shared" ref="AH68:AH131" si="56">G68*MIN(AQ68,AZ68)</f>
        <v>#DIV/0!</v>
      </c>
      <c r="AI68" s="43" t="e">
        <f t="shared" ref="AI68:AI131" si="57">H68*MIN(AR68,BA68)</f>
        <v>#DIV/0!</v>
      </c>
      <c r="AJ68" s="43" t="e">
        <f t="shared" ref="AJ68:AJ131" si="58">I68*MIN(AS68,BB68)</f>
        <v>#DIV/0!</v>
      </c>
      <c r="AK68" s="43" t="e">
        <f t="shared" ref="AK68:AK131" si="59">J68*MIN(AT68,BC68)</f>
        <v>#DIV/0!</v>
      </c>
      <c r="AL68" s="43" t="e">
        <f>T$3+K68/ATM_Conf!$C$5</f>
        <v>#DIV/0!</v>
      </c>
      <c r="AM68" s="43" t="e">
        <f>U$3+L68/ATM_Conf!$C$5</f>
        <v>#DIV/0!</v>
      </c>
      <c r="AN68" s="43" t="e">
        <f>V$3+M68/ATM_Conf!$C$5</f>
        <v>#DIV/0!</v>
      </c>
      <c r="AO68" s="43" t="e">
        <f>W$3+N68/ATM_Conf!$C$5</f>
        <v>#DIV/0!</v>
      </c>
      <c r="AP68" s="43" t="e">
        <f>X$3+O68/ATM_Conf!$C$5</f>
        <v>#DIV/0!</v>
      </c>
      <c r="AQ68" s="43" t="e">
        <f>Y$3+P68/ATM_Conf!$C$5</f>
        <v>#DIV/0!</v>
      </c>
      <c r="AR68" s="43" t="e">
        <f>Z$3+Q68/ATM_Conf!$C$5</f>
        <v>#DIV/0!</v>
      </c>
      <c r="AS68" s="43" t="e">
        <f>AA$3+R68/ATM_Conf!$C$5</f>
        <v>#DIV/0!</v>
      </c>
      <c r="AT68" s="43" t="e">
        <f>AB$3+S68/ATM_Conf!$C$5</f>
        <v>#DIV/0!</v>
      </c>
      <c r="AU68" s="43" t="e">
        <f>BD$3*MIN(1,(ATM_Conf!$C$6-Links!X68)/(ATM_Conf!$C$6-ATM_Conf!$C$7))</f>
        <v>#DIV/0!</v>
      </c>
      <c r="AV68" s="43" t="e">
        <f>BE$3*MIN(1,(ATM_Conf!$C$6-Links!Z68)/(ATM_Conf!$C$6-ATM_Conf!$C$7))</f>
        <v>#DIV/0!</v>
      </c>
      <c r="AW68" s="43" t="e">
        <f>BF$3*MIN(1,(ATM_Conf!$C$6-Links!AA68)/(ATM_Conf!$C$6-ATM_Conf!$C$7))</f>
        <v>#DIV/0!</v>
      </c>
      <c r="AX68" s="43" t="e">
        <f>BG$3*MIN(1,(ATM_Conf!$C$6-Links!AD68)/(ATM_Conf!$C$6-ATM_Conf!$C$7))</f>
        <v>#DIV/0!</v>
      </c>
      <c r="AY68" s="43" t="e">
        <f>BH$3*MIN(1,(ATM_Conf!$C$6-Links!AE68)/(ATM_Conf!$C$6-ATM_Conf!$C$7))</f>
        <v>#DIV/0!</v>
      </c>
      <c r="AZ68" s="43" t="e">
        <f>BI$3*MIN(1,(ATM_Conf!$C$6-Links!AG68)/(ATM_Conf!$C$6-ATM_Conf!$C$7))</f>
        <v>#DIV/0!</v>
      </c>
      <c r="BA68" s="43" t="e">
        <f>BJ$3*MIN(1,(ATM_Conf!$C$6-Links!AH68)/(ATM_Conf!$C$6-ATM_Conf!$C$7))</f>
        <v>#DIV/0!</v>
      </c>
      <c r="BB68" s="43" t="e">
        <f>BK$3*MIN(1,(ATM_Conf!$C$6-Links!AK68)/(ATM_Conf!$C$6-ATM_Conf!$C$7))</f>
        <v>#DIV/0!</v>
      </c>
      <c r="BC68" s="43" t="e">
        <f>BL$3*MIN(1,(ATM_Conf!$C$6-Links!AM68)/(ATM_Conf!$C$6-ATM_Conf!$C$7))</f>
        <v>#DIV/0!</v>
      </c>
      <c r="BD68" s="43">
        <f t="shared" si="49"/>
        <v>0</v>
      </c>
      <c r="BE68" s="43">
        <f t="shared" si="46"/>
        <v>0</v>
      </c>
      <c r="BF68" s="43">
        <f t="shared" si="46"/>
        <v>0</v>
      </c>
      <c r="BG68" s="43">
        <f t="shared" si="46"/>
        <v>0</v>
      </c>
      <c r="BH68" s="43">
        <f t="shared" si="46"/>
        <v>0</v>
      </c>
      <c r="BI68" s="43">
        <f t="shared" si="46"/>
        <v>0</v>
      </c>
      <c r="BJ68" s="43">
        <f t="shared" si="46"/>
        <v>0</v>
      </c>
      <c r="BK68" s="43">
        <f t="shared" si="46"/>
        <v>0</v>
      </c>
      <c r="BL68" s="43">
        <f t="shared" si="46"/>
        <v>0</v>
      </c>
      <c r="BM68" s="51"/>
      <c r="BN68" s="51"/>
      <c r="BO68" s="51"/>
      <c r="BP68" s="51"/>
      <c r="BQ68" s="51"/>
      <c r="BR68" s="51"/>
      <c r="BS68" s="51"/>
      <c r="BT68" s="51"/>
      <c r="BU68" s="51"/>
      <c r="BV68" s="51" t="e">
        <f t="shared" ref="BV68:BV131" si="60">(MAX(K68-T$190,0))^2</f>
        <v>#DIV/0!</v>
      </c>
      <c r="BW68" s="51" t="e">
        <f t="shared" ref="BW68:BW131" si="61">(MAX(L68-U$190,0))^2</f>
        <v>#DIV/0!</v>
      </c>
      <c r="BX68" s="51" t="e">
        <f t="shared" ref="BX68:BX131" si="62">(MAX(M68-V$190,0))^2</f>
        <v>#DIV/0!</v>
      </c>
      <c r="BY68" s="51" t="e">
        <f t="shared" ref="BY68:BY131" si="63">(MAX(N68-W$190,0))^2</f>
        <v>#DIV/0!</v>
      </c>
      <c r="BZ68" s="51" t="e">
        <f t="shared" ref="BZ68:BZ131" si="64">(MAX(O68-X$190,0))^2</f>
        <v>#DIV/0!</v>
      </c>
      <c r="CA68" s="51" t="e">
        <f t="shared" ref="CA68:CA131" si="65">(MAX(P68-Y$190,0))^2</f>
        <v>#DIV/0!</v>
      </c>
      <c r="CB68" s="51" t="e">
        <f t="shared" ref="CB68:CB131" si="66">(MAX(Q68-Z$190,0))^2</f>
        <v>#DIV/0!</v>
      </c>
      <c r="CC68" s="51" t="e">
        <f t="shared" ref="CC68:CC131" si="67">(MAX(R68-AA$190,0))^2</f>
        <v>#DIV/0!</v>
      </c>
      <c r="CD68" s="51" t="e">
        <f t="shared" ref="CD68:CD131" si="68">(MAX(S68-AB$190,0))^2</f>
        <v>#DIV/0!</v>
      </c>
      <c r="CE68" s="53">
        <f t="shared" si="50"/>
        <v>0</v>
      </c>
      <c r="CF68" s="53">
        <f t="shared" si="47"/>
        <v>0</v>
      </c>
      <c r="CG68" s="53">
        <f t="shared" si="47"/>
        <v>0</v>
      </c>
      <c r="CH68" s="53">
        <f t="shared" si="47"/>
        <v>0</v>
      </c>
      <c r="CI68" s="53">
        <f t="shared" si="47"/>
        <v>0</v>
      </c>
      <c r="CJ68" s="53">
        <f t="shared" si="47"/>
        <v>0</v>
      </c>
      <c r="CK68" s="53">
        <f t="shared" si="47"/>
        <v>0</v>
      </c>
      <c r="CL68" s="53">
        <f t="shared" si="47"/>
        <v>0</v>
      </c>
      <c r="CM68" s="53">
        <f t="shared" si="47"/>
        <v>0</v>
      </c>
    </row>
    <row r="69" spans="1:91" x14ac:dyDescent="0.15">
      <c r="A69" s="41">
        <v>67</v>
      </c>
      <c r="B69" s="43">
        <f t="shared" si="44"/>
        <v>1</v>
      </c>
      <c r="C69" s="43">
        <f t="shared" si="43"/>
        <v>1</v>
      </c>
      <c r="D69" s="43">
        <f t="shared" si="43"/>
        <v>1</v>
      </c>
      <c r="E69" s="43">
        <f t="shared" si="43"/>
        <v>1</v>
      </c>
      <c r="F69" s="43">
        <f t="shared" si="43"/>
        <v>1</v>
      </c>
      <c r="G69" s="43">
        <f t="shared" si="43"/>
        <v>1</v>
      </c>
      <c r="H69" s="43">
        <f t="shared" si="43"/>
        <v>1</v>
      </c>
      <c r="I69" s="43">
        <f t="shared" si="43"/>
        <v>1</v>
      </c>
      <c r="J69" s="43">
        <f t="shared" si="43"/>
        <v>1</v>
      </c>
      <c r="K69" s="43" t="e">
        <f>K68+ATM_Conf!$C$5*(T68-AC68)</f>
        <v>#DIV/0!</v>
      </c>
      <c r="L69" s="43" t="e">
        <f>L68+ATM_Conf!$C$5*(U68-AD68)</f>
        <v>#DIV/0!</v>
      </c>
      <c r="M69" s="43" t="e">
        <f>M68+ATM_Conf!$C$5*(V68-AE68)</f>
        <v>#DIV/0!</v>
      </c>
      <c r="N69" s="43" t="e">
        <f>N68+ATM_Conf!$C$5*(W68-AF68)</f>
        <v>#DIV/0!</v>
      </c>
      <c r="O69" s="43" t="e">
        <f>O68+ATM_Conf!$C$5*(X68-AG68)</f>
        <v>#DIV/0!</v>
      </c>
      <c r="P69" s="43" t="e">
        <f>P68+ATM_Conf!$C$5*(Y68-AH68)</f>
        <v>#DIV/0!</v>
      </c>
      <c r="Q69" s="43" t="e">
        <f>Q68+ATM_Conf!$C$5*(Z68-AI68)</f>
        <v>#DIV/0!</v>
      </c>
      <c r="R69" s="43" t="e">
        <f>R68+ATM_Conf!$C$5*(AA68-AJ68)</f>
        <v>#DIV/0!</v>
      </c>
      <c r="S69" s="43" t="e">
        <f>S68+ATM_Conf!$C$5*(AB68-AK68)</f>
        <v>#DIV/0!</v>
      </c>
      <c r="T69" s="43">
        <f t="shared" si="48"/>
        <v>0</v>
      </c>
      <c r="U69" s="43">
        <f t="shared" si="45"/>
        <v>0</v>
      </c>
      <c r="V69" s="43">
        <f t="shared" si="45"/>
        <v>0</v>
      </c>
      <c r="W69" s="43">
        <f t="shared" si="45"/>
        <v>0</v>
      </c>
      <c r="X69" s="43">
        <f t="shared" si="45"/>
        <v>0</v>
      </c>
      <c r="Y69" s="43">
        <f t="shared" si="45"/>
        <v>0</v>
      </c>
      <c r="Z69" s="43">
        <f t="shared" si="45"/>
        <v>0</v>
      </c>
      <c r="AA69" s="43">
        <f t="shared" si="45"/>
        <v>0</v>
      </c>
      <c r="AB69" s="43">
        <f t="shared" si="45"/>
        <v>0</v>
      </c>
      <c r="AC69" s="43" t="e">
        <f t="shared" si="51"/>
        <v>#DIV/0!</v>
      </c>
      <c r="AD69" s="43" t="e">
        <f t="shared" si="52"/>
        <v>#DIV/0!</v>
      </c>
      <c r="AE69" s="43" t="e">
        <f t="shared" si="53"/>
        <v>#DIV/0!</v>
      </c>
      <c r="AF69" s="43" t="e">
        <f t="shared" si="54"/>
        <v>#DIV/0!</v>
      </c>
      <c r="AG69" s="43" t="e">
        <f t="shared" si="55"/>
        <v>#DIV/0!</v>
      </c>
      <c r="AH69" s="43" t="e">
        <f t="shared" si="56"/>
        <v>#DIV/0!</v>
      </c>
      <c r="AI69" s="43" t="e">
        <f t="shared" si="57"/>
        <v>#DIV/0!</v>
      </c>
      <c r="AJ69" s="43" t="e">
        <f t="shared" si="58"/>
        <v>#DIV/0!</v>
      </c>
      <c r="AK69" s="43" t="e">
        <f t="shared" si="59"/>
        <v>#DIV/0!</v>
      </c>
      <c r="AL69" s="43" t="e">
        <f>T$3+K69/ATM_Conf!$C$5</f>
        <v>#DIV/0!</v>
      </c>
      <c r="AM69" s="43" t="e">
        <f>U$3+L69/ATM_Conf!$C$5</f>
        <v>#DIV/0!</v>
      </c>
      <c r="AN69" s="43" t="e">
        <f>V$3+M69/ATM_Conf!$C$5</f>
        <v>#DIV/0!</v>
      </c>
      <c r="AO69" s="43" t="e">
        <f>W$3+N69/ATM_Conf!$C$5</f>
        <v>#DIV/0!</v>
      </c>
      <c r="AP69" s="43" t="e">
        <f>X$3+O69/ATM_Conf!$C$5</f>
        <v>#DIV/0!</v>
      </c>
      <c r="AQ69" s="43" t="e">
        <f>Y$3+P69/ATM_Conf!$C$5</f>
        <v>#DIV/0!</v>
      </c>
      <c r="AR69" s="43" t="e">
        <f>Z$3+Q69/ATM_Conf!$C$5</f>
        <v>#DIV/0!</v>
      </c>
      <c r="AS69" s="43" t="e">
        <f>AA$3+R69/ATM_Conf!$C$5</f>
        <v>#DIV/0!</v>
      </c>
      <c r="AT69" s="43" t="e">
        <f>AB$3+S69/ATM_Conf!$C$5</f>
        <v>#DIV/0!</v>
      </c>
      <c r="AU69" s="43" t="e">
        <f>BD$3*MIN(1,(ATM_Conf!$C$6-Links!X69)/(ATM_Conf!$C$6-ATM_Conf!$C$7))</f>
        <v>#DIV/0!</v>
      </c>
      <c r="AV69" s="43" t="e">
        <f>BE$3*MIN(1,(ATM_Conf!$C$6-Links!Z69)/(ATM_Conf!$C$6-ATM_Conf!$C$7))</f>
        <v>#DIV/0!</v>
      </c>
      <c r="AW69" s="43" t="e">
        <f>BF$3*MIN(1,(ATM_Conf!$C$6-Links!AA69)/(ATM_Conf!$C$6-ATM_Conf!$C$7))</f>
        <v>#DIV/0!</v>
      </c>
      <c r="AX69" s="43" t="e">
        <f>BG$3*MIN(1,(ATM_Conf!$C$6-Links!AD69)/(ATM_Conf!$C$6-ATM_Conf!$C$7))</f>
        <v>#DIV/0!</v>
      </c>
      <c r="AY69" s="43" t="e">
        <f>BH$3*MIN(1,(ATM_Conf!$C$6-Links!AE69)/(ATM_Conf!$C$6-ATM_Conf!$C$7))</f>
        <v>#DIV/0!</v>
      </c>
      <c r="AZ69" s="43" t="e">
        <f>BI$3*MIN(1,(ATM_Conf!$C$6-Links!AG69)/(ATM_Conf!$C$6-ATM_Conf!$C$7))</f>
        <v>#DIV/0!</v>
      </c>
      <c r="BA69" s="43" t="e">
        <f>BJ$3*MIN(1,(ATM_Conf!$C$6-Links!AH69)/(ATM_Conf!$C$6-ATM_Conf!$C$7))</f>
        <v>#DIV/0!</v>
      </c>
      <c r="BB69" s="43" t="e">
        <f>BK$3*MIN(1,(ATM_Conf!$C$6-Links!AK69)/(ATM_Conf!$C$6-ATM_Conf!$C$7))</f>
        <v>#DIV/0!</v>
      </c>
      <c r="BC69" s="43" t="e">
        <f>BL$3*MIN(1,(ATM_Conf!$C$6-Links!AM69)/(ATM_Conf!$C$6-ATM_Conf!$C$7))</f>
        <v>#DIV/0!</v>
      </c>
      <c r="BD69" s="43">
        <f t="shared" si="49"/>
        <v>0</v>
      </c>
      <c r="BE69" s="43">
        <f t="shared" si="46"/>
        <v>0</v>
      </c>
      <c r="BF69" s="43">
        <f t="shared" si="46"/>
        <v>0</v>
      </c>
      <c r="BG69" s="43">
        <f t="shared" si="46"/>
        <v>0</v>
      </c>
      <c r="BH69" s="43">
        <f t="shared" si="46"/>
        <v>0</v>
      </c>
      <c r="BI69" s="43">
        <f t="shared" si="46"/>
        <v>0</v>
      </c>
      <c r="BJ69" s="43">
        <f t="shared" si="46"/>
        <v>0</v>
      </c>
      <c r="BK69" s="43">
        <f t="shared" si="46"/>
        <v>0</v>
      </c>
      <c r="BL69" s="43">
        <f t="shared" si="46"/>
        <v>0</v>
      </c>
      <c r="BM69" s="51"/>
      <c r="BN69" s="51"/>
      <c r="BO69" s="51"/>
      <c r="BP69" s="51"/>
      <c r="BQ69" s="51"/>
      <c r="BR69" s="51"/>
      <c r="BS69" s="51"/>
      <c r="BT69" s="51"/>
      <c r="BU69" s="51"/>
      <c r="BV69" s="51" t="e">
        <f t="shared" si="60"/>
        <v>#DIV/0!</v>
      </c>
      <c r="BW69" s="51" t="e">
        <f t="shared" si="61"/>
        <v>#DIV/0!</v>
      </c>
      <c r="BX69" s="51" t="e">
        <f t="shared" si="62"/>
        <v>#DIV/0!</v>
      </c>
      <c r="BY69" s="51" t="e">
        <f t="shared" si="63"/>
        <v>#DIV/0!</v>
      </c>
      <c r="BZ69" s="51" t="e">
        <f t="shared" si="64"/>
        <v>#DIV/0!</v>
      </c>
      <c r="CA69" s="51" t="e">
        <f t="shared" si="65"/>
        <v>#DIV/0!</v>
      </c>
      <c r="CB69" s="51" t="e">
        <f t="shared" si="66"/>
        <v>#DIV/0!</v>
      </c>
      <c r="CC69" s="51" t="e">
        <f t="shared" si="67"/>
        <v>#DIV/0!</v>
      </c>
      <c r="CD69" s="51" t="e">
        <f t="shared" si="68"/>
        <v>#DIV/0!</v>
      </c>
      <c r="CE69" s="53">
        <f t="shared" si="50"/>
        <v>0</v>
      </c>
      <c r="CF69" s="53">
        <f t="shared" si="47"/>
        <v>0</v>
      </c>
      <c r="CG69" s="53">
        <f t="shared" si="47"/>
        <v>0</v>
      </c>
      <c r="CH69" s="53">
        <f t="shared" si="47"/>
        <v>0</v>
      </c>
      <c r="CI69" s="53">
        <f t="shared" si="47"/>
        <v>0</v>
      </c>
      <c r="CJ69" s="53">
        <f t="shared" si="47"/>
        <v>0</v>
      </c>
      <c r="CK69" s="53">
        <f t="shared" si="47"/>
        <v>0</v>
      </c>
      <c r="CL69" s="53">
        <f t="shared" si="47"/>
        <v>0</v>
      </c>
      <c r="CM69" s="53">
        <f t="shared" si="47"/>
        <v>0</v>
      </c>
    </row>
    <row r="70" spans="1:91" x14ac:dyDescent="0.15">
      <c r="A70" s="41">
        <v>68</v>
      </c>
      <c r="B70" s="43">
        <f t="shared" si="44"/>
        <v>1</v>
      </c>
      <c r="C70" s="43">
        <f t="shared" si="43"/>
        <v>1</v>
      </c>
      <c r="D70" s="43">
        <f t="shared" si="43"/>
        <v>1</v>
      </c>
      <c r="E70" s="43">
        <f t="shared" si="43"/>
        <v>1</v>
      </c>
      <c r="F70" s="43">
        <f t="shared" si="43"/>
        <v>1</v>
      </c>
      <c r="G70" s="43">
        <f t="shared" si="43"/>
        <v>1</v>
      </c>
      <c r="H70" s="43">
        <f t="shared" si="43"/>
        <v>1</v>
      </c>
      <c r="I70" s="43">
        <f t="shared" si="43"/>
        <v>1</v>
      </c>
      <c r="J70" s="43">
        <f t="shared" si="43"/>
        <v>1</v>
      </c>
      <c r="K70" s="43" t="e">
        <f>K69+ATM_Conf!$C$5*(T69-AC69)</f>
        <v>#DIV/0!</v>
      </c>
      <c r="L70" s="43" t="e">
        <f>L69+ATM_Conf!$C$5*(U69-AD69)</f>
        <v>#DIV/0!</v>
      </c>
      <c r="M70" s="43" t="e">
        <f>M69+ATM_Conf!$C$5*(V69-AE69)</f>
        <v>#DIV/0!</v>
      </c>
      <c r="N70" s="43" t="e">
        <f>N69+ATM_Conf!$C$5*(W69-AF69)</f>
        <v>#DIV/0!</v>
      </c>
      <c r="O70" s="43" t="e">
        <f>O69+ATM_Conf!$C$5*(X69-AG69)</f>
        <v>#DIV/0!</v>
      </c>
      <c r="P70" s="43" t="e">
        <f>P69+ATM_Conf!$C$5*(Y69-AH69)</f>
        <v>#DIV/0!</v>
      </c>
      <c r="Q70" s="43" t="e">
        <f>Q69+ATM_Conf!$C$5*(Z69-AI69)</f>
        <v>#DIV/0!</v>
      </c>
      <c r="R70" s="43" t="e">
        <f>R69+ATM_Conf!$C$5*(AA69-AJ69)</f>
        <v>#DIV/0!</v>
      </c>
      <c r="S70" s="43" t="e">
        <f>S69+ATM_Conf!$C$5*(AB69-AK69)</f>
        <v>#DIV/0!</v>
      </c>
      <c r="T70" s="43">
        <f t="shared" si="48"/>
        <v>0</v>
      </c>
      <c r="U70" s="43">
        <f t="shared" si="45"/>
        <v>0</v>
      </c>
      <c r="V70" s="43">
        <f t="shared" si="45"/>
        <v>0</v>
      </c>
      <c r="W70" s="43">
        <f t="shared" si="45"/>
        <v>0</v>
      </c>
      <c r="X70" s="43">
        <f t="shared" si="45"/>
        <v>0</v>
      </c>
      <c r="Y70" s="43">
        <f t="shared" si="45"/>
        <v>0</v>
      </c>
      <c r="Z70" s="43">
        <f t="shared" si="45"/>
        <v>0</v>
      </c>
      <c r="AA70" s="43">
        <f t="shared" si="45"/>
        <v>0</v>
      </c>
      <c r="AB70" s="43">
        <f t="shared" si="45"/>
        <v>0</v>
      </c>
      <c r="AC70" s="43" t="e">
        <f t="shared" si="51"/>
        <v>#DIV/0!</v>
      </c>
      <c r="AD70" s="43" t="e">
        <f t="shared" si="52"/>
        <v>#DIV/0!</v>
      </c>
      <c r="AE70" s="43" t="e">
        <f t="shared" si="53"/>
        <v>#DIV/0!</v>
      </c>
      <c r="AF70" s="43" t="e">
        <f t="shared" si="54"/>
        <v>#DIV/0!</v>
      </c>
      <c r="AG70" s="43" t="e">
        <f t="shared" si="55"/>
        <v>#DIV/0!</v>
      </c>
      <c r="AH70" s="43" t="e">
        <f t="shared" si="56"/>
        <v>#DIV/0!</v>
      </c>
      <c r="AI70" s="43" t="e">
        <f t="shared" si="57"/>
        <v>#DIV/0!</v>
      </c>
      <c r="AJ70" s="43" t="e">
        <f t="shared" si="58"/>
        <v>#DIV/0!</v>
      </c>
      <c r="AK70" s="43" t="e">
        <f t="shared" si="59"/>
        <v>#DIV/0!</v>
      </c>
      <c r="AL70" s="43" t="e">
        <f>T$3+K70/ATM_Conf!$C$5</f>
        <v>#DIV/0!</v>
      </c>
      <c r="AM70" s="43" t="e">
        <f>U$3+L70/ATM_Conf!$C$5</f>
        <v>#DIV/0!</v>
      </c>
      <c r="AN70" s="43" t="e">
        <f>V$3+M70/ATM_Conf!$C$5</f>
        <v>#DIV/0!</v>
      </c>
      <c r="AO70" s="43" t="e">
        <f>W$3+N70/ATM_Conf!$C$5</f>
        <v>#DIV/0!</v>
      </c>
      <c r="AP70" s="43" t="e">
        <f>X$3+O70/ATM_Conf!$C$5</f>
        <v>#DIV/0!</v>
      </c>
      <c r="AQ70" s="43" t="e">
        <f>Y$3+P70/ATM_Conf!$C$5</f>
        <v>#DIV/0!</v>
      </c>
      <c r="AR70" s="43" t="e">
        <f>Z$3+Q70/ATM_Conf!$C$5</f>
        <v>#DIV/0!</v>
      </c>
      <c r="AS70" s="43" t="e">
        <f>AA$3+R70/ATM_Conf!$C$5</f>
        <v>#DIV/0!</v>
      </c>
      <c r="AT70" s="43" t="e">
        <f>AB$3+S70/ATM_Conf!$C$5</f>
        <v>#DIV/0!</v>
      </c>
      <c r="AU70" s="43" t="e">
        <f>BD$3*MIN(1,(ATM_Conf!$C$6-Links!X70)/(ATM_Conf!$C$6-ATM_Conf!$C$7))</f>
        <v>#DIV/0!</v>
      </c>
      <c r="AV70" s="43" t="e">
        <f>BE$3*MIN(1,(ATM_Conf!$C$6-Links!Z70)/(ATM_Conf!$C$6-ATM_Conf!$C$7))</f>
        <v>#DIV/0!</v>
      </c>
      <c r="AW70" s="43" t="e">
        <f>BF$3*MIN(1,(ATM_Conf!$C$6-Links!AA70)/(ATM_Conf!$C$6-ATM_Conf!$C$7))</f>
        <v>#DIV/0!</v>
      </c>
      <c r="AX70" s="43" t="e">
        <f>BG$3*MIN(1,(ATM_Conf!$C$6-Links!AD70)/(ATM_Conf!$C$6-ATM_Conf!$C$7))</f>
        <v>#DIV/0!</v>
      </c>
      <c r="AY70" s="43" t="e">
        <f>BH$3*MIN(1,(ATM_Conf!$C$6-Links!AE70)/(ATM_Conf!$C$6-ATM_Conf!$C$7))</f>
        <v>#DIV/0!</v>
      </c>
      <c r="AZ70" s="43" t="e">
        <f>BI$3*MIN(1,(ATM_Conf!$C$6-Links!AG70)/(ATM_Conf!$C$6-ATM_Conf!$C$7))</f>
        <v>#DIV/0!</v>
      </c>
      <c r="BA70" s="43" t="e">
        <f>BJ$3*MIN(1,(ATM_Conf!$C$6-Links!AH70)/(ATM_Conf!$C$6-ATM_Conf!$C$7))</f>
        <v>#DIV/0!</v>
      </c>
      <c r="BB70" s="43" t="e">
        <f>BK$3*MIN(1,(ATM_Conf!$C$6-Links!AK70)/(ATM_Conf!$C$6-ATM_Conf!$C$7))</f>
        <v>#DIV/0!</v>
      </c>
      <c r="BC70" s="43" t="e">
        <f>BL$3*MIN(1,(ATM_Conf!$C$6-Links!AM70)/(ATM_Conf!$C$6-ATM_Conf!$C$7))</f>
        <v>#DIV/0!</v>
      </c>
      <c r="BD70" s="43">
        <f t="shared" si="49"/>
        <v>0</v>
      </c>
      <c r="BE70" s="43">
        <f t="shared" si="46"/>
        <v>0</v>
      </c>
      <c r="BF70" s="43">
        <f t="shared" si="46"/>
        <v>0</v>
      </c>
      <c r="BG70" s="43">
        <f t="shared" si="46"/>
        <v>0</v>
      </c>
      <c r="BH70" s="43">
        <f t="shared" si="46"/>
        <v>0</v>
      </c>
      <c r="BI70" s="43">
        <f t="shared" si="46"/>
        <v>0</v>
      </c>
      <c r="BJ70" s="43">
        <f t="shared" si="46"/>
        <v>0</v>
      </c>
      <c r="BK70" s="43">
        <f t="shared" si="46"/>
        <v>0</v>
      </c>
      <c r="BL70" s="43">
        <f t="shared" si="46"/>
        <v>0</v>
      </c>
      <c r="BM70" s="51"/>
      <c r="BN70" s="51"/>
      <c r="BO70" s="51"/>
      <c r="BP70" s="51"/>
      <c r="BQ70" s="51"/>
      <c r="BR70" s="51"/>
      <c r="BS70" s="51"/>
      <c r="BT70" s="51"/>
      <c r="BU70" s="51"/>
      <c r="BV70" s="51" t="e">
        <f t="shared" si="60"/>
        <v>#DIV/0!</v>
      </c>
      <c r="BW70" s="51" t="e">
        <f t="shared" si="61"/>
        <v>#DIV/0!</v>
      </c>
      <c r="BX70" s="51" t="e">
        <f t="shared" si="62"/>
        <v>#DIV/0!</v>
      </c>
      <c r="BY70" s="51" t="e">
        <f t="shared" si="63"/>
        <v>#DIV/0!</v>
      </c>
      <c r="BZ70" s="51" t="e">
        <f t="shared" si="64"/>
        <v>#DIV/0!</v>
      </c>
      <c r="CA70" s="51" t="e">
        <f t="shared" si="65"/>
        <v>#DIV/0!</v>
      </c>
      <c r="CB70" s="51" t="e">
        <f t="shared" si="66"/>
        <v>#DIV/0!</v>
      </c>
      <c r="CC70" s="51" t="e">
        <f t="shared" si="67"/>
        <v>#DIV/0!</v>
      </c>
      <c r="CD70" s="51" t="e">
        <f t="shared" si="68"/>
        <v>#DIV/0!</v>
      </c>
      <c r="CE70" s="53">
        <f t="shared" si="50"/>
        <v>0</v>
      </c>
      <c r="CF70" s="53">
        <f t="shared" si="47"/>
        <v>0</v>
      </c>
      <c r="CG70" s="53">
        <f t="shared" si="47"/>
        <v>0</v>
      </c>
      <c r="CH70" s="53">
        <f t="shared" si="47"/>
        <v>0</v>
      </c>
      <c r="CI70" s="53">
        <f t="shared" si="47"/>
        <v>0</v>
      </c>
      <c r="CJ70" s="53">
        <f t="shared" si="47"/>
        <v>0</v>
      </c>
      <c r="CK70" s="53">
        <f t="shared" si="47"/>
        <v>0</v>
      </c>
      <c r="CL70" s="53">
        <f t="shared" si="47"/>
        <v>0</v>
      </c>
      <c r="CM70" s="53">
        <f t="shared" si="47"/>
        <v>0</v>
      </c>
    </row>
    <row r="71" spans="1:91" x14ac:dyDescent="0.15">
      <c r="A71" s="41">
        <v>69</v>
      </c>
      <c r="B71" s="43">
        <f t="shared" si="44"/>
        <v>1</v>
      </c>
      <c r="C71" s="43">
        <f t="shared" si="43"/>
        <v>1</v>
      </c>
      <c r="D71" s="43">
        <f t="shared" si="43"/>
        <v>1</v>
      </c>
      <c r="E71" s="43">
        <f t="shared" si="43"/>
        <v>1</v>
      </c>
      <c r="F71" s="43">
        <f t="shared" si="43"/>
        <v>1</v>
      </c>
      <c r="G71" s="43">
        <f t="shared" si="43"/>
        <v>1</v>
      </c>
      <c r="H71" s="43">
        <f t="shared" si="43"/>
        <v>1</v>
      </c>
      <c r="I71" s="43">
        <f t="shared" si="43"/>
        <v>1</v>
      </c>
      <c r="J71" s="43">
        <f t="shared" si="43"/>
        <v>1</v>
      </c>
      <c r="K71" s="43" t="e">
        <f>K70+ATM_Conf!$C$5*(T70-AC70)</f>
        <v>#DIV/0!</v>
      </c>
      <c r="L71" s="43" t="e">
        <f>L70+ATM_Conf!$C$5*(U70-AD70)</f>
        <v>#DIV/0!</v>
      </c>
      <c r="M71" s="43" t="e">
        <f>M70+ATM_Conf!$C$5*(V70-AE70)</f>
        <v>#DIV/0!</v>
      </c>
      <c r="N71" s="43" t="e">
        <f>N70+ATM_Conf!$C$5*(W70-AF70)</f>
        <v>#DIV/0!</v>
      </c>
      <c r="O71" s="43" t="e">
        <f>O70+ATM_Conf!$C$5*(X70-AG70)</f>
        <v>#DIV/0!</v>
      </c>
      <c r="P71" s="43" t="e">
        <f>P70+ATM_Conf!$C$5*(Y70-AH70)</f>
        <v>#DIV/0!</v>
      </c>
      <c r="Q71" s="43" t="e">
        <f>Q70+ATM_Conf!$C$5*(Z70-AI70)</f>
        <v>#DIV/0!</v>
      </c>
      <c r="R71" s="43" t="e">
        <f>R70+ATM_Conf!$C$5*(AA70-AJ70)</f>
        <v>#DIV/0!</v>
      </c>
      <c r="S71" s="43" t="e">
        <f>S70+ATM_Conf!$C$5*(AB70-AK70)</f>
        <v>#DIV/0!</v>
      </c>
      <c r="T71" s="43">
        <f t="shared" si="48"/>
        <v>0</v>
      </c>
      <c r="U71" s="43">
        <f t="shared" si="45"/>
        <v>0</v>
      </c>
      <c r="V71" s="43">
        <f t="shared" si="45"/>
        <v>0</v>
      </c>
      <c r="W71" s="43">
        <f t="shared" si="45"/>
        <v>0</v>
      </c>
      <c r="X71" s="43">
        <f t="shared" si="45"/>
        <v>0</v>
      </c>
      <c r="Y71" s="43">
        <f t="shared" si="45"/>
        <v>0</v>
      </c>
      <c r="Z71" s="43">
        <f t="shared" si="45"/>
        <v>0</v>
      </c>
      <c r="AA71" s="43">
        <f t="shared" si="45"/>
        <v>0</v>
      </c>
      <c r="AB71" s="43">
        <f t="shared" si="45"/>
        <v>0</v>
      </c>
      <c r="AC71" s="43" t="e">
        <f t="shared" si="51"/>
        <v>#DIV/0!</v>
      </c>
      <c r="AD71" s="43" t="e">
        <f t="shared" si="52"/>
        <v>#DIV/0!</v>
      </c>
      <c r="AE71" s="43" t="e">
        <f t="shared" si="53"/>
        <v>#DIV/0!</v>
      </c>
      <c r="AF71" s="43" t="e">
        <f t="shared" si="54"/>
        <v>#DIV/0!</v>
      </c>
      <c r="AG71" s="43" t="e">
        <f t="shared" si="55"/>
        <v>#DIV/0!</v>
      </c>
      <c r="AH71" s="43" t="e">
        <f t="shared" si="56"/>
        <v>#DIV/0!</v>
      </c>
      <c r="AI71" s="43" t="e">
        <f t="shared" si="57"/>
        <v>#DIV/0!</v>
      </c>
      <c r="AJ71" s="43" t="e">
        <f t="shared" si="58"/>
        <v>#DIV/0!</v>
      </c>
      <c r="AK71" s="43" t="e">
        <f t="shared" si="59"/>
        <v>#DIV/0!</v>
      </c>
      <c r="AL71" s="43" t="e">
        <f>T$3+K71/ATM_Conf!$C$5</f>
        <v>#DIV/0!</v>
      </c>
      <c r="AM71" s="43" t="e">
        <f>U$3+L71/ATM_Conf!$C$5</f>
        <v>#DIV/0!</v>
      </c>
      <c r="AN71" s="43" t="e">
        <f>V$3+M71/ATM_Conf!$C$5</f>
        <v>#DIV/0!</v>
      </c>
      <c r="AO71" s="43" t="e">
        <f>W$3+N71/ATM_Conf!$C$5</f>
        <v>#DIV/0!</v>
      </c>
      <c r="AP71" s="43" t="e">
        <f>X$3+O71/ATM_Conf!$C$5</f>
        <v>#DIV/0!</v>
      </c>
      <c r="AQ71" s="43" t="e">
        <f>Y$3+P71/ATM_Conf!$C$5</f>
        <v>#DIV/0!</v>
      </c>
      <c r="AR71" s="43" t="e">
        <f>Z$3+Q71/ATM_Conf!$C$5</f>
        <v>#DIV/0!</v>
      </c>
      <c r="AS71" s="43" t="e">
        <f>AA$3+R71/ATM_Conf!$C$5</f>
        <v>#DIV/0!</v>
      </c>
      <c r="AT71" s="43" t="e">
        <f>AB$3+S71/ATM_Conf!$C$5</f>
        <v>#DIV/0!</v>
      </c>
      <c r="AU71" s="43" t="e">
        <f>BD$3*MIN(1,(ATM_Conf!$C$6-Links!X71)/(ATM_Conf!$C$6-ATM_Conf!$C$7))</f>
        <v>#DIV/0!</v>
      </c>
      <c r="AV71" s="43" t="e">
        <f>BE$3*MIN(1,(ATM_Conf!$C$6-Links!Z71)/(ATM_Conf!$C$6-ATM_Conf!$C$7))</f>
        <v>#DIV/0!</v>
      </c>
      <c r="AW71" s="43" t="e">
        <f>BF$3*MIN(1,(ATM_Conf!$C$6-Links!AA71)/(ATM_Conf!$C$6-ATM_Conf!$C$7))</f>
        <v>#DIV/0!</v>
      </c>
      <c r="AX71" s="43" t="e">
        <f>BG$3*MIN(1,(ATM_Conf!$C$6-Links!AD71)/(ATM_Conf!$C$6-ATM_Conf!$C$7))</f>
        <v>#DIV/0!</v>
      </c>
      <c r="AY71" s="43" t="e">
        <f>BH$3*MIN(1,(ATM_Conf!$C$6-Links!AE71)/(ATM_Conf!$C$6-ATM_Conf!$C$7))</f>
        <v>#DIV/0!</v>
      </c>
      <c r="AZ71" s="43" t="e">
        <f>BI$3*MIN(1,(ATM_Conf!$C$6-Links!AG71)/(ATM_Conf!$C$6-ATM_Conf!$C$7))</f>
        <v>#DIV/0!</v>
      </c>
      <c r="BA71" s="43" t="e">
        <f>BJ$3*MIN(1,(ATM_Conf!$C$6-Links!AH71)/(ATM_Conf!$C$6-ATM_Conf!$C$7))</f>
        <v>#DIV/0!</v>
      </c>
      <c r="BB71" s="43" t="e">
        <f>BK$3*MIN(1,(ATM_Conf!$C$6-Links!AK71)/(ATM_Conf!$C$6-ATM_Conf!$C$7))</f>
        <v>#DIV/0!</v>
      </c>
      <c r="BC71" s="43" t="e">
        <f>BL$3*MIN(1,(ATM_Conf!$C$6-Links!AM71)/(ATM_Conf!$C$6-ATM_Conf!$C$7))</f>
        <v>#DIV/0!</v>
      </c>
      <c r="BD71" s="43">
        <f t="shared" si="49"/>
        <v>0</v>
      </c>
      <c r="BE71" s="43">
        <f t="shared" si="46"/>
        <v>0</v>
      </c>
      <c r="BF71" s="43">
        <f t="shared" si="46"/>
        <v>0</v>
      </c>
      <c r="BG71" s="43">
        <f t="shared" si="46"/>
        <v>0</v>
      </c>
      <c r="BH71" s="43">
        <f t="shared" si="46"/>
        <v>0</v>
      </c>
      <c r="BI71" s="43">
        <f t="shared" si="46"/>
        <v>0</v>
      </c>
      <c r="BJ71" s="43">
        <f t="shared" si="46"/>
        <v>0</v>
      </c>
      <c r="BK71" s="43">
        <f t="shared" si="46"/>
        <v>0</v>
      </c>
      <c r="BL71" s="43">
        <f t="shared" si="46"/>
        <v>0</v>
      </c>
      <c r="BM71" s="51"/>
      <c r="BN71" s="51"/>
      <c r="BO71" s="51"/>
      <c r="BP71" s="51"/>
      <c r="BQ71" s="51"/>
      <c r="BR71" s="51"/>
      <c r="BS71" s="51"/>
      <c r="BT71" s="51"/>
      <c r="BU71" s="51"/>
      <c r="BV71" s="51" t="e">
        <f t="shared" si="60"/>
        <v>#DIV/0!</v>
      </c>
      <c r="BW71" s="51" t="e">
        <f t="shared" si="61"/>
        <v>#DIV/0!</v>
      </c>
      <c r="BX71" s="51" t="e">
        <f t="shared" si="62"/>
        <v>#DIV/0!</v>
      </c>
      <c r="BY71" s="51" t="e">
        <f t="shared" si="63"/>
        <v>#DIV/0!</v>
      </c>
      <c r="BZ71" s="51" t="e">
        <f t="shared" si="64"/>
        <v>#DIV/0!</v>
      </c>
      <c r="CA71" s="51" t="e">
        <f t="shared" si="65"/>
        <v>#DIV/0!</v>
      </c>
      <c r="CB71" s="51" t="e">
        <f t="shared" si="66"/>
        <v>#DIV/0!</v>
      </c>
      <c r="CC71" s="51" t="e">
        <f t="shared" si="67"/>
        <v>#DIV/0!</v>
      </c>
      <c r="CD71" s="51" t="e">
        <f t="shared" si="68"/>
        <v>#DIV/0!</v>
      </c>
      <c r="CE71" s="53">
        <f t="shared" si="50"/>
        <v>0</v>
      </c>
      <c r="CF71" s="53">
        <f t="shared" si="47"/>
        <v>0</v>
      </c>
      <c r="CG71" s="53">
        <f t="shared" si="47"/>
        <v>0</v>
      </c>
      <c r="CH71" s="53">
        <f t="shared" si="47"/>
        <v>0</v>
      </c>
      <c r="CI71" s="53">
        <f t="shared" si="47"/>
        <v>0</v>
      </c>
      <c r="CJ71" s="53">
        <f t="shared" si="47"/>
        <v>0</v>
      </c>
      <c r="CK71" s="53">
        <f t="shared" si="47"/>
        <v>0</v>
      </c>
      <c r="CL71" s="53">
        <f t="shared" si="47"/>
        <v>0</v>
      </c>
      <c r="CM71" s="53">
        <f t="shared" si="47"/>
        <v>0</v>
      </c>
    </row>
    <row r="72" spans="1:91" x14ac:dyDescent="0.15">
      <c r="A72" s="41">
        <v>70</v>
      </c>
      <c r="B72" s="43">
        <f t="shared" si="44"/>
        <v>1</v>
      </c>
      <c r="C72" s="43">
        <f t="shared" si="43"/>
        <v>1</v>
      </c>
      <c r="D72" s="43">
        <f t="shared" si="43"/>
        <v>1</v>
      </c>
      <c r="E72" s="43">
        <f t="shared" si="43"/>
        <v>1</v>
      </c>
      <c r="F72" s="43">
        <f t="shared" si="43"/>
        <v>1</v>
      </c>
      <c r="G72" s="43">
        <f t="shared" si="43"/>
        <v>1</v>
      </c>
      <c r="H72" s="43">
        <f t="shared" si="43"/>
        <v>1</v>
      </c>
      <c r="I72" s="43">
        <f t="shared" si="43"/>
        <v>1</v>
      </c>
      <c r="J72" s="43">
        <f t="shared" si="43"/>
        <v>1</v>
      </c>
      <c r="K72" s="43" t="e">
        <f>K71+ATM_Conf!$C$5*(T71-AC71)</f>
        <v>#DIV/0!</v>
      </c>
      <c r="L72" s="43" t="e">
        <f>L71+ATM_Conf!$C$5*(U71-AD71)</f>
        <v>#DIV/0!</v>
      </c>
      <c r="M72" s="43" t="e">
        <f>M71+ATM_Conf!$C$5*(V71-AE71)</f>
        <v>#DIV/0!</v>
      </c>
      <c r="N72" s="43" t="e">
        <f>N71+ATM_Conf!$C$5*(W71-AF71)</f>
        <v>#DIV/0!</v>
      </c>
      <c r="O72" s="43" t="e">
        <f>O71+ATM_Conf!$C$5*(X71-AG71)</f>
        <v>#DIV/0!</v>
      </c>
      <c r="P72" s="43" t="e">
        <f>P71+ATM_Conf!$C$5*(Y71-AH71)</f>
        <v>#DIV/0!</v>
      </c>
      <c r="Q72" s="43" t="e">
        <f>Q71+ATM_Conf!$C$5*(Z71-AI71)</f>
        <v>#DIV/0!</v>
      </c>
      <c r="R72" s="43" t="e">
        <f>R71+ATM_Conf!$C$5*(AA71-AJ71)</f>
        <v>#DIV/0!</v>
      </c>
      <c r="S72" s="43" t="e">
        <f>S71+ATM_Conf!$C$5*(AB71-AK71)</f>
        <v>#DIV/0!</v>
      </c>
      <c r="T72" s="43">
        <f t="shared" si="48"/>
        <v>0</v>
      </c>
      <c r="U72" s="43">
        <f t="shared" si="45"/>
        <v>0</v>
      </c>
      <c r="V72" s="43">
        <f t="shared" si="45"/>
        <v>0</v>
      </c>
      <c r="W72" s="43">
        <f t="shared" si="45"/>
        <v>0</v>
      </c>
      <c r="X72" s="43">
        <f t="shared" si="45"/>
        <v>0</v>
      </c>
      <c r="Y72" s="43">
        <f t="shared" si="45"/>
        <v>0</v>
      </c>
      <c r="Z72" s="43">
        <f t="shared" si="45"/>
        <v>0</v>
      </c>
      <c r="AA72" s="43">
        <f t="shared" si="45"/>
        <v>0</v>
      </c>
      <c r="AB72" s="43">
        <f t="shared" si="45"/>
        <v>0</v>
      </c>
      <c r="AC72" s="43" t="e">
        <f t="shared" si="51"/>
        <v>#DIV/0!</v>
      </c>
      <c r="AD72" s="43" t="e">
        <f t="shared" si="52"/>
        <v>#DIV/0!</v>
      </c>
      <c r="AE72" s="43" t="e">
        <f t="shared" si="53"/>
        <v>#DIV/0!</v>
      </c>
      <c r="AF72" s="43" t="e">
        <f t="shared" si="54"/>
        <v>#DIV/0!</v>
      </c>
      <c r="AG72" s="43" t="e">
        <f t="shared" si="55"/>
        <v>#DIV/0!</v>
      </c>
      <c r="AH72" s="43" t="e">
        <f t="shared" si="56"/>
        <v>#DIV/0!</v>
      </c>
      <c r="AI72" s="43" t="e">
        <f t="shared" si="57"/>
        <v>#DIV/0!</v>
      </c>
      <c r="AJ72" s="43" t="e">
        <f t="shared" si="58"/>
        <v>#DIV/0!</v>
      </c>
      <c r="AK72" s="43" t="e">
        <f t="shared" si="59"/>
        <v>#DIV/0!</v>
      </c>
      <c r="AL72" s="43" t="e">
        <f>T$3+K72/ATM_Conf!$C$5</f>
        <v>#DIV/0!</v>
      </c>
      <c r="AM72" s="43" t="e">
        <f>U$3+L72/ATM_Conf!$C$5</f>
        <v>#DIV/0!</v>
      </c>
      <c r="AN72" s="43" t="e">
        <f>V$3+M72/ATM_Conf!$C$5</f>
        <v>#DIV/0!</v>
      </c>
      <c r="AO72" s="43" t="e">
        <f>W$3+N72/ATM_Conf!$C$5</f>
        <v>#DIV/0!</v>
      </c>
      <c r="AP72" s="43" t="e">
        <f>X$3+O72/ATM_Conf!$C$5</f>
        <v>#DIV/0!</v>
      </c>
      <c r="AQ72" s="43" t="e">
        <f>Y$3+P72/ATM_Conf!$C$5</f>
        <v>#DIV/0!</v>
      </c>
      <c r="AR72" s="43" t="e">
        <f>Z$3+Q72/ATM_Conf!$C$5</f>
        <v>#DIV/0!</v>
      </c>
      <c r="AS72" s="43" t="e">
        <f>AA$3+R72/ATM_Conf!$C$5</f>
        <v>#DIV/0!</v>
      </c>
      <c r="AT72" s="43" t="e">
        <f>AB$3+S72/ATM_Conf!$C$5</f>
        <v>#DIV/0!</v>
      </c>
      <c r="AU72" s="43" t="e">
        <f>BD$3*MIN(1,(ATM_Conf!$C$6-Links!X72)/(ATM_Conf!$C$6-ATM_Conf!$C$7))</f>
        <v>#DIV/0!</v>
      </c>
      <c r="AV72" s="43" t="e">
        <f>BE$3*MIN(1,(ATM_Conf!$C$6-Links!Z72)/(ATM_Conf!$C$6-ATM_Conf!$C$7))</f>
        <v>#DIV/0!</v>
      </c>
      <c r="AW72" s="43" t="e">
        <f>BF$3*MIN(1,(ATM_Conf!$C$6-Links!AA72)/(ATM_Conf!$C$6-ATM_Conf!$C$7))</f>
        <v>#DIV/0!</v>
      </c>
      <c r="AX72" s="43" t="e">
        <f>BG$3*MIN(1,(ATM_Conf!$C$6-Links!AD72)/(ATM_Conf!$C$6-ATM_Conf!$C$7))</f>
        <v>#DIV/0!</v>
      </c>
      <c r="AY72" s="43" t="e">
        <f>BH$3*MIN(1,(ATM_Conf!$C$6-Links!AE72)/(ATM_Conf!$C$6-ATM_Conf!$C$7))</f>
        <v>#DIV/0!</v>
      </c>
      <c r="AZ72" s="43" t="e">
        <f>BI$3*MIN(1,(ATM_Conf!$C$6-Links!AG72)/(ATM_Conf!$C$6-ATM_Conf!$C$7))</f>
        <v>#DIV/0!</v>
      </c>
      <c r="BA72" s="43" t="e">
        <f>BJ$3*MIN(1,(ATM_Conf!$C$6-Links!AH72)/(ATM_Conf!$C$6-ATM_Conf!$C$7))</f>
        <v>#DIV/0!</v>
      </c>
      <c r="BB72" s="43" t="e">
        <f>BK$3*MIN(1,(ATM_Conf!$C$6-Links!AK72)/(ATM_Conf!$C$6-ATM_Conf!$C$7))</f>
        <v>#DIV/0!</v>
      </c>
      <c r="BC72" s="43" t="e">
        <f>BL$3*MIN(1,(ATM_Conf!$C$6-Links!AM72)/(ATM_Conf!$C$6-ATM_Conf!$C$7))</f>
        <v>#DIV/0!</v>
      </c>
      <c r="BD72" s="43">
        <f t="shared" si="49"/>
        <v>0</v>
      </c>
      <c r="BE72" s="43">
        <f t="shared" si="46"/>
        <v>0</v>
      </c>
      <c r="BF72" s="43">
        <f t="shared" si="46"/>
        <v>0</v>
      </c>
      <c r="BG72" s="43">
        <f t="shared" si="46"/>
        <v>0</v>
      </c>
      <c r="BH72" s="43">
        <f t="shared" si="46"/>
        <v>0</v>
      </c>
      <c r="BI72" s="43">
        <f t="shared" si="46"/>
        <v>0</v>
      </c>
      <c r="BJ72" s="43">
        <f t="shared" si="46"/>
        <v>0</v>
      </c>
      <c r="BK72" s="43">
        <f t="shared" si="46"/>
        <v>0</v>
      </c>
      <c r="BL72" s="43">
        <f t="shared" si="46"/>
        <v>0</v>
      </c>
      <c r="BM72" s="51"/>
      <c r="BN72" s="51"/>
      <c r="BO72" s="51"/>
      <c r="BP72" s="51"/>
      <c r="BQ72" s="51"/>
      <c r="BR72" s="51"/>
      <c r="BS72" s="51"/>
      <c r="BT72" s="51"/>
      <c r="BU72" s="51"/>
      <c r="BV72" s="51" t="e">
        <f t="shared" si="60"/>
        <v>#DIV/0!</v>
      </c>
      <c r="BW72" s="51" t="e">
        <f t="shared" si="61"/>
        <v>#DIV/0!</v>
      </c>
      <c r="BX72" s="51" t="e">
        <f t="shared" si="62"/>
        <v>#DIV/0!</v>
      </c>
      <c r="BY72" s="51" t="e">
        <f t="shared" si="63"/>
        <v>#DIV/0!</v>
      </c>
      <c r="BZ72" s="51" t="e">
        <f t="shared" si="64"/>
        <v>#DIV/0!</v>
      </c>
      <c r="CA72" s="51" t="e">
        <f t="shared" si="65"/>
        <v>#DIV/0!</v>
      </c>
      <c r="CB72" s="51" t="e">
        <f t="shared" si="66"/>
        <v>#DIV/0!</v>
      </c>
      <c r="CC72" s="51" t="e">
        <f t="shared" si="67"/>
        <v>#DIV/0!</v>
      </c>
      <c r="CD72" s="51" t="e">
        <f t="shared" si="68"/>
        <v>#DIV/0!</v>
      </c>
      <c r="CE72" s="53">
        <f t="shared" si="50"/>
        <v>0</v>
      </c>
      <c r="CF72" s="53">
        <f t="shared" si="47"/>
        <v>0</v>
      </c>
      <c r="CG72" s="53">
        <f t="shared" si="47"/>
        <v>0</v>
      </c>
      <c r="CH72" s="53">
        <f t="shared" si="47"/>
        <v>0</v>
      </c>
      <c r="CI72" s="53">
        <f t="shared" si="47"/>
        <v>0</v>
      </c>
      <c r="CJ72" s="53">
        <f t="shared" si="47"/>
        <v>0</v>
      </c>
      <c r="CK72" s="53">
        <f t="shared" si="47"/>
        <v>0</v>
      </c>
      <c r="CL72" s="53">
        <f t="shared" si="47"/>
        <v>0</v>
      </c>
      <c r="CM72" s="53">
        <f t="shared" si="47"/>
        <v>0</v>
      </c>
    </row>
    <row r="73" spans="1:91" x14ac:dyDescent="0.15">
      <c r="A73" s="41">
        <v>71</v>
      </c>
      <c r="B73" s="43">
        <f t="shared" si="44"/>
        <v>1</v>
      </c>
      <c r="C73" s="43">
        <f t="shared" si="43"/>
        <v>1</v>
      </c>
      <c r="D73" s="43">
        <f t="shared" si="43"/>
        <v>1</v>
      </c>
      <c r="E73" s="43">
        <f t="shared" si="43"/>
        <v>1</v>
      </c>
      <c r="F73" s="43">
        <f t="shared" si="43"/>
        <v>1</v>
      </c>
      <c r="G73" s="43">
        <f t="shared" si="43"/>
        <v>1</v>
      </c>
      <c r="H73" s="43">
        <f t="shared" si="43"/>
        <v>1</v>
      </c>
      <c r="I73" s="43">
        <f t="shared" si="43"/>
        <v>1</v>
      </c>
      <c r="J73" s="43">
        <f t="shared" si="43"/>
        <v>1</v>
      </c>
      <c r="K73" s="43" t="e">
        <f>K72+ATM_Conf!$C$5*(T72-AC72)</f>
        <v>#DIV/0!</v>
      </c>
      <c r="L73" s="43" t="e">
        <f>L72+ATM_Conf!$C$5*(U72-AD72)</f>
        <v>#DIV/0!</v>
      </c>
      <c r="M73" s="43" t="e">
        <f>M72+ATM_Conf!$C$5*(V72-AE72)</f>
        <v>#DIV/0!</v>
      </c>
      <c r="N73" s="43" t="e">
        <f>N72+ATM_Conf!$C$5*(W72-AF72)</f>
        <v>#DIV/0!</v>
      </c>
      <c r="O73" s="43" t="e">
        <f>O72+ATM_Conf!$C$5*(X72-AG72)</f>
        <v>#DIV/0!</v>
      </c>
      <c r="P73" s="43" t="e">
        <f>P72+ATM_Conf!$C$5*(Y72-AH72)</f>
        <v>#DIV/0!</v>
      </c>
      <c r="Q73" s="43" t="e">
        <f>Q72+ATM_Conf!$C$5*(Z72-AI72)</f>
        <v>#DIV/0!</v>
      </c>
      <c r="R73" s="43" t="e">
        <f>R72+ATM_Conf!$C$5*(AA72-AJ72)</f>
        <v>#DIV/0!</v>
      </c>
      <c r="S73" s="43" t="e">
        <f>S72+ATM_Conf!$C$5*(AB72-AK72)</f>
        <v>#DIV/0!</v>
      </c>
      <c r="T73" s="43">
        <f t="shared" si="48"/>
        <v>0</v>
      </c>
      <c r="U73" s="43">
        <f t="shared" si="45"/>
        <v>0</v>
      </c>
      <c r="V73" s="43">
        <f t="shared" si="45"/>
        <v>0</v>
      </c>
      <c r="W73" s="43">
        <f t="shared" si="45"/>
        <v>0</v>
      </c>
      <c r="X73" s="43">
        <f t="shared" si="45"/>
        <v>0</v>
      </c>
      <c r="Y73" s="43">
        <f t="shared" si="45"/>
        <v>0</v>
      </c>
      <c r="Z73" s="43">
        <f t="shared" si="45"/>
        <v>0</v>
      </c>
      <c r="AA73" s="43">
        <f t="shared" si="45"/>
        <v>0</v>
      </c>
      <c r="AB73" s="43">
        <f t="shared" si="45"/>
        <v>0</v>
      </c>
      <c r="AC73" s="43" t="e">
        <f t="shared" si="51"/>
        <v>#DIV/0!</v>
      </c>
      <c r="AD73" s="43" t="e">
        <f t="shared" si="52"/>
        <v>#DIV/0!</v>
      </c>
      <c r="AE73" s="43" t="e">
        <f t="shared" si="53"/>
        <v>#DIV/0!</v>
      </c>
      <c r="AF73" s="43" t="e">
        <f t="shared" si="54"/>
        <v>#DIV/0!</v>
      </c>
      <c r="AG73" s="43" t="e">
        <f t="shared" si="55"/>
        <v>#DIV/0!</v>
      </c>
      <c r="AH73" s="43" t="e">
        <f t="shared" si="56"/>
        <v>#DIV/0!</v>
      </c>
      <c r="AI73" s="43" t="e">
        <f t="shared" si="57"/>
        <v>#DIV/0!</v>
      </c>
      <c r="AJ73" s="43" t="e">
        <f t="shared" si="58"/>
        <v>#DIV/0!</v>
      </c>
      <c r="AK73" s="43" t="e">
        <f t="shared" si="59"/>
        <v>#DIV/0!</v>
      </c>
      <c r="AL73" s="43" t="e">
        <f>T$3+K73/ATM_Conf!$C$5</f>
        <v>#DIV/0!</v>
      </c>
      <c r="AM73" s="43" t="e">
        <f>U$3+L73/ATM_Conf!$C$5</f>
        <v>#DIV/0!</v>
      </c>
      <c r="AN73" s="43" t="e">
        <f>V$3+M73/ATM_Conf!$C$5</f>
        <v>#DIV/0!</v>
      </c>
      <c r="AO73" s="43" t="e">
        <f>W$3+N73/ATM_Conf!$C$5</f>
        <v>#DIV/0!</v>
      </c>
      <c r="AP73" s="43" t="e">
        <f>X$3+O73/ATM_Conf!$C$5</f>
        <v>#DIV/0!</v>
      </c>
      <c r="AQ73" s="43" t="e">
        <f>Y$3+P73/ATM_Conf!$C$5</f>
        <v>#DIV/0!</v>
      </c>
      <c r="AR73" s="43" t="e">
        <f>Z$3+Q73/ATM_Conf!$C$5</f>
        <v>#DIV/0!</v>
      </c>
      <c r="AS73" s="43" t="e">
        <f>AA$3+R73/ATM_Conf!$C$5</f>
        <v>#DIV/0!</v>
      </c>
      <c r="AT73" s="43" t="e">
        <f>AB$3+S73/ATM_Conf!$C$5</f>
        <v>#DIV/0!</v>
      </c>
      <c r="AU73" s="43" t="e">
        <f>BD$3*MIN(1,(ATM_Conf!$C$6-Links!X73)/(ATM_Conf!$C$6-ATM_Conf!$C$7))</f>
        <v>#DIV/0!</v>
      </c>
      <c r="AV73" s="43" t="e">
        <f>BE$3*MIN(1,(ATM_Conf!$C$6-Links!Z73)/(ATM_Conf!$C$6-ATM_Conf!$C$7))</f>
        <v>#DIV/0!</v>
      </c>
      <c r="AW73" s="43" t="e">
        <f>BF$3*MIN(1,(ATM_Conf!$C$6-Links!AA73)/(ATM_Conf!$C$6-ATM_Conf!$C$7))</f>
        <v>#DIV/0!</v>
      </c>
      <c r="AX73" s="43" t="e">
        <f>BG$3*MIN(1,(ATM_Conf!$C$6-Links!AD73)/(ATM_Conf!$C$6-ATM_Conf!$C$7))</f>
        <v>#DIV/0!</v>
      </c>
      <c r="AY73" s="43" t="e">
        <f>BH$3*MIN(1,(ATM_Conf!$C$6-Links!AE73)/(ATM_Conf!$C$6-ATM_Conf!$C$7))</f>
        <v>#DIV/0!</v>
      </c>
      <c r="AZ73" s="43" t="e">
        <f>BI$3*MIN(1,(ATM_Conf!$C$6-Links!AG73)/(ATM_Conf!$C$6-ATM_Conf!$C$7))</f>
        <v>#DIV/0!</v>
      </c>
      <c r="BA73" s="43" t="e">
        <f>BJ$3*MIN(1,(ATM_Conf!$C$6-Links!AH73)/(ATM_Conf!$C$6-ATM_Conf!$C$7))</f>
        <v>#DIV/0!</v>
      </c>
      <c r="BB73" s="43" t="e">
        <f>BK$3*MIN(1,(ATM_Conf!$C$6-Links!AK73)/(ATM_Conf!$C$6-ATM_Conf!$C$7))</f>
        <v>#DIV/0!</v>
      </c>
      <c r="BC73" s="43" t="e">
        <f>BL$3*MIN(1,(ATM_Conf!$C$6-Links!AM73)/(ATM_Conf!$C$6-ATM_Conf!$C$7))</f>
        <v>#DIV/0!</v>
      </c>
      <c r="BD73" s="43">
        <f t="shared" si="49"/>
        <v>0</v>
      </c>
      <c r="BE73" s="43">
        <f t="shared" si="46"/>
        <v>0</v>
      </c>
      <c r="BF73" s="43">
        <f t="shared" si="46"/>
        <v>0</v>
      </c>
      <c r="BG73" s="43">
        <f t="shared" si="46"/>
        <v>0</v>
      </c>
      <c r="BH73" s="43">
        <f t="shared" si="46"/>
        <v>0</v>
      </c>
      <c r="BI73" s="43">
        <f t="shared" si="46"/>
        <v>0</v>
      </c>
      <c r="BJ73" s="43">
        <f t="shared" si="46"/>
        <v>0</v>
      </c>
      <c r="BK73" s="43">
        <f t="shared" si="46"/>
        <v>0</v>
      </c>
      <c r="BL73" s="43">
        <f t="shared" si="46"/>
        <v>0</v>
      </c>
      <c r="BM73" s="51"/>
      <c r="BN73" s="51"/>
      <c r="BO73" s="51"/>
      <c r="BP73" s="51"/>
      <c r="BQ73" s="51"/>
      <c r="BR73" s="51"/>
      <c r="BS73" s="51"/>
      <c r="BT73" s="51"/>
      <c r="BU73" s="51"/>
      <c r="BV73" s="51" t="e">
        <f t="shared" si="60"/>
        <v>#DIV/0!</v>
      </c>
      <c r="BW73" s="51" t="e">
        <f t="shared" si="61"/>
        <v>#DIV/0!</v>
      </c>
      <c r="BX73" s="51" t="e">
        <f t="shared" si="62"/>
        <v>#DIV/0!</v>
      </c>
      <c r="BY73" s="51" t="e">
        <f t="shared" si="63"/>
        <v>#DIV/0!</v>
      </c>
      <c r="BZ73" s="51" t="e">
        <f t="shared" si="64"/>
        <v>#DIV/0!</v>
      </c>
      <c r="CA73" s="51" t="e">
        <f t="shared" si="65"/>
        <v>#DIV/0!</v>
      </c>
      <c r="CB73" s="51" t="e">
        <f t="shared" si="66"/>
        <v>#DIV/0!</v>
      </c>
      <c r="CC73" s="51" t="e">
        <f t="shared" si="67"/>
        <v>#DIV/0!</v>
      </c>
      <c r="CD73" s="51" t="e">
        <f t="shared" si="68"/>
        <v>#DIV/0!</v>
      </c>
      <c r="CE73" s="53">
        <f t="shared" si="50"/>
        <v>0</v>
      </c>
      <c r="CF73" s="53">
        <f t="shared" si="47"/>
        <v>0</v>
      </c>
      <c r="CG73" s="53">
        <f t="shared" si="47"/>
        <v>0</v>
      </c>
      <c r="CH73" s="53">
        <f t="shared" si="47"/>
        <v>0</v>
      </c>
      <c r="CI73" s="53">
        <f t="shared" si="47"/>
        <v>0</v>
      </c>
      <c r="CJ73" s="53">
        <f t="shared" si="47"/>
        <v>0</v>
      </c>
      <c r="CK73" s="53">
        <f t="shared" si="47"/>
        <v>0</v>
      </c>
      <c r="CL73" s="53">
        <f t="shared" si="47"/>
        <v>0</v>
      </c>
      <c r="CM73" s="53">
        <f t="shared" si="47"/>
        <v>0</v>
      </c>
    </row>
    <row r="74" spans="1:91" x14ac:dyDescent="0.15">
      <c r="A74" s="41">
        <v>72</v>
      </c>
      <c r="B74" s="43">
        <f t="shared" si="44"/>
        <v>1</v>
      </c>
      <c r="C74" s="43">
        <f t="shared" si="43"/>
        <v>1</v>
      </c>
      <c r="D74" s="43">
        <f t="shared" si="43"/>
        <v>1</v>
      </c>
      <c r="E74" s="43">
        <f t="shared" si="43"/>
        <v>1</v>
      </c>
      <c r="F74" s="43">
        <f t="shared" si="43"/>
        <v>1</v>
      </c>
      <c r="G74" s="43">
        <f t="shared" si="43"/>
        <v>1</v>
      </c>
      <c r="H74" s="43">
        <f t="shared" si="43"/>
        <v>1</v>
      </c>
      <c r="I74" s="43">
        <f t="shared" si="43"/>
        <v>1</v>
      </c>
      <c r="J74" s="43">
        <f t="shared" si="43"/>
        <v>1</v>
      </c>
      <c r="K74" s="43" t="e">
        <f>K73+ATM_Conf!$C$5*(T73-AC73)</f>
        <v>#DIV/0!</v>
      </c>
      <c r="L74" s="43" t="e">
        <f>L73+ATM_Conf!$C$5*(U73-AD73)</f>
        <v>#DIV/0!</v>
      </c>
      <c r="M74" s="43" t="e">
        <f>M73+ATM_Conf!$C$5*(V73-AE73)</f>
        <v>#DIV/0!</v>
      </c>
      <c r="N74" s="43" t="e">
        <f>N73+ATM_Conf!$C$5*(W73-AF73)</f>
        <v>#DIV/0!</v>
      </c>
      <c r="O74" s="43" t="e">
        <f>O73+ATM_Conf!$C$5*(X73-AG73)</f>
        <v>#DIV/0!</v>
      </c>
      <c r="P74" s="43" t="e">
        <f>P73+ATM_Conf!$C$5*(Y73-AH73)</f>
        <v>#DIV/0!</v>
      </c>
      <c r="Q74" s="43" t="e">
        <f>Q73+ATM_Conf!$C$5*(Z73-AI73)</f>
        <v>#DIV/0!</v>
      </c>
      <c r="R74" s="43" t="e">
        <f>R73+ATM_Conf!$C$5*(AA73-AJ73)</f>
        <v>#DIV/0!</v>
      </c>
      <c r="S74" s="43" t="e">
        <f>S73+ATM_Conf!$C$5*(AB73-AK73)</f>
        <v>#DIV/0!</v>
      </c>
      <c r="T74" s="43">
        <f t="shared" si="48"/>
        <v>0</v>
      </c>
      <c r="U74" s="43">
        <f t="shared" si="45"/>
        <v>0</v>
      </c>
      <c r="V74" s="43">
        <f t="shared" si="45"/>
        <v>0</v>
      </c>
      <c r="W74" s="43">
        <f t="shared" si="45"/>
        <v>0</v>
      </c>
      <c r="X74" s="43">
        <f t="shared" si="45"/>
        <v>0</v>
      </c>
      <c r="Y74" s="43">
        <f t="shared" si="45"/>
        <v>0</v>
      </c>
      <c r="Z74" s="43">
        <f t="shared" si="45"/>
        <v>0</v>
      </c>
      <c r="AA74" s="43">
        <f t="shared" si="45"/>
        <v>0</v>
      </c>
      <c r="AB74" s="43">
        <f t="shared" si="45"/>
        <v>0</v>
      </c>
      <c r="AC74" s="43" t="e">
        <f t="shared" si="51"/>
        <v>#DIV/0!</v>
      </c>
      <c r="AD74" s="43" t="e">
        <f t="shared" si="52"/>
        <v>#DIV/0!</v>
      </c>
      <c r="AE74" s="43" t="e">
        <f t="shared" si="53"/>
        <v>#DIV/0!</v>
      </c>
      <c r="AF74" s="43" t="e">
        <f t="shared" si="54"/>
        <v>#DIV/0!</v>
      </c>
      <c r="AG74" s="43" t="e">
        <f t="shared" si="55"/>
        <v>#DIV/0!</v>
      </c>
      <c r="AH74" s="43" t="e">
        <f t="shared" si="56"/>
        <v>#DIV/0!</v>
      </c>
      <c r="AI74" s="43" t="e">
        <f t="shared" si="57"/>
        <v>#DIV/0!</v>
      </c>
      <c r="AJ74" s="43" t="e">
        <f t="shared" si="58"/>
        <v>#DIV/0!</v>
      </c>
      <c r="AK74" s="43" t="e">
        <f t="shared" si="59"/>
        <v>#DIV/0!</v>
      </c>
      <c r="AL74" s="43" t="e">
        <f>T$3+K74/ATM_Conf!$C$5</f>
        <v>#DIV/0!</v>
      </c>
      <c r="AM74" s="43" t="e">
        <f>U$3+L74/ATM_Conf!$C$5</f>
        <v>#DIV/0!</v>
      </c>
      <c r="AN74" s="43" t="e">
        <f>V$3+M74/ATM_Conf!$C$5</f>
        <v>#DIV/0!</v>
      </c>
      <c r="AO74" s="43" t="e">
        <f>W$3+N74/ATM_Conf!$C$5</f>
        <v>#DIV/0!</v>
      </c>
      <c r="AP74" s="43" t="e">
        <f>X$3+O74/ATM_Conf!$C$5</f>
        <v>#DIV/0!</v>
      </c>
      <c r="AQ74" s="43" t="e">
        <f>Y$3+P74/ATM_Conf!$C$5</f>
        <v>#DIV/0!</v>
      </c>
      <c r="AR74" s="43" t="e">
        <f>Z$3+Q74/ATM_Conf!$C$5</f>
        <v>#DIV/0!</v>
      </c>
      <c r="AS74" s="43" t="e">
        <f>AA$3+R74/ATM_Conf!$C$5</f>
        <v>#DIV/0!</v>
      </c>
      <c r="AT74" s="43" t="e">
        <f>AB$3+S74/ATM_Conf!$C$5</f>
        <v>#DIV/0!</v>
      </c>
      <c r="AU74" s="43" t="e">
        <f>BD$3*MIN(1,(ATM_Conf!$C$6-Links!X74)/(ATM_Conf!$C$6-ATM_Conf!$C$7))</f>
        <v>#DIV/0!</v>
      </c>
      <c r="AV74" s="43" t="e">
        <f>BE$3*MIN(1,(ATM_Conf!$C$6-Links!Z74)/(ATM_Conf!$C$6-ATM_Conf!$C$7))</f>
        <v>#DIV/0!</v>
      </c>
      <c r="AW74" s="43" t="e">
        <f>BF$3*MIN(1,(ATM_Conf!$C$6-Links!AA74)/(ATM_Conf!$C$6-ATM_Conf!$C$7))</f>
        <v>#DIV/0!</v>
      </c>
      <c r="AX74" s="43" t="e">
        <f>BG$3*MIN(1,(ATM_Conf!$C$6-Links!AD74)/(ATM_Conf!$C$6-ATM_Conf!$C$7))</f>
        <v>#DIV/0!</v>
      </c>
      <c r="AY74" s="43" t="e">
        <f>BH$3*MIN(1,(ATM_Conf!$C$6-Links!AE74)/(ATM_Conf!$C$6-ATM_Conf!$C$7))</f>
        <v>#DIV/0!</v>
      </c>
      <c r="AZ74" s="43" t="e">
        <f>BI$3*MIN(1,(ATM_Conf!$C$6-Links!AG74)/(ATM_Conf!$C$6-ATM_Conf!$C$7))</f>
        <v>#DIV/0!</v>
      </c>
      <c r="BA74" s="43" t="e">
        <f>BJ$3*MIN(1,(ATM_Conf!$C$6-Links!AH74)/(ATM_Conf!$C$6-ATM_Conf!$C$7))</f>
        <v>#DIV/0!</v>
      </c>
      <c r="BB74" s="43" t="e">
        <f>BK$3*MIN(1,(ATM_Conf!$C$6-Links!AK74)/(ATM_Conf!$C$6-ATM_Conf!$C$7))</f>
        <v>#DIV/0!</v>
      </c>
      <c r="BC74" s="43" t="e">
        <f>BL$3*MIN(1,(ATM_Conf!$C$6-Links!AM74)/(ATM_Conf!$C$6-ATM_Conf!$C$7))</f>
        <v>#DIV/0!</v>
      </c>
      <c r="BD74" s="43">
        <f t="shared" si="49"/>
        <v>0</v>
      </c>
      <c r="BE74" s="43">
        <f t="shared" si="46"/>
        <v>0</v>
      </c>
      <c r="BF74" s="43">
        <f t="shared" si="46"/>
        <v>0</v>
      </c>
      <c r="BG74" s="43">
        <f t="shared" si="46"/>
        <v>0</v>
      </c>
      <c r="BH74" s="43">
        <f t="shared" si="46"/>
        <v>0</v>
      </c>
      <c r="BI74" s="43">
        <f t="shared" si="46"/>
        <v>0</v>
      </c>
      <c r="BJ74" s="43">
        <f t="shared" si="46"/>
        <v>0</v>
      </c>
      <c r="BK74" s="43">
        <f t="shared" si="46"/>
        <v>0</v>
      </c>
      <c r="BL74" s="43">
        <f t="shared" si="46"/>
        <v>0</v>
      </c>
      <c r="BM74" s="51"/>
      <c r="BN74" s="51"/>
      <c r="BO74" s="51"/>
      <c r="BP74" s="51"/>
      <c r="BQ74" s="51"/>
      <c r="BR74" s="51"/>
      <c r="BS74" s="51"/>
      <c r="BT74" s="51"/>
      <c r="BU74" s="51"/>
      <c r="BV74" s="51" t="e">
        <f t="shared" si="60"/>
        <v>#DIV/0!</v>
      </c>
      <c r="BW74" s="51" t="e">
        <f t="shared" si="61"/>
        <v>#DIV/0!</v>
      </c>
      <c r="BX74" s="51" t="e">
        <f t="shared" si="62"/>
        <v>#DIV/0!</v>
      </c>
      <c r="BY74" s="51" t="e">
        <f t="shared" si="63"/>
        <v>#DIV/0!</v>
      </c>
      <c r="BZ74" s="51" t="e">
        <f t="shared" si="64"/>
        <v>#DIV/0!</v>
      </c>
      <c r="CA74" s="51" t="e">
        <f t="shared" si="65"/>
        <v>#DIV/0!</v>
      </c>
      <c r="CB74" s="51" t="e">
        <f t="shared" si="66"/>
        <v>#DIV/0!</v>
      </c>
      <c r="CC74" s="51" t="e">
        <f t="shared" si="67"/>
        <v>#DIV/0!</v>
      </c>
      <c r="CD74" s="51" t="e">
        <f t="shared" si="68"/>
        <v>#DIV/0!</v>
      </c>
      <c r="CE74" s="53">
        <f t="shared" si="50"/>
        <v>0</v>
      </c>
      <c r="CF74" s="53">
        <f t="shared" si="47"/>
        <v>0</v>
      </c>
      <c r="CG74" s="53">
        <f t="shared" si="47"/>
        <v>0</v>
      </c>
      <c r="CH74" s="53">
        <f t="shared" si="47"/>
        <v>0</v>
      </c>
      <c r="CI74" s="53">
        <f t="shared" si="47"/>
        <v>0</v>
      </c>
      <c r="CJ74" s="53">
        <f t="shared" si="47"/>
        <v>0</v>
      </c>
      <c r="CK74" s="53">
        <f t="shared" si="47"/>
        <v>0</v>
      </c>
      <c r="CL74" s="53">
        <f t="shared" si="47"/>
        <v>0</v>
      </c>
      <c r="CM74" s="53">
        <f t="shared" si="47"/>
        <v>0</v>
      </c>
    </row>
    <row r="75" spans="1:91" x14ac:dyDescent="0.15">
      <c r="A75" s="41">
        <v>73</v>
      </c>
      <c r="B75" s="45">
        <v>1</v>
      </c>
      <c r="C75" s="45">
        <v>1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1</v>
      </c>
      <c r="K75" s="43" t="e">
        <f>K74+ATM_Conf!$C$5*(T74-AC74)</f>
        <v>#DIV/0!</v>
      </c>
      <c r="L75" s="43" t="e">
        <f>L74+ATM_Conf!$C$5*(U74-AD74)</f>
        <v>#DIV/0!</v>
      </c>
      <c r="M75" s="43" t="e">
        <f>M74+ATM_Conf!$C$5*(V74-AE74)</f>
        <v>#DIV/0!</v>
      </c>
      <c r="N75" s="43" t="e">
        <f>N74+ATM_Conf!$C$5*(W74-AF74)</f>
        <v>#DIV/0!</v>
      </c>
      <c r="O75" s="43" t="e">
        <f>O74+ATM_Conf!$C$5*(X74-AG74)</f>
        <v>#DIV/0!</v>
      </c>
      <c r="P75" s="43" t="e">
        <f>P74+ATM_Conf!$C$5*(Y74-AH74)</f>
        <v>#DIV/0!</v>
      </c>
      <c r="Q75" s="43" t="e">
        <f>Q74+ATM_Conf!$C$5*(Z74-AI74)</f>
        <v>#DIV/0!</v>
      </c>
      <c r="R75" s="43" t="e">
        <f>R74+ATM_Conf!$C$5*(AA74-AJ74)</f>
        <v>#DIV/0!</v>
      </c>
      <c r="S75" s="43" t="e">
        <f>S74+ATM_Conf!$C$5*(AB74-AK74)</f>
        <v>#DIV/0!</v>
      </c>
      <c r="T75" s="43">
        <f t="shared" si="48"/>
        <v>0</v>
      </c>
      <c r="U75" s="43">
        <f t="shared" si="45"/>
        <v>0</v>
      </c>
      <c r="V75" s="43">
        <f t="shared" si="45"/>
        <v>0</v>
      </c>
      <c r="W75" s="43">
        <f t="shared" si="45"/>
        <v>0</v>
      </c>
      <c r="X75" s="43">
        <f t="shared" si="45"/>
        <v>0</v>
      </c>
      <c r="Y75" s="43">
        <f t="shared" si="45"/>
        <v>0</v>
      </c>
      <c r="Z75" s="43">
        <f t="shared" si="45"/>
        <v>0</v>
      </c>
      <c r="AA75" s="43">
        <f t="shared" si="45"/>
        <v>0</v>
      </c>
      <c r="AB75" s="43">
        <f t="shared" si="45"/>
        <v>0</v>
      </c>
      <c r="AC75" s="43" t="e">
        <f t="shared" si="51"/>
        <v>#DIV/0!</v>
      </c>
      <c r="AD75" s="43" t="e">
        <f t="shared" si="52"/>
        <v>#DIV/0!</v>
      </c>
      <c r="AE75" s="43" t="e">
        <f t="shared" si="53"/>
        <v>#DIV/0!</v>
      </c>
      <c r="AF75" s="43" t="e">
        <f t="shared" si="54"/>
        <v>#DIV/0!</v>
      </c>
      <c r="AG75" s="43" t="e">
        <f t="shared" si="55"/>
        <v>#DIV/0!</v>
      </c>
      <c r="AH75" s="43" t="e">
        <f t="shared" si="56"/>
        <v>#DIV/0!</v>
      </c>
      <c r="AI75" s="43" t="e">
        <f t="shared" si="57"/>
        <v>#DIV/0!</v>
      </c>
      <c r="AJ75" s="43" t="e">
        <f t="shared" si="58"/>
        <v>#DIV/0!</v>
      </c>
      <c r="AK75" s="43" t="e">
        <f t="shared" si="59"/>
        <v>#DIV/0!</v>
      </c>
      <c r="AL75" s="43" t="e">
        <f>T$3+K75/ATM_Conf!$C$5</f>
        <v>#DIV/0!</v>
      </c>
      <c r="AM75" s="43" t="e">
        <f>U$3+L75/ATM_Conf!$C$5</f>
        <v>#DIV/0!</v>
      </c>
      <c r="AN75" s="43" t="e">
        <f>V$3+M75/ATM_Conf!$C$5</f>
        <v>#DIV/0!</v>
      </c>
      <c r="AO75" s="43" t="e">
        <f>W$3+N75/ATM_Conf!$C$5</f>
        <v>#DIV/0!</v>
      </c>
      <c r="AP75" s="43" t="e">
        <f>X$3+O75/ATM_Conf!$C$5</f>
        <v>#DIV/0!</v>
      </c>
      <c r="AQ75" s="43" t="e">
        <f>Y$3+P75/ATM_Conf!$C$5</f>
        <v>#DIV/0!</v>
      </c>
      <c r="AR75" s="43" t="e">
        <f>Z$3+Q75/ATM_Conf!$C$5</f>
        <v>#DIV/0!</v>
      </c>
      <c r="AS75" s="43" t="e">
        <f>AA$3+R75/ATM_Conf!$C$5</f>
        <v>#DIV/0!</v>
      </c>
      <c r="AT75" s="43" t="e">
        <f>AB$3+S75/ATM_Conf!$C$5</f>
        <v>#DIV/0!</v>
      </c>
      <c r="AU75" s="43" t="e">
        <f>BD$3*MIN(1,(ATM_Conf!$C$6-Links!X75)/(ATM_Conf!$C$6-ATM_Conf!$C$7))</f>
        <v>#DIV/0!</v>
      </c>
      <c r="AV75" s="43" t="e">
        <f>BE$3*MIN(1,(ATM_Conf!$C$6-Links!Z75)/(ATM_Conf!$C$6-ATM_Conf!$C$7))</f>
        <v>#DIV/0!</v>
      </c>
      <c r="AW75" s="43" t="e">
        <f>BF$3*MIN(1,(ATM_Conf!$C$6-Links!AA75)/(ATM_Conf!$C$6-ATM_Conf!$C$7))</f>
        <v>#DIV/0!</v>
      </c>
      <c r="AX75" s="43" t="e">
        <f>BG$3*MIN(1,(ATM_Conf!$C$6-Links!AD75)/(ATM_Conf!$C$6-ATM_Conf!$C$7))</f>
        <v>#DIV/0!</v>
      </c>
      <c r="AY75" s="43" t="e">
        <f>BH$3*MIN(1,(ATM_Conf!$C$6-Links!AE75)/(ATM_Conf!$C$6-ATM_Conf!$C$7))</f>
        <v>#DIV/0!</v>
      </c>
      <c r="AZ75" s="43" t="e">
        <f>BI$3*MIN(1,(ATM_Conf!$C$6-Links!AG75)/(ATM_Conf!$C$6-ATM_Conf!$C$7))</f>
        <v>#DIV/0!</v>
      </c>
      <c r="BA75" s="43" t="e">
        <f>BJ$3*MIN(1,(ATM_Conf!$C$6-Links!AH75)/(ATM_Conf!$C$6-ATM_Conf!$C$7))</f>
        <v>#DIV/0!</v>
      </c>
      <c r="BB75" s="43" t="e">
        <f>BK$3*MIN(1,(ATM_Conf!$C$6-Links!AK75)/(ATM_Conf!$C$6-ATM_Conf!$C$7))</f>
        <v>#DIV/0!</v>
      </c>
      <c r="BC75" s="43" t="e">
        <f>BL$3*MIN(1,(ATM_Conf!$C$6-Links!AM75)/(ATM_Conf!$C$6-ATM_Conf!$C$7))</f>
        <v>#DIV/0!</v>
      </c>
      <c r="BD75" s="43">
        <f t="shared" si="49"/>
        <v>0</v>
      </c>
      <c r="BE75" s="43">
        <f t="shared" si="46"/>
        <v>0</v>
      </c>
      <c r="BF75" s="43">
        <f t="shared" si="46"/>
        <v>0</v>
      </c>
      <c r="BG75" s="43">
        <f t="shared" si="46"/>
        <v>0</v>
      </c>
      <c r="BH75" s="43">
        <f t="shared" si="46"/>
        <v>0</v>
      </c>
      <c r="BI75" s="43">
        <f t="shared" si="46"/>
        <v>0</v>
      </c>
      <c r="BJ75" s="43">
        <f t="shared" si="46"/>
        <v>0</v>
      </c>
      <c r="BK75" s="43">
        <f t="shared" si="46"/>
        <v>0</v>
      </c>
      <c r="BL75" s="43">
        <f t="shared" si="46"/>
        <v>0</v>
      </c>
      <c r="BM75" s="51">
        <f>(B75-B63)^2</f>
        <v>0</v>
      </c>
      <c r="BN75" s="51">
        <f t="shared" ref="BN75:BU75" si="69">(C75-C63)^2</f>
        <v>0</v>
      </c>
      <c r="BO75" s="51">
        <f t="shared" si="69"/>
        <v>0</v>
      </c>
      <c r="BP75" s="51">
        <f t="shared" si="69"/>
        <v>0</v>
      </c>
      <c r="BQ75" s="51">
        <f t="shared" si="69"/>
        <v>0</v>
      </c>
      <c r="BR75" s="51">
        <f t="shared" si="69"/>
        <v>0</v>
      </c>
      <c r="BS75" s="51">
        <f t="shared" si="69"/>
        <v>0</v>
      </c>
      <c r="BT75" s="51">
        <f t="shared" si="69"/>
        <v>0</v>
      </c>
      <c r="BU75" s="51">
        <f t="shared" si="69"/>
        <v>0</v>
      </c>
      <c r="BV75" s="51" t="e">
        <f t="shared" si="60"/>
        <v>#DIV/0!</v>
      </c>
      <c r="BW75" s="51" t="e">
        <f t="shared" si="61"/>
        <v>#DIV/0!</v>
      </c>
      <c r="BX75" s="51" t="e">
        <f t="shared" si="62"/>
        <v>#DIV/0!</v>
      </c>
      <c r="BY75" s="51" t="e">
        <f t="shared" si="63"/>
        <v>#DIV/0!</v>
      </c>
      <c r="BZ75" s="51" t="e">
        <f t="shared" si="64"/>
        <v>#DIV/0!</v>
      </c>
      <c r="CA75" s="51" t="e">
        <f t="shared" si="65"/>
        <v>#DIV/0!</v>
      </c>
      <c r="CB75" s="51" t="e">
        <f t="shared" si="66"/>
        <v>#DIV/0!</v>
      </c>
      <c r="CC75" s="51" t="e">
        <f t="shared" si="67"/>
        <v>#DIV/0!</v>
      </c>
      <c r="CD75" s="51" t="e">
        <f t="shared" si="68"/>
        <v>#DIV/0!</v>
      </c>
      <c r="CE75" s="53">
        <f t="shared" si="50"/>
        <v>0</v>
      </c>
      <c r="CF75" s="53">
        <f t="shared" si="47"/>
        <v>0</v>
      </c>
      <c r="CG75" s="53">
        <f t="shared" si="47"/>
        <v>0</v>
      </c>
      <c r="CH75" s="53">
        <f t="shared" si="47"/>
        <v>0</v>
      </c>
      <c r="CI75" s="53">
        <f t="shared" si="47"/>
        <v>0</v>
      </c>
      <c r="CJ75" s="53">
        <f t="shared" si="47"/>
        <v>0</v>
      </c>
      <c r="CK75" s="53">
        <f t="shared" si="47"/>
        <v>0</v>
      </c>
      <c r="CL75" s="53">
        <f t="shared" si="47"/>
        <v>0</v>
      </c>
      <c r="CM75" s="53">
        <f t="shared" si="47"/>
        <v>0</v>
      </c>
    </row>
    <row r="76" spans="1:91" x14ac:dyDescent="0.15">
      <c r="A76" s="41">
        <v>74</v>
      </c>
      <c r="B76" s="43">
        <f>B$75</f>
        <v>1</v>
      </c>
      <c r="C76" s="43">
        <f t="shared" ref="C76:J86" si="70">C$75</f>
        <v>1</v>
      </c>
      <c r="D76" s="43">
        <f t="shared" si="70"/>
        <v>1</v>
      </c>
      <c r="E76" s="43">
        <f t="shared" si="70"/>
        <v>1</v>
      </c>
      <c r="F76" s="43">
        <f t="shared" si="70"/>
        <v>1</v>
      </c>
      <c r="G76" s="43">
        <f t="shared" si="70"/>
        <v>1</v>
      </c>
      <c r="H76" s="43">
        <f t="shared" si="70"/>
        <v>1</v>
      </c>
      <c r="I76" s="43">
        <f t="shared" si="70"/>
        <v>1</v>
      </c>
      <c r="J76" s="43">
        <f t="shared" si="70"/>
        <v>1</v>
      </c>
      <c r="K76" s="43" t="e">
        <f>K75+ATM_Conf!$C$5*(T75-AC75)</f>
        <v>#DIV/0!</v>
      </c>
      <c r="L76" s="43" t="e">
        <f>L75+ATM_Conf!$C$5*(U75-AD75)</f>
        <v>#DIV/0!</v>
      </c>
      <c r="M76" s="43" t="e">
        <f>M75+ATM_Conf!$C$5*(V75-AE75)</f>
        <v>#DIV/0!</v>
      </c>
      <c r="N76" s="43" t="e">
        <f>N75+ATM_Conf!$C$5*(W75-AF75)</f>
        <v>#DIV/0!</v>
      </c>
      <c r="O76" s="43" t="e">
        <f>O75+ATM_Conf!$C$5*(X75-AG75)</f>
        <v>#DIV/0!</v>
      </c>
      <c r="P76" s="43" t="e">
        <f>P75+ATM_Conf!$C$5*(Y75-AH75)</f>
        <v>#DIV/0!</v>
      </c>
      <c r="Q76" s="43" t="e">
        <f>Q75+ATM_Conf!$C$5*(Z75-AI75)</f>
        <v>#DIV/0!</v>
      </c>
      <c r="R76" s="43" t="e">
        <f>R75+ATM_Conf!$C$5*(AA75-AJ75)</f>
        <v>#DIV/0!</v>
      </c>
      <c r="S76" s="43" t="e">
        <f>S75+ATM_Conf!$C$5*(AB75-AK75)</f>
        <v>#DIV/0!</v>
      </c>
      <c r="T76" s="43">
        <f t="shared" si="48"/>
        <v>0</v>
      </c>
      <c r="U76" s="43">
        <f t="shared" si="45"/>
        <v>0</v>
      </c>
      <c r="V76" s="43">
        <f t="shared" si="45"/>
        <v>0</v>
      </c>
      <c r="W76" s="43">
        <f t="shared" si="45"/>
        <v>0</v>
      </c>
      <c r="X76" s="43">
        <f t="shared" si="45"/>
        <v>0</v>
      </c>
      <c r="Y76" s="43">
        <f t="shared" si="45"/>
        <v>0</v>
      </c>
      <c r="Z76" s="43">
        <f t="shared" si="45"/>
        <v>0</v>
      </c>
      <c r="AA76" s="43">
        <f t="shared" si="45"/>
        <v>0</v>
      </c>
      <c r="AB76" s="43">
        <f t="shared" si="45"/>
        <v>0</v>
      </c>
      <c r="AC76" s="43" t="e">
        <f t="shared" si="51"/>
        <v>#DIV/0!</v>
      </c>
      <c r="AD76" s="43" t="e">
        <f t="shared" si="52"/>
        <v>#DIV/0!</v>
      </c>
      <c r="AE76" s="43" t="e">
        <f t="shared" si="53"/>
        <v>#DIV/0!</v>
      </c>
      <c r="AF76" s="43" t="e">
        <f t="shared" si="54"/>
        <v>#DIV/0!</v>
      </c>
      <c r="AG76" s="43" t="e">
        <f t="shared" si="55"/>
        <v>#DIV/0!</v>
      </c>
      <c r="AH76" s="43" t="e">
        <f t="shared" si="56"/>
        <v>#DIV/0!</v>
      </c>
      <c r="AI76" s="43" t="e">
        <f t="shared" si="57"/>
        <v>#DIV/0!</v>
      </c>
      <c r="AJ76" s="43" t="e">
        <f t="shared" si="58"/>
        <v>#DIV/0!</v>
      </c>
      <c r="AK76" s="43" t="e">
        <f t="shared" si="59"/>
        <v>#DIV/0!</v>
      </c>
      <c r="AL76" s="43" t="e">
        <f>T$3+K76/ATM_Conf!$C$5</f>
        <v>#DIV/0!</v>
      </c>
      <c r="AM76" s="43" t="e">
        <f>U$3+L76/ATM_Conf!$C$5</f>
        <v>#DIV/0!</v>
      </c>
      <c r="AN76" s="43" t="e">
        <f>V$3+M76/ATM_Conf!$C$5</f>
        <v>#DIV/0!</v>
      </c>
      <c r="AO76" s="43" t="e">
        <f>W$3+N76/ATM_Conf!$C$5</f>
        <v>#DIV/0!</v>
      </c>
      <c r="AP76" s="43" t="e">
        <f>X$3+O76/ATM_Conf!$C$5</f>
        <v>#DIV/0!</v>
      </c>
      <c r="AQ76" s="43" t="e">
        <f>Y$3+P76/ATM_Conf!$C$5</f>
        <v>#DIV/0!</v>
      </c>
      <c r="AR76" s="43" t="e">
        <f>Z$3+Q76/ATM_Conf!$C$5</f>
        <v>#DIV/0!</v>
      </c>
      <c r="AS76" s="43" t="e">
        <f>AA$3+R76/ATM_Conf!$C$5</f>
        <v>#DIV/0!</v>
      </c>
      <c r="AT76" s="43" t="e">
        <f>AB$3+S76/ATM_Conf!$C$5</f>
        <v>#DIV/0!</v>
      </c>
      <c r="AU76" s="43" t="e">
        <f>BD$3*MIN(1,(ATM_Conf!$C$6-Links!X76)/(ATM_Conf!$C$6-ATM_Conf!$C$7))</f>
        <v>#DIV/0!</v>
      </c>
      <c r="AV76" s="43" t="e">
        <f>BE$3*MIN(1,(ATM_Conf!$C$6-Links!Z76)/(ATM_Conf!$C$6-ATM_Conf!$C$7))</f>
        <v>#DIV/0!</v>
      </c>
      <c r="AW76" s="43" t="e">
        <f>BF$3*MIN(1,(ATM_Conf!$C$6-Links!AA76)/(ATM_Conf!$C$6-ATM_Conf!$C$7))</f>
        <v>#DIV/0!</v>
      </c>
      <c r="AX76" s="43" t="e">
        <f>BG$3*MIN(1,(ATM_Conf!$C$6-Links!AD76)/(ATM_Conf!$C$6-ATM_Conf!$C$7))</f>
        <v>#DIV/0!</v>
      </c>
      <c r="AY76" s="43" t="e">
        <f>BH$3*MIN(1,(ATM_Conf!$C$6-Links!AE76)/(ATM_Conf!$C$6-ATM_Conf!$C$7))</f>
        <v>#DIV/0!</v>
      </c>
      <c r="AZ76" s="43" t="e">
        <f>BI$3*MIN(1,(ATM_Conf!$C$6-Links!AG76)/(ATM_Conf!$C$6-ATM_Conf!$C$7))</f>
        <v>#DIV/0!</v>
      </c>
      <c r="BA76" s="43" t="e">
        <f>BJ$3*MIN(1,(ATM_Conf!$C$6-Links!AH76)/(ATM_Conf!$C$6-ATM_Conf!$C$7))</f>
        <v>#DIV/0!</v>
      </c>
      <c r="BB76" s="43" t="e">
        <f>BK$3*MIN(1,(ATM_Conf!$C$6-Links!AK76)/(ATM_Conf!$C$6-ATM_Conf!$C$7))</f>
        <v>#DIV/0!</v>
      </c>
      <c r="BC76" s="43" t="e">
        <f>BL$3*MIN(1,(ATM_Conf!$C$6-Links!AM76)/(ATM_Conf!$C$6-ATM_Conf!$C$7))</f>
        <v>#DIV/0!</v>
      </c>
      <c r="BD76" s="43">
        <f t="shared" si="49"/>
        <v>0</v>
      </c>
      <c r="BE76" s="43">
        <f t="shared" si="46"/>
        <v>0</v>
      </c>
      <c r="BF76" s="43">
        <f t="shared" si="46"/>
        <v>0</v>
      </c>
      <c r="BG76" s="43">
        <f t="shared" si="46"/>
        <v>0</v>
      </c>
      <c r="BH76" s="43">
        <f t="shared" si="46"/>
        <v>0</v>
      </c>
      <c r="BI76" s="43">
        <f t="shared" si="46"/>
        <v>0</v>
      </c>
      <c r="BJ76" s="43">
        <f t="shared" si="46"/>
        <v>0</v>
      </c>
      <c r="BK76" s="43">
        <f t="shared" si="46"/>
        <v>0</v>
      </c>
      <c r="BL76" s="43">
        <f t="shared" si="46"/>
        <v>0</v>
      </c>
      <c r="BM76" s="51"/>
      <c r="BN76" s="51"/>
      <c r="BO76" s="51"/>
      <c r="BP76" s="51"/>
      <c r="BQ76" s="51"/>
      <c r="BR76" s="51"/>
      <c r="BS76" s="51"/>
      <c r="BT76" s="51"/>
      <c r="BU76" s="51"/>
      <c r="BV76" s="51" t="e">
        <f t="shared" si="60"/>
        <v>#DIV/0!</v>
      </c>
      <c r="BW76" s="51" t="e">
        <f t="shared" si="61"/>
        <v>#DIV/0!</v>
      </c>
      <c r="BX76" s="51" t="e">
        <f t="shared" si="62"/>
        <v>#DIV/0!</v>
      </c>
      <c r="BY76" s="51" t="e">
        <f t="shared" si="63"/>
        <v>#DIV/0!</v>
      </c>
      <c r="BZ76" s="51" t="e">
        <f t="shared" si="64"/>
        <v>#DIV/0!</v>
      </c>
      <c r="CA76" s="51" t="e">
        <f t="shared" si="65"/>
        <v>#DIV/0!</v>
      </c>
      <c r="CB76" s="51" t="e">
        <f t="shared" si="66"/>
        <v>#DIV/0!</v>
      </c>
      <c r="CC76" s="51" t="e">
        <f t="shared" si="67"/>
        <v>#DIV/0!</v>
      </c>
      <c r="CD76" s="51" t="e">
        <f t="shared" si="68"/>
        <v>#DIV/0!</v>
      </c>
      <c r="CE76" s="53">
        <f t="shared" si="50"/>
        <v>0</v>
      </c>
      <c r="CF76" s="53">
        <f t="shared" si="47"/>
        <v>0</v>
      </c>
      <c r="CG76" s="53">
        <f t="shared" si="47"/>
        <v>0</v>
      </c>
      <c r="CH76" s="53">
        <f t="shared" si="47"/>
        <v>0</v>
      </c>
      <c r="CI76" s="53">
        <f t="shared" si="47"/>
        <v>0</v>
      </c>
      <c r="CJ76" s="53">
        <f t="shared" si="47"/>
        <v>0</v>
      </c>
      <c r="CK76" s="53">
        <f t="shared" si="47"/>
        <v>0</v>
      </c>
      <c r="CL76" s="53">
        <f t="shared" si="47"/>
        <v>0</v>
      </c>
      <c r="CM76" s="53">
        <f t="shared" si="47"/>
        <v>0</v>
      </c>
    </row>
    <row r="77" spans="1:91" x14ac:dyDescent="0.15">
      <c r="A77" s="41">
        <v>75</v>
      </c>
      <c r="B77" s="43">
        <f t="shared" ref="B77:B86" si="71">B$75</f>
        <v>1</v>
      </c>
      <c r="C77" s="43">
        <f t="shared" si="70"/>
        <v>1</v>
      </c>
      <c r="D77" s="43">
        <f t="shared" si="70"/>
        <v>1</v>
      </c>
      <c r="E77" s="43">
        <f t="shared" si="70"/>
        <v>1</v>
      </c>
      <c r="F77" s="43">
        <f t="shared" si="70"/>
        <v>1</v>
      </c>
      <c r="G77" s="43">
        <f t="shared" si="70"/>
        <v>1</v>
      </c>
      <c r="H77" s="43">
        <f t="shared" si="70"/>
        <v>1</v>
      </c>
      <c r="I77" s="43">
        <f t="shared" si="70"/>
        <v>1</v>
      </c>
      <c r="J77" s="43">
        <f t="shared" si="70"/>
        <v>1</v>
      </c>
      <c r="K77" s="43" t="e">
        <f>K76+ATM_Conf!$C$5*(T76-AC76)</f>
        <v>#DIV/0!</v>
      </c>
      <c r="L77" s="43" t="e">
        <f>L76+ATM_Conf!$C$5*(U76-AD76)</f>
        <v>#DIV/0!</v>
      </c>
      <c r="M77" s="43" t="e">
        <f>M76+ATM_Conf!$C$5*(V76-AE76)</f>
        <v>#DIV/0!</v>
      </c>
      <c r="N77" s="43" t="e">
        <f>N76+ATM_Conf!$C$5*(W76-AF76)</f>
        <v>#DIV/0!</v>
      </c>
      <c r="O77" s="43" t="e">
        <f>O76+ATM_Conf!$C$5*(X76-AG76)</f>
        <v>#DIV/0!</v>
      </c>
      <c r="P77" s="43" t="e">
        <f>P76+ATM_Conf!$C$5*(Y76-AH76)</f>
        <v>#DIV/0!</v>
      </c>
      <c r="Q77" s="43" t="e">
        <f>Q76+ATM_Conf!$C$5*(Z76-AI76)</f>
        <v>#DIV/0!</v>
      </c>
      <c r="R77" s="43" t="e">
        <f>R76+ATM_Conf!$C$5*(AA76-AJ76)</f>
        <v>#DIV/0!</v>
      </c>
      <c r="S77" s="43" t="e">
        <f>S76+ATM_Conf!$C$5*(AB76-AK76)</f>
        <v>#DIV/0!</v>
      </c>
      <c r="T77" s="43">
        <f t="shared" si="48"/>
        <v>0</v>
      </c>
      <c r="U77" s="43">
        <f t="shared" si="45"/>
        <v>0</v>
      </c>
      <c r="V77" s="43">
        <f t="shared" si="45"/>
        <v>0</v>
      </c>
      <c r="W77" s="43">
        <f t="shared" si="45"/>
        <v>0</v>
      </c>
      <c r="X77" s="43">
        <f t="shared" si="45"/>
        <v>0</v>
      </c>
      <c r="Y77" s="43">
        <f t="shared" si="45"/>
        <v>0</v>
      </c>
      <c r="Z77" s="43">
        <f t="shared" si="45"/>
        <v>0</v>
      </c>
      <c r="AA77" s="43">
        <f t="shared" si="45"/>
        <v>0</v>
      </c>
      <c r="AB77" s="43">
        <f t="shared" si="45"/>
        <v>0</v>
      </c>
      <c r="AC77" s="43" t="e">
        <f t="shared" si="51"/>
        <v>#DIV/0!</v>
      </c>
      <c r="AD77" s="43" t="e">
        <f t="shared" si="52"/>
        <v>#DIV/0!</v>
      </c>
      <c r="AE77" s="43" t="e">
        <f t="shared" si="53"/>
        <v>#DIV/0!</v>
      </c>
      <c r="AF77" s="43" t="e">
        <f t="shared" si="54"/>
        <v>#DIV/0!</v>
      </c>
      <c r="AG77" s="43" t="e">
        <f t="shared" si="55"/>
        <v>#DIV/0!</v>
      </c>
      <c r="AH77" s="43" t="e">
        <f t="shared" si="56"/>
        <v>#DIV/0!</v>
      </c>
      <c r="AI77" s="43" t="e">
        <f t="shared" si="57"/>
        <v>#DIV/0!</v>
      </c>
      <c r="AJ77" s="43" t="e">
        <f t="shared" si="58"/>
        <v>#DIV/0!</v>
      </c>
      <c r="AK77" s="43" t="e">
        <f t="shared" si="59"/>
        <v>#DIV/0!</v>
      </c>
      <c r="AL77" s="43" t="e">
        <f>T$3+K77/ATM_Conf!$C$5</f>
        <v>#DIV/0!</v>
      </c>
      <c r="AM77" s="43" t="e">
        <f>U$3+L77/ATM_Conf!$C$5</f>
        <v>#DIV/0!</v>
      </c>
      <c r="AN77" s="43" t="e">
        <f>V$3+M77/ATM_Conf!$C$5</f>
        <v>#DIV/0!</v>
      </c>
      <c r="AO77" s="43" t="e">
        <f>W$3+N77/ATM_Conf!$C$5</f>
        <v>#DIV/0!</v>
      </c>
      <c r="AP77" s="43" t="e">
        <f>X$3+O77/ATM_Conf!$C$5</f>
        <v>#DIV/0!</v>
      </c>
      <c r="AQ77" s="43" t="e">
        <f>Y$3+P77/ATM_Conf!$C$5</f>
        <v>#DIV/0!</v>
      </c>
      <c r="AR77" s="43" t="e">
        <f>Z$3+Q77/ATM_Conf!$C$5</f>
        <v>#DIV/0!</v>
      </c>
      <c r="AS77" s="43" t="e">
        <f>AA$3+R77/ATM_Conf!$C$5</f>
        <v>#DIV/0!</v>
      </c>
      <c r="AT77" s="43" t="e">
        <f>AB$3+S77/ATM_Conf!$C$5</f>
        <v>#DIV/0!</v>
      </c>
      <c r="AU77" s="43" t="e">
        <f>BD$3*MIN(1,(ATM_Conf!$C$6-Links!X77)/(ATM_Conf!$C$6-ATM_Conf!$C$7))</f>
        <v>#DIV/0!</v>
      </c>
      <c r="AV77" s="43" t="e">
        <f>BE$3*MIN(1,(ATM_Conf!$C$6-Links!Z77)/(ATM_Conf!$C$6-ATM_Conf!$C$7))</f>
        <v>#DIV/0!</v>
      </c>
      <c r="AW77" s="43" t="e">
        <f>BF$3*MIN(1,(ATM_Conf!$C$6-Links!AA77)/(ATM_Conf!$C$6-ATM_Conf!$C$7))</f>
        <v>#DIV/0!</v>
      </c>
      <c r="AX77" s="43" t="e">
        <f>BG$3*MIN(1,(ATM_Conf!$C$6-Links!AD77)/(ATM_Conf!$C$6-ATM_Conf!$C$7))</f>
        <v>#DIV/0!</v>
      </c>
      <c r="AY77" s="43" t="e">
        <f>BH$3*MIN(1,(ATM_Conf!$C$6-Links!AE77)/(ATM_Conf!$C$6-ATM_Conf!$C$7))</f>
        <v>#DIV/0!</v>
      </c>
      <c r="AZ77" s="43" t="e">
        <f>BI$3*MIN(1,(ATM_Conf!$C$6-Links!AG77)/(ATM_Conf!$C$6-ATM_Conf!$C$7))</f>
        <v>#DIV/0!</v>
      </c>
      <c r="BA77" s="43" t="e">
        <f>BJ$3*MIN(1,(ATM_Conf!$C$6-Links!AH77)/(ATM_Conf!$C$6-ATM_Conf!$C$7))</f>
        <v>#DIV/0!</v>
      </c>
      <c r="BB77" s="43" t="e">
        <f>BK$3*MIN(1,(ATM_Conf!$C$6-Links!AK77)/(ATM_Conf!$C$6-ATM_Conf!$C$7))</f>
        <v>#DIV/0!</v>
      </c>
      <c r="BC77" s="43" t="e">
        <f>BL$3*MIN(1,(ATM_Conf!$C$6-Links!AM77)/(ATM_Conf!$C$6-ATM_Conf!$C$7))</f>
        <v>#DIV/0!</v>
      </c>
      <c r="BD77" s="43">
        <f t="shared" si="49"/>
        <v>0</v>
      </c>
      <c r="BE77" s="43">
        <f t="shared" si="46"/>
        <v>0</v>
      </c>
      <c r="BF77" s="43">
        <f t="shared" si="46"/>
        <v>0</v>
      </c>
      <c r="BG77" s="43">
        <f t="shared" si="46"/>
        <v>0</v>
      </c>
      <c r="BH77" s="43">
        <f t="shared" si="46"/>
        <v>0</v>
      </c>
      <c r="BI77" s="43">
        <f t="shared" si="46"/>
        <v>0</v>
      </c>
      <c r="BJ77" s="43">
        <f t="shared" si="46"/>
        <v>0</v>
      </c>
      <c r="BK77" s="43">
        <f t="shared" si="46"/>
        <v>0</v>
      </c>
      <c r="BL77" s="43">
        <f t="shared" si="46"/>
        <v>0</v>
      </c>
      <c r="BM77" s="51"/>
      <c r="BN77" s="51"/>
      <c r="BO77" s="51"/>
      <c r="BP77" s="51"/>
      <c r="BQ77" s="51"/>
      <c r="BR77" s="51"/>
      <c r="BS77" s="51"/>
      <c r="BT77" s="51"/>
      <c r="BU77" s="51"/>
      <c r="BV77" s="51" t="e">
        <f t="shared" si="60"/>
        <v>#DIV/0!</v>
      </c>
      <c r="BW77" s="51" t="e">
        <f t="shared" si="61"/>
        <v>#DIV/0!</v>
      </c>
      <c r="BX77" s="51" t="e">
        <f t="shared" si="62"/>
        <v>#DIV/0!</v>
      </c>
      <c r="BY77" s="51" t="e">
        <f t="shared" si="63"/>
        <v>#DIV/0!</v>
      </c>
      <c r="BZ77" s="51" t="e">
        <f t="shared" si="64"/>
        <v>#DIV/0!</v>
      </c>
      <c r="CA77" s="51" t="e">
        <f t="shared" si="65"/>
        <v>#DIV/0!</v>
      </c>
      <c r="CB77" s="51" t="e">
        <f t="shared" si="66"/>
        <v>#DIV/0!</v>
      </c>
      <c r="CC77" s="51" t="e">
        <f t="shared" si="67"/>
        <v>#DIV/0!</v>
      </c>
      <c r="CD77" s="51" t="e">
        <f t="shared" si="68"/>
        <v>#DIV/0!</v>
      </c>
      <c r="CE77" s="53">
        <f t="shared" si="50"/>
        <v>0</v>
      </c>
      <c r="CF77" s="53">
        <f t="shared" si="47"/>
        <v>0</v>
      </c>
      <c r="CG77" s="53">
        <f t="shared" si="47"/>
        <v>0</v>
      </c>
      <c r="CH77" s="53">
        <f t="shared" si="47"/>
        <v>0</v>
      </c>
      <c r="CI77" s="53">
        <f t="shared" si="47"/>
        <v>0</v>
      </c>
      <c r="CJ77" s="53">
        <f t="shared" si="47"/>
        <v>0</v>
      </c>
      <c r="CK77" s="53">
        <f t="shared" si="47"/>
        <v>0</v>
      </c>
      <c r="CL77" s="53">
        <f t="shared" si="47"/>
        <v>0</v>
      </c>
      <c r="CM77" s="53">
        <f t="shared" si="47"/>
        <v>0</v>
      </c>
    </row>
    <row r="78" spans="1:91" x14ac:dyDescent="0.15">
      <c r="A78" s="41">
        <v>76</v>
      </c>
      <c r="B78" s="43">
        <f t="shared" si="71"/>
        <v>1</v>
      </c>
      <c r="C78" s="43">
        <f t="shared" si="70"/>
        <v>1</v>
      </c>
      <c r="D78" s="43">
        <f t="shared" si="70"/>
        <v>1</v>
      </c>
      <c r="E78" s="43">
        <f t="shared" si="70"/>
        <v>1</v>
      </c>
      <c r="F78" s="43">
        <f t="shared" si="70"/>
        <v>1</v>
      </c>
      <c r="G78" s="43">
        <f t="shared" si="70"/>
        <v>1</v>
      </c>
      <c r="H78" s="43">
        <f t="shared" si="70"/>
        <v>1</v>
      </c>
      <c r="I78" s="43">
        <f t="shared" si="70"/>
        <v>1</v>
      </c>
      <c r="J78" s="43">
        <f t="shared" si="70"/>
        <v>1</v>
      </c>
      <c r="K78" s="43" t="e">
        <f>K77+ATM_Conf!$C$5*(T77-AC77)</f>
        <v>#DIV/0!</v>
      </c>
      <c r="L78" s="43" t="e">
        <f>L77+ATM_Conf!$C$5*(U77-AD77)</f>
        <v>#DIV/0!</v>
      </c>
      <c r="M78" s="43" t="e">
        <f>M77+ATM_Conf!$C$5*(V77-AE77)</f>
        <v>#DIV/0!</v>
      </c>
      <c r="N78" s="43" t="e">
        <f>N77+ATM_Conf!$C$5*(W77-AF77)</f>
        <v>#DIV/0!</v>
      </c>
      <c r="O78" s="43" t="e">
        <f>O77+ATM_Conf!$C$5*(X77-AG77)</f>
        <v>#DIV/0!</v>
      </c>
      <c r="P78" s="43" t="e">
        <f>P77+ATM_Conf!$C$5*(Y77-AH77)</f>
        <v>#DIV/0!</v>
      </c>
      <c r="Q78" s="43" t="e">
        <f>Q77+ATM_Conf!$C$5*(Z77-AI77)</f>
        <v>#DIV/0!</v>
      </c>
      <c r="R78" s="43" t="e">
        <f>R77+ATM_Conf!$C$5*(AA77-AJ77)</f>
        <v>#DIV/0!</v>
      </c>
      <c r="S78" s="43" t="e">
        <f>S77+ATM_Conf!$C$5*(AB77-AK77)</f>
        <v>#DIV/0!</v>
      </c>
      <c r="T78" s="43">
        <f t="shared" si="48"/>
        <v>0</v>
      </c>
      <c r="U78" s="43">
        <f t="shared" si="45"/>
        <v>0</v>
      </c>
      <c r="V78" s="43">
        <f t="shared" si="45"/>
        <v>0</v>
      </c>
      <c r="W78" s="43">
        <f t="shared" si="45"/>
        <v>0</v>
      </c>
      <c r="X78" s="43">
        <f t="shared" si="45"/>
        <v>0</v>
      </c>
      <c r="Y78" s="43">
        <f t="shared" si="45"/>
        <v>0</v>
      </c>
      <c r="Z78" s="43">
        <f t="shared" si="45"/>
        <v>0</v>
      </c>
      <c r="AA78" s="43">
        <f t="shared" si="45"/>
        <v>0</v>
      </c>
      <c r="AB78" s="43">
        <f t="shared" si="45"/>
        <v>0</v>
      </c>
      <c r="AC78" s="43" t="e">
        <f t="shared" si="51"/>
        <v>#DIV/0!</v>
      </c>
      <c r="AD78" s="43" t="e">
        <f t="shared" si="52"/>
        <v>#DIV/0!</v>
      </c>
      <c r="AE78" s="43" t="e">
        <f t="shared" si="53"/>
        <v>#DIV/0!</v>
      </c>
      <c r="AF78" s="43" t="e">
        <f t="shared" si="54"/>
        <v>#DIV/0!</v>
      </c>
      <c r="AG78" s="43" t="e">
        <f t="shared" si="55"/>
        <v>#DIV/0!</v>
      </c>
      <c r="AH78" s="43" t="e">
        <f t="shared" si="56"/>
        <v>#DIV/0!</v>
      </c>
      <c r="AI78" s="43" t="e">
        <f t="shared" si="57"/>
        <v>#DIV/0!</v>
      </c>
      <c r="AJ78" s="43" t="e">
        <f t="shared" si="58"/>
        <v>#DIV/0!</v>
      </c>
      <c r="AK78" s="43" t="e">
        <f t="shared" si="59"/>
        <v>#DIV/0!</v>
      </c>
      <c r="AL78" s="43" t="e">
        <f>T$3+K78/ATM_Conf!$C$5</f>
        <v>#DIV/0!</v>
      </c>
      <c r="AM78" s="43" t="e">
        <f>U$3+L78/ATM_Conf!$C$5</f>
        <v>#DIV/0!</v>
      </c>
      <c r="AN78" s="43" t="e">
        <f>V$3+M78/ATM_Conf!$C$5</f>
        <v>#DIV/0!</v>
      </c>
      <c r="AO78" s="43" t="e">
        <f>W$3+N78/ATM_Conf!$C$5</f>
        <v>#DIV/0!</v>
      </c>
      <c r="AP78" s="43" t="e">
        <f>X$3+O78/ATM_Conf!$C$5</f>
        <v>#DIV/0!</v>
      </c>
      <c r="AQ78" s="43" t="e">
        <f>Y$3+P78/ATM_Conf!$C$5</f>
        <v>#DIV/0!</v>
      </c>
      <c r="AR78" s="43" t="e">
        <f>Z$3+Q78/ATM_Conf!$C$5</f>
        <v>#DIV/0!</v>
      </c>
      <c r="AS78" s="43" t="e">
        <f>AA$3+R78/ATM_Conf!$C$5</f>
        <v>#DIV/0!</v>
      </c>
      <c r="AT78" s="43" t="e">
        <f>AB$3+S78/ATM_Conf!$C$5</f>
        <v>#DIV/0!</v>
      </c>
      <c r="AU78" s="43" t="e">
        <f>BD$3*MIN(1,(ATM_Conf!$C$6-Links!X78)/(ATM_Conf!$C$6-ATM_Conf!$C$7))</f>
        <v>#DIV/0!</v>
      </c>
      <c r="AV78" s="43" t="e">
        <f>BE$3*MIN(1,(ATM_Conf!$C$6-Links!Z78)/(ATM_Conf!$C$6-ATM_Conf!$C$7))</f>
        <v>#DIV/0!</v>
      </c>
      <c r="AW78" s="43" t="e">
        <f>BF$3*MIN(1,(ATM_Conf!$C$6-Links!AA78)/(ATM_Conf!$C$6-ATM_Conf!$C$7))</f>
        <v>#DIV/0!</v>
      </c>
      <c r="AX78" s="43" t="e">
        <f>BG$3*MIN(1,(ATM_Conf!$C$6-Links!AD78)/(ATM_Conf!$C$6-ATM_Conf!$C$7))</f>
        <v>#DIV/0!</v>
      </c>
      <c r="AY78" s="43" t="e">
        <f>BH$3*MIN(1,(ATM_Conf!$C$6-Links!AE78)/(ATM_Conf!$C$6-ATM_Conf!$C$7))</f>
        <v>#DIV/0!</v>
      </c>
      <c r="AZ78" s="43" t="e">
        <f>BI$3*MIN(1,(ATM_Conf!$C$6-Links!AG78)/(ATM_Conf!$C$6-ATM_Conf!$C$7))</f>
        <v>#DIV/0!</v>
      </c>
      <c r="BA78" s="43" t="e">
        <f>BJ$3*MIN(1,(ATM_Conf!$C$6-Links!AH78)/(ATM_Conf!$C$6-ATM_Conf!$C$7))</f>
        <v>#DIV/0!</v>
      </c>
      <c r="BB78" s="43" t="e">
        <f>BK$3*MIN(1,(ATM_Conf!$C$6-Links!AK78)/(ATM_Conf!$C$6-ATM_Conf!$C$7))</f>
        <v>#DIV/0!</v>
      </c>
      <c r="BC78" s="43" t="e">
        <f>BL$3*MIN(1,(ATM_Conf!$C$6-Links!AM78)/(ATM_Conf!$C$6-ATM_Conf!$C$7))</f>
        <v>#DIV/0!</v>
      </c>
      <c r="BD78" s="43">
        <f t="shared" si="49"/>
        <v>0</v>
      </c>
      <c r="BE78" s="43">
        <f t="shared" si="46"/>
        <v>0</v>
      </c>
      <c r="BF78" s="43">
        <f t="shared" si="46"/>
        <v>0</v>
      </c>
      <c r="BG78" s="43">
        <f t="shared" si="46"/>
        <v>0</v>
      </c>
      <c r="BH78" s="43">
        <f t="shared" si="46"/>
        <v>0</v>
      </c>
      <c r="BI78" s="43">
        <f t="shared" si="46"/>
        <v>0</v>
      </c>
      <c r="BJ78" s="43">
        <f t="shared" si="46"/>
        <v>0</v>
      </c>
      <c r="BK78" s="43">
        <f t="shared" si="46"/>
        <v>0</v>
      </c>
      <c r="BL78" s="43">
        <f t="shared" si="46"/>
        <v>0</v>
      </c>
      <c r="BM78" s="51"/>
      <c r="BN78" s="51"/>
      <c r="BO78" s="51"/>
      <c r="BP78" s="51"/>
      <c r="BQ78" s="51"/>
      <c r="BR78" s="51"/>
      <c r="BS78" s="51"/>
      <c r="BT78" s="51"/>
      <c r="BU78" s="51"/>
      <c r="BV78" s="51" t="e">
        <f t="shared" si="60"/>
        <v>#DIV/0!</v>
      </c>
      <c r="BW78" s="51" t="e">
        <f t="shared" si="61"/>
        <v>#DIV/0!</v>
      </c>
      <c r="BX78" s="51" t="e">
        <f t="shared" si="62"/>
        <v>#DIV/0!</v>
      </c>
      <c r="BY78" s="51" t="e">
        <f t="shared" si="63"/>
        <v>#DIV/0!</v>
      </c>
      <c r="BZ78" s="51" t="e">
        <f t="shared" si="64"/>
        <v>#DIV/0!</v>
      </c>
      <c r="CA78" s="51" t="e">
        <f t="shared" si="65"/>
        <v>#DIV/0!</v>
      </c>
      <c r="CB78" s="51" t="e">
        <f t="shared" si="66"/>
        <v>#DIV/0!</v>
      </c>
      <c r="CC78" s="51" t="e">
        <f t="shared" si="67"/>
        <v>#DIV/0!</v>
      </c>
      <c r="CD78" s="51" t="e">
        <f t="shared" si="68"/>
        <v>#DIV/0!</v>
      </c>
      <c r="CE78" s="53">
        <f t="shared" si="50"/>
        <v>0</v>
      </c>
      <c r="CF78" s="53">
        <f t="shared" si="47"/>
        <v>0</v>
      </c>
      <c r="CG78" s="53">
        <f t="shared" si="47"/>
        <v>0</v>
      </c>
      <c r="CH78" s="53">
        <f t="shared" si="47"/>
        <v>0</v>
      </c>
      <c r="CI78" s="53">
        <f t="shared" si="47"/>
        <v>0</v>
      </c>
      <c r="CJ78" s="53">
        <f t="shared" si="47"/>
        <v>0</v>
      </c>
      <c r="CK78" s="53">
        <f t="shared" si="47"/>
        <v>0</v>
      </c>
      <c r="CL78" s="53">
        <f t="shared" si="47"/>
        <v>0</v>
      </c>
      <c r="CM78" s="53">
        <f t="shared" si="47"/>
        <v>0</v>
      </c>
    </row>
    <row r="79" spans="1:91" x14ac:dyDescent="0.15">
      <c r="A79" s="41">
        <v>77</v>
      </c>
      <c r="B79" s="43">
        <f t="shared" si="71"/>
        <v>1</v>
      </c>
      <c r="C79" s="43">
        <f t="shared" si="70"/>
        <v>1</v>
      </c>
      <c r="D79" s="43">
        <f t="shared" si="70"/>
        <v>1</v>
      </c>
      <c r="E79" s="43">
        <f t="shared" si="70"/>
        <v>1</v>
      </c>
      <c r="F79" s="43">
        <f t="shared" si="70"/>
        <v>1</v>
      </c>
      <c r="G79" s="43">
        <f t="shared" si="70"/>
        <v>1</v>
      </c>
      <c r="H79" s="43">
        <f t="shared" si="70"/>
        <v>1</v>
      </c>
      <c r="I79" s="43">
        <f t="shared" si="70"/>
        <v>1</v>
      </c>
      <c r="J79" s="43">
        <f t="shared" si="70"/>
        <v>1</v>
      </c>
      <c r="K79" s="43" t="e">
        <f>K78+ATM_Conf!$C$5*(T78-AC78)</f>
        <v>#DIV/0!</v>
      </c>
      <c r="L79" s="43" t="e">
        <f>L78+ATM_Conf!$C$5*(U78-AD78)</f>
        <v>#DIV/0!</v>
      </c>
      <c r="M79" s="43" t="e">
        <f>M78+ATM_Conf!$C$5*(V78-AE78)</f>
        <v>#DIV/0!</v>
      </c>
      <c r="N79" s="43" t="e">
        <f>N78+ATM_Conf!$C$5*(W78-AF78)</f>
        <v>#DIV/0!</v>
      </c>
      <c r="O79" s="43" t="e">
        <f>O78+ATM_Conf!$C$5*(X78-AG78)</f>
        <v>#DIV/0!</v>
      </c>
      <c r="P79" s="43" t="e">
        <f>P78+ATM_Conf!$C$5*(Y78-AH78)</f>
        <v>#DIV/0!</v>
      </c>
      <c r="Q79" s="43" t="e">
        <f>Q78+ATM_Conf!$C$5*(Z78-AI78)</f>
        <v>#DIV/0!</v>
      </c>
      <c r="R79" s="43" t="e">
        <f>R78+ATM_Conf!$C$5*(AA78-AJ78)</f>
        <v>#DIV/0!</v>
      </c>
      <c r="S79" s="43" t="e">
        <f>S78+ATM_Conf!$C$5*(AB78-AK78)</f>
        <v>#DIV/0!</v>
      </c>
      <c r="T79" s="43">
        <f t="shared" si="48"/>
        <v>0</v>
      </c>
      <c r="U79" s="43">
        <f t="shared" si="45"/>
        <v>0</v>
      </c>
      <c r="V79" s="43">
        <f t="shared" si="45"/>
        <v>0</v>
      </c>
      <c r="W79" s="43">
        <f t="shared" si="45"/>
        <v>0</v>
      </c>
      <c r="X79" s="43">
        <f t="shared" si="45"/>
        <v>0</v>
      </c>
      <c r="Y79" s="43">
        <f t="shared" si="45"/>
        <v>0</v>
      </c>
      <c r="Z79" s="43">
        <f t="shared" si="45"/>
        <v>0</v>
      </c>
      <c r="AA79" s="43">
        <f t="shared" si="45"/>
        <v>0</v>
      </c>
      <c r="AB79" s="43">
        <f t="shared" si="45"/>
        <v>0</v>
      </c>
      <c r="AC79" s="43" t="e">
        <f t="shared" si="51"/>
        <v>#DIV/0!</v>
      </c>
      <c r="AD79" s="43" t="e">
        <f t="shared" si="52"/>
        <v>#DIV/0!</v>
      </c>
      <c r="AE79" s="43" t="e">
        <f t="shared" si="53"/>
        <v>#DIV/0!</v>
      </c>
      <c r="AF79" s="43" t="e">
        <f t="shared" si="54"/>
        <v>#DIV/0!</v>
      </c>
      <c r="AG79" s="43" t="e">
        <f t="shared" si="55"/>
        <v>#DIV/0!</v>
      </c>
      <c r="AH79" s="43" t="e">
        <f t="shared" si="56"/>
        <v>#DIV/0!</v>
      </c>
      <c r="AI79" s="43" t="e">
        <f t="shared" si="57"/>
        <v>#DIV/0!</v>
      </c>
      <c r="AJ79" s="43" t="e">
        <f t="shared" si="58"/>
        <v>#DIV/0!</v>
      </c>
      <c r="AK79" s="43" t="e">
        <f t="shared" si="59"/>
        <v>#DIV/0!</v>
      </c>
      <c r="AL79" s="43" t="e">
        <f>T$3+K79/ATM_Conf!$C$5</f>
        <v>#DIV/0!</v>
      </c>
      <c r="AM79" s="43" t="e">
        <f>U$3+L79/ATM_Conf!$C$5</f>
        <v>#DIV/0!</v>
      </c>
      <c r="AN79" s="43" t="e">
        <f>V$3+M79/ATM_Conf!$C$5</f>
        <v>#DIV/0!</v>
      </c>
      <c r="AO79" s="43" t="e">
        <f>W$3+N79/ATM_Conf!$C$5</f>
        <v>#DIV/0!</v>
      </c>
      <c r="AP79" s="43" t="e">
        <f>X$3+O79/ATM_Conf!$C$5</f>
        <v>#DIV/0!</v>
      </c>
      <c r="AQ79" s="43" t="e">
        <f>Y$3+P79/ATM_Conf!$C$5</f>
        <v>#DIV/0!</v>
      </c>
      <c r="AR79" s="43" t="e">
        <f>Z$3+Q79/ATM_Conf!$C$5</f>
        <v>#DIV/0!</v>
      </c>
      <c r="AS79" s="43" t="e">
        <f>AA$3+R79/ATM_Conf!$C$5</f>
        <v>#DIV/0!</v>
      </c>
      <c r="AT79" s="43" t="e">
        <f>AB$3+S79/ATM_Conf!$C$5</f>
        <v>#DIV/0!</v>
      </c>
      <c r="AU79" s="43" t="e">
        <f>BD$3*MIN(1,(ATM_Conf!$C$6-Links!X79)/(ATM_Conf!$C$6-ATM_Conf!$C$7))</f>
        <v>#DIV/0!</v>
      </c>
      <c r="AV79" s="43" t="e">
        <f>BE$3*MIN(1,(ATM_Conf!$C$6-Links!Z79)/(ATM_Conf!$C$6-ATM_Conf!$C$7))</f>
        <v>#DIV/0!</v>
      </c>
      <c r="AW79" s="43" t="e">
        <f>BF$3*MIN(1,(ATM_Conf!$C$6-Links!AA79)/(ATM_Conf!$C$6-ATM_Conf!$C$7))</f>
        <v>#DIV/0!</v>
      </c>
      <c r="AX79" s="43" t="e">
        <f>BG$3*MIN(1,(ATM_Conf!$C$6-Links!AD79)/(ATM_Conf!$C$6-ATM_Conf!$C$7))</f>
        <v>#DIV/0!</v>
      </c>
      <c r="AY79" s="43" t="e">
        <f>BH$3*MIN(1,(ATM_Conf!$C$6-Links!AE79)/(ATM_Conf!$C$6-ATM_Conf!$C$7))</f>
        <v>#DIV/0!</v>
      </c>
      <c r="AZ79" s="43" t="e">
        <f>BI$3*MIN(1,(ATM_Conf!$C$6-Links!AG79)/(ATM_Conf!$C$6-ATM_Conf!$C$7))</f>
        <v>#DIV/0!</v>
      </c>
      <c r="BA79" s="43" t="e">
        <f>BJ$3*MIN(1,(ATM_Conf!$C$6-Links!AH79)/(ATM_Conf!$C$6-ATM_Conf!$C$7))</f>
        <v>#DIV/0!</v>
      </c>
      <c r="BB79" s="43" t="e">
        <f>BK$3*MIN(1,(ATM_Conf!$C$6-Links!AK79)/(ATM_Conf!$C$6-ATM_Conf!$C$7))</f>
        <v>#DIV/0!</v>
      </c>
      <c r="BC79" s="43" t="e">
        <f>BL$3*MIN(1,(ATM_Conf!$C$6-Links!AM79)/(ATM_Conf!$C$6-ATM_Conf!$C$7))</f>
        <v>#DIV/0!</v>
      </c>
      <c r="BD79" s="43">
        <f t="shared" si="49"/>
        <v>0</v>
      </c>
      <c r="BE79" s="43">
        <f t="shared" si="46"/>
        <v>0</v>
      </c>
      <c r="BF79" s="43">
        <f t="shared" si="46"/>
        <v>0</v>
      </c>
      <c r="BG79" s="43">
        <f t="shared" si="46"/>
        <v>0</v>
      </c>
      <c r="BH79" s="43">
        <f t="shared" si="46"/>
        <v>0</v>
      </c>
      <c r="BI79" s="43">
        <f t="shared" si="46"/>
        <v>0</v>
      </c>
      <c r="BJ79" s="43">
        <f t="shared" si="46"/>
        <v>0</v>
      </c>
      <c r="BK79" s="43">
        <f t="shared" si="46"/>
        <v>0</v>
      </c>
      <c r="BL79" s="43">
        <f t="shared" si="46"/>
        <v>0</v>
      </c>
      <c r="BM79" s="51"/>
      <c r="BN79" s="51"/>
      <c r="BO79" s="51"/>
      <c r="BP79" s="51"/>
      <c r="BQ79" s="51"/>
      <c r="BR79" s="51"/>
      <c r="BS79" s="51"/>
      <c r="BT79" s="51"/>
      <c r="BU79" s="51"/>
      <c r="BV79" s="51" t="e">
        <f t="shared" si="60"/>
        <v>#DIV/0!</v>
      </c>
      <c r="BW79" s="51" t="e">
        <f t="shared" si="61"/>
        <v>#DIV/0!</v>
      </c>
      <c r="BX79" s="51" t="e">
        <f t="shared" si="62"/>
        <v>#DIV/0!</v>
      </c>
      <c r="BY79" s="51" t="e">
        <f t="shared" si="63"/>
        <v>#DIV/0!</v>
      </c>
      <c r="BZ79" s="51" t="e">
        <f t="shared" si="64"/>
        <v>#DIV/0!</v>
      </c>
      <c r="CA79" s="51" t="e">
        <f t="shared" si="65"/>
        <v>#DIV/0!</v>
      </c>
      <c r="CB79" s="51" t="e">
        <f t="shared" si="66"/>
        <v>#DIV/0!</v>
      </c>
      <c r="CC79" s="51" t="e">
        <f t="shared" si="67"/>
        <v>#DIV/0!</v>
      </c>
      <c r="CD79" s="51" t="e">
        <f t="shared" si="68"/>
        <v>#DIV/0!</v>
      </c>
      <c r="CE79" s="53">
        <f t="shared" si="50"/>
        <v>0</v>
      </c>
      <c r="CF79" s="53">
        <f t="shared" si="47"/>
        <v>0</v>
      </c>
      <c r="CG79" s="53">
        <f t="shared" si="47"/>
        <v>0</v>
      </c>
      <c r="CH79" s="53">
        <f t="shared" si="47"/>
        <v>0</v>
      </c>
      <c r="CI79" s="53">
        <f t="shared" si="47"/>
        <v>0</v>
      </c>
      <c r="CJ79" s="53">
        <f t="shared" si="47"/>
        <v>0</v>
      </c>
      <c r="CK79" s="53">
        <f t="shared" si="47"/>
        <v>0</v>
      </c>
      <c r="CL79" s="53">
        <f t="shared" si="47"/>
        <v>0</v>
      </c>
      <c r="CM79" s="53">
        <f t="shared" si="47"/>
        <v>0</v>
      </c>
    </row>
    <row r="80" spans="1:91" x14ac:dyDescent="0.15">
      <c r="A80" s="41">
        <v>78</v>
      </c>
      <c r="B80" s="43">
        <f t="shared" si="71"/>
        <v>1</v>
      </c>
      <c r="C80" s="43">
        <f t="shared" si="70"/>
        <v>1</v>
      </c>
      <c r="D80" s="43">
        <f t="shared" si="70"/>
        <v>1</v>
      </c>
      <c r="E80" s="43">
        <f t="shared" si="70"/>
        <v>1</v>
      </c>
      <c r="F80" s="43">
        <f t="shared" si="70"/>
        <v>1</v>
      </c>
      <c r="G80" s="43">
        <f t="shared" si="70"/>
        <v>1</v>
      </c>
      <c r="H80" s="43">
        <f t="shared" si="70"/>
        <v>1</v>
      </c>
      <c r="I80" s="43">
        <f t="shared" si="70"/>
        <v>1</v>
      </c>
      <c r="J80" s="43">
        <f t="shared" si="70"/>
        <v>1</v>
      </c>
      <c r="K80" s="43" t="e">
        <f>K79+ATM_Conf!$C$5*(T79-AC79)</f>
        <v>#DIV/0!</v>
      </c>
      <c r="L80" s="43" t="e">
        <f>L79+ATM_Conf!$C$5*(U79-AD79)</f>
        <v>#DIV/0!</v>
      </c>
      <c r="M80" s="43" t="e">
        <f>M79+ATM_Conf!$C$5*(V79-AE79)</f>
        <v>#DIV/0!</v>
      </c>
      <c r="N80" s="43" t="e">
        <f>N79+ATM_Conf!$C$5*(W79-AF79)</f>
        <v>#DIV/0!</v>
      </c>
      <c r="O80" s="43" t="e">
        <f>O79+ATM_Conf!$C$5*(X79-AG79)</f>
        <v>#DIV/0!</v>
      </c>
      <c r="P80" s="43" t="e">
        <f>P79+ATM_Conf!$C$5*(Y79-AH79)</f>
        <v>#DIV/0!</v>
      </c>
      <c r="Q80" s="43" t="e">
        <f>Q79+ATM_Conf!$C$5*(Z79-AI79)</f>
        <v>#DIV/0!</v>
      </c>
      <c r="R80" s="43" t="e">
        <f>R79+ATM_Conf!$C$5*(AA79-AJ79)</f>
        <v>#DIV/0!</v>
      </c>
      <c r="S80" s="43" t="e">
        <f>S79+ATM_Conf!$C$5*(AB79-AK79)</f>
        <v>#DIV/0!</v>
      </c>
      <c r="T80" s="43">
        <f t="shared" si="48"/>
        <v>0</v>
      </c>
      <c r="U80" s="43">
        <f t="shared" si="45"/>
        <v>0</v>
      </c>
      <c r="V80" s="43">
        <f t="shared" si="45"/>
        <v>0</v>
      </c>
      <c r="W80" s="43">
        <f t="shared" si="45"/>
        <v>0</v>
      </c>
      <c r="X80" s="43">
        <f t="shared" si="45"/>
        <v>0</v>
      </c>
      <c r="Y80" s="43">
        <f t="shared" si="45"/>
        <v>0</v>
      </c>
      <c r="Z80" s="43">
        <f t="shared" si="45"/>
        <v>0</v>
      </c>
      <c r="AA80" s="43">
        <f t="shared" si="45"/>
        <v>0</v>
      </c>
      <c r="AB80" s="43">
        <f t="shared" si="45"/>
        <v>0</v>
      </c>
      <c r="AC80" s="43" t="e">
        <f t="shared" si="51"/>
        <v>#DIV/0!</v>
      </c>
      <c r="AD80" s="43" t="e">
        <f t="shared" si="52"/>
        <v>#DIV/0!</v>
      </c>
      <c r="AE80" s="43" t="e">
        <f t="shared" si="53"/>
        <v>#DIV/0!</v>
      </c>
      <c r="AF80" s="43" t="e">
        <f t="shared" si="54"/>
        <v>#DIV/0!</v>
      </c>
      <c r="AG80" s="43" t="e">
        <f t="shared" si="55"/>
        <v>#DIV/0!</v>
      </c>
      <c r="AH80" s="43" t="e">
        <f t="shared" si="56"/>
        <v>#DIV/0!</v>
      </c>
      <c r="AI80" s="43" t="e">
        <f t="shared" si="57"/>
        <v>#DIV/0!</v>
      </c>
      <c r="AJ80" s="43" t="e">
        <f t="shared" si="58"/>
        <v>#DIV/0!</v>
      </c>
      <c r="AK80" s="43" t="e">
        <f t="shared" si="59"/>
        <v>#DIV/0!</v>
      </c>
      <c r="AL80" s="43" t="e">
        <f>T$3+K80/ATM_Conf!$C$5</f>
        <v>#DIV/0!</v>
      </c>
      <c r="AM80" s="43" t="e">
        <f>U$3+L80/ATM_Conf!$C$5</f>
        <v>#DIV/0!</v>
      </c>
      <c r="AN80" s="43" t="e">
        <f>V$3+M80/ATM_Conf!$C$5</f>
        <v>#DIV/0!</v>
      </c>
      <c r="AO80" s="43" t="e">
        <f>W$3+N80/ATM_Conf!$C$5</f>
        <v>#DIV/0!</v>
      </c>
      <c r="AP80" s="43" t="e">
        <f>X$3+O80/ATM_Conf!$C$5</f>
        <v>#DIV/0!</v>
      </c>
      <c r="AQ80" s="43" t="e">
        <f>Y$3+P80/ATM_Conf!$C$5</f>
        <v>#DIV/0!</v>
      </c>
      <c r="AR80" s="43" t="e">
        <f>Z$3+Q80/ATM_Conf!$C$5</f>
        <v>#DIV/0!</v>
      </c>
      <c r="AS80" s="43" t="e">
        <f>AA$3+R80/ATM_Conf!$C$5</f>
        <v>#DIV/0!</v>
      </c>
      <c r="AT80" s="43" t="e">
        <f>AB$3+S80/ATM_Conf!$C$5</f>
        <v>#DIV/0!</v>
      </c>
      <c r="AU80" s="43" t="e">
        <f>BD$3*MIN(1,(ATM_Conf!$C$6-Links!X80)/(ATM_Conf!$C$6-ATM_Conf!$C$7))</f>
        <v>#DIV/0!</v>
      </c>
      <c r="AV80" s="43" t="e">
        <f>BE$3*MIN(1,(ATM_Conf!$C$6-Links!Z80)/(ATM_Conf!$C$6-ATM_Conf!$C$7))</f>
        <v>#DIV/0!</v>
      </c>
      <c r="AW80" s="43" t="e">
        <f>BF$3*MIN(1,(ATM_Conf!$C$6-Links!AA80)/(ATM_Conf!$C$6-ATM_Conf!$C$7))</f>
        <v>#DIV/0!</v>
      </c>
      <c r="AX80" s="43" t="e">
        <f>BG$3*MIN(1,(ATM_Conf!$C$6-Links!AD80)/(ATM_Conf!$C$6-ATM_Conf!$C$7))</f>
        <v>#DIV/0!</v>
      </c>
      <c r="AY80" s="43" t="e">
        <f>BH$3*MIN(1,(ATM_Conf!$C$6-Links!AE80)/(ATM_Conf!$C$6-ATM_Conf!$C$7))</f>
        <v>#DIV/0!</v>
      </c>
      <c r="AZ80" s="43" t="e">
        <f>BI$3*MIN(1,(ATM_Conf!$C$6-Links!AG80)/(ATM_Conf!$C$6-ATM_Conf!$C$7))</f>
        <v>#DIV/0!</v>
      </c>
      <c r="BA80" s="43" t="e">
        <f>BJ$3*MIN(1,(ATM_Conf!$C$6-Links!AH80)/(ATM_Conf!$C$6-ATM_Conf!$C$7))</f>
        <v>#DIV/0!</v>
      </c>
      <c r="BB80" s="43" t="e">
        <f>BK$3*MIN(1,(ATM_Conf!$C$6-Links!AK80)/(ATM_Conf!$C$6-ATM_Conf!$C$7))</f>
        <v>#DIV/0!</v>
      </c>
      <c r="BC80" s="43" t="e">
        <f>BL$3*MIN(1,(ATM_Conf!$C$6-Links!AM80)/(ATM_Conf!$C$6-ATM_Conf!$C$7))</f>
        <v>#DIV/0!</v>
      </c>
      <c r="BD80" s="43">
        <f t="shared" si="49"/>
        <v>0</v>
      </c>
      <c r="BE80" s="43">
        <f t="shared" si="46"/>
        <v>0</v>
      </c>
      <c r="BF80" s="43">
        <f t="shared" si="46"/>
        <v>0</v>
      </c>
      <c r="BG80" s="43">
        <f t="shared" si="46"/>
        <v>0</v>
      </c>
      <c r="BH80" s="43">
        <f t="shared" si="46"/>
        <v>0</v>
      </c>
      <c r="BI80" s="43">
        <f t="shared" si="46"/>
        <v>0</v>
      </c>
      <c r="BJ80" s="43">
        <f t="shared" si="46"/>
        <v>0</v>
      </c>
      <c r="BK80" s="43">
        <f t="shared" si="46"/>
        <v>0</v>
      </c>
      <c r="BL80" s="43">
        <f t="shared" si="46"/>
        <v>0</v>
      </c>
      <c r="BM80" s="51"/>
      <c r="BN80" s="51"/>
      <c r="BO80" s="51"/>
      <c r="BP80" s="51"/>
      <c r="BQ80" s="51"/>
      <c r="BR80" s="51"/>
      <c r="BS80" s="51"/>
      <c r="BT80" s="51"/>
      <c r="BU80" s="51"/>
      <c r="BV80" s="51" t="e">
        <f t="shared" si="60"/>
        <v>#DIV/0!</v>
      </c>
      <c r="BW80" s="51" t="e">
        <f t="shared" si="61"/>
        <v>#DIV/0!</v>
      </c>
      <c r="BX80" s="51" t="e">
        <f t="shared" si="62"/>
        <v>#DIV/0!</v>
      </c>
      <c r="BY80" s="51" t="e">
        <f t="shared" si="63"/>
        <v>#DIV/0!</v>
      </c>
      <c r="BZ80" s="51" t="e">
        <f t="shared" si="64"/>
        <v>#DIV/0!</v>
      </c>
      <c r="CA80" s="51" t="e">
        <f t="shared" si="65"/>
        <v>#DIV/0!</v>
      </c>
      <c r="CB80" s="51" t="e">
        <f t="shared" si="66"/>
        <v>#DIV/0!</v>
      </c>
      <c r="CC80" s="51" t="e">
        <f t="shared" si="67"/>
        <v>#DIV/0!</v>
      </c>
      <c r="CD80" s="51" t="e">
        <f t="shared" si="68"/>
        <v>#DIV/0!</v>
      </c>
      <c r="CE80" s="53">
        <f t="shared" si="50"/>
        <v>0</v>
      </c>
      <c r="CF80" s="53">
        <f t="shared" si="47"/>
        <v>0</v>
      </c>
      <c r="CG80" s="53">
        <f t="shared" si="47"/>
        <v>0</v>
      </c>
      <c r="CH80" s="53">
        <f t="shared" si="47"/>
        <v>0</v>
      </c>
      <c r="CI80" s="53">
        <f t="shared" si="47"/>
        <v>0</v>
      </c>
      <c r="CJ80" s="53">
        <f t="shared" si="47"/>
        <v>0</v>
      </c>
      <c r="CK80" s="53">
        <f t="shared" si="47"/>
        <v>0</v>
      </c>
      <c r="CL80" s="53">
        <f t="shared" si="47"/>
        <v>0</v>
      </c>
      <c r="CM80" s="53">
        <f t="shared" si="47"/>
        <v>0</v>
      </c>
    </row>
    <row r="81" spans="1:91" x14ac:dyDescent="0.15">
      <c r="A81" s="41">
        <v>79</v>
      </c>
      <c r="B81" s="43">
        <f t="shared" si="71"/>
        <v>1</v>
      </c>
      <c r="C81" s="43">
        <f t="shared" si="70"/>
        <v>1</v>
      </c>
      <c r="D81" s="43">
        <f t="shared" si="70"/>
        <v>1</v>
      </c>
      <c r="E81" s="43">
        <f t="shared" si="70"/>
        <v>1</v>
      </c>
      <c r="F81" s="43">
        <f t="shared" si="70"/>
        <v>1</v>
      </c>
      <c r="G81" s="43">
        <f t="shared" si="70"/>
        <v>1</v>
      </c>
      <c r="H81" s="43">
        <f t="shared" si="70"/>
        <v>1</v>
      </c>
      <c r="I81" s="43">
        <f t="shared" si="70"/>
        <v>1</v>
      </c>
      <c r="J81" s="43">
        <f t="shared" si="70"/>
        <v>1</v>
      </c>
      <c r="K81" s="43" t="e">
        <f>K80+ATM_Conf!$C$5*(T80-AC80)</f>
        <v>#DIV/0!</v>
      </c>
      <c r="L81" s="43" t="e">
        <f>L80+ATM_Conf!$C$5*(U80-AD80)</f>
        <v>#DIV/0!</v>
      </c>
      <c r="M81" s="43" t="e">
        <f>M80+ATM_Conf!$C$5*(V80-AE80)</f>
        <v>#DIV/0!</v>
      </c>
      <c r="N81" s="43" t="e">
        <f>N80+ATM_Conf!$C$5*(W80-AF80)</f>
        <v>#DIV/0!</v>
      </c>
      <c r="O81" s="43" t="e">
        <f>O80+ATM_Conf!$C$5*(X80-AG80)</f>
        <v>#DIV/0!</v>
      </c>
      <c r="P81" s="43" t="e">
        <f>P80+ATM_Conf!$C$5*(Y80-AH80)</f>
        <v>#DIV/0!</v>
      </c>
      <c r="Q81" s="43" t="e">
        <f>Q80+ATM_Conf!$C$5*(Z80-AI80)</f>
        <v>#DIV/0!</v>
      </c>
      <c r="R81" s="43" t="e">
        <f>R80+ATM_Conf!$C$5*(AA80-AJ80)</f>
        <v>#DIV/0!</v>
      </c>
      <c r="S81" s="43" t="e">
        <f>S80+ATM_Conf!$C$5*(AB80-AK80)</f>
        <v>#DIV/0!</v>
      </c>
      <c r="T81" s="43">
        <f t="shared" si="48"/>
        <v>0</v>
      </c>
      <c r="U81" s="43">
        <f t="shared" si="45"/>
        <v>0</v>
      </c>
      <c r="V81" s="43">
        <f t="shared" si="45"/>
        <v>0</v>
      </c>
      <c r="W81" s="43">
        <f t="shared" si="45"/>
        <v>0</v>
      </c>
      <c r="X81" s="43">
        <f t="shared" si="45"/>
        <v>0</v>
      </c>
      <c r="Y81" s="43">
        <f t="shared" si="45"/>
        <v>0</v>
      </c>
      <c r="Z81" s="43">
        <f t="shared" si="45"/>
        <v>0</v>
      </c>
      <c r="AA81" s="43">
        <f t="shared" si="45"/>
        <v>0</v>
      </c>
      <c r="AB81" s="43">
        <f t="shared" si="45"/>
        <v>0</v>
      </c>
      <c r="AC81" s="43" t="e">
        <f t="shared" si="51"/>
        <v>#DIV/0!</v>
      </c>
      <c r="AD81" s="43" t="e">
        <f t="shared" si="52"/>
        <v>#DIV/0!</v>
      </c>
      <c r="AE81" s="43" t="e">
        <f t="shared" si="53"/>
        <v>#DIV/0!</v>
      </c>
      <c r="AF81" s="43" t="e">
        <f t="shared" si="54"/>
        <v>#DIV/0!</v>
      </c>
      <c r="AG81" s="43" t="e">
        <f t="shared" si="55"/>
        <v>#DIV/0!</v>
      </c>
      <c r="AH81" s="43" t="e">
        <f t="shared" si="56"/>
        <v>#DIV/0!</v>
      </c>
      <c r="AI81" s="43" t="e">
        <f t="shared" si="57"/>
        <v>#DIV/0!</v>
      </c>
      <c r="AJ81" s="43" t="e">
        <f t="shared" si="58"/>
        <v>#DIV/0!</v>
      </c>
      <c r="AK81" s="43" t="e">
        <f t="shared" si="59"/>
        <v>#DIV/0!</v>
      </c>
      <c r="AL81" s="43" t="e">
        <f>T$3+K81/ATM_Conf!$C$5</f>
        <v>#DIV/0!</v>
      </c>
      <c r="AM81" s="43" t="e">
        <f>U$3+L81/ATM_Conf!$C$5</f>
        <v>#DIV/0!</v>
      </c>
      <c r="AN81" s="43" t="e">
        <f>V$3+M81/ATM_Conf!$C$5</f>
        <v>#DIV/0!</v>
      </c>
      <c r="AO81" s="43" t="e">
        <f>W$3+N81/ATM_Conf!$C$5</f>
        <v>#DIV/0!</v>
      </c>
      <c r="AP81" s="43" t="e">
        <f>X$3+O81/ATM_Conf!$C$5</f>
        <v>#DIV/0!</v>
      </c>
      <c r="AQ81" s="43" t="e">
        <f>Y$3+P81/ATM_Conf!$C$5</f>
        <v>#DIV/0!</v>
      </c>
      <c r="AR81" s="43" t="e">
        <f>Z$3+Q81/ATM_Conf!$C$5</f>
        <v>#DIV/0!</v>
      </c>
      <c r="AS81" s="43" t="e">
        <f>AA$3+R81/ATM_Conf!$C$5</f>
        <v>#DIV/0!</v>
      </c>
      <c r="AT81" s="43" t="e">
        <f>AB$3+S81/ATM_Conf!$C$5</f>
        <v>#DIV/0!</v>
      </c>
      <c r="AU81" s="43" t="e">
        <f>BD$3*MIN(1,(ATM_Conf!$C$6-Links!X81)/(ATM_Conf!$C$6-ATM_Conf!$C$7))</f>
        <v>#DIV/0!</v>
      </c>
      <c r="AV81" s="43" t="e">
        <f>BE$3*MIN(1,(ATM_Conf!$C$6-Links!Z81)/(ATM_Conf!$C$6-ATM_Conf!$C$7))</f>
        <v>#DIV/0!</v>
      </c>
      <c r="AW81" s="43" t="e">
        <f>BF$3*MIN(1,(ATM_Conf!$C$6-Links!AA81)/(ATM_Conf!$C$6-ATM_Conf!$C$7))</f>
        <v>#DIV/0!</v>
      </c>
      <c r="AX81" s="43" t="e">
        <f>BG$3*MIN(1,(ATM_Conf!$C$6-Links!AD81)/(ATM_Conf!$C$6-ATM_Conf!$C$7))</f>
        <v>#DIV/0!</v>
      </c>
      <c r="AY81" s="43" t="e">
        <f>BH$3*MIN(1,(ATM_Conf!$C$6-Links!AE81)/(ATM_Conf!$C$6-ATM_Conf!$C$7))</f>
        <v>#DIV/0!</v>
      </c>
      <c r="AZ81" s="43" t="e">
        <f>BI$3*MIN(1,(ATM_Conf!$C$6-Links!AG81)/(ATM_Conf!$C$6-ATM_Conf!$C$7))</f>
        <v>#DIV/0!</v>
      </c>
      <c r="BA81" s="43" t="e">
        <f>BJ$3*MIN(1,(ATM_Conf!$C$6-Links!AH81)/(ATM_Conf!$C$6-ATM_Conf!$C$7))</f>
        <v>#DIV/0!</v>
      </c>
      <c r="BB81" s="43" t="e">
        <f>BK$3*MIN(1,(ATM_Conf!$C$6-Links!AK81)/(ATM_Conf!$C$6-ATM_Conf!$C$7))</f>
        <v>#DIV/0!</v>
      </c>
      <c r="BC81" s="43" t="e">
        <f>BL$3*MIN(1,(ATM_Conf!$C$6-Links!AM81)/(ATM_Conf!$C$6-ATM_Conf!$C$7))</f>
        <v>#DIV/0!</v>
      </c>
      <c r="BD81" s="43">
        <f t="shared" si="49"/>
        <v>0</v>
      </c>
      <c r="BE81" s="43">
        <f t="shared" si="46"/>
        <v>0</v>
      </c>
      <c r="BF81" s="43">
        <f t="shared" si="46"/>
        <v>0</v>
      </c>
      <c r="BG81" s="43">
        <f t="shared" si="46"/>
        <v>0</v>
      </c>
      <c r="BH81" s="43">
        <f t="shared" si="46"/>
        <v>0</v>
      </c>
      <c r="BI81" s="43">
        <f t="shared" si="46"/>
        <v>0</v>
      </c>
      <c r="BJ81" s="43">
        <f t="shared" si="46"/>
        <v>0</v>
      </c>
      <c r="BK81" s="43">
        <f t="shared" si="46"/>
        <v>0</v>
      </c>
      <c r="BL81" s="43">
        <f t="shared" si="46"/>
        <v>0</v>
      </c>
      <c r="BM81" s="51"/>
      <c r="BN81" s="51"/>
      <c r="BO81" s="51"/>
      <c r="BP81" s="51"/>
      <c r="BQ81" s="51"/>
      <c r="BR81" s="51"/>
      <c r="BS81" s="51"/>
      <c r="BT81" s="51"/>
      <c r="BU81" s="51"/>
      <c r="BV81" s="51" t="e">
        <f t="shared" si="60"/>
        <v>#DIV/0!</v>
      </c>
      <c r="BW81" s="51" t="e">
        <f t="shared" si="61"/>
        <v>#DIV/0!</v>
      </c>
      <c r="BX81" s="51" t="e">
        <f t="shared" si="62"/>
        <v>#DIV/0!</v>
      </c>
      <c r="BY81" s="51" t="e">
        <f t="shared" si="63"/>
        <v>#DIV/0!</v>
      </c>
      <c r="BZ81" s="51" t="e">
        <f t="shared" si="64"/>
        <v>#DIV/0!</v>
      </c>
      <c r="CA81" s="51" t="e">
        <f t="shared" si="65"/>
        <v>#DIV/0!</v>
      </c>
      <c r="CB81" s="51" t="e">
        <f t="shared" si="66"/>
        <v>#DIV/0!</v>
      </c>
      <c r="CC81" s="51" t="e">
        <f t="shared" si="67"/>
        <v>#DIV/0!</v>
      </c>
      <c r="CD81" s="51" t="e">
        <f t="shared" si="68"/>
        <v>#DIV/0!</v>
      </c>
      <c r="CE81" s="53">
        <f t="shared" si="50"/>
        <v>0</v>
      </c>
      <c r="CF81" s="53">
        <f t="shared" si="47"/>
        <v>0</v>
      </c>
      <c r="CG81" s="53">
        <f t="shared" si="47"/>
        <v>0</v>
      </c>
      <c r="CH81" s="53">
        <f t="shared" si="47"/>
        <v>0</v>
      </c>
      <c r="CI81" s="53">
        <f t="shared" si="47"/>
        <v>0</v>
      </c>
      <c r="CJ81" s="53">
        <f t="shared" si="47"/>
        <v>0</v>
      </c>
      <c r="CK81" s="53">
        <f t="shared" si="47"/>
        <v>0</v>
      </c>
      <c r="CL81" s="53">
        <f t="shared" si="47"/>
        <v>0</v>
      </c>
      <c r="CM81" s="53">
        <f t="shared" si="47"/>
        <v>0</v>
      </c>
    </row>
    <row r="82" spans="1:91" x14ac:dyDescent="0.15">
      <c r="A82" s="41">
        <v>80</v>
      </c>
      <c r="B82" s="43">
        <f t="shared" si="71"/>
        <v>1</v>
      </c>
      <c r="C82" s="43">
        <f t="shared" si="70"/>
        <v>1</v>
      </c>
      <c r="D82" s="43">
        <f t="shared" si="70"/>
        <v>1</v>
      </c>
      <c r="E82" s="43">
        <f t="shared" si="70"/>
        <v>1</v>
      </c>
      <c r="F82" s="43">
        <f t="shared" si="70"/>
        <v>1</v>
      </c>
      <c r="G82" s="43">
        <f t="shared" si="70"/>
        <v>1</v>
      </c>
      <c r="H82" s="43">
        <f t="shared" si="70"/>
        <v>1</v>
      </c>
      <c r="I82" s="43">
        <f t="shared" si="70"/>
        <v>1</v>
      </c>
      <c r="J82" s="43">
        <f t="shared" si="70"/>
        <v>1</v>
      </c>
      <c r="K82" s="43" t="e">
        <f>K81+ATM_Conf!$C$5*(T81-AC81)</f>
        <v>#DIV/0!</v>
      </c>
      <c r="L82" s="43" t="e">
        <f>L81+ATM_Conf!$C$5*(U81-AD81)</f>
        <v>#DIV/0!</v>
      </c>
      <c r="M82" s="43" t="e">
        <f>M81+ATM_Conf!$C$5*(V81-AE81)</f>
        <v>#DIV/0!</v>
      </c>
      <c r="N82" s="43" t="e">
        <f>N81+ATM_Conf!$C$5*(W81-AF81)</f>
        <v>#DIV/0!</v>
      </c>
      <c r="O82" s="43" t="e">
        <f>O81+ATM_Conf!$C$5*(X81-AG81)</f>
        <v>#DIV/0!</v>
      </c>
      <c r="P82" s="43" t="e">
        <f>P81+ATM_Conf!$C$5*(Y81-AH81)</f>
        <v>#DIV/0!</v>
      </c>
      <c r="Q82" s="43" t="e">
        <f>Q81+ATM_Conf!$C$5*(Z81-AI81)</f>
        <v>#DIV/0!</v>
      </c>
      <c r="R82" s="43" t="e">
        <f>R81+ATM_Conf!$C$5*(AA81-AJ81)</f>
        <v>#DIV/0!</v>
      </c>
      <c r="S82" s="43" t="e">
        <f>S81+ATM_Conf!$C$5*(AB81-AK81)</f>
        <v>#DIV/0!</v>
      </c>
      <c r="T82" s="43">
        <f t="shared" si="48"/>
        <v>0</v>
      </c>
      <c r="U82" s="43">
        <f t="shared" si="45"/>
        <v>0</v>
      </c>
      <c r="V82" s="43">
        <f t="shared" si="45"/>
        <v>0</v>
      </c>
      <c r="W82" s="43">
        <f t="shared" si="45"/>
        <v>0</v>
      </c>
      <c r="X82" s="43">
        <f t="shared" si="45"/>
        <v>0</v>
      </c>
      <c r="Y82" s="43">
        <f t="shared" si="45"/>
        <v>0</v>
      </c>
      <c r="Z82" s="43">
        <f t="shared" si="45"/>
        <v>0</v>
      </c>
      <c r="AA82" s="43">
        <f t="shared" si="45"/>
        <v>0</v>
      </c>
      <c r="AB82" s="43">
        <f t="shared" si="45"/>
        <v>0</v>
      </c>
      <c r="AC82" s="43" t="e">
        <f t="shared" si="51"/>
        <v>#DIV/0!</v>
      </c>
      <c r="AD82" s="43" t="e">
        <f t="shared" si="52"/>
        <v>#DIV/0!</v>
      </c>
      <c r="AE82" s="43" t="e">
        <f t="shared" si="53"/>
        <v>#DIV/0!</v>
      </c>
      <c r="AF82" s="43" t="e">
        <f t="shared" si="54"/>
        <v>#DIV/0!</v>
      </c>
      <c r="AG82" s="43" t="e">
        <f t="shared" si="55"/>
        <v>#DIV/0!</v>
      </c>
      <c r="AH82" s="43" t="e">
        <f t="shared" si="56"/>
        <v>#DIV/0!</v>
      </c>
      <c r="AI82" s="43" t="e">
        <f t="shared" si="57"/>
        <v>#DIV/0!</v>
      </c>
      <c r="AJ82" s="43" t="e">
        <f t="shared" si="58"/>
        <v>#DIV/0!</v>
      </c>
      <c r="AK82" s="43" t="e">
        <f t="shared" si="59"/>
        <v>#DIV/0!</v>
      </c>
      <c r="AL82" s="43" t="e">
        <f>T$3+K82/ATM_Conf!$C$5</f>
        <v>#DIV/0!</v>
      </c>
      <c r="AM82" s="43" t="e">
        <f>U$3+L82/ATM_Conf!$C$5</f>
        <v>#DIV/0!</v>
      </c>
      <c r="AN82" s="43" t="e">
        <f>V$3+M82/ATM_Conf!$C$5</f>
        <v>#DIV/0!</v>
      </c>
      <c r="AO82" s="43" t="e">
        <f>W$3+N82/ATM_Conf!$C$5</f>
        <v>#DIV/0!</v>
      </c>
      <c r="AP82" s="43" t="e">
        <f>X$3+O82/ATM_Conf!$C$5</f>
        <v>#DIV/0!</v>
      </c>
      <c r="AQ82" s="43" t="e">
        <f>Y$3+P82/ATM_Conf!$C$5</f>
        <v>#DIV/0!</v>
      </c>
      <c r="AR82" s="43" t="e">
        <f>Z$3+Q82/ATM_Conf!$C$5</f>
        <v>#DIV/0!</v>
      </c>
      <c r="AS82" s="43" t="e">
        <f>AA$3+R82/ATM_Conf!$C$5</f>
        <v>#DIV/0!</v>
      </c>
      <c r="AT82" s="43" t="e">
        <f>AB$3+S82/ATM_Conf!$C$5</f>
        <v>#DIV/0!</v>
      </c>
      <c r="AU82" s="43" t="e">
        <f>BD$3*MIN(1,(ATM_Conf!$C$6-Links!X82)/(ATM_Conf!$C$6-ATM_Conf!$C$7))</f>
        <v>#DIV/0!</v>
      </c>
      <c r="AV82" s="43" t="e">
        <f>BE$3*MIN(1,(ATM_Conf!$C$6-Links!Z82)/(ATM_Conf!$C$6-ATM_Conf!$C$7))</f>
        <v>#DIV/0!</v>
      </c>
      <c r="AW82" s="43" t="e">
        <f>BF$3*MIN(1,(ATM_Conf!$C$6-Links!AA82)/(ATM_Conf!$C$6-ATM_Conf!$C$7))</f>
        <v>#DIV/0!</v>
      </c>
      <c r="AX82" s="43" t="e">
        <f>BG$3*MIN(1,(ATM_Conf!$C$6-Links!AD82)/(ATM_Conf!$C$6-ATM_Conf!$C$7))</f>
        <v>#DIV/0!</v>
      </c>
      <c r="AY82" s="43" t="e">
        <f>BH$3*MIN(1,(ATM_Conf!$C$6-Links!AE82)/(ATM_Conf!$C$6-ATM_Conf!$C$7))</f>
        <v>#DIV/0!</v>
      </c>
      <c r="AZ82" s="43" t="e">
        <f>BI$3*MIN(1,(ATM_Conf!$C$6-Links!AG82)/(ATM_Conf!$C$6-ATM_Conf!$C$7))</f>
        <v>#DIV/0!</v>
      </c>
      <c r="BA82" s="43" t="e">
        <f>BJ$3*MIN(1,(ATM_Conf!$C$6-Links!AH82)/(ATM_Conf!$C$6-ATM_Conf!$C$7))</f>
        <v>#DIV/0!</v>
      </c>
      <c r="BB82" s="43" t="e">
        <f>BK$3*MIN(1,(ATM_Conf!$C$6-Links!AK82)/(ATM_Conf!$C$6-ATM_Conf!$C$7))</f>
        <v>#DIV/0!</v>
      </c>
      <c r="BC82" s="43" t="e">
        <f>BL$3*MIN(1,(ATM_Conf!$C$6-Links!AM82)/(ATM_Conf!$C$6-ATM_Conf!$C$7))</f>
        <v>#DIV/0!</v>
      </c>
      <c r="BD82" s="43">
        <f t="shared" si="49"/>
        <v>0</v>
      </c>
      <c r="BE82" s="43">
        <f t="shared" si="46"/>
        <v>0</v>
      </c>
      <c r="BF82" s="43">
        <f t="shared" si="46"/>
        <v>0</v>
      </c>
      <c r="BG82" s="43">
        <f t="shared" si="46"/>
        <v>0</v>
      </c>
      <c r="BH82" s="43">
        <f t="shared" si="46"/>
        <v>0</v>
      </c>
      <c r="BI82" s="43">
        <f t="shared" si="46"/>
        <v>0</v>
      </c>
      <c r="BJ82" s="43">
        <f t="shared" si="46"/>
        <v>0</v>
      </c>
      <c r="BK82" s="43">
        <f t="shared" si="46"/>
        <v>0</v>
      </c>
      <c r="BL82" s="43">
        <f t="shared" si="46"/>
        <v>0</v>
      </c>
      <c r="BM82" s="51"/>
      <c r="BN82" s="51"/>
      <c r="BO82" s="51"/>
      <c r="BP82" s="51"/>
      <c r="BQ82" s="51"/>
      <c r="BR82" s="51"/>
      <c r="BS82" s="51"/>
      <c r="BT82" s="51"/>
      <c r="BU82" s="51"/>
      <c r="BV82" s="51" t="e">
        <f t="shared" si="60"/>
        <v>#DIV/0!</v>
      </c>
      <c r="BW82" s="51" t="e">
        <f t="shared" si="61"/>
        <v>#DIV/0!</v>
      </c>
      <c r="BX82" s="51" t="e">
        <f t="shared" si="62"/>
        <v>#DIV/0!</v>
      </c>
      <c r="BY82" s="51" t="e">
        <f t="shared" si="63"/>
        <v>#DIV/0!</v>
      </c>
      <c r="BZ82" s="51" t="e">
        <f t="shared" si="64"/>
        <v>#DIV/0!</v>
      </c>
      <c r="CA82" s="51" t="e">
        <f t="shared" si="65"/>
        <v>#DIV/0!</v>
      </c>
      <c r="CB82" s="51" t="e">
        <f t="shared" si="66"/>
        <v>#DIV/0!</v>
      </c>
      <c r="CC82" s="51" t="e">
        <f t="shared" si="67"/>
        <v>#DIV/0!</v>
      </c>
      <c r="CD82" s="51" t="e">
        <f t="shared" si="68"/>
        <v>#DIV/0!</v>
      </c>
      <c r="CE82" s="53">
        <f t="shared" si="50"/>
        <v>0</v>
      </c>
      <c r="CF82" s="53">
        <f t="shared" si="47"/>
        <v>0</v>
      </c>
      <c r="CG82" s="53">
        <f t="shared" si="47"/>
        <v>0</v>
      </c>
      <c r="CH82" s="53">
        <f t="shared" si="47"/>
        <v>0</v>
      </c>
      <c r="CI82" s="53">
        <f t="shared" si="47"/>
        <v>0</v>
      </c>
      <c r="CJ82" s="53">
        <f t="shared" si="47"/>
        <v>0</v>
      </c>
      <c r="CK82" s="53">
        <f t="shared" si="47"/>
        <v>0</v>
      </c>
      <c r="CL82" s="53">
        <f t="shared" si="47"/>
        <v>0</v>
      </c>
      <c r="CM82" s="53">
        <f t="shared" si="47"/>
        <v>0</v>
      </c>
    </row>
    <row r="83" spans="1:91" x14ac:dyDescent="0.15">
      <c r="A83" s="41">
        <v>81</v>
      </c>
      <c r="B83" s="43">
        <f t="shared" si="71"/>
        <v>1</v>
      </c>
      <c r="C83" s="43">
        <f t="shared" si="70"/>
        <v>1</v>
      </c>
      <c r="D83" s="43">
        <f t="shared" si="70"/>
        <v>1</v>
      </c>
      <c r="E83" s="43">
        <f t="shared" si="70"/>
        <v>1</v>
      </c>
      <c r="F83" s="43">
        <f t="shared" si="70"/>
        <v>1</v>
      </c>
      <c r="G83" s="43">
        <f t="shared" si="70"/>
        <v>1</v>
      </c>
      <c r="H83" s="43">
        <f t="shared" si="70"/>
        <v>1</v>
      </c>
      <c r="I83" s="43">
        <f t="shared" si="70"/>
        <v>1</v>
      </c>
      <c r="J83" s="43">
        <f t="shared" si="70"/>
        <v>1</v>
      </c>
      <c r="K83" s="43" t="e">
        <f>K82+ATM_Conf!$C$5*(T82-AC82)</f>
        <v>#DIV/0!</v>
      </c>
      <c r="L83" s="43" t="e">
        <f>L82+ATM_Conf!$C$5*(U82-AD82)</f>
        <v>#DIV/0!</v>
      </c>
      <c r="M83" s="43" t="e">
        <f>M82+ATM_Conf!$C$5*(V82-AE82)</f>
        <v>#DIV/0!</v>
      </c>
      <c r="N83" s="43" t="e">
        <f>N82+ATM_Conf!$C$5*(W82-AF82)</f>
        <v>#DIV/0!</v>
      </c>
      <c r="O83" s="43" t="e">
        <f>O82+ATM_Conf!$C$5*(X82-AG82)</f>
        <v>#DIV/0!</v>
      </c>
      <c r="P83" s="43" t="e">
        <f>P82+ATM_Conf!$C$5*(Y82-AH82)</f>
        <v>#DIV/0!</v>
      </c>
      <c r="Q83" s="43" t="e">
        <f>Q82+ATM_Conf!$C$5*(Z82-AI82)</f>
        <v>#DIV/0!</v>
      </c>
      <c r="R83" s="43" t="e">
        <f>R82+ATM_Conf!$C$5*(AA82-AJ82)</f>
        <v>#DIV/0!</v>
      </c>
      <c r="S83" s="43" t="e">
        <f>S82+ATM_Conf!$C$5*(AB82-AK82)</f>
        <v>#DIV/0!</v>
      </c>
      <c r="T83" s="43">
        <f t="shared" si="48"/>
        <v>0</v>
      </c>
      <c r="U83" s="43">
        <f t="shared" si="45"/>
        <v>0</v>
      </c>
      <c r="V83" s="43">
        <f t="shared" si="45"/>
        <v>0</v>
      </c>
      <c r="W83" s="43">
        <f t="shared" si="45"/>
        <v>0</v>
      </c>
      <c r="X83" s="43">
        <f t="shared" si="45"/>
        <v>0</v>
      </c>
      <c r="Y83" s="43">
        <f t="shared" si="45"/>
        <v>0</v>
      </c>
      <c r="Z83" s="43">
        <f t="shared" si="45"/>
        <v>0</v>
      </c>
      <c r="AA83" s="43">
        <f t="shared" si="45"/>
        <v>0</v>
      </c>
      <c r="AB83" s="43">
        <f t="shared" si="45"/>
        <v>0</v>
      </c>
      <c r="AC83" s="43" t="e">
        <f t="shared" si="51"/>
        <v>#DIV/0!</v>
      </c>
      <c r="AD83" s="43" t="e">
        <f t="shared" si="52"/>
        <v>#DIV/0!</v>
      </c>
      <c r="AE83" s="43" t="e">
        <f t="shared" si="53"/>
        <v>#DIV/0!</v>
      </c>
      <c r="AF83" s="43" t="e">
        <f t="shared" si="54"/>
        <v>#DIV/0!</v>
      </c>
      <c r="AG83" s="43" t="e">
        <f t="shared" si="55"/>
        <v>#DIV/0!</v>
      </c>
      <c r="AH83" s="43" t="e">
        <f t="shared" si="56"/>
        <v>#DIV/0!</v>
      </c>
      <c r="AI83" s="43" t="e">
        <f t="shared" si="57"/>
        <v>#DIV/0!</v>
      </c>
      <c r="AJ83" s="43" t="e">
        <f t="shared" si="58"/>
        <v>#DIV/0!</v>
      </c>
      <c r="AK83" s="43" t="e">
        <f t="shared" si="59"/>
        <v>#DIV/0!</v>
      </c>
      <c r="AL83" s="43" t="e">
        <f>T$3+K83/ATM_Conf!$C$5</f>
        <v>#DIV/0!</v>
      </c>
      <c r="AM83" s="43" t="e">
        <f>U$3+L83/ATM_Conf!$C$5</f>
        <v>#DIV/0!</v>
      </c>
      <c r="AN83" s="43" t="e">
        <f>V$3+M83/ATM_Conf!$C$5</f>
        <v>#DIV/0!</v>
      </c>
      <c r="AO83" s="43" t="e">
        <f>W$3+N83/ATM_Conf!$C$5</f>
        <v>#DIV/0!</v>
      </c>
      <c r="AP83" s="43" t="e">
        <f>X$3+O83/ATM_Conf!$C$5</f>
        <v>#DIV/0!</v>
      </c>
      <c r="AQ83" s="43" t="e">
        <f>Y$3+P83/ATM_Conf!$C$5</f>
        <v>#DIV/0!</v>
      </c>
      <c r="AR83" s="43" t="e">
        <f>Z$3+Q83/ATM_Conf!$C$5</f>
        <v>#DIV/0!</v>
      </c>
      <c r="AS83" s="43" t="e">
        <f>AA$3+R83/ATM_Conf!$C$5</f>
        <v>#DIV/0!</v>
      </c>
      <c r="AT83" s="43" t="e">
        <f>AB$3+S83/ATM_Conf!$C$5</f>
        <v>#DIV/0!</v>
      </c>
      <c r="AU83" s="43" t="e">
        <f>BD$3*MIN(1,(ATM_Conf!$C$6-Links!X83)/(ATM_Conf!$C$6-ATM_Conf!$C$7))</f>
        <v>#DIV/0!</v>
      </c>
      <c r="AV83" s="43" t="e">
        <f>BE$3*MIN(1,(ATM_Conf!$C$6-Links!Z83)/(ATM_Conf!$C$6-ATM_Conf!$C$7))</f>
        <v>#DIV/0!</v>
      </c>
      <c r="AW83" s="43" t="e">
        <f>BF$3*MIN(1,(ATM_Conf!$C$6-Links!AA83)/(ATM_Conf!$C$6-ATM_Conf!$C$7))</f>
        <v>#DIV/0!</v>
      </c>
      <c r="AX83" s="43" t="e">
        <f>BG$3*MIN(1,(ATM_Conf!$C$6-Links!AD83)/(ATM_Conf!$C$6-ATM_Conf!$C$7))</f>
        <v>#DIV/0!</v>
      </c>
      <c r="AY83" s="43" t="e">
        <f>BH$3*MIN(1,(ATM_Conf!$C$6-Links!AE83)/(ATM_Conf!$C$6-ATM_Conf!$C$7))</f>
        <v>#DIV/0!</v>
      </c>
      <c r="AZ83" s="43" t="e">
        <f>BI$3*MIN(1,(ATM_Conf!$C$6-Links!AG83)/(ATM_Conf!$C$6-ATM_Conf!$C$7))</f>
        <v>#DIV/0!</v>
      </c>
      <c r="BA83" s="43" t="e">
        <f>BJ$3*MIN(1,(ATM_Conf!$C$6-Links!AH83)/(ATM_Conf!$C$6-ATM_Conf!$C$7))</f>
        <v>#DIV/0!</v>
      </c>
      <c r="BB83" s="43" t="e">
        <f>BK$3*MIN(1,(ATM_Conf!$C$6-Links!AK83)/(ATM_Conf!$C$6-ATM_Conf!$C$7))</f>
        <v>#DIV/0!</v>
      </c>
      <c r="BC83" s="43" t="e">
        <f>BL$3*MIN(1,(ATM_Conf!$C$6-Links!AM83)/(ATM_Conf!$C$6-ATM_Conf!$C$7))</f>
        <v>#DIV/0!</v>
      </c>
      <c r="BD83" s="43">
        <f t="shared" si="49"/>
        <v>0</v>
      </c>
      <c r="BE83" s="43">
        <f t="shared" si="46"/>
        <v>0</v>
      </c>
      <c r="BF83" s="43">
        <f t="shared" si="46"/>
        <v>0</v>
      </c>
      <c r="BG83" s="43">
        <f t="shared" si="46"/>
        <v>0</v>
      </c>
      <c r="BH83" s="43">
        <f t="shared" si="46"/>
        <v>0</v>
      </c>
      <c r="BI83" s="43">
        <f t="shared" si="46"/>
        <v>0</v>
      </c>
      <c r="BJ83" s="43">
        <f t="shared" si="46"/>
        <v>0</v>
      </c>
      <c r="BK83" s="43">
        <f t="shared" si="46"/>
        <v>0</v>
      </c>
      <c r="BL83" s="43">
        <f t="shared" si="46"/>
        <v>0</v>
      </c>
      <c r="BM83" s="51"/>
      <c r="BN83" s="51"/>
      <c r="BO83" s="51"/>
      <c r="BP83" s="51"/>
      <c r="BQ83" s="51"/>
      <c r="BR83" s="51"/>
      <c r="BS83" s="51"/>
      <c r="BT83" s="51"/>
      <c r="BU83" s="51"/>
      <c r="BV83" s="51" t="e">
        <f t="shared" si="60"/>
        <v>#DIV/0!</v>
      </c>
      <c r="BW83" s="51" t="e">
        <f t="shared" si="61"/>
        <v>#DIV/0!</v>
      </c>
      <c r="BX83" s="51" t="e">
        <f t="shared" si="62"/>
        <v>#DIV/0!</v>
      </c>
      <c r="BY83" s="51" t="e">
        <f t="shared" si="63"/>
        <v>#DIV/0!</v>
      </c>
      <c r="BZ83" s="51" t="e">
        <f t="shared" si="64"/>
        <v>#DIV/0!</v>
      </c>
      <c r="CA83" s="51" t="e">
        <f t="shared" si="65"/>
        <v>#DIV/0!</v>
      </c>
      <c r="CB83" s="51" t="e">
        <f t="shared" si="66"/>
        <v>#DIV/0!</v>
      </c>
      <c r="CC83" s="51" t="e">
        <f t="shared" si="67"/>
        <v>#DIV/0!</v>
      </c>
      <c r="CD83" s="51" t="e">
        <f t="shared" si="68"/>
        <v>#DIV/0!</v>
      </c>
      <c r="CE83" s="53">
        <f t="shared" si="50"/>
        <v>0</v>
      </c>
      <c r="CF83" s="53">
        <f t="shared" si="47"/>
        <v>0</v>
      </c>
      <c r="CG83" s="53">
        <f t="shared" si="47"/>
        <v>0</v>
      </c>
      <c r="CH83" s="53">
        <f t="shared" si="47"/>
        <v>0</v>
      </c>
      <c r="CI83" s="53">
        <f t="shared" si="47"/>
        <v>0</v>
      </c>
      <c r="CJ83" s="53">
        <f t="shared" si="47"/>
        <v>0</v>
      </c>
      <c r="CK83" s="53">
        <f t="shared" si="47"/>
        <v>0</v>
      </c>
      <c r="CL83" s="53">
        <f t="shared" si="47"/>
        <v>0</v>
      </c>
      <c r="CM83" s="53">
        <f t="shared" si="47"/>
        <v>0</v>
      </c>
    </row>
    <row r="84" spans="1:91" x14ac:dyDescent="0.15">
      <c r="A84" s="41">
        <v>82</v>
      </c>
      <c r="B84" s="43">
        <f t="shared" si="71"/>
        <v>1</v>
      </c>
      <c r="C84" s="43">
        <f t="shared" si="70"/>
        <v>1</v>
      </c>
      <c r="D84" s="43">
        <f t="shared" si="70"/>
        <v>1</v>
      </c>
      <c r="E84" s="43">
        <f t="shared" si="70"/>
        <v>1</v>
      </c>
      <c r="F84" s="43">
        <f t="shared" si="70"/>
        <v>1</v>
      </c>
      <c r="G84" s="43">
        <f t="shared" si="70"/>
        <v>1</v>
      </c>
      <c r="H84" s="43">
        <f t="shared" si="70"/>
        <v>1</v>
      </c>
      <c r="I84" s="43">
        <f t="shared" si="70"/>
        <v>1</v>
      </c>
      <c r="J84" s="43">
        <f t="shared" si="70"/>
        <v>1</v>
      </c>
      <c r="K84" s="43" t="e">
        <f>K83+ATM_Conf!$C$5*(T83-AC83)</f>
        <v>#DIV/0!</v>
      </c>
      <c r="L84" s="43" t="e">
        <f>L83+ATM_Conf!$C$5*(U83-AD83)</f>
        <v>#DIV/0!</v>
      </c>
      <c r="M84" s="43" t="e">
        <f>M83+ATM_Conf!$C$5*(V83-AE83)</f>
        <v>#DIV/0!</v>
      </c>
      <c r="N84" s="43" t="e">
        <f>N83+ATM_Conf!$C$5*(W83-AF83)</f>
        <v>#DIV/0!</v>
      </c>
      <c r="O84" s="43" t="e">
        <f>O83+ATM_Conf!$C$5*(X83-AG83)</f>
        <v>#DIV/0!</v>
      </c>
      <c r="P84" s="43" t="e">
        <f>P83+ATM_Conf!$C$5*(Y83-AH83)</f>
        <v>#DIV/0!</v>
      </c>
      <c r="Q84" s="43" t="e">
        <f>Q83+ATM_Conf!$C$5*(Z83-AI83)</f>
        <v>#DIV/0!</v>
      </c>
      <c r="R84" s="43" t="e">
        <f>R83+ATM_Conf!$C$5*(AA83-AJ83)</f>
        <v>#DIV/0!</v>
      </c>
      <c r="S84" s="43" t="e">
        <f>S83+ATM_Conf!$C$5*(AB83-AK83)</f>
        <v>#DIV/0!</v>
      </c>
      <c r="T84" s="43">
        <f t="shared" si="48"/>
        <v>0</v>
      </c>
      <c r="U84" s="43">
        <f t="shared" si="45"/>
        <v>0</v>
      </c>
      <c r="V84" s="43">
        <f t="shared" si="45"/>
        <v>0</v>
      </c>
      <c r="W84" s="43">
        <f t="shared" si="45"/>
        <v>0</v>
      </c>
      <c r="X84" s="43">
        <f t="shared" si="45"/>
        <v>0</v>
      </c>
      <c r="Y84" s="43">
        <f t="shared" si="45"/>
        <v>0</v>
      </c>
      <c r="Z84" s="43">
        <f t="shared" si="45"/>
        <v>0</v>
      </c>
      <c r="AA84" s="43">
        <f t="shared" si="45"/>
        <v>0</v>
      </c>
      <c r="AB84" s="43">
        <f t="shared" si="45"/>
        <v>0</v>
      </c>
      <c r="AC84" s="43" t="e">
        <f t="shared" si="51"/>
        <v>#DIV/0!</v>
      </c>
      <c r="AD84" s="43" t="e">
        <f t="shared" si="52"/>
        <v>#DIV/0!</v>
      </c>
      <c r="AE84" s="43" t="e">
        <f t="shared" si="53"/>
        <v>#DIV/0!</v>
      </c>
      <c r="AF84" s="43" t="e">
        <f t="shared" si="54"/>
        <v>#DIV/0!</v>
      </c>
      <c r="AG84" s="43" t="e">
        <f t="shared" si="55"/>
        <v>#DIV/0!</v>
      </c>
      <c r="AH84" s="43" t="e">
        <f t="shared" si="56"/>
        <v>#DIV/0!</v>
      </c>
      <c r="AI84" s="43" t="e">
        <f t="shared" si="57"/>
        <v>#DIV/0!</v>
      </c>
      <c r="AJ84" s="43" t="e">
        <f t="shared" si="58"/>
        <v>#DIV/0!</v>
      </c>
      <c r="AK84" s="43" t="e">
        <f t="shared" si="59"/>
        <v>#DIV/0!</v>
      </c>
      <c r="AL84" s="43" t="e">
        <f>T$3+K84/ATM_Conf!$C$5</f>
        <v>#DIV/0!</v>
      </c>
      <c r="AM84" s="43" t="e">
        <f>U$3+L84/ATM_Conf!$C$5</f>
        <v>#DIV/0!</v>
      </c>
      <c r="AN84" s="43" t="e">
        <f>V$3+M84/ATM_Conf!$C$5</f>
        <v>#DIV/0!</v>
      </c>
      <c r="AO84" s="43" t="e">
        <f>W$3+N84/ATM_Conf!$C$5</f>
        <v>#DIV/0!</v>
      </c>
      <c r="AP84" s="43" t="e">
        <f>X$3+O84/ATM_Conf!$C$5</f>
        <v>#DIV/0!</v>
      </c>
      <c r="AQ84" s="43" t="e">
        <f>Y$3+P84/ATM_Conf!$C$5</f>
        <v>#DIV/0!</v>
      </c>
      <c r="AR84" s="43" t="e">
        <f>Z$3+Q84/ATM_Conf!$C$5</f>
        <v>#DIV/0!</v>
      </c>
      <c r="AS84" s="43" t="e">
        <f>AA$3+R84/ATM_Conf!$C$5</f>
        <v>#DIV/0!</v>
      </c>
      <c r="AT84" s="43" t="e">
        <f>AB$3+S84/ATM_Conf!$C$5</f>
        <v>#DIV/0!</v>
      </c>
      <c r="AU84" s="43" t="e">
        <f>BD$3*MIN(1,(ATM_Conf!$C$6-Links!X84)/(ATM_Conf!$C$6-ATM_Conf!$C$7))</f>
        <v>#DIV/0!</v>
      </c>
      <c r="AV84" s="43" t="e">
        <f>BE$3*MIN(1,(ATM_Conf!$C$6-Links!Z84)/(ATM_Conf!$C$6-ATM_Conf!$C$7))</f>
        <v>#DIV/0!</v>
      </c>
      <c r="AW84" s="43" t="e">
        <f>BF$3*MIN(1,(ATM_Conf!$C$6-Links!AA84)/(ATM_Conf!$C$6-ATM_Conf!$C$7))</f>
        <v>#DIV/0!</v>
      </c>
      <c r="AX84" s="43" t="e">
        <f>BG$3*MIN(1,(ATM_Conf!$C$6-Links!AD84)/(ATM_Conf!$C$6-ATM_Conf!$C$7))</f>
        <v>#DIV/0!</v>
      </c>
      <c r="AY84" s="43" t="e">
        <f>BH$3*MIN(1,(ATM_Conf!$C$6-Links!AE84)/(ATM_Conf!$C$6-ATM_Conf!$C$7))</f>
        <v>#DIV/0!</v>
      </c>
      <c r="AZ84" s="43" t="e">
        <f>BI$3*MIN(1,(ATM_Conf!$C$6-Links!AG84)/(ATM_Conf!$C$6-ATM_Conf!$C$7))</f>
        <v>#DIV/0!</v>
      </c>
      <c r="BA84" s="43" t="e">
        <f>BJ$3*MIN(1,(ATM_Conf!$C$6-Links!AH84)/(ATM_Conf!$C$6-ATM_Conf!$C$7))</f>
        <v>#DIV/0!</v>
      </c>
      <c r="BB84" s="43" t="e">
        <f>BK$3*MIN(1,(ATM_Conf!$C$6-Links!AK84)/(ATM_Conf!$C$6-ATM_Conf!$C$7))</f>
        <v>#DIV/0!</v>
      </c>
      <c r="BC84" s="43" t="e">
        <f>BL$3*MIN(1,(ATM_Conf!$C$6-Links!AM84)/(ATM_Conf!$C$6-ATM_Conf!$C$7))</f>
        <v>#DIV/0!</v>
      </c>
      <c r="BD84" s="43">
        <f t="shared" si="49"/>
        <v>0</v>
      </c>
      <c r="BE84" s="43">
        <f t="shared" si="46"/>
        <v>0</v>
      </c>
      <c r="BF84" s="43">
        <f t="shared" si="46"/>
        <v>0</v>
      </c>
      <c r="BG84" s="43">
        <f t="shared" si="46"/>
        <v>0</v>
      </c>
      <c r="BH84" s="43">
        <f t="shared" si="46"/>
        <v>0</v>
      </c>
      <c r="BI84" s="43">
        <f t="shared" si="46"/>
        <v>0</v>
      </c>
      <c r="BJ84" s="43">
        <f t="shared" si="46"/>
        <v>0</v>
      </c>
      <c r="BK84" s="43">
        <f t="shared" si="46"/>
        <v>0</v>
      </c>
      <c r="BL84" s="43">
        <f t="shared" si="46"/>
        <v>0</v>
      </c>
      <c r="BM84" s="51"/>
      <c r="BN84" s="51"/>
      <c r="BO84" s="51"/>
      <c r="BP84" s="51"/>
      <c r="BQ84" s="51"/>
      <c r="BR84" s="51"/>
      <c r="BS84" s="51"/>
      <c r="BT84" s="51"/>
      <c r="BU84" s="51"/>
      <c r="BV84" s="51" t="e">
        <f t="shared" si="60"/>
        <v>#DIV/0!</v>
      </c>
      <c r="BW84" s="51" t="e">
        <f t="shared" si="61"/>
        <v>#DIV/0!</v>
      </c>
      <c r="BX84" s="51" t="e">
        <f t="shared" si="62"/>
        <v>#DIV/0!</v>
      </c>
      <c r="BY84" s="51" t="e">
        <f t="shared" si="63"/>
        <v>#DIV/0!</v>
      </c>
      <c r="BZ84" s="51" t="e">
        <f t="shared" si="64"/>
        <v>#DIV/0!</v>
      </c>
      <c r="CA84" s="51" t="e">
        <f t="shared" si="65"/>
        <v>#DIV/0!</v>
      </c>
      <c r="CB84" s="51" t="e">
        <f t="shared" si="66"/>
        <v>#DIV/0!</v>
      </c>
      <c r="CC84" s="51" t="e">
        <f t="shared" si="67"/>
        <v>#DIV/0!</v>
      </c>
      <c r="CD84" s="51" t="e">
        <f t="shared" si="68"/>
        <v>#DIV/0!</v>
      </c>
      <c r="CE84" s="53">
        <f t="shared" si="50"/>
        <v>0</v>
      </c>
      <c r="CF84" s="53">
        <f t="shared" si="47"/>
        <v>0</v>
      </c>
      <c r="CG84" s="53">
        <f t="shared" si="47"/>
        <v>0</v>
      </c>
      <c r="CH84" s="53">
        <f t="shared" si="47"/>
        <v>0</v>
      </c>
      <c r="CI84" s="53">
        <f t="shared" si="47"/>
        <v>0</v>
      </c>
      <c r="CJ84" s="53">
        <f t="shared" si="47"/>
        <v>0</v>
      </c>
      <c r="CK84" s="53">
        <f t="shared" si="47"/>
        <v>0</v>
      </c>
      <c r="CL84" s="53">
        <f t="shared" si="47"/>
        <v>0</v>
      </c>
      <c r="CM84" s="53">
        <f t="shared" si="47"/>
        <v>0</v>
      </c>
    </row>
    <row r="85" spans="1:91" x14ac:dyDescent="0.15">
      <c r="A85" s="41">
        <v>83</v>
      </c>
      <c r="B85" s="43">
        <f t="shared" si="71"/>
        <v>1</v>
      </c>
      <c r="C85" s="43">
        <f t="shared" si="70"/>
        <v>1</v>
      </c>
      <c r="D85" s="43">
        <f t="shared" si="70"/>
        <v>1</v>
      </c>
      <c r="E85" s="43">
        <f t="shared" si="70"/>
        <v>1</v>
      </c>
      <c r="F85" s="43">
        <f t="shared" si="70"/>
        <v>1</v>
      </c>
      <c r="G85" s="43">
        <f t="shared" si="70"/>
        <v>1</v>
      </c>
      <c r="H85" s="43">
        <f t="shared" si="70"/>
        <v>1</v>
      </c>
      <c r="I85" s="43">
        <f t="shared" si="70"/>
        <v>1</v>
      </c>
      <c r="J85" s="43">
        <f t="shared" si="70"/>
        <v>1</v>
      </c>
      <c r="K85" s="43" t="e">
        <f>K84+ATM_Conf!$C$5*(T84-AC84)</f>
        <v>#DIV/0!</v>
      </c>
      <c r="L85" s="43" t="e">
        <f>L84+ATM_Conf!$C$5*(U84-AD84)</f>
        <v>#DIV/0!</v>
      </c>
      <c r="M85" s="43" t="e">
        <f>M84+ATM_Conf!$C$5*(V84-AE84)</f>
        <v>#DIV/0!</v>
      </c>
      <c r="N85" s="43" t="e">
        <f>N84+ATM_Conf!$C$5*(W84-AF84)</f>
        <v>#DIV/0!</v>
      </c>
      <c r="O85" s="43" t="e">
        <f>O84+ATM_Conf!$C$5*(X84-AG84)</f>
        <v>#DIV/0!</v>
      </c>
      <c r="P85" s="43" t="e">
        <f>P84+ATM_Conf!$C$5*(Y84-AH84)</f>
        <v>#DIV/0!</v>
      </c>
      <c r="Q85" s="43" t="e">
        <f>Q84+ATM_Conf!$C$5*(Z84-AI84)</f>
        <v>#DIV/0!</v>
      </c>
      <c r="R85" s="43" t="e">
        <f>R84+ATM_Conf!$C$5*(AA84-AJ84)</f>
        <v>#DIV/0!</v>
      </c>
      <c r="S85" s="43" t="e">
        <f>S84+ATM_Conf!$C$5*(AB84-AK84)</f>
        <v>#DIV/0!</v>
      </c>
      <c r="T85" s="43">
        <f t="shared" si="48"/>
        <v>0</v>
      </c>
      <c r="U85" s="43">
        <f t="shared" si="45"/>
        <v>0</v>
      </c>
      <c r="V85" s="43">
        <f t="shared" si="45"/>
        <v>0</v>
      </c>
      <c r="W85" s="43">
        <f t="shared" si="45"/>
        <v>0</v>
      </c>
      <c r="X85" s="43">
        <f t="shared" si="45"/>
        <v>0</v>
      </c>
      <c r="Y85" s="43">
        <f t="shared" si="45"/>
        <v>0</v>
      </c>
      <c r="Z85" s="43">
        <f t="shared" si="45"/>
        <v>0</v>
      </c>
      <c r="AA85" s="43">
        <f t="shared" si="45"/>
        <v>0</v>
      </c>
      <c r="AB85" s="43">
        <f t="shared" si="45"/>
        <v>0</v>
      </c>
      <c r="AC85" s="43" t="e">
        <f t="shared" si="51"/>
        <v>#DIV/0!</v>
      </c>
      <c r="AD85" s="43" t="e">
        <f t="shared" si="52"/>
        <v>#DIV/0!</v>
      </c>
      <c r="AE85" s="43" t="e">
        <f t="shared" si="53"/>
        <v>#DIV/0!</v>
      </c>
      <c r="AF85" s="43" t="e">
        <f t="shared" si="54"/>
        <v>#DIV/0!</v>
      </c>
      <c r="AG85" s="43" t="e">
        <f t="shared" si="55"/>
        <v>#DIV/0!</v>
      </c>
      <c r="AH85" s="43" t="e">
        <f t="shared" si="56"/>
        <v>#DIV/0!</v>
      </c>
      <c r="AI85" s="43" t="e">
        <f t="shared" si="57"/>
        <v>#DIV/0!</v>
      </c>
      <c r="AJ85" s="43" t="e">
        <f t="shared" si="58"/>
        <v>#DIV/0!</v>
      </c>
      <c r="AK85" s="43" t="e">
        <f t="shared" si="59"/>
        <v>#DIV/0!</v>
      </c>
      <c r="AL85" s="43" t="e">
        <f>T$3+K85/ATM_Conf!$C$5</f>
        <v>#DIV/0!</v>
      </c>
      <c r="AM85" s="43" t="e">
        <f>U$3+L85/ATM_Conf!$C$5</f>
        <v>#DIV/0!</v>
      </c>
      <c r="AN85" s="43" t="e">
        <f>V$3+M85/ATM_Conf!$C$5</f>
        <v>#DIV/0!</v>
      </c>
      <c r="AO85" s="43" t="e">
        <f>W$3+N85/ATM_Conf!$C$5</f>
        <v>#DIV/0!</v>
      </c>
      <c r="AP85" s="43" t="e">
        <f>X$3+O85/ATM_Conf!$C$5</f>
        <v>#DIV/0!</v>
      </c>
      <c r="AQ85" s="43" t="e">
        <f>Y$3+P85/ATM_Conf!$C$5</f>
        <v>#DIV/0!</v>
      </c>
      <c r="AR85" s="43" t="e">
        <f>Z$3+Q85/ATM_Conf!$C$5</f>
        <v>#DIV/0!</v>
      </c>
      <c r="AS85" s="43" t="e">
        <f>AA$3+R85/ATM_Conf!$C$5</f>
        <v>#DIV/0!</v>
      </c>
      <c r="AT85" s="43" t="e">
        <f>AB$3+S85/ATM_Conf!$C$5</f>
        <v>#DIV/0!</v>
      </c>
      <c r="AU85" s="43" t="e">
        <f>BD$3*MIN(1,(ATM_Conf!$C$6-Links!X85)/(ATM_Conf!$C$6-ATM_Conf!$C$7))</f>
        <v>#DIV/0!</v>
      </c>
      <c r="AV85" s="43" t="e">
        <f>BE$3*MIN(1,(ATM_Conf!$C$6-Links!Z85)/(ATM_Conf!$C$6-ATM_Conf!$C$7))</f>
        <v>#DIV/0!</v>
      </c>
      <c r="AW85" s="43" t="e">
        <f>BF$3*MIN(1,(ATM_Conf!$C$6-Links!AA85)/(ATM_Conf!$C$6-ATM_Conf!$C$7))</f>
        <v>#DIV/0!</v>
      </c>
      <c r="AX85" s="43" t="e">
        <f>BG$3*MIN(1,(ATM_Conf!$C$6-Links!AD85)/(ATM_Conf!$C$6-ATM_Conf!$C$7))</f>
        <v>#DIV/0!</v>
      </c>
      <c r="AY85" s="43" t="e">
        <f>BH$3*MIN(1,(ATM_Conf!$C$6-Links!AE85)/(ATM_Conf!$C$6-ATM_Conf!$C$7))</f>
        <v>#DIV/0!</v>
      </c>
      <c r="AZ85" s="43" t="e">
        <f>BI$3*MIN(1,(ATM_Conf!$C$6-Links!AG85)/(ATM_Conf!$C$6-ATM_Conf!$C$7))</f>
        <v>#DIV/0!</v>
      </c>
      <c r="BA85" s="43" t="e">
        <f>BJ$3*MIN(1,(ATM_Conf!$C$6-Links!AH85)/(ATM_Conf!$C$6-ATM_Conf!$C$7))</f>
        <v>#DIV/0!</v>
      </c>
      <c r="BB85" s="43" t="e">
        <f>BK$3*MIN(1,(ATM_Conf!$C$6-Links!AK85)/(ATM_Conf!$C$6-ATM_Conf!$C$7))</f>
        <v>#DIV/0!</v>
      </c>
      <c r="BC85" s="43" t="e">
        <f>BL$3*MIN(1,(ATM_Conf!$C$6-Links!AM85)/(ATM_Conf!$C$6-ATM_Conf!$C$7))</f>
        <v>#DIV/0!</v>
      </c>
      <c r="BD85" s="43">
        <f t="shared" si="49"/>
        <v>0</v>
      </c>
      <c r="BE85" s="43">
        <f t="shared" si="46"/>
        <v>0</v>
      </c>
      <c r="BF85" s="43">
        <f t="shared" si="46"/>
        <v>0</v>
      </c>
      <c r="BG85" s="43">
        <f t="shared" si="46"/>
        <v>0</v>
      </c>
      <c r="BH85" s="43">
        <f t="shared" si="46"/>
        <v>0</v>
      </c>
      <c r="BI85" s="43">
        <f t="shared" si="46"/>
        <v>0</v>
      </c>
      <c r="BJ85" s="43">
        <f t="shared" si="46"/>
        <v>0</v>
      </c>
      <c r="BK85" s="43">
        <f t="shared" si="46"/>
        <v>0</v>
      </c>
      <c r="BL85" s="43">
        <f t="shared" si="46"/>
        <v>0</v>
      </c>
      <c r="BM85" s="51"/>
      <c r="BN85" s="51"/>
      <c r="BO85" s="51"/>
      <c r="BP85" s="51"/>
      <c r="BQ85" s="51"/>
      <c r="BR85" s="51"/>
      <c r="BS85" s="51"/>
      <c r="BT85" s="51"/>
      <c r="BU85" s="51"/>
      <c r="BV85" s="51" t="e">
        <f t="shared" si="60"/>
        <v>#DIV/0!</v>
      </c>
      <c r="BW85" s="51" t="e">
        <f t="shared" si="61"/>
        <v>#DIV/0!</v>
      </c>
      <c r="BX85" s="51" t="e">
        <f t="shared" si="62"/>
        <v>#DIV/0!</v>
      </c>
      <c r="BY85" s="51" t="e">
        <f t="shared" si="63"/>
        <v>#DIV/0!</v>
      </c>
      <c r="BZ85" s="51" t="e">
        <f t="shared" si="64"/>
        <v>#DIV/0!</v>
      </c>
      <c r="CA85" s="51" t="e">
        <f t="shared" si="65"/>
        <v>#DIV/0!</v>
      </c>
      <c r="CB85" s="51" t="e">
        <f t="shared" si="66"/>
        <v>#DIV/0!</v>
      </c>
      <c r="CC85" s="51" t="e">
        <f t="shared" si="67"/>
        <v>#DIV/0!</v>
      </c>
      <c r="CD85" s="51" t="e">
        <f t="shared" si="68"/>
        <v>#DIV/0!</v>
      </c>
      <c r="CE85" s="53">
        <f t="shared" si="50"/>
        <v>0</v>
      </c>
      <c r="CF85" s="53">
        <f t="shared" si="47"/>
        <v>0</v>
      </c>
      <c r="CG85" s="53">
        <f t="shared" si="47"/>
        <v>0</v>
      </c>
      <c r="CH85" s="53">
        <f t="shared" si="47"/>
        <v>0</v>
      </c>
      <c r="CI85" s="53">
        <f t="shared" si="47"/>
        <v>0</v>
      </c>
      <c r="CJ85" s="53">
        <f t="shared" si="47"/>
        <v>0</v>
      </c>
      <c r="CK85" s="53">
        <f t="shared" si="47"/>
        <v>0</v>
      </c>
      <c r="CL85" s="53">
        <f t="shared" si="47"/>
        <v>0</v>
      </c>
      <c r="CM85" s="53">
        <f t="shared" si="47"/>
        <v>0</v>
      </c>
    </row>
    <row r="86" spans="1:91" x14ac:dyDescent="0.15">
      <c r="A86" s="41">
        <v>84</v>
      </c>
      <c r="B86" s="43">
        <f t="shared" si="71"/>
        <v>1</v>
      </c>
      <c r="C86" s="43">
        <f t="shared" si="70"/>
        <v>1</v>
      </c>
      <c r="D86" s="43">
        <f t="shared" si="70"/>
        <v>1</v>
      </c>
      <c r="E86" s="43">
        <f t="shared" si="70"/>
        <v>1</v>
      </c>
      <c r="F86" s="43">
        <f t="shared" si="70"/>
        <v>1</v>
      </c>
      <c r="G86" s="43">
        <f t="shared" si="70"/>
        <v>1</v>
      </c>
      <c r="H86" s="43">
        <f t="shared" si="70"/>
        <v>1</v>
      </c>
      <c r="I86" s="43">
        <f t="shared" si="70"/>
        <v>1</v>
      </c>
      <c r="J86" s="43">
        <f t="shared" si="70"/>
        <v>1</v>
      </c>
      <c r="K86" s="43" t="e">
        <f>K85+ATM_Conf!$C$5*(T85-AC85)</f>
        <v>#DIV/0!</v>
      </c>
      <c r="L86" s="43" t="e">
        <f>L85+ATM_Conf!$C$5*(U85-AD85)</f>
        <v>#DIV/0!</v>
      </c>
      <c r="M86" s="43" t="e">
        <f>M85+ATM_Conf!$C$5*(V85-AE85)</f>
        <v>#DIV/0!</v>
      </c>
      <c r="N86" s="43" t="e">
        <f>N85+ATM_Conf!$C$5*(W85-AF85)</f>
        <v>#DIV/0!</v>
      </c>
      <c r="O86" s="43" t="e">
        <f>O85+ATM_Conf!$C$5*(X85-AG85)</f>
        <v>#DIV/0!</v>
      </c>
      <c r="P86" s="43" t="e">
        <f>P85+ATM_Conf!$C$5*(Y85-AH85)</f>
        <v>#DIV/0!</v>
      </c>
      <c r="Q86" s="43" t="e">
        <f>Q85+ATM_Conf!$C$5*(Z85-AI85)</f>
        <v>#DIV/0!</v>
      </c>
      <c r="R86" s="43" t="e">
        <f>R85+ATM_Conf!$C$5*(AA85-AJ85)</f>
        <v>#DIV/0!</v>
      </c>
      <c r="S86" s="43" t="e">
        <f>S85+ATM_Conf!$C$5*(AB85-AK85)</f>
        <v>#DIV/0!</v>
      </c>
      <c r="T86" s="43">
        <f t="shared" si="48"/>
        <v>0</v>
      </c>
      <c r="U86" s="43">
        <f t="shared" si="45"/>
        <v>0</v>
      </c>
      <c r="V86" s="43">
        <f t="shared" si="45"/>
        <v>0</v>
      </c>
      <c r="W86" s="43">
        <f t="shared" si="45"/>
        <v>0</v>
      </c>
      <c r="X86" s="43">
        <f t="shared" si="45"/>
        <v>0</v>
      </c>
      <c r="Y86" s="43">
        <f t="shared" si="45"/>
        <v>0</v>
      </c>
      <c r="Z86" s="43">
        <f t="shared" si="45"/>
        <v>0</v>
      </c>
      <c r="AA86" s="43">
        <f t="shared" si="45"/>
        <v>0</v>
      </c>
      <c r="AB86" s="43">
        <f t="shared" si="45"/>
        <v>0</v>
      </c>
      <c r="AC86" s="43" t="e">
        <f t="shared" si="51"/>
        <v>#DIV/0!</v>
      </c>
      <c r="AD86" s="43" t="e">
        <f t="shared" si="52"/>
        <v>#DIV/0!</v>
      </c>
      <c r="AE86" s="43" t="e">
        <f t="shared" si="53"/>
        <v>#DIV/0!</v>
      </c>
      <c r="AF86" s="43" t="e">
        <f t="shared" si="54"/>
        <v>#DIV/0!</v>
      </c>
      <c r="AG86" s="43" t="e">
        <f t="shared" si="55"/>
        <v>#DIV/0!</v>
      </c>
      <c r="AH86" s="43" t="e">
        <f t="shared" si="56"/>
        <v>#DIV/0!</v>
      </c>
      <c r="AI86" s="43" t="e">
        <f t="shared" si="57"/>
        <v>#DIV/0!</v>
      </c>
      <c r="AJ86" s="43" t="e">
        <f t="shared" si="58"/>
        <v>#DIV/0!</v>
      </c>
      <c r="AK86" s="43" t="e">
        <f t="shared" si="59"/>
        <v>#DIV/0!</v>
      </c>
      <c r="AL86" s="43" t="e">
        <f>T$3+K86/ATM_Conf!$C$5</f>
        <v>#DIV/0!</v>
      </c>
      <c r="AM86" s="43" t="e">
        <f>U$3+L86/ATM_Conf!$C$5</f>
        <v>#DIV/0!</v>
      </c>
      <c r="AN86" s="43" t="e">
        <f>V$3+M86/ATM_Conf!$C$5</f>
        <v>#DIV/0!</v>
      </c>
      <c r="AO86" s="43" t="e">
        <f>W$3+N86/ATM_Conf!$C$5</f>
        <v>#DIV/0!</v>
      </c>
      <c r="AP86" s="43" t="e">
        <f>X$3+O86/ATM_Conf!$C$5</f>
        <v>#DIV/0!</v>
      </c>
      <c r="AQ86" s="43" t="e">
        <f>Y$3+P86/ATM_Conf!$C$5</f>
        <v>#DIV/0!</v>
      </c>
      <c r="AR86" s="43" t="e">
        <f>Z$3+Q86/ATM_Conf!$C$5</f>
        <v>#DIV/0!</v>
      </c>
      <c r="AS86" s="43" t="e">
        <f>AA$3+R86/ATM_Conf!$C$5</f>
        <v>#DIV/0!</v>
      </c>
      <c r="AT86" s="43" t="e">
        <f>AB$3+S86/ATM_Conf!$C$5</f>
        <v>#DIV/0!</v>
      </c>
      <c r="AU86" s="43" t="e">
        <f>BD$3*MIN(1,(ATM_Conf!$C$6-Links!X86)/(ATM_Conf!$C$6-ATM_Conf!$C$7))</f>
        <v>#DIV/0!</v>
      </c>
      <c r="AV86" s="43" t="e">
        <f>BE$3*MIN(1,(ATM_Conf!$C$6-Links!Z86)/(ATM_Conf!$C$6-ATM_Conf!$C$7))</f>
        <v>#DIV/0!</v>
      </c>
      <c r="AW86" s="43" t="e">
        <f>BF$3*MIN(1,(ATM_Conf!$C$6-Links!AA86)/(ATM_Conf!$C$6-ATM_Conf!$C$7))</f>
        <v>#DIV/0!</v>
      </c>
      <c r="AX86" s="43" t="e">
        <f>BG$3*MIN(1,(ATM_Conf!$C$6-Links!AD86)/(ATM_Conf!$C$6-ATM_Conf!$C$7))</f>
        <v>#DIV/0!</v>
      </c>
      <c r="AY86" s="43" t="e">
        <f>BH$3*MIN(1,(ATM_Conf!$C$6-Links!AE86)/(ATM_Conf!$C$6-ATM_Conf!$C$7))</f>
        <v>#DIV/0!</v>
      </c>
      <c r="AZ86" s="43" t="e">
        <f>BI$3*MIN(1,(ATM_Conf!$C$6-Links!AG86)/(ATM_Conf!$C$6-ATM_Conf!$C$7))</f>
        <v>#DIV/0!</v>
      </c>
      <c r="BA86" s="43" t="e">
        <f>BJ$3*MIN(1,(ATM_Conf!$C$6-Links!AH86)/(ATM_Conf!$C$6-ATM_Conf!$C$7))</f>
        <v>#DIV/0!</v>
      </c>
      <c r="BB86" s="43" t="e">
        <f>BK$3*MIN(1,(ATM_Conf!$C$6-Links!AK86)/(ATM_Conf!$C$6-ATM_Conf!$C$7))</f>
        <v>#DIV/0!</v>
      </c>
      <c r="BC86" s="43" t="e">
        <f>BL$3*MIN(1,(ATM_Conf!$C$6-Links!AM86)/(ATM_Conf!$C$6-ATM_Conf!$C$7))</f>
        <v>#DIV/0!</v>
      </c>
      <c r="BD86" s="43">
        <f t="shared" si="49"/>
        <v>0</v>
      </c>
      <c r="BE86" s="43">
        <f t="shared" si="46"/>
        <v>0</v>
      </c>
      <c r="BF86" s="43">
        <f t="shared" si="46"/>
        <v>0</v>
      </c>
      <c r="BG86" s="43">
        <f t="shared" si="46"/>
        <v>0</v>
      </c>
      <c r="BH86" s="43">
        <f t="shared" si="46"/>
        <v>0</v>
      </c>
      <c r="BI86" s="43">
        <f t="shared" si="46"/>
        <v>0</v>
      </c>
      <c r="BJ86" s="43">
        <f t="shared" si="46"/>
        <v>0</v>
      </c>
      <c r="BK86" s="43">
        <f t="shared" si="46"/>
        <v>0</v>
      </c>
      <c r="BL86" s="43">
        <f t="shared" si="46"/>
        <v>0</v>
      </c>
      <c r="BM86" s="51"/>
      <c r="BN86" s="51"/>
      <c r="BO86" s="51"/>
      <c r="BP86" s="51"/>
      <c r="BQ86" s="51"/>
      <c r="BR86" s="51"/>
      <c r="BS86" s="51"/>
      <c r="BT86" s="51"/>
      <c r="BU86" s="51"/>
      <c r="BV86" s="51" t="e">
        <f t="shared" si="60"/>
        <v>#DIV/0!</v>
      </c>
      <c r="BW86" s="51" t="e">
        <f t="shared" si="61"/>
        <v>#DIV/0!</v>
      </c>
      <c r="BX86" s="51" t="e">
        <f t="shared" si="62"/>
        <v>#DIV/0!</v>
      </c>
      <c r="BY86" s="51" t="e">
        <f t="shared" si="63"/>
        <v>#DIV/0!</v>
      </c>
      <c r="BZ86" s="51" t="e">
        <f t="shared" si="64"/>
        <v>#DIV/0!</v>
      </c>
      <c r="CA86" s="51" t="e">
        <f t="shared" si="65"/>
        <v>#DIV/0!</v>
      </c>
      <c r="CB86" s="51" t="e">
        <f t="shared" si="66"/>
        <v>#DIV/0!</v>
      </c>
      <c r="CC86" s="51" t="e">
        <f t="shared" si="67"/>
        <v>#DIV/0!</v>
      </c>
      <c r="CD86" s="51" t="e">
        <f t="shared" si="68"/>
        <v>#DIV/0!</v>
      </c>
      <c r="CE86" s="53">
        <f t="shared" si="50"/>
        <v>0</v>
      </c>
      <c r="CF86" s="53">
        <f t="shared" si="47"/>
        <v>0</v>
      </c>
      <c r="CG86" s="53">
        <f t="shared" si="47"/>
        <v>0</v>
      </c>
      <c r="CH86" s="53">
        <f t="shared" si="47"/>
        <v>0</v>
      </c>
      <c r="CI86" s="53">
        <f t="shared" si="47"/>
        <v>0</v>
      </c>
      <c r="CJ86" s="53">
        <f t="shared" si="47"/>
        <v>0</v>
      </c>
      <c r="CK86" s="53">
        <f t="shared" si="47"/>
        <v>0</v>
      </c>
      <c r="CL86" s="53">
        <f t="shared" si="47"/>
        <v>0</v>
      </c>
      <c r="CM86" s="53">
        <f t="shared" si="47"/>
        <v>0</v>
      </c>
    </row>
    <row r="87" spans="1:91" x14ac:dyDescent="0.15">
      <c r="A87" s="41">
        <v>85</v>
      </c>
      <c r="B87" s="45">
        <v>1</v>
      </c>
      <c r="C87" s="45">
        <v>1</v>
      </c>
      <c r="D87" s="45">
        <v>1</v>
      </c>
      <c r="E87" s="45">
        <v>1</v>
      </c>
      <c r="F87" s="45">
        <v>1</v>
      </c>
      <c r="G87" s="45">
        <v>1</v>
      </c>
      <c r="H87" s="45">
        <v>1</v>
      </c>
      <c r="I87" s="45">
        <v>1</v>
      </c>
      <c r="J87" s="45">
        <v>1</v>
      </c>
      <c r="K87" s="43" t="e">
        <f>K86+ATM_Conf!$C$5*(T86-AC86)</f>
        <v>#DIV/0!</v>
      </c>
      <c r="L87" s="43" t="e">
        <f>L86+ATM_Conf!$C$5*(U86-AD86)</f>
        <v>#DIV/0!</v>
      </c>
      <c r="M87" s="43" t="e">
        <f>M86+ATM_Conf!$C$5*(V86-AE86)</f>
        <v>#DIV/0!</v>
      </c>
      <c r="N87" s="43" t="e">
        <f>N86+ATM_Conf!$C$5*(W86-AF86)</f>
        <v>#DIV/0!</v>
      </c>
      <c r="O87" s="43" t="e">
        <f>O86+ATM_Conf!$C$5*(X86-AG86)</f>
        <v>#DIV/0!</v>
      </c>
      <c r="P87" s="43" t="e">
        <f>P86+ATM_Conf!$C$5*(Y86-AH86)</f>
        <v>#DIV/0!</v>
      </c>
      <c r="Q87" s="43" t="e">
        <f>Q86+ATM_Conf!$C$5*(Z86-AI86)</f>
        <v>#DIV/0!</v>
      </c>
      <c r="R87" s="43" t="e">
        <f>R86+ATM_Conf!$C$5*(AA86-AJ86)</f>
        <v>#DIV/0!</v>
      </c>
      <c r="S87" s="43" t="e">
        <f>S86+ATM_Conf!$C$5*(AB86-AK86)</f>
        <v>#DIV/0!</v>
      </c>
      <c r="T87" s="43">
        <f t="shared" si="48"/>
        <v>0</v>
      </c>
      <c r="U87" s="43">
        <f t="shared" si="45"/>
        <v>0</v>
      </c>
      <c r="V87" s="43">
        <f t="shared" si="45"/>
        <v>0</v>
      </c>
      <c r="W87" s="43">
        <f t="shared" si="45"/>
        <v>0</v>
      </c>
      <c r="X87" s="43">
        <f t="shared" si="45"/>
        <v>0</v>
      </c>
      <c r="Y87" s="43">
        <f t="shared" si="45"/>
        <v>0</v>
      </c>
      <c r="Z87" s="43">
        <f t="shared" si="45"/>
        <v>0</v>
      </c>
      <c r="AA87" s="43">
        <f t="shared" si="45"/>
        <v>0</v>
      </c>
      <c r="AB87" s="43">
        <f t="shared" si="45"/>
        <v>0</v>
      </c>
      <c r="AC87" s="43" t="e">
        <f t="shared" si="51"/>
        <v>#DIV/0!</v>
      </c>
      <c r="AD87" s="43" t="e">
        <f t="shared" si="52"/>
        <v>#DIV/0!</v>
      </c>
      <c r="AE87" s="43" t="e">
        <f t="shared" si="53"/>
        <v>#DIV/0!</v>
      </c>
      <c r="AF87" s="43" t="e">
        <f t="shared" si="54"/>
        <v>#DIV/0!</v>
      </c>
      <c r="AG87" s="43" t="e">
        <f t="shared" si="55"/>
        <v>#DIV/0!</v>
      </c>
      <c r="AH87" s="43" t="e">
        <f t="shared" si="56"/>
        <v>#DIV/0!</v>
      </c>
      <c r="AI87" s="43" t="e">
        <f t="shared" si="57"/>
        <v>#DIV/0!</v>
      </c>
      <c r="AJ87" s="43" t="e">
        <f t="shared" si="58"/>
        <v>#DIV/0!</v>
      </c>
      <c r="AK87" s="43" t="e">
        <f t="shared" si="59"/>
        <v>#DIV/0!</v>
      </c>
      <c r="AL87" s="43" t="e">
        <f>T$3+K87/ATM_Conf!$C$5</f>
        <v>#DIV/0!</v>
      </c>
      <c r="AM87" s="43" t="e">
        <f>U$3+L87/ATM_Conf!$C$5</f>
        <v>#DIV/0!</v>
      </c>
      <c r="AN87" s="43" t="e">
        <f>V$3+M87/ATM_Conf!$C$5</f>
        <v>#DIV/0!</v>
      </c>
      <c r="AO87" s="43" t="e">
        <f>W$3+N87/ATM_Conf!$C$5</f>
        <v>#DIV/0!</v>
      </c>
      <c r="AP87" s="43" t="e">
        <f>X$3+O87/ATM_Conf!$C$5</f>
        <v>#DIV/0!</v>
      </c>
      <c r="AQ87" s="43" t="e">
        <f>Y$3+P87/ATM_Conf!$C$5</f>
        <v>#DIV/0!</v>
      </c>
      <c r="AR87" s="43" t="e">
        <f>Z$3+Q87/ATM_Conf!$C$5</f>
        <v>#DIV/0!</v>
      </c>
      <c r="AS87" s="43" t="e">
        <f>AA$3+R87/ATM_Conf!$C$5</f>
        <v>#DIV/0!</v>
      </c>
      <c r="AT87" s="43" t="e">
        <f>AB$3+S87/ATM_Conf!$C$5</f>
        <v>#DIV/0!</v>
      </c>
      <c r="AU87" s="43" t="e">
        <f>BD$3*MIN(1,(ATM_Conf!$C$6-Links!X87)/(ATM_Conf!$C$6-ATM_Conf!$C$7))</f>
        <v>#DIV/0!</v>
      </c>
      <c r="AV87" s="43" t="e">
        <f>BE$3*MIN(1,(ATM_Conf!$C$6-Links!Z87)/(ATM_Conf!$C$6-ATM_Conf!$C$7))</f>
        <v>#DIV/0!</v>
      </c>
      <c r="AW87" s="43" t="e">
        <f>BF$3*MIN(1,(ATM_Conf!$C$6-Links!AA87)/(ATM_Conf!$C$6-ATM_Conf!$C$7))</f>
        <v>#DIV/0!</v>
      </c>
      <c r="AX87" s="43" t="e">
        <f>BG$3*MIN(1,(ATM_Conf!$C$6-Links!AD87)/(ATM_Conf!$C$6-ATM_Conf!$C$7))</f>
        <v>#DIV/0!</v>
      </c>
      <c r="AY87" s="43" t="e">
        <f>BH$3*MIN(1,(ATM_Conf!$C$6-Links!AE87)/(ATM_Conf!$C$6-ATM_Conf!$C$7))</f>
        <v>#DIV/0!</v>
      </c>
      <c r="AZ87" s="43" t="e">
        <f>BI$3*MIN(1,(ATM_Conf!$C$6-Links!AG87)/(ATM_Conf!$C$6-ATM_Conf!$C$7))</f>
        <v>#DIV/0!</v>
      </c>
      <c r="BA87" s="43" t="e">
        <f>BJ$3*MIN(1,(ATM_Conf!$C$6-Links!AH87)/(ATM_Conf!$C$6-ATM_Conf!$C$7))</f>
        <v>#DIV/0!</v>
      </c>
      <c r="BB87" s="43" t="e">
        <f>BK$3*MIN(1,(ATM_Conf!$C$6-Links!AK87)/(ATM_Conf!$C$6-ATM_Conf!$C$7))</f>
        <v>#DIV/0!</v>
      </c>
      <c r="BC87" s="43" t="e">
        <f>BL$3*MIN(1,(ATM_Conf!$C$6-Links!AM87)/(ATM_Conf!$C$6-ATM_Conf!$C$7))</f>
        <v>#DIV/0!</v>
      </c>
      <c r="BD87" s="43">
        <f t="shared" si="49"/>
        <v>0</v>
      </c>
      <c r="BE87" s="43">
        <f t="shared" si="46"/>
        <v>0</v>
      </c>
      <c r="BF87" s="43">
        <f t="shared" si="46"/>
        <v>0</v>
      </c>
      <c r="BG87" s="43">
        <f t="shared" si="46"/>
        <v>0</v>
      </c>
      <c r="BH87" s="43">
        <f t="shared" si="46"/>
        <v>0</v>
      </c>
      <c r="BI87" s="43">
        <f t="shared" si="46"/>
        <v>0</v>
      </c>
      <c r="BJ87" s="43">
        <f t="shared" si="46"/>
        <v>0</v>
      </c>
      <c r="BK87" s="43">
        <f t="shared" si="46"/>
        <v>0</v>
      </c>
      <c r="BL87" s="43">
        <f t="shared" si="46"/>
        <v>0</v>
      </c>
      <c r="BM87" s="51">
        <f>(B87-B75)^2</f>
        <v>0</v>
      </c>
      <c r="BN87" s="51">
        <f t="shared" ref="BN87:BU87" si="72">(C87-C75)^2</f>
        <v>0</v>
      </c>
      <c r="BO87" s="51">
        <f t="shared" si="72"/>
        <v>0</v>
      </c>
      <c r="BP87" s="51">
        <f t="shared" si="72"/>
        <v>0</v>
      </c>
      <c r="BQ87" s="51">
        <f t="shared" si="72"/>
        <v>0</v>
      </c>
      <c r="BR87" s="51">
        <f t="shared" si="72"/>
        <v>0</v>
      </c>
      <c r="BS87" s="51">
        <f t="shared" si="72"/>
        <v>0</v>
      </c>
      <c r="BT87" s="51">
        <f t="shared" si="72"/>
        <v>0</v>
      </c>
      <c r="BU87" s="51">
        <f t="shared" si="72"/>
        <v>0</v>
      </c>
      <c r="BV87" s="51" t="e">
        <f t="shared" si="60"/>
        <v>#DIV/0!</v>
      </c>
      <c r="BW87" s="51" t="e">
        <f t="shared" si="61"/>
        <v>#DIV/0!</v>
      </c>
      <c r="BX87" s="51" t="e">
        <f t="shared" si="62"/>
        <v>#DIV/0!</v>
      </c>
      <c r="BY87" s="51" t="e">
        <f t="shared" si="63"/>
        <v>#DIV/0!</v>
      </c>
      <c r="BZ87" s="51" t="e">
        <f t="shared" si="64"/>
        <v>#DIV/0!</v>
      </c>
      <c r="CA87" s="51" t="e">
        <f t="shared" si="65"/>
        <v>#DIV/0!</v>
      </c>
      <c r="CB87" s="51" t="e">
        <f t="shared" si="66"/>
        <v>#DIV/0!</v>
      </c>
      <c r="CC87" s="51" t="e">
        <f t="shared" si="67"/>
        <v>#DIV/0!</v>
      </c>
      <c r="CD87" s="51" t="e">
        <f t="shared" si="68"/>
        <v>#DIV/0!</v>
      </c>
      <c r="CE87" s="53">
        <f t="shared" si="50"/>
        <v>0</v>
      </c>
      <c r="CF87" s="53">
        <f t="shared" si="47"/>
        <v>0</v>
      </c>
      <c r="CG87" s="53">
        <f t="shared" si="47"/>
        <v>0</v>
      </c>
      <c r="CH87" s="53">
        <f t="shared" si="47"/>
        <v>0</v>
      </c>
      <c r="CI87" s="53">
        <f t="shared" si="47"/>
        <v>0</v>
      </c>
      <c r="CJ87" s="53">
        <f t="shared" si="47"/>
        <v>0</v>
      </c>
      <c r="CK87" s="53">
        <f t="shared" si="47"/>
        <v>0</v>
      </c>
      <c r="CL87" s="53">
        <f t="shared" si="47"/>
        <v>0</v>
      </c>
      <c r="CM87" s="53">
        <f t="shared" si="47"/>
        <v>0</v>
      </c>
    </row>
    <row r="88" spans="1:91" x14ac:dyDescent="0.15">
      <c r="A88" s="41">
        <v>86</v>
      </c>
      <c r="B88" s="43">
        <f>B$87</f>
        <v>1</v>
      </c>
      <c r="C88" s="43">
        <f t="shared" ref="C88:J98" si="73">C$87</f>
        <v>1</v>
      </c>
      <c r="D88" s="43">
        <f t="shared" si="73"/>
        <v>1</v>
      </c>
      <c r="E88" s="43">
        <f t="shared" si="73"/>
        <v>1</v>
      </c>
      <c r="F88" s="43">
        <f t="shared" si="73"/>
        <v>1</v>
      </c>
      <c r="G88" s="43">
        <f t="shared" si="73"/>
        <v>1</v>
      </c>
      <c r="H88" s="43">
        <f t="shared" si="73"/>
        <v>1</v>
      </c>
      <c r="I88" s="43">
        <f t="shared" si="73"/>
        <v>1</v>
      </c>
      <c r="J88" s="43">
        <f t="shared" si="73"/>
        <v>1</v>
      </c>
      <c r="K88" s="43" t="e">
        <f>K87+ATM_Conf!$C$5*(T87-AC87)</f>
        <v>#DIV/0!</v>
      </c>
      <c r="L88" s="43" t="e">
        <f>L87+ATM_Conf!$C$5*(U87-AD87)</f>
        <v>#DIV/0!</v>
      </c>
      <c r="M88" s="43" t="e">
        <f>M87+ATM_Conf!$C$5*(V87-AE87)</f>
        <v>#DIV/0!</v>
      </c>
      <c r="N88" s="43" t="e">
        <f>N87+ATM_Conf!$C$5*(W87-AF87)</f>
        <v>#DIV/0!</v>
      </c>
      <c r="O88" s="43" t="e">
        <f>O87+ATM_Conf!$C$5*(X87-AG87)</f>
        <v>#DIV/0!</v>
      </c>
      <c r="P88" s="43" t="e">
        <f>P87+ATM_Conf!$C$5*(Y87-AH87)</f>
        <v>#DIV/0!</v>
      </c>
      <c r="Q88" s="43" t="e">
        <f>Q87+ATM_Conf!$C$5*(Z87-AI87)</f>
        <v>#DIV/0!</v>
      </c>
      <c r="R88" s="43" t="e">
        <f>R87+ATM_Conf!$C$5*(AA87-AJ87)</f>
        <v>#DIV/0!</v>
      </c>
      <c r="S88" s="43" t="e">
        <f>S87+ATM_Conf!$C$5*(AB87-AK87)</f>
        <v>#DIV/0!</v>
      </c>
      <c r="T88" s="43">
        <f t="shared" si="48"/>
        <v>0</v>
      </c>
      <c r="U88" s="43">
        <f t="shared" si="45"/>
        <v>0</v>
      </c>
      <c r="V88" s="43">
        <f t="shared" si="45"/>
        <v>0</v>
      </c>
      <c r="W88" s="43">
        <f t="shared" si="45"/>
        <v>0</v>
      </c>
      <c r="X88" s="43">
        <f t="shared" si="45"/>
        <v>0</v>
      </c>
      <c r="Y88" s="43">
        <f t="shared" si="45"/>
        <v>0</v>
      </c>
      <c r="Z88" s="43">
        <f t="shared" si="45"/>
        <v>0</v>
      </c>
      <c r="AA88" s="43">
        <f t="shared" si="45"/>
        <v>0</v>
      </c>
      <c r="AB88" s="43">
        <f t="shared" si="45"/>
        <v>0</v>
      </c>
      <c r="AC88" s="43" t="e">
        <f t="shared" si="51"/>
        <v>#DIV/0!</v>
      </c>
      <c r="AD88" s="43" t="e">
        <f t="shared" si="52"/>
        <v>#DIV/0!</v>
      </c>
      <c r="AE88" s="43" t="e">
        <f t="shared" si="53"/>
        <v>#DIV/0!</v>
      </c>
      <c r="AF88" s="43" t="e">
        <f t="shared" si="54"/>
        <v>#DIV/0!</v>
      </c>
      <c r="AG88" s="43" t="e">
        <f t="shared" si="55"/>
        <v>#DIV/0!</v>
      </c>
      <c r="AH88" s="43" t="e">
        <f t="shared" si="56"/>
        <v>#DIV/0!</v>
      </c>
      <c r="AI88" s="43" t="e">
        <f t="shared" si="57"/>
        <v>#DIV/0!</v>
      </c>
      <c r="AJ88" s="43" t="e">
        <f t="shared" si="58"/>
        <v>#DIV/0!</v>
      </c>
      <c r="AK88" s="43" t="e">
        <f t="shared" si="59"/>
        <v>#DIV/0!</v>
      </c>
      <c r="AL88" s="43" t="e">
        <f>T$3+K88/ATM_Conf!$C$5</f>
        <v>#DIV/0!</v>
      </c>
      <c r="AM88" s="43" t="e">
        <f>U$3+L88/ATM_Conf!$C$5</f>
        <v>#DIV/0!</v>
      </c>
      <c r="AN88" s="43" t="e">
        <f>V$3+M88/ATM_Conf!$C$5</f>
        <v>#DIV/0!</v>
      </c>
      <c r="AO88" s="43" t="e">
        <f>W$3+N88/ATM_Conf!$C$5</f>
        <v>#DIV/0!</v>
      </c>
      <c r="AP88" s="43" t="e">
        <f>X$3+O88/ATM_Conf!$C$5</f>
        <v>#DIV/0!</v>
      </c>
      <c r="AQ88" s="43" t="e">
        <f>Y$3+P88/ATM_Conf!$C$5</f>
        <v>#DIV/0!</v>
      </c>
      <c r="AR88" s="43" t="e">
        <f>Z$3+Q88/ATM_Conf!$C$5</f>
        <v>#DIV/0!</v>
      </c>
      <c r="AS88" s="43" t="e">
        <f>AA$3+R88/ATM_Conf!$C$5</f>
        <v>#DIV/0!</v>
      </c>
      <c r="AT88" s="43" t="e">
        <f>AB$3+S88/ATM_Conf!$C$5</f>
        <v>#DIV/0!</v>
      </c>
      <c r="AU88" s="43" t="e">
        <f>BD$3*MIN(1,(ATM_Conf!$C$6-Links!X88)/(ATM_Conf!$C$6-ATM_Conf!$C$7))</f>
        <v>#DIV/0!</v>
      </c>
      <c r="AV88" s="43" t="e">
        <f>BE$3*MIN(1,(ATM_Conf!$C$6-Links!Z88)/(ATM_Conf!$C$6-ATM_Conf!$C$7))</f>
        <v>#DIV/0!</v>
      </c>
      <c r="AW88" s="43" t="e">
        <f>BF$3*MIN(1,(ATM_Conf!$C$6-Links!AA88)/(ATM_Conf!$C$6-ATM_Conf!$C$7))</f>
        <v>#DIV/0!</v>
      </c>
      <c r="AX88" s="43" t="e">
        <f>BG$3*MIN(1,(ATM_Conf!$C$6-Links!AD88)/(ATM_Conf!$C$6-ATM_Conf!$C$7))</f>
        <v>#DIV/0!</v>
      </c>
      <c r="AY88" s="43" t="e">
        <f>BH$3*MIN(1,(ATM_Conf!$C$6-Links!AE88)/(ATM_Conf!$C$6-ATM_Conf!$C$7))</f>
        <v>#DIV/0!</v>
      </c>
      <c r="AZ88" s="43" t="e">
        <f>BI$3*MIN(1,(ATM_Conf!$C$6-Links!AG88)/(ATM_Conf!$C$6-ATM_Conf!$C$7))</f>
        <v>#DIV/0!</v>
      </c>
      <c r="BA88" s="43" t="e">
        <f>BJ$3*MIN(1,(ATM_Conf!$C$6-Links!AH88)/(ATM_Conf!$C$6-ATM_Conf!$C$7))</f>
        <v>#DIV/0!</v>
      </c>
      <c r="BB88" s="43" t="e">
        <f>BK$3*MIN(1,(ATM_Conf!$C$6-Links!AK88)/(ATM_Conf!$C$6-ATM_Conf!$C$7))</f>
        <v>#DIV/0!</v>
      </c>
      <c r="BC88" s="43" t="e">
        <f>BL$3*MIN(1,(ATM_Conf!$C$6-Links!AM88)/(ATM_Conf!$C$6-ATM_Conf!$C$7))</f>
        <v>#DIV/0!</v>
      </c>
      <c r="BD88" s="43">
        <f t="shared" si="49"/>
        <v>0</v>
      </c>
      <c r="BE88" s="43">
        <f t="shared" si="46"/>
        <v>0</v>
      </c>
      <c r="BF88" s="43">
        <f t="shared" si="46"/>
        <v>0</v>
      </c>
      <c r="BG88" s="43">
        <f t="shared" si="46"/>
        <v>0</v>
      </c>
      <c r="BH88" s="43">
        <f t="shared" si="46"/>
        <v>0</v>
      </c>
      <c r="BI88" s="43">
        <f t="shared" si="46"/>
        <v>0</v>
      </c>
      <c r="BJ88" s="43">
        <f t="shared" si="46"/>
        <v>0</v>
      </c>
      <c r="BK88" s="43">
        <f t="shared" si="46"/>
        <v>0</v>
      </c>
      <c r="BL88" s="43">
        <f t="shared" si="46"/>
        <v>0</v>
      </c>
      <c r="BM88" s="51"/>
      <c r="BN88" s="51"/>
      <c r="BO88" s="51"/>
      <c r="BP88" s="51"/>
      <c r="BQ88" s="51"/>
      <c r="BR88" s="51"/>
      <c r="BS88" s="51"/>
      <c r="BT88" s="51"/>
      <c r="BU88" s="51"/>
      <c r="BV88" s="51" t="e">
        <f t="shared" si="60"/>
        <v>#DIV/0!</v>
      </c>
      <c r="BW88" s="51" t="e">
        <f t="shared" si="61"/>
        <v>#DIV/0!</v>
      </c>
      <c r="BX88" s="51" t="e">
        <f t="shared" si="62"/>
        <v>#DIV/0!</v>
      </c>
      <c r="BY88" s="51" t="e">
        <f t="shared" si="63"/>
        <v>#DIV/0!</v>
      </c>
      <c r="BZ88" s="51" t="e">
        <f t="shared" si="64"/>
        <v>#DIV/0!</v>
      </c>
      <c r="CA88" s="51" t="e">
        <f t="shared" si="65"/>
        <v>#DIV/0!</v>
      </c>
      <c r="CB88" s="51" t="e">
        <f t="shared" si="66"/>
        <v>#DIV/0!</v>
      </c>
      <c r="CC88" s="51" t="e">
        <f t="shared" si="67"/>
        <v>#DIV/0!</v>
      </c>
      <c r="CD88" s="51" t="e">
        <f t="shared" si="68"/>
        <v>#DIV/0!</v>
      </c>
      <c r="CE88" s="53">
        <f t="shared" si="50"/>
        <v>0</v>
      </c>
      <c r="CF88" s="53">
        <f t="shared" si="47"/>
        <v>0</v>
      </c>
      <c r="CG88" s="53">
        <f t="shared" si="47"/>
        <v>0</v>
      </c>
      <c r="CH88" s="53">
        <f t="shared" si="47"/>
        <v>0</v>
      </c>
      <c r="CI88" s="53">
        <f t="shared" si="47"/>
        <v>0</v>
      </c>
      <c r="CJ88" s="53">
        <f t="shared" si="47"/>
        <v>0</v>
      </c>
      <c r="CK88" s="53">
        <f t="shared" si="47"/>
        <v>0</v>
      </c>
      <c r="CL88" s="53">
        <f t="shared" si="47"/>
        <v>0</v>
      </c>
      <c r="CM88" s="53">
        <f t="shared" si="47"/>
        <v>0</v>
      </c>
    </row>
    <row r="89" spans="1:91" x14ac:dyDescent="0.15">
      <c r="A89" s="41">
        <v>87</v>
      </c>
      <c r="B89" s="43">
        <f t="shared" ref="B89:B98" si="74">B$87</f>
        <v>1</v>
      </c>
      <c r="C89" s="43">
        <f t="shared" si="73"/>
        <v>1</v>
      </c>
      <c r="D89" s="43">
        <f t="shared" si="73"/>
        <v>1</v>
      </c>
      <c r="E89" s="43">
        <f t="shared" si="73"/>
        <v>1</v>
      </c>
      <c r="F89" s="43">
        <f t="shared" si="73"/>
        <v>1</v>
      </c>
      <c r="G89" s="43">
        <f t="shared" si="73"/>
        <v>1</v>
      </c>
      <c r="H89" s="43">
        <f t="shared" si="73"/>
        <v>1</v>
      </c>
      <c r="I89" s="43">
        <f t="shared" si="73"/>
        <v>1</v>
      </c>
      <c r="J89" s="43">
        <f t="shared" si="73"/>
        <v>1</v>
      </c>
      <c r="K89" s="43" t="e">
        <f>K88+ATM_Conf!$C$5*(T88-AC88)</f>
        <v>#DIV/0!</v>
      </c>
      <c r="L89" s="43" t="e">
        <f>L88+ATM_Conf!$C$5*(U88-AD88)</f>
        <v>#DIV/0!</v>
      </c>
      <c r="M89" s="43" t="e">
        <f>M88+ATM_Conf!$C$5*(V88-AE88)</f>
        <v>#DIV/0!</v>
      </c>
      <c r="N89" s="43" t="e">
        <f>N88+ATM_Conf!$C$5*(W88-AF88)</f>
        <v>#DIV/0!</v>
      </c>
      <c r="O89" s="43" t="e">
        <f>O88+ATM_Conf!$C$5*(X88-AG88)</f>
        <v>#DIV/0!</v>
      </c>
      <c r="P89" s="43" t="e">
        <f>P88+ATM_Conf!$C$5*(Y88-AH88)</f>
        <v>#DIV/0!</v>
      </c>
      <c r="Q89" s="43" t="e">
        <f>Q88+ATM_Conf!$C$5*(Z88-AI88)</f>
        <v>#DIV/0!</v>
      </c>
      <c r="R89" s="43" t="e">
        <f>R88+ATM_Conf!$C$5*(AA88-AJ88)</f>
        <v>#DIV/0!</v>
      </c>
      <c r="S89" s="43" t="e">
        <f>S88+ATM_Conf!$C$5*(AB88-AK88)</f>
        <v>#DIV/0!</v>
      </c>
      <c r="T89" s="43">
        <f t="shared" si="48"/>
        <v>0</v>
      </c>
      <c r="U89" s="43">
        <f t="shared" si="45"/>
        <v>0</v>
      </c>
      <c r="V89" s="43">
        <f t="shared" si="45"/>
        <v>0</v>
      </c>
      <c r="W89" s="43">
        <f t="shared" si="45"/>
        <v>0</v>
      </c>
      <c r="X89" s="43">
        <f t="shared" si="45"/>
        <v>0</v>
      </c>
      <c r="Y89" s="43">
        <f t="shared" si="45"/>
        <v>0</v>
      </c>
      <c r="Z89" s="43">
        <f t="shared" si="45"/>
        <v>0</v>
      </c>
      <c r="AA89" s="43">
        <f t="shared" si="45"/>
        <v>0</v>
      </c>
      <c r="AB89" s="43">
        <f t="shared" si="45"/>
        <v>0</v>
      </c>
      <c r="AC89" s="43" t="e">
        <f t="shared" si="51"/>
        <v>#DIV/0!</v>
      </c>
      <c r="AD89" s="43" t="e">
        <f t="shared" si="52"/>
        <v>#DIV/0!</v>
      </c>
      <c r="AE89" s="43" t="e">
        <f t="shared" si="53"/>
        <v>#DIV/0!</v>
      </c>
      <c r="AF89" s="43" t="e">
        <f t="shared" si="54"/>
        <v>#DIV/0!</v>
      </c>
      <c r="AG89" s="43" t="e">
        <f t="shared" si="55"/>
        <v>#DIV/0!</v>
      </c>
      <c r="AH89" s="43" t="e">
        <f t="shared" si="56"/>
        <v>#DIV/0!</v>
      </c>
      <c r="AI89" s="43" t="e">
        <f t="shared" si="57"/>
        <v>#DIV/0!</v>
      </c>
      <c r="AJ89" s="43" t="e">
        <f t="shared" si="58"/>
        <v>#DIV/0!</v>
      </c>
      <c r="AK89" s="43" t="e">
        <f t="shared" si="59"/>
        <v>#DIV/0!</v>
      </c>
      <c r="AL89" s="43" t="e">
        <f>T$3+K89/ATM_Conf!$C$5</f>
        <v>#DIV/0!</v>
      </c>
      <c r="AM89" s="43" t="e">
        <f>U$3+L89/ATM_Conf!$C$5</f>
        <v>#DIV/0!</v>
      </c>
      <c r="AN89" s="43" t="e">
        <f>V$3+M89/ATM_Conf!$C$5</f>
        <v>#DIV/0!</v>
      </c>
      <c r="AO89" s="43" t="e">
        <f>W$3+N89/ATM_Conf!$C$5</f>
        <v>#DIV/0!</v>
      </c>
      <c r="AP89" s="43" t="e">
        <f>X$3+O89/ATM_Conf!$C$5</f>
        <v>#DIV/0!</v>
      </c>
      <c r="AQ89" s="43" t="e">
        <f>Y$3+P89/ATM_Conf!$C$5</f>
        <v>#DIV/0!</v>
      </c>
      <c r="AR89" s="43" t="e">
        <f>Z$3+Q89/ATM_Conf!$C$5</f>
        <v>#DIV/0!</v>
      </c>
      <c r="AS89" s="43" t="e">
        <f>AA$3+R89/ATM_Conf!$C$5</f>
        <v>#DIV/0!</v>
      </c>
      <c r="AT89" s="43" t="e">
        <f>AB$3+S89/ATM_Conf!$C$5</f>
        <v>#DIV/0!</v>
      </c>
      <c r="AU89" s="43" t="e">
        <f>BD$3*MIN(1,(ATM_Conf!$C$6-Links!X89)/(ATM_Conf!$C$6-ATM_Conf!$C$7))</f>
        <v>#DIV/0!</v>
      </c>
      <c r="AV89" s="43" t="e">
        <f>BE$3*MIN(1,(ATM_Conf!$C$6-Links!Z89)/(ATM_Conf!$C$6-ATM_Conf!$C$7))</f>
        <v>#DIV/0!</v>
      </c>
      <c r="AW89" s="43" t="e">
        <f>BF$3*MIN(1,(ATM_Conf!$C$6-Links!AA89)/(ATM_Conf!$C$6-ATM_Conf!$C$7))</f>
        <v>#DIV/0!</v>
      </c>
      <c r="AX89" s="43" t="e">
        <f>BG$3*MIN(1,(ATM_Conf!$C$6-Links!AD89)/(ATM_Conf!$C$6-ATM_Conf!$C$7))</f>
        <v>#DIV/0!</v>
      </c>
      <c r="AY89" s="43" t="e">
        <f>BH$3*MIN(1,(ATM_Conf!$C$6-Links!AE89)/(ATM_Conf!$C$6-ATM_Conf!$C$7))</f>
        <v>#DIV/0!</v>
      </c>
      <c r="AZ89" s="43" t="e">
        <f>BI$3*MIN(1,(ATM_Conf!$C$6-Links!AG89)/(ATM_Conf!$C$6-ATM_Conf!$C$7))</f>
        <v>#DIV/0!</v>
      </c>
      <c r="BA89" s="43" t="e">
        <f>BJ$3*MIN(1,(ATM_Conf!$C$6-Links!AH89)/(ATM_Conf!$C$6-ATM_Conf!$C$7))</f>
        <v>#DIV/0!</v>
      </c>
      <c r="BB89" s="43" t="e">
        <f>BK$3*MIN(1,(ATM_Conf!$C$6-Links!AK89)/(ATM_Conf!$C$6-ATM_Conf!$C$7))</f>
        <v>#DIV/0!</v>
      </c>
      <c r="BC89" s="43" t="e">
        <f>BL$3*MIN(1,(ATM_Conf!$C$6-Links!AM89)/(ATM_Conf!$C$6-ATM_Conf!$C$7))</f>
        <v>#DIV/0!</v>
      </c>
      <c r="BD89" s="43">
        <f t="shared" si="49"/>
        <v>0</v>
      </c>
      <c r="BE89" s="43">
        <f t="shared" si="46"/>
        <v>0</v>
      </c>
      <c r="BF89" s="43">
        <f t="shared" si="46"/>
        <v>0</v>
      </c>
      <c r="BG89" s="43">
        <f t="shared" si="46"/>
        <v>0</v>
      </c>
      <c r="BH89" s="43">
        <f t="shared" si="46"/>
        <v>0</v>
      </c>
      <c r="BI89" s="43">
        <f t="shared" si="46"/>
        <v>0</v>
      </c>
      <c r="BJ89" s="43">
        <f t="shared" si="46"/>
        <v>0</v>
      </c>
      <c r="BK89" s="43">
        <f t="shared" si="46"/>
        <v>0</v>
      </c>
      <c r="BL89" s="43">
        <f t="shared" si="46"/>
        <v>0</v>
      </c>
      <c r="BM89" s="51"/>
      <c r="BN89" s="51"/>
      <c r="BO89" s="51"/>
      <c r="BP89" s="51"/>
      <c r="BQ89" s="51"/>
      <c r="BR89" s="51"/>
      <c r="BS89" s="51"/>
      <c r="BT89" s="51"/>
      <c r="BU89" s="51"/>
      <c r="BV89" s="51" t="e">
        <f t="shared" si="60"/>
        <v>#DIV/0!</v>
      </c>
      <c r="BW89" s="51" t="e">
        <f t="shared" si="61"/>
        <v>#DIV/0!</v>
      </c>
      <c r="BX89" s="51" t="e">
        <f t="shared" si="62"/>
        <v>#DIV/0!</v>
      </c>
      <c r="BY89" s="51" t="e">
        <f t="shared" si="63"/>
        <v>#DIV/0!</v>
      </c>
      <c r="BZ89" s="51" t="e">
        <f t="shared" si="64"/>
        <v>#DIV/0!</v>
      </c>
      <c r="CA89" s="51" t="e">
        <f t="shared" si="65"/>
        <v>#DIV/0!</v>
      </c>
      <c r="CB89" s="51" t="e">
        <f t="shared" si="66"/>
        <v>#DIV/0!</v>
      </c>
      <c r="CC89" s="51" t="e">
        <f t="shared" si="67"/>
        <v>#DIV/0!</v>
      </c>
      <c r="CD89" s="51" t="e">
        <f t="shared" si="68"/>
        <v>#DIV/0!</v>
      </c>
      <c r="CE89" s="53">
        <f t="shared" si="50"/>
        <v>0</v>
      </c>
      <c r="CF89" s="53">
        <f t="shared" si="47"/>
        <v>0</v>
      </c>
      <c r="CG89" s="53">
        <f t="shared" si="47"/>
        <v>0</v>
      </c>
      <c r="CH89" s="53">
        <f t="shared" si="47"/>
        <v>0</v>
      </c>
      <c r="CI89" s="53">
        <f t="shared" si="47"/>
        <v>0</v>
      </c>
      <c r="CJ89" s="53">
        <f t="shared" si="47"/>
        <v>0</v>
      </c>
      <c r="CK89" s="53">
        <f t="shared" si="47"/>
        <v>0</v>
      </c>
      <c r="CL89" s="53">
        <f t="shared" si="47"/>
        <v>0</v>
      </c>
      <c r="CM89" s="53">
        <f t="shared" si="47"/>
        <v>0</v>
      </c>
    </row>
    <row r="90" spans="1:91" x14ac:dyDescent="0.15">
      <c r="A90" s="41">
        <v>88</v>
      </c>
      <c r="B90" s="43">
        <f t="shared" si="74"/>
        <v>1</v>
      </c>
      <c r="C90" s="43">
        <f t="shared" si="73"/>
        <v>1</v>
      </c>
      <c r="D90" s="43">
        <f t="shared" si="73"/>
        <v>1</v>
      </c>
      <c r="E90" s="43">
        <f t="shared" si="73"/>
        <v>1</v>
      </c>
      <c r="F90" s="43">
        <f t="shared" si="73"/>
        <v>1</v>
      </c>
      <c r="G90" s="43">
        <f t="shared" si="73"/>
        <v>1</v>
      </c>
      <c r="H90" s="43">
        <f t="shared" si="73"/>
        <v>1</v>
      </c>
      <c r="I90" s="43">
        <f t="shared" si="73"/>
        <v>1</v>
      </c>
      <c r="J90" s="43">
        <f t="shared" si="73"/>
        <v>1</v>
      </c>
      <c r="K90" s="43" t="e">
        <f>K89+ATM_Conf!$C$5*(T89-AC89)</f>
        <v>#DIV/0!</v>
      </c>
      <c r="L90" s="43" t="e">
        <f>L89+ATM_Conf!$C$5*(U89-AD89)</f>
        <v>#DIV/0!</v>
      </c>
      <c r="M90" s="43" t="e">
        <f>M89+ATM_Conf!$C$5*(V89-AE89)</f>
        <v>#DIV/0!</v>
      </c>
      <c r="N90" s="43" t="e">
        <f>N89+ATM_Conf!$C$5*(W89-AF89)</f>
        <v>#DIV/0!</v>
      </c>
      <c r="O90" s="43" t="e">
        <f>O89+ATM_Conf!$C$5*(X89-AG89)</f>
        <v>#DIV/0!</v>
      </c>
      <c r="P90" s="43" t="e">
        <f>P89+ATM_Conf!$C$5*(Y89-AH89)</f>
        <v>#DIV/0!</v>
      </c>
      <c r="Q90" s="43" t="e">
        <f>Q89+ATM_Conf!$C$5*(Z89-AI89)</f>
        <v>#DIV/0!</v>
      </c>
      <c r="R90" s="43" t="e">
        <f>R89+ATM_Conf!$C$5*(AA89-AJ89)</f>
        <v>#DIV/0!</v>
      </c>
      <c r="S90" s="43" t="e">
        <f>S89+ATM_Conf!$C$5*(AB89-AK89)</f>
        <v>#DIV/0!</v>
      </c>
      <c r="T90" s="43">
        <f t="shared" si="48"/>
        <v>0</v>
      </c>
      <c r="U90" s="43">
        <f t="shared" si="45"/>
        <v>0</v>
      </c>
      <c r="V90" s="43">
        <f t="shared" si="45"/>
        <v>0</v>
      </c>
      <c r="W90" s="43">
        <f t="shared" si="45"/>
        <v>0</v>
      </c>
      <c r="X90" s="43">
        <f t="shared" si="45"/>
        <v>0</v>
      </c>
      <c r="Y90" s="43">
        <f t="shared" si="45"/>
        <v>0</v>
      </c>
      <c r="Z90" s="43">
        <f t="shared" si="45"/>
        <v>0</v>
      </c>
      <c r="AA90" s="43">
        <f t="shared" si="45"/>
        <v>0</v>
      </c>
      <c r="AB90" s="43">
        <f t="shared" si="45"/>
        <v>0</v>
      </c>
      <c r="AC90" s="43" t="e">
        <f t="shared" si="51"/>
        <v>#DIV/0!</v>
      </c>
      <c r="AD90" s="43" t="e">
        <f t="shared" si="52"/>
        <v>#DIV/0!</v>
      </c>
      <c r="AE90" s="43" t="e">
        <f t="shared" si="53"/>
        <v>#DIV/0!</v>
      </c>
      <c r="AF90" s="43" t="e">
        <f t="shared" si="54"/>
        <v>#DIV/0!</v>
      </c>
      <c r="AG90" s="43" t="e">
        <f t="shared" si="55"/>
        <v>#DIV/0!</v>
      </c>
      <c r="AH90" s="43" t="e">
        <f t="shared" si="56"/>
        <v>#DIV/0!</v>
      </c>
      <c r="AI90" s="43" t="e">
        <f t="shared" si="57"/>
        <v>#DIV/0!</v>
      </c>
      <c r="AJ90" s="43" t="e">
        <f t="shared" si="58"/>
        <v>#DIV/0!</v>
      </c>
      <c r="AK90" s="43" t="e">
        <f t="shared" si="59"/>
        <v>#DIV/0!</v>
      </c>
      <c r="AL90" s="43" t="e">
        <f>T$3+K90/ATM_Conf!$C$5</f>
        <v>#DIV/0!</v>
      </c>
      <c r="AM90" s="43" t="e">
        <f>U$3+L90/ATM_Conf!$C$5</f>
        <v>#DIV/0!</v>
      </c>
      <c r="AN90" s="43" t="e">
        <f>V$3+M90/ATM_Conf!$C$5</f>
        <v>#DIV/0!</v>
      </c>
      <c r="AO90" s="43" t="e">
        <f>W$3+N90/ATM_Conf!$C$5</f>
        <v>#DIV/0!</v>
      </c>
      <c r="AP90" s="43" t="e">
        <f>X$3+O90/ATM_Conf!$C$5</f>
        <v>#DIV/0!</v>
      </c>
      <c r="AQ90" s="43" t="e">
        <f>Y$3+P90/ATM_Conf!$C$5</f>
        <v>#DIV/0!</v>
      </c>
      <c r="AR90" s="43" t="e">
        <f>Z$3+Q90/ATM_Conf!$C$5</f>
        <v>#DIV/0!</v>
      </c>
      <c r="AS90" s="43" t="e">
        <f>AA$3+R90/ATM_Conf!$C$5</f>
        <v>#DIV/0!</v>
      </c>
      <c r="AT90" s="43" t="e">
        <f>AB$3+S90/ATM_Conf!$C$5</f>
        <v>#DIV/0!</v>
      </c>
      <c r="AU90" s="43" t="e">
        <f>BD$3*MIN(1,(ATM_Conf!$C$6-Links!X90)/(ATM_Conf!$C$6-ATM_Conf!$C$7))</f>
        <v>#DIV/0!</v>
      </c>
      <c r="AV90" s="43" t="e">
        <f>BE$3*MIN(1,(ATM_Conf!$C$6-Links!Z90)/(ATM_Conf!$C$6-ATM_Conf!$C$7))</f>
        <v>#DIV/0!</v>
      </c>
      <c r="AW90" s="43" t="e">
        <f>BF$3*MIN(1,(ATM_Conf!$C$6-Links!AA90)/(ATM_Conf!$C$6-ATM_Conf!$C$7))</f>
        <v>#DIV/0!</v>
      </c>
      <c r="AX90" s="43" t="e">
        <f>BG$3*MIN(1,(ATM_Conf!$C$6-Links!AD90)/(ATM_Conf!$C$6-ATM_Conf!$C$7))</f>
        <v>#DIV/0!</v>
      </c>
      <c r="AY90" s="43" t="e">
        <f>BH$3*MIN(1,(ATM_Conf!$C$6-Links!AE90)/(ATM_Conf!$C$6-ATM_Conf!$C$7))</f>
        <v>#DIV/0!</v>
      </c>
      <c r="AZ90" s="43" t="e">
        <f>BI$3*MIN(1,(ATM_Conf!$C$6-Links!AG90)/(ATM_Conf!$C$6-ATM_Conf!$C$7))</f>
        <v>#DIV/0!</v>
      </c>
      <c r="BA90" s="43" t="e">
        <f>BJ$3*MIN(1,(ATM_Conf!$C$6-Links!AH90)/(ATM_Conf!$C$6-ATM_Conf!$C$7))</f>
        <v>#DIV/0!</v>
      </c>
      <c r="BB90" s="43" t="e">
        <f>BK$3*MIN(1,(ATM_Conf!$C$6-Links!AK90)/(ATM_Conf!$C$6-ATM_Conf!$C$7))</f>
        <v>#DIV/0!</v>
      </c>
      <c r="BC90" s="43" t="e">
        <f>BL$3*MIN(1,(ATM_Conf!$C$6-Links!AM90)/(ATM_Conf!$C$6-ATM_Conf!$C$7))</f>
        <v>#DIV/0!</v>
      </c>
      <c r="BD90" s="43">
        <f t="shared" si="49"/>
        <v>0</v>
      </c>
      <c r="BE90" s="43">
        <f t="shared" si="46"/>
        <v>0</v>
      </c>
      <c r="BF90" s="43">
        <f t="shared" si="46"/>
        <v>0</v>
      </c>
      <c r="BG90" s="43">
        <f t="shared" si="46"/>
        <v>0</v>
      </c>
      <c r="BH90" s="43">
        <f t="shared" si="46"/>
        <v>0</v>
      </c>
      <c r="BI90" s="43">
        <f t="shared" si="46"/>
        <v>0</v>
      </c>
      <c r="BJ90" s="43">
        <f t="shared" si="46"/>
        <v>0</v>
      </c>
      <c r="BK90" s="43">
        <f t="shared" si="46"/>
        <v>0</v>
      </c>
      <c r="BL90" s="43">
        <f t="shared" si="46"/>
        <v>0</v>
      </c>
      <c r="BM90" s="51"/>
      <c r="BN90" s="51"/>
      <c r="BO90" s="51"/>
      <c r="BP90" s="51"/>
      <c r="BQ90" s="51"/>
      <c r="BR90" s="51"/>
      <c r="BS90" s="51"/>
      <c r="BT90" s="51"/>
      <c r="BU90" s="51"/>
      <c r="BV90" s="51" t="e">
        <f t="shared" si="60"/>
        <v>#DIV/0!</v>
      </c>
      <c r="BW90" s="51" t="e">
        <f t="shared" si="61"/>
        <v>#DIV/0!</v>
      </c>
      <c r="BX90" s="51" t="e">
        <f t="shared" si="62"/>
        <v>#DIV/0!</v>
      </c>
      <c r="BY90" s="51" t="e">
        <f t="shared" si="63"/>
        <v>#DIV/0!</v>
      </c>
      <c r="BZ90" s="51" t="e">
        <f t="shared" si="64"/>
        <v>#DIV/0!</v>
      </c>
      <c r="CA90" s="51" t="e">
        <f t="shared" si="65"/>
        <v>#DIV/0!</v>
      </c>
      <c r="CB90" s="51" t="e">
        <f t="shared" si="66"/>
        <v>#DIV/0!</v>
      </c>
      <c r="CC90" s="51" t="e">
        <f t="shared" si="67"/>
        <v>#DIV/0!</v>
      </c>
      <c r="CD90" s="51" t="e">
        <f t="shared" si="68"/>
        <v>#DIV/0!</v>
      </c>
      <c r="CE90" s="53">
        <f t="shared" si="50"/>
        <v>0</v>
      </c>
      <c r="CF90" s="53">
        <f t="shared" si="47"/>
        <v>0</v>
      </c>
      <c r="CG90" s="53">
        <f t="shared" si="47"/>
        <v>0</v>
      </c>
      <c r="CH90" s="53">
        <f t="shared" si="47"/>
        <v>0</v>
      </c>
      <c r="CI90" s="53">
        <f t="shared" si="47"/>
        <v>0</v>
      </c>
      <c r="CJ90" s="53">
        <f t="shared" si="47"/>
        <v>0</v>
      </c>
      <c r="CK90" s="53">
        <f t="shared" si="47"/>
        <v>0</v>
      </c>
      <c r="CL90" s="53">
        <f t="shared" si="47"/>
        <v>0</v>
      </c>
      <c r="CM90" s="53">
        <f t="shared" si="47"/>
        <v>0</v>
      </c>
    </row>
    <row r="91" spans="1:91" x14ac:dyDescent="0.15">
      <c r="A91" s="41">
        <v>89</v>
      </c>
      <c r="B91" s="43">
        <f t="shared" si="74"/>
        <v>1</v>
      </c>
      <c r="C91" s="43">
        <f t="shared" si="73"/>
        <v>1</v>
      </c>
      <c r="D91" s="43">
        <f t="shared" si="73"/>
        <v>1</v>
      </c>
      <c r="E91" s="43">
        <f t="shared" si="73"/>
        <v>1</v>
      </c>
      <c r="F91" s="43">
        <f t="shared" si="73"/>
        <v>1</v>
      </c>
      <c r="G91" s="43">
        <f t="shared" si="73"/>
        <v>1</v>
      </c>
      <c r="H91" s="43">
        <f t="shared" si="73"/>
        <v>1</v>
      </c>
      <c r="I91" s="43">
        <f t="shared" si="73"/>
        <v>1</v>
      </c>
      <c r="J91" s="43">
        <f t="shared" si="73"/>
        <v>1</v>
      </c>
      <c r="K91" s="43" t="e">
        <f>K90+ATM_Conf!$C$5*(T90-AC90)</f>
        <v>#DIV/0!</v>
      </c>
      <c r="L91" s="43" t="e">
        <f>L90+ATM_Conf!$C$5*(U90-AD90)</f>
        <v>#DIV/0!</v>
      </c>
      <c r="M91" s="43" t="e">
        <f>M90+ATM_Conf!$C$5*(V90-AE90)</f>
        <v>#DIV/0!</v>
      </c>
      <c r="N91" s="43" t="e">
        <f>N90+ATM_Conf!$C$5*(W90-AF90)</f>
        <v>#DIV/0!</v>
      </c>
      <c r="O91" s="43" t="e">
        <f>O90+ATM_Conf!$C$5*(X90-AG90)</f>
        <v>#DIV/0!</v>
      </c>
      <c r="P91" s="43" t="e">
        <f>P90+ATM_Conf!$C$5*(Y90-AH90)</f>
        <v>#DIV/0!</v>
      </c>
      <c r="Q91" s="43" t="e">
        <f>Q90+ATM_Conf!$C$5*(Z90-AI90)</f>
        <v>#DIV/0!</v>
      </c>
      <c r="R91" s="43" t="e">
        <f>R90+ATM_Conf!$C$5*(AA90-AJ90)</f>
        <v>#DIV/0!</v>
      </c>
      <c r="S91" s="43" t="e">
        <f>S90+ATM_Conf!$C$5*(AB90-AK90)</f>
        <v>#DIV/0!</v>
      </c>
      <c r="T91" s="43">
        <f t="shared" si="48"/>
        <v>0</v>
      </c>
      <c r="U91" s="43">
        <f t="shared" si="45"/>
        <v>0</v>
      </c>
      <c r="V91" s="43">
        <f t="shared" si="45"/>
        <v>0</v>
      </c>
      <c r="W91" s="43">
        <f t="shared" si="45"/>
        <v>0</v>
      </c>
      <c r="X91" s="43">
        <f t="shared" si="45"/>
        <v>0</v>
      </c>
      <c r="Y91" s="43">
        <f t="shared" si="45"/>
        <v>0</v>
      </c>
      <c r="Z91" s="43">
        <f t="shared" si="45"/>
        <v>0</v>
      </c>
      <c r="AA91" s="43">
        <f t="shared" si="45"/>
        <v>0</v>
      </c>
      <c r="AB91" s="43">
        <f t="shared" si="45"/>
        <v>0</v>
      </c>
      <c r="AC91" s="43" t="e">
        <f t="shared" si="51"/>
        <v>#DIV/0!</v>
      </c>
      <c r="AD91" s="43" t="e">
        <f t="shared" si="52"/>
        <v>#DIV/0!</v>
      </c>
      <c r="AE91" s="43" t="e">
        <f t="shared" si="53"/>
        <v>#DIV/0!</v>
      </c>
      <c r="AF91" s="43" t="e">
        <f t="shared" si="54"/>
        <v>#DIV/0!</v>
      </c>
      <c r="AG91" s="43" t="e">
        <f t="shared" si="55"/>
        <v>#DIV/0!</v>
      </c>
      <c r="AH91" s="43" t="e">
        <f t="shared" si="56"/>
        <v>#DIV/0!</v>
      </c>
      <c r="AI91" s="43" t="e">
        <f t="shared" si="57"/>
        <v>#DIV/0!</v>
      </c>
      <c r="AJ91" s="43" t="e">
        <f t="shared" si="58"/>
        <v>#DIV/0!</v>
      </c>
      <c r="AK91" s="43" t="e">
        <f t="shared" si="59"/>
        <v>#DIV/0!</v>
      </c>
      <c r="AL91" s="43" t="e">
        <f>T$3+K91/ATM_Conf!$C$5</f>
        <v>#DIV/0!</v>
      </c>
      <c r="AM91" s="43" t="e">
        <f>U$3+L91/ATM_Conf!$C$5</f>
        <v>#DIV/0!</v>
      </c>
      <c r="AN91" s="43" t="e">
        <f>V$3+M91/ATM_Conf!$C$5</f>
        <v>#DIV/0!</v>
      </c>
      <c r="AO91" s="43" t="e">
        <f>W$3+N91/ATM_Conf!$C$5</f>
        <v>#DIV/0!</v>
      </c>
      <c r="AP91" s="43" t="e">
        <f>X$3+O91/ATM_Conf!$C$5</f>
        <v>#DIV/0!</v>
      </c>
      <c r="AQ91" s="43" t="e">
        <f>Y$3+P91/ATM_Conf!$C$5</f>
        <v>#DIV/0!</v>
      </c>
      <c r="AR91" s="43" t="e">
        <f>Z$3+Q91/ATM_Conf!$C$5</f>
        <v>#DIV/0!</v>
      </c>
      <c r="AS91" s="43" t="e">
        <f>AA$3+R91/ATM_Conf!$C$5</f>
        <v>#DIV/0!</v>
      </c>
      <c r="AT91" s="43" t="e">
        <f>AB$3+S91/ATM_Conf!$C$5</f>
        <v>#DIV/0!</v>
      </c>
      <c r="AU91" s="43" t="e">
        <f>BD$3*MIN(1,(ATM_Conf!$C$6-Links!X91)/(ATM_Conf!$C$6-ATM_Conf!$C$7))</f>
        <v>#DIV/0!</v>
      </c>
      <c r="AV91" s="43" t="e">
        <f>BE$3*MIN(1,(ATM_Conf!$C$6-Links!Z91)/(ATM_Conf!$C$6-ATM_Conf!$C$7))</f>
        <v>#DIV/0!</v>
      </c>
      <c r="AW91" s="43" t="e">
        <f>BF$3*MIN(1,(ATM_Conf!$C$6-Links!AA91)/(ATM_Conf!$C$6-ATM_Conf!$C$7))</f>
        <v>#DIV/0!</v>
      </c>
      <c r="AX91" s="43" t="e">
        <f>BG$3*MIN(1,(ATM_Conf!$C$6-Links!AD91)/(ATM_Conf!$C$6-ATM_Conf!$C$7))</f>
        <v>#DIV/0!</v>
      </c>
      <c r="AY91" s="43" t="e">
        <f>BH$3*MIN(1,(ATM_Conf!$C$6-Links!AE91)/(ATM_Conf!$C$6-ATM_Conf!$C$7))</f>
        <v>#DIV/0!</v>
      </c>
      <c r="AZ91" s="43" t="e">
        <f>BI$3*MIN(1,(ATM_Conf!$C$6-Links!AG91)/(ATM_Conf!$C$6-ATM_Conf!$C$7))</f>
        <v>#DIV/0!</v>
      </c>
      <c r="BA91" s="43" t="e">
        <f>BJ$3*MIN(1,(ATM_Conf!$C$6-Links!AH91)/(ATM_Conf!$C$6-ATM_Conf!$C$7))</f>
        <v>#DIV/0!</v>
      </c>
      <c r="BB91" s="43" t="e">
        <f>BK$3*MIN(1,(ATM_Conf!$C$6-Links!AK91)/(ATM_Conf!$C$6-ATM_Conf!$C$7))</f>
        <v>#DIV/0!</v>
      </c>
      <c r="BC91" s="43" t="e">
        <f>BL$3*MIN(1,(ATM_Conf!$C$6-Links!AM91)/(ATM_Conf!$C$6-ATM_Conf!$C$7))</f>
        <v>#DIV/0!</v>
      </c>
      <c r="BD91" s="43">
        <f t="shared" si="49"/>
        <v>0</v>
      </c>
      <c r="BE91" s="43">
        <f t="shared" si="46"/>
        <v>0</v>
      </c>
      <c r="BF91" s="43">
        <f t="shared" si="46"/>
        <v>0</v>
      </c>
      <c r="BG91" s="43">
        <f t="shared" si="46"/>
        <v>0</v>
      </c>
      <c r="BH91" s="43">
        <f t="shared" si="46"/>
        <v>0</v>
      </c>
      <c r="BI91" s="43">
        <f t="shared" si="46"/>
        <v>0</v>
      </c>
      <c r="BJ91" s="43">
        <f t="shared" si="46"/>
        <v>0</v>
      </c>
      <c r="BK91" s="43">
        <f t="shared" si="46"/>
        <v>0</v>
      </c>
      <c r="BL91" s="43">
        <f t="shared" si="46"/>
        <v>0</v>
      </c>
      <c r="BM91" s="51"/>
      <c r="BN91" s="51"/>
      <c r="BO91" s="51"/>
      <c r="BP91" s="51"/>
      <c r="BQ91" s="51"/>
      <c r="BR91" s="51"/>
      <c r="BS91" s="51"/>
      <c r="BT91" s="51"/>
      <c r="BU91" s="51"/>
      <c r="BV91" s="51" t="e">
        <f t="shared" si="60"/>
        <v>#DIV/0!</v>
      </c>
      <c r="BW91" s="51" t="e">
        <f t="shared" si="61"/>
        <v>#DIV/0!</v>
      </c>
      <c r="BX91" s="51" t="e">
        <f t="shared" si="62"/>
        <v>#DIV/0!</v>
      </c>
      <c r="BY91" s="51" t="e">
        <f t="shared" si="63"/>
        <v>#DIV/0!</v>
      </c>
      <c r="BZ91" s="51" t="e">
        <f t="shared" si="64"/>
        <v>#DIV/0!</v>
      </c>
      <c r="CA91" s="51" t="e">
        <f t="shared" si="65"/>
        <v>#DIV/0!</v>
      </c>
      <c r="CB91" s="51" t="e">
        <f t="shared" si="66"/>
        <v>#DIV/0!</v>
      </c>
      <c r="CC91" s="51" t="e">
        <f t="shared" si="67"/>
        <v>#DIV/0!</v>
      </c>
      <c r="CD91" s="51" t="e">
        <f t="shared" si="68"/>
        <v>#DIV/0!</v>
      </c>
      <c r="CE91" s="53">
        <f t="shared" si="50"/>
        <v>0</v>
      </c>
      <c r="CF91" s="53">
        <f t="shared" si="47"/>
        <v>0</v>
      </c>
      <c r="CG91" s="53">
        <f t="shared" si="47"/>
        <v>0</v>
      </c>
      <c r="CH91" s="53">
        <f t="shared" si="47"/>
        <v>0</v>
      </c>
      <c r="CI91" s="53">
        <f t="shared" si="47"/>
        <v>0</v>
      </c>
      <c r="CJ91" s="53">
        <f t="shared" si="47"/>
        <v>0</v>
      </c>
      <c r="CK91" s="53">
        <f t="shared" si="47"/>
        <v>0</v>
      </c>
      <c r="CL91" s="53">
        <f t="shared" si="47"/>
        <v>0</v>
      </c>
      <c r="CM91" s="53">
        <f t="shared" si="47"/>
        <v>0</v>
      </c>
    </row>
    <row r="92" spans="1:91" x14ac:dyDescent="0.15">
      <c r="A92" s="41">
        <v>90</v>
      </c>
      <c r="B92" s="43">
        <f t="shared" si="74"/>
        <v>1</v>
      </c>
      <c r="C92" s="43">
        <f t="shared" si="73"/>
        <v>1</v>
      </c>
      <c r="D92" s="43">
        <f t="shared" si="73"/>
        <v>1</v>
      </c>
      <c r="E92" s="43">
        <f t="shared" si="73"/>
        <v>1</v>
      </c>
      <c r="F92" s="43">
        <f t="shared" si="73"/>
        <v>1</v>
      </c>
      <c r="G92" s="43">
        <f t="shared" si="73"/>
        <v>1</v>
      </c>
      <c r="H92" s="43">
        <f t="shared" si="73"/>
        <v>1</v>
      </c>
      <c r="I92" s="43">
        <f t="shared" si="73"/>
        <v>1</v>
      </c>
      <c r="J92" s="43">
        <f t="shared" si="73"/>
        <v>1</v>
      </c>
      <c r="K92" s="43" t="e">
        <f>K91+ATM_Conf!$C$5*(T91-AC91)</f>
        <v>#DIV/0!</v>
      </c>
      <c r="L92" s="43" t="e">
        <f>L91+ATM_Conf!$C$5*(U91-AD91)</f>
        <v>#DIV/0!</v>
      </c>
      <c r="M92" s="43" t="e">
        <f>M91+ATM_Conf!$C$5*(V91-AE91)</f>
        <v>#DIV/0!</v>
      </c>
      <c r="N92" s="43" t="e">
        <f>N91+ATM_Conf!$C$5*(W91-AF91)</f>
        <v>#DIV/0!</v>
      </c>
      <c r="O92" s="43" t="e">
        <f>O91+ATM_Conf!$C$5*(X91-AG91)</f>
        <v>#DIV/0!</v>
      </c>
      <c r="P92" s="43" t="e">
        <f>P91+ATM_Conf!$C$5*(Y91-AH91)</f>
        <v>#DIV/0!</v>
      </c>
      <c r="Q92" s="43" t="e">
        <f>Q91+ATM_Conf!$C$5*(Z91-AI91)</f>
        <v>#DIV/0!</v>
      </c>
      <c r="R92" s="43" t="e">
        <f>R91+ATM_Conf!$C$5*(AA91-AJ91)</f>
        <v>#DIV/0!</v>
      </c>
      <c r="S92" s="43" t="e">
        <f>S91+ATM_Conf!$C$5*(AB91-AK91)</f>
        <v>#DIV/0!</v>
      </c>
      <c r="T92" s="43">
        <f t="shared" si="48"/>
        <v>0</v>
      </c>
      <c r="U92" s="43">
        <f t="shared" si="45"/>
        <v>0</v>
      </c>
      <c r="V92" s="43">
        <f t="shared" si="45"/>
        <v>0</v>
      </c>
      <c r="W92" s="43">
        <f t="shared" si="45"/>
        <v>0</v>
      </c>
      <c r="X92" s="43">
        <f t="shared" si="45"/>
        <v>0</v>
      </c>
      <c r="Y92" s="43">
        <f t="shared" si="45"/>
        <v>0</v>
      </c>
      <c r="Z92" s="43">
        <f t="shared" si="45"/>
        <v>0</v>
      </c>
      <c r="AA92" s="43">
        <f t="shared" si="45"/>
        <v>0</v>
      </c>
      <c r="AB92" s="43">
        <f t="shared" si="45"/>
        <v>0</v>
      </c>
      <c r="AC92" s="43" t="e">
        <f t="shared" si="51"/>
        <v>#DIV/0!</v>
      </c>
      <c r="AD92" s="43" t="e">
        <f t="shared" si="52"/>
        <v>#DIV/0!</v>
      </c>
      <c r="AE92" s="43" t="e">
        <f t="shared" si="53"/>
        <v>#DIV/0!</v>
      </c>
      <c r="AF92" s="43" t="e">
        <f t="shared" si="54"/>
        <v>#DIV/0!</v>
      </c>
      <c r="AG92" s="43" t="e">
        <f t="shared" si="55"/>
        <v>#DIV/0!</v>
      </c>
      <c r="AH92" s="43" t="e">
        <f t="shared" si="56"/>
        <v>#DIV/0!</v>
      </c>
      <c r="AI92" s="43" t="e">
        <f t="shared" si="57"/>
        <v>#DIV/0!</v>
      </c>
      <c r="AJ92" s="43" t="e">
        <f t="shared" si="58"/>
        <v>#DIV/0!</v>
      </c>
      <c r="AK92" s="43" t="e">
        <f t="shared" si="59"/>
        <v>#DIV/0!</v>
      </c>
      <c r="AL92" s="43" t="e">
        <f>T$3+K92/ATM_Conf!$C$5</f>
        <v>#DIV/0!</v>
      </c>
      <c r="AM92" s="43" t="e">
        <f>U$3+L92/ATM_Conf!$C$5</f>
        <v>#DIV/0!</v>
      </c>
      <c r="AN92" s="43" t="e">
        <f>V$3+M92/ATM_Conf!$C$5</f>
        <v>#DIV/0!</v>
      </c>
      <c r="AO92" s="43" t="e">
        <f>W$3+N92/ATM_Conf!$C$5</f>
        <v>#DIV/0!</v>
      </c>
      <c r="AP92" s="43" t="e">
        <f>X$3+O92/ATM_Conf!$C$5</f>
        <v>#DIV/0!</v>
      </c>
      <c r="AQ92" s="43" t="e">
        <f>Y$3+P92/ATM_Conf!$C$5</f>
        <v>#DIV/0!</v>
      </c>
      <c r="AR92" s="43" t="e">
        <f>Z$3+Q92/ATM_Conf!$C$5</f>
        <v>#DIV/0!</v>
      </c>
      <c r="AS92" s="43" t="e">
        <f>AA$3+R92/ATM_Conf!$C$5</f>
        <v>#DIV/0!</v>
      </c>
      <c r="AT92" s="43" t="e">
        <f>AB$3+S92/ATM_Conf!$C$5</f>
        <v>#DIV/0!</v>
      </c>
      <c r="AU92" s="43" t="e">
        <f>BD$3*MIN(1,(ATM_Conf!$C$6-Links!X92)/(ATM_Conf!$C$6-ATM_Conf!$C$7))</f>
        <v>#DIV/0!</v>
      </c>
      <c r="AV92" s="43" t="e">
        <f>BE$3*MIN(1,(ATM_Conf!$C$6-Links!Z92)/(ATM_Conf!$C$6-ATM_Conf!$C$7))</f>
        <v>#DIV/0!</v>
      </c>
      <c r="AW92" s="43" t="e">
        <f>BF$3*MIN(1,(ATM_Conf!$C$6-Links!AA92)/(ATM_Conf!$C$6-ATM_Conf!$C$7))</f>
        <v>#DIV/0!</v>
      </c>
      <c r="AX92" s="43" t="e">
        <f>BG$3*MIN(1,(ATM_Conf!$C$6-Links!AD92)/(ATM_Conf!$C$6-ATM_Conf!$C$7))</f>
        <v>#DIV/0!</v>
      </c>
      <c r="AY92" s="43" t="e">
        <f>BH$3*MIN(1,(ATM_Conf!$C$6-Links!AE92)/(ATM_Conf!$C$6-ATM_Conf!$C$7))</f>
        <v>#DIV/0!</v>
      </c>
      <c r="AZ92" s="43" t="e">
        <f>BI$3*MIN(1,(ATM_Conf!$C$6-Links!AG92)/(ATM_Conf!$C$6-ATM_Conf!$C$7))</f>
        <v>#DIV/0!</v>
      </c>
      <c r="BA92" s="43" t="e">
        <f>BJ$3*MIN(1,(ATM_Conf!$C$6-Links!AH92)/(ATM_Conf!$C$6-ATM_Conf!$C$7))</f>
        <v>#DIV/0!</v>
      </c>
      <c r="BB92" s="43" t="e">
        <f>BK$3*MIN(1,(ATM_Conf!$C$6-Links!AK92)/(ATM_Conf!$C$6-ATM_Conf!$C$7))</f>
        <v>#DIV/0!</v>
      </c>
      <c r="BC92" s="43" t="e">
        <f>BL$3*MIN(1,(ATM_Conf!$C$6-Links!AM92)/(ATM_Conf!$C$6-ATM_Conf!$C$7))</f>
        <v>#DIV/0!</v>
      </c>
      <c r="BD92" s="43">
        <f t="shared" si="49"/>
        <v>0</v>
      </c>
      <c r="BE92" s="43">
        <f t="shared" si="46"/>
        <v>0</v>
      </c>
      <c r="BF92" s="43">
        <f t="shared" si="46"/>
        <v>0</v>
      </c>
      <c r="BG92" s="43">
        <f t="shared" si="46"/>
        <v>0</v>
      </c>
      <c r="BH92" s="43">
        <f t="shared" si="46"/>
        <v>0</v>
      </c>
      <c r="BI92" s="43">
        <f t="shared" si="46"/>
        <v>0</v>
      </c>
      <c r="BJ92" s="43">
        <f t="shared" si="46"/>
        <v>0</v>
      </c>
      <c r="BK92" s="43">
        <f t="shared" si="46"/>
        <v>0</v>
      </c>
      <c r="BL92" s="43">
        <f t="shared" si="46"/>
        <v>0</v>
      </c>
      <c r="BM92" s="51"/>
      <c r="BN92" s="51"/>
      <c r="BO92" s="51"/>
      <c r="BP92" s="51"/>
      <c r="BQ92" s="51"/>
      <c r="BR92" s="51"/>
      <c r="BS92" s="51"/>
      <c r="BT92" s="51"/>
      <c r="BU92" s="51"/>
      <c r="BV92" s="51" t="e">
        <f t="shared" si="60"/>
        <v>#DIV/0!</v>
      </c>
      <c r="BW92" s="51" t="e">
        <f t="shared" si="61"/>
        <v>#DIV/0!</v>
      </c>
      <c r="BX92" s="51" t="e">
        <f t="shared" si="62"/>
        <v>#DIV/0!</v>
      </c>
      <c r="BY92" s="51" t="e">
        <f t="shared" si="63"/>
        <v>#DIV/0!</v>
      </c>
      <c r="BZ92" s="51" t="e">
        <f t="shared" si="64"/>
        <v>#DIV/0!</v>
      </c>
      <c r="CA92" s="51" t="e">
        <f t="shared" si="65"/>
        <v>#DIV/0!</v>
      </c>
      <c r="CB92" s="51" t="e">
        <f t="shared" si="66"/>
        <v>#DIV/0!</v>
      </c>
      <c r="CC92" s="51" t="e">
        <f t="shared" si="67"/>
        <v>#DIV/0!</v>
      </c>
      <c r="CD92" s="51" t="e">
        <f t="shared" si="68"/>
        <v>#DIV/0!</v>
      </c>
      <c r="CE92" s="53">
        <f t="shared" si="50"/>
        <v>0</v>
      </c>
      <c r="CF92" s="53">
        <f t="shared" si="47"/>
        <v>0</v>
      </c>
      <c r="CG92" s="53">
        <f t="shared" si="47"/>
        <v>0</v>
      </c>
      <c r="CH92" s="53">
        <f t="shared" si="47"/>
        <v>0</v>
      </c>
      <c r="CI92" s="53">
        <f t="shared" si="47"/>
        <v>0</v>
      </c>
      <c r="CJ92" s="53">
        <f t="shared" si="47"/>
        <v>0</v>
      </c>
      <c r="CK92" s="53">
        <f t="shared" si="47"/>
        <v>0</v>
      </c>
      <c r="CL92" s="53">
        <f t="shared" si="47"/>
        <v>0</v>
      </c>
      <c r="CM92" s="53">
        <f t="shared" si="47"/>
        <v>0</v>
      </c>
    </row>
    <row r="93" spans="1:91" x14ac:dyDescent="0.15">
      <c r="A93" s="41">
        <v>91</v>
      </c>
      <c r="B93" s="43">
        <f t="shared" si="74"/>
        <v>1</v>
      </c>
      <c r="C93" s="43">
        <f t="shared" si="73"/>
        <v>1</v>
      </c>
      <c r="D93" s="43">
        <f t="shared" si="73"/>
        <v>1</v>
      </c>
      <c r="E93" s="43">
        <f t="shared" si="73"/>
        <v>1</v>
      </c>
      <c r="F93" s="43">
        <f t="shared" si="73"/>
        <v>1</v>
      </c>
      <c r="G93" s="43">
        <f t="shared" si="73"/>
        <v>1</v>
      </c>
      <c r="H93" s="43">
        <f t="shared" si="73"/>
        <v>1</v>
      </c>
      <c r="I93" s="43">
        <f t="shared" si="73"/>
        <v>1</v>
      </c>
      <c r="J93" s="43">
        <f t="shared" si="73"/>
        <v>1</v>
      </c>
      <c r="K93" s="43" t="e">
        <f>K92+ATM_Conf!$C$5*(T92-AC92)</f>
        <v>#DIV/0!</v>
      </c>
      <c r="L93" s="43" t="e">
        <f>L92+ATM_Conf!$C$5*(U92-AD92)</f>
        <v>#DIV/0!</v>
      </c>
      <c r="M93" s="43" t="e">
        <f>M92+ATM_Conf!$C$5*(V92-AE92)</f>
        <v>#DIV/0!</v>
      </c>
      <c r="N93" s="43" t="e">
        <f>N92+ATM_Conf!$C$5*(W92-AF92)</f>
        <v>#DIV/0!</v>
      </c>
      <c r="O93" s="43" t="e">
        <f>O92+ATM_Conf!$C$5*(X92-AG92)</f>
        <v>#DIV/0!</v>
      </c>
      <c r="P93" s="43" t="e">
        <f>P92+ATM_Conf!$C$5*(Y92-AH92)</f>
        <v>#DIV/0!</v>
      </c>
      <c r="Q93" s="43" t="e">
        <f>Q92+ATM_Conf!$C$5*(Z92-AI92)</f>
        <v>#DIV/0!</v>
      </c>
      <c r="R93" s="43" t="e">
        <f>R92+ATM_Conf!$C$5*(AA92-AJ92)</f>
        <v>#DIV/0!</v>
      </c>
      <c r="S93" s="43" t="e">
        <f>S92+ATM_Conf!$C$5*(AB92-AK92)</f>
        <v>#DIV/0!</v>
      </c>
      <c r="T93" s="43">
        <f t="shared" si="48"/>
        <v>0</v>
      </c>
      <c r="U93" s="43">
        <f t="shared" si="45"/>
        <v>0</v>
      </c>
      <c r="V93" s="43">
        <f t="shared" si="45"/>
        <v>0</v>
      </c>
      <c r="W93" s="43">
        <f t="shared" si="45"/>
        <v>0</v>
      </c>
      <c r="X93" s="43">
        <f t="shared" si="45"/>
        <v>0</v>
      </c>
      <c r="Y93" s="43">
        <f t="shared" si="45"/>
        <v>0</v>
      </c>
      <c r="Z93" s="43">
        <f t="shared" si="45"/>
        <v>0</v>
      </c>
      <c r="AA93" s="43">
        <f t="shared" si="45"/>
        <v>0</v>
      </c>
      <c r="AB93" s="43">
        <f t="shared" si="45"/>
        <v>0</v>
      </c>
      <c r="AC93" s="43" t="e">
        <f t="shared" si="51"/>
        <v>#DIV/0!</v>
      </c>
      <c r="AD93" s="43" t="e">
        <f t="shared" si="52"/>
        <v>#DIV/0!</v>
      </c>
      <c r="AE93" s="43" t="e">
        <f t="shared" si="53"/>
        <v>#DIV/0!</v>
      </c>
      <c r="AF93" s="43" t="e">
        <f t="shared" si="54"/>
        <v>#DIV/0!</v>
      </c>
      <c r="AG93" s="43" t="e">
        <f t="shared" si="55"/>
        <v>#DIV/0!</v>
      </c>
      <c r="AH93" s="43" t="e">
        <f t="shared" si="56"/>
        <v>#DIV/0!</v>
      </c>
      <c r="AI93" s="43" t="e">
        <f t="shared" si="57"/>
        <v>#DIV/0!</v>
      </c>
      <c r="AJ93" s="43" t="e">
        <f t="shared" si="58"/>
        <v>#DIV/0!</v>
      </c>
      <c r="AK93" s="43" t="e">
        <f t="shared" si="59"/>
        <v>#DIV/0!</v>
      </c>
      <c r="AL93" s="43" t="e">
        <f>T$3+K93/ATM_Conf!$C$5</f>
        <v>#DIV/0!</v>
      </c>
      <c r="AM93" s="43" t="e">
        <f>U$3+L93/ATM_Conf!$C$5</f>
        <v>#DIV/0!</v>
      </c>
      <c r="AN93" s="43" t="e">
        <f>V$3+M93/ATM_Conf!$C$5</f>
        <v>#DIV/0!</v>
      </c>
      <c r="AO93" s="43" t="e">
        <f>W$3+N93/ATM_Conf!$C$5</f>
        <v>#DIV/0!</v>
      </c>
      <c r="AP93" s="43" t="e">
        <f>X$3+O93/ATM_Conf!$C$5</f>
        <v>#DIV/0!</v>
      </c>
      <c r="AQ93" s="43" t="e">
        <f>Y$3+P93/ATM_Conf!$C$5</f>
        <v>#DIV/0!</v>
      </c>
      <c r="AR93" s="43" t="e">
        <f>Z$3+Q93/ATM_Conf!$C$5</f>
        <v>#DIV/0!</v>
      </c>
      <c r="AS93" s="43" t="e">
        <f>AA$3+R93/ATM_Conf!$C$5</f>
        <v>#DIV/0!</v>
      </c>
      <c r="AT93" s="43" t="e">
        <f>AB$3+S93/ATM_Conf!$C$5</f>
        <v>#DIV/0!</v>
      </c>
      <c r="AU93" s="43" t="e">
        <f>BD$3*MIN(1,(ATM_Conf!$C$6-Links!X93)/(ATM_Conf!$C$6-ATM_Conf!$C$7))</f>
        <v>#DIV/0!</v>
      </c>
      <c r="AV93" s="43" t="e">
        <f>BE$3*MIN(1,(ATM_Conf!$C$6-Links!Z93)/(ATM_Conf!$C$6-ATM_Conf!$C$7))</f>
        <v>#DIV/0!</v>
      </c>
      <c r="AW93" s="43" t="e">
        <f>BF$3*MIN(1,(ATM_Conf!$C$6-Links!AA93)/(ATM_Conf!$C$6-ATM_Conf!$C$7))</f>
        <v>#DIV/0!</v>
      </c>
      <c r="AX93" s="43" t="e">
        <f>BG$3*MIN(1,(ATM_Conf!$C$6-Links!AD93)/(ATM_Conf!$C$6-ATM_Conf!$C$7))</f>
        <v>#DIV/0!</v>
      </c>
      <c r="AY93" s="43" t="e">
        <f>BH$3*MIN(1,(ATM_Conf!$C$6-Links!AE93)/(ATM_Conf!$C$6-ATM_Conf!$C$7))</f>
        <v>#DIV/0!</v>
      </c>
      <c r="AZ93" s="43" t="e">
        <f>BI$3*MIN(1,(ATM_Conf!$C$6-Links!AG93)/(ATM_Conf!$C$6-ATM_Conf!$C$7))</f>
        <v>#DIV/0!</v>
      </c>
      <c r="BA93" s="43" t="e">
        <f>BJ$3*MIN(1,(ATM_Conf!$C$6-Links!AH93)/(ATM_Conf!$C$6-ATM_Conf!$C$7))</f>
        <v>#DIV/0!</v>
      </c>
      <c r="BB93" s="43" t="e">
        <f>BK$3*MIN(1,(ATM_Conf!$C$6-Links!AK93)/(ATM_Conf!$C$6-ATM_Conf!$C$7))</f>
        <v>#DIV/0!</v>
      </c>
      <c r="BC93" s="43" t="e">
        <f>BL$3*MIN(1,(ATM_Conf!$C$6-Links!AM93)/(ATM_Conf!$C$6-ATM_Conf!$C$7))</f>
        <v>#DIV/0!</v>
      </c>
      <c r="BD93" s="43">
        <f t="shared" si="49"/>
        <v>0</v>
      </c>
      <c r="BE93" s="43">
        <f t="shared" si="46"/>
        <v>0</v>
      </c>
      <c r="BF93" s="43">
        <f t="shared" si="46"/>
        <v>0</v>
      </c>
      <c r="BG93" s="43">
        <f t="shared" si="46"/>
        <v>0</v>
      </c>
      <c r="BH93" s="43">
        <f t="shared" si="46"/>
        <v>0</v>
      </c>
      <c r="BI93" s="43">
        <f t="shared" si="46"/>
        <v>0</v>
      </c>
      <c r="BJ93" s="43">
        <f t="shared" si="46"/>
        <v>0</v>
      </c>
      <c r="BK93" s="43">
        <f t="shared" si="46"/>
        <v>0</v>
      </c>
      <c r="BL93" s="43">
        <f t="shared" si="46"/>
        <v>0</v>
      </c>
      <c r="BM93" s="51"/>
      <c r="BN93" s="51"/>
      <c r="BO93" s="51"/>
      <c r="BP93" s="51"/>
      <c r="BQ93" s="51"/>
      <c r="BR93" s="51"/>
      <c r="BS93" s="51"/>
      <c r="BT93" s="51"/>
      <c r="BU93" s="51"/>
      <c r="BV93" s="51" t="e">
        <f t="shared" si="60"/>
        <v>#DIV/0!</v>
      </c>
      <c r="BW93" s="51" t="e">
        <f t="shared" si="61"/>
        <v>#DIV/0!</v>
      </c>
      <c r="BX93" s="51" t="e">
        <f t="shared" si="62"/>
        <v>#DIV/0!</v>
      </c>
      <c r="BY93" s="51" t="e">
        <f t="shared" si="63"/>
        <v>#DIV/0!</v>
      </c>
      <c r="BZ93" s="51" t="e">
        <f t="shared" si="64"/>
        <v>#DIV/0!</v>
      </c>
      <c r="CA93" s="51" t="e">
        <f t="shared" si="65"/>
        <v>#DIV/0!</v>
      </c>
      <c r="CB93" s="51" t="e">
        <f t="shared" si="66"/>
        <v>#DIV/0!</v>
      </c>
      <c r="CC93" s="51" t="e">
        <f t="shared" si="67"/>
        <v>#DIV/0!</v>
      </c>
      <c r="CD93" s="51" t="e">
        <f t="shared" si="68"/>
        <v>#DIV/0!</v>
      </c>
      <c r="CE93" s="53">
        <f t="shared" si="50"/>
        <v>0</v>
      </c>
      <c r="CF93" s="53">
        <f t="shared" si="47"/>
        <v>0</v>
      </c>
      <c r="CG93" s="53">
        <f t="shared" si="47"/>
        <v>0</v>
      </c>
      <c r="CH93" s="53">
        <f t="shared" si="47"/>
        <v>0</v>
      </c>
      <c r="CI93" s="53">
        <f t="shared" si="47"/>
        <v>0</v>
      </c>
      <c r="CJ93" s="53">
        <f t="shared" si="47"/>
        <v>0</v>
      </c>
      <c r="CK93" s="53">
        <f t="shared" si="47"/>
        <v>0</v>
      </c>
      <c r="CL93" s="53">
        <f t="shared" si="47"/>
        <v>0</v>
      </c>
      <c r="CM93" s="53">
        <f t="shared" si="47"/>
        <v>0</v>
      </c>
    </row>
    <row r="94" spans="1:91" x14ac:dyDescent="0.15">
      <c r="A94" s="41">
        <v>92</v>
      </c>
      <c r="B94" s="43">
        <f t="shared" si="74"/>
        <v>1</v>
      </c>
      <c r="C94" s="43">
        <f t="shared" si="73"/>
        <v>1</v>
      </c>
      <c r="D94" s="43">
        <f t="shared" si="73"/>
        <v>1</v>
      </c>
      <c r="E94" s="43">
        <f t="shared" si="73"/>
        <v>1</v>
      </c>
      <c r="F94" s="43">
        <f t="shared" si="73"/>
        <v>1</v>
      </c>
      <c r="G94" s="43">
        <f t="shared" si="73"/>
        <v>1</v>
      </c>
      <c r="H94" s="43">
        <f t="shared" si="73"/>
        <v>1</v>
      </c>
      <c r="I94" s="43">
        <f t="shared" si="73"/>
        <v>1</v>
      </c>
      <c r="J94" s="43">
        <f t="shared" si="73"/>
        <v>1</v>
      </c>
      <c r="K94" s="43" t="e">
        <f>K93+ATM_Conf!$C$5*(T93-AC93)</f>
        <v>#DIV/0!</v>
      </c>
      <c r="L94" s="43" t="e">
        <f>L93+ATM_Conf!$C$5*(U93-AD93)</f>
        <v>#DIV/0!</v>
      </c>
      <c r="M94" s="43" t="e">
        <f>M93+ATM_Conf!$C$5*(V93-AE93)</f>
        <v>#DIV/0!</v>
      </c>
      <c r="N94" s="43" t="e">
        <f>N93+ATM_Conf!$C$5*(W93-AF93)</f>
        <v>#DIV/0!</v>
      </c>
      <c r="O94" s="43" t="e">
        <f>O93+ATM_Conf!$C$5*(X93-AG93)</f>
        <v>#DIV/0!</v>
      </c>
      <c r="P94" s="43" t="e">
        <f>P93+ATM_Conf!$C$5*(Y93-AH93)</f>
        <v>#DIV/0!</v>
      </c>
      <c r="Q94" s="43" t="e">
        <f>Q93+ATM_Conf!$C$5*(Z93-AI93)</f>
        <v>#DIV/0!</v>
      </c>
      <c r="R94" s="43" t="e">
        <f>R93+ATM_Conf!$C$5*(AA93-AJ93)</f>
        <v>#DIV/0!</v>
      </c>
      <c r="S94" s="43" t="e">
        <f>S93+ATM_Conf!$C$5*(AB93-AK93)</f>
        <v>#DIV/0!</v>
      </c>
      <c r="T94" s="43">
        <f t="shared" si="48"/>
        <v>0</v>
      </c>
      <c r="U94" s="43">
        <f t="shared" si="45"/>
        <v>0</v>
      </c>
      <c r="V94" s="43">
        <f t="shared" si="45"/>
        <v>0</v>
      </c>
      <c r="W94" s="43">
        <f t="shared" si="45"/>
        <v>0</v>
      </c>
      <c r="X94" s="43">
        <f t="shared" si="45"/>
        <v>0</v>
      </c>
      <c r="Y94" s="43">
        <f t="shared" si="45"/>
        <v>0</v>
      </c>
      <c r="Z94" s="43">
        <f t="shared" si="45"/>
        <v>0</v>
      </c>
      <c r="AA94" s="43">
        <f t="shared" si="45"/>
        <v>0</v>
      </c>
      <c r="AB94" s="43">
        <f t="shared" si="45"/>
        <v>0</v>
      </c>
      <c r="AC94" s="43" t="e">
        <f t="shared" si="51"/>
        <v>#DIV/0!</v>
      </c>
      <c r="AD94" s="43" t="e">
        <f t="shared" si="52"/>
        <v>#DIV/0!</v>
      </c>
      <c r="AE94" s="43" t="e">
        <f t="shared" si="53"/>
        <v>#DIV/0!</v>
      </c>
      <c r="AF94" s="43" t="e">
        <f t="shared" si="54"/>
        <v>#DIV/0!</v>
      </c>
      <c r="AG94" s="43" t="e">
        <f t="shared" si="55"/>
        <v>#DIV/0!</v>
      </c>
      <c r="AH94" s="43" t="e">
        <f t="shared" si="56"/>
        <v>#DIV/0!</v>
      </c>
      <c r="AI94" s="43" t="e">
        <f t="shared" si="57"/>
        <v>#DIV/0!</v>
      </c>
      <c r="AJ94" s="43" t="e">
        <f t="shared" si="58"/>
        <v>#DIV/0!</v>
      </c>
      <c r="AK94" s="43" t="e">
        <f t="shared" si="59"/>
        <v>#DIV/0!</v>
      </c>
      <c r="AL94" s="43" t="e">
        <f>T$3+K94/ATM_Conf!$C$5</f>
        <v>#DIV/0!</v>
      </c>
      <c r="AM94" s="43" t="e">
        <f>U$3+L94/ATM_Conf!$C$5</f>
        <v>#DIV/0!</v>
      </c>
      <c r="AN94" s="43" t="e">
        <f>V$3+M94/ATM_Conf!$C$5</f>
        <v>#DIV/0!</v>
      </c>
      <c r="AO94" s="43" t="e">
        <f>W$3+N94/ATM_Conf!$C$5</f>
        <v>#DIV/0!</v>
      </c>
      <c r="AP94" s="43" t="e">
        <f>X$3+O94/ATM_Conf!$C$5</f>
        <v>#DIV/0!</v>
      </c>
      <c r="AQ94" s="43" t="e">
        <f>Y$3+P94/ATM_Conf!$C$5</f>
        <v>#DIV/0!</v>
      </c>
      <c r="AR94" s="43" t="e">
        <f>Z$3+Q94/ATM_Conf!$C$5</f>
        <v>#DIV/0!</v>
      </c>
      <c r="AS94" s="43" t="e">
        <f>AA$3+R94/ATM_Conf!$C$5</f>
        <v>#DIV/0!</v>
      </c>
      <c r="AT94" s="43" t="e">
        <f>AB$3+S94/ATM_Conf!$C$5</f>
        <v>#DIV/0!</v>
      </c>
      <c r="AU94" s="43" t="e">
        <f>BD$3*MIN(1,(ATM_Conf!$C$6-Links!X94)/(ATM_Conf!$C$6-ATM_Conf!$C$7))</f>
        <v>#DIV/0!</v>
      </c>
      <c r="AV94" s="43" t="e">
        <f>BE$3*MIN(1,(ATM_Conf!$C$6-Links!Z94)/(ATM_Conf!$C$6-ATM_Conf!$C$7))</f>
        <v>#DIV/0!</v>
      </c>
      <c r="AW94" s="43" t="e">
        <f>BF$3*MIN(1,(ATM_Conf!$C$6-Links!AA94)/(ATM_Conf!$C$6-ATM_Conf!$C$7))</f>
        <v>#DIV/0!</v>
      </c>
      <c r="AX94" s="43" t="e">
        <f>BG$3*MIN(1,(ATM_Conf!$C$6-Links!AD94)/(ATM_Conf!$C$6-ATM_Conf!$C$7))</f>
        <v>#DIV/0!</v>
      </c>
      <c r="AY94" s="43" t="e">
        <f>BH$3*MIN(1,(ATM_Conf!$C$6-Links!AE94)/(ATM_Conf!$C$6-ATM_Conf!$C$7))</f>
        <v>#DIV/0!</v>
      </c>
      <c r="AZ94" s="43" t="e">
        <f>BI$3*MIN(1,(ATM_Conf!$C$6-Links!AG94)/(ATM_Conf!$C$6-ATM_Conf!$C$7))</f>
        <v>#DIV/0!</v>
      </c>
      <c r="BA94" s="43" t="e">
        <f>BJ$3*MIN(1,(ATM_Conf!$C$6-Links!AH94)/(ATM_Conf!$C$6-ATM_Conf!$C$7))</f>
        <v>#DIV/0!</v>
      </c>
      <c r="BB94" s="43" t="e">
        <f>BK$3*MIN(1,(ATM_Conf!$C$6-Links!AK94)/(ATM_Conf!$C$6-ATM_Conf!$C$7))</f>
        <v>#DIV/0!</v>
      </c>
      <c r="BC94" s="43" t="e">
        <f>BL$3*MIN(1,(ATM_Conf!$C$6-Links!AM94)/(ATM_Conf!$C$6-ATM_Conf!$C$7))</f>
        <v>#DIV/0!</v>
      </c>
      <c r="BD94" s="43">
        <f t="shared" si="49"/>
        <v>0</v>
      </c>
      <c r="BE94" s="43">
        <f t="shared" si="46"/>
        <v>0</v>
      </c>
      <c r="BF94" s="43">
        <f t="shared" si="46"/>
        <v>0</v>
      </c>
      <c r="BG94" s="43">
        <f t="shared" si="46"/>
        <v>0</v>
      </c>
      <c r="BH94" s="43">
        <f t="shared" si="46"/>
        <v>0</v>
      </c>
      <c r="BI94" s="43">
        <f t="shared" si="46"/>
        <v>0</v>
      </c>
      <c r="BJ94" s="43">
        <f t="shared" si="46"/>
        <v>0</v>
      </c>
      <c r="BK94" s="43">
        <f t="shared" si="46"/>
        <v>0</v>
      </c>
      <c r="BL94" s="43">
        <f t="shared" si="46"/>
        <v>0</v>
      </c>
      <c r="BM94" s="51"/>
      <c r="BN94" s="51"/>
      <c r="BO94" s="51"/>
      <c r="BP94" s="51"/>
      <c r="BQ94" s="51"/>
      <c r="BR94" s="51"/>
      <c r="BS94" s="51"/>
      <c r="BT94" s="51"/>
      <c r="BU94" s="51"/>
      <c r="BV94" s="51" t="e">
        <f t="shared" si="60"/>
        <v>#DIV/0!</v>
      </c>
      <c r="BW94" s="51" t="e">
        <f t="shared" si="61"/>
        <v>#DIV/0!</v>
      </c>
      <c r="BX94" s="51" t="e">
        <f t="shared" si="62"/>
        <v>#DIV/0!</v>
      </c>
      <c r="BY94" s="51" t="e">
        <f t="shared" si="63"/>
        <v>#DIV/0!</v>
      </c>
      <c r="BZ94" s="51" t="e">
        <f t="shared" si="64"/>
        <v>#DIV/0!</v>
      </c>
      <c r="CA94" s="51" t="e">
        <f t="shared" si="65"/>
        <v>#DIV/0!</v>
      </c>
      <c r="CB94" s="51" t="e">
        <f t="shared" si="66"/>
        <v>#DIV/0!</v>
      </c>
      <c r="CC94" s="51" t="e">
        <f t="shared" si="67"/>
        <v>#DIV/0!</v>
      </c>
      <c r="CD94" s="51" t="e">
        <f t="shared" si="68"/>
        <v>#DIV/0!</v>
      </c>
      <c r="CE94" s="53">
        <f t="shared" si="50"/>
        <v>0</v>
      </c>
      <c r="CF94" s="53">
        <f t="shared" si="47"/>
        <v>0</v>
      </c>
      <c r="CG94" s="53">
        <f t="shared" si="47"/>
        <v>0</v>
      </c>
      <c r="CH94" s="53">
        <f t="shared" si="47"/>
        <v>0</v>
      </c>
      <c r="CI94" s="53">
        <f t="shared" si="47"/>
        <v>0</v>
      </c>
      <c r="CJ94" s="53">
        <f t="shared" si="47"/>
        <v>0</v>
      </c>
      <c r="CK94" s="53">
        <f t="shared" si="47"/>
        <v>0</v>
      </c>
      <c r="CL94" s="53">
        <f t="shared" si="47"/>
        <v>0</v>
      </c>
      <c r="CM94" s="53">
        <f t="shared" si="47"/>
        <v>0</v>
      </c>
    </row>
    <row r="95" spans="1:91" x14ac:dyDescent="0.15">
      <c r="A95" s="41">
        <v>93</v>
      </c>
      <c r="B95" s="43">
        <f t="shared" si="74"/>
        <v>1</v>
      </c>
      <c r="C95" s="43">
        <f t="shared" si="73"/>
        <v>1</v>
      </c>
      <c r="D95" s="43">
        <f t="shared" si="73"/>
        <v>1</v>
      </c>
      <c r="E95" s="43">
        <f t="shared" si="73"/>
        <v>1</v>
      </c>
      <c r="F95" s="43">
        <f t="shared" si="73"/>
        <v>1</v>
      </c>
      <c r="G95" s="43">
        <f t="shared" si="73"/>
        <v>1</v>
      </c>
      <c r="H95" s="43">
        <f t="shared" si="73"/>
        <v>1</v>
      </c>
      <c r="I95" s="43">
        <f t="shared" si="73"/>
        <v>1</v>
      </c>
      <c r="J95" s="43">
        <f t="shared" si="73"/>
        <v>1</v>
      </c>
      <c r="K95" s="43" t="e">
        <f>K94+ATM_Conf!$C$5*(T94-AC94)</f>
        <v>#DIV/0!</v>
      </c>
      <c r="L95" s="43" t="e">
        <f>L94+ATM_Conf!$C$5*(U94-AD94)</f>
        <v>#DIV/0!</v>
      </c>
      <c r="M95" s="43" t="e">
        <f>M94+ATM_Conf!$C$5*(V94-AE94)</f>
        <v>#DIV/0!</v>
      </c>
      <c r="N95" s="43" t="e">
        <f>N94+ATM_Conf!$C$5*(W94-AF94)</f>
        <v>#DIV/0!</v>
      </c>
      <c r="O95" s="43" t="e">
        <f>O94+ATM_Conf!$C$5*(X94-AG94)</f>
        <v>#DIV/0!</v>
      </c>
      <c r="P95" s="43" t="e">
        <f>P94+ATM_Conf!$C$5*(Y94-AH94)</f>
        <v>#DIV/0!</v>
      </c>
      <c r="Q95" s="43" t="e">
        <f>Q94+ATM_Conf!$C$5*(Z94-AI94)</f>
        <v>#DIV/0!</v>
      </c>
      <c r="R95" s="43" t="e">
        <f>R94+ATM_Conf!$C$5*(AA94-AJ94)</f>
        <v>#DIV/0!</v>
      </c>
      <c r="S95" s="43" t="e">
        <f>S94+ATM_Conf!$C$5*(AB94-AK94)</f>
        <v>#DIV/0!</v>
      </c>
      <c r="T95" s="43">
        <f t="shared" si="48"/>
        <v>0</v>
      </c>
      <c r="U95" s="43">
        <f t="shared" si="45"/>
        <v>0</v>
      </c>
      <c r="V95" s="43">
        <f t="shared" si="45"/>
        <v>0</v>
      </c>
      <c r="W95" s="43">
        <f t="shared" si="45"/>
        <v>0</v>
      </c>
      <c r="X95" s="43">
        <f t="shared" si="45"/>
        <v>0</v>
      </c>
      <c r="Y95" s="43">
        <f t="shared" si="45"/>
        <v>0</v>
      </c>
      <c r="Z95" s="43">
        <f t="shared" si="45"/>
        <v>0</v>
      </c>
      <c r="AA95" s="43">
        <f t="shared" si="45"/>
        <v>0</v>
      </c>
      <c r="AB95" s="43">
        <f t="shared" si="45"/>
        <v>0</v>
      </c>
      <c r="AC95" s="43" t="e">
        <f t="shared" si="51"/>
        <v>#DIV/0!</v>
      </c>
      <c r="AD95" s="43" t="e">
        <f t="shared" si="52"/>
        <v>#DIV/0!</v>
      </c>
      <c r="AE95" s="43" t="e">
        <f t="shared" si="53"/>
        <v>#DIV/0!</v>
      </c>
      <c r="AF95" s="43" t="e">
        <f t="shared" si="54"/>
        <v>#DIV/0!</v>
      </c>
      <c r="AG95" s="43" t="e">
        <f t="shared" si="55"/>
        <v>#DIV/0!</v>
      </c>
      <c r="AH95" s="43" t="e">
        <f t="shared" si="56"/>
        <v>#DIV/0!</v>
      </c>
      <c r="AI95" s="43" t="e">
        <f t="shared" si="57"/>
        <v>#DIV/0!</v>
      </c>
      <c r="AJ95" s="43" t="e">
        <f t="shared" si="58"/>
        <v>#DIV/0!</v>
      </c>
      <c r="AK95" s="43" t="e">
        <f t="shared" si="59"/>
        <v>#DIV/0!</v>
      </c>
      <c r="AL95" s="43" t="e">
        <f>T$3+K95/ATM_Conf!$C$5</f>
        <v>#DIV/0!</v>
      </c>
      <c r="AM95" s="43" t="e">
        <f>U$3+L95/ATM_Conf!$C$5</f>
        <v>#DIV/0!</v>
      </c>
      <c r="AN95" s="43" t="e">
        <f>V$3+M95/ATM_Conf!$C$5</f>
        <v>#DIV/0!</v>
      </c>
      <c r="AO95" s="43" t="e">
        <f>W$3+N95/ATM_Conf!$C$5</f>
        <v>#DIV/0!</v>
      </c>
      <c r="AP95" s="43" t="e">
        <f>X$3+O95/ATM_Conf!$C$5</f>
        <v>#DIV/0!</v>
      </c>
      <c r="AQ95" s="43" t="e">
        <f>Y$3+P95/ATM_Conf!$C$5</f>
        <v>#DIV/0!</v>
      </c>
      <c r="AR95" s="43" t="e">
        <f>Z$3+Q95/ATM_Conf!$C$5</f>
        <v>#DIV/0!</v>
      </c>
      <c r="AS95" s="43" t="e">
        <f>AA$3+R95/ATM_Conf!$C$5</f>
        <v>#DIV/0!</v>
      </c>
      <c r="AT95" s="43" t="e">
        <f>AB$3+S95/ATM_Conf!$C$5</f>
        <v>#DIV/0!</v>
      </c>
      <c r="AU95" s="43" t="e">
        <f>BD$3*MIN(1,(ATM_Conf!$C$6-Links!X95)/(ATM_Conf!$C$6-ATM_Conf!$C$7))</f>
        <v>#DIV/0!</v>
      </c>
      <c r="AV95" s="43" t="e">
        <f>BE$3*MIN(1,(ATM_Conf!$C$6-Links!Z95)/(ATM_Conf!$C$6-ATM_Conf!$C$7))</f>
        <v>#DIV/0!</v>
      </c>
      <c r="AW95" s="43" t="e">
        <f>BF$3*MIN(1,(ATM_Conf!$C$6-Links!AA95)/(ATM_Conf!$C$6-ATM_Conf!$C$7))</f>
        <v>#DIV/0!</v>
      </c>
      <c r="AX95" s="43" t="e">
        <f>BG$3*MIN(1,(ATM_Conf!$C$6-Links!AD95)/(ATM_Conf!$C$6-ATM_Conf!$C$7))</f>
        <v>#DIV/0!</v>
      </c>
      <c r="AY95" s="43" t="e">
        <f>BH$3*MIN(1,(ATM_Conf!$C$6-Links!AE95)/(ATM_Conf!$C$6-ATM_Conf!$C$7))</f>
        <v>#DIV/0!</v>
      </c>
      <c r="AZ95" s="43" t="e">
        <f>BI$3*MIN(1,(ATM_Conf!$C$6-Links!AG95)/(ATM_Conf!$C$6-ATM_Conf!$C$7))</f>
        <v>#DIV/0!</v>
      </c>
      <c r="BA95" s="43" t="e">
        <f>BJ$3*MIN(1,(ATM_Conf!$C$6-Links!AH95)/(ATM_Conf!$C$6-ATM_Conf!$C$7))</f>
        <v>#DIV/0!</v>
      </c>
      <c r="BB95" s="43" t="e">
        <f>BK$3*MIN(1,(ATM_Conf!$C$6-Links!AK95)/(ATM_Conf!$C$6-ATM_Conf!$C$7))</f>
        <v>#DIV/0!</v>
      </c>
      <c r="BC95" s="43" t="e">
        <f>BL$3*MIN(1,(ATM_Conf!$C$6-Links!AM95)/(ATM_Conf!$C$6-ATM_Conf!$C$7))</f>
        <v>#DIV/0!</v>
      </c>
      <c r="BD95" s="43">
        <f t="shared" si="49"/>
        <v>0</v>
      </c>
      <c r="BE95" s="43">
        <f t="shared" si="46"/>
        <v>0</v>
      </c>
      <c r="BF95" s="43">
        <f t="shared" si="46"/>
        <v>0</v>
      </c>
      <c r="BG95" s="43">
        <f t="shared" si="46"/>
        <v>0</v>
      </c>
      <c r="BH95" s="43">
        <f t="shared" si="46"/>
        <v>0</v>
      </c>
      <c r="BI95" s="43">
        <f t="shared" si="46"/>
        <v>0</v>
      </c>
      <c r="BJ95" s="43">
        <f t="shared" si="46"/>
        <v>0</v>
      </c>
      <c r="BK95" s="43">
        <f t="shared" si="46"/>
        <v>0</v>
      </c>
      <c r="BL95" s="43">
        <f t="shared" si="46"/>
        <v>0</v>
      </c>
      <c r="BM95" s="51"/>
      <c r="BN95" s="51"/>
      <c r="BO95" s="51"/>
      <c r="BP95" s="51"/>
      <c r="BQ95" s="51"/>
      <c r="BR95" s="51"/>
      <c r="BS95" s="51"/>
      <c r="BT95" s="51"/>
      <c r="BU95" s="51"/>
      <c r="BV95" s="51" t="e">
        <f t="shared" si="60"/>
        <v>#DIV/0!</v>
      </c>
      <c r="BW95" s="51" t="e">
        <f t="shared" si="61"/>
        <v>#DIV/0!</v>
      </c>
      <c r="BX95" s="51" t="e">
        <f t="shared" si="62"/>
        <v>#DIV/0!</v>
      </c>
      <c r="BY95" s="51" t="e">
        <f t="shared" si="63"/>
        <v>#DIV/0!</v>
      </c>
      <c r="BZ95" s="51" t="e">
        <f t="shared" si="64"/>
        <v>#DIV/0!</v>
      </c>
      <c r="CA95" s="51" t="e">
        <f t="shared" si="65"/>
        <v>#DIV/0!</v>
      </c>
      <c r="CB95" s="51" t="e">
        <f t="shared" si="66"/>
        <v>#DIV/0!</v>
      </c>
      <c r="CC95" s="51" t="e">
        <f t="shared" si="67"/>
        <v>#DIV/0!</v>
      </c>
      <c r="CD95" s="51" t="e">
        <f t="shared" si="68"/>
        <v>#DIV/0!</v>
      </c>
      <c r="CE95" s="53">
        <f t="shared" si="50"/>
        <v>0</v>
      </c>
      <c r="CF95" s="53">
        <f t="shared" si="47"/>
        <v>0</v>
      </c>
      <c r="CG95" s="53">
        <f t="shared" si="47"/>
        <v>0</v>
      </c>
      <c r="CH95" s="53">
        <f t="shared" si="47"/>
        <v>0</v>
      </c>
      <c r="CI95" s="53">
        <f t="shared" si="47"/>
        <v>0</v>
      </c>
      <c r="CJ95" s="53">
        <f t="shared" si="47"/>
        <v>0</v>
      </c>
      <c r="CK95" s="53">
        <f t="shared" si="47"/>
        <v>0</v>
      </c>
      <c r="CL95" s="53">
        <f t="shared" si="47"/>
        <v>0</v>
      </c>
      <c r="CM95" s="53">
        <f t="shared" si="47"/>
        <v>0</v>
      </c>
    </row>
    <row r="96" spans="1:91" x14ac:dyDescent="0.15">
      <c r="A96" s="41">
        <v>94</v>
      </c>
      <c r="B96" s="43">
        <f t="shared" si="74"/>
        <v>1</v>
      </c>
      <c r="C96" s="43">
        <f t="shared" si="73"/>
        <v>1</v>
      </c>
      <c r="D96" s="43">
        <f t="shared" si="73"/>
        <v>1</v>
      </c>
      <c r="E96" s="43">
        <f t="shared" si="73"/>
        <v>1</v>
      </c>
      <c r="F96" s="43">
        <f t="shared" si="73"/>
        <v>1</v>
      </c>
      <c r="G96" s="43">
        <f t="shared" si="73"/>
        <v>1</v>
      </c>
      <c r="H96" s="43">
        <f t="shared" si="73"/>
        <v>1</v>
      </c>
      <c r="I96" s="43">
        <f t="shared" si="73"/>
        <v>1</v>
      </c>
      <c r="J96" s="43">
        <f t="shared" si="73"/>
        <v>1</v>
      </c>
      <c r="K96" s="43" t="e">
        <f>K95+ATM_Conf!$C$5*(T95-AC95)</f>
        <v>#DIV/0!</v>
      </c>
      <c r="L96" s="43" t="e">
        <f>L95+ATM_Conf!$C$5*(U95-AD95)</f>
        <v>#DIV/0!</v>
      </c>
      <c r="M96" s="43" t="e">
        <f>M95+ATM_Conf!$C$5*(V95-AE95)</f>
        <v>#DIV/0!</v>
      </c>
      <c r="N96" s="43" t="e">
        <f>N95+ATM_Conf!$C$5*(W95-AF95)</f>
        <v>#DIV/0!</v>
      </c>
      <c r="O96" s="43" t="e">
        <f>O95+ATM_Conf!$C$5*(X95-AG95)</f>
        <v>#DIV/0!</v>
      </c>
      <c r="P96" s="43" t="e">
        <f>P95+ATM_Conf!$C$5*(Y95-AH95)</f>
        <v>#DIV/0!</v>
      </c>
      <c r="Q96" s="43" t="e">
        <f>Q95+ATM_Conf!$C$5*(Z95-AI95)</f>
        <v>#DIV/0!</v>
      </c>
      <c r="R96" s="43" t="e">
        <f>R95+ATM_Conf!$C$5*(AA95-AJ95)</f>
        <v>#DIV/0!</v>
      </c>
      <c r="S96" s="43" t="e">
        <f>S95+ATM_Conf!$C$5*(AB95-AK95)</f>
        <v>#DIV/0!</v>
      </c>
      <c r="T96" s="43">
        <f t="shared" si="48"/>
        <v>0</v>
      </c>
      <c r="U96" s="43">
        <f t="shared" si="45"/>
        <v>0</v>
      </c>
      <c r="V96" s="43">
        <f t="shared" si="45"/>
        <v>0</v>
      </c>
      <c r="W96" s="43">
        <f t="shared" si="45"/>
        <v>0</v>
      </c>
      <c r="X96" s="43">
        <f t="shared" si="45"/>
        <v>0</v>
      </c>
      <c r="Y96" s="43">
        <f t="shared" si="45"/>
        <v>0</v>
      </c>
      <c r="Z96" s="43">
        <f t="shared" si="45"/>
        <v>0</v>
      </c>
      <c r="AA96" s="43">
        <f t="shared" si="45"/>
        <v>0</v>
      </c>
      <c r="AB96" s="43">
        <f t="shared" si="45"/>
        <v>0</v>
      </c>
      <c r="AC96" s="43" t="e">
        <f t="shared" si="51"/>
        <v>#DIV/0!</v>
      </c>
      <c r="AD96" s="43" t="e">
        <f t="shared" si="52"/>
        <v>#DIV/0!</v>
      </c>
      <c r="AE96" s="43" t="e">
        <f t="shared" si="53"/>
        <v>#DIV/0!</v>
      </c>
      <c r="AF96" s="43" t="e">
        <f t="shared" si="54"/>
        <v>#DIV/0!</v>
      </c>
      <c r="AG96" s="43" t="e">
        <f t="shared" si="55"/>
        <v>#DIV/0!</v>
      </c>
      <c r="AH96" s="43" t="e">
        <f t="shared" si="56"/>
        <v>#DIV/0!</v>
      </c>
      <c r="AI96" s="43" t="e">
        <f t="shared" si="57"/>
        <v>#DIV/0!</v>
      </c>
      <c r="AJ96" s="43" t="e">
        <f t="shared" si="58"/>
        <v>#DIV/0!</v>
      </c>
      <c r="AK96" s="43" t="e">
        <f t="shared" si="59"/>
        <v>#DIV/0!</v>
      </c>
      <c r="AL96" s="43" t="e">
        <f>T$3+K96/ATM_Conf!$C$5</f>
        <v>#DIV/0!</v>
      </c>
      <c r="AM96" s="43" t="e">
        <f>U$3+L96/ATM_Conf!$C$5</f>
        <v>#DIV/0!</v>
      </c>
      <c r="AN96" s="43" t="e">
        <f>V$3+M96/ATM_Conf!$C$5</f>
        <v>#DIV/0!</v>
      </c>
      <c r="AO96" s="43" t="e">
        <f>W$3+N96/ATM_Conf!$C$5</f>
        <v>#DIV/0!</v>
      </c>
      <c r="AP96" s="43" t="e">
        <f>X$3+O96/ATM_Conf!$C$5</f>
        <v>#DIV/0!</v>
      </c>
      <c r="AQ96" s="43" t="e">
        <f>Y$3+P96/ATM_Conf!$C$5</f>
        <v>#DIV/0!</v>
      </c>
      <c r="AR96" s="43" t="e">
        <f>Z$3+Q96/ATM_Conf!$C$5</f>
        <v>#DIV/0!</v>
      </c>
      <c r="AS96" s="43" t="e">
        <f>AA$3+R96/ATM_Conf!$C$5</f>
        <v>#DIV/0!</v>
      </c>
      <c r="AT96" s="43" t="e">
        <f>AB$3+S96/ATM_Conf!$C$5</f>
        <v>#DIV/0!</v>
      </c>
      <c r="AU96" s="43" t="e">
        <f>BD$3*MIN(1,(ATM_Conf!$C$6-Links!X96)/(ATM_Conf!$C$6-ATM_Conf!$C$7))</f>
        <v>#DIV/0!</v>
      </c>
      <c r="AV96" s="43" t="e">
        <f>BE$3*MIN(1,(ATM_Conf!$C$6-Links!Z96)/(ATM_Conf!$C$6-ATM_Conf!$C$7))</f>
        <v>#DIV/0!</v>
      </c>
      <c r="AW96" s="43" t="e">
        <f>BF$3*MIN(1,(ATM_Conf!$C$6-Links!AA96)/(ATM_Conf!$C$6-ATM_Conf!$C$7))</f>
        <v>#DIV/0!</v>
      </c>
      <c r="AX96" s="43" t="e">
        <f>BG$3*MIN(1,(ATM_Conf!$C$6-Links!AD96)/(ATM_Conf!$C$6-ATM_Conf!$C$7))</f>
        <v>#DIV/0!</v>
      </c>
      <c r="AY96" s="43" t="e">
        <f>BH$3*MIN(1,(ATM_Conf!$C$6-Links!AE96)/(ATM_Conf!$C$6-ATM_Conf!$C$7))</f>
        <v>#DIV/0!</v>
      </c>
      <c r="AZ96" s="43" t="e">
        <f>BI$3*MIN(1,(ATM_Conf!$C$6-Links!AG96)/(ATM_Conf!$C$6-ATM_Conf!$C$7))</f>
        <v>#DIV/0!</v>
      </c>
      <c r="BA96" s="43" t="e">
        <f>BJ$3*MIN(1,(ATM_Conf!$C$6-Links!AH96)/(ATM_Conf!$C$6-ATM_Conf!$C$7))</f>
        <v>#DIV/0!</v>
      </c>
      <c r="BB96" s="43" t="e">
        <f>BK$3*MIN(1,(ATM_Conf!$C$6-Links!AK96)/(ATM_Conf!$C$6-ATM_Conf!$C$7))</f>
        <v>#DIV/0!</v>
      </c>
      <c r="BC96" s="43" t="e">
        <f>BL$3*MIN(1,(ATM_Conf!$C$6-Links!AM96)/(ATM_Conf!$C$6-ATM_Conf!$C$7))</f>
        <v>#DIV/0!</v>
      </c>
      <c r="BD96" s="43">
        <f t="shared" si="49"/>
        <v>0</v>
      </c>
      <c r="BE96" s="43">
        <f t="shared" si="46"/>
        <v>0</v>
      </c>
      <c r="BF96" s="43">
        <f t="shared" si="46"/>
        <v>0</v>
      </c>
      <c r="BG96" s="43">
        <f t="shared" si="46"/>
        <v>0</v>
      </c>
      <c r="BH96" s="43">
        <f t="shared" si="46"/>
        <v>0</v>
      </c>
      <c r="BI96" s="43">
        <f t="shared" si="46"/>
        <v>0</v>
      </c>
      <c r="BJ96" s="43">
        <f t="shared" si="46"/>
        <v>0</v>
      </c>
      <c r="BK96" s="43">
        <f t="shared" si="46"/>
        <v>0</v>
      </c>
      <c r="BL96" s="43">
        <f t="shared" si="46"/>
        <v>0</v>
      </c>
      <c r="BM96" s="51"/>
      <c r="BN96" s="51"/>
      <c r="BO96" s="51"/>
      <c r="BP96" s="51"/>
      <c r="BQ96" s="51"/>
      <c r="BR96" s="51"/>
      <c r="BS96" s="51"/>
      <c r="BT96" s="51"/>
      <c r="BU96" s="51"/>
      <c r="BV96" s="51" t="e">
        <f t="shared" si="60"/>
        <v>#DIV/0!</v>
      </c>
      <c r="BW96" s="51" t="e">
        <f t="shared" si="61"/>
        <v>#DIV/0!</v>
      </c>
      <c r="BX96" s="51" t="e">
        <f t="shared" si="62"/>
        <v>#DIV/0!</v>
      </c>
      <c r="BY96" s="51" t="e">
        <f t="shared" si="63"/>
        <v>#DIV/0!</v>
      </c>
      <c r="BZ96" s="51" t="e">
        <f t="shared" si="64"/>
        <v>#DIV/0!</v>
      </c>
      <c r="CA96" s="51" t="e">
        <f t="shared" si="65"/>
        <v>#DIV/0!</v>
      </c>
      <c r="CB96" s="51" t="e">
        <f t="shared" si="66"/>
        <v>#DIV/0!</v>
      </c>
      <c r="CC96" s="51" t="e">
        <f t="shared" si="67"/>
        <v>#DIV/0!</v>
      </c>
      <c r="CD96" s="51" t="e">
        <f t="shared" si="68"/>
        <v>#DIV/0!</v>
      </c>
      <c r="CE96" s="53">
        <f t="shared" si="50"/>
        <v>0</v>
      </c>
      <c r="CF96" s="53">
        <f t="shared" si="47"/>
        <v>0</v>
      </c>
      <c r="CG96" s="53">
        <f t="shared" si="47"/>
        <v>0</v>
      </c>
      <c r="CH96" s="53">
        <f t="shared" si="47"/>
        <v>0</v>
      </c>
      <c r="CI96" s="53">
        <f t="shared" si="47"/>
        <v>0</v>
      </c>
      <c r="CJ96" s="53">
        <f t="shared" si="47"/>
        <v>0</v>
      </c>
      <c r="CK96" s="53">
        <f t="shared" si="47"/>
        <v>0</v>
      </c>
      <c r="CL96" s="53">
        <f t="shared" si="47"/>
        <v>0</v>
      </c>
      <c r="CM96" s="53">
        <f t="shared" si="47"/>
        <v>0</v>
      </c>
    </row>
    <row r="97" spans="1:91" x14ac:dyDescent="0.15">
      <c r="A97" s="41">
        <v>95</v>
      </c>
      <c r="B97" s="43">
        <f t="shared" si="74"/>
        <v>1</v>
      </c>
      <c r="C97" s="43">
        <f t="shared" si="73"/>
        <v>1</v>
      </c>
      <c r="D97" s="43">
        <f t="shared" si="73"/>
        <v>1</v>
      </c>
      <c r="E97" s="43">
        <f t="shared" si="73"/>
        <v>1</v>
      </c>
      <c r="F97" s="43">
        <f t="shared" si="73"/>
        <v>1</v>
      </c>
      <c r="G97" s="43">
        <f t="shared" si="73"/>
        <v>1</v>
      </c>
      <c r="H97" s="43">
        <f t="shared" si="73"/>
        <v>1</v>
      </c>
      <c r="I97" s="43">
        <f t="shared" si="73"/>
        <v>1</v>
      </c>
      <c r="J97" s="43">
        <f t="shared" si="73"/>
        <v>1</v>
      </c>
      <c r="K97" s="43" t="e">
        <f>K96+ATM_Conf!$C$5*(T96-AC96)</f>
        <v>#DIV/0!</v>
      </c>
      <c r="L97" s="43" t="e">
        <f>L96+ATM_Conf!$C$5*(U96-AD96)</f>
        <v>#DIV/0!</v>
      </c>
      <c r="M97" s="43" t="e">
        <f>M96+ATM_Conf!$C$5*(V96-AE96)</f>
        <v>#DIV/0!</v>
      </c>
      <c r="N97" s="43" t="e">
        <f>N96+ATM_Conf!$C$5*(W96-AF96)</f>
        <v>#DIV/0!</v>
      </c>
      <c r="O97" s="43" t="e">
        <f>O96+ATM_Conf!$C$5*(X96-AG96)</f>
        <v>#DIV/0!</v>
      </c>
      <c r="P97" s="43" t="e">
        <f>P96+ATM_Conf!$C$5*(Y96-AH96)</f>
        <v>#DIV/0!</v>
      </c>
      <c r="Q97" s="43" t="e">
        <f>Q96+ATM_Conf!$C$5*(Z96-AI96)</f>
        <v>#DIV/0!</v>
      </c>
      <c r="R97" s="43" t="e">
        <f>R96+ATM_Conf!$C$5*(AA96-AJ96)</f>
        <v>#DIV/0!</v>
      </c>
      <c r="S97" s="43" t="e">
        <f>S96+ATM_Conf!$C$5*(AB96-AK96)</f>
        <v>#DIV/0!</v>
      </c>
      <c r="T97" s="43">
        <f t="shared" si="48"/>
        <v>0</v>
      </c>
      <c r="U97" s="43">
        <f t="shared" si="45"/>
        <v>0</v>
      </c>
      <c r="V97" s="43">
        <f t="shared" ref="U97:AB160" si="75">V$3</f>
        <v>0</v>
      </c>
      <c r="W97" s="43">
        <f t="shared" si="75"/>
        <v>0</v>
      </c>
      <c r="X97" s="43">
        <f t="shared" si="75"/>
        <v>0</v>
      </c>
      <c r="Y97" s="43">
        <f t="shared" si="75"/>
        <v>0</v>
      </c>
      <c r="Z97" s="43">
        <f t="shared" si="75"/>
        <v>0</v>
      </c>
      <c r="AA97" s="43">
        <f t="shared" si="75"/>
        <v>0</v>
      </c>
      <c r="AB97" s="43">
        <f t="shared" si="75"/>
        <v>0</v>
      </c>
      <c r="AC97" s="43" t="e">
        <f t="shared" si="51"/>
        <v>#DIV/0!</v>
      </c>
      <c r="AD97" s="43" t="e">
        <f t="shared" si="52"/>
        <v>#DIV/0!</v>
      </c>
      <c r="AE97" s="43" t="e">
        <f t="shared" si="53"/>
        <v>#DIV/0!</v>
      </c>
      <c r="AF97" s="43" t="e">
        <f t="shared" si="54"/>
        <v>#DIV/0!</v>
      </c>
      <c r="AG97" s="43" t="e">
        <f t="shared" si="55"/>
        <v>#DIV/0!</v>
      </c>
      <c r="AH97" s="43" t="e">
        <f t="shared" si="56"/>
        <v>#DIV/0!</v>
      </c>
      <c r="AI97" s="43" t="e">
        <f t="shared" si="57"/>
        <v>#DIV/0!</v>
      </c>
      <c r="AJ97" s="43" t="e">
        <f t="shared" si="58"/>
        <v>#DIV/0!</v>
      </c>
      <c r="AK97" s="43" t="e">
        <f t="shared" si="59"/>
        <v>#DIV/0!</v>
      </c>
      <c r="AL97" s="43" t="e">
        <f>T$3+K97/ATM_Conf!$C$5</f>
        <v>#DIV/0!</v>
      </c>
      <c r="AM97" s="43" t="e">
        <f>U$3+L97/ATM_Conf!$C$5</f>
        <v>#DIV/0!</v>
      </c>
      <c r="AN97" s="43" t="e">
        <f>V$3+M97/ATM_Conf!$C$5</f>
        <v>#DIV/0!</v>
      </c>
      <c r="AO97" s="43" t="e">
        <f>W$3+N97/ATM_Conf!$C$5</f>
        <v>#DIV/0!</v>
      </c>
      <c r="AP97" s="43" t="e">
        <f>X$3+O97/ATM_Conf!$C$5</f>
        <v>#DIV/0!</v>
      </c>
      <c r="AQ97" s="43" t="e">
        <f>Y$3+P97/ATM_Conf!$C$5</f>
        <v>#DIV/0!</v>
      </c>
      <c r="AR97" s="43" t="e">
        <f>Z$3+Q97/ATM_Conf!$C$5</f>
        <v>#DIV/0!</v>
      </c>
      <c r="AS97" s="43" t="e">
        <f>AA$3+R97/ATM_Conf!$C$5</f>
        <v>#DIV/0!</v>
      </c>
      <c r="AT97" s="43" t="e">
        <f>AB$3+S97/ATM_Conf!$C$5</f>
        <v>#DIV/0!</v>
      </c>
      <c r="AU97" s="43" t="e">
        <f>BD$3*MIN(1,(ATM_Conf!$C$6-Links!X97)/(ATM_Conf!$C$6-ATM_Conf!$C$7))</f>
        <v>#DIV/0!</v>
      </c>
      <c r="AV97" s="43" t="e">
        <f>BE$3*MIN(1,(ATM_Conf!$C$6-Links!Z97)/(ATM_Conf!$C$6-ATM_Conf!$C$7))</f>
        <v>#DIV/0!</v>
      </c>
      <c r="AW97" s="43" t="e">
        <f>BF$3*MIN(1,(ATM_Conf!$C$6-Links!AA97)/(ATM_Conf!$C$6-ATM_Conf!$C$7))</f>
        <v>#DIV/0!</v>
      </c>
      <c r="AX97" s="43" t="e">
        <f>BG$3*MIN(1,(ATM_Conf!$C$6-Links!AD97)/(ATM_Conf!$C$6-ATM_Conf!$C$7))</f>
        <v>#DIV/0!</v>
      </c>
      <c r="AY97" s="43" t="e">
        <f>BH$3*MIN(1,(ATM_Conf!$C$6-Links!AE97)/(ATM_Conf!$C$6-ATM_Conf!$C$7))</f>
        <v>#DIV/0!</v>
      </c>
      <c r="AZ97" s="43" t="e">
        <f>BI$3*MIN(1,(ATM_Conf!$C$6-Links!AG97)/(ATM_Conf!$C$6-ATM_Conf!$C$7))</f>
        <v>#DIV/0!</v>
      </c>
      <c r="BA97" s="43" t="e">
        <f>BJ$3*MIN(1,(ATM_Conf!$C$6-Links!AH97)/(ATM_Conf!$C$6-ATM_Conf!$C$7))</f>
        <v>#DIV/0!</v>
      </c>
      <c r="BB97" s="43" t="e">
        <f>BK$3*MIN(1,(ATM_Conf!$C$6-Links!AK97)/(ATM_Conf!$C$6-ATM_Conf!$C$7))</f>
        <v>#DIV/0!</v>
      </c>
      <c r="BC97" s="43" t="e">
        <f>BL$3*MIN(1,(ATM_Conf!$C$6-Links!AM97)/(ATM_Conf!$C$6-ATM_Conf!$C$7))</f>
        <v>#DIV/0!</v>
      </c>
      <c r="BD97" s="43">
        <f t="shared" si="49"/>
        <v>0</v>
      </c>
      <c r="BE97" s="43">
        <f t="shared" si="46"/>
        <v>0</v>
      </c>
      <c r="BF97" s="43">
        <f t="shared" ref="BE97:BL160" si="76">BF$3</f>
        <v>0</v>
      </c>
      <c r="BG97" s="43">
        <f t="shared" si="76"/>
        <v>0</v>
      </c>
      <c r="BH97" s="43">
        <f t="shared" si="76"/>
        <v>0</v>
      </c>
      <c r="BI97" s="43">
        <f t="shared" si="76"/>
        <v>0</v>
      </c>
      <c r="BJ97" s="43">
        <f t="shared" si="76"/>
        <v>0</v>
      </c>
      <c r="BK97" s="43">
        <f t="shared" si="76"/>
        <v>0</v>
      </c>
      <c r="BL97" s="43">
        <f t="shared" si="76"/>
        <v>0</v>
      </c>
      <c r="BM97" s="51"/>
      <c r="BN97" s="51"/>
      <c r="BO97" s="51"/>
      <c r="BP97" s="51"/>
      <c r="BQ97" s="51"/>
      <c r="BR97" s="51"/>
      <c r="BS97" s="51"/>
      <c r="BT97" s="51"/>
      <c r="BU97" s="51"/>
      <c r="BV97" s="51" t="e">
        <f t="shared" si="60"/>
        <v>#DIV/0!</v>
      </c>
      <c r="BW97" s="51" t="e">
        <f t="shared" si="61"/>
        <v>#DIV/0!</v>
      </c>
      <c r="BX97" s="51" t="e">
        <f t="shared" si="62"/>
        <v>#DIV/0!</v>
      </c>
      <c r="BY97" s="51" t="e">
        <f t="shared" si="63"/>
        <v>#DIV/0!</v>
      </c>
      <c r="BZ97" s="51" t="e">
        <f t="shared" si="64"/>
        <v>#DIV/0!</v>
      </c>
      <c r="CA97" s="51" t="e">
        <f t="shared" si="65"/>
        <v>#DIV/0!</v>
      </c>
      <c r="CB97" s="51" t="e">
        <f t="shared" si="66"/>
        <v>#DIV/0!</v>
      </c>
      <c r="CC97" s="51" t="e">
        <f t="shared" si="67"/>
        <v>#DIV/0!</v>
      </c>
      <c r="CD97" s="51" t="e">
        <f t="shared" si="68"/>
        <v>#DIV/0!</v>
      </c>
      <c r="CE97" s="53">
        <f t="shared" si="50"/>
        <v>0</v>
      </c>
      <c r="CF97" s="53">
        <f t="shared" si="47"/>
        <v>0</v>
      </c>
      <c r="CG97" s="53">
        <f t="shared" ref="CF97:CM128" si="77">CG$3</f>
        <v>0</v>
      </c>
      <c r="CH97" s="53">
        <f t="shared" si="77"/>
        <v>0</v>
      </c>
      <c r="CI97" s="53">
        <f t="shared" si="77"/>
        <v>0</v>
      </c>
      <c r="CJ97" s="53">
        <f t="shared" si="77"/>
        <v>0</v>
      </c>
      <c r="CK97" s="53">
        <f t="shared" si="77"/>
        <v>0</v>
      </c>
      <c r="CL97" s="53">
        <f t="shared" si="77"/>
        <v>0</v>
      </c>
      <c r="CM97" s="53">
        <f t="shared" si="77"/>
        <v>0</v>
      </c>
    </row>
    <row r="98" spans="1:91" x14ac:dyDescent="0.15">
      <c r="A98" s="41">
        <v>96</v>
      </c>
      <c r="B98" s="43">
        <f t="shared" si="74"/>
        <v>1</v>
      </c>
      <c r="C98" s="43">
        <f t="shared" si="73"/>
        <v>1</v>
      </c>
      <c r="D98" s="43">
        <f t="shared" si="73"/>
        <v>1</v>
      </c>
      <c r="E98" s="43">
        <f t="shared" si="73"/>
        <v>1</v>
      </c>
      <c r="F98" s="43">
        <f t="shared" si="73"/>
        <v>1</v>
      </c>
      <c r="G98" s="43">
        <f t="shared" si="73"/>
        <v>1</v>
      </c>
      <c r="H98" s="43">
        <f t="shared" si="73"/>
        <v>1</v>
      </c>
      <c r="I98" s="43">
        <f t="shared" si="73"/>
        <v>1</v>
      </c>
      <c r="J98" s="43">
        <f t="shared" si="73"/>
        <v>1</v>
      </c>
      <c r="K98" s="43" t="e">
        <f>K97+ATM_Conf!$C$5*(T97-AC97)</f>
        <v>#DIV/0!</v>
      </c>
      <c r="L98" s="43" t="e">
        <f>L97+ATM_Conf!$C$5*(U97-AD97)</f>
        <v>#DIV/0!</v>
      </c>
      <c r="M98" s="43" t="e">
        <f>M97+ATM_Conf!$C$5*(V97-AE97)</f>
        <v>#DIV/0!</v>
      </c>
      <c r="N98" s="43" t="e">
        <f>N97+ATM_Conf!$C$5*(W97-AF97)</f>
        <v>#DIV/0!</v>
      </c>
      <c r="O98" s="43" t="e">
        <f>O97+ATM_Conf!$C$5*(X97-AG97)</f>
        <v>#DIV/0!</v>
      </c>
      <c r="P98" s="43" t="e">
        <f>P97+ATM_Conf!$C$5*(Y97-AH97)</f>
        <v>#DIV/0!</v>
      </c>
      <c r="Q98" s="43" t="e">
        <f>Q97+ATM_Conf!$C$5*(Z97-AI97)</f>
        <v>#DIV/0!</v>
      </c>
      <c r="R98" s="43" t="e">
        <f>R97+ATM_Conf!$C$5*(AA97-AJ97)</f>
        <v>#DIV/0!</v>
      </c>
      <c r="S98" s="43" t="e">
        <f>S97+ATM_Conf!$C$5*(AB97-AK97)</f>
        <v>#DIV/0!</v>
      </c>
      <c r="T98" s="43">
        <f t="shared" si="48"/>
        <v>0</v>
      </c>
      <c r="U98" s="43">
        <f t="shared" si="75"/>
        <v>0</v>
      </c>
      <c r="V98" s="43">
        <f t="shared" si="75"/>
        <v>0</v>
      </c>
      <c r="W98" s="43">
        <f t="shared" si="75"/>
        <v>0</v>
      </c>
      <c r="X98" s="43">
        <f t="shared" si="75"/>
        <v>0</v>
      </c>
      <c r="Y98" s="43">
        <f t="shared" si="75"/>
        <v>0</v>
      </c>
      <c r="Z98" s="43">
        <f t="shared" si="75"/>
        <v>0</v>
      </c>
      <c r="AA98" s="43">
        <f t="shared" si="75"/>
        <v>0</v>
      </c>
      <c r="AB98" s="43">
        <f t="shared" si="75"/>
        <v>0</v>
      </c>
      <c r="AC98" s="43" t="e">
        <f t="shared" si="51"/>
        <v>#DIV/0!</v>
      </c>
      <c r="AD98" s="43" t="e">
        <f t="shared" si="52"/>
        <v>#DIV/0!</v>
      </c>
      <c r="AE98" s="43" t="e">
        <f t="shared" si="53"/>
        <v>#DIV/0!</v>
      </c>
      <c r="AF98" s="43" t="e">
        <f t="shared" si="54"/>
        <v>#DIV/0!</v>
      </c>
      <c r="AG98" s="43" t="e">
        <f t="shared" si="55"/>
        <v>#DIV/0!</v>
      </c>
      <c r="AH98" s="43" t="e">
        <f t="shared" si="56"/>
        <v>#DIV/0!</v>
      </c>
      <c r="AI98" s="43" t="e">
        <f t="shared" si="57"/>
        <v>#DIV/0!</v>
      </c>
      <c r="AJ98" s="43" t="e">
        <f t="shared" si="58"/>
        <v>#DIV/0!</v>
      </c>
      <c r="AK98" s="43" t="e">
        <f t="shared" si="59"/>
        <v>#DIV/0!</v>
      </c>
      <c r="AL98" s="43" t="e">
        <f>T$3+K98/ATM_Conf!$C$5</f>
        <v>#DIV/0!</v>
      </c>
      <c r="AM98" s="43" t="e">
        <f>U$3+L98/ATM_Conf!$C$5</f>
        <v>#DIV/0!</v>
      </c>
      <c r="AN98" s="43" t="e">
        <f>V$3+M98/ATM_Conf!$C$5</f>
        <v>#DIV/0!</v>
      </c>
      <c r="AO98" s="43" t="e">
        <f>W$3+N98/ATM_Conf!$C$5</f>
        <v>#DIV/0!</v>
      </c>
      <c r="AP98" s="43" t="e">
        <f>X$3+O98/ATM_Conf!$C$5</f>
        <v>#DIV/0!</v>
      </c>
      <c r="AQ98" s="43" t="e">
        <f>Y$3+P98/ATM_Conf!$C$5</f>
        <v>#DIV/0!</v>
      </c>
      <c r="AR98" s="43" t="e">
        <f>Z$3+Q98/ATM_Conf!$C$5</f>
        <v>#DIV/0!</v>
      </c>
      <c r="AS98" s="43" t="e">
        <f>AA$3+R98/ATM_Conf!$C$5</f>
        <v>#DIV/0!</v>
      </c>
      <c r="AT98" s="43" t="e">
        <f>AB$3+S98/ATM_Conf!$C$5</f>
        <v>#DIV/0!</v>
      </c>
      <c r="AU98" s="43" t="e">
        <f>BD$3*MIN(1,(ATM_Conf!$C$6-Links!X98)/(ATM_Conf!$C$6-ATM_Conf!$C$7))</f>
        <v>#DIV/0!</v>
      </c>
      <c r="AV98" s="43" t="e">
        <f>BE$3*MIN(1,(ATM_Conf!$C$6-Links!Z98)/(ATM_Conf!$C$6-ATM_Conf!$C$7))</f>
        <v>#DIV/0!</v>
      </c>
      <c r="AW98" s="43" t="e">
        <f>BF$3*MIN(1,(ATM_Conf!$C$6-Links!AA98)/(ATM_Conf!$C$6-ATM_Conf!$C$7))</f>
        <v>#DIV/0!</v>
      </c>
      <c r="AX98" s="43" t="e">
        <f>BG$3*MIN(1,(ATM_Conf!$C$6-Links!AD98)/(ATM_Conf!$C$6-ATM_Conf!$C$7))</f>
        <v>#DIV/0!</v>
      </c>
      <c r="AY98" s="43" t="e">
        <f>BH$3*MIN(1,(ATM_Conf!$C$6-Links!AE98)/(ATM_Conf!$C$6-ATM_Conf!$C$7))</f>
        <v>#DIV/0!</v>
      </c>
      <c r="AZ98" s="43" t="e">
        <f>BI$3*MIN(1,(ATM_Conf!$C$6-Links!AG98)/(ATM_Conf!$C$6-ATM_Conf!$C$7))</f>
        <v>#DIV/0!</v>
      </c>
      <c r="BA98" s="43" t="e">
        <f>BJ$3*MIN(1,(ATM_Conf!$C$6-Links!AH98)/(ATM_Conf!$C$6-ATM_Conf!$C$7))</f>
        <v>#DIV/0!</v>
      </c>
      <c r="BB98" s="43" t="e">
        <f>BK$3*MIN(1,(ATM_Conf!$C$6-Links!AK98)/(ATM_Conf!$C$6-ATM_Conf!$C$7))</f>
        <v>#DIV/0!</v>
      </c>
      <c r="BC98" s="43" t="e">
        <f>BL$3*MIN(1,(ATM_Conf!$C$6-Links!AM98)/(ATM_Conf!$C$6-ATM_Conf!$C$7))</f>
        <v>#DIV/0!</v>
      </c>
      <c r="BD98" s="43">
        <f t="shared" si="49"/>
        <v>0</v>
      </c>
      <c r="BE98" s="43">
        <f t="shared" si="76"/>
        <v>0</v>
      </c>
      <c r="BF98" s="43">
        <f t="shared" si="76"/>
        <v>0</v>
      </c>
      <c r="BG98" s="43">
        <f t="shared" si="76"/>
        <v>0</v>
      </c>
      <c r="BH98" s="43">
        <f t="shared" si="76"/>
        <v>0</v>
      </c>
      <c r="BI98" s="43">
        <f t="shared" si="76"/>
        <v>0</v>
      </c>
      <c r="BJ98" s="43">
        <f t="shared" si="76"/>
        <v>0</v>
      </c>
      <c r="BK98" s="43">
        <f t="shared" si="76"/>
        <v>0</v>
      </c>
      <c r="BL98" s="43">
        <f t="shared" si="76"/>
        <v>0</v>
      </c>
      <c r="BM98" s="51"/>
      <c r="BN98" s="51"/>
      <c r="BO98" s="51"/>
      <c r="BP98" s="51"/>
      <c r="BQ98" s="51"/>
      <c r="BR98" s="51"/>
      <c r="BS98" s="51"/>
      <c r="BT98" s="51"/>
      <c r="BU98" s="51"/>
      <c r="BV98" s="51" t="e">
        <f t="shared" si="60"/>
        <v>#DIV/0!</v>
      </c>
      <c r="BW98" s="51" t="e">
        <f t="shared" si="61"/>
        <v>#DIV/0!</v>
      </c>
      <c r="BX98" s="51" t="e">
        <f t="shared" si="62"/>
        <v>#DIV/0!</v>
      </c>
      <c r="BY98" s="51" t="e">
        <f t="shared" si="63"/>
        <v>#DIV/0!</v>
      </c>
      <c r="BZ98" s="51" t="e">
        <f t="shared" si="64"/>
        <v>#DIV/0!</v>
      </c>
      <c r="CA98" s="51" t="e">
        <f t="shared" si="65"/>
        <v>#DIV/0!</v>
      </c>
      <c r="CB98" s="51" t="e">
        <f t="shared" si="66"/>
        <v>#DIV/0!</v>
      </c>
      <c r="CC98" s="51" t="e">
        <f t="shared" si="67"/>
        <v>#DIV/0!</v>
      </c>
      <c r="CD98" s="51" t="e">
        <f t="shared" si="68"/>
        <v>#DIV/0!</v>
      </c>
      <c r="CE98" s="53">
        <f t="shared" si="50"/>
        <v>0</v>
      </c>
      <c r="CF98" s="53">
        <f t="shared" si="77"/>
        <v>0</v>
      </c>
      <c r="CG98" s="53">
        <f t="shared" si="77"/>
        <v>0</v>
      </c>
      <c r="CH98" s="53">
        <f t="shared" si="77"/>
        <v>0</v>
      </c>
      <c r="CI98" s="53">
        <f t="shared" si="77"/>
        <v>0</v>
      </c>
      <c r="CJ98" s="53">
        <f t="shared" si="77"/>
        <v>0</v>
      </c>
      <c r="CK98" s="53">
        <f t="shared" si="77"/>
        <v>0</v>
      </c>
      <c r="CL98" s="53">
        <f t="shared" si="77"/>
        <v>0</v>
      </c>
      <c r="CM98" s="53">
        <f t="shared" si="77"/>
        <v>0</v>
      </c>
    </row>
    <row r="99" spans="1:91" x14ac:dyDescent="0.15">
      <c r="A99" s="41">
        <v>97</v>
      </c>
      <c r="B99" s="45">
        <v>1</v>
      </c>
      <c r="C99" s="45">
        <v>1</v>
      </c>
      <c r="D99" s="45">
        <v>1</v>
      </c>
      <c r="E99" s="45">
        <v>1</v>
      </c>
      <c r="F99" s="45">
        <v>1</v>
      </c>
      <c r="G99" s="45">
        <v>1</v>
      </c>
      <c r="H99" s="45">
        <v>1</v>
      </c>
      <c r="I99" s="45">
        <v>1</v>
      </c>
      <c r="J99" s="45">
        <v>1</v>
      </c>
      <c r="K99" s="43" t="e">
        <f>K98+ATM_Conf!$C$5*(T98-AC98)</f>
        <v>#DIV/0!</v>
      </c>
      <c r="L99" s="43" t="e">
        <f>L98+ATM_Conf!$C$5*(U98-AD98)</f>
        <v>#DIV/0!</v>
      </c>
      <c r="M99" s="43" t="e">
        <f>M98+ATM_Conf!$C$5*(V98-AE98)</f>
        <v>#DIV/0!</v>
      </c>
      <c r="N99" s="43" t="e">
        <f>N98+ATM_Conf!$C$5*(W98-AF98)</f>
        <v>#DIV/0!</v>
      </c>
      <c r="O99" s="43" t="e">
        <f>O98+ATM_Conf!$C$5*(X98-AG98)</f>
        <v>#DIV/0!</v>
      </c>
      <c r="P99" s="43" t="e">
        <f>P98+ATM_Conf!$C$5*(Y98-AH98)</f>
        <v>#DIV/0!</v>
      </c>
      <c r="Q99" s="43" t="e">
        <f>Q98+ATM_Conf!$C$5*(Z98-AI98)</f>
        <v>#DIV/0!</v>
      </c>
      <c r="R99" s="43" t="e">
        <f>R98+ATM_Conf!$C$5*(AA98-AJ98)</f>
        <v>#DIV/0!</v>
      </c>
      <c r="S99" s="43" t="e">
        <f>S98+ATM_Conf!$C$5*(AB98-AK98)</f>
        <v>#DIV/0!</v>
      </c>
      <c r="T99" s="43">
        <f t="shared" si="48"/>
        <v>0</v>
      </c>
      <c r="U99" s="43">
        <f t="shared" si="75"/>
        <v>0</v>
      </c>
      <c r="V99" s="43">
        <f t="shared" si="75"/>
        <v>0</v>
      </c>
      <c r="W99" s="43">
        <f t="shared" si="75"/>
        <v>0</v>
      </c>
      <c r="X99" s="43">
        <f t="shared" si="75"/>
        <v>0</v>
      </c>
      <c r="Y99" s="43">
        <f t="shared" si="75"/>
        <v>0</v>
      </c>
      <c r="Z99" s="43">
        <f t="shared" si="75"/>
        <v>0</v>
      </c>
      <c r="AA99" s="43">
        <f t="shared" si="75"/>
        <v>0</v>
      </c>
      <c r="AB99" s="43">
        <f t="shared" si="75"/>
        <v>0</v>
      </c>
      <c r="AC99" s="43" t="e">
        <f t="shared" si="51"/>
        <v>#DIV/0!</v>
      </c>
      <c r="AD99" s="43" t="e">
        <f t="shared" si="52"/>
        <v>#DIV/0!</v>
      </c>
      <c r="AE99" s="43" t="e">
        <f t="shared" si="53"/>
        <v>#DIV/0!</v>
      </c>
      <c r="AF99" s="43" t="e">
        <f t="shared" si="54"/>
        <v>#DIV/0!</v>
      </c>
      <c r="AG99" s="43" t="e">
        <f t="shared" si="55"/>
        <v>#DIV/0!</v>
      </c>
      <c r="AH99" s="43" t="e">
        <f t="shared" si="56"/>
        <v>#DIV/0!</v>
      </c>
      <c r="AI99" s="43" t="e">
        <f t="shared" si="57"/>
        <v>#DIV/0!</v>
      </c>
      <c r="AJ99" s="43" t="e">
        <f t="shared" si="58"/>
        <v>#DIV/0!</v>
      </c>
      <c r="AK99" s="43" t="e">
        <f t="shared" si="59"/>
        <v>#DIV/0!</v>
      </c>
      <c r="AL99" s="43" t="e">
        <f>T$3+K99/ATM_Conf!$C$5</f>
        <v>#DIV/0!</v>
      </c>
      <c r="AM99" s="43" t="e">
        <f>U$3+L99/ATM_Conf!$C$5</f>
        <v>#DIV/0!</v>
      </c>
      <c r="AN99" s="43" t="e">
        <f>V$3+M99/ATM_Conf!$C$5</f>
        <v>#DIV/0!</v>
      </c>
      <c r="AO99" s="43" t="e">
        <f>W$3+N99/ATM_Conf!$C$5</f>
        <v>#DIV/0!</v>
      </c>
      <c r="AP99" s="43" t="e">
        <f>X$3+O99/ATM_Conf!$C$5</f>
        <v>#DIV/0!</v>
      </c>
      <c r="AQ99" s="43" t="e">
        <f>Y$3+P99/ATM_Conf!$C$5</f>
        <v>#DIV/0!</v>
      </c>
      <c r="AR99" s="43" t="e">
        <f>Z$3+Q99/ATM_Conf!$C$5</f>
        <v>#DIV/0!</v>
      </c>
      <c r="AS99" s="43" t="e">
        <f>AA$3+R99/ATM_Conf!$C$5</f>
        <v>#DIV/0!</v>
      </c>
      <c r="AT99" s="43" t="e">
        <f>AB$3+S99/ATM_Conf!$C$5</f>
        <v>#DIV/0!</v>
      </c>
      <c r="AU99" s="43" t="e">
        <f>BD$3*MIN(1,(ATM_Conf!$C$6-Links!X99)/(ATM_Conf!$C$6-ATM_Conf!$C$7))</f>
        <v>#DIV/0!</v>
      </c>
      <c r="AV99" s="43" t="e">
        <f>BE$3*MIN(1,(ATM_Conf!$C$6-Links!Z99)/(ATM_Conf!$C$6-ATM_Conf!$C$7))</f>
        <v>#DIV/0!</v>
      </c>
      <c r="AW99" s="43" t="e">
        <f>BF$3*MIN(1,(ATM_Conf!$C$6-Links!AA99)/(ATM_Conf!$C$6-ATM_Conf!$C$7))</f>
        <v>#DIV/0!</v>
      </c>
      <c r="AX99" s="43" t="e">
        <f>BG$3*MIN(1,(ATM_Conf!$C$6-Links!AD99)/(ATM_Conf!$C$6-ATM_Conf!$C$7))</f>
        <v>#DIV/0!</v>
      </c>
      <c r="AY99" s="43" t="e">
        <f>BH$3*MIN(1,(ATM_Conf!$C$6-Links!AE99)/(ATM_Conf!$C$6-ATM_Conf!$C$7))</f>
        <v>#DIV/0!</v>
      </c>
      <c r="AZ99" s="43" t="e">
        <f>BI$3*MIN(1,(ATM_Conf!$C$6-Links!AG99)/(ATM_Conf!$C$6-ATM_Conf!$C$7))</f>
        <v>#DIV/0!</v>
      </c>
      <c r="BA99" s="43" t="e">
        <f>BJ$3*MIN(1,(ATM_Conf!$C$6-Links!AH99)/(ATM_Conf!$C$6-ATM_Conf!$C$7))</f>
        <v>#DIV/0!</v>
      </c>
      <c r="BB99" s="43" t="e">
        <f>BK$3*MIN(1,(ATM_Conf!$C$6-Links!AK99)/(ATM_Conf!$C$6-ATM_Conf!$C$7))</f>
        <v>#DIV/0!</v>
      </c>
      <c r="BC99" s="43" t="e">
        <f>BL$3*MIN(1,(ATM_Conf!$C$6-Links!AM99)/(ATM_Conf!$C$6-ATM_Conf!$C$7))</f>
        <v>#DIV/0!</v>
      </c>
      <c r="BD99" s="43">
        <f t="shared" si="49"/>
        <v>0</v>
      </c>
      <c r="BE99" s="43">
        <f t="shared" si="76"/>
        <v>0</v>
      </c>
      <c r="BF99" s="43">
        <f t="shared" si="76"/>
        <v>0</v>
      </c>
      <c r="BG99" s="43">
        <f t="shared" si="76"/>
        <v>0</v>
      </c>
      <c r="BH99" s="43">
        <f t="shared" si="76"/>
        <v>0</v>
      </c>
      <c r="BI99" s="43">
        <f t="shared" si="76"/>
        <v>0</v>
      </c>
      <c r="BJ99" s="43">
        <f t="shared" si="76"/>
        <v>0</v>
      </c>
      <c r="BK99" s="43">
        <f t="shared" si="76"/>
        <v>0</v>
      </c>
      <c r="BL99" s="43">
        <f t="shared" si="76"/>
        <v>0</v>
      </c>
      <c r="BM99" s="51">
        <f>(B99-B87)^2</f>
        <v>0</v>
      </c>
      <c r="BN99" s="51">
        <f t="shared" ref="BN99:BU99" si="78">(C99-C87)^2</f>
        <v>0</v>
      </c>
      <c r="BO99" s="51">
        <f t="shared" si="78"/>
        <v>0</v>
      </c>
      <c r="BP99" s="51">
        <f t="shared" si="78"/>
        <v>0</v>
      </c>
      <c r="BQ99" s="51">
        <f t="shared" si="78"/>
        <v>0</v>
      </c>
      <c r="BR99" s="51">
        <f t="shared" si="78"/>
        <v>0</v>
      </c>
      <c r="BS99" s="51">
        <f t="shared" si="78"/>
        <v>0</v>
      </c>
      <c r="BT99" s="51">
        <f t="shared" si="78"/>
        <v>0</v>
      </c>
      <c r="BU99" s="51">
        <f t="shared" si="78"/>
        <v>0</v>
      </c>
      <c r="BV99" s="51" t="e">
        <f t="shared" si="60"/>
        <v>#DIV/0!</v>
      </c>
      <c r="BW99" s="51" t="e">
        <f t="shared" si="61"/>
        <v>#DIV/0!</v>
      </c>
      <c r="BX99" s="51" t="e">
        <f t="shared" si="62"/>
        <v>#DIV/0!</v>
      </c>
      <c r="BY99" s="51" t="e">
        <f t="shared" si="63"/>
        <v>#DIV/0!</v>
      </c>
      <c r="BZ99" s="51" t="e">
        <f t="shared" si="64"/>
        <v>#DIV/0!</v>
      </c>
      <c r="CA99" s="51" t="e">
        <f t="shared" si="65"/>
        <v>#DIV/0!</v>
      </c>
      <c r="CB99" s="51" t="e">
        <f t="shared" si="66"/>
        <v>#DIV/0!</v>
      </c>
      <c r="CC99" s="51" t="e">
        <f t="shared" si="67"/>
        <v>#DIV/0!</v>
      </c>
      <c r="CD99" s="51" t="e">
        <f t="shared" si="68"/>
        <v>#DIV/0!</v>
      </c>
      <c r="CE99" s="53">
        <f t="shared" si="50"/>
        <v>0</v>
      </c>
      <c r="CF99" s="53">
        <f t="shared" si="77"/>
        <v>0</v>
      </c>
      <c r="CG99" s="53">
        <f t="shared" si="77"/>
        <v>0</v>
      </c>
      <c r="CH99" s="53">
        <f t="shared" si="77"/>
        <v>0</v>
      </c>
      <c r="CI99" s="53">
        <f t="shared" si="77"/>
        <v>0</v>
      </c>
      <c r="CJ99" s="53">
        <f t="shared" si="77"/>
        <v>0</v>
      </c>
      <c r="CK99" s="53">
        <f t="shared" si="77"/>
        <v>0</v>
      </c>
      <c r="CL99" s="53">
        <f t="shared" si="77"/>
        <v>0</v>
      </c>
      <c r="CM99" s="53">
        <f t="shared" si="77"/>
        <v>0</v>
      </c>
    </row>
    <row r="100" spans="1:91" x14ac:dyDescent="0.15">
      <c r="A100" s="41">
        <v>98</v>
      </c>
      <c r="B100" s="43">
        <f>B$99</f>
        <v>1</v>
      </c>
      <c r="C100" s="43">
        <f t="shared" ref="C100:J110" si="79">C$99</f>
        <v>1</v>
      </c>
      <c r="D100" s="43">
        <f t="shared" si="79"/>
        <v>1</v>
      </c>
      <c r="E100" s="43">
        <f t="shared" si="79"/>
        <v>1</v>
      </c>
      <c r="F100" s="43">
        <f t="shared" si="79"/>
        <v>1</v>
      </c>
      <c r="G100" s="43">
        <f t="shared" si="79"/>
        <v>1</v>
      </c>
      <c r="H100" s="43">
        <f t="shared" si="79"/>
        <v>1</v>
      </c>
      <c r="I100" s="43">
        <f t="shared" si="79"/>
        <v>1</v>
      </c>
      <c r="J100" s="43">
        <f t="shared" si="79"/>
        <v>1</v>
      </c>
      <c r="K100" s="43" t="e">
        <f>K99+ATM_Conf!$C$5*(T99-AC99)</f>
        <v>#DIV/0!</v>
      </c>
      <c r="L100" s="43" t="e">
        <f>L99+ATM_Conf!$C$5*(U99-AD99)</f>
        <v>#DIV/0!</v>
      </c>
      <c r="M100" s="43" t="e">
        <f>M99+ATM_Conf!$C$5*(V99-AE99)</f>
        <v>#DIV/0!</v>
      </c>
      <c r="N100" s="43" t="e">
        <f>N99+ATM_Conf!$C$5*(W99-AF99)</f>
        <v>#DIV/0!</v>
      </c>
      <c r="O100" s="43" t="e">
        <f>O99+ATM_Conf!$C$5*(X99-AG99)</f>
        <v>#DIV/0!</v>
      </c>
      <c r="P100" s="43" t="e">
        <f>P99+ATM_Conf!$C$5*(Y99-AH99)</f>
        <v>#DIV/0!</v>
      </c>
      <c r="Q100" s="43" t="e">
        <f>Q99+ATM_Conf!$C$5*(Z99-AI99)</f>
        <v>#DIV/0!</v>
      </c>
      <c r="R100" s="43" t="e">
        <f>R99+ATM_Conf!$C$5*(AA99-AJ99)</f>
        <v>#DIV/0!</v>
      </c>
      <c r="S100" s="43" t="e">
        <f>S99+ATM_Conf!$C$5*(AB99-AK99)</f>
        <v>#DIV/0!</v>
      </c>
      <c r="T100" s="43">
        <f t="shared" si="48"/>
        <v>0</v>
      </c>
      <c r="U100" s="43">
        <f t="shared" si="75"/>
        <v>0</v>
      </c>
      <c r="V100" s="43">
        <f t="shared" si="75"/>
        <v>0</v>
      </c>
      <c r="W100" s="43">
        <f t="shared" si="75"/>
        <v>0</v>
      </c>
      <c r="X100" s="43">
        <f t="shared" si="75"/>
        <v>0</v>
      </c>
      <c r="Y100" s="43">
        <f t="shared" si="75"/>
        <v>0</v>
      </c>
      <c r="Z100" s="43">
        <f t="shared" si="75"/>
        <v>0</v>
      </c>
      <c r="AA100" s="43">
        <f t="shared" si="75"/>
        <v>0</v>
      </c>
      <c r="AB100" s="43">
        <f t="shared" si="75"/>
        <v>0</v>
      </c>
      <c r="AC100" s="43" t="e">
        <f t="shared" si="51"/>
        <v>#DIV/0!</v>
      </c>
      <c r="AD100" s="43" t="e">
        <f t="shared" si="52"/>
        <v>#DIV/0!</v>
      </c>
      <c r="AE100" s="43" t="e">
        <f t="shared" si="53"/>
        <v>#DIV/0!</v>
      </c>
      <c r="AF100" s="43" t="e">
        <f t="shared" si="54"/>
        <v>#DIV/0!</v>
      </c>
      <c r="AG100" s="43" t="e">
        <f t="shared" si="55"/>
        <v>#DIV/0!</v>
      </c>
      <c r="AH100" s="43" t="e">
        <f t="shared" si="56"/>
        <v>#DIV/0!</v>
      </c>
      <c r="AI100" s="43" t="e">
        <f t="shared" si="57"/>
        <v>#DIV/0!</v>
      </c>
      <c r="AJ100" s="43" t="e">
        <f t="shared" si="58"/>
        <v>#DIV/0!</v>
      </c>
      <c r="AK100" s="43" t="e">
        <f t="shared" si="59"/>
        <v>#DIV/0!</v>
      </c>
      <c r="AL100" s="43" t="e">
        <f>T$3+K100/ATM_Conf!$C$5</f>
        <v>#DIV/0!</v>
      </c>
      <c r="AM100" s="43" t="e">
        <f>U$3+L100/ATM_Conf!$C$5</f>
        <v>#DIV/0!</v>
      </c>
      <c r="AN100" s="43" t="e">
        <f>V$3+M100/ATM_Conf!$C$5</f>
        <v>#DIV/0!</v>
      </c>
      <c r="AO100" s="43" t="e">
        <f>W$3+N100/ATM_Conf!$C$5</f>
        <v>#DIV/0!</v>
      </c>
      <c r="AP100" s="43" t="e">
        <f>X$3+O100/ATM_Conf!$C$5</f>
        <v>#DIV/0!</v>
      </c>
      <c r="AQ100" s="43" t="e">
        <f>Y$3+P100/ATM_Conf!$C$5</f>
        <v>#DIV/0!</v>
      </c>
      <c r="AR100" s="43" t="e">
        <f>Z$3+Q100/ATM_Conf!$C$5</f>
        <v>#DIV/0!</v>
      </c>
      <c r="AS100" s="43" t="e">
        <f>AA$3+R100/ATM_Conf!$C$5</f>
        <v>#DIV/0!</v>
      </c>
      <c r="AT100" s="43" t="e">
        <f>AB$3+S100/ATM_Conf!$C$5</f>
        <v>#DIV/0!</v>
      </c>
      <c r="AU100" s="43" t="e">
        <f>BD$3*MIN(1,(ATM_Conf!$C$6-Links!X100)/(ATM_Conf!$C$6-ATM_Conf!$C$7))</f>
        <v>#DIV/0!</v>
      </c>
      <c r="AV100" s="43" t="e">
        <f>BE$3*MIN(1,(ATM_Conf!$C$6-Links!Z100)/(ATM_Conf!$C$6-ATM_Conf!$C$7))</f>
        <v>#DIV/0!</v>
      </c>
      <c r="AW100" s="43" t="e">
        <f>BF$3*MIN(1,(ATM_Conf!$C$6-Links!AA100)/(ATM_Conf!$C$6-ATM_Conf!$C$7))</f>
        <v>#DIV/0!</v>
      </c>
      <c r="AX100" s="43" t="e">
        <f>BG$3*MIN(1,(ATM_Conf!$C$6-Links!AD100)/(ATM_Conf!$C$6-ATM_Conf!$C$7))</f>
        <v>#DIV/0!</v>
      </c>
      <c r="AY100" s="43" t="e">
        <f>BH$3*MIN(1,(ATM_Conf!$C$6-Links!AE100)/(ATM_Conf!$C$6-ATM_Conf!$C$7))</f>
        <v>#DIV/0!</v>
      </c>
      <c r="AZ100" s="43" t="e">
        <f>BI$3*MIN(1,(ATM_Conf!$C$6-Links!AG100)/(ATM_Conf!$C$6-ATM_Conf!$C$7))</f>
        <v>#DIV/0!</v>
      </c>
      <c r="BA100" s="43" t="e">
        <f>BJ$3*MIN(1,(ATM_Conf!$C$6-Links!AH100)/(ATM_Conf!$C$6-ATM_Conf!$C$7))</f>
        <v>#DIV/0!</v>
      </c>
      <c r="BB100" s="43" t="e">
        <f>BK$3*MIN(1,(ATM_Conf!$C$6-Links!AK100)/(ATM_Conf!$C$6-ATM_Conf!$C$7))</f>
        <v>#DIV/0!</v>
      </c>
      <c r="BC100" s="43" t="e">
        <f>BL$3*MIN(1,(ATM_Conf!$C$6-Links!AM100)/(ATM_Conf!$C$6-ATM_Conf!$C$7))</f>
        <v>#DIV/0!</v>
      </c>
      <c r="BD100" s="43">
        <f t="shared" si="49"/>
        <v>0</v>
      </c>
      <c r="BE100" s="43">
        <f t="shared" si="76"/>
        <v>0</v>
      </c>
      <c r="BF100" s="43">
        <f t="shared" si="76"/>
        <v>0</v>
      </c>
      <c r="BG100" s="43">
        <f t="shared" si="76"/>
        <v>0</v>
      </c>
      <c r="BH100" s="43">
        <f t="shared" si="76"/>
        <v>0</v>
      </c>
      <c r="BI100" s="43">
        <f t="shared" si="76"/>
        <v>0</v>
      </c>
      <c r="BJ100" s="43">
        <f t="shared" si="76"/>
        <v>0</v>
      </c>
      <c r="BK100" s="43">
        <f t="shared" si="76"/>
        <v>0</v>
      </c>
      <c r="BL100" s="43">
        <f t="shared" si="76"/>
        <v>0</v>
      </c>
      <c r="BM100" s="51"/>
      <c r="BN100" s="51"/>
      <c r="BO100" s="51"/>
      <c r="BP100" s="51"/>
      <c r="BQ100" s="51"/>
      <c r="BR100" s="51"/>
      <c r="BS100" s="51"/>
      <c r="BT100" s="51"/>
      <c r="BU100" s="51"/>
      <c r="BV100" s="51" t="e">
        <f t="shared" si="60"/>
        <v>#DIV/0!</v>
      </c>
      <c r="BW100" s="51" t="e">
        <f t="shared" si="61"/>
        <v>#DIV/0!</v>
      </c>
      <c r="BX100" s="51" t="e">
        <f t="shared" si="62"/>
        <v>#DIV/0!</v>
      </c>
      <c r="BY100" s="51" t="e">
        <f t="shared" si="63"/>
        <v>#DIV/0!</v>
      </c>
      <c r="BZ100" s="51" t="e">
        <f t="shared" si="64"/>
        <v>#DIV/0!</v>
      </c>
      <c r="CA100" s="51" t="e">
        <f t="shared" si="65"/>
        <v>#DIV/0!</v>
      </c>
      <c r="CB100" s="51" t="e">
        <f t="shared" si="66"/>
        <v>#DIV/0!</v>
      </c>
      <c r="CC100" s="51" t="e">
        <f t="shared" si="67"/>
        <v>#DIV/0!</v>
      </c>
      <c r="CD100" s="51" t="e">
        <f t="shared" si="68"/>
        <v>#DIV/0!</v>
      </c>
      <c r="CE100" s="53">
        <f t="shared" si="50"/>
        <v>0</v>
      </c>
      <c r="CF100" s="53">
        <f t="shared" si="77"/>
        <v>0</v>
      </c>
      <c r="CG100" s="53">
        <f t="shared" si="77"/>
        <v>0</v>
      </c>
      <c r="CH100" s="53">
        <f t="shared" si="77"/>
        <v>0</v>
      </c>
      <c r="CI100" s="53">
        <f t="shared" si="77"/>
        <v>0</v>
      </c>
      <c r="CJ100" s="53">
        <f t="shared" si="77"/>
        <v>0</v>
      </c>
      <c r="CK100" s="53">
        <f t="shared" si="77"/>
        <v>0</v>
      </c>
      <c r="CL100" s="53">
        <f t="shared" si="77"/>
        <v>0</v>
      </c>
      <c r="CM100" s="53">
        <f t="shared" si="77"/>
        <v>0</v>
      </c>
    </row>
    <row r="101" spans="1:91" x14ac:dyDescent="0.15">
      <c r="A101" s="41">
        <v>99</v>
      </c>
      <c r="B101" s="43">
        <f t="shared" ref="B101:B110" si="80">B$99</f>
        <v>1</v>
      </c>
      <c r="C101" s="43">
        <f t="shared" si="79"/>
        <v>1</v>
      </c>
      <c r="D101" s="43">
        <f t="shared" si="79"/>
        <v>1</v>
      </c>
      <c r="E101" s="43">
        <f t="shared" si="79"/>
        <v>1</v>
      </c>
      <c r="F101" s="43">
        <f t="shared" si="79"/>
        <v>1</v>
      </c>
      <c r="G101" s="43">
        <f t="shared" si="79"/>
        <v>1</v>
      </c>
      <c r="H101" s="43">
        <f t="shared" si="79"/>
        <v>1</v>
      </c>
      <c r="I101" s="43">
        <f t="shared" si="79"/>
        <v>1</v>
      </c>
      <c r="J101" s="43">
        <f t="shared" si="79"/>
        <v>1</v>
      </c>
      <c r="K101" s="43" t="e">
        <f>K100+ATM_Conf!$C$5*(T100-AC100)</f>
        <v>#DIV/0!</v>
      </c>
      <c r="L101" s="43" t="e">
        <f>L100+ATM_Conf!$C$5*(U100-AD100)</f>
        <v>#DIV/0!</v>
      </c>
      <c r="M101" s="43" t="e">
        <f>M100+ATM_Conf!$C$5*(V100-AE100)</f>
        <v>#DIV/0!</v>
      </c>
      <c r="N101" s="43" t="e">
        <f>N100+ATM_Conf!$C$5*(W100-AF100)</f>
        <v>#DIV/0!</v>
      </c>
      <c r="O101" s="43" t="e">
        <f>O100+ATM_Conf!$C$5*(X100-AG100)</f>
        <v>#DIV/0!</v>
      </c>
      <c r="P101" s="43" t="e">
        <f>P100+ATM_Conf!$C$5*(Y100-AH100)</f>
        <v>#DIV/0!</v>
      </c>
      <c r="Q101" s="43" t="e">
        <f>Q100+ATM_Conf!$C$5*(Z100-AI100)</f>
        <v>#DIV/0!</v>
      </c>
      <c r="R101" s="43" t="e">
        <f>R100+ATM_Conf!$C$5*(AA100-AJ100)</f>
        <v>#DIV/0!</v>
      </c>
      <c r="S101" s="43" t="e">
        <f>S100+ATM_Conf!$C$5*(AB100-AK100)</f>
        <v>#DIV/0!</v>
      </c>
      <c r="T101" s="43">
        <f t="shared" si="48"/>
        <v>0</v>
      </c>
      <c r="U101" s="43">
        <f t="shared" si="75"/>
        <v>0</v>
      </c>
      <c r="V101" s="43">
        <f t="shared" si="75"/>
        <v>0</v>
      </c>
      <c r="W101" s="43">
        <f t="shared" si="75"/>
        <v>0</v>
      </c>
      <c r="X101" s="43">
        <f t="shared" si="75"/>
        <v>0</v>
      </c>
      <c r="Y101" s="43">
        <f t="shared" si="75"/>
        <v>0</v>
      </c>
      <c r="Z101" s="43">
        <f t="shared" si="75"/>
        <v>0</v>
      </c>
      <c r="AA101" s="43">
        <f t="shared" si="75"/>
        <v>0</v>
      </c>
      <c r="AB101" s="43">
        <f t="shared" si="75"/>
        <v>0</v>
      </c>
      <c r="AC101" s="43" t="e">
        <f t="shared" si="51"/>
        <v>#DIV/0!</v>
      </c>
      <c r="AD101" s="43" t="e">
        <f t="shared" si="52"/>
        <v>#DIV/0!</v>
      </c>
      <c r="AE101" s="43" t="e">
        <f t="shared" si="53"/>
        <v>#DIV/0!</v>
      </c>
      <c r="AF101" s="43" t="e">
        <f t="shared" si="54"/>
        <v>#DIV/0!</v>
      </c>
      <c r="AG101" s="43" t="e">
        <f t="shared" si="55"/>
        <v>#DIV/0!</v>
      </c>
      <c r="AH101" s="43" t="e">
        <f t="shared" si="56"/>
        <v>#DIV/0!</v>
      </c>
      <c r="AI101" s="43" t="e">
        <f t="shared" si="57"/>
        <v>#DIV/0!</v>
      </c>
      <c r="AJ101" s="43" t="e">
        <f t="shared" si="58"/>
        <v>#DIV/0!</v>
      </c>
      <c r="AK101" s="43" t="e">
        <f t="shared" si="59"/>
        <v>#DIV/0!</v>
      </c>
      <c r="AL101" s="43" t="e">
        <f>T$3+K101/ATM_Conf!$C$5</f>
        <v>#DIV/0!</v>
      </c>
      <c r="AM101" s="43" t="e">
        <f>U$3+L101/ATM_Conf!$C$5</f>
        <v>#DIV/0!</v>
      </c>
      <c r="AN101" s="43" t="e">
        <f>V$3+M101/ATM_Conf!$C$5</f>
        <v>#DIV/0!</v>
      </c>
      <c r="AO101" s="43" t="e">
        <f>W$3+N101/ATM_Conf!$C$5</f>
        <v>#DIV/0!</v>
      </c>
      <c r="AP101" s="43" t="e">
        <f>X$3+O101/ATM_Conf!$C$5</f>
        <v>#DIV/0!</v>
      </c>
      <c r="AQ101" s="43" t="e">
        <f>Y$3+P101/ATM_Conf!$C$5</f>
        <v>#DIV/0!</v>
      </c>
      <c r="AR101" s="43" t="e">
        <f>Z$3+Q101/ATM_Conf!$C$5</f>
        <v>#DIV/0!</v>
      </c>
      <c r="AS101" s="43" t="e">
        <f>AA$3+R101/ATM_Conf!$C$5</f>
        <v>#DIV/0!</v>
      </c>
      <c r="AT101" s="43" t="e">
        <f>AB$3+S101/ATM_Conf!$C$5</f>
        <v>#DIV/0!</v>
      </c>
      <c r="AU101" s="43" t="e">
        <f>BD$3*MIN(1,(ATM_Conf!$C$6-Links!X101)/(ATM_Conf!$C$6-ATM_Conf!$C$7))</f>
        <v>#DIV/0!</v>
      </c>
      <c r="AV101" s="43" t="e">
        <f>BE$3*MIN(1,(ATM_Conf!$C$6-Links!Z101)/(ATM_Conf!$C$6-ATM_Conf!$C$7))</f>
        <v>#DIV/0!</v>
      </c>
      <c r="AW101" s="43" t="e">
        <f>BF$3*MIN(1,(ATM_Conf!$C$6-Links!AA101)/(ATM_Conf!$C$6-ATM_Conf!$C$7))</f>
        <v>#DIV/0!</v>
      </c>
      <c r="AX101" s="43" t="e">
        <f>BG$3*MIN(1,(ATM_Conf!$C$6-Links!AD101)/(ATM_Conf!$C$6-ATM_Conf!$C$7))</f>
        <v>#DIV/0!</v>
      </c>
      <c r="AY101" s="43" t="e">
        <f>BH$3*MIN(1,(ATM_Conf!$C$6-Links!AE101)/(ATM_Conf!$C$6-ATM_Conf!$C$7))</f>
        <v>#DIV/0!</v>
      </c>
      <c r="AZ101" s="43" t="e">
        <f>BI$3*MIN(1,(ATM_Conf!$C$6-Links!AG101)/(ATM_Conf!$C$6-ATM_Conf!$C$7))</f>
        <v>#DIV/0!</v>
      </c>
      <c r="BA101" s="43" t="e">
        <f>BJ$3*MIN(1,(ATM_Conf!$C$6-Links!AH101)/(ATM_Conf!$C$6-ATM_Conf!$C$7))</f>
        <v>#DIV/0!</v>
      </c>
      <c r="BB101" s="43" t="e">
        <f>BK$3*MIN(1,(ATM_Conf!$C$6-Links!AK101)/(ATM_Conf!$C$6-ATM_Conf!$C$7))</f>
        <v>#DIV/0!</v>
      </c>
      <c r="BC101" s="43" t="e">
        <f>BL$3*MIN(1,(ATM_Conf!$C$6-Links!AM101)/(ATM_Conf!$C$6-ATM_Conf!$C$7))</f>
        <v>#DIV/0!</v>
      </c>
      <c r="BD101" s="43">
        <f t="shared" si="49"/>
        <v>0</v>
      </c>
      <c r="BE101" s="43">
        <f t="shared" si="76"/>
        <v>0</v>
      </c>
      <c r="BF101" s="43">
        <f t="shared" si="76"/>
        <v>0</v>
      </c>
      <c r="BG101" s="43">
        <f t="shared" si="76"/>
        <v>0</v>
      </c>
      <c r="BH101" s="43">
        <f t="shared" si="76"/>
        <v>0</v>
      </c>
      <c r="BI101" s="43">
        <f t="shared" si="76"/>
        <v>0</v>
      </c>
      <c r="BJ101" s="43">
        <f t="shared" si="76"/>
        <v>0</v>
      </c>
      <c r="BK101" s="43">
        <f t="shared" si="76"/>
        <v>0</v>
      </c>
      <c r="BL101" s="43">
        <f t="shared" si="76"/>
        <v>0</v>
      </c>
      <c r="BM101" s="51"/>
      <c r="BN101" s="51"/>
      <c r="BO101" s="51"/>
      <c r="BP101" s="51"/>
      <c r="BQ101" s="51"/>
      <c r="BR101" s="51"/>
      <c r="BS101" s="51"/>
      <c r="BT101" s="51"/>
      <c r="BU101" s="51"/>
      <c r="BV101" s="51" t="e">
        <f t="shared" si="60"/>
        <v>#DIV/0!</v>
      </c>
      <c r="BW101" s="51" t="e">
        <f t="shared" si="61"/>
        <v>#DIV/0!</v>
      </c>
      <c r="BX101" s="51" t="e">
        <f t="shared" si="62"/>
        <v>#DIV/0!</v>
      </c>
      <c r="BY101" s="51" t="e">
        <f t="shared" si="63"/>
        <v>#DIV/0!</v>
      </c>
      <c r="BZ101" s="51" t="e">
        <f t="shared" si="64"/>
        <v>#DIV/0!</v>
      </c>
      <c r="CA101" s="51" t="e">
        <f t="shared" si="65"/>
        <v>#DIV/0!</v>
      </c>
      <c r="CB101" s="51" t="e">
        <f t="shared" si="66"/>
        <v>#DIV/0!</v>
      </c>
      <c r="CC101" s="51" t="e">
        <f t="shared" si="67"/>
        <v>#DIV/0!</v>
      </c>
      <c r="CD101" s="51" t="e">
        <f t="shared" si="68"/>
        <v>#DIV/0!</v>
      </c>
      <c r="CE101" s="53">
        <f t="shared" si="50"/>
        <v>0</v>
      </c>
      <c r="CF101" s="53">
        <f t="shared" si="77"/>
        <v>0</v>
      </c>
      <c r="CG101" s="53">
        <f t="shared" si="77"/>
        <v>0</v>
      </c>
      <c r="CH101" s="53">
        <f t="shared" si="77"/>
        <v>0</v>
      </c>
      <c r="CI101" s="53">
        <f t="shared" si="77"/>
        <v>0</v>
      </c>
      <c r="CJ101" s="53">
        <f t="shared" si="77"/>
        <v>0</v>
      </c>
      <c r="CK101" s="53">
        <f t="shared" si="77"/>
        <v>0</v>
      </c>
      <c r="CL101" s="53">
        <f t="shared" si="77"/>
        <v>0</v>
      </c>
      <c r="CM101" s="53">
        <f t="shared" si="77"/>
        <v>0</v>
      </c>
    </row>
    <row r="102" spans="1:91" x14ac:dyDescent="0.15">
      <c r="A102" s="41">
        <v>100</v>
      </c>
      <c r="B102" s="43">
        <f t="shared" si="80"/>
        <v>1</v>
      </c>
      <c r="C102" s="43">
        <f t="shared" si="79"/>
        <v>1</v>
      </c>
      <c r="D102" s="43">
        <f t="shared" si="79"/>
        <v>1</v>
      </c>
      <c r="E102" s="43">
        <f t="shared" si="79"/>
        <v>1</v>
      </c>
      <c r="F102" s="43">
        <f t="shared" si="79"/>
        <v>1</v>
      </c>
      <c r="G102" s="43">
        <f t="shared" si="79"/>
        <v>1</v>
      </c>
      <c r="H102" s="43">
        <f t="shared" si="79"/>
        <v>1</v>
      </c>
      <c r="I102" s="43">
        <f t="shared" si="79"/>
        <v>1</v>
      </c>
      <c r="J102" s="43">
        <f t="shared" si="79"/>
        <v>1</v>
      </c>
      <c r="K102" s="43" t="e">
        <f>K101+ATM_Conf!$C$5*(T101-AC101)</f>
        <v>#DIV/0!</v>
      </c>
      <c r="L102" s="43" t="e">
        <f>L101+ATM_Conf!$C$5*(U101-AD101)</f>
        <v>#DIV/0!</v>
      </c>
      <c r="M102" s="43" t="e">
        <f>M101+ATM_Conf!$C$5*(V101-AE101)</f>
        <v>#DIV/0!</v>
      </c>
      <c r="N102" s="43" t="e">
        <f>N101+ATM_Conf!$C$5*(W101-AF101)</f>
        <v>#DIV/0!</v>
      </c>
      <c r="O102" s="43" t="e">
        <f>O101+ATM_Conf!$C$5*(X101-AG101)</f>
        <v>#DIV/0!</v>
      </c>
      <c r="P102" s="43" t="e">
        <f>P101+ATM_Conf!$C$5*(Y101-AH101)</f>
        <v>#DIV/0!</v>
      </c>
      <c r="Q102" s="43" t="e">
        <f>Q101+ATM_Conf!$C$5*(Z101-AI101)</f>
        <v>#DIV/0!</v>
      </c>
      <c r="R102" s="43" t="e">
        <f>R101+ATM_Conf!$C$5*(AA101-AJ101)</f>
        <v>#DIV/0!</v>
      </c>
      <c r="S102" s="43" t="e">
        <f>S101+ATM_Conf!$C$5*(AB101-AK101)</f>
        <v>#DIV/0!</v>
      </c>
      <c r="T102" s="43">
        <f t="shared" si="48"/>
        <v>0</v>
      </c>
      <c r="U102" s="43">
        <f t="shared" si="75"/>
        <v>0</v>
      </c>
      <c r="V102" s="43">
        <f t="shared" si="75"/>
        <v>0</v>
      </c>
      <c r="W102" s="43">
        <f t="shared" si="75"/>
        <v>0</v>
      </c>
      <c r="X102" s="43">
        <f t="shared" si="75"/>
        <v>0</v>
      </c>
      <c r="Y102" s="43">
        <f t="shared" si="75"/>
        <v>0</v>
      </c>
      <c r="Z102" s="43">
        <f t="shared" si="75"/>
        <v>0</v>
      </c>
      <c r="AA102" s="43">
        <f t="shared" si="75"/>
        <v>0</v>
      </c>
      <c r="AB102" s="43">
        <f t="shared" si="75"/>
        <v>0</v>
      </c>
      <c r="AC102" s="43" t="e">
        <f t="shared" si="51"/>
        <v>#DIV/0!</v>
      </c>
      <c r="AD102" s="43" t="e">
        <f t="shared" si="52"/>
        <v>#DIV/0!</v>
      </c>
      <c r="AE102" s="43" t="e">
        <f t="shared" si="53"/>
        <v>#DIV/0!</v>
      </c>
      <c r="AF102" s="43" t="e">
        <f t="shared" si="54"/>
        <v>#DIV/0!</v>
      </c>
      <c r="AG102" s="43" t="e">
        <f t="shared" si="55"/>
        <v>#DIV/0!</v>
      </c>
      <c r="AH102" s="43" t="e">
        <f t="shared" si="56"/>
        <v>#DIV/0!</v>
      </c>
      <c r="AI102" s="43" t="e">
        <f t="shared" si="57"/>
        <v>#DIV/0!</v>
      </c>
      <c r="AJ102" s="43" t="e">
        <f t="shared" si="58"/>
        <v>#DIV/0!</v>
      </c>
      <c r="AK102" s="43" t="e">
        <f t="shared" si="59"/>
        <v>#DIV/0!</v>
      </c>
      <c r="AL102" s="43" t="e">
        <f>T$3+K102/ATM_Conf!$C$5</f>
        <v>#DIV/0!</v>
      </c>
      <c r="AM102" s="43" t="e">
        <f>U$3+L102/ATM_Conf!$C$5</f>
        <v>#DIV/0!</v>
      </c>
      <c r="AN102" s="43" t="e">
        <f>V$3+M102/ATM_Conf!$C$5</f>
        <v>#DIV/0!</v>
      </c>
      <c r="AO102" s="43" t="e">
        <f>W$3+N102/ATM_Conf!$C$5</f>
        <v>#DIV/0!</v>
      </c>
      <c r="AP102" s="43" t="e">
        <f>X$3+O102/ATM_Conf!$C$5</f>
        <v>#DIV/0!</v>
      </c>
      <c r="AQ102" s="43" t="e">
        <f>Y$3+P102/ATM_Conf!$C$5</f>
        <v>#DIV/0!</v>
      </c>
      <c r="AR102" s="43" t="e">
        <f>Z$3+Q102/ATM_Conf!$C$5</f>
        <v>#DIV/0!</v>
      </c>
      <c r="AS102" s="43" t="e">
        <f>AA$3+R102/ATM_Conf!$C$5</f>
        <v>#DIV/0!</v>
      </c>
      <c r="AT102" s="43" t="e">
        <f>AB$3+S102/ATM_Conf!$C$5</f>
        <v>#DIV/0!</v>
      </c>
      <c r="AU102" s="43" t="e">
        <f>BD$3*MIN(1,(ATM_Conf!$C$6-Links!X102)/(ATM_Conf!$C$6-ATM_Conf!$C$7))</f>
        <v>#DIV/0!</v>
      </c>
      <c r="AV102" s="43" t="e">
        <f>BE$3*MIN(1,(ATM_Conf!$C$6-Links!Z102)/(ATM_Conf!$C$6-ATM_Conf!$C$7))</f>
        <v>#DIV/0!</v>
      </c>
      <c r="AW102" s="43" t="e">
        <f>BF$3*MIN(1,(ATM_Conf!$C$6-Links!AA102)/(ATM_Conf!$C$6-ATM_Conf!$C$7))</f>
        <v>#DIV/0!</v>
      </c>
      <c r="AX102" s="43" t="e">
        <f>BG$3*MIN(1,(ATM_Conf!$C$6-Links!AD102)/(ATM_Conf!$C$6-ATM_Conf!$C$7))</f>
        <v>#DIV/0!</v>
      </c>
      <c r="AY102" s="43" t="e">
        <f>BH$3*MIN(1,(ATM_Conf!$C$6-Links!AE102)/(ATM_Conf!$C$6-ATM_Conf!$C$7))</f>
        <v>#DIV/0!</v>
      </c>
      <c r="AZ102" s="43" t="e">
        <f>BI$3*MIN(1,(ATM_Conf!$C$6-Links!AG102)/(ATM_Conf!$C$6-ATM_Conf!$C$7))</f>
        <v>#DIV/0!</v>
      </c>
      <c r="BA102" s="43" t="e">
        <f>BJ$3*MIN(1,(ATM_Conf!$C$6-Links!AH102)/(ATM_Conf!$C$6-ATM_Conf!$C$7))</f>
        <v>#DIV/0!</v>
      </c>
      <c r="BB102" s="43" t="e">
        <f>BK$3*MIN(1,(ATM_Conf!$C$6-Links!AK102)/(ATM_Conf!$C$6-ATM_Conf!$C$7))</f>
        <v>#DIV/0!</v>
      </c>
      <c r="BC102" s="43" t="e">
        <f>BL$3*MIN(1,(ATM_Conf!$C$6-Links!AM102)/(ATM_Conf!$C$6-ATM_Conf!$C$7))</f>
        <v>#DIV/0!</v>
      </c>
      <c r="BD102" s="43">
        <f t="shared" si="49"/>
        <v>0</v>
      </c>
      <c r="BE102" s="43">
        <f t="shared" si="76"/>
        <v>0</v>
      </c>
      <c r="BF102" s="43">
        <f t="shared" si="76"/>
        <v>0</v>
      </c>
      <c r="BG102" s="43">
        <f t="shared" si="76"/>
        <v>0</v>
      </c>
      <c r="BH102" s="43">
        <f t="shared" si="76"/>
        <v>0</v>
      </c>
      <c r="BI102" s="43">
        <f t="shared" si="76"/>
        <v>0</v>
      </c>
      <c r="BJ102" s="43">
        <f t="shared" si="76"/>
        <v>0</v>
      </c>
      <c r="BK102" s="43">
        <f t="shared" si="76"/>
        <v>0</v>
      </c>
      <c r="BL102" s="43">
        <f t="shared" si="76"/>
        <v>0</v>
      </c>
      <c r="BM102" s="51"/>
      <c r="BN102" s="51"/>
      <c r="BO102" s="51"/>
      <c r="BP102" s="51"/>
      <c r="BQ102" s="51"/>
      <c r="BR102" s="51"/>
      <c r="BS102" s="51"/>
      <c r="BT102" s="51"/>
      <c r="BU102" s="51"/>
      <c r="BV102" s="51" t="e">
        <f t="shared" si="60"/>
        <v>#DIV/0!</v>
      </c>
      <c r="BW102" s="51" t="e">
        <f t="shared" si="61"/>
        <v>#DIV/0!</v>
      </c>
      <c r="BX102" s="51" t="e">
        <f t="shared" si="62"/>
        <v>#DIV/0!</v>
      </c>
      <c r="BY102" s="51" t="e">
        <f t="shared" si="63"/>
        <v>#DIV/0!</v>
      </c>
      <c r="BZ102" s="51" t="e">
        <f t="shared" si="64"/>
        <v>#DIV/0!</v>
      </c>
      <c r="CA102" s="51" t="e">
        <f t="shared" si="65"/>
        <v>#DIV/0!</v>
      </c>
      <c r="CB102" s="51" t="e">
        <f t="shared" si="66"/>
        <v>#DIV/0!</v>
      </c>
      <c r="CC102" s="51" t="e">
        <f t="shared" si="67"/>
        <v>#DIV/0!</v>
      </c>
      <c r="CD102" s="51" t="e">
        <f t="shared" si="68"/>
        <v>#DIV/0!</v>
      </c>
      <c r="CE102" s="53">
        <f t="shared" si="50"/>
        <v>0</v>
      </c>
      <c r="CF102" s="53">
        <f t="shared" si="77"/>
        <v>0</v>
      </c>
      <c r="CG102" s="53">
        <f t="shared" si="77"/>
        <v>0</v>
      </c>
      <c r="CH102" s="53">
        <f t="shared" si="77"/>
        <v>0</v>
      </c>
      <c r="CI102" s="53">
        <f t="shared" si="77"/>
        <v>0</v>
      </c>
      <c r="CJ102" s="53">
        <f t="shared" si="77"/>
        <v>0</v>
      </c>
      <c r="CK102" s="53">
        <f t="shared" si="77"/>
        <v>0</v>
      </c>
      <c r="CL102" s="53">
        <f t="shared" si="77"/>
        <v>0</v>
      </c>
      <c r="CM102" s="53">
        <f t="shared" si="77"/>
        <v>0</v>
      </c>
    </row>
    <row r="103" spans="1:91" x14ac:dyDescent="0.15">
      <c r="A103" s="41">
        <v>101</v>
      </c>
      <c r="B103" s="43">
        <f t="shared" si="80"/>
        <v>1</v>
      </c>
      <c r="C103" s="43">
        <f t="shared" si="79"/>
        <v>1</v>
      </c>
      <c r="D103" s="43">
        <f t="shared" si="79"/>
        <v>1</v>
      </c>
      <c r="E103" s="43">
        <f t="shared" si="79"/>
        <v>1</v>
      </c>
      <c r="F103" s="43">
        <f t="shared" si="79"/>
        <v>1</v>
      </c>
      <c r="G103" s="43">
        <f t="shared" si="79"/>
        <v>1</v>
      </c>
      <c r="H103" s="43">
        <f t="shared" si="79"/>
        <v>1</v>
      </c>
      <c r="I103" s="43">
        <f t="shared" si="79"/>
        <v>1</v>
      </c>
      <c r="J103" s="43">
        <f t="shared" si="79"/>
        <v>1</v>
      </c>
      <c r="K103" s="43" t="e">
        <f>K102+ATM_Conf!$C$5*(T102-AC102)</f>
        <v>#DIV/0!</v>
      </c>
      <c r="L103" s="43" t="e">
        <f>L102+ATM_Conf!$C$5*(U102-AD102)</f>
        <v>#DIV/0!</v>
      </c>
      <c r="M103" s="43" t="e">
        <f>M102+ATM_Conf!$C$5*(V102-AE102)</f>
        <v>#DIV/0!</v>
      </c>
      <c r="N103" s="43" t="e">
        <f>N102+ATM_Conf!$C$5*(W102-AF102)</f>
        <v>#DIV/0!</v>
      </c>
      <c r="O103" s="43" t="e">
        <f>O102+ATM_Conf!$C$5*(X102-AG102)</f>
        <v>#DIV/0!</v>
      </c>
      <c r="P103" s="43" t="e">
        <f>P102+ATM_Conf!$C$5*(Y102-AH102)</f>
        <v>#DIV/0!</v>
      </c>
      <c r="Q103" s="43" t="e">
        <f>Q102+ATM_Conf!$C$5*(Z102-AI102)</f>
        <v>#DIV/0!</v>
      </c>
      <c r="R103" s="43" t="e">
        <f>R102+ATM_Conf!$C$5*(AA102-AJ102)</f>
        <v>#DIV/0!</v>
      </c>
      <c r="S103" s="43" t="e">
        <f>S102+ATM_Conf!$C$5*(AB102-AK102)</f>
        <v>#DIV/0!</v>
      </c>
      <c r="T103" s="43">
        <f t="shared" si="48"/>
        <v>0</v>
      </c>
      <c r="U103" s="43">
        <f t="shared" si="75"/>
        <v>0</v>
      </c>
      <c r="V103" s="43">
        <f t="shared" si="75"/>
        <v>0</v>
      </c>
      <c r="W103" s="43">
        <f t="shared" si="75"/>
        <v>0</v>
      </c>
      <c r="X103" s="43">
        <f t="shared" si="75"/>
        <v>0</v>
      </c>
      <c r="Y103" s="43">
        <f t="shared" si="75"/>
        <v>0</v>
      </c>
      <c r="Z103" s="43">
        <f t="shared" si="75"/>
        <v>0</v>
      </c>
      <c r="AA103" s="43">
        <f t="shared" si="75"/>
        <v>0</v>
      </c>
      <c r="AB103" s="43">
        <f t="shared" si="75"/>
        <v>0</v>
      </c>
      <c r="AC103" s="43" t="e">
        <f t="shared" si="51"/>
        <v>#DIV/0!</v>
      </c>
      <c r="AD103" s="43" t="e">
        <f t="shared" si="52"/>
        <v>#DIV/0!</v>
      </c>
      <c r="AE103" s="43" t="e">
        <f t="shared" si="53"/>
        <v>#DIV/0!</v>
      </c>
      <c r="AF103" s="43" t="e">
        <f t="shared" si="54"/>
        <v>#DIV/0!</v>
      </c>
      <c r="AG103" s="43" t="e">
        <f t="shared" si="55"/>
        <v>#DIV/0!</v>
      </c>
      <c r="AH103" s="43" t="e">
        <f t="shared" si="56"/>
        <v>#DIV/0!</v>
      </c>
      <c r="AI103" s="43" t="e">
        <f t="shared" si="57"/>
        <v>#DIV/0!</v>
      </c>
      <c r="AJ103" s="43" t="e">
        <f t="shared" si="58"/>
        <v>#DIV/0!</v>
      </c>
      <c r="AK103" s="43" t="e">
        <f t="shared" si="59"/>
        <v>#DIV/0!</v>
      </c>
      <c r="AL103" s="43" t="e">
        <f>T$3+K103/ATM_Conf!$C$5</f>
        <v>#DIV/0!</v>
      </c>
      <c r="AM103" s="43" t="e">
        <f>U$3+L103/ATM_Conf!$C$5</f>
        <v>#DIV/0!</v>
      </c>
      <c r="AN103" s="43" t="e">
        <f>V$3+M103/ATM_Conf!$C$5</f>
        <v>#DIV/0!</v>
      </c>
      <c r="AO103" s="43" t="e">
        <f>W$3+N103/ATM_Conf!$C$5</f>
        <v>#DIV/0!</v>
      </c>
      <c r="AP103" s="43" t="e">
        <f>X$3+O103/ATM_Conf!$C$5</f>
        <v>#DIV/0!</v>
      </c>
      <c r="AQ103" s="43" t="e">
        <f>Y$3+P103/ATM_Conf!$C$5</f>
        <v>#DIV/0!</v>
      </c>
      <c r="AR103" s="43" t="e">
        <f>Z$3+Q103/ATM_Conf!$C$5</f>
        <v>#DIV/0!</v>
      </c>
      <c r="AS103" s="43" t="e">
        <f>AA$3+R103/ATM_Conf!$C$5</f>
        <v>#DIV/0!</v>
      </c>
      <c r="AT103" s="43" t="e">
        <f>AB$3+S103/ATM_Conf!$C$5</f>
        <v>#DIV/0!</v>
      </c>
      <c r="AU103" s="43" t="e">
        <f>BD$3*MIN(1,(ATM_Conf!$C$6-Links!X103)/(ATM_Conf!$C$6-ATM_Conf!$C$7))</f>
        <v>#DIV/0!</v>
      </c>
      <c r="AV103" s="43" t="e">
        <f>BE$3*MIN(1,(ATM_Conf!$C$6-Links!Z103)/(ATM_Conf!$C$6-ATM_Conf!$C$7))</f>
        <v>#DIV/0!</v>
      </c>
      <c r="AW103" s="43" t="e">
        <f>BF$3*MIN(1,(ATM_Conf!$C$6-Links!AA103)/(ATM_Conf!$C$6-ATM_Conf!$C$7))</f>
        <v>#DIV/0!</v>
      </c>
      <c r="AX103" s="43" t="e">
        <f>BG$3*MIN(1,(ATM_Conf!$C$6-Links!AD103)/(ATM_Conf!$C$6-ATM_Conf!$C$7))</f>
        <v>#DIV/0!</v>
      </c>
      <c r="AY103" s="43" t="e">
        <f>BH$3*MIN(1,(ATM_Conf!$C$6-Links!AE103)/(ATM_Conf!$C$6-ATM_Conf!$C$7))</f>
        <v>#DIV/0!</v>
      </c>
      <c r="AZ103" s="43" t="e">
        <f>BI$3*MIN(1,(ATM_Conf!$C$6-Links!AG103)/(ATM_Conf!$C$6-ATM_Conf!$C$7))</f>
        <v>#DIV/0!</v>
      </c>
      <c r="BA103" s="43" t="e">
        <f>BJ$3*MIN(1,(ATM_Conf!$C$6-Links!AH103)/(ATM_Conf!$C$6-ATM_Conf!$C$7))</f>
        <v>#DIV/0!</v>
      </c>
      <c r="BB103" s="43" t="e">
        <f>BK$3*MIN(1,(ATM_Conf!$C$6-Links!AK103)/(ATM_Conf!$C$6-ATM_Conf!$C$7))</f>
        <v>#DIV/0!</v>
      </c>
      <c r="BC103" s="43" t="e">
        <f>BL$3*MIN(1,(ATM_Conf!$C$6-Links!AM103)/(ATM_Conf!$C$6-ATM_Conf!$C$7))</f>
        <v>#DIV/0!</v>
      </c>
      <c r="BD103" s="43">
        <f t="shared" si="49"/>
        <v>0</v>
      </c>
      <c r="BE103" s="43">
        <f t="shared" si="76"/>
        <v>0</v>
      </c>
      <c r="BF103" s="43">
        <f t="shared" si="76"/>
        <v>0</v>
      </c>
      <c r="BG103" s="43">
        <f t="shared" si="76"/>
        <v>0</v>
      </c>
      <c r="BH103" s="43">
        <f t="shared" si="76"/>
        <v>0</v>
      </c>
      <c r="BI103" s="43">
        <f t="shared" si="76"/>
        <v>0</v>
      </c>
      <c r="BJ103" s="43">
        <f t="shared" si="76"/>
        <v>0</v>
      </c>
      <c r="BK103" s="43">
        <f t="shared" si="76"/>
        <v>0</v>
      </c>
      <c r="BL103" s="43">
        <f t="shared" si="76"/>
        <v>0</v>
      </c>
      <c r="BM103" s="51"/>
      <c r="BN103" s="51"/>
      <c r="BO103" s="51"/>
      <c r="BP103" s="51"/>
      <c r="BQ103" s="51"/>
      <c r="BR103" s="51"/>
      <c r="BS103" s="51"/>
      <c r="BT103" s="51"/>
      <c r="BU103" s="51"/>
      <c r="BV103" s="51" t="e">
        <f t="shared" si="60"/>
        <v>#DIV/0!</v>
      </c>
      <c r="BW103" s="51" t="e">
        <f t="shared" si="61"/>
        <v>#DIV/0!</v>
      </c>
      <c r="BX103" s="51" t="e">
        <f t="shared" si="62"/>
        <v>#DIV/0!</v>
      </c>
      <c r="BY103" s="51" t="e">
        <f t="shared" si="63"/>
        <v>#DIV/0!</v>
      </c>
      <c r="BZ103" s="51" t="e">
        <f t="shared" si="64"/>
        <v>#DIV/0!</v>
      </c>
      <c r="CA103" s="51" t="e">
        <f t="shared" si="65"/>
        <v>#DIV/0!</v>
      </c>
      <c r="CB103" s="51" t="e">
        <f t="shared" si="66"/>
        <v>#DIV/0!</v>
      </c>
      <c r="CC103" s="51" t="e">
        <f t="shared" si="67"/>
        <v>#DIV/0!</v>
      </c>
      <c r="CD103" s="51" t="e">
        <f t="shared" si="68"/>
        <v>#DIV/0!</v>
      </c>
      <c r="CE103" s="53">
        <f t="shared" si="50"/>
        <v>0</v>
      </c>
      <c r="CF103" s="53">
        <f t="shared" si="77"/>
        <v>0</v>
      </c>
      <c r="CG103" s="53">
        <f t="shared" si="77"/>
        <v>0</v>
      </c>
      <c r="CH103" s="53">
        <f t="shared" si="77"/>
        <v>0</v>
      </c>
      <c r="CI103" s="53">
        <f t="shared" si="77"/>
        <v>0</v>
      </c>
      <c r="CJ103" s="53">
        <f t="shared" si="77"/>
        <v>0</v>
      </c>
      <c r="CK103" s="53">
        <f t="shared" si="77"/>
        <v>0</v>
      </c>
      <c r="CL103" s="53">
        <f t="shared" si="77"/>
        <v>0</v>
      </c>
      <c r="CM103" s="53">
        <f t="shared" si="77"/>
        <v>0</v>
      </c>
    </row>
    <row r="104" spans="1:91" x14ac:dyDescent="0.15">
      <c r="A104" s="41">
        <v>102</v>
      </c>
      <c r="B104" s="43">
        <f t="shared" si="80"/>
        <v>1</v>
      </c>
      <c r="C104" s="43">
        <f t="shared" si="79"/>
        <v>1</v>
      </c>
      <c r="D104" s="43">
        <f t="shared" si="79"/>
        <v>1</v>
      </c>
      <c r="E104" s="43">
        <f t="shared" si="79"/>
        <v>1</v>
      </c>
      <c r="F104" s="43">
        <f t="shared" si="79"/>
        <v>1</v>
      </c>
      <c r="G104" s="43">
        <f t="shared" si="79"/>
        <v>1</v>
      </c>
      <c r="H104" s="43">
        <f t="shared" si="79"/>
        <v>1</v>
      </c>
      <c r="I104" s="43">
        <f t="shared" si="79"/>
        <v>1</v>
      </c>
      <c r="J104" s="43">
        <f t="shared" si="79"/>
        <v>1</v>
      </c>
      <c r="K104" s="43" t="e">
        <f>K103+ATM_Conf!$C$5*(T103-AC103)</f>
        <v>#DIV/0!</v>
      </c>
      <c r="L104" s="43" t="e">
        <f>L103+ATM_Conf!$C$5*(U103-AD103)</f>
        <v>#DIV/0!</v>
      </c>
      <c r="M104" s="43" t="e">
        <f>M103+ATM_Conf!$C$5*(V103-AE103)</f>
        <v>#DIV/0!</v>
      </c>
      <c r="N104" s="43" t="e">
        <f>N103+ATM_Conf!$C$5*(W103-AF103)</f>
        <v>#DIV/0!</v>
      </c>
      <c r="O104" s="43" t="e">
        <f>O103+ATM_Conf!$C$5*(X103-AG103)</f>
        <v>#DIV/0!</v>
      </c>
      <c r="P104" s="43" t="e">
        <f>P103+ATM_Conf!$C$5*(Y103-AH103)</f>
        <v>#DIV/0!</v>
      </c>
      <c r="Q104" s="43" t="e">
        <f>Q103+ATM_Conf!$C$5*(Z103-AI103)</f>
        <v>#DIV/0!</v>
      </c>
      <c r="R104" s="43" t="e">
        <f>R103+ATM_Conf!$C$5*(AA103-AJ103)</f>
        <v>#DIV/0!</v>
      </c>
      <c r="S104" s="43" t="e">
        <f>S103+ATM_Conf!$C$5*(AB103-AK103)</f>
        <v>#DIV/0!</v>
      </c>
      <c r="T104" s="43">
        <f t="shared" si="48"/>
        <v>0</v>
      </c>
      <c r="U104" s="43">
        <f t="shared" si="75"/>
        <v>0</v>
      </c>
      <c r="V104" s="43">
        <f t="shared" si="75"/>
        <v>0</v>
      </c>
      <c r="W104" s="43">
        <f t="shared" si="75"/>
        <v>0</v>
      </c>
      <c r="X104" s="43">
        <f t="shared" si="75"/>
        <v>0</v>
      </c>
      <c r="Y104" s="43">
        <f t="shared" si="75"/>
        <v>0</v>
      </c>
      <c r="Z104" s="43">
        <f t="shared" si="75"/>
        <v>0</v>
      </c>
      <c r="AA104" s="43">
        <f t="shared" si="75"/>
        <v>0</v>
      </c>
      <c r="AB104" s="43">
        <f t="shared" si="75"/>
        <v>0</v>
      </c>
      <c r="AC104" s="43" t="e">
        <f t="shared" si="51"/>
        <v>#DIV/0!</v>
      </c>
      <c r="AD104" s="43" t="e">
        <f t="shared" si="52"/>
        <v>#DIV/0!</v>
      </c>
      <c r="AE104" s="43" t="e">
        <f t="shared" si="53"/>
        <v>#DIV/0!</v>
      </c>
      <c r="AF104" s="43" t="e">
        <f t="shared" si="54"/>
        <v>#DIV/0!</v>
      </c>
      <c r="AG104" s="43" t="e">
        <f t="shared" si="55"/>
        <v>#DIV/0!</v>
      </c>
      <c r="AH104" s="43" t="e">
        <f t="shared" si="56"/>
        <v>#DIV/0!</v>
      </c>
      <c r="AI104" s="43" t="e">
        <f t="shared" si="57"/>
        <v>#DIV/0!</v>
      </c>
      <c r="AJ104" s="43" t="e">
        <f t="shared" si="58"/>
        <v>#DIV/0!</v>
      </c>
      <c r="AK104" s="43" t="e">
        <f t="shared" si="59"/>
        <v>#DIV/0!</v>
      </c>
      <c r="AL104" s="43" t="e">
        <f>T$3+K104/ATM_Conf!$C$5</f>
        <v>#DIV/0!</v>
      </c>
      <c r="AM104" s="43" t="e">
        <f>U$3+L104/ATM_Conf!$C$5</f>
        <v>#DIV/0!</v>
      </c>
      <c r="AN104" s="43" t="e">
        <f>V$3+M104/ATM_Conf!$C$5</f>
        <v>#DIV/0!</v>
      </c>
      <c r="AO104" s="43" t="e">
        <f>W$3+N104/ATM_Conf!$C$5</f>
        <v>#DIV/0!</v>
      </c>
      <c r="AP104" s="43" t="e">
        <f>X$3+O104/ATM_Conf!$C$5</f>
        <v>#DIV/0!</v>
      </c>
      <c r="AQ104" s="43" t="e">
        <f>Y$3+P104/ATM_Conf!$C$5</f>
        <v>#DIV/0!</v>
      </c>
      <c r="AR104" s="43" t="e">
        <f>Z$3+Q104/ATM_Conf!$C$5</f>
        <v>#DIV/0!</v>
      </c>
      <c r="AS104" s="43" t="e">
        <f>AA$3+R104/ATM_Conf!$C$5</f>
        <v>#DIV/0!</v>
      </c>
      <c r="AT104" s="43" t="e">
        <f>AB$3+S104/ATM_Conf!$C$5</f>
        <v>#DIV/0!</v>
      </c>
      <c r="AU104" s="43" t="e">
        <f>BD$3*MIN(1,(ATM_Conf!$C$6-Links!X104)/(ATM_Conf!$C$6-ATM_Conf!$C$7))</f>
        <v>#DIV/0!</v>
      </c>
      <c r="AV104" s="43" t="e">
        <f>BE$3*MIN(1,(ATM_Conf!$C$6-Links!Z104)/(ATM_Conf!$C$6-ATM_Conf!$C$7))</f>
        <v>#DIV/0!</v>
      </c>
      <c r="AW104" s="43" t="e">
        <f>BF$3*MIN(1,(ATM_Conf!$C$6-Links!AA104)/(ATM_Conf!$C$6-ATM_Conf!$C$7))</f>
        <v>#DIV/0!</v>
      </c>
      <c r="AX104" s="43" t="e">
        <f>BG$3*MIN(1,(ATM_Conf!$C$6-Links!AD104)/(ATM_Conf!$C$6-ATM_Conf!$C$7))</f>
        <v>#DIV/0!</v>
      </c>
      <c r="AY104" s="43" t="e">
        <f>BH$3*MIN(1,(ATM_Conf!$C$6-Links!AE104)/(ATM_Conf!$C$6-ATM_Conf!$C$7))</f>
        <v>#DIV/0!</v>
      </c>
      <c r="AZ104" s="43" t="e">
        <f>BI$3*MIN(1,(ATM_Conf!$C$6-Links!AG104)/(ATM_Conf!$C$6-ATM_Conf!$C$7))</f>
        <v>#DIV/0!</v>
      </c>
      <c r="BA104" s="43" t="e">
        <f>BJ$3*MIN(1,(ATM_Conf!$C$6-Links!AH104)/(ATM_Conf!$C$6-ATM_Conf!$C$7))</f>
        <v>#DIV/0!</v>
      </c>
      <c r="BB104" s="43" t="e">
        <f>BK$3*MIN(1,(ATM_Conf!$C$6-Links!AK104)/(ATM_Conf!$C$6-ATM_Conf!$C$7))</f>
        <v>#DIV/0!</v>
      </c>
      <c r="BC104" s="43" t="e">
        <f>BL$3*MIN(1,(ATM_Conf!$C$6-Links!AM104)/(ATM_Conf!$C$6-ATM_Conf!$C$7))</f>
        <v>#DIV/0!</v>
      </c>
      <c r="BD104" s="43">
        <f t="shared" si="49"/>
        <v>0</v>
      </c>
      <c r="BE104" s="43">
        <f t="shared" si="76"/>
        <v>0</v>
      </c>
      <c r="BF104" s="43">
        <f t="shared" si="76"/>
        <v>0</v>
      </c>
      <c r="BG104" s="43">
        <f t="shared" si="76"/>
        <v>0</v>
      </c>
      <c r="BH104" s="43">
        <f t="shared" si="76"/>
        <v>0</v>
      </c>
      <c r="BI104" s="43">
        <f t="shared" si="76"/>
        <v>0</v>
      </c>
      <c r="BJ104" s="43">
        <f t="shared" si="76"/>
        <v>0</v>
      </c>
      <c r="BK104" s="43">
        <f t="shared" si="76"/>
        <v>0</v>
      </c>
      <c r="BL104" s="43">
        <f t="shared" si="76"/>
        <v>0</v>
      </c>
      <c r="BM104" s="51"/>
      <c r="BN104" s="51"/>
      <c r="BO104" s="51"/>
      <c r="BP104" s="51"/>
      <c r="BQ104" s="51"/>
      <c r="BR104" s="51"/>
      <c r="BS104" s="51"/>
      <c r="BT104" s="51"/>
      <c r="BU104" s="51"/>
      <c r="BV104" s="51" t="e">
        <f t="shared" si="60"/>
        <v>#DIV/0!</v>
      </c>
      <c r="BW104" s="51" t="e">
        <f t="shared" si="61"/>
        <v>#DIV/0!</v>
      </c>
      <c r="BX104" s="51" t="e">
        <f t="shared" si="62"/>
        <v>#DIV/0!</v>
      </c>
      <c r="BY104" s="51" t="e">
        <f t="shared" si="63"/>
        <v>#DIV/0!</v>
      </c>
      <c r="BZ104" s="51" t="e">
        <f t="shared" si="64"/>
        <v>#DIV/0!</v>
      </c>
      <c r="CA104" s="51" t="e">
        <f t="shared" si="65"/>
        <v>#DIV/0!</v>
      </c>
      <c r="CB104" s="51" t="e">
        <f t="shared" si="66"/>
        <v>#DIV/0!</v>
      </c>
      <c r="CC104" s="51" t="e">
        <f t="shared" si="67"/>
        <v>#DIV/0!</v>
      </c>
      <c r="CD104" s="51" t="e">
        <f t="shared" si="68"/>
        <v>#DIV/0!</v>
      </c>
      <c r="CE104" s="53">
        <f t="shared" si="50"/>
        <v>0</v>
      </c>
      <c r="CF104" s="53">
        <f t="shared" si="77"/>
        <v>0</v>
      </c>
      <c r="CG104" s="53">
        <f t="shared" si="77"/>
        <v>0</v>
      </c>
      <c r="CH104" s="53">
        <f t="shared" si="77"/>
        <v>0</v>
      </c>
      <c r="CI104" s="53">
        <f t="shared" si="77"/>
        <v>0</v>
      </c>
      <c r="CJ104" s="53">
        <f t="shared" si="77"/>
        <v>0</v>
      </c>
      <c r="CK104" s="53">
        <f t="shared" si="77"/>
        <v>0</v>
      </c>
      <c r="CL104" s="53">
        <f t="shared" si="77"/>
        <v>0</v>
      </c>
      <c r="CM104" s="53">
        <f t="shared" si="77"/>
        <v>0</v>
      </c>
    </row>
    <row r="105" spans="1:91" x14ac:dyDescent="0.15">
      <c r="A105" s="41">
        <v>103</v>
      </c>
      <c r="B105" s="43">
        <f t="shared" si="80"/>
        <v>1</v>
      </c>
      <c r="C105" s="43">
        <f t="shared" si="79"/>
        <v>1</v>
      </c>
      <c r="D105" s="43">
        <f t="shared" si="79"/>
        <v>1</v>
      </c>
      <c r="E105" s="43">
        <f t="shared" si="79"/>
        <v>1</v>
      </c>
      <c r="F105" s="43">
        <f t="shared" si="79"/>
        <v>1</v>
      </c>
      <c r="G105" s="43">
        <f t="shared" si="79"/>
        <v>1</v>
      </c>
      <c r="H105" s="43">
        <f t="shared" si="79"/>
        <v>1</v>
      </c>
      <c r="I105" s="43">
        <f t="shared" si="79"/>
        <v>1</v>
      </c>
      <c r="J105" s="43">
        <f t="shared" si="79"/>
        <v>1</v>
      </c>
      <c r="K105" s="43" t="e">
        <f>K104+ATM_Conf!$C$5*(T104-AC104)</f>
        <v>#DIV/0!</v>
      </c>
      <c r="L105" s="43" t="e">
        <f>L104+ATM_Conf!$C$5*(U104-AD104)</f>
        <v>#DIV/0!</v>
      </c>
      <c r="M105" s="43" t="e">
        <f>M104+ATM_Conf!$C$5*(V104-AE104)</f>
        <v>#DIV/0!</v>
      </c>
      <c r="N105" s="43" t="e">
        <f>N104+ATM_Conf!$C$5*(W104-AF104)</f>
        <v>#DIV/0!</v>
      </c>
      <c r="O105" s="43" t="e">
        <f>O104+ATM_Conf!$C$5*(X104-AG104)</f>
        <v>#DIV/0!</v>
      </c>
      <c r="P105" s="43" t="e">
        <f>P104+ATM_Conf!$C$5*(Y104-AH104)</f>
        <v>#DIV/0!</v>
      </c>
      <c r="Q105" s="43" t="e">
        <f>Q104+ATM_Conf!$C$5*(Z104-AI104)</f>
        <v>#DIV/0!</v>
      </c>
      <c r="R105" s="43" t="e">
        <f>R104+ATM_Conf!$C$5*(AA104-AJ104)</f>
        <v>#DIV/0!</v>
      </c>
      <c r="S105" s="43" t="e">
        <f>S104+ATM_Conf!$C$5*(AB104-AK104)</f>
        <v>#DIV/0!</v>
      </c>
      <c r="T105" s="43">
        <f t="shared" si="48"/>
        <v>0</v>
      </c>
      <c r="U105" s="43">
        <f t="shared" si="75"/>
        <v>0</v>
      </c>
      <c r="V105" s="43">
        <f t="shared" si="75"/>
        <v>0</v>
      </c>
      <c r="W105" s="43">
        <f t="shared" si="75"/>
        <v>0</v>
      </c>
      <c r="X105" s="43">
        <f t="shared" si="75"/>
        <v>0</v>
      </c>
      <c r="Y105" s="43">
        <f t="shared" si="75"/>
        <v>0</v>
      </c>
      <c r="Z105" s="43">
        <f t="shared" si="75"/>
        <v>0</v>
      </c>
      <c r="AA105" s="43">
        <f t="shared" si="75"/>
        <v>0</v>
      </c>
      <c r="AB105" s="43">
        <f t="shared" si="75"/>
        <v>0</v>
      </c>
      <c r="AC105" s="43" t="e">
        <f t="shared" si="51"/>
        <v>#DIV/0!</v>
      </c>
      <c r="AD105" s="43" t="e">
        <f t="shared" si="52"/>
        <v>#DIV/0!</v>
      </c>
      <c r="AE105" s="43" t="e">
        <f t="shared" si="53"/>
        <v>#DIV/0!</v>
      </c>
      <c r="AF105" s="43" t="e">
        <f t="shared" si="54"/>
        <v>#DIV/0!</v>
      </c>
      <c r="AG105" s="43" t="e">
        <f t="shared" si="55"/>
        <v>#DIV/0!</v>
      </c>
      <c r="AH105" s="43" t="e">
        <f t="shared" si="56"/>
        <v>#DIV/0!</v>
      </c>
      <c r="AI105" s="43" t="e">
        <f t="shared" si="57"/>
        <v>#DIV/0!</v>
      </c>
      <c r="AJ105" s="43" t="e">
        <f t="shared" si="58"/>
        <v>#DIV/0!</v>
      </c>
      <c r="AK105" s="43" t="e">
        <f t="shared" si="59"/>
        <v>#DIV/0!</v>
      </c>
      <c r="AL105" s="43" t="e">
        <f>T$3+K105/ATM_Conf!$C$5</f>
        <v>#DIV/0!</v>
      </c>
      <c r="AM105" s="43" t="e">
        <f>U$3+L105/ATM_Conf!$C$5</f>
        <v>#DIV/0!</v>
      </c>
      <c r="AN105" s="43" t="e">
        <f>V$3+M105/ATM_Conf!$C$5</f>
        <v>#DIV/0!</v>
      </c>
      <c r="AO105" s="43" t="e">
        <f>W$3+N105/ATM_Conf!$C$5</f>
        <v>#DIV/0!</v>
      </c>
      <c r="AP105" s="43" t="e">
        <f>X$3+O105/ATM_Conf!$C$5</f>
        <v>#DIV/0!</v>
      </c>
      <c r="AQ105" s="43" t="e">
        <f>Y$3+P105/ATM_Conf!$C$5</f>
        <v>#DIV/0!</v>
      </c>
      <c r="AR105" s="43" t="e">
        <f>Z$3+Q105/ATM_Conf!$C$5</f>
        <v>#DIV/0!</v>
      </c>
      <c r="AS105" s="43" t="e">
        <f>AA$3+R105/ATM_Conf!$C$5</f>
        <v>#DIV/0!</v>
      </c>
      <c r="AT105" s="43" t="e">
        <f>AB$3+S105/ATM_Conf!$C$5</f>
        <v>#DIV/0!</v>
      </c>
      <c r="AU105" s="43" t="e">
        <f>BD$3*MIN(1,(ATM_Conf!$C$6-Links!X105)/(ATM_Conf!$C$6-ATM_Conf!$C$7))</f>
        <v>#DIV/0!</v>
      </c>
      <c r="AV105" s="43" t="e">
        <f>BE$3*MIN(1,(ATM_Conf!$C$6-Links!Z105)/(ATM_Conf!$C$6-ATM_Conf!$C$7))</f>
        <v>#DIV/0!</v>
      </c>
      <c r="AW105" s="43" t="e">
        <f>BF$3*MIN(1,(ATM_Conf!$C$6-Links!AA105)/(ATM_Conf!$C$6-ATM_Conf!$C$7))</f>
        <v>#DIV/0!</v>
      </c>
      <c r="AX105" s="43" t="e">
        <f>BG$3*MIN(1,(ATM_Conf!$C$6-Links!AD105)/(ATM_Conf!$C$6-ATM_Conf!$C$7))</f>
        <v>#DIV/0!</v>
      </c>
      <c r="AY105" s="43" t="e">
        <f>BH$3*MIN(1,(ATM_Conf!$C$6-Links!AE105)/(ATM_Conf!$C$6-ATM_Conf!$C$7))</f>
        <v>#DIV/0!</v>
      </c>
      <c r="AZ105" s="43" t="e">
        <f>BI$3*MIN(1,(ATM_Conf!$C$6-Links!AG105)/(ATM_Conf!$C$6-ATM_Conf!$C$7))</f>
        <v>#DIV/0!</v>
      </c>
      <c r="BA105" s="43" t="e">
        <f>BJ$3*MIN(1,(ATM_Conf!$C$6-Links!AH105)/(ATM_Conf!$C$6-ATM_Conf!$C$7))</f>
        <v>#DIV/0!</v>
      </c>
      <c r="BB105" s="43" t="e">
        <f>BK$3*MIN(1,(ATM_Conf!$C$6-Links!AK105)/(ATM_Conf!$C$6-ATM_Conf!$C$7))</f>
        <v>#DIV/0!</v>
      </c>
      <c r="BC105" s="43" t="e">
        <f>BL$3*MIN(1,(ATM_Conf!$C$6-Links!AM105)/(ATM_Conf!$C$6-ATM_Conf!$C$7))</f>
        <v>#DIV/0!</v>
      </c>
      <c r="BD105" s="43">
        <f t="shared" si="49"/>
        <v>0</v>
      </c>
      <c r="BE105" s="43">
        <f t="shared" si="76"/>
        <v>0</v>
      </c>
      <c r="BF105" s="43">
        <f t="shared" si="76"/>
        <v>0</v>
      </c>
      <c r="BG105" s="43">
        <f t="shared" si="76"/>
        <v>0</v>
      </c>
      <c r="BH105" s="43">
        <f t="shared" si="76"/>
        <v>0</v>
      </c>
      <c r="BI105" s="43">
        <f t="shared" si="76"/>
        <v>0</v>
      </c>
      <c r="BJ105" s="43">
        <f t="shared" si="76"/>
        <v>0</v>
      </c>
      <c r="BK105" s="43">
        <f t="shared" si="76"/>
        <v>0</v>
      </c>
      <c r="BL105" s="43">
        <f t="shared" si="76"/>
        <v>0</v>
      </c>
      <c r="BM105" s="51"/>
      <c r="BN105" s="51"/>
      <c r="BO105" s="51"/>
      <c r="BP105" s="51"/>
      <c r="BQ105" s="51"/>
      <c r="BR105" s="51"/>
      <c r="BS105" s="51"/>
      <c r="BT105" s="51"/>
      <c r="BU105" s="51"/>
      <c r="BV105" s="51" t="e">
        <f t="shared" si="60"/>
        <v>#DIV/0!</v>
      </c>
      <c r="BW105" s="51" t="e">
        <f t="shared" si="61"/>
        <v>#DIV/0!</v>
      </c>
      <c r="BX105" s="51" t="e">
        <f t="shared" si="62"/>
        <v>#DIV/0!</v>
      </c>
      <c r="BY105" s="51" t="e">
        <f t="shared" si="63"/>
        <v>#DIV/0!</v>
      </c>
      <c r="BZ105" s="51" t="e">
        <f t="shared" si="64"/>
        <v>#DIV/0!</v>
      </c>
      <c r="CA105" s="51" t="e">
        <f t="shared" si="65"/>
        <v>#DIV/0!</v>
      </c>
      <c r="CB105" s="51" t="e">
        <f t="shared" si="66"/>
        <v>#DIV/0!</v>
      </c>
      <c r="CC105" s="51" t="e">
        <f t="shared" si="67"/>
        <v>#DIV/0!</v>
      </c>
      <c r="CD105" s="51" t="e">
        <f t="shared" si="68"/>
        <v>#DIV/0!</v>
      </c>
      <c r="CE105" s="53">
        <f t="shared" si="50"/>
        <v>0</v>
      </c>
      <c r="CF105" s="53">
        <f t="shared" si="77"/>
        <v>0</v>
      </c>
      <c r="CG105" s="53">
        <f t="shared" si="77"/>
        <v>0</v>
      </c>
      <c r="CH105" s="53">
        <f t="shared" si="77"/>
        <v>0</v>
      </c>
      <c r="CI105" s="53">
        <f t="shared" si="77"/>
        <v>0</v>
      </c>
      <c r="CJ105" s="53">
        <f t="shared" si="77"/>
        <v>0</v>
      </c>
      <c r="CK105" s="53">
        <f t="shared" si="77"/>
        <v>0</v>
      </c>
      <c r="CL105" s="53">
        <f t="shared" si="77"/>
        <v>0</v>
      </c>
      <c r="CM105" s="53">
        <f t="shared" si="77"/>
        <v>0</v>
      </c>
    </row>
    <row r="106" spans="1:91" x14ac:dyDescent="0.15">
      <c r="A106" s="41">
        <v>104</v>
      </c>
      <c r="B106" s="43">
        <f t="shared" si="80"/>
        <v>1</v>
      </c>
      <c r="C106" s="43">
        <f t="shared" si="79"/>
        <v>1</v>
      </c>
      <c r="D106" s="43">
        <f t="shared" si="79"/>
        <v>1</v>
      </c>
      <c r="E106" s="43">
        <f t="shared" si="79"/>
        <v>1</v>
      </c>
      <c r="F106" s="43">
        <f t="shared" si="79"/>
        <v>1</v>
      </c>
      <c r="G106" s="43">
        <f t="shared" si="79"/>
        <v>1</v>
      </c>
      <c r="H106" s="43">
        <f t="shared" si="79"/>
        <v>1</v>
      </c>
      <c r="I106" s="43">
        <f t="shared" si="79"/>
        <v>1</v>
      </c>
      <c r="J106" s="43">
        <f t="shared" si="79"/>
        <v>1</v>
      </c>
      <c r="K106" s="43" t="e">
        <f>K105+ATM_Conf!$C$5*(T105-AC105)</f>
        <v>#DIV/0!</v>
      </c>
      <c r="L106" s="43" t="e">
        <f>L105+ATM_Conf!$C$5*(U105-AD105)</f>
        <v>#DIV/0!</v>
      </c>
      <c r="M106" s="43" t="e">
        <f>M105+ATM_Conf!$C$5*(V105-AE105)</f>
        <v>#DIV/0!</v>
      </c>
      <c r="N106" s="43" t="e">
        <f>N105+ATM_Conf!$C$5*(W105-AF105)</f>
        <v>#DIV/0!</v>
      </c>
      <c r="O106" s="43" t="e">
        <f>O105+ATM_Conf!$C$5*(X105-AG105)</f>
        <v>#DIV/0!</v>
      </c>
      <c r="P106" s="43" t="e">
        <f>P105+ATM_Conf!$C$5*(Y105-AH105)</f>
        <v>#DIV/0!</v>
      </c>
      <c r="Q106" s="43" t="e">
        <f>Q105+ATM_Conf!$C$5*(Z105-AI105)</f>
        <v>#DIV/0!</v>
      </c>
      <c r="R106" s="43" t="e">
        <f>R105+ATM_Conf!$C$5*(AA105-AJ105)</f>
        <v>#DIV/0!</v>
      </c>
      <c r="S106" s="43" t="e">
        <f>S105+ATM_Conf!$C$5*(AB105-AK105)</f>
        <v>#DIV/0!</v>
      </c>
      <c r="T106" s="43">
        <f t="shared" si="48"/>
        <v>0</v>
      </c>
      <c r="U106" s="43">
        <f t="shared" si="75"/>
        <v>0</v>
      </c>
      <c r="V106" s="43">
        <f t="shared" si="75"/>
        <v>0</v>
      </c>
      <c r="W106" s="43">
        <f t="shared" si="75"/>
        <v>0</v>
      </c>
      <c r="X106" s="43">
        <f t="shared" si="75"/>
        <v>0</v>
      </c>
      <c r="Y106" s="43">
        <f t="shared" si="75"/>
        <v>0</v>
      </c>
      <c r="Z106" s="43">
        <f t="shared" si="75"/>
        <v>0</v>
      </c>
      <c r="AA106" s="43">
        <f t="shared" si="75"/>
        <v>0</v>
      </c>
      <c r="AB106" s="43">
        <f t="shared" si="75"/>
        <v>0</v>
      </c>
      <c r="AC106" s="43" t="e">
        <f t="shared" si="51"/>
        <v>#DIV/0!</v>
      </c>
      <c r="AD106" s="43" t="e">
        <f t="shared" si="52"/>
        <v>#DIV/0!</v>
      </c>
      <c r="AE106" s="43" t="e">
        <f t="shared" si="53"/>
        <v>#DIV/0!</v>
      </c>
      <c r="AF106" s="43" t="e">
        <f t="shared" si="54"/>
        <v>#DIV/0!</v>
      </c>
      <c r="AG106" s="43" t="e">
        <f t="shared" si="55"/>
        <v>#DIV/0!</v>
      </c>
      <c r="AH106" s="43" t="e">
        <f t="shared" si="56"/>
        <v>#DIV/0!</v>
      </c>
      <c r="AI106" s="43" t="e">
        <f t="shared" si="57"/>
        <v>#DIV/0!</v>
      </c>
      <c r="AJ106" s="43" t="e">
        <f t="shared" si="58"/>
        <v>#DIV/0!</v>
      </c>
      <c r="AK106" s="43" t="e">
        <f t="shared" si="59"/>
        <v>#DIV/0!</v>
      </c>
      <c r="AL106" s="43" t="e">
        <f>T$3+K106/ATM_Conf!$C$5</f>
        <v>#DIV/0!</v>
      </c>
      <c r="AM106" s="43" t="e">
        <f>U$3+L106/ATM_Conf!$C$5</f>
        <v>#DIV/0!</v>
      </c>
      <c r="AN106" s="43" t="e">
        <f>V$3+M106/ATM_Conf!$C$5</f>
        <v>#DIV/0!</v>
      </c>
      <c r="AO106" s="43" t="e">
        <f>W$3+N106/ATM_Conf!$C$5</f>
        <v>#DIV/0!</v>
      </c>
      <c r="AP106" s="43" t="e">
        <f>X$3+O106/ATM_Conf!$C$5</f>
        <v>#DIV/0!</v>
      </c>
      <c r="AQ106" s="43" t="e">
        <f>Y$3+P106/ATM_Conf!$C$5</f>
        <v>#DIV/0!</v>
      </c>
      <c r="AR106" s="43" t="e">
        <f>Z$3+Q106/ATM_Conf!$C$5</f>
        <v>#DIV/0!</v>
      </c>
      <c r="AS106" s="43" t="e">
        <f>AA$3+R106/ATM_Conf!$C$5</f>
        <v>#DIV/0!</v>
      </c>
      <c r="AT106" s="43" t="e">
        <f>AB$3+S106/ATM_Conf!$C$5</f>
        <v>#DIV/0!</v>
      </c>
      <c r="AU106" s="43" t="e">
        <f>BD$3*MIN(1,(ATM_Conf!$C$6-Links!X106)/(ATM_Conf!$C$6-ATM_Conf!$C$7))</f>
        <v>#DIV/0!</v>
      </c>
      <c r="AV106" s="43" t="e">
        <f>BE$3*MIN(1,(ATM_Conf!$C$6-Links!Z106)/(ATM_Conf!$C$6-ATM_Conf!$C$7))</f>
        <v>#DIV/0!</v>
      </c>
      <c r="AW106" s="43" t="e">
        <f>BF$3*MIN(1,(ATM_Conf!$C$6-Links!AA106)/(ATM_Conf!$C$6-ATM_Conf!$C$7))</f>
        <v>#DIV/0!</v>
      </c>
      <c r="AX106" s="43" t="e">
        <f>BG$3*MIN(1,(ATM_Conf!$C$6-Links!AD106)/(ATM_Conf!$C$6-ATM_Conf!$C$7))</f>
        <v>#DIV/0!</v>
      </c>
      <c r="AY106" s="43" t="e">
        <f>BH$3*MIN(1,(ATM_Conf!$C$6-Links!AE106)/(ATM_Conf!$C$6-ATM_Conf!$C$7))</f>
        <v>#DIV/0!</v>
      </c>
      <c r="AZ106" s="43" t="e">
        <f>BI$3*MIN(1,(ATM_Conf!$C$6-Links!AG106)/(ATM_Conf!$C$6-ATM_Conf!$C$7))</f>
        <v>#DIV/0!</v>
      </c>
      <c r="BA106" s="43" t="e">
        <f>BJ$3*MIN(1,(ATM_Conf!$C$6-Links!AH106)/(ATM_Conf!$C$6-ATM_Conf!$C$7))</f>
        <v>#DIV/0!</v>
      </c>
      <c r="BB106" s="43" t="e">
        <f>BK$3*MIN(1,(ATM_Conf!$C$6-Links!AK106)/(ATM_Conf!$C$6-ATM_Conf!$C$7))</f>
        <v>#DIV/0!</v>
      </c>
      <c r="BC106" s="43" t="e">
        <f>BL$3*MIN(1,(ATM_Conf!$C$6-Links!AM106)/(ATM_Conf!$C$6-ATM_Conf!$C$7))</f>
        <v>#DIV/0!</v>
      </c>
      <c r="BD106" s="43">
        <f t="shared" si="49"/>
        <v>0</v>
      </c>
      <c r="BE106" s="43">
        <f t="shared" si="76"/>
        <v>0</v>
      </c>
      <c r="BF106" s="43">
        <f t="shared" si="76"/>
        <v>0</v>
      </c>
      <c r="BG106" s="43">
        <f t="shared" si="76"/>
        <v>0</v>
      </c>
      <c r="BH106" s="43">
        <f t="shared" si="76"/>
        <v>0</v>
      </c>
      <c r="BI106" s="43">
        <f t="shared" si="76"/>
        <v>0</v>
      </c>
      <c r="BJ106" s="43">
        <f t="shared" si="76"/>
        <v>0</v>
      </c>
      <c r="BK106" s="43">
        <f t="shared" si="76"/>
        <v>0</v>
      </c>
      <c r="BL106" s="43">
        <f t="shared" si="76"/>
        <v>0</v>
      </c>
      <c r="BM106" s="51"/>
      <c r="BN106" s="51"/>
      <c r="BO106" s="51"/>
      <c r="BP106" s="51"/>
      <c r="BQ106" s="51"/>
      <c r="BR106" s="51"/>
      <c r="BS106" s="51"/>
      <c r="BT106" s="51"/>
      <c r="BU106" s="51"/>
      <c r="BV106" s="51" t="e">
        <f t="shared" si="60"/>
        <v>#DIV/0!</v>
      </c>
      <c r="BW106" s="51" t="e">
        <f t="shared" si="61"/>
        <v>#DIV/0!</v>
      </c>
      <c r="BX106" s="51" t="e">
        <f t="shared" si="62"/>
        <v>#DIV/0!</v>
      </c>
      <c r="BY106" s="51" t="e">
        <f t="shared" si="63"/>
        <v>#DIV/0!</v>
      </c>
      <c r="BZ106" s="51" t="e">
        <f t="shared" si="64"/>
        <v>#DIV/0!</v>
      </c>
      <c r="CA106" s="51" t="e">
        <f t="shared" si="65"/>
        <v>#DIV/0!</v>
      </c>
      <c r="CB106" s="51" t="e">
        <f t="shared" si="66"/>
        <v>#DIV/0!</v>
      </c>
      <c r="CC106" s="51" t="e">
        <f t="shared" si="67"/>
        <v>#DIV/0!</v>
      </c>
      <c r="CD106" s="51" t="e">
        <f t="shared" si="68"/>
        <v>#DIV/0!</v>
      </c>
      <c r="CE106" s="53">
        <f t="shared" si="50"/>
        <v>0</v>
      </c>
      <c r="CF106" s="53">
        <f t="shared" si="77"/>
        <v>0</v>
      </c>
      <c r="CG106" s="53">
        <f t="shared" si="77"/>
        <v>0</v>
      </c>
      <c r="CH106" s="53">
        <f t="shared" si="77"/>
        <v>0</v>
      </c>
      <c r="CI106" s="53">
        <f t="shared" si="77"/>
        <v>0</v>
      </c>
      <c r="CJ106" s="53">
        <f t="shared" si="77"/>
        <v>0</v>
      </c>
      <c r="CK106" s="53">
        <f t="shared" si="77"/>
        <v>0</v>
      </c>
      <c r="CL106" s="53">
        <f t="shared" si="77"/>
        <v>0</v>
      </c>
      <c r="CM106" s="53">
        <f t="shared" si="77"/>
        <v>0</v>
      </c>
    </row>
    <row r="107" spans="1:91" x14ac:dyDescent="0.15">
      <c r="A107" s="41">
        <v>105</v>
      </c>
      <c r="B107" s="43">
        <f t="shared" si="80"/>
        <v>1</v>
      </c>
      <c r="C107" s="43">
        <f t="shared" si="79"/>
        <v>1</v>
      </c>
      <c r="D107" s="43">
        <f t="shared" si="79"/>
        <v>1</v>
      </c>
      <c r="E107" s="43">
        <f t="shared" si="79"/>
        <v>1</v>
      </c>
      <c r="F107" s="43">
        <f t="shared" si="79"/>
        <v>1</v>
      </c>
      <c r="G107" s="43">
        <f t="shared" si="79"/>
        <v>1</v>
      </c>
      <c r="H107" s="43">
        <f t="shared" si="79"/>
        <v>1</v>
      </c>
      <c r="I107" s="43">
        <f t="shared" si="79"/>
        <v>1</v>
      </c>
      <c r="J107" s="43">
        <f t="shared" si="79"/>
        <v>1</v>
      </c>
      <c r="K107" s="43" t="e">
        <f>K106+ATM_Conf!$C$5*(T106-AC106)</f>
        <v>#DIV/0!</v>
      </c>
      <c r="L107" s="43" t="e">
        <f>L106+ATM_Conf!$C$5*(U106-AD106)</f>
        <v>#DIV/0!</v>
      </c>
      <c r="M107" s="43" t="e">
        <f>M106+ATM_Conf!$C$5*(V106-AE106)</f>
        <v>#DIV/0!</v>
      </c>
      <c r="N107" s="43" t="e">
        <f>N106+ATM_Conf!$C$5*(W106-AF106)</f>
        <v>#DIV/0!</v>
      </c>
      <c r="O107" s="43" t="e">
        <f>O106+ATM_Conf!$C$5*(X106-AG106)</f>
        <v>#DIV/0!</v>
      </c>
      <c r="P107" s="43" t="e">
        <f>P106+ATM_Conf!$C$5*(Y106-AH106)</f>
        <v>#DIV/0!</v>
      </c>
      <c r="Q107" s="43" t="e">
        <f>Q106+ATM_Conf!$C$5*(Z106-AI106)</f>
        <v>#DIV/0!</v>
      </c>
      <c r="R107" s="43" t="e">
        <f>R106+ATM_Conf!$C$5*(AA106-AJ106)</f>
        <v>#DIV/0!</v>
      </c>
      <c r="S107" s="43" t="e">
        <f>S106+ATM_Conf!$C$5*(AB106-AK106)</f>
        <v>#DIV/0!</v>
      </c>
      <c r="T107" s="43">
        <f t="shared" si="48"/>
        <v>0</v>
      </c>
      <c r="U107" s="43">
        <f t="shared" si="75"/>
        <v>0</v>
      </c>
      <c r="V107" s="43">
        <f t="shared" si="75"/>
        <v>0</v>
      </c>
      <c r="W107" s="43">
        <f t="shared" si="75"/>
        <v>0</v>
      </c>
      <c r="X107" s="43">
        <f t="shared" si="75"/>
        <v>0</v>
      </c>
      <c r="Y107" s="43">
        <f t="shared" si="75"/>
        <v>0</v>
      </c>
      <c r="Z107" s="43">
        <f t="shared" si="75"/>
        <v>0</v>
      </c>
      <c r="AA107" s="43">
        <f t="shared" si="75"/>
        <v>0</v>
      </c>
      <c r="AB107" s="43">
        <f t="shared" si="75"/>
        <v>0</v>
      </c>
      <c r="AC107" s="43" t="e">
        <f t="shared" si="51"/>
        <v>#DIV/0!</v>
      </c>
      <c r="AD107" s="43" t="e">
        <f t="shared" si="52"/>
        <v>#DIV/0!</v>
      </c>
      <c r="AE107" s="43" t="e">
        <f t="shared" si="53"/>
        <v>#DIV/0!</v>
      </c>
      <c r="AF107" s="43" t="e">
        <f t="shared" si="54"/>
        <v>#DIV/0!</v>
      </c>
      <c r="AG107" s="43" t="e">
        <f t="shared" si="55"/>
        <v>#DIV/0!</v>
      </c>
      <c r="AH107" s="43" t="e">
        <f t="shared" si="56"/>
        <v>#DIV/0!</v>
      </c>
      <c r="AI107" s="43" t="e">
        <f t="shared" si="57"/>
        <v>#DIV/0!</v>
      </c>
      <c r="AJ107" s="43" t="e">
        <f t="shared" si="58"/>
        <v>#DIV/0!</v>
      </c>
      <c r="AK107" s="43" t="e">
        <f t="shared" si="59"/>
        <v>#DIV/0!</v>
      </c>
      <c r="AL107" s="43" t="e">
        <f>T$3+K107/ATM_Conf!$C$5</f>
        <v>#DIV/0!</v>
      </c>
      <c r="AM107" s="43" t="e">
        <f>U$3+L107/ATM_Conf!$C$5</f>
        <v>#DIV/0!</v>
      </c>
      <c r="AN107" s="43" t="e">
        <f>V$3+M107/ATM_Conf!$C$5</f>
        <v>#DIV/0!</v>
      </c>
      <c r="AO107" s="43" t="e">
        <f>W$3+N107/ATM_Conf!$C$5</f>
        <v>#DIV/0!</v>
      </c>
      <c r="AP107" s="43" t="e">
        <f>X$3+O107/ATM_Conf!$C$5</f>
        <v>#DIV/0!</v>
      </c>
      <c r="AQ107" s="43" t="e">
        <f>Y$3+P107/ATM_Conf!$C$5</f>
        <v>#DIV/0!</v>
      </c>
      <c r="AR107" s="43" t="e">
        <f>Z$3+Q107/ATM_Conf!$C$5</f>
        <v>#DIV/0!</v>
      </c>
      <c r="AS107" s="43" t="e">
        <f>AA$3+R107/ATM_Conf!$C$5</f>
        <v>#DIV/0!</v>
      </c>
      <c r="AT107" s="43" t="e">
        <f>AB$3+S107/ATM_Conf!$C$5</f>
        <v>#DIV/0!</v>
      </c>
      <c r="AU107" s="43" t="e">
        <f>BD$3*MIN(1,(ATM_Conf!$C$6-Links!X107)/(ATM_Conf!$C$6-ATM_Conf!$C$7))</f>
        <v>#DIV/0!</v>
      </c>
      <c r="AV107" s="43" t="e">
        <f>BE$3*MIN(1,(ATM_Conf!$C$6-Links!Z107)/(ATM_Conf!$C$6-ATM_Conf!$C$7))</f>
        <v>#DIV/0!</v>
      </c>
      <c r="AW107" s="43" t="e">
        <f>BF$3*MIN(1,(ATM_Conf!$C$6-Links!AA107)/(ATM_Conf!$C$6-ATM_Conf!$C$7))</f>
        <v>#DIV/0!</v>
      </c>
      <c r="AX107" s="43" t="e">
        <f>BG$3*MIN(1,(ATM_Conf!$C$6-Links!AD107)/(ATM_Conf!$C$6-ATM_Conf!$C$7))</f>
        <v>#DIV/0!</v>
      </c>
      <c r="AY107" s="43" t="e">
        <f>BH$3*MIN(1,(ATM_Conf!$C$6-Links!AE107)/(ATM_Conf!$C$6-ATM_Conf!$C$7))</f>
        <v>#DIV/0!</v>
      </c>
      <c r="AZ107" s="43" t="e">
        <f>BI$3*MIN(1,(ATM_Conf!$C$6-Links!AG107)/(ATM_Conf!$C$6-ATM_Conf!$C$7))</f>
        <v>#DIV/0!</v>
      </c>
      <c r="BA107" s="43" t="e">
        <f>BJ$3*MIN(1,(ATM_Conf!$C$6-Links!AH107)/(ATM_Conf!$C$6-ATM_Conf!$C$7))</f>
        <v>#DIV/0!</v>
      </c>
      <c r="BB107" s="43" t="e">
        <f>BK$3*MIN(1,(ATM_Conf!$C$6-Links!AK107)/(ATM_Conf!$C$6-ATM_Conf!$C$7))</f>
        <v>#DIV/0!</v>
      </c>
      <c r="BC107" s="43" t="e">
        <f>BL$3*MIN(1,(ATM_Conf!$C$6-Links!AM107)/(ATM_Conf!$C$6-ATM_Conf!$C$7))</f>
        <v>#DIV/0!</v>
      </c>
      <c r="BD107" s="43">
        <f t="shared" si="49"/>
        <v>0</v>
      </c>
      <c r="BE107" s="43">
        <f t="shared" si="76"/>
        <v>0</v>
      </c>
      <c r="BF107" s="43">
        <f t="shared" si="76"/>
        <v>0</v>
      </c>
      <c r="BG107" s="43">
        <f t="shared" si="76"/>
        <v>0</v>
      </c>
      <c r="BH107" s="43">
        <f t="shared" si="76"/>
        <v>0</v>
      </c>
      <c r="BI107" s="43">
        <f t="shared" si="76"/>
        <v>0</v>
      </c>
      <c r="BJ107" s="43">
        <f t="shared" si="76"/>
        <v>0</v>
      </c>
      <c r="BK107" s="43">
        <f t="shared" si="76"/>
        <v>0</v>
      </c>
      <c r="BL107" s="43">
        <f t="shared" si="76"/>
        <v>0</v>
      </c>
      <c r="BM107" s="51"/>
      <c r="BN107" s="51"/>
      <c r="BO107" s="51"/>
      <c r="BP107" s="51"/>
      <c r="BQ107" s="51"/>
      <c r="BR107" s="51"/>
      <c r="BS107" s="51"/>
      <c r="BT107" s="51"/>
      <c r="BU107" s="51"/>
      <c r="BV107" s="51" t="e">
        <f t="shared" si="60"/>
        <v>#DIV/0!</v>
      </c>
      <c r="BW107" s="51" t="e">
        <f t="shared" si="61"/>
        <v>#DIV/0!</v>
      </c>
      <c r="BX107" s="51" t="e">
        <f t="shared" si="62"/>
        <v>#DIV/0!</v>
      </c>
      <c r="BY107" s="51" t="e">
        <f t="shared" si="63"/>
        <v>#DIV/0!</v>
      </c>
      <c r="BZ107" s="51" t="e">
        <f t="shared" si="64"/>
        <v>#DIV/0!</v>
      </c>
      <c r="CA107" s="51" t="e">
        <f t="shared" si="65"/>
        <v>#DIV/0!</v>
      </c>
      <c r="CB107" s="51" t="e">
        <f t="shared" si="66"/>
        <v>#DIV/0!</v>
      </c>
      <c r="CC107" s="51" t="e">
        <f t="shared" si="67"/>
        <v>#DIV/0!</v>
      </c>
      <c r="CD107" s="51" t="e">
        <f t="shared" si="68"/>
        <v>#DIV/0!</v>
      </c>
      <c r="CE107" s="53">
        <f t="shared" si="50"/>
        <v>0</v>
      </c>
      <c r="CF107" s="53">
        <f t="shared" si="77"/>
        <v>0</v>
      </c>
      <c r="CG107" s="53">
        <f t="shared" si="77"/>
        <v>0</v>
      </c>
      <c r="CH107" s="53">
        <f t="shared" si="77"/>
        <v>0</v>
      </c>
      <c r="CI107" s="53">
        <f t="shared" si="77"/>
        <v>0</v>
      </c>
      <c r="CJ107" s="53">
        <f t="shared" si="77"/>
        <v>0</v>
      </c>
      <c r="CK107" s="53">
        <f t="shared" si="77"/>
        <v>0</v>
      </c>
      <c r="CL107" s="53">
        <f t="shared" si="77"/>
        <v>0</v>
      </c>
      <c r="CM107" s="53">
        <f t="shared" si="77"/>
        <v>0</v>
      </c>
    </row>
    <row r="108" spans="1:91" x14ac:dyDescent="0.15">
      <c r="A108" s="41">
        <v>106</v>
      </c>
      <c r="B108" s="43">
        <f t="shared" si="80"/>
        <v>1</v>
      </c>
      <c r="C108" s="43">
        <f t="shared" si="79"/>
        <v>1</v>
      </c>
      <c r="D108" s="43">
        <f t="shared" si="79"/>
        <v>1</v>
      </c>
      <c r="E108" s="43">
        <f t="shared" si="79"/>
        <v>1</v>
      </c>
      <c r="F108" s="43">
        <f t="shared" si="79"/>
        <v>1</v>
      </c>
      <c r="G108" s="43">
        <f t="shared" si="79"/>
        <v>1</v>
      </c>
      <c r="H108" s="43">
        <f t="shared" si="79"/>
        <v>1</v>
      </c>
      <c r="I108" s="43">
        <f t="shared" si="79"/>
        <v>1</v>
      </c>
      <c r="J108" s="43">
        <f t="shared" si="79"/>
        <v>1</v>
      </c>
      <c r="K108" s="43" t="e">
        <f>K107+ATM_Conf!$C$5*(T107-AC107)</f>
        <v>#DIV/0!</v>
      </c>
      <c r="L108" s="43" t="e">
        <f>L107+ATM_Conf!$C$5*(U107-AD107)</f>
        <v>#DIV/0!</v>
      </c>
      <c r="M108" s="43" t="e">
        <f>M107+ATM_Conf!$C$5*(V107-AE107)</f>
        <v>#DIV/0!</v>
      </c>
      <c r="N108" s="43" t="e">
        <f>N107+ATM_Conf!$C$5*(W107-AF107)</f>
        <v>#DIV/0!</v>
      </c>
      <c r="O108" s="43" t="e">
        <f>O107+ATM_Conf!$C$5*(X107-AG107)</f>
        <v>#DIV/0!</v>
      </c>
      <c r="P108" s="43" t="e">
        <f>P107+ATM_Conf!$C$5*(Y107-AH107)</f>
        <v>#DIV/0!</v>
      </c>
      <c r="Q108" s="43" t="e">
        <f>Q107+ATM_Conf!$C$5*(Z107-AI107)</f>
        <v>#DIV/0!</v>
      </c>
      <c r="R108" s="43" t="e">
        <f>R107+ATM_Conf!$C$5*(AA107-AJ107)</f>
        <v>#DIV/0!</v>
      </c>
      <c r="S108" s="43" t="e">
        <f>S107+ATM_Conf!$C$5*(AB107-AK107)</f>
        <v>#DIV/0!</v>
      </c>
      <c r="T108" s="43">
        <f t="shared" si="48"/>
        <v>0</v>
      </c>
      <c r="U108" s="43">
        <f t="shared" si="75"/>
        <v>0</v>
      </c>
      <c r="V108" s="43">
        <f t="shared" si="75"/>
        <v>0</v>
      </c>
      <c r="W108" s="43">
        <f t="shared" si="75"/>
        <v>0</v>
      </c>
      <c r="X108" s="43">
        <f t="shared" si="75"/>
        <v>0</v>
      </c>
      <c r="Y108" s="43">
        <f t="shared" si="75"/>
        <v>0</v>
      </c>
      <c r="Z108" s="43">
        <f t="shared" si="75"/>
        <v>0</v>
      </c>
      <c r="AA108" s="43">
        <f t="shared" si="75"/>
        <v>0</v>
      </c>
      <c r="AB108" s="43">
        <f t="shared" si="75"/>
        <v>0</v>
      </c>
      <c r="AC108" s="43" t="e">
        <f t="shared" si="51"/>
        <v>#DIV/0!</v>
      </c>
      <c r="AD108" s="43" t="e">
        <f t="shared" si="52"/>
        <v>#DIV/0!</v>
      </c>
      <c r="AE108" s="43" t="e">
        <f t="shared" si="53"/>
        <v>#DIV/0!</v>
      </c>
      <c r="AF108" s="43" t="e">
        <f t="shared" si="54"/>
        <v>#DIV/0!</v>
      </c>
      <c r="AG108" s="43" t="e">
        <f t="shared" si="55"/>
        <v>#DIV/0!</v>
      </c>
      <c r="AH108" s="43" t="e">
        <f t="shared" si="56"/>
        <v>#DIV/0!</v>
      </c>
      <c r="AI108" s="43" t="e">
        <f t="shared" si="57"/>
        <v>#DIV/0!</v>
      </c>
      <c r="AJ108" s="43" t="e">
        <f t="shared" si="58"/>
        <v>#DIV/0!</v>
      </c>
      <c r="AK108" s="43" t="e">
        <f t="shared" si="59"/>
        <v>#DIV/0!</v>
      </c>
      <c r="AL108" s="43" t="e">
        <f>T$3+K108/ATM_Conf!$C$5</f>
        <v>#DIV/0!</v>
      </c>
      <c r="AM108" s="43" t="e">
        <f>U$3+L108/ATM_Conf!$C$5</f>
        <v>#DIV/0!</v>
      </c>
      <c r="AN108" s="43" t="e">
        <f>V$3+M108/ATM_Conf!$C$5</f>
        <v>#DIV/0!</v>
      </c>
      <c r="AO108" s="43" t="e">
        <f>W$3+N108/ATM_Conf!$C$5</f>
        <v>#DIV/0!</v>
      </c>
      <c r="AP108" s="43" t="e">
        <f>X$3+O108/ATM_Conf!$C$5</f>
        <v>#DIV/0!</v>
      </c>
      <c r="AQ108" s="43" t="e">
        <f>Y$3+P108/ATM_Conf!$C$5</f>
        <v>#DIV/0!</v>
      </c>
      <c r="AR108" s="43" t="e">
        <f>Z$3+Q108/ATM_Conf!$C$5</f>
        <v>#DIV/0!</v>
      </c>
      <c r="AS108" s="43" t="e">
        <f>AA$3+R108/ATM_Conf!$C$5</f>
        <v>#DIV/0!</v>
      </c>
      <c r="AT108" s="43" t="e">
        <f>AB$3+S108/ATM_Conf!$C$5</f>
        <v>#DIV/0!</v>
      </c>
      <c r="AU108" s="43" t="e">
        <f>BD$3*MIN(1,(ATM_Conf!$C$6-Links!X108)/(ATM_Conf!$C$6-ATM_Conf!$C$7))</f>
        <v>#DIV/0!</v>
      </c>
      <c r="AV108" s="43" t="e">
        <f>BE$3*MIN(1,(ATM_Conf!$C$6-Links!Z108)/(ATM_Conf!$C$6-ATM_Conf!$C$7))</f>
        <v>#DIV/0!</v>
      </c>
      <c r="AW108" s="43" t="e">
        <f>BF$3*MIN(1,(ATM_Conf!$C$6-Links!AA108)/(ATM_Conf!$C$6-ATM_Conf!$C$7))</f>
        <v>#DIV/0!</v>
      </c>
      <c r="AX108" s="43" t="e">
        <f>BG$3*MIN(1,(ATM_Conf!$C$6-Links!AD108)/(ATM_Conf!$C$6-ATM_Conf!$C$7))</f>
        <v>#DIV/0!</v>
      </c>
      <c r="AY108" s="43" t="e">
        <f>BH$3*MIN(1,(ATM_Conf!$C$6-Links!AE108)/(ATM_Conf!$C$6-ATM_Conf!$C$7))</f>
        <v>#DIV/0!</v>
      </c>
      <c r="AZ108" s="43" t="e">
        <f>BI$3*MIN(1,(ATM_Conf!$C$6-Links!AG108)/(ATM_Conf!$C$6-ATM_Conf!$C$7))</f>
        <v>#DIV/0!</v>
      </c>
      <c r="BA108" s="43" t="e">
        <f>BJ$3*MIN(1,(ATM_Conf!$C$6-Links!AH108)/(ATM_Conf!$C$6-ATM_Conf!$C$7))</f>
        <v>#DIV/0!</v>
      </c>
      <c r="BB108" s="43" t="e">
        <f>BK$3*MIN(1,(ATM_Conf!$C$6-Links!AK108)/(ATM_Conf!$C$6-ATM_Conf!$C$7))</f>
        <v>#DIV/0!</v>
      </c>
      <c r="BC108" s="43" t="e">
        <f>BL$3*MIN(1,(ATM_Conf!$C$6-Links!AM108)/(ATM_Conf!$C$6-ATM_Conf!$C$7))</f>
        <v>#DIV/0!</v>
      </c>
      <c r="BD108" s="43">
        <f t="shared" si="49"/>
        <v>0</v>
      </c>
      <c r="BE108" s="43">
        <f t="shared" si="76"/>
        <v>0</v>
      </c>
      <c r="BF108" s="43">
        <f t="shared" si="76"/>
        <v>0</v>
      </c>
      <c r="BG108" s="43">
        <f t="shared" si="76"/>
        <v>0</v>
      </c>
      <c r="BH108" s="43">
        <f t="shared" si="76"/>
        <v>0</v>
      </c>
      <c r="BI108" s="43">
        <f t="shared" si="76"/>
        <v>0</v>
      </c>
      <c r="BJ108" s="43">
        <f t="shared" si="76"/>
        <v>0</v>
      </c>
      <c r="BK108" s="43">
        <f t="shared" si="76"/>
        <v>0</v>
      </c>
      <c r="BL108" s="43">
        <f t="shared" si="76"/>
        <v>0</v>
      </c>
      <c r="BM108" s="51"/>
      <c r="BN108" s="51"/>
      <c r="BO108" s="51"/>
      <c r="BP108" s="51"/>
      <c r="BQ108" s="51"/>
      <c r="BR108" s="51"/>
      <c r="BS108" s="51"/>
      <c r="BT108" s="51"/>
      <c r="BU108" s="51"/>
      <c r="BV108" s="51" t="e">
        <f t="shared" si="60"/>
        <v>#DIV/0!</v>
      </c>
      <c r="BW108" s="51" t="e">
        <f t="shared" si="61"/>
        <v>#DIV/0!</v>
      </c>
      <c r="BX108" s="51" t="e">
        <f t="shared" si="62"/>
        <v>#DIV/0!</v>
      </c>
      <c r="BY108" s="51" t="e">
        <f t="shared" si="63"/>
        <v>#DIV/0!</v>
      </c>
      <c r="BZ108" s="51" t="e">
        <f t="shared" si="64"/>
        <v>#DIV/0!</v>
      </c>
      <c r="CA108" s="51" t="e">
        <f t="shared" si="65"/>
        <v>#DIV/0!</v>
      </c>
      <c r="CB108" s="51" t="e">
        <f t="shared" si="66"/>
        <v>#DIV/0!</v>
      </c>
      <c r="CC108" s="51" t="e">
        <f t="shared" si="67"/>
        <v>#DIV/0!</v>
      </c>
      <c r="CD108" s="51" t="e">
        <f t="shared" si="68"/>
        <v>#DIV/0!</v>
      </c>
      <c r="CE108" s="53">
        <f t="shared" si="50"/>
        <v>0</v>
      </c>
      <c r="CF108" s="53">
        <f t="shared" si="77"/>
        <v>0</v>
      </c>
      <c r="CG108" s="53">
        <f t="shared" si="77"/>
        <v>0</v>
      </c>
      <c r="CH108" s="53">
        <f t="shared" si="77"/>
        <v>0</v>
      </c>
      <c r="CI108" s="53">
        <f t="shared" si="77"/>
        <v>0</v>
      </c>
      <c r="CJ108" s="53">
        <f t="shared" si="77"/>
        <v>0</v>
      </c>
      <c r="CK108" s="53">
        <f t="shared" si="77"/>
        <v>0</v>
      </c>
      <c r="CL108" s="53">
        <f t="shared" si="77"/>
        <v>0</v>
      </c>
      <c r="CM108" s="53">
        <f t="shared" si="77"/>
        <v>0</v>
      </c>
    </row>
    <row r="109" spans="1:91" x14ac:dyDescent="0.15">
      <c r="A109" s="41">
        <v>107</v>
      </c>
      <c r="B109" s="43">
        <f t="shared" si="80"/>
        <v>1</v>
      </c>
      <c r="C109" s="43">
        <f t="shared" si="79"/>
        <v>1</v>
      </c>
      <c r="D109" s="43">
        <f t="shared" si="79"/>
        <v>1</v>
      </c>
      <c r="E109" s="43">
        <f t="shared" si="79"/>
        <v>1</v>
      </c>
      <c r="F109" s="43">
        <f t="shared" si="79"/>
        <v>1</v>
      </c>
      <c r="G109" s="43">
        <f t="shared" si="79"/>
        <v>1</v>
      </c>
      <c r="H109" s="43">
        <f t="shared" si="79"/>
        <v>1</v>
      </c>
      <c r="I109" s="43">
        <f t="shared" si="79"/>
        <v>1</v>
      </c>
      <c r="J109" s="43">
        <f t="shared" si="79"/>
        <v>1</v>
      </c>
      <c r="K109" s="43" t="e">
        <f>K108+ATM_Conf!$C$5*(T108-AC108)</f>
        <v>#DIV/0!</v>
      </c>
      <c r="L109" s="43" t="e">
        <f>L108+ATM_Conf!$C$5*(U108-AD108)</f>
        <v>#DIV/0!</v>
      </c>
      <c r="M109" s="43" t="e">
        <f>M108+ATM_Conf!$C$5*(V108-AE108)</f>
        <v>#DIV/0!</v>
      </c>
      <c r="N109" s="43" t="e">
        <f>N108+ATM_Conf!$C$5*(W108-AF108)</f>
        <v>#DIV/0!</v>
      </c>
      <c r="O109" s="43" t="e">
        <f>O108+ATM_Conf!$C$5*(X108-AG108)</f>
        <v>#DIV/0!</v>
      </c>
      <c r="P109" s="43" t="e">
        <f>P108+ATM_Conf!$C$5*(Y108-AH108)</f>
        <v>#DIV/0!</v>
      </c>
      <c r="Q109" s="43" t="e">
        <f>Q108+ATM_Conf!$C$5*(Z108-AI108)</f>
        <v>#DIV/0!</v>
      </c>
      <c r="R109" s="43" t="e">
        <f>R108+ATM_Conf!$C$5*(AA108-AJ108)</f>
        <v>#DIV/0!</v>
      </c>
      <c r="S109" s="43" t="e">
        <f>S108+ATM_Conf!$C$5*(AB108-AK108)</f>
        <v>#DIV/0!</v>
      </c>
      <c r="T109" s="43">
        <f t="shared" si="48"/>
        <v>0</v>
      </c>
      <c r="U109" s="43">
        <f t="shared" si="75"/>
        <v>0</v>
      </c>
      <c r="V109" s="43">
        <f t="shared" si="75"/>
        <v>0</v>
      </c>
      <c r="W109" s="43">
        <f t="shared" si="75"/>
        <v>0</v>
      </c>
      <c r="X109" s="43">
        <f t="shared" si="75"/>
        <v>0</v>
      </c>
      <c r="Y109" s="43">
        <f t="shared" si="75"/>
        <v>0</v>
      </c>
      <c r="Z109" s="43">
        <f t="shared" si="75"/>
        <v>0</v>
      </c>
      <c r="AA109" s="43">
        <f t="shared" si="75"/>
        <v>0</v>
      </c>
      <c r="AB109" s="43">
        <f t="shared" si="75"/>
        <v>0</v>
      </c>
      <c r="AC109" s="43" t="e">
        <f t="shared" si="51"/>
        <v>#DIV/0!</v>
      </c>
      <c r="AD109" s="43" t="e">
        <f t="shared" si="52"/>
        <v>#DIV/0!</v>
      </c>
      <c r="AE109" s="43" t="e">
        <f t="shared" si="53"/>
        <v>#DIV/0!</v>
      </c>
      <c r="AF109" s="43" t="e">
        <f t="shared" si="54"/>
        <v>#DIV/0!</v>
      </c>
      <c r="AG109" s="43" t="e">
        <f t="shared" si="55"/>
        <v>#DIV/0!</v>
      </c>
      <c r="AH109" s="43" t="e">
        <f t="shared" si="56"/>
        <v>#DIV/0!</v>
      </c>
      <c r="AI109" s="43" t="e">
        <f t="shared" si="57"/>
        <v>#DIV/0!</v>
      </c>
      <c r="AJ109" s="43" t="e">
        <f t="shared" si="58"/>
        <v>#DIV/0!</v>
      </c>
      <c r="AK109" s="43" t="e">
        <f t="shared" si="59"/>
        <v>#DIV/0!</v>
      </c>
      <c r="AL109" s="43" t="e">
        <f>T$3+K109/ATM_Conf!$C$5</f>
        <v>#DIV/0!</v>
      </c>
      <c r="AM109" s="43" t="e">
        <f>U$3+L109/ATM_Conf!$C$5</f>
        <v>#DIV/0!</v>
      </c>
      <c r="AN109" s="43" t="e">
        <f>V$3+M109/ATM_Conf!$C$5</f>
        <v>#DIV/0!</v>
      </c>
      <c r="AO109" s="43" t="e">
        <f>W$3+N109/ATM_Conf!$C$5</f>
        <v>#DIV/0!</v>
      </c>
      <c r="AP109" s="43" t="e">
        <f>X$3+O109/ATM_Conf!$C$5</f>
        <v>#DIV/0!</v>
      </c>
      <c r="AQ109" s="43" t="e">
        <f>Y$3+P109/ATM_Conf!$C$5</f>
        <v>#DIV/0!</v>
      </c>
      <c r="AR109" s="43" t="e">
        <f>Z$3+Q109/ATM_Conf!$C$5</f>
        <v>#DIV/0!</v>
      </c>
      <c r="AS109" s="43" t="e">
        <f>AA$3+R109/ATM_Conf!$C$5</f>
        <v>#DIV/0!</v>
      </c>
      <c r="AT109" s="43" t="e">
        <f>AB$3+S109/ATM_Conf!$C$5</f>
        <v>#DIV/0!</v>
      </c>
      <c r="AU109" s="43" t="e">
        <f>BD$3*MIN(1,(ATM_Conf!$C$6-Links!X109)/(ATM_Conf!$C$6-ATM_Conf!$C$7))</f>
        <v>#DIV/0!</v>
      </c>
      <c r="AV109" s="43" t="e">
        <f>BE$3*MIN(1,(ATM_Conf!$C$6-Links!Z109)/(ATM_Conf!$C$6-ATM_Conf!$C$7))</f>
        <v>#DIV/0!</v>
      </c>
      <c r="AW109" s="43" t="e">
        <f>BF$3*MIN(1,(ATM_Conf!$C$6-Links!AA109)/(ATM_Conf!$C$6-ATM_Conf!$C$7))</f>
        <v>#DIV/0!</v>
      </c>
      <c r="AX109" s="43" t="e">
        <f>BG$3*MIN(1,(ATM_Conf!$C$6-Links!AD109)/(ATM_Conf!$C$6-ATM_Conf!$C$7))</f>
        <v>#DIV/0!</v>
      </c>
      <c r="AY109" s="43" t="e">
        <f>BH$3*MIN(1,(ATM_Conf!$C$6-Links!AE109)/(ATM_Conf!$C$6-ATM_Conf!$C$7))</f>
        <v>#DIV/0!</v>
      </c>
      <c r="AZ109" s="43" t="e">
        <f>BI$3*MIN(1,(ATM_Conf!$C$6-Links!AG109)/(ATM_Conf!$C$6-ATM_Conf!$C$7))</f>
        <v>#DIV/0!</v>
      </c>
      <c r="BA109" s="43" t="e">
        <f>BJ$3*MIN(1,(ATM_Conf!$C$6-Links!AH109)/(ATM_Conf!$C$6-ATM_Conf!$C$7))</f>
        <v>#DIV/0!</v>
      </c>
      <c r="BB109" s="43" t="e">
        <f>BK$3*MIN(1,(ATM_Conf!$C$6-Links!AK109)/(ATM_Conf!$C$6-ATM_Conf!$C$7))</f>
        <v>#DIV/0!</v>
      </c>
      <c r="BC109" s="43" t="e">
        <f>BL$3*MIN(1,(ATM_Conf!$C$6-Links!AM109)/(ATM_Conf!$C$6-ATM_Conf!$C$7))</f>
        <v>#DIV/0!</v>
      </c>
      <c r="BD109" s="43">
        <f t="shared" si="49"/>
        <v>0</v>
      </c>
      <c r="BE109" s="43">
        <f t="shared" si="76"/>
        <v>0</v>
      </c>
      <c r="BF109" s="43">
        <f t="shared" si="76"/>
        <v>0</v>
      </c>
      <c r="BG109" s="43">
        <f t="shared" si="76"/>
        <v>0</v>
      </c>
      <c r="BH109" s="43">
        <f t="shared" si="76"/>
        <v>0</v>
      </c>
      <c r="BI109" s="43">
        <f t="shared" si="76"/>
        <v>0</v>
      </c>
      <c r="BJ109" s="43">
        <f t="shared" si="76"/>
        <v>0</v>
      </c>
      <c r="BK109" s="43">
        <f t="shared" si="76"/>
        <v>0</v>
      </c>
      <c r="BL109" s="43">
        <f t="shared" si="76"/>
        <v>0</v>
      </c>
      <c r="BM109" s="51"/>
      <c r="BN109" s="51"/>
      <c r="BO109" s="51"/>
      <c r="BP109" s="51"/>
      <c r="BQ109" s="51"/>
      <c r="BR109" s="51"/>
      <c r="BS109" s="51"/>
      <c r="BT109" s="51"/>
      <c r="BU109" s="51"/>
      <c r="BV109" s="51" t="e">
        <f t="shared" si="60"/>
        <v>#DIV/0!</v>
      </c>
      <c r="BW109" s="51" t="e">
        <f t="shared" si="61"/>
        <v>#DIV/0!</v>
      </c>
      <c r="BX109" s="51" t="e">
        <f t="shared" si="62"/>
        <v>#DIV/0!</v>
      </c>
      <c r="BY109" s="51" t="e">
        <f t="shared" si="63"/>
        <v>#DIV/0!</v>
      </c>
      <c r="BZ109" s="51" t="e">
        <f t="shared" si="64"/>
        <v>#DIV/0!</v>
      </c>
      <c r="CA109" s="51" t="e">
        <f t="shared" si="65"/>
        <v>#DIV/0!</v>
      </c>
      <c r="CB109" s="51" t="e">
        <f t="shared" si="66"/>
        <v>#DIV/0!</v>
      </c>
      <c r="CC109" s="51" t="e">
        <f t="shared" si="67"/>
        <v>#DIV/0!</v>
      </c>
      <c r="CD109" s="51" t="e">
        <f t="shared" si="68"/>
        <v>#DIV/0!</v>
      </c>
      <c r="CE109" s="53">
        <f t="shared" si="50"/>
        <v>0</v>
      </c>
      <c r="CF109" s="53">
        <f t="shared" si="77"/>
        <v>0</v>
      </c>
      <c r="CG109" s="53">
        <f t="shared" si="77"/>
        <v>0</v>
      </c>
      <c r="CH109" s="53">
        <f t="shared" si="77"/>
        <v>0</v>
      </c>
      <c r="CI109" s="53">
        <f t="shared" si="77"/>
        <v>0</v>
      </c>
      <c r="CJ109" s="53">
        <f t="shared" si="77"/>
        <v>0</v>
      </c>
      <c r="CK109" s="53">
        <f t="shared" si="77"/>
        <v>0</v>
      </c>
      <c r="CL109" s="53">
        <f t="shared" si="77"/>
        <v>0</v>
      </c>
      <c r="CM109" s="53">
        <f t="shared" si="77"/>
        <v>0</v>
      </c>
    </row>
    <row r="110" spans="1:91" x14ac:dyDescent="0.15">
      <c r="A110" s="41">
        <v>108</v>
      </c>
      <c r="B110" s="43">
        <f t="shared" si="80"/>
        <v>1</v>
      </c>
      <c r="C110" s="43">
        <f t="shared" si="79"/>
        <v>1</v>
      </c>
      <c r="D110" s="43">
        <f t="shared" si="79"/>
        <v>1</v>
      </c>
      <c r="E110" s="43">
        <f t="shared" si="79"/>
        <v>1</v>
      </c>
      <c r="F110" s="43">
        <f t="shared" si="79"/>
        <v>1</v>
      </c>
      <c r="G110" s="43">
        <f t="shared" si="79"/>
        <v>1</v>
      </c>
      <c r="H110" s="43">
        <f t="shared" si="79"/>
        <v>1</v>
      </c>
      <c r="I110" s="43">
        <f t="shared" si="79"/>
        <v>1</v>
      </c>
      <c r="J110" s="43">
        <f t="shared" si="79"/>
        <v>1</v>
      </c>
      <c r="K110" s="43" t="e">
        <f>K109+ATM_Conf!$C$5*(T109-AC109)</f>
        <v>#DIV/0!</v>
      </c>
      <c r="L110" s="43" t="e">
        <f>L109+ATM_Conf!$C$5*(U109-AD109)</f>
        <v>#DIV/0!</v>
      </c>
      <c r="M110" s="43" t="e">
        <f>M109+ATM_Conf!$C$5*(V109-AE109)</f>
        <v>#DIV/0!</v>
      </c>
      <c r="N110" s="43" t="e">
        <f>N109+ATM_Conf!$C$5*(W109-AF109)</f>
        <v>#DIV/0!</v>
      </c>
      <c r="O110" s="43" t="e">
        <f>O109+ATM_Conf!$C$5*(X109-AG109)</f>
        <v>#DIV/0!</v>
      </c>
      <c r="P110" s="43" t="e">
        <f>P109+ATM_Conf!$C$5*(Y109-AH109)</f>
        <v>#DIV/0!</v>
      </c>
      <c r="Q110" s="43" t="e">
        <f>Q109+ATM_Conf!$C$5*(Z109-AI109)</f>
        <v>#DIV/0!</v>
      </c>
      <c r="R110" s="43" t="e">
        <f>R109+ATM_Conf!$C$5*(AA109-AJ109)</f>
        <v>#DIV/0!</v>
      </c>
      <c r="S110" s="43" t="e">
        <f>S109+ATM_Conf!$C$5*(AB109-AK109)</f>
        <v>#DIV/0!</v>
      </c>
      <c r="T110" s="43">
        <f t="shared" si="48"/>
        <v>0</v>
      </c>
      <c r="U110" s="43">
        <f t="shared" si="75"/>
        <v>0</v>
      </c>
      <c r="V110" s="43">
        <f t="shared" si="75"/>
        <v>0</v>
      </c>
      <c r="W110" s="43">
        <f t="shared" si="75"/>
        <v>0</v>
      </c>
      <c r="X110" s="43">
        <f t="shared" si="75"/>
        <v>0</v>
      </c>
      <c r="Y110" s="43">
        <f t="shared" si="75"/>
        <v>0</v>
      </c>
      <c r="Z110" s="43">
        <f t="shared" si="75"/>
        <v>0</v>
      </c>
      <c r="AA110" s="43">
        <f t="shared" si="75"/>
        <v>0</v>
      </c>
      <c r="AB110" s="43">
        <f t="shared" si="75"/>
        <v>0</v>
      </c>
      <c r="AC110" s="43" t="e">
        <f t="shared" si="51"/>
        <v>#DIV/0!</v>
      </c>
      <c r="AD110" s="43" t="e">
        <f t="shared" si="52"/>
        <v>#DIV/0!</v>
      </c>
      <c r="AE110" s="43" t="e">
        <f t="shared" si="53"/>
        <v>#DIV/0!</v>
      </c>
      <c r="AF110" s="43" t="e">
        <f t="shared" si="54"/>
        <v>#DIV/0!</v>
      </c>
      <c r="AG110" s="43" t="e">
        <f t="shared" si="55"/>
        <v>#DIV/0!</v>
      </c>
      <c r="AH110" s="43" t="e">
        <f t="shared" si="56"/>
        <v>#DIV/0!</v>
      </c>
      <c r="AI110" s="43" t="e">
        <f t="shared" si="57"/>
        <v>#DIV/0!</v>
      </c>
      <c r="AJ110" s="43" t="e">
        <f t="shared" si="58"/>
        <v>#DIV/0!</v>
      </c>
      <c r="AK110" s="43" t="e">
        <f t="shared" si="59"/>
        <v>#DIV/0!</v>
      </c>
      <c r="AL110" s="43" t="e">
        <f>T$3+K110/ATM_Conf!$C$5</f>
        <v>#DIV/0!</v>
      </c>
      <c r="AM110" s="43" t="e">
        <f>U$3+L110/ATM_Conf!$C$5</f>
        <v>#DIV/0!</v>
      </c>
      <c r="AN110" s="43" t="e">
        <f>V$3+M110/ATM_Conf!$C$5</f>
        <v>#DIV/0!</v>
      </c>
      <c r="AO110" s="43" t="e">
        <f>W$3+N110/ATM_Conf!$C$5</f>
        <v>#DIV/0!</v>
      </c>
      <c r="AP110" s="43" t="e">
        <f>X$3+O110/ATM_Conf!$C$5</f>
        <v>#DIV/0!</v>
      </c>
      <c r="AQ110" s="43" t="e">
        <f>Y$3+P110/ATM_Conf!$C$5</f>
        <v>#DIV/0!</v>
      </c>
      <c r="AR110" s="43" t="e">
        <f>Z$3+Q110/ATM_Conf!$C$5</f>
        <v>#DIV/0!</v>
      </c>
      <c r="AS110" s="43" t="e">
        <f>AA$3+R110/ATM_Conf!$C$5</f>
        <v>#DIV/0!</v>
      </c>
      <c r="AT110" s="43" t="e">
        <f>AB$3+S110/ATM_Conf!$C$5</f>
        <v>#DIV/0!</v>
      </c>
      <c r="AU110" s="43" t="e">
        <f>BD$3*MIN(1,(ATM_Conf!$C$6-Links!X110)/(ATM_Conf!$C$6-ATM_Conf!$C$7))</f>
        <v>#DIV/0!</v>
      </c>
      <c r="AV110" s="43" t="e">
        <f>BE$3*MIN(1,(ATM_Conf!$C$6-Links!Z110)/(ATM_Conf!$C$6-ATM_Conf!$C$7))</f>
        <v>#DIV/0!</v>
      </c>
      <c r="AW110" s="43" t="e">
        <f>BF$3*MIN(1,(ATM_Conf!$C$6-Links!AA110)/(ATM_Conf!$C$6-ATM_Conf!$C$7))</f>
        <v>#DIV/0!</v>
      </c>
      <c r="AX110" s="43" t="e">
        <f>BG$3*MIN(1,(ATM_Conf!$C$6-Links!AD110)/(ATM_Conf!$C$6-ATM_Conf!$C$7))</f>
        <v>#DIV/0!</v>
      </c>
      <c r="AY110" s="43" t="e">
        <f>BH$3*MIN(1,(ATM_Conf!$C$6-Links!AE110)/(ATM_Conf!$C$6-ATM_Conf!$C$7))</f>
        <v>#DIV/0!</v>
      </c>
      <c r="AZ110" s="43" t="e">
        <f>BI$3*MIN(1,(ATM_Conf!$C$6-Links!AG110)/(ATM_Conf!$C$6-ATM_Conf!$C$7))</f>
        <v>#DIV/0!</v>
      </c>
      <c r="BA110" s="43" t="e">
        <f>BJ$3*MIN(1,(ATM_Conf!$C$6-Links!AH110)/(ATM_Conf!$C$6-ATM_Conf!$C$7))</f>
        <v>#DIV/0!</v>
      </c>
      <c r="BB110" s="43" t="e">
        <f>BK$3*MIN(1,(ATM_Conf!$C$6-Links!AK110)/(ATM_Conf!$C$6-ATM_Conf!$C$7))</f>
        <v>#DIV/0!</v>
      </c>
      <c r="BC110" s="43" t="e">
        <f>BL$3*MIN(1,(ATM_Conf!$C$6-Links!AM110)/(ATM_Conf!$C$6-ATM_Conf!$C$7))</f>
        <v>#DIV/0!</v>
      </c>
      <c r="BD110" s="43">
        <f t="shared" si="49"/>
        <v>0</v>
      </c>
      <c r="BE110" s="43">
        <f t="shared" si="76"/>
        <v>0</v>
      </c>
      <c r="BF110" s="43">
        <f t="shared" si="76"/>
        <v>0</v>
      </c>
      <c r="BG110" s="43">
        <f t="shared" si="76"/>
        <v>0</v>
      </c>
      <c r="BH110" s="43">
        <f t="shared" si="76"/>
        <v>0</v>
      </c>
      <c r="BI110" s="43">
        <f t="shared" si="76"/>
        <v>0</v>
      </c>
      <c r="BJ110" s="43">
        <f t="shared" si="76"/>
        <v>0</v>
      </c>
      <c r="BK110" s="43">
        <f t="shared" si="76"/>
        <v>0</v>
      </c>
      <c r="BL110" s="43">
        <f t="shared" si="76"/>
        <v>0</v>
      </c>
      <c r="BM110" s="51"/>
      <c r="BN110" s="51"/>
      <c r="BO110" s="51"/>
      <c r="BP110" s="51"/>
      <c r="BQ110" s="51"/>
      <c r="BR110" s="51"/>
      <c r="BS110" s="51"/>
      <c r="BT110" s="51"/>
      <c r="BU110" s="51"/>
      <c r="BV110" s="51" t="e">
        <f t="shared" si="60"/>
        <v>#DIV/0!</v>
      </c>
      <c r="BW110" s="51" t="e">
        <f t="shared" si="61"/>
        <v>#DIV/0!</v>
      </c>
      <c r="BX110" s="51" t="e">
        <f t="shared" si="62"/>
        <v>#DIV/0!</v>
      </c>
      <c r="BY110" s="51" t="e">
        <f t="shared" si="63"/>
        <v>#DIV/0!</v>
      </c>
      <c r="BZ110" s="51" t="e">
        <f t="shared" si="64"/>
        <v>#DIV/0!</v>
      </c>
      <c r="CA110" s="51" t="e">
        <f t="shared" si="65"/>
        <v>#DIV/0!</v>
      </c>
      <c r="CB110" s="51" t="e">
        <f t="shared" si="66"/>
        <v>#DIV/0!</v>
      </c>
      <c r="CC110" s="51" t="e">
        <f t="shared" si="67"/>
        <v>#DIV/0!</v>
      </c>
      <c r="CD110" s="51" t="e">
        <f t="shared" si="68"/>
        <v>#DIV/0!</v>
      </c>
      <c r="CE110" s="53">
        <f t="shared" si="50"/>
        <v>0</v>
      </c>
      <c r="CF110" s="53">
        <f t="shared" si="77"/>
        <v>0</v>
      </c>
      <c r="CG110" s="53">
        <f t="shared" si="77"/>
        <v>0</v>
      </c>
      <c r="CH110" s="53">
        <f t="shared" si="77"/>
        <v>0</v>
      </c>
      <c r="CI110" s="53">
        <f t="shared" si="77"/>
        <v>0</v>
      </c>
      <c r="CJ110" s="53">
        <f t="shared" si="77"/>
        <v>0</v>
      </c>
      <c r="CK110" s="53">
        <f t="shared" si="77"/>
        <v>0</v>
      </c>
      <c r="CL110" s="53">
        <f t="shared" si="77"/>
        <v>0</v>
      </c>
      <c r="CM110" s="53">
        <f t="shared" si="77"/>
        <v>0</v>
      </c>
    </row>
    <row r="111" spans="1:91" x14ac:dyDescent="0.15">
      <c r="A111" s="41">
        <v>109</v>
      </c>
      <c r="B111" s="45">
        <v>1</v>
      </c>
      <c r="C111" s="45">
        <v>1</v>
      </c>
      <c r="D111" s="45">
        <v>1</v>
      </c>
      <c r="E111" s="45">
        <v>1</v>
      </c>
      <c r="F111" s="45">
        <v>1</v>
      </c>
      <c r="G111" s="45">
        <v>1</v>
      </c>
      <c r="H111" s="45">
        <v>1</v>
      </c>
      <c r="I111" s="45">
        <v>1</v>
      </c>
      <c r="J111" s="45">
        <v>1</v>
      </c>
      <c r="K111" s="43" t="e">
        <f>K110+ATM_Conf!$C$5*(T110-AC110)</f>
        <v>#DIV/0!</v>
      </c>
      <c r="L111" s="43" t="e">
        <f>L110+ATM_Conf!$C$5*(U110-AD110)</f>
        <v>#DIV/0!</v>
      </c>
      <c r="M111" s="43" t="e">
        <f>M110+ATM_Conf!$C$5*(V110-AE110)</f>
        <v>#DIV/0!</v>
      </c>
      <c r="N111" s="43" t="e">
        <f>N110+ATM_Conf!$C$5*(W110-AF110)</f>
        <v>#DIV/0!</v>
      </c>
      <c r="O111" s="43" t="e">
        <f>O110+ATM_Conf!$C$5*(X110-AG110)</f>
        <v>#DIV/0!</v>
      </c>
      <c r="P111" s="43" t="e">
        <f>P110+ATM_Conf!$C$5*(Y110-AH110)</f>
        <v>#DIV/0!</v>
      </c>
      <c r="Q111" s="43" t="e">
        <f>Q110+ATM_Conf!$C$5*(Z110-AI110)</f>
        <v>#DIV/0!</v>
      </c>
      <c r="R111" s="43" t="e">
        <f>R110+ATM_Conf!$C$5*(AA110-AJ110)</f>
        <v>#DIV/0!</v>
      </c>
      <c r="S111" s="43" t="e">
        <f>S110+ATM_Conf!$C$5*(AB110-AK110)</f>
        <v>#DIV/0!</v>
      </c>
      <c r="T111" s="43">
        <f t="shared" si="48"/>
        <v>0</v>
      </c>
      <c r="U111" s="43">
        <f t="shared" si="75"/>
        <v>0</v>
      </c>
      <c r="V111" s="43">
        <f t="shared" si="75"/>
        <v>0</v>
      </c>
      <c r="W111" s="43">
        <f t="shared" si="75"/>
        <v>0</v>
      </c>
      <c r="X111" s="43">
        <f t="shared" si="75"/>
        <v>0</v>
      </c>
      <c r="Y111" s="43">
        <f t="shared" si="75"/>
        <v>0</v>
      </c>
      <c r="Z111" s="43">
        <f t="shared" si="75"/>
        <v>0</v>
      </c>
      <c r="AA111" s="43">
        <f t="shared" si="75"/>
        <v>0</v>
      </c>
      <c r="AB111" s="43">
        <f t="shared" si="75"/>
        <v>0</v>
      </c>
      <c r="AC111" s="43" t="e">
        <f t="shared" si="51"/>
        <v>#DIV/0!</v>
      </c>
      <c r="AD111" s="43" t="e">
        <f t="shared" si="52"/>
        <v>#DIV/0!</v>
      </c>
      <c r="AE111" s="43" t="e">
        <f t="shared" si="53"/>
        <v>#DIV/0!</v>
      </c>
      <c r="AF111" s="43" t="e">
        <f t="shared" si="54"/>
        <v>#DIV/0!</v>
      </c>
      <c r="AG111" s="43" t="e">
        <f t="shared" si="55"/>
        <v>#DIV/0!</v>
      </c>
      <c r="AH111" s="43" t="e">
        <f t="shared" si="56"/>
        <v>#DIV/0!</v>
      </c>
      <c r="AI111" s="43" t="e">
        <f t="shared" si="57"/>
        <v>#DIV/0!</v>
      </c>
      <c r="AJ111" s="43" t="e">
        <f t="shared" si="58"/>
        <v>#DIV/0!</v>
      </c>
      <c r="AK111" s="43" t="e">
        <f t="shared" si="59"/>
        <v>#DIV/0!</v>
      </c>
      <c r="AL111" s="43" t="e">
        <f>T$3+K111/ATM_Conf!$C$5</f>
        <v>#DIV/0!</v>
      </c>
      <c r="AM111" s="43" t="e">
        <f>U$3+L111/ATM_Conf!$C$5</f>
        <v>#DIV/0!</v>
      </c>
      <c r="AN111" s="43" t="e">
        <f>V$3+M111/ATM_Conf!$C$5</f>
        <v>#DIV/0!</v>
      </c>
      <c r="AO111" s="43" t="e">
        <f>W$3+N111/ATM_Conf!$C$5</f>
        <v>#DIV/0!</v>
      </c>
      <c r="AP111" s="43" t="e">
        <f>X$3+O111/ATM_Conf!$C$5</f>
        <v>#DIV/0!</v>
      </c>
      <c r="AQ111" s="43" t="e">
        <f>Y$3+P111/ATM_Conf!$C$5</f>
        <v>#DIV/0!</v>
      </c>
      <c r="AR111" s="43" t="e">
        <f>Z$3+Q111/ATM_Conf!$C$5</f>
        <v>#DIV/0!</v>
      </c>
      <c r="AS111" s="43" t="e">
        <f>AA$3+R111/ATM_Conf!$C$5</f>
        <v>#DIV/0!</v>
      </c>
      <c r="AT111" s="43" t="e">
        <f>AB$3+S111/ATM_Conf!$C$5</f>
        <v>#DIV/0!</v>
      </c>
      <c r="AU111" s="43" t="e">
        <f>BD$3*MIN(1,(ATM_Conf!$C$6-Links!X111)/(ATM_Conf!$C$6-ATM_Conf!$C$7))</f>
        <v>#DIV/0!</v>
      </c>
      <c r="AV111" s="43" t="e">
        <f>BE$3*MIN(1,(ATM_Conf!$C$6-Links!Z111)/(ATM_Conf!$C$6-ATM_Conf!$C$7))</f>
        <v>#DIV/0!</v>
      </c>
      <c r="AW111" s="43" t="e">
        <f>BF$3*MIN(1,(ATM_Conf!$C$6-Links!AA111)/(ATM_Conf!$C$6-ATM_Conf!$C$7))</f>
        <v>#DIV/0!</v>
      </c>
      <c r="AX111" s="43" t="e">
        <f>BG$3*MIN(1,(ATM_Conf!$C$6-Links!AD111)/(ATM_Conf!$C$6-ATM_Conf!$C$7))</f>
        <v>#DIV/0!</v>
      </c>
      <c r="AY111" s="43" t="e">
        <f>BH$3*MIN(1,(ATM_Conf!$C$6-Links!AE111)/(ATM_Conf!$C$6-ATM_Conf!$C$7))</f>
        <v>#DIV/0!</v>
      </c>
      <c r="AZ111" s="43" t="e">
        <f>BI$3*MIN(1,(ATM_Conf!$C$6-Links!AG111)/(ATM_Conf!$C$6-ATM_Conf!$C$7))</f>
        <v>#DIV/0!</v>
      </c>
      <c r="BA111" s="43" t="e">
        <f>BJ$3*MIN(1,(ATM_Conf!$C$6-Links!AH111)/(ATM_Conf!$C$6-ATM_Conf!$C$7))</f>
        <v>#DIV/0!</v>
      </c>
      <c r="BB111" s="43" t="e">
        <f>BK$3*MIN(1,(ATM_Conf!$C$6-Links!AK111)/(ATM_Conf!$C$6-ATM_Conf!$C$7))</f>
        <v>#DIV/0!</v>
      </c>
      <c r="BC111" s="43" t="e">
        <f>BL$3*MIN(1,(ATM_Conf!$C$6-Links!AM111)/(ATM_Conf!$C$6-ATM_Conf!$C$7))</f>
        <v>#DIV/0!</v>
      </c>
      <c r="BD111" s="43">
        <f t="shared" si="49"/>
        <v>0</v>
      </c>
      <c r="BE111" s="43">
        <f t="shared" si="76"/>
        <v>0</v>
      </c>
      <c r="BF111" s="43">
        <f t="shared" si="76"/>
        <v>0</v>
      </c>
      <c r="BG111" s="43">
        <f t="shared" si="76"/>
        <v>0</v>
      </c>
      <c r="BH111" s="43">
        <f t="shared" si="76"/>
        <v>0</v>
      </c>
      <c r="BI111" s="43">
        <f t="shared" si="76"/>
        <v>0</v>
      </c>
      <c r="BJ111" s="43">
        <f t="shared" si="76"/>
        <v>0</v>
      </c>
      <c r="BK111" s="43">
        <f t="shared" si="76"/>
        <v>0</v>
      </c>
      <c r="BL111" s="43">
        <f t="shared" si="76"/>
        <v>0</v>
      </c>
      <c r="BM111" s="51">
        <f>(B111-B99)^2</f>
        <v>0</v>
      </c>
      <c r="BN111" s="51">
        <f t="shared" ref="BN111:BU111" si="81">(C111-C99)^2</f>
        <v>0</v>
      </c>
      <c r="BO111" s="51">
        <f t="shared" si="81"/>
        <v>0</v>
      </c>
      <c r="BP111" s="51">
        <f t="shared" si="81"/>
        <v>0</v>
      </c>
      <c r="BQ111" s="51">
        <f t="shared" si="81"/>
        <v>0</v>
      </c>
      <c r="BR111" s="51">
        <f t="shared" si="81"/>
        <v>0</v>
      </c>
      <c r="BS111" s="51">
        <f t="shared" si="81"/>
        <v>0</v>
      </c>
      <c r="BT111" s="51">
        <f t="shared" si="81"/>
        <v>0</v>
      </c>
      <c r="BU111" s="51">
        <f t="shared" si="81"/>
        <v>0</v>
      </c>
      <c r="BV111" s="51" t="e">
        <f t="shared" si="60"/>
        <v>#DIV/0!</v>
      </c>
      <c r="BW111" s="51" t="e">
        <f t="shared" si="61"/>
        <v>#DIV/0!</v>
      </c>
      <c r="BX111" s="51" t="e">
        <f t="shared" si="62"/>
        <v>#DIV/0!</v>
      </c>
      <c r="BY111" s="51" t="e">
        <f t="shared" si="63"/>
        <v>#DIV/0!</v>
      </c>
      <c r="BZ111" s="51" t="e">
        <f t="shared" si="64"/>
        <v>#DIV/0!</v>
      </c>
      <c r="CA111" s="51" t="e">
        <f t="shared" si="65"/>
        <v>#DIV/0!</v>
      </c>
      <c r="CB111" s="51" t="e">
        <f t="shared" si="66"/>
        <v>#DIV/0!</v>
      </c>
      <c r="CC111" s="51" t="e">
        <f t="shared" si="67"/>
        <v>#DIV/0!</v>
      </c>
      <c r="CD111" s="51" t="e">
        <f t="shared" si="68"/>
        <v>#DIV/0!</v>
      </c>
      <c r="CE111" s="53">
        <f t="shared" si="50"/>
        <v>0</v>
      </c>
      <c r="CF111" s="53">
        <f t="shared" si="77"/>
        <v>0</v>
      </c>
      <c r="CG111" s="53">
        <f t="shared" si="77"/>
        <v>0</v>
      </c>
      <c r="CH111" s="53">
        <f t="shared" si="77"/>
        <v>0</v>
      </c>
      <c r="CI111" s="53">
        <f t="shared" si="77"/>
        <v>0</v>
      </c>
      <c r="CJ111" s="53">
        <f t="shared" si="77"/>
        <v>0</v>
      </c>
      <c r="CK111" s="53">
        <f t="shared" si="77"/>
        <v>0</v>
      </c>
      <c r="CL111" s="53">
        <f t="shared" si="77"/>
        <v>0</v>
      </c>
      <c r="CM111" s="53">
        <f t="shared" si="77"/>
        <v>0</v>
      </c>
    </row>
    <row r="112" spans="1:91" x14ac:dyDescent="0.15">
      <c r="A112" s="41">
        <v>110</v>
      </c>
      <c r="B112" s="43">
        <f>B$111</f>
        <v>1</v>
      </c>
      <c r="C112" s="43">
        <f t="shared" ref="C112:J122" si="82">C$111</f>
        <v>1</v>
      </c>
      <c r="D112" s="43">
        <f t="shared" si="82"/>
        <v>1</v>
      </c>
      <c r="E112" s="43">
        <f t="shared" si="82"/>
        <v>1</v>
      </c>
      <c r="F112" s="43">
        <f t="shared" si="82"/>
        <v>1</v>
      </c>
      <c r="G112" s="43">
        <f t="shared" si="82"/>
        <v>1</v>
      </c>
      <c r="H112" s="43">
        <f t="shared" si="82"/>
        <v>1</v>
      </c>
      <c r="I112" s="43">
        <f t="shared" si="82"/>
        <v>1</v>
      </c>
      <c r="J112" s="43">
        <f t="shared" si="82"/>
        <v>1</v>
      </c>
      <c r="K112" s="43" t="e">
        <f>K111+ATM_Conf!$C$5*(T111-AC111)</f>
        <v>#DIV/0!</v>
      </c>
      <c r="L112" s="43" t="e">
        <f>L111+ATM_Conf!$C$5*(U111-AD111)</f>
        <v>#DIV/0!</v>
      </c>
      <c r="M112" s="43" t="e">
        <f>M111+ATM_Conf!$C$5*(V111-AE111)</f>
        <v>#DIV/0!</v>
      </c>
      <c r="N112" s="43" t="e">
        <f>N111+ATM_Conf!$C$5*(W111-AF111)</f>
        <v>#DIV/0!</v>
      </c>
      <c r="O112" s="43" t="e">
        <f>O111+ATM_Conf!$C$5*(X111-AG111)</f>
        <v>#DIV/0!</v>
      </c>
      <c r="P112" s="43" t="e">
        <f>P111+ATM_Conf!$C$5*(Y111-AH111)</f>
        <v>#DIV/0!</v>
      </c>
      <c r="Q112" s="43" t="e">
        <f>Q111+ATM_Conf!$C$5*(Z111-AI111)</f>
        <v>#DIV/0!</v>
      </c>
      <c r="R112" s="43" t="e">
        <f>R111+ATM_Conf!$C$5*(AA111-AJ111)</f>
        <v>#DIV/0!</v>
      </c>
      <c r="S112" s="43" t="e">
        <f>S111+ATM_Conf!$C$5*(AB111-AK111)</f>
        <v>#DIV/0!</v>
      </c>
      <c r="T112" s="43">
        <f t="shared" si="48"/>
        <v>0</v>
      </c>
      <c r="U112" s="43">
        <f t="shared" si="75"/>
        <v>0</v>
      </c>
      <c r="V112" s="43">
        <f t="shared" si="75"/>
        <v>0</v>
      </c>
      <c r="W112" s="43">
        <f t="shared" si="75"/>
        <v>0</v>
      </c>
      <c r="X112" s="43">
        <f t="shared" si="75"/>
        <v>0</v>
      </c>
      <c r="Y112" s="43">
        <f t="shared" si="75"/>
        <v>0</v>
      </c>
      <c r="Z112" s="43">
        <f t="shared" si="75"/>
        <v>0</v>
      </c>
      <c r="AA112" s="43">
        <f t="shared" si="75"/>
        <v>0</v>
      </c>
      <c r="AB112" s="43">
        <f t="shared" si="75"/>
        <v>0</v>
      </c>
      <c r="AC112" s="43" t="e">
        <f t="shared" si="51"/>
        <v>#DIV/0!</v>
      </c>
      <c r="AD112" s="43" t="e">
        <f t="shared" si="52"/>
        <v>#DIV/0!</v>
      </c>
      <c r="AE112" s="43" t="e">
        <f t="shared" si="53"/>
        <v>#DIV/0!</v>
      </c>
      <c r="AF112" s="43" t="e">
        <f t="shared" si="54"/>
        <v>#DIV/0!</v>
      </c>
      <c r="AG112" s="43" t="e">
        <f t="shared" si="55"/>
        <v>#DIV/0!</v>
      </c>
      <c r="AH112" s="43" t="e">
        <f t="shared" si="56"/>
        <v>#DIV/0!</v>
      </c>
      <c r="AI112" s="43" t="e">
        <f t="shared" si="57"/>
        <v>#DIV/0!</v>
      </c>
      <c r="AJ112" s="43" t="e">
        <f t="shared" si="58"/>
        <v>#DIV/0!</v>
      </c>
      <c r="AK112" s="43" t="e">
        <f t="shared" si="59"/>
        <v>#DIV/0!</v>
      </c>
      <c r="AL112" s="43" t="e">
        <f>T$3+K112/ATM_Conf!$C$5</f>
        <v>#DIV/0!</v>
      </c>
      <c r="AM112" s="43" t="e">
        <f>U$3+L112/ATM_Conf!$C$5</f>
        <v>#DIV/0!</v>
      </c>
      <c r="AN112" s="43" t="e">
        <f>V$3+M112/ATM_Conf!$C$5</f>
        <v>#DIV/0!</v>
      </c>
      <c r="AO112" s="43" t="e">
        <f>W$3+N112/ATM_Conf!$C$5</f>
        <v>#DIV/0!</v>
      </c>
      <c r="AP112" s="43" t="e">
        <f>X$3+O112/ATM_Conf!$C$5</f>
        <v>#DIV/0!</v>
      </c>
      <c r="AQ112" s="43" t="e">
        <f>Y$3+P112/ATM_Conf!$C$5</f>
        <v>#DIV/0!</v>
      </c>
      <c r="AR112" s="43" t="e">
        <f>Z$3+Q112/ATM_Conf!$C$5</f>
        <v>#DIV/0!</v>
      </c>
      <c r="AS112" s="43" t="e">
        <f>AA$3+R112/ATM_Conf!$C$5</f>
        <v>#DIV/0!</v>
      </c>
      <c r="AT112" s="43" t="e">
        <f>AB$3+S112/ATM_Conf!$C$5</f>
        <v>#DIV/0!</v>
      </c>
      <c r="AU112" s="43" t="e">
        <f>BD$3*MIN(1,(ATM_Conf!$C$6-Links!X112)/(ATM_Conf!$C$6-ATM_Conf!$C$7))</f>
        <v>#DIV/0!</v>
      </c>
      <c r="AV112" s="43" t="e">
        <f>BE$3*MIN(1,(ATM_Conf!$C$6-Links!Z112)/(ATM_Conf!$C$6-ATM_Conf!$C$7))</f>
        <v>#DIV/0!</v>
      </c>
      <c r="AW112" s="43" t="e">
        <f>BF$3*MIN(1,(ATM_Conf!$C$6-Links!AA112)/(ATM_Conf!$C$6-ATM_Conf!$C$7))</f>
        <v>#DIV/0!</v>
      </c>
      <c r="AX112" s="43" t="e">
        <f>BG$3*MIN(1,(ATM_Conf!$C$6-Links!AD112)/(ATM_Conf!$C$6-ATM_Conf!$C$7))</f>
        <v>#DIV/0!</v>
      </c>
      <c r="AY112" s="43" t="e">
        <f>BH$3*MIN(1,(ATM_Conf!$C$6-Links!AE112)/(ATM_Conf!$C$6-ATM_Conf!$C$7))</f>
        <v>#DIV/0!</v>
      </c>
      <c r="AZ112" s="43" t="e">
        <f>BI$3*MIN(1,(ATM_Conf!$C$6-Links!AG112)/(ATM_Conf!$C$6-ATM_Conf!$C$7))</f>
        <v>#DIV/0!</v>
      </c>
      <c r="BA112" s="43" t="e">
        <f>BJ$3*MIN(1,(ATM_Conf!$C$6-Links!AH112)/(ATM_Conf!$C$6-ATM_Conf!$C$7))</f>
        <v>#DIV/0!</v>
      </c>
      <c r="BB112" s="43" t="e">
        <f>BK$3*MIN(1,(ATM_Conf!$C$6-Links!AK112)/(ATM_Conf!$C$6-ATM_Conf!$C$7))</f>
        <v>#DIV/0!</v>
      </c>
      <c r="BC112" s="43" t="e">
        <f>BL$3*MIN(1,(ATM_Conf!$C$6-Links!AM112)/(ATM_Conf!$C$6-ATM_Conf!$C$7))</f>
        <v>#DIV/0!</v>
      </c>
      <c r="BD112" s="43">
        <f t="shared" si="49"/>
        <v>0</v>
      </c>
      <c r="BE112" s="43">
        <f t="shared" si="76"/>
        <v>0</v>
      </c>
      <c r="BF112" s="43">
        <f t="shared" si="76"/>
        <v>0</v>
      </c>
      <c r="BG112" s="43">
        <f t="shared" si="76"/>
        <v>0</v>
      </c>
      <c r="BH112" s="43">
        <f t="shared" si="76"/>
        <v>0</v>
      </c>
      <c r="BI112" s="43">
        <f t="shared" si="76"/>
        <v>0</v>
      </c>
      <c r="BJ112" s="43">
        <f t="shared" si="76"/>
        <v>0</v>
      </c>
      <c r="BK112" s="43">
        <f t="shared" si="76"/>
        <v>0</v>
      </c>
      <c r="BL112" s="43">
        <f t="shared" si="76"/>
        <v>0</v>
      </c>
      <c r="BM112" s="51"/>
      <c r="BN112" s="51"/>
      <c r="BO112" s="51"/>
      <c r="BP112" s="51"/>
      <c r="BQ112" s="51"/>
      <c r="BR112" s="51"/>
      <c r="BS112" s="51"/>
      <c r="BT112" s="51"/>
      <c r="BU112" s="51"/>
      <c r="BV112" s="51" t="e">
        <f t="shared" si="60"/>
        <v>#DIV/0!</v>
      </c>
      <c r="BW112" s="51" t="e">
        <f t="shared" si="61"/>
        <v>#DIV/0!</v>
      </c>
      <c r="BX112" s="51" t="e">
        <f t="shared" si="62"/>
        <v>#DIV/0!</v>
      </c>
      <c r="BY112" s="51" t="e">
        <f t="shared" si="63"/>
        <v>#DIV/0!</v>
      </c>
      <c r="BZ112" s="51" t="e">
        <f t="shared" si="64"/>
        <v>#DIV/0!</v>
      </c>
      <c r="CA112" s="51" t="e">
        <f t="shared" si="65"/>
        <v>#DIV/0!</v>
      </c>
      <c r="CB112" s="51" t="e">
        <f t="shared" si="66"/>
        <v>#DIV/0!</v>
      </c>
      <c r="CC112" s="51" t="e">
        <f t="shared" si="67"/>
        <v>#DIV/0!</v>
      </c>
      <c r="CD112" s="51" t="e">
        <f t="shared" si="68"/>
        <v>#DIV/0!</v>
      </c>
      <c r="CE112" s="53">
        <f t="shared" si="50"/>
        <v>0</v>
      </c>
      <c r="CF112" s="53">
        <f t="shared" si="77"/>
        <v>0</v>
      </c>
      <c r="CG112" s="53">
        <f t="shared" si="77"/>
        <v>0</v>
      </c>
      <c r="CH112" s="53">
        <f t="shared" si="77"/>
        <v>0</v>
      </c>
      <c r="CI112" s="53">
        <f t="shared" si="77"/>
        <v>0</v>
      </c>
      <c r="CJ112" s="53">
        <f t="shared" si="77"/>
        <v>0</v>
      </c>
      <c r="CK112" s="53">
        <f t="shared" si="77"/>
        <v>0</v>
      </c>
      <c r="CL112" s="53">
        <f t="shared" si="77"/>
        <v>0</v>
      </c>
      <c r="CM112" s="53">
        <f t="shared" si="77"/>
        <v>0</v>
      </c>
    </row>
    <row r="113" spans="1:91" x14ac:dyDescent="0.15">
      <c r="A113" s="41">
        <v>111</v>
      </c>
      <c r="B113" s="43">
        <f t="shared" ref="B113:B121" si="83">B$111</f>
        <v>1</v>
      </c>
      <c r="C113" s="43">
        <f t="shared" si="82"/>
        <v>1</v>
      </c>
      <c r="D113" s="43">
        <f t="shared" si="82"/>
        <v>1</v>
      </c>
      <c r="E113" s="43">
        <f t="shared" si="82"/>
        <v>1</v>
      </c>
      <c r="F113" s="43">
        <f t="shared" si="82"/>
        <v>1</v>
      </c>
      <c r="G113" s="43">
        <f t="shared" si="82"/>
        <v>1</v>
      </c>
      <c r="H113" s="43">
        <f t="shared" si="82"/>
        <v>1</v>
      </c>
      <c r="I113" s="43">
        <f t="shared" si="82"/>
        <v>1</v>
      </c>
      <c r="J113" s="43">
        <f t="shared" si="82"/>
        <v>1</v>
      </c>
      <c r="K113" s="43" t="e">
        <f>K112+ATM_Conf!$C$5*(T112-AC112)</f>
        <v>#DIV/0!</v>
      </c>
      <c r="L113" s="43" t="e">
        <f>L112+ATM_Conf!$C$5*(U112-AD112)</f>
        <v>#DIV/0!</v>
      </c>
      <c r="M113" s="43" t="e">
        <f>M112+ATM_Conf!$C$5*(V112-AE112)</f>
        <v>#DIV/0!</v>
      </c>
      <c r="N113" s="43" t="e">
        <f>N112+ATM_Conf!$C$5*(W112-AF112)</f>
        <v>#DIV/0!</v>
      </c>
      <c r="O113" s="43" t="e">
        <f>O112+ATM_Conf!$C$5*(X112-AG112)</f>
        <v>#DIV/0!</v>
      </c>
      <c r="P113" s="43" t="e">
        <f>P112+ATM_Conf!$C$5*(Y112-AH112)</f>
        <v>#DIV/0!</v>
      </c>
      <c r="Q113" s="43" t="e">
        <f>Q112+ATM_Conf!$C$5*(Z112-AI112)</f>
        <v>#DIV/0!</v>
      </c>
      <c r="R113" s="43" t="e">
        <f>R112+ATM_Conf!$C$5*(AA112-AJ112)</f>
        <v>#DIV/0!</v>
      </c>
      <c r="S113" s="43" t="e">
        <f>S112+ATM_Conf!$C$5*(AB112-AK112)</f>
        <v>#DIV/0!</v>
      </c>
      <c r="T113" s="43">
        <f t="shared" si="48"/>
        <v>0</v>
      </c>
      <c r="U113" s="43">
        <f t="shared" si="75"/>
        <v>0</v>
      </c>
      <c r="V113" s="43">
        <f t="shared" si="75"/>
        <v>0</v>
      </c>
      <c r="W113" s="43">
        <f t="shared" si="75"/>
        <v>0</v>
      </c>
      <c r="X113" s="43">
        <f t="shared" si="75"/>
        <v>0</v>
      </c>
      <c r="Y113" s="43">
        <f t="shared" si="75"/>
        <v>0</v>
      </c>
      <c r="Z113" s="43">
        <f t="shared" si="75"/>
        <v>0</v>
      </c>
      <c r="AA113" s="43">
        <f t="shared" si="75"/>
        <v>0</v>
      </c>
      <c r="AB113" s="43">
        <f t="shared" si="75"/>
        <v>0</v>
      </c>
      <c r="AC113" s="43" t="e">
        <f t="shared" si="51"/>
        <v>#DIV/0!</v>
      </c>
      <c r="AD113" s="43" t="e">
        <f t="shared" si="52"/>
        <v>#DIV/0!</v>
      </c>
      <c r="AE113" s="43" t="e">
        <f t="shared" si="53"/>
        <v>#DIV/0!</v>
      </c>
      <c r="AF113" s="43" t="e">
        <f t="shared" si="54"/>
        <v>#DIV/0!</v>
      </c>
      <c r="AG113" s="43" t="e">
        <f t="shared" si="55"/>
        <v>#DIV/0!</v>
      </c>
      <c r="AH113" s="43" t="e">
        <f t="shared" si="56"/>
        <v>#DIV/0!</v>
      </c>
      <c r="AI113" s="43" t="e">
        <f t="shared" si="57"/>
        <v>#DIV/0!</v>
      </c>
      <c r="AJ113" s="43" t="e">
        <f t="shared" si="58"/>
        <v>#DIV/0!</v>
      </c>
      <c r="AK113" s="43" t="e">
        <f t="shared" si="59"/>
        <v>#DIV/0!</v>
      </c>
      <c r="AL113" s="43" t="e">
        <f>T$3+K113/ATM_Conf!$C$5</f>
        <v>#DIV/0!</v>
      </c>
      <c r="AM113" s="43" t="e">
        <f>U$3+L113/ATM_Conf!$C$5</f>
        <v>#DIV/0!</v>
      </c>
      <c r="AN113" s="43" t="e">
        <f>V$3+M113/ATM_Conf!$C$5</f>
        <v>#DIV/0!</v>
      </c>
      <c r="AO113" s="43" t="e">
        <f>W$3+N113/ATM_Conf!$C$5</f>
        <v>#DIV/0!</v>
      </c>
      <c r="AP113" s="43" t="e">
        <f>X$3+O113/ATM_Conf!$C$5</f>
        <v>#DIV/0!</v>
      </c>
      <c r="AQ113" s="43" t="e">
        <f>Y$3+P113/ATM_Conf!$C$5</f>
        <v>#DIV/0!</v>
      </c>
      <c r="AR113" s="43" t="e">
        <f>Z$3+Q113/ATM_Conf!$C$5</f>
        <v>#DIV/0!</v>
      </c>
      <c r="AS113" s="43" t="e">
        <f>AA$3+R113/ATM_Conf!$C$5</f>
        <v>#DIV/0!</v>
      </c>
      <c r="AT113" s="43" t="e">
        <f>AB$3+S113/ATM_Conf!$C$5</f>
        <v>#DIV/0!</v>
      </c>
      <c r="AU113" s="43" t="e">
        <f>BD$3*MIN(1,(ATM_Conf!$C$6-Links!X113)/(ATM_Conf!$C$6-ATM_Conf!$C$7))</f>
        <v>#DIV/0!</v>
      </c>
      <c r="AV113" s="43" t="e">
        <f>BE$3*MIN(1,(ATM_Conf!$C$6-Links!Z113)/(ATM_Conf!$C$6-ATM_Conf!$C$7))</f>
        <v>#DIV/0!</v>
      </c>
      <c r="AW113" s="43" t="e">
        <f>BF$3*MIN(1,(ATM_Conf!$C$6-Links!AA113)/(ATM_Conf!$C$6-ATM_Conf!$C$7))</f>
        <v>#DIV/0!</v>
      </c>
      <c r="AX113" s="43" t="e">
        <f>BG$3*MIN(1,(ATM_Conf!$C$6-Links!AD113)/(ATM_Conf!$C$6-ATM_Conf!$C$7))</f>
        <v>#DIV/0!</v>
      </c>
      <c r="AY113" s="43" t="e">
        <f>BH$3*MIN(1,(ATM_Conf!$C$6-Links!AE113)/(ATM_Conf!$C$6-ATM_Conf!$C$7))</f>
        <v>#DIV/0!</v>
      </c>
      <c r="AZ113" s="43" t="e">
        <f>BI$3*MIN(1,(ATM_Conf!$C$6-Links!AG113)/(ATM_Conf!$C$6-ATM_Conf!$C$7))</f>
        <v>#DIV/0!</v>
      </c>
      <c r="BA113" s="43" t="e">
        <f>BJ$3*MIN(1,(ATM_Conf!$C$6-Links!AH113)/(ATM_Conf!$C$6-ATM_Conf!$C$7))</f>
        <v>#DIV/0!</v>
      </c>
      <c r="BB113" s="43" t="e">
        <f>BK$3*MIN(1,(ATM_Conf!$C$6-Links!AK113)/(ATM_Conf!$C$6-ATM_Conf!$C$7))</f>
        <v>#DIV/0!</v>
      </c>
      <c r="BC113" s="43" t="e">
        <f>BL$3*MIN(1,(ATM_Conf!$C$6-Links!AM113)/(ATM_Conf!$C$6-ATM_Conf!$C$7))</f>
        <v>#DIV/0!</v>
      </c>
      <c r="BD113" s="43">
        <f t="shared" si="49"/>
        <v>0</v>
      </c>
      <c r="BE113" s="43">
        <f t="shared" si="76"/>
        <v>0</v>
      </c>
      <c r="BF113" s="43">
        <f t="shared" si="76"/>
        <v>0</v>
      </c>
      <c r="BG113" s="43">
        <f t="shared" si="76"/>
        <v>0</v>
      </c>
      <c r="BH113" s="43">
        <f t="shared" si="76"/>
        <v>0</v>
      </c>
      <c r="BI113" s="43">
        <f t="shared" si="76"/>
        <v>0</v>
      </c>
      <c r="BJ113" s="43">
        <f t="shared" si="76"/>
        <v>0</v>
      </c>
      <c r="BK113" s="43">
        <f t="shared" si="76"/>
        <v>0</v>
      </c>
      <c r="BL113" s="43">
        <f t="shared" si="76"/>
        <v>0</v>
      </c>
      <c r="BM113" s="51"/>
      <c r="BN113" s="51"/>
      <c r="BO113" s="51"/>
      <c r="BP113" s="51"/>
      <c r="BQ113" s="51"/>
      <c r="BR113" s="51"/>
      <c r="BS113" s="51"/>
      <c r="BT113" s="51"/>
      <c r="BU113" s="51"/>
      <c r="BV113" s="51" t="e">
        <f t="shared" si="60"/>
        <v>#DIV/0!</v>
      </c>
      <c r="BW113" s="51" t="e">
        <f t="shared" si="61"/>
        <v>#DIV/0!</v>
      </c>
      <c r="BX113" s="51" t="e">
        <f t="shared" si="62"/>
        <v>#DIV/0!</v>
      </c>
      <c r="BY113" s="51" t="e">
        <f t="shared" si="63"/>
        <v>#DIV/0!</v>
      </c>
      <c r="BZ113" s="51" t="e">
        <f t="shared" si="64"/>
        <v>#DIV/0!</v>
      </c>
      <c r="CA113" s="51" t="e">
        <f t="shared" si="65"/>
        <v>#DIV/0!</v>
      </c>
      <c r="CB113" s="51" t="e">
        <f t="shared" si="66"/>
        <v>#DIV/0!</v>
      </c>
      <c r="CC113" s="51" t="e">
        <f t="shared" si="67"/>
        <v>#DIV/0!</v>
      </c>
      <c r="CD113" s="51" t="e">
        <f t="shared" si="68"/>
        <v>#DIV/0!</v>
      </c>
      <c r="CE113" s="53">
        <f t="shared" si="50"/>
        <v>0</v>
      </c>
      <c r="CF113" s="53">
        <f t="shared" si="77"/>
        <v>0</v>
      </c>
      <c r="CG113" s="53">
        <f t="shared" si="77"/>
        <v>0</v>
      </c>
      <c r="CH113" s="53">
        <f t="shared" si="77"/>
        <v>0</v>
      </c>
      <c r="CI113" s="53">
        <f t="shared" si="77"/>
        <v>0</v>
      </c>
      <c r="CJ113" s="53">
        <f t="shared" si="77"/>
        <v>0</v>
      </c>
      <c r="CK113" s="53">
        <f t="shared" si="77"/>
        <v>0</v>
      </c>
      <c r="CL113" s="53">
        <f t="shared" si="77"/>
        <v>0</v>
      </c>
      <c r="CM113" s="53">
        <f t="shared" si="77"/>
        <v>0</v>
      </c>
    </row>
    <row r="114" spans="1:91" x14ac:dyDescent="0.15">
      <c r="A114" s="41">
        <v>112</v>
      </c>
      <c r="B114" s="43">
        <f t="shared" si="83"/>
        <v>1</v>
      </c>
      <c r="C114" s="43">
        <f t="shared" si="82"/>
        <v>1</v>
      </c>
      <c r="D114" s="43">
        <f t="shared" si="82"/>
        <v>1</v>
      </c>
      <c r="E114" s="43">
        <f t="shared" si="82"/>
        <v>1</v>
      </c>
      <c r="F114" s="43">
        <f t="shared" si="82"/>
        <v>1</v>
      </c>
      <c r="G114" s="43">
        <f t="shared" si="82"/>
        <v>1</v>
      </c>
      <c r="H114" s="43">
        <f t="shared" si="82"/>
        <v>1</v>
      </c>
      <c r="I114" s="43">
        <f t="shared" si="82"/>
        <v>1</v>
      </c>
      <c r="J114" s="43">
        <f t="shared" si="82"/>
        <v>1</v>
      </c>
      <c r="K114" s="43" t="e">
        <f>K113+ATM_Conf!$C$5*(T113-AC113)</f>
        <v>#DIV/0!</v>
      </c>
      <c r="L114" s="43" t="e">
        <f>L113+ATM_Conf!$C$5*(U113-AD113)</f>
        <v>#DIV/0!</v>
      </c>
      <c r="M114" s="43" t="e">
        <f>M113+ATM_Conf!$C$5*(V113-AE113)</f>
        <v>#DIV/0!</v>
      </c>
      <c r="N114" s="43" t="e">
        <f>N113+ATM_Conf!$C$5*(W113-AF113)</f>
        <v>#DIV/0!</v>
      </c>
      <c r="O114" s="43" t="e">
        <f>O113+ATM_Conf!$C$5*(X113-AG113)</f>
        <v>#DIV/0!</v>
      </c>
      <c r="P114" s="43" t="e">
        <f>P113+ATM_Conf!$C$5*(Y113-AH113)</f>
        <v>#DIV/0!</v>
      </c>
      <c r="Q114" s="43" t="e">
        <f>Q113+ATM_Conf!$C$5*(Z113-AI113)</f>
        <v>#DIV/0!</v>
      </c>
      <c r="R114" s="43" t="e">
        <f>R113+ATM_Conf!$C$5*(AA113-AJ113)</f>
        <v>#DIV/0!</v>
      </c>
      <c r="S114" s="43" t="e">
        <f>S113+ATM_Conf!$C$5*(AB113-AK113)</f>
        <v>#DIV/0!</v>
      </c>
      <c r="T114" s="43">
        <f t="shared" si="48"/>
        <v>0</v>
      </c>
      <c r="U114" s="43">
        <f t="shared" si="75"/>
        <v>0</v>
      </c>
      <c r="V114" s="43">
        <f t="shared" si="75"/>
        <v>0</v>
      </c>
      <c r="W114" s="43">
        <f t="shared" si="75"/>
        <v>0</v>
      </c>
      <c r="X114" s="43">
        <f t="shared" si="75"/>
        <v>0</v>
      </c>
      <c r="Y114" s="43">
        <f t="shared" si="75"/>
        <v>0</v>
      </c>
      <c r="Z114" s="43">
        <f t="shared" si="75"/>
        <v>0</v>
      </c>
      <c r="AA114" s="43">
        <f t="shared" si="75"/>
        <v>0</v>
      </c>
      <c r="AB114" s="43">
        <f t="shared" si="75"/>
        <v>0</v>
      </c>
      <c r="AC114" s="43" t="e">
        <f t="shared" si="51"/>
        <v>#DIV/0!</v>
      </c>
      <c r="AD114" s="43" t="e">
        <f t="shared" si="52"/>
        <v>#DIV/0!</v>
      </c>
      <c r="AE114" s="43" t="e">
        <f t="shared" si="53"/>
        <v>#DIV/0!</v>
      </c>
      <c r="AF114" s="43" t="e">
        <f t="shared" si="54"/>
        <v>#DIV/0!</v>
      </c>
      <c r="AG114" s="43" t="e">
        <f t="shared" si="55"/>
        <v>#DIV/0!</v>
      </c>
      <c r="AH114" s="43" t="e">
        <f t="shared" si="56"/>
        <v>#DIV/0!</v>
      </c>
      <c r="AI114" s="43" t="e">
        <f t="shared" si="57"/>
        <v>#DIV/0!</v>
      </c>
      <c r="AJ114" s="43" t="e">
        <f t="shared" si="58"/>
        <v>#DIV/0!</v>
      </c>
      <c r="AK114" s="43" t="e">
        <f t="shared" si="59"/>
        <v>#DIV/0!</v>
      </c>
      <c r="AL114" s="43" t="e">
        <f>T$3+K114/ATM_Conf!$C$5</f>
        <v>#DIV/0!</v>
      </c>
      <c r="AM114" s="43" t="e">
        <f>U$3+L114/ATM_Conf!$C$5</f>
        <v>#DIV/0!</v>
      </c>
      <c r="AN114" s="43" t="e">
        <f>V$3+M114/ATM_Conf!$C$5</f>
        <v>#DIV/0!</v>
      </c>
      <c r="AO114" s="43" t="e">
        <f>W$3+N114/ATM_Conf!$C$5</f>
        <v>#DIV/0!</v>
      </c>
      <c r="AP114" s="43" t="e">
        <f>X$3+O114/ATM_Conf!$C$5</f>
        <v>#DIV/0!</v>
      </c>
      <c r="AQ114" s="43" t="e">
        <f>Y$3+P114/ATM_Conf!$C$5</f>
        <v>#DIV/0!</v>
      </c>
      <c r="AR114" s="43" t="e">
        <f>Z$3+Q114/ATM_Conf!$C$5</f>
        <v>#DIV/0!</v>
      </c>
      <c r="AS114" s="43" t="e">
        <f>AA$3+R114/ATM_Conf!$C$5</f>
        <v>#DIV/0!</v>
      </c>
      <c r="AT114" s="43" t="e">
        <f>AB$3+S114/ATM_Conf!$C$5</f>
        <v>#DIV/0!</v>
      </c>
      <c r="AU114" s="43" t="e">
        <f>BD$3*MIN(1,(ATM_Conf!$C$6-Links!X114)/(ATM_Conf!$C$6-ATM_Conf!$C$7))</f>
        <v>#DIV/0!</v>
      </c>
      <c r="AV114" s="43" t="e">
        <f>BE$3*MIN(1,(ATM_Conf!$C$6-Links!Z114)/(ATM_Conf!$C$6-ATM_Conf!$C$7))</f>
        <v>#DIV/0!</v>
      </c>
      <c r="AW114" s="43" t="e">
        <f>BF$3*MIN(1,(ATM_Conf!$C$6-Links!AA114)/(ATM_Conf!$C$6-ATM_Conf!$C$7))</f>
        <v>#DIV/0!</v>
      </c>
      <c r="AX114" s="43" t="e">
        <f>BG$3*MIN(1,(ATM_Conf!$C$6-Links!AD114)/(ATM_Conf!$C$6-ATM_Conf!$C$7))</f>
        <v>#DIV/0!</v>
      </c>
      <c r="AY114" s="43" t="e">
        <f>BH$3*MIN(1,(ATM_Conf!$C$6-Links!AE114)/(ATM_Conf!$C$6-ATM_Conf!$C$7))</f>
        <v>#DIV/0!</v>
      </c>
      <c r="AZ114" s="43" t="e">
        <f>BI$3*MIN(1,(ATM_Conf!$C$6-Links!AG114)/(ATM_Conf!$C$6-ATM_Conf!$C$7))</f>
        <v>#DIV/0!</v>
      </c>
      <c r="BA114" s="43" t="e">
        <f>BJ$3*MIN(1,(ATM_Conf!$C$6-Links!AH114)/(ATM_Conf!$C$6-ATM_Conf!$C$7))</f>
        <v>#DIV/0!</v>
      </c>
      <c r="BB114" s="43" t="e">
        <f>BK$3*MIN(1,(ATM_Conf!$C$6-Links!AK114)/(ATM_Conf!$C$6-ATM_Conf!$C$7))</f>
        <v>#DIV/0!</v>
      </c>
      <c r="BC114" s="43" t="e">
        <f>BL$3*MIN(1,(ATM_Conf!$C$6-Links!AM114)/(ATM_Conf!$C$6-ATM_Conf!$C$7))</f>
        <v>#DIV/0!</v>
      </c>
      <c r="BD114" s="43">
        <f t="shared" si="49"/>
        <v>0</v>
      </c>
      <c r="BE114" s="43">
        <f t="shared" si="76"/>
        <v>0</v>
      </c>
      <c r="BF114" s="43">
        <f t="shared" si="76"/>
        <v>0</v>
      </c>
      <c r="BG114" s="43">
        <f t="shared" si="76"/>
        <v>0</v>
      </c>
      <c r="BH114" s="43">
        <f t="shared" si="76"/>
        <v>0</v>
      </c>
      <c r="BI114" s="43">
        <f t="shared" si="76"/>
        <v>0</v>
      </c>
      <c r="BJ114" s="43">
        <f t="shared" si="76"/>
        <v>0</v>
      </c>
      <c r="BK114" s="43">
        <f t="shared" si="76"/>
        <v>0</v>
      </c>
      <c r="BL114" s="43">
        <f t="shared" si="76"/>
        <v>0</v>
      </c>
      <c r="BM114" s="51"/>
      <c r="BN114" s="51"/>
      <c r="BO114" s="51"/>
      <c r="BP114" s="51"/>
      <c r="BQ114" s="51"/>
      <c r="BR114" s="51"/>
      <c r="BS114" s="51"/>
      <c r="BT114" s="51"/>
      <c r="BU114" s="51"/>
      <c r="BV114" s="51" t="e">
        <f t="shared" si="60"/>
        <v>#DIV/0!</v>
      </c>
      <c r="BW114" s="51" t="e">
        <f t="shared" si="61"/>
        <v>#DIV/0!</v>
      </c>
      <c r="BX114" s="51" t="e">
        <f t="shared" si="62"/>
        <v>#DIV/0!</v>
      </c>
      <c r="BY114" s="51" t="e">
        <f t="shared" si="63"/>
        <v>#DIV/0!</v>
      </c>
      <c r="BZ114" s="51" t="e">
        <f t="shared" si="64"/>
        <v>#DIV/0!</v>
      </c>
      <c r="CA114" s="51" t="e">
        <f t="shared" si="65"/>
        <v>#DIV/0!</v>
      </c>
      <c r="CB114" s="51" t="e">
        <f t="shared" si="66"/>
        <v>#DIV/0!</v>
      </c>
      <c r="CC114" s="51" t="e">
        <f t="shared" si="67"/>
        <v>#DIV/0!</v>
      </c>
      <c r="CD114" s="51" t="e">
        <f t="shared" si="68"/>
        <v>#DIV/0!</v>
      </c>
      <c r="CE114" s="53">
        <f t="shared" si="50"/>
        <v>0</v>
      </c>
      <c r="CF114" s="53">
        <f t="shared" si="77"/>
        <v>0</v>
      </c>
      <c r="CG114" s="53">
        <f t="shared" si="77"/>
        <v>0</v>
      </c>
      <c r="CH114" s="53">
        <f t="shared" si="77"/>
        <v>0</v>
      </c>
      <c r="CI114" s="53">
        <f t="shared" si="77"/>
        <v>0</v>
      </c>
      <c r="CJ114" s="53">
        <f t="shared" si="77"/>
        <v>0</v>
      </c>
      <c r="CK114" s="53">
        <f t="shared" si="77"/>
        <v>0</v>
      </c>
      <c r="CL114" s="53">
        <f t="shared" si="77"/>
        <v>0</v>
      </c>
      <c r="CM114" s="53">
        <f t="shared" si="77"/>
        <v>0</v>
      </c>
    </row>
    <row r="115" spans="1:91" x14ac:dyDescent="0.15">
      <c r="A115" s="41">
        <v>113</v>
      </c>
      <c r="B115" s="43">
        <f t="shared" si="83"/>
        <v>1</v>
      </c>
      <c r="C115" s="43">
        <f t="shared" si="82"/>
        <v>1</v>
      </c>
      <c r="D115" s="43">
        <f t="shared" si="82"/>
        <v>1</v>
      </c>
      <c r="E115" s="43">
        <f t="shared" si="82"/>
        <v>1</v>
      </c>
      <c r="F115" s="43">
        <f t="shared" si="82"/>
        <v>1</v>
      </c>
      <c r="G115" s="43">
        <f t="shared" si="82"/>
        <v>1</v>
      </c>
      <c r="H115" s="43">
        <f t="shared" si="82"/>
        <v>1</v>
      </c>
      <c r="I115" s="43">
        <f t="shared" si="82"/>
        <v>1</v>
      </c>
      <c r="J115" s="43">
        <f t="shared" si="82"/>
        <v>1</v>
      </c>
      <c r="K115" s="43" t="e">
        <f>K114+ATM_Conf!$C$5*(T114-AC114)</f>
        <v>#DIV/0!</v>
      </c>
      <c r="L115" s="43" t="e">
        <f>L114+ATM_Conf!$C$5*(U114-AD114)</f>
        <v>#DIV/0!</v>
      </c>
      <c r="M115" s="43" t="e">
        <f>M114+ATM_Conf!$C$5*(V114-AE114)</f>
        <v>#DIV/0!</v>
      </c>
      <c r="N115" s="43" t="e">
        <f>N114+ATM_Conf!$C$5*(W114-AF114)</f>
        <v>#DIV/0!</v>
      </c>
      <c r="O115" s="43" t="e">
        <f>O114+ATM_Conf!$C$5*(X114-AG114)</f>
        <v>#DIV/0!</v>
      </c>
      <c r="P115" s="43" t="e">
        <f>P114+ATM_Conf!$C$5*(Y114-AH114)</f>
        <v>#DIV/0!</v>
      </c>
      <c r="Q115" s="43" t="e">
        <f>Q114+ATM_Conf!$C$5*(Z114-AI114)</f>
        <v>#DIV/0!</v>
      </c>
      <c r="R115" s="43" t="e">
        <f>R114+ATM_Conf!$C$5*(AA114-AJ114)</f>
        <v>#DIV/0!</v>
      </c>
      <c r="S115" s="43" t="e">
        <f>S114+ATM_Conf!$C$5*(AB114-AK114)</f>
        <v>#DIV/0!</v>
      </c>
      <c r="T115" s="43">
        <f t="shared" si="48"/>
        <v>0</v>
      </c>
      <c r="U115" s="43">
        <f t="shared" si="75"/>
        <v>0</v>
      </c>
      <c r="V115" s="43">
        <f t="shared" si="75"/>
        <v>0</v>
      </c>
      <c r="W115" s="43">
        <f t="shared" si="75"/>
        <v>0</v>
      </c>
      <c r="X115" s="43">
        <f t="shared" si="75"/>
        <v>0</v>
      </c>
      <c r="Y115" s="43">
        <f t="shared" si="75"/>
        <v>0</v>
      </c>
      <c r="Z115" s="43">
        <f t="shared" si="75"/>
        <v>0</v>
      </c>
      <c r="AA115" s="43">
        <f t="shared" si="75"/>
        <v>0</v>
      </c>
      <c r="AB115" s="43">
        <f t="shared" si="75"/>
        <v>0</v>
      </c>
      <c r="AC115" s="43" t="e">
        <f t="shared" si="51"/>
        <v>#DIV/0!</v>
      </c>
      <c r="AD115" s="43" t="e">
        <f t="shared" si="52"/>
        <v>#DIV/0!</v>
      </c>
      <c r="AE115" s="43" t="e">
        <f t="shared" si="53"/>
        <v>#DIV/0!</v>
      </c>
      <c r="AF115" s="43" t="e">
        <f t="shared" si="54"/>
        <v>#DIV/0!</v>
      </c>
      <c r="AG115" s="43" t="e">
        <f t="shared" si="55"/>
        <v>#DIV/0!</v>
      </c>
      <c r="AH115" s="43" t="e">
        <f t="shared" si="56"/>
        <v>#DIV/0!</v>
      </c>
      <c r="AI115" s="43" t="e">
        <f t="shared" si="57"/>
        <v>#DIV/0!</v>
      </c>
      <c r="AJ115" s="43" t="e">
        <f t="shared" si="58"/>
        <v>#DIV/0!</v>
      </c>
      <c r="AK115" s="43" t="e">
        <f t="shared" si="59"/>
        <v>#DIV/0!</v>
      </c>
      <c r="AL115" s="43" t="e">
        <f>T$3+K115/ATM_Conf!$C$5</f>
        <v>#DIV/0!</v>
      </c>
      <c r="AM115" s="43" t="e">
        <f>U$3+L115/ATM_Conf!$C$5</f>
        <v>#DIV/0!</v>
      </c>
      <c r="AN115" s="43" t="e">
        <f>V$3+M115/ATM_Conf!$C$5</f>
        <v>#DIV/0!</v>
      </c>
      <c r="AO115" s="43" t="e">
        <f>W$3+N115/ATM_Conf!$C$5</f>
        <v>#DIV/0!</v>
      </c>
      <c r="AP115" s="43" t="e">
        <f>X$3+O115/ATM_Conf!$C$5</f>
        <v>#DIV/0!</v>
      </c>
      <c r="AQ115" s="43" t="e">
        <f>Y$3+P115/ATM_Conf!$C$5</f>
        <v>#DIV/0!</v>
      </c>
      <c r="AR115" s="43" t="e">
        <f>Z$3+Q115/ATM_Conf!$C$5</f>
        <v>#DIV/0!</v>
      </c>
      <c r="AS115" s="43" t="e">
        <f>AA$3+R115/ATM_Conf!$C$5</f>
        <v>#DIV/0!</v>
      </c>
      <c r="AT115" s="43" t="e">
        <f>AB$3+S115/ATM_Conf!$C$5</f>
        <v>#DIV/0!</v>
      </c>
      <c r="AU115" s="43" t="e">
        <f>BD$3*MIN(1,(ATM_Conf!$C$6-Links!X115)/(ATM_Conf!$C$6-ATM_Conf!$C$7))</f>
        <v>#DIV/0!</v>
      </c>
      <c r="AV115" s="43" t="e">
        <f>BE$3*MIN(1,(ATM_Conf!$C$6-Links!Z115)/(ATM_Conf!$C$6-ATM_Conf!$C$7))</f>
        <v>#DIV/0!</v>
      </c>
      <c r="AW115" s="43" t="e">
        <f>BF$3*MIN(1,(ATM_Conf!$C$6-Links!AA115)/(ATM_Conf!$C$6-ATM_Conf!$C$7))</f>
        <v>#DIV/0!</v>
      </c>
      <c r="AX115" s="43" t="e">
        <f>BG$3*MIN(1,(ATM_Conf!$C$6-Links!AD115)/(ATM_Conf!$C$6-ATM_Conf!$C$7))</f>
        <v>#DIV/0!</v>
      </c>
      <c r="AY115" s="43" t="e">
        <f>BH$3*MIN(1,(ATM_Conf!$C$6-Links!AE115)/(ATM_Conf!$C$6-ATM_Conf!$C$7))</f>
        <v>#DIV/0!</v>
      </c>
      <c r="AZ115" s="43" t="e">
        <f>BI$3*MIN(1,(ATM_Conf!$C$6-Links!AG115)/(ATM_Conf!$C$6-ATM_Conf!$C$7))</f>
        <v>#DIV/0!</v>
      </c>
      <c r="BA115" s="43" t="e">
        <f>BJ$3*MIN(1,(ATM_Conf!$C$6-Links!AH115)/(ATM_Conf!$C$6-ATM_Conf!$C$7))</f>
        <v>#DIV/0!</v>
      </c>
      <c r="BB115" s="43" t="e">
        <f>BK$3*MIN(1,(ATM_Conf!$C$6-Links!AK115)/(ATM_Conf!$C$6-ATM_Conf!$C$7))</f>
        <v>#DIV/0!</v>
      </c>
      <c r="BC115" s="43" t="e">
        <f>BL$3*MIN(1,(ATM_Conf!$C$6-Links!AM115)/(ATM_Conf!$C$6-ATM_Conf!$C$7))</f>
        <v>#DIV/0!</v>
      </c>
      <c r="BD115" s="43">
        <f t="shared" si="49"/>
        <v>0</v>
      </c>
      <c r="BE115" s="43">
        <f t="shared" si="76"/>
        <v>0</v>
      </c>
      <c r="BF115" s="43">
        <f t="shared" si="76"/>
        <v>0</v>
      </c>
      <c r="BG115" s="43">
        <f t="shared" si="76"/>
        <v>0</v>
      </c>
      <c r="BH115" s="43">
        <f t="shared" si="76"/>
        <v>0</v>
      </c>
      <c r="BI115" s="43">
        <f t="shared" si="76"/>
        <v>0</v>
      </c>
      <c r="BJ115" s="43">
        <f t="shared" si="76"/>
        <v>0</v>
      </c>
      <c r="BK115" s="43">
        <f t="shared" si="76"/>
        <v>0</v>
      </c>
      <c r="BL115" s="43">
        <f t="shared" si="76"/>
        <v>0</v>
      </c>
      <c r="BM115" s="51"/>
      <c r="BN115" s="51"/>
      <c r="BO115" s="51"/>
      <c r="BP115" s="51"/>
      <c r="BQ115" s="51"/>
      <c r="BR115" s="51"/>
      <c r="BS115" s="51"/>
      <c r="BT115" s="51"/>
      <c r="BU115" s="51"/>
      <c r="BV115" s="51" t="e">
        <f t="shared" si="60"/>
        <v>#DIV/0!</v>
      </c>
      <c r="BW115" s="51" t="e">
        <f t="shared" si="61"/>
        <v>#DIV/0!</v>
      </c>
      <c r="BX115" s="51" t="e">
        <f t="shared" si="62"/>
        <v>#DIV/0!</v>
      </c>
      <c r="BY115" s="51" t="e">
        <f t="shared" si="63"/>
        <v>#DIV/0!</v>
      </c>
      <c r="BZ115" s="51" t="e">
        <f t="shared" si="64"/>
        <v>#DIV/0!</v>
      </c>
      <c r="CA115" s="51" t="e">
        <f t="shared" si="65"/>
        <v>#DIV/0!</v>
      </c>
      <c r="CB115" s="51" t="e">
        <f t="shared" si="66"/>
        <v>#DIV/0!</v>
      </c>
      <c r="CC115" s="51" t="e">
        <f t="shared" si="67"/>
        <v>#DIV/0!</v>
      </c>
      <c r="CD115" s="51" t="e">
        <f t="shared" si="68"/>
        <v>#DIV/0!</v>
      </c>
      <c r="CE115" s="53">
        <f t="shared" si="50"/>
        <v>0</v>
      </c>
      <c r="CF115" s="53">
        <f t="shared" si="77"/>
        <v>0</v>
      </c>
      <c r="CG115" s="53">
        <f t="shared" si="77"/>
        <v>0</v>
      </c>
      <c r="CH115" s="53">
        <f t="shared" si="77"/>
        <v>0</v>
      </c>
      <c r="CI115" s="53">
        <f t="shared" si="77"/>
        <v>0</v>
      </c>
      <c r="CJ115" s="53">
        <f t="shared" si="77"/>
        <v>0</v>
      </c>
      <c r="CK115" s="53">
        <f t="shared" si="77"/>
        <v>0</v>
      </c>
      <c r="CL115" s="53">
        <f t="shared" si="77"/>
        <v>0</v>
      </c>
      <c r="CM115" s="53">
        <f t="shared" si="77"/>
        <v>0</v>
      </c>
    </row>
    <row r="116" spans="1:91" x14ac:dyDescent="0.15">
      <c r="A116" s="41">
        <v>114</v>
      </c>
      <c r="B116" s="43">
        <f t="shared" si="83"/>
        <v>1</v>
      </c>
      <c r="C116" s="43">
        <f t="shared" si="82"/>
        <v>1</v>
      </c>
      <c r="D116" s="43">
        <f t="shared" si="82"/>
        <v>1</v>
      </c>
      <c r="E116" s="43">
        <f t="shared" si="82"/>
        <v>1</v>
      </c>
      <c r="F116" s="43">
        <f t="shared" si="82"/>
        <v>1</v>
      </c>
      <c r="G116" s="43">
        <f t="shared" si="82"/>
        <v>1</v>
      </c>
      <c r="H116" s="43">
        <f t="shared" si="82"/>
        <v>1</v>
      </c>
      <c r="I116" s="43">
        <f t="shared" si="82"/>
        <v>1</v>
      </c>
      <c r="J116" s="43">
        <f t="shared" si="82"/>
        <v>1</v>
      </c>
      <c r="K116" s="43" t="e">
        <f>K115+ATM_Conf!$C$5*(T115-AC115)</f>
        <v>#DIV/0!</v>
      </c>
      <c r="L116" s="43" t="e">
        <f>L115+ATM_Conf!$C$5*(U115-AD115)</f>
        <v>#DIV/0!</v>
      </c>
      <c r="M116" s="43" t="e">
        <f>M115+ATM_Conf!$C$5*(V115-AE115)</f>
        <v>#DIV/0!</v>
      </c>
      <c r="N116" s="43" t="e">
        <f>N115+ATM_Conf!$C$5*(W115-AF115)</f>
        <v>#DIV/0!</v>
      </c>
      <c r="O116" s="43" t="e">
        <f>O115+ATM_Conf!$C$5*(X115-AG115)</f>
        <v>#DIV/0!</v>
      </c>
      <c r="P116" s="43" t="e">
        <f>P115+ATM_Conf!$C$5*(Y115-AH115)</f>
        <v>#DIV/0!</v>
      </c>
      <c r="Q116" s="43" t="e">
        <f>Q115+ATM_Conf!$C$5*(Z115-AI115)</f>
        <v>#DIV/0!</v>
      </c>
      <c r="R116" s="43" t="e">
        <f>R115+ATM_Conf!$C$5*(AA115-AJ115)</f>
        <v>#DIV/0!</v>
      </c>
      <c r="S116" s="43" t="e">
        <f>S115+ATM_Conf!$C$5*(AB115-AK115)</f>
        <v>#DIV/0!</v>
      </c>
      <c r="T116" s="43">
        <f t="shared" si="48"/>
        <v>0</v>
      </c>
      <c r="U116" s="43">
        <f t="shared" si="75"/>
        <v>0</v>
      </c>
      <c r="V116" s="43">
        <f t="shared" si="75"/>
        <v>0</v>
      </c>
      <c r="W116" s="43">
        <f t="shared" si="75"/>
        <v>0</v>
      </c>
      <c r="X116" s="43">
        <f t="shared" si="75"/>
        <v>0</v>
      </c>
      <c r="Y116" s="43">
        <f t="shared" si="75"/>
        <v>0</v>
      </c>
      <c r="Z116" s="43">
        <f t="shared" si="75"/>
        <v>0</v>
      </c>
      <c r="AA116" s="43">
        <f t="shared" si="75"/>
        <v>0</v>
      </c>
      <c r="AB116" s="43">
        <f t="shared" si="75"/>
        <v>0</v>
      </c>
      <c r="AC116" s="43" t="e">
        <f t="shared" si="51"/>
        <v>#DIV/0!</v>
      </c>
      <c r="AD116" s="43" t="e">
        <f t="shared" si="52"/>
        <v>#DIV/0!</v>
      </c>
      <c r="AE116" s="43" t="e">
        <f t="shared" si="53"/>
        <v>#DIV/0!</v>
      </c>
      <c r="AF116" s="43" t="e">
        <f t="shared" si="54"/>
        <v>#DIV/0!</v>
      </c>
      <c r="AG116" s="43" t="e">
        <f t="shared" si="55"/>
        <v>#DIV/0!</v>
      </c>
      <c r="AH116" s="43" t="e">
        <f t="shared" si="56"/>
        <v>#DIV/0!</v>
      </c>
      <c r="AI116" s="43" t="e">
        <f t="shared" si="57"/>
        <v>#DIV/0!</v>
      </c>
      <c r="AJ116" s="43" t="e">
        <f t="shared" si="58"/>
        <v>#DIV/0!</v>
      </c>
      <c r="AK116" s="43" t="e">
        <f t="shared" si="59"/>
        <v>#DIV/0!</v>
      </c>
      <c r="AL116" s="43" t="e">
        <f>T$3+K116/ATM_Conf!$C$5</f>
        <v>#DIV/0!</v>
      </c>
      <c r="AM116" s="43" t="e">
        <f>U$3+L116/ATM_Conf!$C$5</f>
        <v>#DIV/0!</v>
      </c>
      <c r="AN116" s="43" t="e">
        <f>V$3+M116/ATM_Conf!$C$5</f>
        <v>#DIV/0!</v>
      </c>
      <c r="AO116" s="43" t="e">
        <f>W$3+N116/ATM_Conf!$C$5</f>
        <v>#DIV/0!</v>
      </c>
      <c r="AP116" s="43" t="e">
        <f>X$3+O116/ATM_Conf!$C$5</f>
        <v>#DIV/0!</v>
      </c>
      <c r="AQ116" s="43" t="e">
        <f>Y$3+P116/ATM_Conf!$C$5</f>
        <v>#DIV/0!</v>
      </c>
      <c r="AR116" s="43" t="e">
        <f>Z$3+Q116/ATM_Conf!$C$5</f>
        <v>#DIV/0!</v>
      </c>
      <c r="AS116" s="43" t="e">
        <f>AA$3+R116/ATM_Conf!$C$5</f>
        <v>#DIV/0!</v>
      </c>
      <c r="AT116" s="43" t="e">
        <f>AB$3+S116/ATM_Conf!$C$5</f>
        <v>#DIV/0!</v>
      </c>
      <c r="AU116" s="43" t="e">
        <f>BD$3*MIN(1,(ATM_Conf!$C$6-Links!X116)/(ATM_Conf!$C$6-ATM_Conf!$C$7))</f>
        <v>#DIV/0!</v>
      </c>
      <c r="AV116" s="43" t="e">
        <f>BE$3*MIN(1,(ATM_Conf!$C$6-Links!Z116)/(ATM_Conf!$C$6-ATM_Conf!$C$7))</f>
        <v>#DIV/0!</v>
      </c>
      <c r="AW116" s="43" t="e">
        <f>BF$3*MIN(1,(ATM_Conf!$C$6-Links!AA116)/(ATM_Conf!$C$6-ATM_Conf!$C$7))</f>
        <v>#DIV/0!</v>
      </c>
      <c r="AX116" s="43" t="e">
        <f>BG$3*MIN(1,(ATM_Conf!$C$6-Links!AD116)/(ATM_Conf!$C$6-ATM_Conf!$C$7))</f>
        <v>#DIV/0!</v>
      </c>
      <c r="AY116" s="43" t="e">
        <f>BH$3*MIN(1,(ATM_Conf!$C$6-Links!AE116)/(ATM_Conf!$C$6-ATM_Conf!$C$7))</f>
        <v>#DIV/0!</v>
      </c>
      <c r="AZ116" s="43" t="e">
        <f>BI$3*MIN(1,(ATM_Conf!$C$6-Links!AG116)/(ATM_Conf!$C$6-ATM_Conf!$C$7))</f>
        <v>#DIV/0!</v>
      </c>
      <c r="BA116" s="43" t="e">
        <f>BJ$3*MIN(1,(ATM_Conf!$C$6-Links!AH116)/(ATM_Conf!$C$6-ATM_Conf!$C$7))</f>
        <v>#DIV/0!</v>
      </c>
      <c r="BB116" s="43" t="e">
        <f>BK$3*MIN(1,(ATM_Conf!$C$6-Links!AK116)/(ATM_Conf!$C$6-ATM_Conf!$C$7))</f>
        <v>#DIV/0!</v>
      </c>
      <c r="BC116" s="43" t="e">
        <f>BL$3*MIN(1,(ATM_Conf!$C$6-Links!AM116)/(ATM_Conf!$C$6-ATM_Conf!$C$7))</f>
        <v>#DIV/0!</v>
      </c>
      <c r="BD116" s="43">
        <f t="shared" si="49"/>
        <v>0</v>
      </c>
      <c r="BE116" s="43">
        <f t="shared" si="76"/>
        <v>0</v>
      </c>
      <c r="BF116" s="43">
        <f t="shared" si="76"/>
        <v>0</v>
      </c>
      <c r="BG116" s="43">
        <f t="shared" si="76"/>
        <v>0</v>
      </c>
      <c r="BH116" s="43">
        <f t="shared" si="76"/>
        <v>0</v>
      </c>
      <c r="BI116" s="43">
        <f t="shared" si="76"/>
        <v>0</v>
      </c>
      <c r="BJ116" s="43">
        <f t="shared" si="76"/>
        <v>0</v>
      </c>
      <c r="BK116" s="43">
        <f t="shared" si="76"/>
        <v>0</v>
      </c>
      <c r="BL116" s="43">
        <f t="shared" si="76"/>
        <v>0</v>
      </c>
      <c r="BM116" s="51"/>
      <c r="BN116" s="51"/>
      <c r="BO116" s="51"/>
      <c r="BP116" s="51"/>
      <c r="BQ116" s="51"/>
      <c r="BR116" s="51"/>
      <c r="BS116" s="51"/>
      <c r="BT116" s="51"/>
      <c r="BU116" s="51"/>
      <c r="BV116" s="51" t="e">
        <f t="shared" si="60"/>
        <v>#DIV/0!</v>
      </c>
      <c r="BW116" s="51" t="e">
        <f t="shared" si="61"/>
        <v>#DIV/0!</v>
      </c>
      <c r="BX116" s="51" t="e">
        <f t="shared" si="62"/>
        <v>#DIV/0!</v>
      </c>
      <c r="BY116" s="51" t="e">
        <f t="shared" si="63"/>
        <v>#DIV/0!</v>
      </c>
      <c r="BZ116" s="51" t="e">
        <f t="shared" si="64"/>
        <v>#DIV/0!</v>
      </c>
      <c r="CA116" s="51" t="e">
        <f t="shared" si="65"/>
        <v>#DIV/0!</v>
      </c>
      <c r="CB116" s="51" t="e">
        <f t="shared" si="66"/>
        <v>#DIV/0!</v>
      </c>
      <c r="CC116" s="51" t="e">
        <f t="shared" si="67"/>
        <v>#DIV/0!</v>
      </c>
      <c r="CD116" s="51" t="e">
        <f t="shared" si="68"/>
        <v>#DIV/0!</v>
      </c>
      <c r="CE116" s="53">
        <f t="shared" si="50"/>
        <v>0</v>
      </c>
      <c r="CF116" s="53">
        <f t="shared" si="77"/>
        <v>0</v>
      </c>
      <c r="CG116" s="53">
        <f t="shared" si="77"/>
        <v>0</v>
      </c>
      <c r="CH116" s="53">
        <f t="shared" si="77"/>
        <v>0</v>
      </c>
      <c r="CI116" s="53">
        <f t="shared" si="77"/>
        <v>0</v>
      </c>
      <c r="CJ116" s="53">
        <f t="shared" si="77"/>
        <v>0</v>
      </c>
      <c r="CK116" s="53">
        <f t="shared" si="77"/>
        <v>0</v>
      </c>
      <c r="CL116" s="53">
        <f t="shared" si="77"/>
        <v>0</v>
      </c>
      <c r="CM116" s="53">
        <f t="shared" si="77"/>
        <v>0</v>
      </c>
    </row>
    <row r="117" spans="1:91" x14ac:dyDescent="0.15">
      <c r="A117" s="41">
        <v>115</v>
      </c>
      <c r="B117" s="43">
        <f t="shared" si="83"/>
        <v>1</v>
      </c>
      <c r="C117" s="43">
        <f t="shared" si="82"/>
        <v>1</v>
      </c>
      <c r="D117" s="43">
        <f t="shared" si="82"/>
        <v>1</v>
      </c>
      <c r="E117" s="43">
        <f t="shared" si="82"/>
        <v>1</v>
      </c>
      <c r="F117" s="43">
        <f t="shared" si="82"/>
        <v>1</v>
      </c>
      <c r="G117" s="43">
        <f t="shared" si="82"/>
        <v>1</v>
      </c>
      <c r="H117" s="43">
        <f t="shared" si="82"/>
        <v>1</v>
      </c>
      <c r="I117" s="43">
        <f t="shared" si="82"/>
        <v>1</v>
      </c>
      <c r="J117" s="43">
        <f t="shared" si="82"/>
        <v>1</v>
      </c>
      <c r="K117" s="43" t="e">
        <f>K116+ATM_Conf!$C$5*(T116-AC116)</f>
        <v>#DIV/0!</v>
      </c>
      <c r="L117" s="43" t="e">
        <f>L116+ATM_Conf!$C$5*(U116-AD116)</f>
        <v>#DIV/0!</v>
      </c>
      <c r="M117" s="43" t="e">
        <f>M116+ATM_Conf!$C$5*(V116-AE116)</f>
        <v>#DIV/0!</v>
      </c>
      <c r="N117" s="43" t="e">
        <f>N116+ATM_Conf!$C$5*(W116-AF116)</f>
        <v>#DIV/0!</v>
      </c>
      <c r="O117" s="43" t="e">
        <f>O116+ATM_Conf!$C$5*(X116-AG116)</f>
        <v>#DIV/0!</v>
      </c>
      <c r="P117" s="43" t="e">
        <f>P116+ATM_Conf!$C$5*(Y116-AH116)</f>
        <v>#DIV/0!</v>
      </c>
      <c r="Q117" s="43" t="e">
        <f>Q116+ATM_Conf!$C$5*(Z116-AI116)</f>
        <v>#DIV/0!</v>
      </c>
      <c r="R117" s="43" t="e">
        <f>R116+ATM_Conf!$C$5*(AA116-AJ116)</f>
        <v>#DIV/0!</v>
      </c>
      <c r="S117" s="43" t="e">
        <f>S116+ATM_Conf!$C$5*(AB116-AK116)</f>
        <v>#DIV/0!</v>
      </c>
      <c r="T117" s="43">
        <f t="shared" si="48"/>
        <v>0</v>
      </c>
      <c r="U117" s="43">
        <f t="shared" si="75"/>
        <v>0</v>
      </c>
      <c r="V117" s="43">
        <f t="shared" si="75"/>
        <v>0</v>
      </c>
      <c r="W117" s="43">
        <f t="shared" si="75"/>
        <v>0</v>
      </c>
      <c r="X117" s="43">
        <f t="shared" si="75"/>
        <v>0</v>
      </c>
      <c r="Y117" s="43">
        <f t="shared" si="75"/>
        <v>0</v>
      </c>
      <c r="Z117" s="43">
        <f t="shared" si="75"/>
        <v>0</v>
      </c>
      <c r="AA117" s="43">
        <f t="shared" si="75"/>
        <v>0</v>
      </c>
      <c r="AB117" s="43">
        <f t="shared" si="75"/>
        <v>0</v>
      </c>
      <c r="AC117" s="43" t="e">
        <f t="shared" si="51"/>
        <v>#DIV/0!</v>
      </c>
      <c r="AD117" s="43" t="e">
        <f t="shared" si="52"/>
        <v>#DIV/0!</v>
      </c>
      <c r="AE117" s="43" t="e">
        <f t="shared" si="53"/>
        <v>#DIV/0!</v>
      </c>
      <c r="AF117" s="43" t="e">
        <f t="shared" si="54"/>
        <v>#DIV/0!</v>
      </c>
      <c r="AG117" s="43" t="e">
        <f t="shared" si="55"/>
        <v>#DIV/0!</v>
      </c>
      <c r="AH117" s="43" t="e">
        <f t="shared" si="56"/>
        <v>#DIV/0!</v>
      </c>
      <c r="AI117" s="43" t="e">
        <f t="shared" si="57"/>
        <v>#DIV/0!</v>
      </c>
      <c r="AJ117" s="43" t="e">
        <f t="shared" si="58"/>
        <v>#DIV/0!</v>
      </c>
      <c r="AK117" s="43" t="e">
        <f t="shared" si="59"/>
        <v>#DIV/0!</v>
      </c>
      <c r="AL117" s="43" t="e">
        <f>T$3+K117/ATM_Conf!$C$5</f>
        <v>#DIV/0!</v>
      </c>
      <c r="AM117" s="43" t="e">
        <f>U$3+L117/ATM_Conf!$C$5</f>
        <v>#DIV/0!</v>
      </c>
      <c r="AN117" s="43" t="e">
        <f>V$3+M117/ATM_Conf!$C$5</f>
        <v>#DIV/0!</v>
      </c>
      <c r="AO117" s="43" t="e">
        <f>W$3+N117/ATM_Conf!$C$5</f>
        <v>#DIV/0!</v>
      </c>
      <c r="AP117" s="43" t="e">
        <f>X$3+O117/ATM_Conf!$C$5</f>
        <v>#DIV/0!</v>
      </c>
      <c r="AQ117" s="43" t="e">
        <f>Y$3+P117/ATM_Conf!$C$5</f>
        <v>#DIV/0!</v>
      </c>
      <c r="AR117" s="43" t="e">
        <f>Z$3+Q117/ATM_Conf!$C$5</f>
        <v>#DIV/0!</v>
      </c>
      <c r="AS117" s="43" t="e">
        <f>AA$3+R117/ATM_Conf!$C$5</f>
        <v>#DIV/0!</v>
      </c>
      <c r="AT117" s="43" t="e">
        <f>AB$3+S117/ATM_Conf!$C$5</f>
        <v>#DIV/0!</v>
      </c>
      <c r="AU117" s="43" t="e">
        <f>BD$3*MIN(1,(ATM_Conf!$C$6-Links!X117)/(ATM_Conf!$C$6-ATM_Conf!$C$7))</f>
        <v>#DIV/0!</v>
      </c>
      <c r="AV117" s="43" t="e">
        <f>BE$3*MIN(1,(ATM_Conf!$C$6-Links!Z117)/(ATM_Conf!$C$6-ATM_Conf!$C$7))</f>
        <v>#DIV/0!</v>
      </c>
      <c r="AW117" s="43" t="e">
        <f>BF$3*MIN(1,(ATM_Conf!$C$6-Links!AA117)/(ATM_Conf!$C$6-ATM_Conf!$C$7))</f>
        <v>#DIV/0!</v>
      </c>
      <c r="AX117" s="43" t="e">
        <f>BG$3*MIN(1,(ATM_Conf!$C$6-Links!AD117)/(ATM_Conf!$C$6-ATM_Conf!$C$7))</f>
        <v>#DIV/0!</v>
      </c>
      <c r="AY117" s="43" t="e">
        <f>BH$3*MIN(1,(ATM_Conf!$C$6-Links!AE117)/(ATM_Conf!$C$6-ATM_Conf!$C$7))</f>
        <v>#DIV/0!</v>
      </c>
      <c r="AZ117" s="43" t="e">
        <f>BI$3*MIN(1,(ATM_Conf!$C$6-Links!AG117)/(ATM_Conf!$C$6-ATM_Conf!$C$7))</f>
        <v>#DIV/0!</v>
      </c>
      <c r="BA117" s="43" t="e">
        <f>BJ$3*MIN(1,(ATM_Conf!$C$6-Links!AH117)/(ATM_Conf!$C$6-ATM_Conf!$C$7))</f>
        <v>#DIV/0!</v>
      </c>
      <c r="BB117" s="43" t="e">
        <f>BK$3*MIN(1,(ATM_Conf!$C$6-Links!AK117)/(ATM_Conf!$C$6-ATM_Conf!$C$7))</f>
        <v>#DIV/0!</v>
      </c>
      <c r="BC117" s="43" t="e">
        <f>BL$3*MIN(1,(ATM_Conf!$C$6-Links!AM117)/(ATM_Conf!$C$6-ATM_Conf!$C$7))</f>
        <v>#DIV/0!</v>
      </c>
      <c r="BD117" s="43">
        <f t="shared" si="49"/>
        <v>0</v>
      </c>
      <c r="BE117" s="43">
        <f t="shared" si="76"/>
        <v>0</v>
      </c>
      <c r="BF117" s="43">
        <f t="shared" si="76"/>
        <v>0</v>
      </c>
      <c r="BG117" s="43">
        <f t="shared" si="76"/>
        <v>0</v>
      </c>
      <c r="BH117" s="43">
        <f t="shared" si="76"/>
        <v>0</v>
      </c>
      <c r="BI117" s="43">
        <f t="shared" si="76"/>
        <v>0</v>
      </c>
      <c r="BJ117" s="43">
        <f t="shared" si="76"/>
        <v>0</v>
      </c>
      <c r="BK117" s="43">
        <f t="shared" si="76"/>
        <v>0</v>
      </c>
      <c r="BL117" s="43">
        <f t="shared" si="76"/>
        <v>0</v>
      </c>
      <c r="BM117" s="51"/>
      <c r="BN117" s="51"/>
      <c r="BO117" s="51"/>
      <c r="BP117" s="51"/>
      <c r="BQ117" s="51"/>
      <c r="BR117" s="51"/>
      <c r="BS117" s="51"/>
      <c r="BT117" s="51"/>
      <c r="BU117" s="51"/>
      <c r="BV117" s="51" t="e">
        <f t="shared" si="60"/>
        <v>#DIV/0!</v>
      </c>
      <c r="BW117" s="51" t="e">
        <f t="shared" si="61"/>
        <v>#DIV/0!</v>
      </c>
      <c r="BX117" s="51" t="e">
        <f t="shared" si="62"/>
        <v>#DIV/0!</v>
      </c>
      <c r="BY117" s="51" t="e">
        <f t="shared" si="63"/>
        <v>#DIV/0!</v>
      </c>
      <c r="BZ117" s="51" t="e">
        <f t="shared" si="64"/>
        <v>#DIV/0!</v>
      </c>
      <c r="CA117" s="51" t="e">
        <f t="shared" si="65"/>
        <v>#DIV/0!</v>
      </c>
      <c r="CB117" s="51" t="e">
        <f t="shared" si="66"/>
        <v>#DIV/0!</v>
      </c>
      <c r="CC117" s="51" t="e">
        <f t="shared" si="67"/>
        <v>#DIV/0!</v>
      </c>
      <c r="CD117" s="51" t="e">
        <f t="shared" si="68"/>
        <v>#DIV/0!</v>
      </c>
      <c r="CE117" s="53">
        <f t="shared" si="50"/>
        <v>0</v>
      </c>
      <c r="CF117" s="53">
        <f t="shared" si="77"/>
        <v>0</v>
      </c>
      <c r="CG117" s="53">
        <f t="shared" si="77"/>
        <v>0</v>
      </c>
      <c r="CH117" s="53">
        <f t="shared" si="77"/>
        <v>0</v>
      </c>
      <c r="CI117" s="53">
        <f t="shared" si="77"/>
        <v>0</v>
      </c>
      <c r="CJ117" s="53">
        <f t="shared" si="77"/>
        <v>0</v>
      </c>
      <c r="CK117" s="53">
        <f t="shared" si="77"/>
        <v>0</v>
      </c>
      <c r="CL117" s="53">
        <f t="shared" si="77"/>
        <v>0</v>
      </c>
      <c r="CM117" s="53">
        <f t="shared" si="77"/>
        <v>0</v>
      </c>
    </row>
    <row r="118" spans="1:91" x14ac:dyDescent="0.15">
      <c r="A118" s="41">
        <v>116</v>
      </c>
      <c r="B118" s="43">
        <f t="shared" si="83"/>
        <v>1</v>
      </c>
      <c r="C118" s="43">
        <f t="shared" si="82"/>
        <v>1</v>
      </c>
      <c r="D118" s="43">
        <f t="shared" si="82"/>
        <v>1</v>
      </c>
      <c r="E118" s="43">
        <f t="shared" si="82"/>
        <v>1</v>
      </c>
      <c r="F118" s="43">
        <f t="shared" si="82"/>
        <v>1</v>
      </c>
      <c r="G118" s="43">
        <f t="shared" si="82"/>
        <v>1</v>
      </c>
      <c r="H118" s="43">
        <f t="shared" si="82"/>
        <v>1</v>
      </c>
      <c r="I118" s="43">
        <f t="shared" si="82"/>
        <v>1</v>
      </c>
      <c r="J118" s="43">
        <f t="shared" si="82"/>
        <v>1</v>
      </c>
      <c r="K118" s="43" t="e">
        <f>K117+ATM_Conf!$C$5*(T117-AC117)</f>
        <v>#DIV/0!</v>
      </c>
      <c r="L118" s="43" t="e">
        <f>L117+ATM_Conf!$C$5*(U117-AD117)</f>
        <v>#DIV/0!</v>
      </c>
      <c r="M118" s="43" t="e">
        <f>M117+ATM_Conf!$C$5*(V117-AE117)</f>
        <v>#DIV/0!</v>
      </c>
      <c r="N118" s="43" t="e">
        <f>N117+ATM_Conf!$C$5*(W117-AF117)</f>
        <v>#DIV/0!</v>
      </c>
      <c r="O118" s="43" t="e">
        <f>O117+ATM_Conf!$C$5*(X117-AG117)</f>
        <v>#DIV/0!</v>
      </c>
      <c r="P118" s="43" t="e">
        <f>P117+ATM_Conf!$C$5*(Y117-AH117)</f>
        <v>#DIV/0!</v>
      </c>
      <c r="Q118" s="43" t="e">
        <f>Q117+ATM_Conf!$C$5*(Z117-AI117)</f>
        <v>#DIV/0!</v>
      </c>
      <c r="R118" s="43" t="e">
        <f>R117+ATM_Conf!$C$5*(AA117-AJ117)</f>
        <v>#DIV/0!</v>
      </c>
      <c r="S118" s="43" t="e">
        <f>S117+ATM_Conf!$C$5*(AB117-AK117)</f>
        <v>#DIV/0!</v>
      </c>
      <c r="T118" s="43">
        <f t="shared" si="48"/>
        <v>0</v>
      </c>
      <c r="U118" s="43">
        <f t="shared" si="75"/>
        <v>0</v>
      </c>
      <c r="V118" s="43">
        <f t="shared" si="75"/>
        <v>0</v>
      </c>
      <c r="W118" s="43">
        <f t="shared" si="75"/>
        <v>0</v>
      </c>
      <c r="X118" s="43">
        <f t="shared" si="75"/>
        <v>0</v>
      </c>
      <c r="Y118" s="43">
        <f t="shared" si="75"/>
        <v>0</v>
      </c>
      <c r="Z118" s="43">
        <f t="shared" si="75"/>
        <v>0</v>
      </c>
      <c r="AA118" s="43">
        <f t="shared" si="75"/>
        <v>0</v>
      </c>
      <c r="AB118" s="43">
        <f t="shared" si="75"/>
        <v>0</v>
      </c>
      <c r="AC118" s="43" t="e">
        <f t="shared" si="51"/>
        <v>#DIV/0!</v>
      </c>
      <c r="AD118" s="43" t="e">
        <f t="shared" si="52"/>
        <v>#DIV/0!</v>
      </c>
      <c r="AE118" s="43" t="e">
        <f t="shared" si="53"/>
        <v>#DIV/0!</v>
      </c>
      <c r="AF118" s="43" t="e">
        <f t="shared" si="54"/>
        <v>#DIV/0!</v>
      </c>
      <c r="AG118" s="43" t="e">
        <f t="shared" si="55"/>
        <v>#DIV/0!</v>
      </c>
      <c r="AH118" s="43" t="e">
        <f t="shared" si="56"/>
        <v>#DIV/0!</v>
      </c>
      <c r="AI118" s="43" t="e">
        <f t="shared" si="57"/>
        <v>#DIV/0!</v>
      </c>
      <c r="AJ118" s="43" t="e">
        <f t="shared" si="58"/>
        <v>#DIV/0!</v>
      </c>
      <c r="AK118" s="43" t="e">
        <f t="shared" si="59"/>
        <v>#DIV/0!</v>
      </c>
      <c r="AL118" s="43" t="e">
        <f>T$3+K118/ATM_Conf!$C$5</f>
        <v>#DIV/0!</v>
      </c>
      <c r="AM118" s="43" t="e">
        <f>U$3+L118/ATM_Conf!$C$5</f>
        <v>#DIV/0!</v>
      </c>
      <c r="AN118" s="43" t="e">
        <f>V$3+M118/ATM_Conf!$C$5</f>
        <v>#DIV/0!</v>
      </c>
      <c r="AO118" s="43" t="e">
        <f>W$3+N118/ATM_Conf!$C$5</f>
        <v>#DIV/0!</v>
      </c>
      <c r="AP118" s="43" t="e">
        <f>X$3+O118/ATM_Conf!$C$5</f>
        <v>#DIV/0!</v>
      </c>
      <c r="AQ118" s="43" t="e">
        <f>Y$3+P118/ATM_Conf!$C$5</f>
        <v>#DIV/0!</v>
      </c>
      <c r="AR118" s="43" t="e">
        <f>Z$3+Q118/ATM_Conf!$C$5</f>
        <v>#DIV/0!</v>
      </c>
      <c r="AS118" s="43" t="e">
        <f>AA$3+R118/ATM_Conf!$C$5</f>
        <v>#DIV/0!</v>
      </c>
      <c r="AT118" s="43" t="e">
        <f>AB$3+S118/ATM_Conf!$C$5</f>
        <v>#DIV/0!</v>
      </c>
      <c r="AU118" s="43" t="e">
        <f>BD$3*MIN(1,(ATM_Conf!$C$6-Links!X118)/(ATM_Conf!$C$6-ATM_Conf!$C$7))</f>
        <v>#DIV/0!</v>
      </c>
      <c r="AV118" s="43" t="e">
        <f>BE$3*MIN(1,(ATM_Conf!$C$6-Links!Z118)/(ATM_Conf!$C$6-ATM_Conf!$C$7))</f>
        <v>#DIV/0!</v>
      </c>
      <c r="AW118" s="43" t="e">
        <f>BF$3*MIN(1,(ATM_Conf!$C$6-Links!AA118)/(ATM_Conf!$C$6-ATM_Conf!$C$7))</f>
        <v>#DIV/0!</v>
      </c>
      <c r="AX118" s="43" t="e">
        <f>BG$3*MIN(1,(ATM_Conf!$C$6-Links!AD118)/(ATM_Conf!$C$6-ATM_Conf!$C$7))</f>
        <v>#DIV/0!</v>
      </c>
      <c r="AY118" s="43" t="e">
        <f>BH$3*MIN(1,(ATM_Conf!$C$6-Links!AE118)/(ATM_Conf!$C$6-ATM_Conf!$C$7))</f>
        <v>#DIV/0!</v>
      </c>
      <c r="AZ118" s="43" t="e">
        <f>BI$3*MIN(1,(ATM_Conf!$C$6-Links!AG118)/(ATM_Conf!$C$6-ATM_Conf!$C$7))</f>
        <v>#DIV/0!</v>
      </c>
      <c r="BA118" s="43" t="e">
        <f>BJ$3*MIN(1,(ATM_Conf!$C$6-Links!AH118)/(ATM_Conf!$C$6-ATM_Conf!$C$7))</f>
        <v>#DIV/0!</v>
      </c>
      <c r="BB118" s="43" t="e">
        <f>BK$3*MIN(1,(ATM_Conf!$C$6-Links!AK118)/(ATM_Conf!$C$6-ATM_Conf!$C$7))</f>
        <v>#DIV/0!</v>
      </c>
      <c r="BC118" s="43" t="e">
        <f>BL$3*MIN(1,(ATM_Conf!$C$6-Links!AM118)/(ATM_Conf!$C$6-ATM_Conf!$C$7))</f>
        <v>#DIV/0!</v>
      </c>
      <c r="BD118" s="43">
        <f t="shared" si="49"/>
        <v>0</v>
      </c>
      <c r="BE118" s="43">
        <f t="shared" si="76"/>
        <v>0</v>
      </c>
      <c r="BF118" s="43">
        <f t="shared" si="76"/>
        <v>0</v>
      </c>
      <c r="BG118" s="43">
        <f t="shared" si="76"/>
        <v>0</v>
      </c>
      <c r="BH118" s="43">
        <f t="shared" si="76"/>
        <v>0</v>
      </c>
      <c r="BI118" s="43">
        <f t="shared" si="76"/>
        <v>0</v>
      </c>
      <c r="BJ118" s="43">
        <f t="shared" si="76"/>
        <v>0</v>
      </c>
      <c r="BK118" s="43">
        <f t="shared" si="76"/>
        <v>0</v>
      </c>
      <c r="BL118" s="43">
        <f t="shared" si="76"/>
        <v>0</v>
      </c>
      <c r="BM118" s="51"/>
      <c r="BN118" s="51"/>
      <c r="BO118" s="51"/>
      <c r="BP118" s="51"/>
      <c r="BQ118" s="51"/>
      <c r="BR118" s="51"/>
      <c r="BS118" s="51"/>
      <c r="BT118" s="51"/>
      <c r="BU118" s="51"/>
      <c r="BV118" s="51" t="e">
        <f t="shared" si="60"/>
        <v>#DIV/0!</v>
      </c>
      <c r="BW118" s="51" t="e">
        <f t="shared" si="61"/>
        <v>#DIV/0!</v>
      </c>
      <c r="BX118" s="51" t="e">
        <f t="shared" si="62"/>
        <v>#DIV/0!</v>
      </c>
      <c r="BY118" s="51" t="e">
        <f t="shared" si="63"/>
        <v>#DIV/0!</v>
      </c>
      <c r="BZ118" s="51" t="e">
        <f t="shared" si="64"/>
        <v>#DIV/0!</v>
      </c>
      <c r="CA118" s="51" t="e">
        <f t="shared" si="65"/>
        <v>#DIV/0!</v>
      </c>
      <c r="CB118" s="51" t="e">
        <f t="shared" si="66"/>
        <v>#DIV/0!</v>
      </c>
      <c r="CC118" s="51" t="e">
        <f t="shared" si="67"/>
        <v>#DIV/0!</v>
      </c>
      <c r="CD118" s="51" t="e">
        <f t="shared" si="68"/>
        <v>#DIV/0!</v>
      </c>
      <c r="CE118" s="53">
        <f t="shared" si="50"/>
        <v>0</v>
      </c>
      <c r="CF118" s="53">
        <f t="shared" si="77"/>
        <v>0</v>
      </c>
      <c r="CG118" s="53">
        <f t="shared" si="77"/>
        <v>0</v>
      </c>
      <c r="CH118" s="53">
        <f t="shared" si="77"/>
        <v>0</v>
      </c>
      <c r="CI118" s="53">
        <f t="shared" si="77"/>
        <v>0</v>
      </c>
      <c r="CJ118" s="53">
        <f t="shared" si="77"/>
        <v>0</v>
      </c>
      <c r="CK118" s="53">
        <f t="shared" si="77"/>
        <v>0</v>
      </c>
      <c r="CL118" s="53">
        <f t="shared" si="77"/>
        <v>0</v>
      </c>
      <c r="CM118" s="53">
        <f t="shared" si="77"/>
        <v>0</v>
      </c>
    </row>
    <row r="119" spans="1:91" x14ac:dyDescent="0.15">
      <c r="A119" s="41">
        <v>117</v>
      </c>
      <c r="B119" s="43">
        <f t="shared" si="83"/>
        <v>1</v>
      </c>
      <c r="C119" s="43">
        <f t="shared" si="82"/>
        <v>1</v>
      </c>
      <c r="D119" s="43">
        <f t="shared" si="82"/>
        <v>1</v>
      </c>
      <c r="E119" s="43">
        <f t="shared" si="82"/>
        <v>1</v>
      </c>
      <c r="F119" s="43">
        <f t="shared" si="82"/>
        <v>1</v>
      </c>
      <c r="G119" s="43">
        <f t="shared" si="82"/>
        <v>1</v>
      </c>
      <c r="H119" s="43">
        <f t="shared" si="82"/>
        <v>1</v>
      </c>
      <c r="I119" s="43">
        <f t="shared" si="82"/>
        <v>1</v>
      </c>
      <c r="J119" s="43">
        <f t="shared" si="82"/>
        <v>1</v>
      </c>
      <c r="K119" s="43" t="e">
        <f>K118+ATM_Conf!$C$5*(T118-AC118)</f>
        <v>#DIV/0!</v>
      </c>
      <c r="L119" s="43" t="e">
        <f>L118+ATM_Conf!$C$5*(U118-AD118)</f>
        <v>#DIV/0!</v>
      </c>
      <c r="M119" s="43" t="e">
        <f>M118+ATM_Conf!$C$5*(V118-AE118)</f>
        <v>#DIV/0!</v>
      </c>
      <c r="N119" s="43" t="e">
        <f>N118+ATM_Conf!$C$5*(W118-AF118)</f>
        <v>#DIV/0!</v>
      </c>
      <c r="O119" s="43" t="e">
        <f>O118+ATM_Conf!$C$5*(X118-AG118)</f>
        <v>#DIV/0!</v>
      </c>
      <c r="P119" s="43" t="e">
        <f>P118+ATM_Conf!$C$5*(Y118-AH118)</f>
        <v>#DIV/0!</v>
      </c>
      <c r="Q119" s="43" t="e">
        <f>Q118+ATM_Conf!$C$5*(Z118-AI118)</f>
        <v>#DIV/0!</v>
      </c>
      <c r="R119" s="43" t="e">
        <f>R118+ATM_Conf!$C$5*(AA118-AJ118)</f>
        <v>#DIV/0!</v>
      </c>
      <c r="S119" s="43" t="e">
        <f>S118+ATM_Conf!$C$5*(AB118-AK118)</f>
        <v>#DIV/0!</v>
      </c>
      <c r="T119" s="43">
        <f t="shared" si="48"/>
        <v>0</v>
      </c>
      <c r="U119" s="43">
        <f t="shared" si="75"/>
        <v>0</v>
      </c>
      <c r="V119" s="43">
        <f t="shared" si="75"/>
        <v>0</v>
      </c>
      <c r="W119" s="43">
        <f t="shared" si="75"/>
        <v>0</v>
      </c>
      <c r="X119" s="43">
        <f t="shared" si="75"/>
        <v>0</v>
      </c>
      <c r="Y119" s="43">
        <f t="shared" si="75"/>
        <v>0</v>
      </c>
      <c r="Z119" s="43">
        <f t="shared" si="75"/>
        <v>0</v>
      </c>
      <c r="AA119" s="43">
        <f t="shared" si="75"/>
        <v>0</v>
      </c>
      <c r="AB119" s="43">
        <f t="shared" si="75"/>
        <v>0</v>
      </c>
      <c r="AC119" s="43" t="e">
        <f t="shared" si="51"/>
        <v>#DIV/0!</v>
      </c>
      <c r="AD119" s="43" t="e">
        <f t="shared" si="52"/>
        <v>#DIV/0!</v>
      </c>
      <c r="AE119" s="43" t="e">
        <f t="shared" si="53"/>
        <v>#DIV/0!</v>
      </c>
      <c r="AF119" s="43" t="e">
        <f t="shared" si="54"/>
        <v>#DIV/0!</v>
      </c>
      <c r="AG119" s="43" t="e">
        <f t="shared" si="55"/>
        <v>#DIV/0!</v>
      </c>
      <c r="AH119" s="43" t="e">
        <f t="shared" si="56"/>
        <v>#DIV/0!</v>
      </c>
      <c r="AI119" s="43" t="e">
        <f t="shared" si="57"/>
        <v>#DIV/0!</v>
      </c>
      <c r="AJ119" s="43" t="e">
        <f t="shared" si="58"/>
        <v>#DIV/0!</v>
      </c>
      <c r="AK119" s="43" t="e">
        <f t="shared" si="59"/>
        <v>#DIV/0!</v>
      </c>
      <c r="AL119" s="43" t="e">
        <f>T$3+K119/ATM_Conf!$C$5</f>
        <v>#DIV/0!</v>
      </c>
      <c r="AM119" s="43" t="e">
        <f>U$3+L119/ATM_Conf!$C$5</f>
        <v>#DIV/0!</v>
      </c>
      <c r="AN119" s="43" t="e">
        <f>V$3+M119/ATM_Conf!$C$5</f>
        <v>#DIV/0!</v>
      </c>
      <c r="AO119" s="43" t="e">
        <f>W$3+N119/ATM_Conf!$C$5</f>
        <v>#DIV/0!</v>
      </c>
      <c r="AP119" s="43" t="e">
        <f>X$3+O119/ATM_Conf!$C$5</f>
        <v>#DIV/0!</v>
      </c>
      <c r="AQ119" s="43" t="e">
        <f>Y$3+P119/ATM_Conf!$C$5</f>
        <v>#DIV/0!</v>
      </c>
      <c r="AR119" s="43" t="e">
        <f>Z$3+Q119/ATM_Conf!$C$5</f>
        <v>#DIV/0!</v>
      </c>
      <c r="AS119" s="43" t="e">
        <f>AA$3+R119/ATM_Conf!$C$5</f>
        <v>#DIV/0!</v>
      </c>
      <c r="AT119" s="43" t="e">
        <f>AB$3+S119/ATM_Conf!$C$5</f>
        <v>#DIV/0!</v>
      </c>
      <c r="AU119" s="43" t="e">
        <f>BD$3*MIN(1,(ATM_Conf!$C$6-Links!X119)/(ATM_Conf!$C$6-ATM_Conf!$C$7))</f>
        <v>#DIV/0!</v>
      </c>
      <c r="AV119" s="43" t="e">
        <f>BE$3*MIN(1,(ATM_Conf!$C$6-Links!Z119)/(ATM_Conf!$C$6-ATM_Conf!$C$7))</f>
        <v>#DIV/0!</v>
      </c>
      <c r="AW119" s="43" t="e">
        <f>BF$3*MIN(1,(ATM_Conf!$C$6-Links!AA119)/(ATM_Conf!$C$6-ATM_Conf!$C$7))</f>
        <v>#DIV/0!</v>
      </c>
      <c r="AX119" s="43" t="e">
        <f>BG$3*MIN(1,(ATM_Conf!$C$6-Links!AD119)/(ATM_Conf!$C$6-ATM_Conf!$C$7))</f>
        <v>#DIV/0!</v>
      </c>
      <c r="AY119" s="43" t="e">
        <f>BH$3*MIN(1,(ATM_Conf!$C$6-Links!AE119)/(ATM_Conf!$C$6-ATM_Conf!$C$7))</f>
        <v>#DIV/0!</v>
      </c>
      <c r="AZ119" s="43" t="e">
        <f>BI$3*MIN(1,(ATM_Conf!$C$6-Links!AG119)/(ATM_Conf!$C$6-ATM_Conf!$C$7))</f>
        <v>#DIV/0!</v>
      </c>
      <c r="BA119" s="43" t="e">
        <f>BJ$3*MIN(1,(ATM_Conf!$C$6-Links!AH119)/(ATM_Conf!$C$6-ATM_Conf!$C$7))</f>
        <v>#DIV/0!</v>
      </c>
      <c r="BB119" s="43" t="e">
        <f>BK$3*MIN(1,(ATM_Conf!$C$6-Links!AK119)/(ATM_Conf!$C$6-ATM_Conf!$C$7))</f>
        <v>#DIV/0!</v>
      </c>
      <c r="BC119" s="43" t="e">
        <f>BL$3*MIN(1,(ATM_Conf!$C$6-Links!AM119)/(ATM_Conf!$C$6-ATM_Conf!$C$7))</f>
        <v>#DIV/0!</v>
      </c>
      <c r="BD119" s="43">
        <f t="shared" si="49"/>
        <v>0</v>
      </c>
      <c r="BE119" s="43">
        <f t="shared" si="76"/>
        <v>0</v>
      </c>
      <c r="BF119" s="43">
        <f t="shared" si="76"/>
        <v>0</v>
      </c>
      <c r="BG119" s="43">
        <f t="shared" si="76"/>
        <v>0</v>
      </c>
      <c r="BH119" s="43">
        <f t="shared" si="76"/>
        <v>0</v>
      </c>
      <c r="BI119" s="43">
        <f t="shared" si="76"/>
        <v>0</v>
      </c>
      <c r="BJ119" s="43">
        <f t="shared" si="76"/>
        <v>0</v>
      </c>
      <c r="BK119" s="43">
        <f t="shared" si="76"/>
        <v>0</v>
      </c>
      <c r="BL119" s="43">
        <f t="shared" si="76"/>
        <v>0</v>
      </c>
      <c r="BM119" s="51"/>
      <c r="BN119" s="51"/>
      <c r="BO119" s="51"/>
      <c r="BP119" s="51"/>
      <c r="BQ119" s="51"/>
      <c r="BR119" s="51"/>
      <c r="BS119" s="51"/>
      <c r="BT119" s="51"/>
      <c r="BU119" s="51"/>
      <c r="BV119" s="51" t="e">
        <f t="shared" si="60"/>
        <v>#DIV/0!</v>
      </c>
      <c r="BW119" s="51" t="e">
        <f t="shared" si="61"/>
        <v>#DIV/0!</v>
      </c>
      <c r="BX119" s="51" t="e">
        <f t="shared" si="62"/>
        <v>#DIV/0!</v>
      </c>
      <c r="BY119" s="51" t="e">
        <f t="shared" si="63"/>
        <v>#DIV/0!</v>
      </c>
      <c r="BZ119" s="51" t="e">
        <f t="shared" si="64"/>
        <v>#DIV/0!</v>
      </c>
      <c r="CA119" s="51" t="e">
        <f t="shared" si="65"/>
        <v>#DIV/0!</v>
      </c>
      <c r="CB119" s="51" t="e">
        <f t="shared" si="66"/>
        <v>#DIV/0!</v>
      </c>
      <c r="CC119" s="51" t="e">
        <f t="shared" si="67"/>
        <v>#DIV/0!</v>
      </c>
      <c r="CD119" s="51" t="e">
        <f t="shared" si="68"/>
        <v>#DIV/0!</v>
      </c>
      <c r="CE119" s="53">
        <f t="shared" si="50"/>
        <v>0</v>
      </c>
      <c r="CF119" s="53">
        <f t="shared" si="77"/>
        <v>0</v>
      </c>
      <c r="CG119" s="53">
        <f t="shared" si="77"/>
        <v>0</v>
      </c>
      <c r="CH119" s="53">
        <f t="shared" si="77"/>
        <v>0</v>
      </c>
      <c r="CI119" s="53">
        <f t="shared" si="77"/>
        <v>0</v>
      </c>
      <c r="CJ119" s="53">
        <f t="shared" si="77"/>
        <v>0</v>
      </c>
      <c r="CK119" s="53">
        <f t="shared" si="77"/>
        <v>0</v>
      </c>
      <c r="CL119" s="53">
        <f t="shared" si="77"/>
        <v>0</v>
      </c>
      <c r="CM119" s="53">
        <f t="shared" si="77"/>
        <v>0</v>
      </c>
    </row>
    <row r="120" spans="1:91" x14ac:dyDescent="0.15">
      <c r="A120" s="41">
        <v>118</v>
      </c>
      <c r="B120" s="43">
        <f t="shared" si="83"/>
        <v>1</v>
      </c>
      <c r="C120" s="43">
        <f t="shared" si="82"/>
        <v>1</v>
      </c>
      <c r="D120" s="43">
        <f t="shared" si="82"/>
        <v>1</v>
      </c>
      <c r="E120" s="43">
        <f t="shared" si="82"/>
        <v>1</v>
      </c>
      <c r="F120" s="43">
        <f t="shared" si="82"/>
        <v>1</v>
      </c>
      <c r="G120" s="43">
        <f t="shared" si="82"/>
        <v>1</v>
      </c>
      <c r="H120" s="43">
        <f t="shared" si="82"/>
        <v>1</v>
      </c>
      <c r="I120" s="43">
        <f t="shared" si="82"/>
        <v>1</v>
      </c>
      <c r="J120" s="43">
        <f t="shared" si="82"/>
        <v>1</v>
      </c>
      <c r="K120" s="43" t="e">
        <f>K119+ATM_Conf!$C$5*(T119-AC119)</f>
        <v>#DIV/0!</v>
      </c>
      <c r="L120" s="43" t="e">
        <f>L119+ATM_Conf!$C$5*(U119-AD119)</f>
        <v>#DIV/0!</v>
      </c>
      <c r="M120" s="43" t="e">
        <f>M119+ATM_Conf!$C$5*(V119-AE119)</f>
        <v>#DIV/0!</v>
      </c>
      <c r="N120" s="43" t="e">
        <f>N119+ATM_Conf!$C$5*(W119-AF119)</f>
        <v>#DIV/0!</v>
      </c>
      <c r="O120" s="43" t="e">
        <f>O119+ATM_Conf!$C$5*(X119-AG119)</f>
        <v>#DIV/0!</v>
      </c>
      <c r="P120" s="43" t="e">
        <f>P119+ATM_Conf!$C$5*(Y119-AH119)</f>
        <v>#DIV/0!</v>
      </c>
      <c r="Q120" s="43" t="e">
        <f>Q119+ATM_Conf!$C$5*(Z119-AI119)</f>
        <v>#DIV/0!</v>
      </c>
      <c r="R120" s="43" t="e">
        <f>R119+ATM_Conf!$C$5*(AA119-AJ119)</f>
        <v>#DIV/0!</v>
      </c>
      <c r="S120" s="43" t="e">
        <f>S119+ATM_Conf!$C$5*(AB119-AK119)</f>
        <v>#DIV/0!</v>
      </c>
      <c r="T120" s="43">
        <f t="shared" si="48"/>
        <v>0</v>
      </c>
      <c r="U120" s="43">
        <f t="shared" si="75"/>
        <v>0</v>
      </c>
      <c r="V120" s="43">
        <f t="shared" si="75"/>
        <v>0</v>
      </c>
      <c r="W120" s="43">
        <f t="shared" si="75"/>
        <v>0</v>
      </c>
      <c r="X120" s="43">
        <f t="shared" si="75"/>
        <v>0</v>
      </c>
      <c r="Y120" s="43">
        <f t="shared" si="75"/>
        <v>0</v>
      </c>
      <c r="Z120" s="43">
        <f t="shared" si="75"/>
        <v>0</v>
      </c>
      <c r="AA120" s="43">
        <f t="shared" si="75"/>
        <v>0</v>
      </c>
      <c r="AB120" s="43">
        <f t="shared" si="75"/>
        <v>0</v>
      </c>
      <c r="AC120" s="43" t="e">
        <f t="shared" si="51"/>
        <v>#DIV/0!</v>
      </c>
      <c r="AD120" s="43" t="e">
        <f t="shared" si="52"/>
        <v>#DIV/0!</v>
      </c>
      <c r="AE120" s="43" t="e">
        <f t="shared" si="53"/>
        <v>#DIV/0!</v>
      </c>
      <c r="AF120" s="43" t="e">
        <f t="shared" si="54"/>
        <v>#DIV/0!</v>
      </c>
      <c r="AG120" s="43" t="e">
        <f t="shared" si="55"/>
        <v>#DIV/0!</v>
      </c>
      <c r="AH120" s="43" t="e">
        <f t="shared" si="56"/>
        <v>#DIV/0!</v>
      </c>
      <c r="AI120" s="43" t="e">
        <f t="shared" si="57"/>
        <v>#DIV/0!</v>
      </c>
      <c r="AJ120" s="43" t="e">
        <f t="shared" si="58"/>
        <v>#DIV/0!</v>
      </c>
      <c r="AK120" s="43" t="e">
        <f t="shared" si="59"/>
        <v>#DIV/0!</v>
      </c>
      <c r="AL120" s="43" t="e">
        <f>T$3+K120/ATM_Conf!$C$5</f>
        <v>#DIV/0!</v>
      </c>
      <c r="AM120" s="43" t="e">
        <f>U$3+L120/ATM_Conf!$C$5</f>
        <v>#DIV/0!</v>
      </c>
      <c r="AN120" s="43" t="e">
        <f>V$3+M120/ATM_Conf!$C$5</f>
        <v>#DIV/0!</v>
      </c>
      <c r="AO120" s="43" t="e">
        <f>W$3+N120/ATM_Conf!$C$5</f>
        <v>#DIV/0!</v>
      </c>
      <c r="AP120" s="43" t="e">
        <f>X$3+O120/ATM_Conf!$C$5</f>
        <v>#DIV/0!</v>
      </c>
      <c r="AQ120" s="43" t="e">
        <f>Y$3+P120/ATM_Conf!$C$5</f>
        <v>#DIV/0!</v>
      </c>
      <c r="AR120" s="43" t="e">
        <f>Z$3+Q120/ATM_Conf!$C$5</f>
        <v>#DIV/0!</v>
      </c>
      <c r="AS120" s="43" t="e">
        <f>AA$3+R120/ATM_Conf!$C$5</f>
        <v>#DIV/0!</v>
      </c>
      <c r="AT120" s="43" t="e">
        <f>AB$3+S120/ATM_Conf!$C$5</f>
        <v>#DIV/0!</v>
      </c>
      <c r="AU120" s="43" t="e">
        <f>BD$3*MIN(1,(ATM_Conf!$C$6-Links!X120)/(ATM_Conf!$C$6-ATM_Conf!$C$7))</f>
        <v>#DIV/0!</v>
      </c>
      <c r="AV120" s="43" t="e">
        <f>BE$3*MIN(1,(ATM_Conf!$C$6-Links!Z120)/(ATM_Conf!$C$6-ATM_Conf!$C$7))</f>
        <v>#DIV/0!</v>
      </c>
      <c r="AW120" s="43" t="e">
        <f>BF$3*MIN(1,(ATM_Conf!$C$6-Links!AA120)/(ATM_Conf!$C$6-ATM_Conf!$C$7))</f>
        <v>#DIV/0!</v>
      </c>
      <c r="AX120" s="43" t="e">
        <f>BG$3*MIN(1,(ATM_Conf!$C$6-Links!AD120)/(ATM_Conf!$C$6-ATM_Conf!$C$7))</f>
        <v>#DIV/0!</v>
      </c>
      <c r="AY120" s="43" t="e">
        <f>BH$3*MIN(1,(ATM_Conf!$C$6-Links!AE120)/(ATM_Conf!$C$6-ATM_Conf!$C$7))</f>
        <v>#DIV/0!</v>
      </c>
      <c r="AZ120" s="43" t="e">
        <f>BI$3*MIN(1,(ATM_Conf!$C$6-Links!AG120)/(ATM_Conf!$C$6-ATM_Conf!$C$7))</f>
        <v>#DIV/0!</v>
      </c>
      <c r="BA120" s="43" t="e">
        <f>BJ$3*MIN(1,(ATM_Conf!$C$6-Links!AH120)/(ATM_Conf!$C$6-ATM_Conf!$C$7))</f>
        <v>#DIV/0!</v>
      </c>
      <c r="BB120" s="43" t="e">
        <f>BK$3*MIN(1,(ATM_Conf!$C$6-Links!AK120)/(ATM_Conf!$C$6-ATM_Conf!$C$7))</f>
        <v>#DIV/0!</v>
      </c>
      <c r="BC120" s="43" t="e">
        <f>BL$3*MIN(1,(ATM_Conf!$C$6-Links!AM120)/(ATM_Conf!$C$6-ATM_Conf!$C$7))</f>
        <v>#DIV/0!</v>
      </c>
      <c r="BD120" s="43">
        <f t="shared" si="49"/>
        <v>0</v>
      </c>
      <c r="BE120" s="43">
        <f t="shared" si="76"/>
        <v>0</v>
      </c>
      <c r="BF120" s="43">
        <f t="shared" si="76"/>
        <v>0</v>
      </c>
      <c r="BG120" s="43">
        <f t="shared" si="76"/>
        <v>0</v>
      </c>
      <c r="BH120" s="43">
        <f t="shared" si="76"/>
        <v>0</v>
      </c>
      <c r="BI120" s="43">
        <f t="shared" si="76"/>
        <v>0</v>
      </c>
      <c r="BJ120" s="43">
        <f t="shared" si="76"/>
        <v>0</v>
      </c>
      <c r="BK120" s="43">
        <f t="shared" si="76"/>
        <v>0</v>
      </c>
      <c r="BL120" s="43">
        <f t="shared" si="76"/>
        <v>0</v>
      </c>
      <c r="BM120" s="51"/>
      <c r="BN120" s="51"/>
      <c r="BO120" s="51"/>
      <c r="BP120" s="51"/>
      <c r="BQ120" s="51"/>
      <c r="BR120" s="51"/>
      <c r="BS120" s="51"/>
      <c r="BT120" s="51"/>
      <c r="BU120" s="51"/>
      <c r="BV120" s="51" t="e">
        <f t="shared" si="60"/>
        <v>#DIV/0!</v>
      </c>
      <c r="BW120" s="51" t="e">
        <f t="shared" si="61"/>
        <v>#DIV/0!</v>
      </c>
      <c r="BX120" s="51" t="e">
        <f t="shared" si="62"/>
        <v>#DIV/0!</v>
      </c>
      <c r="BY120" s="51" t="e">
        <f t="shared" si="63"/>
        <v>#DIV/0!</v>
      </c>
      <c r="BZ120" s="51" t="e">
        <f t="shared" si="64"/>
        <v>#DIV/0!</v>
      </c>
      <c r="CA120" s="51" t="e">
        <f t="shared" si="65"/>
        <v>#DIV/0!</v>
      </c>
      <c r="CB120" s="51" t="e">
        <f t="shared" si="66"/>
        <v>#DIV/0!</v>
      </c>
      <c r="CC120" s="51" t="e">
        <f t="shared" si="67"/>
        <v>#DIV/0!</v>
      </c>
      <c r="CD120" s="51" t="e">
        <f t="shared" si="68"/>
        <v>#DIV/0!</v>
      </c>
      <c r="CE120" s="53">
        <f t="shared" si="50"/>
        <v>0</v>
      </c>
      <c r="CF120" s="53">
        <f t="shared" si="77"/>
        <v>0</v>
      </c>
      <c r="CG120" s="53">
        <f t="shared" si="77"/>
        <v>0</v>
      </c>
      <c r="CH120" s="53">
        <f t="shared" si="77"/>
        <v>0</v>
      </c>
      <c r="CI120" s="53">
        <f t="shared" si="77"/>
        <v>0</v>
      </c>
      <c r="CJ120" s="53">
        <f t="shared" si="77"/>
        <v>0</v>
      </c>
      <c r="CK120" s="53">
        <f t="shared" si="77"/>
        <v>0</v>
      </c>
      <c r="CL120" s="53">
        <f t="shared" si="77"/>
        <v>0</v>
      </c>
      <c r="CM120" s="53">
        <f t="shared" si="77"/>
        <v>0</v>
      </c>
    </row>
    <row r="121" spans="1:91" x14ac:dyDescent="0.15">
      <c r="A121" s="41">
        <v>119</v>
      </c>
      <c r="B121" s="43">
        <f t="shared" si="83"/>
        <v>1</v>
      </c>
      <c r="C121" s="43">
        <f t="shared" si="82"/>
        <v>1</v>
      </c>
      <c r="D121" s="43">
        <f t="shared" si="82"/>
        <v>1</v>
      </c>
      <c r="E121" s="43">
        <f t="shared" si="82"/>
        <v>1</v>
      </c>
      <c r="F121" s="43">
        <f t="shared" si="82"/>
        <v>1</v>
      </c>
      <c r="G121" s="43">
        <f t="shared" si="82"/>
        <v>1</v>
      </c>
      <c r="H121" s="43">
        <f t="shared" si="82"/>
        <v>1</v>
      </c>
      <c r="I121" s="43">
        <f t="shared" si="82"/>
        <v>1</v>
      </c>
      <c r="J121" s="43">
        <f t="shared" si="82"/>
        <v>1</v>
      </c>
      <c r="K121" s="43" t="e">
        <f>K120+ATM_Conf!$C$5*(T120-AC120)</f>
        <v>#DIV/0!</v>
      </c>
      <c r="L121" s="43" t="e">
        <f>L120+ATM_Conf!$C$5*(U120-AD120)</f>
        <v>#DIV/0!</v>
      </c>
      <c r="M121" s="43" t="e">
        <f>M120+ATM_Conf!$C$5*(V120-AE120)</f>
        <v>#DIV/0!</v>
      </c>
      <c r="N121" s="43" t="e">
        <f>N120+ATM_Conf!$C$5*(W120-AF120)</f>
        <v>#DIV/0!</v>
      </c>
      <c r="O121" s="43" t="e">
        <f>O120+ATM_Conf!$C$5*(X120-AG120)</f>
        <v>#DIV/0!</v>
      </c>
      <c r="P121" s="43" t="e">
        <f>P120+ATM_Conf!$C$5*(Y120-AH120)</f>
        <v>#DIV/0!</v>
      </c>
      <c r="Q121" s="43" t="e">
        <f>Q120+ATM_Conf!$C$5*(Z120-AI120)</f>
        <v>#DIV/0!</v>
      </c>
      <c r="R121" s="43" t="e">
        <f>R120+ATM_Conf!$C$5*(AA120-AJ120)</f>
        <v>#DIV/0!</v>
      </c>
      <c r="S121" s="43" t="e">
        <f>S120+ATM_Conf!$C$5*(AB120-AK120)</f>
        <v>#DIV/0!</v>
      </c>
      <c r="T121" s="43">
        <f t="shared" si="48"/>
        <v>0</v>
      </c>
      <c r="U121" s="43">
        <f t="shared" si="75"/>
        <v>0</v>
      </c>
      <c r="V121" s="43">
        <f t="shared" si="75"/>
        <v>0</v>
      </c>
      <c r="W121" s="43">
        <f t="shared" si="75"/>
        <v>0</v>
      </c>
      <c r="X121" s="43">
        <f t="shared" si="75"/>
        <v>0</v>
      </c>
      <c r="Y121" s="43">
        <f t="shared" si="75"/>
        <v>0</v>
      </c>
      <c r="Z121" s="43">
        <f t="shared" si="75"/>
        <v>0</v>
      </c>
      <c r="AA121" s="43">
        <f t="shared" si="75"/>
        <v>0</v>
      </c>
      <c r="AB121" s="43">
        <f t="shared" si="75"/>
        <v>0</v>
      </c>
      <c r="AC121" s="43" t="e">
        <f t="shared" si="51"/>
        <v>#DIV/0!</v>
      </c>
      <c r="AD121" s="43" t="e">
        <f t="shared" si="52"/>
        <v>#DIV/0!</v>
      </c>
      <c r="AE121" s="43" t="e">
        <f t="shared" si="53"/>
        <v>#DIV/0!</v>
      </c>
      <c r="AF121" s="43" t="e">
        <f t="shared" si="54"/>
        <v>#DIV/0!</v>
      </c>
      <c r="AG121" s="43" t="e">
        <f t="shared" si="55"/>
        <v>#DIV/0!</v>
      </c>
      <c r="AH121" s="43" t="e">
        <f t="shared" si="56"/>
        <v>#DIV/0!</v>
      </c>
      <c r="AI121" s="43" t="e">
        <f t="shared" si="57"/>
        <v>#DIV/0!</v>
      </c>
      <c r="AJ121" s="43" t="e">
        <f t="shared" si="58"/>
        <v>#DIV/0!</v>
      </c>
      <c r="AK121" s="43" t="e">
        <f t="shared" si="59"/>
        <v>#DIV/0!</v>
      </c>
      <c r="AL121" s="43" t="e">
        <f>T$3+K121/ATM_Conf!$C$5</f>
        <v>#DIV/0!</v>
      </c>
      <c r="AM121" s="43" t="e">
        <f>U$3+L121/ATM_Conf!$C$5</f>
        <v>#DIV/0!</v>
      </c>
      <c r="AN121" s="43" t="e">
        <f>V$3+M121/ATM_Conf!$C$5</f>
        <v>#DIV/0!</v>
      </c>
      <c r="AO121" s="43" t="e">
        <f>W$3+N121/ATM_Conf!$C$5</f>
        <v>#DIV/0!</v>
      </c>
      <c r="AP121" s="43" t="e">
        <f>X$3+O121/ATM_Conf!$C$5</f>
        <v>#DIV/0!</v>
      </c>
      <c r="AQ121" s="43" t="e">
        <f>Y$3+P121/ATM_Conf!$C$5</f>
        <v>#DIV/0!</v>
      </c>
      <c r="AR121" s="43" t="e">
        <f>Z$3+Q121/ATM_Conf!$C$5</f>
        <v>#DIV/0!</v>
      </c>
      <c r="AS121" s="43" t="e">
        <f>AA$3+R121/ATM_Conf!$C$5</f>
        <v>#DIV/0!</v>
      </c>
      <c r="AT121" s="43" t="e">
        <f>AB$3+S121/ATM_Conf!$C$5</f>
        <v>#DIV/0!</v>
      </c>
      <c r="AU121" s="43" t="e">
        <f>BD$3*MIN(1,(ATM_Conf!$C$6-Links!X121)/(ATM_Conf!$C$6-ATM_Conf!$C$7))</f>
        <v>#DIV/0!</v>
      </c>
      <c r="AV121" s="43" t="e">
        <f>BE$3*MIN(1,(ATM_Conf!$C$6-Links!Z121)/(ATM_Conf!$C$6-ATM_Conf!$C$7))</f>
        <v>#DIV/0!</v>
      </c>
      <c r="AW121" s="43" t="e">
        <f>BF$3*MIN(1,(ATM_Conf!$C$6-Links!AA121)/(ATM_Conf!$C$6-ATM_Conf!$C$7))</f>
        <v>#DIV/0!</v>
      </c>
      <c r="AX121" s="43" t="e">
        <f>BG$3*MIN(1,(ATM_Conf!$C$6-Links!AD121)/(ATM_Conf!$C$6-ATM_Conf!$C$7))</f>
        <v>#DIV/0!</v>
      </c>
      <c r="AY121" s="43" t="e">
        <f>BH$3*MIN(1,(ATM_Conf!$C$6-Links!AE121)/(ATM_Conf!$C$6-ATM_Conf!$C$7))</f>
        <v>#DIV/0!</v>
      </c>
      <c r="AZ121" s="43" t="e">
        <f>BI$3*MIN(1,(ATM_Conf!$C$6-Links!AG121)/(ATM_Conf!$C$6-ATM_Conf!$C$7))</f>
        <v>#DIV/0!</v>
      </c>
      <c r="BA121" s="43" t="e">
        <f>BJ$3*MIN(1,(ATM_Conf!$C$6-Links!AH121)/(ATM_Conf!$C$6-ATM_Conf!$C$7))</f>
        <v>#DIV/0!</v>
      </c>
      <c r="BB121" s="43" t="e">
        <f>BK$3*MIN(1,(ATM_Conf!$C$6-Links!AK121)/(ATM_Conf!$C$6-ATM_Conf!$C$7))</f>
        <v>#DIV/0!</v>
      </c>
      <c r="BC121" s="43" t="e">
        <f>BL$3*MIN(1,(ATM_Conf!$C$6-Links!AM121)/(ATM_Conf!$C$6-ATM_Conf!$C$7))</f>
        <v>#DIV/0!</v>
      </c>
      <c r="BD121" s="43">
        <f t="shared" si="49"/>
        <v>0</v>
      </c>
      <c r="BE121" s="43">
        <f t="shared" si="76"/>
        <v>0</v>
      </c>
      <c r="BF121" s="43">
        <f t="shared" si="76"/>
        <v>0</v>
      </c>
      <c r="BG121" s="43">
        <f t="shared" si="76"/>
        <v>0</v>
      </c>
      <c r="BH121" s="43">
        <f t="shared" si="76"/>
        <v>0</v>
      </c>
      <c r="BI121" s="43">
        <f t="shared" si="76"/>
        <v>0</v>
      </c>
      <c r="BJ121" s="43">
        <f t="shared" si="76"/>
        <v>0</v>
      </c>
      <c r="BK121" s="43">
        <f t="shared" si="76"/>
        <v>0</v>
      </c>
      <c r="BL121" s="43">
        <f t="shared" si="76"/>
        <v>0</v>
      </c>
      <c r="BM121" s="51"/>
      <c r="BN121" s="51"/>
      <c r="BO121" s="51"/>
      <c r="BP121" s="51"/>
      <c r="BQ121" s="51"/>
      <c r="BR121" s="51"/>
      <c r="BS121" s="51"/>
      <c r="BT121" s="51"/>
      <c r="BU121" s="51"/>
      <c r="BV121" s="51" t="e">
        <f t="shared" si="60"/>
        <v>#DIV/0!</v>
      </c>
      <c r="BW121" s="51" t="e">
        <f t="shared" si="61"/>
        <v>#DIV/0!</v>
      </c>
      <c r="BX121" s="51" t="e">
        <f t="shared" si="62"/>
        <v>#DIV/0!</v>
      </c>
      <c r="BY121" s="51" t="e">
        <f t="shared" si="63"/>
        <v>#DIV/0!</v>
      </c>
      <c r="BZ121" s="51" t="e">
        <f t="shared" si="64"/>
        <v>#DIV/0!</v>
      </c>
      <c r="CA121" s="51" t="e">
        <f t="shared" si="65"/>
        <v>#DIV/0!</v>
      </c>
      <c r="CB121" s="51" t="e">
        <f t="shared" si="66"/>
        <v>#DIV/0!</v>
      </c>
      <c r="CC121" s="51" t="e">
        <f t="shared" si="67"/>
        <v>#DIV/0!</v>
      </c>
      <c r="CD121" s="51" t="e">
        <f t="shared" si="68"/>
        <v>#DIV/0!</v>
      </c>
      <c r="CE121" s="53">
        <f t="shared" si="50"/>
        <v>0</v>
      </c>
      <c r="CF121" s="53">
        <f t="shared" si="77"/>
        <v>0</v>
      </c>
      <c r="CG121" s="53">
        <f t="shared" si="77"/>
        <v>0</v>
      </c>
      <c r="CH121" s="53">
        <f t="shared" si="77"/>
        <v>0</v>
      </c>
      <c r="CI121" s="53">
        <f t="shared" si="77"/>
        <v>0</v>
      </c>
      <c r="CJ121" s="53">
        <f t="shared" si="77"/>
        <v>0</v>
      </c>
      <c r="CK121" s="53">
        <f t="shared" si="77"/>
        <v>0</v>
      </c>
      <c r="CL121" s="53">
        <f t="shared" si="77"/>
        <v>0</v>
      </c>
      <c r="CM121" s="53">
        <f t="shared" si="77"/>
        <v>0</v>
      </c>
    </row>
    <row r="122" spans="1:91" x14ac:dyDescent="0.15">
      <c r="A122" s="41">
        <v>120</v>
      </c>
      <c r="B122" s="43">
        <f>B$111</f>
        <v>1</v>
      </c>
      <c r="C122" s="43">
        <f t="shared" si="82"/>
        <v>1</v>
      </c>
      <c r="D122" s="43">
        <f t="shared" si="82"/>
        <v>1</v>
      </c>
      <c r="E122" s="43">
        <f t="shared" si="82"/>
        <v>1</v>
      </c>
      <c r="F122" s="43">
        <f t="shared" si="82"/>
        <v>1</v>
      </c>
      <c r="G122" s="43">
        <f t="shared" si="82"/>
        <v>1</v>
      </c>
      <c r="H122" s="43">
        <f t="shared" si="82"/>
        <v>1</v>
      </c>
      <c r="I122" s="43">
        <f t="shared" si="82"/>
        <v>1</v>
      </c>
      <c r="J122" s="43">
        <f t="shared" si="82"/>
        <v>1</v>
      </c>
      <c r="K122" s="43" t="e">
        <f>K121+ATM_Conf!$C$5*(T121-AC121)</f>
        <v>#DIV/0!</v>
      </c>
      <c r="L122" s="43" t="e">
        <f>L121+ATM_Conf!$C$5*(U121-AD121)</f>
        <v>#DIV/0!</v>
      </c>
      <c r="M122" s="43" t="e">
        <f>M121+ATM_Conf!$C$5*(V121-AE121)</f>
        <v>#DIV/0!</v>
      </c>
      <c r="N122" s="43" t="e">
        <f>N121+ATM_Conf!$C$5*(W121-AF121)</f>
        <v>#DIV/0!</v>
      </c>
      <c r="O122" s="43" t="e">
        <f>O121+ATM_Conf!$C$5*(X121-AG121)</f>
        <v>#DIV/0!</v>
      </c>
      <c r="P122" s="43" t="e">
        <f>P121+ATM_Conf!$C$5*(Y121-AH121)</f>
        <v>#DIV/0!</v>
      </c>
      <c r="Q122" s="43" t="e">
        <f>Q121+ATM_Conf!$C$5*(Z121-AI121)</f>
        <v>#DIV/0!</v>
      </c>
      <c r="R122" s="43" t="e">
        <f>R121+ATM_Conf!$C$5*(AA121-AJ121)</f>
        <v>#DIV/0!</v>
      </c>
      <c r="S122" s="43" t="e">
        <f>S121+ATM_Conf!$C$5*(AB121-AK121)</f>
        <v>#DIV/0!</v>
      </c>
      <c r="T122" s="43">
        <f t="shared" si="48"/>
        <v>0</v>
      </c>
      <c r="U122" s="43">
        <f t="shared" si="75"/>
        <v>0</v>
      </c>
      <c r="V122" s="43">
        <f t="shared" si="75"/>
        <v>0</v>
      </c>
      <c r="W122" s="43">
        <f t="shared" si="75"/>
        <v>0</v>
      </c>
      <c r="X122" s="43">
        <f t="shared" si="75"/>
        <v>0</v>
      </c>
      <c r="Y122" s="43">
        <f t="shared" si="75"/>
        <v>0</v>
      </c>
      <c r="Z122" s="43">
        <f t="shared" si="75"/>
        <v>0</v>
      </c>
      <c r="AA122" s="43">
        <f t="shared" si="75"/>
        <v>0</v>
      </c>
      <c r="AB122" s="43">
        <f t="shared" si="75"/>
        <v>0</v>
      </c>
      <c r="AC122" s="43" t="e">
        <f t="shared" si="51"/>
        <v>#DIV/0!</v>
      </c>
      <c r="AD122" s="43" t="e">
        <f t="shared" si="52"/>
        <v>#DIV/0!</v>
      </c>
      <c r="AE122" s="43" t="e">
        <f t="shared" si="53"/>
        <v>#DIV/0!</v>
      </c>
      <c r="AF122" s="43" t="e">
        <f t="shared" si="54"/>
        <v>#DIV/0!</v>
      </c>
      <c r="AG122" s="43" t="e">
        <f t="shared" si="55"/>
        <v>#DIV/0!</v>
      </c>
      <c r="AH122" s="43" t="e">
        <f t="shared" si="56"/>
        <v>#DIV/0!</v>
      </c>
      <c r="AI122" s="43" t="e">
        <f t="shared" si="57"/>
        <v>#DIV/0!</v>
      </c>
      <c r="AJ122" s="43" t="e">
        <f t="shared" si="58"/>
        <v>#DIV/0!</v>
      </c>
      <c r="AK122" s="43" t="e">
        <f t="shared" si="59"/>
        <v>#DIV/0!</v>
      </c>
      <c r="AL122" s="43" t="e">
        <f>T$3+K122/ATM_Conf!$C$5</f>
        <v>#DIV/0!</v>
      </c>
      <c r="AM122" s="43" t="e">
        <f>U$3+L122/ATM_Conf!$C$5</f>
        <v>#DIV/0!</v>
      </c>
      <c r="AN122" s="43" t="e">
        <f>V$3+M122/ATM_Conf!$C$5</f>
        <v>#DIV/0!</v>
      </c>
      <c r="AO122" s="43" t="e">
        <f>W$3+N122/ATM_Conf!$C$5</f>
        <v>#DIV/0!</v>
      </c>
      <c r="AP122" s="43" t="e">
        <f>X$3+O122/ATM_Conf!$C$5</f>
        <v>#DIV/0!</v>
      </c>
      <c r="AQ122" s="43" t="e">
        <f>Y$3+P122/ATM_Conf!$C$5</f>
        <v>#DIV/0!</v>
      </c>
      <c r="AR122" s="43" t="e">
        <f>Z$3+Q122/ATM_Conf!$C$5</f>
        <v>#DIV/0!</v>
      </c>
      <c r="AS122" s="43" t="e">
        <f>AA$3+R122/ATM_Conf!$C$5</f>
        <v>#DIV/0!</v>
      </c>
      <c r="AT122" s="43" t="e">
        <f>AB$3+S122/ATM_Conf!$C$5</f>
        <v>#DIV/0!</v>
      </c>
      <c r="AU122" s="43" t="e">
        <f>BD$3*MIN(1,(ATM_Conf!$C$6-Links!X122)/(ATM_Conf!$C$6-ATM_Conf!$C$7))</f>
        <v>#DIV/0!</v>
      </c>
      <c r="AV122" s="43" t="e">
        <f>BE$3*MIN(1,(ATM_Conf!$C$6-Links!Z122)/(ATM_Conf!$C$6-ATM_Conf!$C$7))</f>
        <v>#DIV/0!</v>
      </c>
      <c r="AW122" s="43" t="e">
        <f>BF$3*MIN(1,(ATM_Conf!$C$6-Links!AA122)/(ATM_Conf!$C$6-ATM_Conf!$C$7))</f>
        <v>#DIV/0!</v>
      </c>
      <c r="AX122" s="43" t="e">
        <f>BG$3*MIN(1,(ATM_Conf!$C$6-Links!AD122)/(ATM_Conf!$C$6-ATM_Conf!$C$7))</f>
        <v>#DIV/0!</v>
      </c>
      <c r="AY122" s="43" t="e">
        <f>BH$3*MIN(1,(ATM_Conf!$C$6-Links!AE122)/(ATM_Conf!$C$6-ATM_Conf!$C$7))</f>
        <v>#DIV/0!</v>
      </c>
      <c r="AZ122" s="43" t="e">
        <f>BI$3*MIN(1,(ATM_Conf!$C$6-Links!AG122)/(ATM_Conf!$C$6-ATM_Conf!$C$7))</f>
        <v>#DIV/0!</v>
      </c>
      <c r="BA122" s="43" t="e">
        <f>BJ$3*MIN(1,(ATM_Conf!$C$6-Links!AH122)/(ATM_Conf!$C$6-ATM_Conf!$C$7))</f>
        <v>#DIV/0!</v>
      </c>
      <c r="BB122" s="43" t="e">
        <f>BK$3*MIN(1,(ATM_Conf!$C$6-Links!AK122)/(ATM_Conf!$C$6-ATM_Conf!$C$7))</f>
        <v>#DIV/0!</v>
      </c>
      <c r="BC122" s="43" t="e">
        <f>BL$3*MIN(1,(ATM_Conf!$C$6-Links!AM122)/(ATM_Conf!$C$6-ATM_Conf!$C$7))</f>
        <v>#DIV/0!</v>
      </c>
      <c r="BD122" s="43">
        <f t="shared" si="49"/>
        <v>0</v>
      </c>
      <c r="BE122" s="43">
        <f t="shared" si="76"/>
        <v>0</v>
      </c>
      <c r="BF122" s="43">
        <f t="shared" si="76"/>
        <v>0</v>
      </c>
      <c r="BG122" s="43">
        <f t="shared" si="76"/>
        <v>0</v>
      </c>
      <c r="BH122" s="43">
        <f t="shared" si="76"/>
        <v>0</v>
      </c>
      <c r="BI122" s="43">
        <f t="shared" si="76"/>
        <v>0</v>
      </c>
      <c r="BJ122" s="43">
        <f t="shared" si="76"/>
        <v>0</v>
      </c>
      <c r="BK122" s="43">
        <f t="shared" si="76"/>
        <v>0</v>
      </c>
      <c r="BL122" s="43">
        <f t="shared" si="76"/>
        <v>0</v>
      </c>
      <c r="BM122" s="51"/>
      <c r="BN122" s="51"/>
      <c r="BO122" s="51"/>
      <c r="BP122" s="51"/>
      <c r="BQ122" s="51"/>
      <c r="BR122" s="51"/>
      <c r="BS122" s="51"/>
      <c r="BT122" s="51"/>
      <c r="BU122" s="51"/>
      <c r="BV122" s="51" t="e">
        <f t="shared" si="60"/>
        <v>#DIV/0!</v>
      </c>
      <c r="BW122" s="51" t="e">
        <f t="shared" si="61"/>
        <v>#DIV/0!</v>
      </c>
      <c r="BX122" s="51" t="e">
        <f t="shared" si="62"/>
        <v>#DIV/0!</v>
      </c>
      <c r="BY122" s="51" t="e">
        <f t="shared" si="63"/>
        <v>#DIV/0!</v>
      </c>
      <c r="BZ122" s="51" t="e">
        <f t="shared" si="64"/>
        <v>#DIV/0!</v>
      </c>
      <c r="CA122" s="51" t="e">
        <f t="shared" si="65"/>
        <v>#DIV/0!</v>
      </c>
      <c r="CB122" s="51" t="e">
        <f t="shared" si="66"/>
        <v>#DIV/0!</v>
      </c>
      <c r="CC122" s="51" t="e">
        <f t="shared" si="67"/>
        <v>#DIV/0!</v>
      </c>
      <c r="CD122" s="51" t="e">
        <f t="shared" si="68"/>
        <v>#DIV/0!</v>
      </c>
      <c r="CE122" s="53">
        <f t="shared" si="50"/>
        <v>0</v>
      </c>
      <c r="CF122" s="53">
        <f t="shared" si="77"/>
        <v>0</v>
      </c>
      <c r="CG122" s="53">
        <f t="shared" si="77"/>
        <v>0</v>
      </c>
      <c r="CH122" s="53">
        <f t="shared" si="77"/>
        <v>0</v>
      </c>
      <c r="CI122" s="53">
        <f t="shared" si="77"/>
        <v>0</v>
      </c>
      <c r="CJ122" s="53">
        <f t="shared" si="77"/>
        <v>0</v>
      </c>
      <c r="CK122" s="53">
        <f t="shared" si="77"/>
        <v>0</v>
      </c>
      <c r="CL122" s="53">
        <f t="shared" si="77"/>
        <v>0</v>
      </c>
      <c r="CM122" s="53">
        <f t="shared" si="77"/>
        <v>0</v>
      </c>
    </row>
    <row r="123" spans="1:91" x14ac:dyDescent="0.15">
      <c r="A123" s="41">
        <v>121</v>
      </c>
      <c r="B123" s="45">
        <v>1</v>
      </c>
      <c r="C123" s="45">
        <v>1</v>
      </c>
      <c r="D123" s="45">
        <v>1</v>
      </c>
      <c r="E123" s="45">
        <v>1</v>
      </c>
      <c r="F123" s="45">
        <v>1</v>
      </c>
      <c r="G123" s="45">
        <v>1</v>
      </c>
      <c r="H123" s="45">
        <v>1</v>
      </c>
      <c r="I123" s="45">
        <v>1</v>
      </c>
      <c r="J123" s="45">
        <v>1</v>
      </c>
      <c r="K123" s="43" t="e">
        <f>K122+ATM_Conf!$C$5*(T122-AC122)</f>
        <v>#DIV/0!</v>
      </c>
      <c r="L123" s="43" t="e">
        <f>L122+ATM_Conf!$C$5*(U122-AD122)</f>
        <v>#DIV/0!</v>
      </c>
      <c r="M123" s="43" t="e">
        <f>M122+ATM_Conf!$C$5*(V122-AE122)</f>
        <v>#DIV/0!</v>
      </c>
      <c r="N123" s="43" t="e">
        <f>N122+ATM_Conf!$C$5*(W122-AF122)</f>
        <v>#DIV/0!</v>
      </c>
      <c r="O123" s="43" t="e">
        <f>O122+ATM_Conf!$C$5*(X122-AG122)</f>
        <v>#DIV/0!</v>
      </c>
      <c r="P123" s="43" t="e">
        <f>P122+ATM_Conf!$C$5*(Y122-AH122)</f>
        <v>#DIV/0!</v>
      </c>
      <c r="Q123" s="43" t="e">
        <f>Q122+ATM_Conf!$C$5*(Z122-AI122)</f>
        <v>#DIV/0!</v>
      </c>
      <c r="R123" s="43" t="e">
        <f>R122+ATM_Conf!$C$5*(AA122-AJ122)</f>
        <v>#DIV/0!</v>
      </c>
      <c r="S123" s="43" t="e">
        <f>S122+ATM_Conf!$C$5*(AB122-AK122)</f>
        <v>#DIV/0!</v>
      </c>
      <c r="T123" s="43">
        <f t="shared" si="48"/>
        <v>0</v>
      </c>
      <c r="U123" s="43">
        <f t="shared" si="75"/>
        <v>0</v>
      </c>
      <c r="V123" s="43">
        <f t="shared" si="75"/>
        <v>0</v>
      </c>
      <c r="W123" s="43">
        <f t="shared" si="75"/>
        <v>0</v>
      </c>
      <c r="X123" s="43">
        <f t="shared" si="75"/>
        <v>0</v>
      </c>
      <c r="Y123" s="43">
        <f t="shared" si="75"/>
        <v>0</v>
      </c>
      <c r="Z123" s="43">
        <f t="shared" si="75"/>
        <v>0</v>
      </c>
      <c r="AA123" s="43">
        <f t="shared" si="75"/>
        <v>0</v>
      </c>
      <c r="AB123" s="43">
        <f t="shared" si="75"/>
        <v>0</v>
      </c>
      <c r="AC123" s="43" t="e">
        <f t="shared" si="51"/>
        <v>#DIV/0!</v>
      </c>
      <c r="AD123" s="43" t="e">
        <f t="shared" si="52"/>
        <v>#DIV/0!</v>
      </c>
      <c r="AE123" s="43" t="e">
        <f t="shared" si="53"/>
        <v>#DIV/0!</v>
      </c>
      <c r="AF123" s="43" t="e">
        <f t="shared" si="54"/>
        <v>#DIV/0!</v>
      </c>
      <c r="AG123" s="43" t="e">
        <f t="shared" si="55"/>
        <v>#DIV/0!</v>
      </c>
      <c r="AH123" s="43" t="e">
        <f t="shared" si="56"/>
        <v>#DIV/0!</v>
      </c>
      <c r="AI123" s="43" t="e">
        <f t="shared" si="57"/>
        <v>#DIV/0!</v>
      </c>
      <c r="AJ123" s="43" t="e">
        <f t="shared" si="58"/>
        <v>#DIV/0!</v>
      </c>
      <c r="AK123" s="43" t="e">
        <f t="shared" si="59"/>
        <v>#DIV/0!</v>
      </c>
      <c r="AL123" s="43" t="e">
        <f>T$3+K123/ATM_Conf!$C$5</f>
        <v>#DIV/0!</v>
      </c>
      <c r="AM123" s="43" t="e">
        <f>U$3+L123/ATM_Conf!$C$5</f>
        <v>#DIV/0!</v>
      </c>
      <c r="AN123" s="43" t="e">
        <f>V$3+M123/ATM_Conf!$C$5</f>
        <v>#DIV/0!</v>
      </c>
      <c r="AO123" s="43" t="e">
        <f>W$3+N123/ATM_Conf!$C$5</f>
        <v>#DIV/0!</v>
      </c>
      <c r="AP123" s="43" t="e">
        <f>X$3+O123/ATM_Conf!$C$5</f>
        <v>#DIV/0!</v>
      </c>
      <c r="AQ123" s="43" t="e">
        <f>Y$3+P123/ATM_Conf!$C$5</f>
        <v>#DIV/0!</v>
      </c>
      <c r="AR123" s="43" t="e">
        <f>Z$3+Q123/ATM_Conf!$C$5</f>
        <v>#DIV/0!</v>
      </c>
      <c r="AS123" s="43" t="e">
        <f>AA$3+R123/ATM_Conf!$C$5</f>
        <v>#DIV/0!</v>
      </c>
      <c r="AT123" s="43" t="e">
        <f>AB$3+S123/ATM_Conf!$C$5</f>
        <v>#DIV/0!</v>
      </c>
      <c r="AU123" s="43" t="e">
        <f>BD$3*MIN(1,(ATM_Conf!$C$6-Links!X123)/(ATM_Conf!$C$6-ATM_Conf!$C$7))</f>
        <v>#DIV/0!</v>
      </c>
      <c r="AV123" s="43" t="e">
        <f>BE$3*MIN(1,(ATM_Conf!$C$6-Links!Z123)/(ATM_Conf!$C$6-ATM_Conf!$C$7))</f>
        <v>#DIV/0!</v>
      </c>
      <c r="AW123" s="43" t="e">
        <f>BF$3*MIN(1,(ATM_Conf!$C$6-Links!AA123)/(ATM_Conf!$C$6-ATM_Conf!$C$7))</f>
        <v>#DIV/0!</v>
      </c>
      <c r="AX123" s="43" t="e">
        <f>BG$3*MIN(1,(ATM_Conf!$C$6-Links!AD123)/(ATM_Conf!$C$6-ATM_Conf!$C$7))</f>
        <v>#DIV/0!</v>
      </c>
      <c r="AY123" s="43" t="e">
        <f>BH$3*MIN(1,(ATM_Conf!$C$6-Links!AE123)/(ATM_Conf!$C$6-ATM_Conf!$C$7))</f>
        <v>#DIV/0!</v>
      </c>
      <c r="AZ123" s="43" t="e">
        <f>BI$3*MIN(1,(ATM_Conf!$C$6-Links!AG123)/(ATM_Conf!$C$6-ATM_Conf!$C$7))</f>
        <v>#DIV/0!</v>
      </c>
      <c r="BA123" s="43" t="e">
        <f>BJ$3*MIN(1,(ATM_Conf!$C$6-Links!AH123)/(ATM_Conf!$C$6-ATM_Conf!$C$7))</f>
        <v>#DIV/0!</v>
      </c>
      <c r="BB123" s="43" t="e">
        <f>BK$3*MIN(1,(ATM_Conf!$C$6-Links!AK123)/(ATM_Conf!$C$6-ATM_Conf!$C$7))</f>
        <v>#DIV/0!</v>
      </c>
      <c r="BC123" s="43" t="e">
        <f>BL$3*MIN(1,(ATM_Conf!$C$6-Links!AM123)/(ATM_Conf!$C$6-ATM_Conf!$C$7))</f>
        <v>#DIV/0!</v>
      </c>
      <c r="BD123" s="43">
        <f t="shared" si="49"/>
        <v>0</v>
      </c>
      <c r="BE123" s="43">
        <f t="shared" si="76"/>
        <v>0</v>
      </c>
      <c r="BF123" s="43">
        <f t="shared" si="76"/>
        <v>0</v>
      </c>
      <c r="BG123" s="43">
        <f t="shared" si="76"/>
        <v>0</v>
      </c>
      <c r="BH123" s="43">
        <f t="shared" si="76"/>
        <v>0</v>
      </c>
      <c r="BI123" s="43">
        <f t="shared" si="76"/>
        <v>0</v>
      </c>
      <c r="BJ123" s="43">
        <f t="shared" si="76"/>
        <v>0</v>
      </c>
      <c r="BK123" s="43">
        <f t="shared" si="76"/>
        <v>0</v>
      </c>
      <c r="BL123" s="43">
        <f t="shared" si="76"/>
        <v>0</v>
      </c>
      <c r="BM123" s="51">
        <f>(B123-B111)^2</f>
        <v>0</v>
      </c>
      <c r="BN123" s="51">
        <f t="shared" ref="BN123:BU123" si="84">(C123-C111)^2</f>
        <v>0</v>
      </c>
      <c r="BO123" s="51">
        <f t="shared" si="84"/>
        <v>0</v>
      </c>
      <c r="BP123" s="51">
        <f t="shared" si="84"/>
        <v>0</v>
      </c>
      <c r="BQ123" s="51">
        <f t="shared" si="84"/>
        <v>0</v>
      </c>
      <c r="BR123" s="51">
        <f t="shared" si="84"/>
        <v>0</v>
      </c>
      <c r="BS123" s="51">
        <f t="shared" si="84"/>
        <v>0</v>
      </c>
      <c r="BT123" s="51">
        <f t="shared" si="84"/>
        <v>0</v>
      </c>
      <c r="BU123" s="51">
        <f t="shared" si="84"/>
        <v>0</v>
      </c>
      <c r="BV123" s="51" t="e">
        <f t="shared" si="60"/>
        <v>#DIV/0!</v>
      </c>
      <c r="BW123" s="51" t="e">
        <f t="shared" si="61"/>
        <v>#DIV/0!</v>
      </c>
      <c r="BX123" s="51" t="e">
        <f t="shared" si="62"/>
        <v>#DIV/0!</v>
      </c>
      <c r="BY123" s="51" t="e">
        <f t="shared" si="63"/>
        <v>#DIV/0!</v>
      </c>
      <c r="BZ123" s="51" t="e">
        <f t="shared" si="64"/>
        <v>#DIV/0!</v>
      </c>
      <c r="CA123" s="51" t="e">
        <f t="shared" si="65"/>
        <v>#DIV/0!</v>
      </c>
      <c r="CB123" s="51" t="e">
        <f t="shared" si="66"/>
        <v>#DIV/0!</v>
      </c>
      <c r="CC123" s="51" t="e">
        <f t="shared" si="67"/>
        <v>#DIV/0!</v>
      </c>
      <c r="CD123" s="51" t="e">
        <f t="shared" si="68"/>
        <v>#DIV/0!</v>
      </c>
      <c r="CE123" s="53">
        <f t="shared" si="50"/>
        <v>0</v>
      </c>
      <c r="CF123" s="53">
        <f t="shared" si="77"/>
        <v>0</v>
      </c>
      <c r="CG123" s="53">
        <f t="shared" si="77"/>
        <v>0</v>
      </c>
      <c r="CH123" s="53">
        <f t="shared" si="77"/>
        <v>0</v>
      </c>
      <c r="CI123" s="53">
        <f t="shared" si="77"/>
        <v>0</v>
      </c>
      <c r="CJ123" s="53">
        <f t="shared" si="77"/>
        <v>0</v>
      </c>
      <c r="CK123" s="53">
        <f t="shared" si="77"/>
        <v>0</v>
      </c>
      <c r="CL123" s="53">
        <f t="shared" si="77"/>
        <v>0</v>
      </c>
      <c r="CM123" s="53">
        <f t="shared" si="77"/>
        <v>0</v>
      </c>
    </row>
    <row r="124" spans="1:91" x14ac:dyDescent="0.15">
      <c r="A124" s="41">
        <v>122</v>
      </c>
      <c r="B124" s="43">
        <f>B$123</f>
        <v>1</v>
      </c>
      <c r="C124" s="43">
        <f t="shared" ref="C124:J134" si="85">C$123</f>
        <v>1</v>
      </c>
      <c r="D124" s="43">
        <f t="shared" si="85"/>
        <v>1</v>
      </c>
      <c r="E124" s="43">
        <f t="shared" si="85"/>
        <v>1</v>
      </c>
      <c r="F124" s="43">
        <f t="shared" si="85"/>
        <v>1</v>
      </c>
      <c r="G124" s="43">
        <f t="shared" si="85"/>
        <v>1</v>
      </c>
      <c r="H124" s="43">
        <f t="shared" si="85"/>
        <v>1</v>
      </c>
      <c r="I124" s="43">
        <f t="shared" si="85"/>
        <v>1</v>
      </c>
      <c r="J124" s="43">
        <f t="shared" si="85"/>
        <v>1</v>
      </c>
      <c r="K124" s="43" t="e">
        <f>K123+ATM_Conf!$C$5*(T123-AC123)</f>
        <v>#DIV/0!</v>
      </c>
      <c r="L124" s="43" t="e">
        <f>L123+ATM_Conf!$C$5*(U123-AD123)</f>
        <v>#DIV/0!</v>
      </c>
      <c r="M124" s="43" t="e">
        <f>M123+ATM_Conf!$C$5*(V123-AE123)</f>
        <v>#DIV/0!</v>
      </c>
      <c r="N124" s="43" t="e">
        <f>N123+ATM_Conf!$C$5*(W123-AF123)</f>
        <v>#DIV/0!</v>
      </c>
      <c r="O124" s="43" t="e">
        <f>O123+ATM_Conf!$C$5*(X123-AG123)</f>
        <v>#DIV/0!</v>
      </c>
      <c r="P124" s="43" t="e">
        <f>P123+ATM_Conf!$C$5*(Y123-AH123)</f>
        <v>#DIV/0!</v>
      </c>
      <c r="Q124" s="43" t="e">
        <f>Q123+ATM_Conf!$C$5*(Z123-AI123)</f>
        <v>#DIV/0!</v>
      </c>
      <c r="R124" s="43" t="e">
        <f>R123+ATM_Conf!$C$5*(AA123-AJ123)</f>
        <v>#DIV/0!</v>
      </c>
      <c r="S124" s="43" t="e">
        <f>S123+ATM_Conf!$C$5*(AB123-AK123)</f>
        <v>#DIV/0!</v>
      </c>
      <c r="T124" s="43">
        <f t="shared" si="48"/>
        <v>0</v>
      </c>
      <c r="U124" s="43">
        <f t="shared" si="75"/>
        <v>0</v>
      </c>
      <c r="V124" s="43">
        <f t="shared" si="75"/>
        <v>0</v>
      </c>
      <c r="W124" s="43">
        <f t="shared" si="75"/>
        <v>0</v>
      </c>
      <c r="X124" s="43">
        <f t="shared" si="75"/>
        <v>0</v>
      </c>
      <c r="Y124" s="43">
        <f t="shared" si="75"/>
        <v>0</v>
      </c>
      <c r="Z124" s="43">
        <f t="shared" si="75"/>
        <v>0</v>
      </c>
      <c r="AA124" s="43">
        <f t="shared" si="75"/>
        <v>0</v>
      </c>
      <c r="AB124" s="43">
        <f t="shared" si="75"/>
        <v>0</v>
      </c>
      <c r="AC124" s="43" t="e">
        <f t="shared" si="51"/>
        <v>#DIV/0!</v>
      </c>
      <c r="AD124" s="43" t="e">
        <f t="shared" si="52"/>
        <v>#DIV/0!</v>
      </c>
      <c r="AE124" s="43" t="e">
        <f t="shared" si="53"/>
        <v>#DIV/0!</v>
      </c>
      <c r="AF124" s="43" t="e">
        <f t="shared" si="54"/>
        <v>#DIV/0!</v>
      </c>
      <c r="AG124" s="43" t="e">
        <f t="shared" si="55"/>
        <v>#DIV/0!</v>
      </c>
      <c r="AH124" s="43" t="e">
        <f t="shared" si="56"/>
        <v>#DIV/0!</v>
      </c>
      <c r="AI124" s="43" t="e">
        <f t="shared" si="57"/>
        <v>#DIV/0!</v>
      </c>
      <c r="AJ124" s="43" t="e">
        <f t="shared" si="58"/>
        <v>#DIV/0!</v>
      </c>
      <c r="AK124" s="43" t="e">
        <f t="shared" si="59"/>
        <v>#DIV/0!</v>
      </c>
      <c r="AL124" s="43" t="e">
        <f>T$3+K124/ATM_Conf!$C$5</f>
        <v>#DIV/0!</v>
      </c>
      <c r="AM124" s="43" t="e">
        <f>U$3+L124/ATM_Conf!$C$5</f>
        <v>#DIV/0!</v>
      </c>
      <c r="AN124" s="43" t="e">
        <f>V$3+M124/ATM_Conf!$C$5</f>
        <v>#DIV/0!</v>
      </c>
      <c r="AO124" s="43" t="e">
        <f>W$3+N124/ATM_Conf!$C$5</f>
        <v>#DIV/0!</v>
      </c>
      <c r="AP124" s="43" t="e">
        <f>X$3+O124/ATM_Conf!$C$5</f>
        <v>#DIV/0!</v>
      </c>
      <c r="AQ124" s="43" t="e">
        <f>Y$3+P124/ATM_Conf!$C$5</f>
        <v>#DIV/0!</v>
      </c>
      <c r="AR124" s="43" t="e">
        <f>Z$3+Q124/ATM_Conf!$C$5</f>
        <v>#DIV/0!</v>
      </c>
      <c r="AS124" s="43" t="e">
        <f>AA$3+R124/ATM_Conf!$C$5</f>
        <v>#DIV/0!</v>
      </c>
      <c r="AT124" s="43" t="e">
        <f>AB$3+S124/ATM_Conf!$C$5</f>
        <v>#DIV/0!</v>
      </c>
      <c r="AU124" s="43" t="e">
        <f>BD$3*MIN(1,(ATM_Conf!$C$6-Links!X124)/(ATM_Conf!$C$6-ATM_Conf!$C$7))</f>
        <v>#DIV/0!</v>
      </c>
      <c r="AV124" s="43" t="e">
        <f>BE$3*MIN(1,(ATM_Conf!$C$6-Links!Z124)/(ATM_Conf!$C$6-ATM_Conf!$C$7))</f>
        <v>#DIV/0!</v>
      </c>
      <c r="AW124" s="43" t="e">
        <f>BF$3*MIN(1,(ATM_Conf!$C$6-Links!AA124)/(ATM_Conf!$C$6-ATM_Conf!$C$7))</f>
        <v>#DIV/0!</v>
      </c>
      <c r="AX124" s="43" t="e">
        <f>BG$3*MIN(1,(ATM_Conf!$C$6-Links!AD124)/(ATM_Conf!$C$6-ATM_Conf!$C$7))</f>
        <v>#DIV/0!</v>
      </c>
      <c r="AY124" s="43" t="e">
        <f>BH$3*MIN(1,(ATM_Conf!$C$6-Links!AE124)/(ATM_Conf!$C$6-ATM_Conf!$C$7))</f>
        <v>#DIV/0!</v>
      </c>
      <c r="AZ124" s="43" t="e">
        <f>BI$3*MIN(1,(ATM_Conf!$C$6-Links!AG124)/(ATM_Conf!$C$6-ATM_Conf!$C$7))</f>
        <v>#DIV/0!</v>
      </c>
      <c r="BA124" s="43" t="e">
        <f>BJ$3*MIN(1,(ATM_Conf!$C$6-Links!AH124)/(ATM_Conf!$C$6-ATM_Conf!$C$7))</f>
        <v>#DIV/0!</v>
      </c>
      <c r="BB124" s="43" t="e">
        <f>BK$3*MIN(1,(ATM_Conf!$C$6-Links!AK124)/(ATM_Conf!$C$6-ATM_Conf!$C$7))</f>
        <v>#DIV/0!</v>
      </c>
      <c r="BC124" s="43" t="e">
        <f>BL$3*MIN(1,(ATM_Conf!$C$6-Links!AM124)/(ATM_Conf!$C$6-ATM_Conf!$C$7))</f>
        <v>#DIV/0!</v>
      </c>
      <c r="BD124" s="43">
        <f t="shared" si="49"/>
        <v>0</v>
      </c>
      <c r="BE124" s="43">
        <f t="shared" si="76"/>
        <v>0</v>
      </c>
      <c r="BF124" s="43">
        <f t="shared" si="76"/>
        <v>0</v>
      </c>
      <c r="BG124" s="43">
        <f t="shared" si="76"/>
        <v>0</v>
      </c>
      <c r="BH124" s="43">
        <f t="shared" si="76"/>
        <v>0</v>
      </c>
      <c r="BI124" s="43">
        <f t="shared" si="76"/>
        <v>0</v>
      </c>
      <c r="BJ124" s="43">
        <f t="shared" si="76"/>
        <v>0</v>
      </c>
      <c r="BK124" s="43">
        <f t="shared" si="76"/>
        <v>0</v>
      </c>
      <c r="BL124" s="43">
        <f t="shared" si="76"/>
        <v>0</v>
      </c>
      <c r="BM124" s="51"/>
      <c r="BN124" s="51"/>
      <c r="BO124" s="51"/>
      <c r="BP124" s="51"/>
      <c r="BQ124" s="51"/>
      <c r="BR124" s="51"/>
      <c r="BS124" s="51"/>
      <c r="BT124" s="51"/>
      <c r="BU124" s="51"/>
      <c r="BV124" s="51" t="e">
        <f t="shared" si="60"/>
        <v>#DIV/0!</v>
      </c>
      <c r="BW124" s="51" t="e">
        <f t="shared" si="61"/>
        <v>#DIV/0!</v>
      </c>
      <c r="BX124" s="51" t="e">
        <f t="shared" si="62"/>
        <v>#DIV/0!</v>
      </c>
      <c r="BY124" s="51" t="e">
        <f t="shared" si="63"/>
        <v>#DIV/0!</v>
      </c>
      <c r="BZ124" s="51" t="e">
        <f t="shared" si="64"/>
        <v>#DIV/0!</v>
      </c>
      <c r="CA124" s="51" t="e">
        <f t="shared" si="65"/>
        <v>#DIV/0!</v>
      </c>
      <c r="CB124" s="51" t="e">
        <f t="shared" si="66"/>
        <v>#DIV/0!</v>
      </c>
      <c r="CC124" s="51" t="e">
        <f t="shared" si="67"/>
        <v>#DIV/0!</v>
      </c>
      <c r="CD124" s="51" t="e">
        <f t="shared" si="68"/>
        <v>#DIV/0!</v>
      </c>
      <c r="CE124" s="53">
        <f t="shared" si="50"/>
        <v>0</v>
      </c>
      <c r="CF124" s="53">
        <f t="shared" si="77"/>
        <v>0</v>
      </c>
      <c r="CG124" s="53">
        <f t="shared" si="77"/>
        <v>0</v>
      </c>
      <c r="CH124" s="53">
        <f t="shared" si="77"/>
        <v>0</v>
      </c>
      <c r="CI124" s="53">
        <f t="shared" si="77"/>
        <v>0</v>
      </c>
      <c r="CJ124" s="53">
        <f t="shared" si="77"/>
        <v>0</v>
      </c>
      <c r="CK124" s="53">
        <f t="shared" si="77"/>
        <v>0</v>
      </c>
      <c r="CL124" s="53">
        <f t="shared" si="77"/>
        <v>0</v>
      </c>
      <c r="CM124" s="53">
        <f t="shared" si="77"/>
        <v>0</v>
      </c>
    </row>
    <row r="125" spans="1:91" x14ac:dyDescent="0.15">
      <c r="A125" s="41">
        <v>123</v>
      </c>
      <c r="B125" s="43">
        <f t="shared" ref="B125:B134" si="86">B$123</f>
        <v>1</v>
      </c>
      <c r="C125" s="43">
        <f t="shared" si="85"/>
        <v>1</v>
      </c>
      <c r="D125" s="43">
        <f t="shared" si="85"/>
        <v>1</v>
      </c>
      <c r="E125" s="43">
        <f t="shared" si="85"/>
        <v>1</v>
      </c>
      <c r="F125" s="43">
        <f t="shared" si="85"/>
        <v>1</v>
      </c>
      <c r="G125" s="43">
        <f t="shared" si="85"/>
        <v>1</v>
      </c>
      <c r="H125" s="43">
        <f t="shared" si="85"/>
        <v>1</v>
      </c>
      <c r="I125" s="43">
        <f t="shared" si="85"/>
        <v>1</v>
      </c>
      <c r="J125" s="43">
        <f t="shared" si="85"/>
        <v>1</v>
      </c>
      <c r="K125" s="43" t="e">
        <f>K124+ATM_Conf!$C$5*(T124-AC124)</f>
        <v>#DIV/0!</v>
      </c>
      <c r="L125" s="43" t="e">
        <f>L124+ATM_Conf!$C$5*(U124-AD124)</f>
        <v>#DIV/0!</v>
      </c>
      <c r="M125" s="43" t="e">
        <f>M124+ATM_Conf!$C$5*(V124-AE124)</f>
        <v>#DIV/0!</v>
      </c>
      <c r="N125" s="43" t="e">
        <f>N124+ATM_Conf!$C$5*(W124-AF124)</f>
        <v>#DIV/0!</v>
      </c>
      <c r="O125" s="43" t="e">
        <f>O124+ATM_Conf!$C$5*(X124-AG124)</f>
        <v>#DIV/0!</v>
      </c>
      <c r="P125" s="43" t="e">
        <f>P124+ATM_Conf!$C$5*(Y124-AH124)</f>
        <v>#DIV/0!</v>
      </c>
      <c r="Q125" s="43" t="e">
        <f>Q124+ATM_Conf!$C$5*(Z124-AI124)</f>
        <v>#DIV/0!</v>
      </c>
      <c r="R125" s="43" t="e">
        <f>R124+ATM_Conf!$C$5*(AA124-AJ124)</f>
        <v>#DIV/0!</v>
      </c>
      <c r="S125" s="43" t="e">
        <f>S124+ATM_Conf!$C$5*(AB124-AK124)</f>
        <v>#DIV/0!</v>
      </c>
      <c r="T125" s="43">
        <f t="shared" si="48"/>
        <v>0</v>
      </c>
      <c r="U125" s="43">
        <f t="shared" si="75"/>
        <v>0</v>
      </c>
      <c r="V125" s="43">
        <f t="shared" si="75"/>
        <v>0</v>
      </c>
      <c r="W125" s="43">
        <f t="shared" si="75"/>
        <v>0</v>
      </c>
      <c r="X125" s="43">
        <f t="shared" si="75"/>
        <v>0</v>
      </c>
      <c r="Y125" s="43">
        <f t="shared" si="75"/>
        <v>0</v>
      </c>
      <c r="Z125" s="43">
        <f t="shared" si="75"/>
        <v>0</v>
      </c>
      <c r="AA125" s="43">
        <f t="shared" si="75"/>
        <v>0</v>
      </c>
      <c r="AB125" s="43">
        <f t="shared" si="75"/>
        <v>0</v>
      </c>
      <c r="AC125" s="43" t="e">
        <f t="shared" si="51"/>
        <v>#DIV/0!</v>
      </c>
      <c r="AD125" s="43" t="e">
        <f t="shared" si="52"/>
        <v>#DIV/0!</v>
      </c>
      <c r="AE125" s="43" t="e">
        <f t="shared" si="53"/>
        <v>#DIV/0!</v>
      </c>
      <c r="AF125" s="43" t="e">
        <f t="shared" si="54"/>
        <v>#DIV/0!</v>
      </c>
      <c r="AG125" s="43" t="e">
        <f t="shared" si="55"/>
        <v>#DIV/0!</v>
      </c>
      <c r="AH125" s="43" t="e">
        <f t="shared" si="56"/>
        <v>#DIV/0!</v>
      </c>
      <c r="AI125" s="43" t="e">
        <f t="shared" si="57"/>
        <v>#DIV/0!</v>
      </c>
      <c r="AJ125" s="43" t="e">
        <f t="shared" si="58"/>
        <v>#DIV/0!</v>
      </c>
      <c r="AK125" s="43" t="e">
        <f t="shared" si="59"/>
        <v>#DIV/0!</v>
      </c>
      <c r="AL125" s="43" t="e">
        <f>T$3+K125/ATM_Conf!$C$5</f>
        <v>#DIV/0!</v>
      </c>
      <c r="AM125" s="43" t="e">
        <f>U$3+L125/ATM_Conf!$C$5</f>
        <v>#DIV/0!</v>
      </c>
      <c r="AN125" s="43" t="e">
        <f>V$3+M125/ATM_Conf!$C$5</f>
        <v>#DIV/0!</v>
      </c>
      <c r="AO125" s="43" t="e">
        <f>W$3+N125/ATM_Conf!$C$5</f>
        <v>#DIV/0!</v>
      </c>
      <c r="AP125" s="43" t="e">
        <f>X$3+O125/ATM_Conf!$C$5</f>
        <v>#DIV/0!</v>
      </c>
      <c r="AQ125" s="43" t="e">
        <f>Y$3+P125/ATM_Conf!$C$5</f>
        <v>#DIV/0!</v>
      </c>
      <c r="AR125" s="43" t="e">
        <f>Z$3+Q125/ATM_Conf!$C$5</f>
        <v>#DIV/0!</v>
      </c>
      <c r="AS125" s="43" t="e">
        <f>AA$3+R125/ATM_Conf!$C$5</f>
        <v>#DIV/0!</v>
      </c>
      <c r="AT125" s="43" t="e">
        <f>AB$3+S125/ATM_Conf!$C$5</f>
        <v>#DIV/0!</v>
      </c>
      <c r="AU125" s="43" t="e">
        <f>BD$3*MIN(1,(ATM_Conf!$C$6-Links!X125)/(ATM_Conf!$C$6-ATM_Conf!$C$7))</f>
        <v>#DIV/0!</v>
      </c>
      <c r="AV125" s="43" t="e">
        <f>BE$3*MIN(1,(ATM_Conf!$C$6-Links!Z125)/(ATM_Conf!$C$6-ATM_Conf!$C$7))</f>
        <v>#DIV/0!</v>
      </c>
      <c r="AW125" s="43" t="e">
        <f>BF$3*MIN(1,(ATM_Conf!$C$6-Links!AA125)/(ATM_Conf!$C$6-ATM_Conf!$C$7))</f>
        <v>#DIV/0!</v>
      </c>
      <c r="AX125" s="43" t="e">
        <f>BG$3*MIN(1,(ATM_Conf!$C$6-Links!AD125)/(ATM_Conf!$C$6-ATM_Conf!$C$7))</f>
        <v>#DIV/0!</v>
      </c>
      <c r="AY125" s="43" t="e">
        <f>BH$3*MIN(1,(ATM_Conf!$C$6-Links!AE125)/(ATM_Conf!$C$6-ATM_Conf!$C$7))</f>
        <v>#DIV/0!</v>
      </c>
      <c r="AZ125" s="43" t="e">
        <f>BI$3*MIN(1,(ATM_Conf!$C$6-Links!AG125)/(ATM_Conf!$C$6-ATM_Conf!$C$7))</f>
        <v>#DIV/0!</v>
      </c>
      <c r="BA125" s="43" t="e">
        <f>BJ$3*MIN(1,(ATM_Conf!$C$6-Links!AH125)/(ATM_Conf!$C$6-ATM_Conf!$C$7))</f>
        <v>#DIV/0!</v>
      </c>
      <c r="BB125" s="43" t="e">
        <f>BK$3*MIN(1,(ATM_Conf!$C$6-Links!AK125)/(ATM_Conf!$C$6-ATM_Conf!$C$7))</f>
        <v>#DIV/0!</v>
      </c>
      <c r="BC125" s="43" t="e">
        <f>BL$3*MIN(1,(ATM_Conf!$C$6-Links!AM125)/(ATM_Conf!$C$6-ATM_Conf!$C$7))</f>
        <v>#DIV/0!</v>
      </c>
      <c r="BD125" s="43">
        <f t="shared" si="49"/>
        <v>0</v>
      </c>
      <c r="BE125" s="43">
        <f t="shared" si="76"/>
        <v>0</v>
      </c>
      <c r="BF125" s="43">
        <f t="shared" si="76"/>
        <v>0</v>
      </c>
      <c r="BG125" s="43">
        <f t="shared" si="76"/>
        <v>0</v>
      </c>
      <c r="BH125" s="43">
        <f t="shared" si="76"/>
        <v>0</v>
      </c>
      <c r="BI125" s="43">
        <f t="shared" si="76"/>
        <v>0</v>
      </c>
      <c r="BJ125" s="43">
        <f t="shared" si="76"/>
        <v>0</v>
      </c>
      <c r="BK125" s="43">
        <f t="shared" si="76"/>
        <v>0</v>
      </c>
      <c r="BL125" s="43">
        <f t="shared" si="76"/>
        <v>0</v>
      </c>
      <c r="BM125" s="51"/>
      <c r="BN125" s="51"/>
      <c r="BO125" s="51"/>
      <c r="BP125" s="51"/>
      <c r="BQ125" s="51"/>
      <c r="BR125" s="51"/>
      <c r="BS125" s="51"/>
      <c r="BT125" s="51"/>
      <c r="BU125" s="51"/>
      <c r="BV125" s="51" t="e">
        <f t="shared" si="60"/>
        <v>#DIV/0!</v>
      </c>
      <c r="BW125" s="51" t="e">
        <f t="shared" si="61"/>
        <v>#DIV/0!</v>
      </c>
      <c r="BX125" s="51" t="e">
        <f t="shared" si="62"/>
        <v>#DIV/0!</v>
      </c>
      <c r="BY125" s="51" t="e">
        <f t="shared" si="63"/>
        <v>#DIV/0!</v>
      </c>
      <c r="BZ125" s="51" t="e">
        <f t="shared" si="64"/>
        <v>#DIV/0!</v>
      </c>
      <c r="CA125" s="51" t="e">
        <f t="shared" si="65"/>
        <v>#DIV/0!</v>
      </c>
      <c r="CB125" s="51" t="e">
        <f t="shared" si="66"/>
        <v>#DIV/0!</v>
      </c>
      <c r="CC125" s="51" t="e">
        <f t="shared" si="67"/>
        <v>#DIV/0!</v>
      </c>
      <c r="CD125" s="51" t="e">
        <f t="shared" si="68"/>
        <v>#DIV/0!</v>
      </c>
      <c r="CE125" s="53">
        <f t="shared" si="50"/>
        <v>0</v>
      </c>
      <c r="CF125" s="53">
        <f t="shared" si="77"/>
        <v>0</v>
      </c>
      <c r="CG125" s="53">
        <f t="shared" si="77"/>
        <v>0</v>
      </c>
      <c r="CH125" s="53">
        <f t="shared" si="77"/>
        <v>0</v>
      </c>
      <c r="CI125" s="53">
        <f t="shared" si="77"/>
        <v>0</v>
      </c>
      <c r="CJ125" s="53">
        <f t="shared" si="77"/>
        <v>0</v>
      </c>
      <c r="CK125" s="53">
        <f t="shared" si="77"/>
        <v>0</v>
      </c>
      <c r="CL125" s="53">
        <f t="shared" si="77"/>
        <v>0</v>
      </c>
      <c r="CM125" s="53">
        <f t="shared" si="77"/>
        <v>0</v>
      </c>
    </row>
    <row r="126" spans="1:91" x14ac:dyDescent="0.15">
      <c r="A126" s="41">
        <v>124</v>
      </c>
      <c r="B126" s="43">
        <f t="shared" si="86"/>
        <v>1</v>
      </c>
      <c r="C126" s="43">
        <f t="shared" si="85"/>
        <v>1</v>
      </c>
      <c r="D126" s="43">
        <f t="shared" si="85"/>
        <v>1</v>
      </c>
      <c r="E126" s="43">
        <f t="shared" si="85"/>
        <v>1</v>
      </c>
      <c r="F126" s="43">
        <f t="shared" si="85"/>
        <v>1</v>
      </c>
      <c r="G126" s="43">
        <f t="shared" si="85"/>
        <v>1</v>
      </c>
      <c r="H126" s="43">
        <f t="shared" si="85"/>
        <v>1</v>
      </c>
      <c r="I126" s="43">
        <f t="shared" si="85"/>
        <v>1</v>
      </c>
      <c r="J126" s="43">
        <f t="shared" si="85"/>
        <v>1</v>
      </c>
      <c r="K126" s="43" t="e">
        <f>K125+ATM_Conf!$C$5*(T125-AC125)</f>
        <v>#DIV/0!</v>
      </c>
      <c r="L126" s="43" t="e">
        <f>L125+ATM_Conf!$C$5*(U125-AD125)</f>
        <v>#DIV/0!</v>
      </c>
      <c r="M126" s="43" t="e">
        <f>M125+ATM_Conf!$C$5*(V125-AE125)</f>
        <v>#DIV/0!</v>
      </c>
      <c r="N126" s="43" t="e">
        <f>N125+ATM_Conf!$C$5*(W125-AF125)</f>
        <v>#DIV/0!</v>
      </c>
      <c r="O126" s="43" t="e">
        <f>O125+ATM_Conf!$C$5*(X125-AG125)</f>
        <v>#DIV/0!</v>
      </c>
      <c r="P126" s="43" t="e">
        <f>P125+ATM_Conf!$C$5*(Y125-AH125)</f>
        <v>#DIV/0!</v>
      </c>
      <c r="Q126" s="43" t="e">
        <f>Q125+ATM_Conf!$C$5*(Z125-AI125)</f>
        <v>#DIV/0!</v>
      </c>
      <c r="R126" s="43" t="e">
        <f>R125+ATM_Conf!$C$5*(AA125-AJ125)</f>
        <v>#DIV/0!</v>
      </c>
      <c r="S126" s="43" t="e">
        <f>S125+ATM_Conf!$C$5*(AB125-AK125)</f>
        <v>#DIV/0!</v>
      </c>
      <c r="T126" s="43">
        <f t="shared" si="48"/>
        <v>0</v>
      </c>
      <c r="U126" s="43">
        <f t="shared" si="75"/>
        <v>0</v>
      </c>
      <c r="V126" s="43">
        <f t="shared" si="75"/>
        <v>0</v>
      </c>
      <c r="W126" s="43">
        <f t="shared" si="75"/>
        <v>0</v>
      </c>
      <c r="X126" s="43">
        <f t="shared" si="75"/>
        <v>0</v>
      </c>
      <c r="Y126" s="43">
        <f t="shared" si="75"/>
        <v>0</v>
      </c>
      <c r="Z126" s="43">
        <f t="shared" si="75"/>
        <v>0</v>
      </c>
      <c r="AA126" s="43">
        <f t="shared" si="75"/>
        <v>0</v>
      </c>
      <c r="AB126" s="43">
        <f t="shared" si="75"/>
        <v>0</v>
      </c>
      <c r="AC126" s="43" t="e">
        <f t="shared" si="51"/>
        <v>#DIV/0!</v>
      </c>
      <c r="AD126" s="43" t="e">
        <f t="shared" si="52"/>
        <v>#DIV/0!</v>
      </c>
      <c r="AE126" s="43" t="e">
        <f t="shared" si="53"/>
        <v>#DIV/0!</v>
      </c>
      <c r="AF126" s="43" t="e">
        <f t="shared" si="54"/>
        <v>#DIV/0!</v>
      </c>
      <c r="AG126" s="43" t="e">
        <f t="shared" si="55"/>
        <v>#DIV/0!</v>
      </c>
      <c r="AH126" s="43" t="e">
        <f t="shared" si="56"/>
        <v>#DIV/0!</v>
      </c>
      <c r="AI126" s="43" t="e">
        <f t="shared" si="57"/>
        <v>#DIV/0!</v>
      </c>
      <c r="AJ126" s="43" t="e">
        <f t="shared" si="58"/>
        <v>#DIV/0!</v>
      </c>
      <c r="AK126" s="43" t="e">
        <f t="shared" si="59"/>
        <v>#DIV/0!</v>
      </c>
      <c r="AL126" s="43" t="e">
        <f>T$3+K126/ATM_Conf!$C$5</f>
        <v>#DIV/0!</v>
      </c>
      <c r="AM126" s="43" t="e">
        <f>U$3+L126/ATM_Conf!$C$5</f>
        <v>#DIV/0!</v>
      </c>
      <c r="AN126" s="43" t="e">
        <f>V$3+M126/ATM_Conf!$C$5</f>
        <v>#DIV/0!</v>
      </c>
      <c r="AO126" s="43" t="e">
        <f>W$3+N126/ATM_Conf!$C$5</f>
        <v>#DIV/0!</v>
      </c>
      <c r="AP126" s="43" t="e">
        <f>X$3+O126/ATM_Conf!$C$5</f>
        <v>#DIV/0!</v>
      </c>
      <c r="AQ126" s="43" t="e">
        <f>Y$3+P126/ATM_Conf!$C$5</f>
        <v>#DIV/0!</v>
      </c>
      <c r="AR126" s="43" t="e">
        <f>Z$3+Q126/ATM_Conf!$C$5</f>
        <v>#DIV/0!</v>
      </c>
      <c r="AS126" s="43" t="e">
        <f>AA$3+R126/ATM_Conf!$C$5</f>
        <v>#DIV/0!</v>
      </c>
      <c r="AT126" s="43" t="e">
        <f>AB$3+S126/ATM_Conf!$C$5</f>
        <v>#DIV/0!</v>
      </c>
      <c r="AU126" s="43" t="e">
        <f>BD$3*MIN(1,(ATM_Conf!$C$6-Links!X126)/(ATM_Conf!$C$6-ATM_Conf!$C$7))</f>
        <v>#DIV/0!</v>
      </c>
      <c r="AV126" s="43" t="e">
        <f>BE$3*MIN(1,(ATM_Conf!$C$6-Links!Z126)/(ATM_Conf!$C$6-ATM_Conf!$C$7))</f>
        <v>#DIV/0!</v>
      </c>
      <c r="AW126" s="43" t="e">
        <f>BF$3*MIN(1,(ATM_Conf!$C$6-Links!AA126)/(ATM_Conf!$C$6-ATM_Conf!$C$7))</f>
        <v>#DIV/0!</v>
      </c>
      <c r="AX126" s="43" t="e">
        <f>BG$3*MIN(1,(ATM_Conf!$C$6-Links!AD126)/(ATM_Conf!$C$6-ATM_Conf!$C$7))</f>
        <v>#DIV/0!</v>
      </c>
      <c r="AY126" s="43" t="e">
        <f>BH$3*MIN(1,(ATM_Conf!$C$6-Links!AE126)/(ATM_Conf!$C$6-ATM_Conf!$C$7))</f>
        <v>#DIV/0!</v>
      </c>
      <c r="AZ126" s="43" t="e">
        <f>BI$3*MIN(1,(ATM_Conf!$C$6-Links!AG126)/(ATM_Conf!$C$6-ATM_Conf!$C$7))</f>
        <v>#DIV/0!</v>
      </c>
      <c r="BA126" s="43" t="e">
        <f>BJ$3*MIN(1,(ATM_Conf!$C$6-Links!AH126)/(ATM_Conf!$C$6-ATM_Conf!$C$7))</f>
        <v>#DIV/0!</v>
      </c>
      <c r="BB126" s="43" t="e">
        <f>BK$3*MIN(1,(ATM_Conf!$C$6-Links!AK126)/(ATM_Conf!$C$6-ATM_Conf!$C$7))</f>
        <v>#DIV/0!</v>
      </c>
      <c r="BC126" s="43" t="e">
        <f>BL$3*MIN(1,(ATM_Conf!$C$6-Links!AM126)/(ATM_Conf!$C$6-ATM_Conf!$C$7))</f>
        <v>#DIV/0!</v>
      </c>
      <c r="BD126" s="43">
        <f t="shared" si="49"/>
        <v>0</v>
      </c>
      <c r="BE126" s="43">
        <f t="shared" si="76"/>
        <v>0</v>
      </c>
      <c r="BF126" s="43">
        <f t="shared" si="76"/>
        <v>0</v>
      </c>
      <c r="BG126" s="43">
        <f t="shared" si="76"/>
        <v>0</v>
      </c>
      <c r="BH126" s="43">
        <f t="shared" si="76"/>
        <v>0</v>
      </c>
      <c r="BI126" s="43">
        <f t="shared" si="76"/>
        <v>0</v>
      </c>
      <c r="BJ126" s="43">
        <f t="shared" si="76"/>
        <v>0</v>
      </c>
      <c r="BK126" s="43">
        <f t="shared" si="76"/>
        <v>0</v>
      </c>
      <c r="BL126" s="43">
        <f t="shared" si="76"/>
        <v>0</v>
      </c>
      <c r="BM126" s="51"/>
      <c r="BN126" s="51"/>
      <c r="BO126" s="51"/>
      <c r="BP126" s="51"/>
      <c r="BQ126" s="51"/>
      <c r="BR126" s="51"/>
      <c r="BS126" s="51"/>
      <c r="BT126" s="51"/>
      <c r="BU126" s="51"/>
      <c r="BV126" s="51" t="e">
        <f t="shared" si="60"/>
        <v>#DIV/0!</v>
      </c>
      <c r="BW126" s="51" t="e">
        <f t="shared" si="61"/>
        <v>#DIV/0!</v>
      </c>
      <c r="BX126" s="51" t="e">
        <f t="shared" si="62"/>
        <v>#DIV/0!</v>
      </c>
      <c r="BY126" s="51" t="e">
        <f t="shared" si="63"/>
        <v>#DIV/0!</v>
      </c>
      <c r="BZ126" s="51" t="e">
        <f t="shared" si="64"/>
        <v>#DIV/0!</v>
      </c>
      <c r="CA126" s="51" t="e">
        <f t="shared" si="65"/>
        <v>#DIV/0!</v>
      </c>
      <c r="CB126" s="51" t="e">
        <f t="shared" si="66"/>
        <v>#DIV/0!</v>
      </c>
      <c r="CC126" s="51" t="e">
        <f t="shared" si="67"/>
        <v>#DIV/0!</v>
      </c>
      <c r="CD126" s="51" t="e">
        <f t="shared" si="68"/>
        <v>#DIV/0!</v>
      </c>
      <c r="CE126" s="53">
        <f t="shared" si="50"/>
        <v>0</v>
      </c>
      <c r="CF126" s="53">
        <f t="shared" si="77"/>
        <v>0</v>
      </c>
      <c r="CG126" s="53">
        <f t="shared" si="77"/>
        <v>0</v>
      </c>
      <c r="CH126" s="53">
        <f t="shared" si="77"/>
        <v>0</v>
      </c>
      <c r="CI126" s="53">
        <f t="shared" si="77"/>
        <v>0</v>
      </c>
      <c r="CJ126" s="53">
        <f t="shared" si="77"/>
        <v>0</v>
      </c>
      <c r="CK126" s="53">
        <f t="shared" si="77"/>
        <v>0</v>
      </c>
      <c r="CL126" s="53">
        <f t="shared" si="77"/>
        <v>0</v>
      </c>
      <c r="CM126" s="53">
        <f t="shared" si="77"/>
        <v>0</v>
      </c>
    </row>
    <row r="127" spans="1:91" x14ac:dyDescent="0.15">
      <c r="A127" s="41">
        <v>125</v>
      </c>
      <c r="B127" s="43">
        <f t="shared" si="86"/>
        <v>1</v>
      </c>
      <c r="C127" s="43">
        <f t="shared" si="85"/>
        <v>1</v>
      </c>
      <c r="D127" s="43">
        <f t="shared" si="85"/>
        <v>1</v>
      </c>
      <c r="E127" s="43">
        <f t="shared" si="85"/>
        <v>1</v>
      </c>
      <c r="F127" s="43">
        <f t="shared" si="85"/>
        <v>1</v>
      </c>
      <c r="G127" s="43">
        <f t="shared" si="85"/>
        <v>1</v>
      </c>
      <c r="H127" s="43">
        <f t="shared" si="85"/>
        <v>1</v>
      </c>
      <c r="I127" s="43">
        <f t="shared" si="85"/>
        <v>1</v>
      </c>
      <c r="J127" s="43">
        <f t="shared" si="85"/>
        <v>1</v>
      </c>
      <c r="K127" s="43" t="e">
        <f>K126+ATM_Conf!$C$5*(T126-AC126)</f>
        <v>#DIV/0!</v>
      </c>
      <c r="L127" s="43" t="e">
        <f>L126+ATM_Conf!$C$5*(U126-AD126)</f>
        <v>#DIV/0!</v>
      </c>
      <c r="M127" s="43" t="e">
        <f>M126+ATM_Conf!$C$5*(V126-AE126)</f>
        <v>#DIV/0!</v>
      </c>
      <c r="N127" s="43" t="e">
        <f>N126+ATM_Conf!$C$5*(W126-AF126)</f>
        <v>#DIV/0!</v>
      </c>
      <c r="O127" s="43" t="e">
        <f>O126+ATM_Conf!$C$5*(X126-AG126)</f>
        <v>#DIV/0!</v>
      </c>
      <c r="P127" s="43" t="e">
        <f>P126+ATM_Conf!$C$5*(Y126-AH126)</f>
        <v>#DIV/0!</v>
      </c>
      <c r="Q127" s="43" t="e">
        <f>Q126+ATM_Conf!$C$5*(Z126-AI126)</f>
        <v>#DIV/0!</v>
      </c>
      <c r="R127" s="43" t="e">
        <f>R126+ATM_Conf!$C$5*(AA126-AJ126)</f>
        <v>#DIV/0!</v>
      </c>
      <c r="S127" s="43" t="e">
        <f>S126+ATM_Conf!$C$5*(AB126-AK126)</f>
        <v>#DIV/0!</v>
      </c>
      <c r="T127" s="43">
        <f t="shared" si="48"/>
        <v>0</v>
      </c>
      <c r="U127" s="43">
        <f t="shared" si="75"/>
        <v>0</v>
      </c>
      <c r="V127" s="43">
        <f t="shared" si="75"/>
        <v>0</v>
      </c>
      <c r="W127" s="43">
        <f t="shared" si="75"/>
        <v>0</v>
      </c>
      <c r="X127" s="43">
        <f t="shared" si="75"/>
        <v>0</v>
      </c>
      <c r="Y127" s="43">
        <f t="shared" si="75"/>
        <v>0</v>
      </c>
      <c r="Z127" s="43">
        <f t="shared" si="75"/>
        <v>0</v>
      </c>
      <c r="AA127" s="43">
        <f t="shared" si="75"/>
        <v>0</v>
      </c>
      <c r="AB127" s="43">
        <f t="shared" si="75"/>
        <v>0</v>
      </c>
      <c r="AC127" s="43" t="e">
        <f t="shared" si="51"/>
        <v>#DIV/0!</v>
      </c>
      <c r="AD127" s="43" t="e">
        <f t="shared" si="52"/>
        <v>#DIV/0!</v>
      </c>
      <c r="AE127" s="43" t="e">
        <f t="shared" si="53"/>
        <v>#DIV/0!</v>
      </c>
      <c r="AF127" s="43" t="e">
        <f t="shared" si="54"/>
        <v>#DIV/0!</v>
      </c>
      <c r="AG127" s="43" t="e">
        <f t="shared" si="55"/>
        <v>#DIV/0!</v>
      </c>
      <c r="AH127" s="43" t="e">
        <f t="shared" si="56"/>
        <v>#DIV/0!</v>
      </c>
      <c r="AI127" s="43" t="e">
        <f t="shared" si="57"/>
        <v>#DIV/0!</v>
      </c>
      <c r="AJ127" s="43" t="e">
        <f t="shared" si="58"/>
        <v>#DIV/0!</v>
      </c>
      <c r="AK127" s="43" t="e">
        <f t="shared" si="59"/>
        <v>#DIV/0!</v>
      </c>
      <c r="AL127" s="43" t="e">
        <f>T$3+K127/ATM_Conf!$C$5</f>
        <v>#DIV/0!</v>
      </c>
      <c r="AM127" s="43" t="e">
        <f>U$3+L127/ATM_Conf!$C$5</f>
        <v>#DIV/0!</v>
      </c>
      <c r="AN127" s="43" t="e">
        <f>V$3+M127/ATM_Conf!$C$5</f>
        <v>#DIV/0!</v>
      </c>
      <c r="AO127" s="43" t="e">
        <f>W$3+N127/ATM_Conf!$C$5</f>
        <v>#DIV/0!</v>
      </c>
      <c r="AP127" s="43" t="e">
        <f>X$3+O127/ATM_Conf!$C$5</f>
        <v>#DIV/0!</v>
      </c>
      <c r="AQ127" s="43" t="e">
        <f>Y$3+P127/ATM_Conf!$C$5</f>
        <v>#DIV/0!</v>
      </c>
      <c r="AR127" s="43" t="e">
        <f>Z$3+Q127/ATM_Conf!$C$5</f>
        <v>#DIV/0!</v>
      </c>
      <c r="AS127" s="43" t="e">
        <f>AA$3+R127/ATM_Conf!$C$5</f>
        <v>#DIV/0!</v>
      </c>
      <c r="AT127" s="43" t="e">
        <f>AB$3+S127/ATM_Conf!$C$5</f>
        <v>#DIV/0!</v>
      </c>
      <c r="AU127" s="43" t="e">
        <f>BD$3*MIN(1,(ATM_Conf!$C$6-Links!X127)/(ATM_Conf!$C$6-ATM_Conf!$C$7))</f>
        <v>#DIV/0!</v>
      </c>
      <c r="AV127" s="43" t="e">
        <f>BE$3*MIN(1,(ATM_Conf!$C$6-Links!Z127)/(ATM_Conf!$C$6-ATM_Conf!$C$7))</f>
        <v>#DIV/0!</v>
      </c>
      <c r="AW127" s="43" t="e">
        <f>BF$3*MIN(1,(ATM_Conf!$C$6-Links!AA127)/(ATM_Conf!$C$6-ATM_Conf!$C$7))</f>
        <v>#DIV/0!</v>
      </c>
      <c r="AX127" s="43" t="e">
        <f>BG$3*MIN(1,(ATM_Conf!$C$6-Links!AD127)/(ATM_Conf!$C$6-ATM_Conf!$C$7))</f>
        <v>#DIV/0!</v>
      </c>
      <c r="AY127" s="43" t="e">
        <f>BH$3*MIN(1,(ATM_Conf!$C$6-Links!AE127)/(ATM_Conf!$C$6-ATM_Conf!$C$7))</f>
        <v>#DIV/0!</v>
      </c>
      <c r="AZ127" s="43" t="e">
        <f>BI$3*MIN(1,(ATM_Conf!$C$6-Links!AG127)/(ATM_Conf!$C$6-ATM_Conf!$C$7))</f>
        <v>#DIV/0!</v>
      </c>
      <c r="BA127" s="43" t="e">
        <f>BJ$3*MIN(1,(ATM_Conf!$C$6-Links!AH127)/(ATM_Conf!$C$6-ATM_Conf!$C$7))</f>
        <v>#DIV/0!</v>
      </c>
      <c r="BB127" s="43" t="e">
        <f>BK$3*MIN(1,(ATM_Conf!$C$6-Links!AK127)/(ATM_Conf!$C$6-ATM_Conf!$C$7))</f>
        <v>#DIV/0!</v>
      </c>
      <c r="BC127" s="43" t="e">
        <f>BL$3*MIN(1,(ATM_Conf!$C$6-Links!AM127)/(ATM_Conf!$C$6-ATM_Conf!$C$7))</f>
        <v>#DIV/0!</v>
      </c>
      <c r="BD127" s="43">
        <f t="shared" si="49"/>
        <v>0</v>
      </c>
      <c r="BE127" s="43">
        <f t="shared" si="76"/>
        <v>0</v>
      </c>
      <c r="BF127" s="43">
        <f t="shared" si="76"/>
        <v>0</v>
      </c>
      <c r="BG127" s="43">
        <f t="shared" si="76"/>
        <v>0</v>
      </c>
      <c r="BH127" s="43">
        <f t="shared" si="76"/>
        <v>0</v>
      </c>
      <c r="BI127" s="43">
        <f t="shared" si="76"/>
        <v>0</v>
      </c>
      <c r="BJ127" s="43">
        <f t="shared" si="76"/>
        <v>0</v>
      </c>
      <c r="BK127" s="43">
        <f t="shared" si="76"/>
        <v>0</v>
      </c>
      <c r="BL127" s="43">
        <f t="shared" si="76"/>
        <v>0</v>
      </c>
      <c r="BM127" s="51"/>
      <c r="BN127" s="51"/>
      <c r="BO127" s="51"/>
      <c r="BP127" s="51"/>
      <c r="BQ127" s="51"/>
      <c r="BR127" s="51"/>
      <c r="BS127" s="51"/>
      <c r="BT127" s="51"/>
      <c r="BU127" s="51"/>
      <c r="BV127" s="51" t="e">
        <f t="shared" si="60"/>
        <v>#DIV/0!</v>
      </c>
      <c r="BW127" s="51" t="e">
        <f t="shared" si="61"/>
        <v>#DIV/0!</v>
      </c>
      <c r="BX127" s="51" t="e">
        <f t="shared" si="62"/>
        <v>#DIV/0!</v>
      </c>
      <c r="BY127" s="51" t="e">
        <f t="shared" si="63"/>
        <v>#DIV/0!</v>
      </c>
      <c r="BZ127" s="51" t="e">
        <f t="shared" si="64"/>
        <v>#DIV/0!</v>
      </c>
      <c r="CA127" s="51" t="e">
        <f t="shared" si="65"/>
        <v>#DIV/0!</v>
      </c>
      <c r="CB127" s="51" t="e">
        <f t="shared" si="66"/>
        <v>#DIV/0!</v>
      </c>
      <c r="CC127" s="51" t="e">
        <f t="shared" si="67"/>
        <v>#DIV/0!</v>
      </c>
      <c r="CD127" s="51" t="e">
        <f t="shared" si="68"/>
        <v>#DIV/0!</v>
      </c>
      <c r="CE127" s="53">
        <f t="shared" si="50"/>
        <v>0</v>
      </c>
      <c r="CF127" s="53">
        <f t="shared" si="77"/>
        <v>0</v>
      </c>
      <c r="CG127" s="53">
        <f t="shared" si="77"/>
        <v>0</v>
      </c>
      <c r="CH127" s="53">
        <f t="shared" si="77"/>
        <v>0</v>
      </c>
      <c r="CI127" s="53">
        <f t="shared" si="77"/>
        <v>0</v>
      </c>
      <c r="CJ127" s="53">
        <f t="shared" si="77"/>
        <v>0</v>
      </c>
      <c r="CK127" s="53">
        <f t="shared" si="77"/>
        <v>0</v>
      </c>
      <c r="CL127" s="53">
        <f t="shared" si="77"/>
        <v>0</v>
      </c>
      <c r="CM127" s="53">
        <f t="shared" si="77"/>
        <v>0</v>
      </c>
    </row>
    <row r="128" spans="1:91" x14ac:dyDescent="0.15">
      <c r="A128" s="41">
        <v>126</v>
      </c>
      <c r="B128" s="43">
        <f t="shared" si="86"/>
        <v>1</v>
      </c>
      <c r="C128" s="43">
        <f t="shared" si="85"/>
        <v>1</v>
      </c>
      <c r="D128" s="43">
        <f t="shared" si="85"/>
        <v>1</v>
      </c>
      <c r="E128" s="43">
        <f t="shared" si="85"/>
        <v>1</v>
      </c>
      <c r="F128" s="43">
        <f t="shared" si="85"/>
        <v>1</v>
      </c>
      <c r="G128" s="43">
        <f t="shared" si="85"/>
        <v>1</v>
      </c>
      <c r="H128" s="43">
        <f t="shared" si="85"/>
        <v>1</v>
      </c>
      <c r="I128" s="43">
        <f t="shared" si="85"/>
        <v>1</v>
      </c>
      <c r="J128" s="43">
        <f t="shared" si="85"/>
        <v>1</v>
      </c>
      <c r="K128" s="43" t="e">
        <f>K127+ATM_Conf!$C$5*(T127-AC127)</f>
        <v>#DIV/0!</v>
      </c>
      <c r="L128" s="43" t="e">
        <f>L127+ATM_Conf!$C$5*(U127-AD127)</f>
        <v>#DIV/0!</v>
      </c>
      <c r="M128" s="43" t="e">
        <f>M127+ATM_Conf!$C$5*(V127-AE127)</f>
        <v>#DIV/0!</v>
      </c>
      <c r="N128" s="43" t="e">
        <f>N127+ATM_Conf!$C$5*(W127-AF127)</f>
        <v>#DIV/0!</v>
      </c>
      <c r="O128" s="43" t="e">
        <f>O127+ATM_Conf!$C$5*(X127-AG127)</f>
        <v>#DIV/0!</v>
      </c>
      <c r="P128" s="43" t="e">
        <f>P127+ATM_Conf!$C$5*(Y127-AH127)</f>
        <v>#DIV/0!</v>
      </c>
      <c r="Q128" s="43" t="e">
        <f>Q127+ATM_Conf!$C$5*(Z127-AI127)</f>
        <v>#DIV/0!</v>
      </c>
      <c r="R128" s="43" t="e">
        <f>R127+ATM_Conf!$C$5*(AA127-AJ127)</f>
        <v>#DIV/0!</v>
      </c>
      <c r="S128" s="43" t="e">
        <f>S127+ATM_Conf!$C$5*(AB127-AK127)</f>
        <v>#DIV/0!</v>
      </c>
      <c r="T128" s="43">
        <f t="shared" si="48"/>
        <v>0</v>
      </c>
      <c r="U128" s="43">
        <f t="shared" si="75"/>
        <v>0</v>
      </c>
      <c r="V128" s="43">
        <f t="shared" si="75"/>
        <v>0</v>
      </c>
      <c r="W128" s="43">
        <f t="shared" si="75"/>
        <v>0</v>
      </c>
      <c r="X128" s="43">
        <f t="shared" si="75"/>
        <v>0</v>
      </c>
      <c r="Y128" s="43">
        <f t="shared" si="75"/>
        <v>0</v>
      </c>
      <c r="Z128" s="43">
        <f t="shared" si="75"/>
        <v>0</v>
      </c>
      <c r="AA128" s="43">
        <f t="shared" si="75"/>
        <v>0</v>
      </c>
      <c r="AB128" s="43">
        <f t="shared" si="75"/>
        <v>0</v>
      </c>
      <c r="AC128" s="43" t="e">
        <f t="shared" si="51"/>
        <v>#DIV/0!</v>
      </c>
      <c r="AD128" s="43" t="e">
        <f t="shared" si="52"/>
        <v>#DIV/0!</v>
      </c>
      <c r="AE128" s="43" t="e">
        <f t="shared" si="53"/>
        <v>#DIV/0!</v>
      </c>
      <c r="AF128" s="43" t="e">
        <f t="shared" si="54"/>
        <v>#DIV/0!</v>
      </c>
      <c r="AG128" s="43" t="e">
        <f t="shared" si="55"/>
        <v>#DIV/0!</v>
      </c>
      <c r="AH128" s="43" t="e">
        <f t="shared" si="56"/>
        <v>#DIV/0!</v>
      </c>
      <c r="AI128" s="43" t="e">
        <f t="shared" si="57"/>
        <v>#DIV/0!</v>
      </c>
      <c r="AJ128" s="43" t="e">
        <f t="shared" si="58"/>
        <v>#DIV/0!</v>
      </c>
      <c r="AK128" s="43" t="e">
        <f t="shared" si="59"/>
        <v>#DIV/0!</v>
      </c>
      <c r="AL128" s="43" t="e">
        <f>T$3+K128/ATM_Conf!$C$5</f>
        <v>#DIV/0!</v>
      </c>
      <c r="AM128" s="43" t="e">
        <f>U$3+L128/ATM_Conf!$C$5</f>
        <v>#DIV/0!</v>
      </c>
      <c r="AN128" s="43" t="e">
        <f>V$3+M128/ATM_Conf!$C$5</f>
        <v>#DIV/0!</v>
      </c>
      <c r="AO128" s="43" t="e">
        <f>W$3+N128/ATM_Conf!$C$5</f>
        <v>#DIV/0!</v>
      </c>
      <c r="AP128" s="43" t="e">
        <f>X$3+O128/ATM_Conf!$C$5</f>
        <v>#DIV/0!</v>
      </c>
      <c r="AQ128" s="43" t="e">
        <f>Y$3+P128/ATM_Conf!$C$5</f>
        <v>#DIV/0!</v>
      </c>
      <c r="AR128" s="43" t="e">
        <f>Z$3+Q128/ATM_Conf!$C$5</f>
        <v>#DIV/0!</v>
      </c>
      <c r="AS128" s="43" t="e">
        <f>AA$3+R128/ATM_Conf!$C$5</f>
        <v>#DIV/0!</v>
      </c>
      <c r="AT128" s="43" t="e">
        <f>AB$3+S128/ATM_Conf!$C$5</f>
        <v>#DIV/0!</v>
      </c>
      <c r="AU128" s="43" t="e">
        <f>BD$3*MIN(1,(ATM_Conf!$C$6-Links!X128)/(ATM_Conf!$C$6-ATM_Conf!$C$7))</f>
        <v>#DIV/0!</v>
      </c>
      <c r="AV128" s="43" t="e">
        <f>BE$3*MIN(1,(ATM_Conf!$C$6-Links!Z128)/(ATM_Conf!$C$6-ATM_Conf!$C$7))</f>
        <v>#DIV/0!</v>
      </c>
      <c r="AW128" s="43" t="e">
        <f>BF$3*MIN(1,(ATM_Conf!$C$6-Links!AA128)/(ATM_Conf!$C$6-ATM_Conf!$C$7))</f>
        <v>#DIV/0!</v>
      </c>
      <c r="AX128" s="43" t="e">
        <f>BG$3*MIN(1,(ATM_Conf!$C$6-Links!AD128)/(ATM_Conf!$C$6-ATM_Conf!$C$7))</f>
        <v>#DIV/0!</v>
      </c>
      <c r="AY128" s="43" t="e">
        <f>BH$3*MIN(1,(ATM_Conf!$C$6-Links!AE128)/(ATM_Conf!$C$6-ATM_Conf!$C$7))</f>
        <v>#DIV/0!</v>
      </c>
      <c r="AZ128" s="43" t="e">
        <f>BI$3*MIN(1,(ATM_Conf!$C$6-Links!AG128)/(ATM_Conf!$C$6-ATM_Conf!$C$7))</f>
        <v>#DIV/0!</v>
      </c>
      <c r="BA128" s="43" t="e">
        <f>BJ$3*MIN(1,(ATM_Conf!$C$6-Links!AH128)/(ATM_Conf!$C$6-ATM_Conf!$C$7))</f>
        <v>#DIV/0!</v>
      </c>
      <c r="BB128" s="43" t="e">
        <f>BK$3*MIN(1,(ATM_Conf!$C$6-Links!AK128)/(ATM_Conf!$C$6-ATM_Conf!$C$7))</f>
        <v>#DIV/0!</v>
      </c>
      <c r="BC128" s="43" t="e">
        <f>BL$3*MIN(1,(ATM_Conf!$C$6-Links!AM128)/(ATM_Conf!$C$6-ATM_Conf!$C$7))</f>
        <v>#DIV/0!</v>
      </c>
      <c r="BD128" s="43">
        <f t="shared" si="49"/>
        <v>0</v>
      </c>
      <c r="BE128" s="43">
        <f t="shared" si="76"/>
        <v>0</v>
      </c>
      <c r="BF128" s="43">
        <f t="shared" si="76"/>
        <v>0</v>
      </c>
      <c r="BG128" s="43">
        <f t="shared" si="76"/>
        <v>0</v>
      </c>
      <c r="BH128" s="43">
        <f t="shared" si="76"/>
        <v>0</v>
      </c>
      <c r="BI128" s="43">
        <f t="shared" si="76"/>
        <v>0</v>
      </c>
      <c r="BJ128" s="43">
        <f t="shared" si="76"/>
        <v>0</v>
      </c>
      <c r="BK128" s="43">
        <f t="shared" si="76"/>
        <v>0</v>
      </c>
      <c r="BL128" s="43">
        <f t="shared" si="76"/>
        <v>0</v>
      </c>
      <c r="BM128" s="51"/>
      <c r="BN128" s="51"/>
      <c r="BO128" s="51"/>
      <c r="BP128" s="51"/>
      <c r="BQ128" s="51"/>
      <c r="BR128" s="51"/>
      <c r="BS128" s="51"/>
      <c r="BT128" s="51"/>
      <c r="BU128" s="51"/>
      <c r="BV128" s="51" t="e">
        <f t="shared" si="60"/>
        <v>#DIV/0!</v>
      </c>
      <c r="BW128" s="51" t="e">
        <f t="shared" si="61"/>
        <v>#DIV/0!</v>
      </c>
      <c r="BX128" s="51" t="e">
        <f t="shared" si="62"/>
        <v>#DIV/0!</v>
      </c>
      <c r="BY128" s="51" t="e">
        <f t="shared" si="63"/>
        <v>#DIV/0!</v>
      </c>
      <c r="BZ128" s="51" t="e">
        <f t="shared" si="64"/>
        <v>#DIV/0!</v>
      </c>
      <c r="CA128" s="51" t="e">
        <f t="shared" si="65"/>
        <v>#DIV/0!</v>
      </c>
      <c r="CB128" s="51" t="e">
        <f t="shared" si="66"/>
        <v>#DIV/0!</v>
      </c>
      <c r="CC128" s="51" t="e">
        <f t="shared" si="67"/>
        <v>#DIV/0!</v>
      </c>
      <c r="CD128" s="51" t="e">
        <f t="shared" si="68"/>
        <v>#DIV/0!</v>
      </c>
      <c r="CE128" s="53">
        <f t="shared" si="50"/>
        <v>0</v>
      </c>
      <c r="CF128" s="53">
        <f t="shared" si="77"/>
        <v>0</v>
      </c>
      <c r="CG128" s="53">
        <f t="shared" si="77"/>
        <v>0</v>
      </c>
      <c r="CH128" s="53">
        <f t="shared" si="77"/>
        <v>0</v>
      </c>
      <c r="CI128" s="53">
        <f t="shared" si="77"/>
        <v>0</v>
      </c>
      <c r="CJ128" s="53">
        <f t="shared" si="77"/>
        <v>0</v>
      </c>
      <c r="CK128" s="53">
        <f t="shared" si="77"/>
        <v>0</v>
      </c>
      <c r="CL128" s="53">
        <f t="shared" si="77"/>
        <v>0</v>
      </c>
      <c r="CM128" s="53">
        <f t="shared" si="77"/>
        <v>0</v>
      </c>
    </row>
    <row r="129" spans="1:91" x14ac:dyDescent="0.15">
      <c r="A129" s="41">
        <v>127</v>
      </c>
      <c r="B129" s="43">
        <f t="shared" si="86"/>
        <v>1</v>
      </c>
      <c r="C129" s="43">
        <f t="shared" si="85"/>
        <v>1</v>
      </c>
      <c r="D129" s="43">
        <f t="shared" si="85"/>
        <v>1</v>
      </c>
      <c r="E129" s="43">
        <f t="shared" si="85"/>
        <v>1</v>
      </c>
      <c r="F129" s="43">
        <f t="shared" si="85"/>
        <v>1</v>
      </c>
      <c r="G129" s="43">
        <f t="shared" si="85"/>
        <v>1</v>
      </c>
      <c r="H129" s="43">
        <f t="shared" si="85"/>
        <v>1</v>
      </c>
      <c r="I129" s="43">
        <f t="shared" si="85"/>
        <v>1</v>
      </c>
      <c r="J129" s="43">
        <f t="shared" si="85"/>
        <v>1</v>
      </c>
      <c r="K129" s="43" t="e">
        <f>K128+ATM_Conf!$C$5*(T128-AC128)</f>
        <v>#DIV/0!</v>
      </c>
      <c r="L129" s="43" t="e">
        <f>L128+ATM_Conf!$C$5*(U128-AD128)</f>
        <v>#DIV/0!</v>
      </c>
      <c r="M129" s="43" t="e">
        <f>M128+ATM_Conf!$C$5*(V128-AE128)</f>
        <v>#DIV/0!</v>
      </c>
      <c r="N129" s="43" t="e">
        <f>N128+ATM_Conf!$C$5*(W128-AF128)</f>
        <v>#DIV/0!</v>
      </c>
      <c r="O129" s="43" t="e">
        <f>O128+ATM_Conf!$C$5*(X128-AG128)</f>
        <v>#DIV/0!</v>
      </c>
      <c r="P129" s="43" t="e">
        <f>P128+ATM_Conf!$C$5*(Y128-AH128)</f>
        <v>#DIV/0!</v>
      </c>
      <c r="Q129" s="43" t="e">
        <f>Q128+ATM_Conf!$C$5*(Z128-AI128)</f>
        <v>#DIV/0!</v>
      </c>
      <c r="R129" s="43" t="e">
        <f>R128+ATM_Conf!$C$5*(AA128-AJ128)</f>
        <v>#DIV/0!</v>
      </c>
      <c r="S129" s="43" t="e">
        <f>S128+ATM_Conf!$C$5*(AB128-AK128)</f>
        <v>#DIV/0!</v>
      </c>
      <c r="T129" s="43">
        <f t="shared" si="48"/>
        <v>0</v>
      </c>
      <c r="U129" s="43">
        <f t="shared" si="48"/>
        <v>0</v>
      </c>
      <c r="V129" s="43">
        <f t="shared" si="48"/>
        <v>0</v>
      </c>
      <c r="W129" s="43">
        <f t="shared" si="48"/>
        <v>0</v>
      </c>
      <c r="X129" s="43">
        <f t="shared" si="48"/>
        <v>0</v>
      </c>
      <c r="Y129" s="43">
        <f t="shared" si="48"/>
        <v>0</v>
      </c>
      <c r="Z129" s="43">
        <f t="shared" si="48"/>
        <v>0</v>
      </c>
      <c r="AA129" s="43">
        <f t="shared" si="48"/>
        <v>0</v>
      </c>
      <c r="AB129" s="43">
        <f t="shared" si="48"/>
        <v>0</v>
      </c>
      <c r="AC129" s="43" t="e">
        <f t="shared" si="51"/>
        <v>#DIV/0!</v>
      </c>
      <c r="AD129" s="43" t="e">
        <f t="shared" si="52"/>
        <v>#DIV/0!</v>
      </c>
      <c r="AE129" s="43" t="e">
        <f t="shared" si="53"/>
        <v>#DIV/0!</v>
      </c>
      <c r="AF129" s="43" t="e">
        <f t="shared" si="54"/>
        <v>#DIV/0!</v>
      </c>
      <c r="AG129" s="43" t="e">
        <f t="shared" si="55"/>
        <v>#DIV/0!</v>
      </c>
      <c r="AH129" s="43" t="e">
        <f t="shared" si="56"/>
        <v>#DIV/0!</v>
      </c>
      <c r="AI129" s="43" t="e">
        <f t="shared" si="57"/>
        <v>#DIV/0!</v>
      </c>
      <c r="AJ129" s="43" t="e">
        <f t="shared" si="58"/>
        <v>#DIV/0!</v>
      </c>
      <c r="AK129" s="43" t="e">
        <f t="shared" si="59"/>
        <v>#DIV/0!</v>
      </c>
      <c r="AL129" s="43" t="e">
        <f>T$3+K129/ATM_Conf!$C$5</f>
        <v>#DIV/0!</v>
      </c>
      <c r="AM129" s="43" t="e">
        <f>U$3+L129/ATM_Conf!$C$5</f>
        <v>#DIV/0!</v>
      </c>
      <c r="AN129" s="43" t="e">
        <f>V$3+M129/ATM_Conf!$C$5</f>
        <v>#DIV/0!</v>
      </c>
      <c r="AO129" s="43" t="e">
        <f>W$3+N129/ATM_Conf!$C$5</f>
        <v>#DIV/0!</v>
      </c>
      <c r="AP129" s="43" t="e">
        <f>X$3+O129/ATM_Conf!$C$5</f>
        <v>#DIV/0!</v>
      </c>
      <c r="AQ129" s="43" t="e">
        <f>Y$3+P129/ATM_Conf!$C$5</f>
        <v>#DIV/0!</v>
      </c>
      <c r="AR129" s="43" t="e">
        <f>Z$3+Q129/ATM_Conf!$C$5</f>
        <v>#DIV/0!</v>
      </c>
      <c r="AS129" s="43" t="e">
        <f>AA$3+R129/ATM_Conf!$C$5</f>
        <v>#DIV/0!</v>
      </c>
      <c r="AT129" s="43" t="e">
        <f>AB$3+S129/ATM_Conf!$C$5</f>
        <v>#DIV/0!</v>
      </c>
      <c r="AU129" s="43" t="e">
        <f>BD$3*MIN(1,(ATM_Conf!$C$6-Links!X129)/(ATM_Conf!$C$6-ATM_Conf!$C$7))</f>
        <v>#DIV/0!</v>
      </c>
      <c r="AV129" s="43" t="e">
        <f>BE$3*MIN(1,(ATM_Conf!$C$6-Links!Z129)/(ATM_Conf!$C$6-ATM_Conf!$C$7))</f>
        <v>#DIV/0!</v>
      </c>
      <c r="AW129" s="43" t="e">
        <f>BF$3*MIN(1,(ATM_Conf!$C$6-Links!AA129)/(ATM_Conf!$C$6-ATM_Conf!$C$7))</f>
        <v>#DIV/0!</v>
      </c>
      <c r="AX129" s="43" t="e">
        <f>BG$3*MIN(1,(ATM_Conf!$C$6-Links!AD129)/(ATM_Conf!$C$6-ATM_Conf!$C$7))</f>
        <v>#DIV/0!</v>
      </c>
      <c r="AY129" s="43" t="e">
        <f>BH$3*MIN(1,(ATM_Conf!$C$6-Links!AE129)/(ATM_Conf!$C$6-ATM_Conf!$C$7))</f>
        <v>#DIV/0!</v>
      </c>
      <c r="AZ129" s="43" t="e">
        <f>BI$3*MIN(1,(ATM_Conf!$C$6-Links!AG129)/(ATM_Conf!$C$6-ATM_Conf!$C$7))</f>
        <v>#DIV/0!</v>
      </c>
      <c r="BA129" s="43" t="e">
        <f>BJ$3*MIN(1,(ATM_Conf!$C$6-Links!AH129)/(ATM_Conf!$C$6-ATM_Conf!$C$7))</f>
        <v>#DIV/0!</v>
      </c>
      <c r="BB129" s="43" t="e">
        <f>BK$3*MIN(1,(ATM_Conf!$C$6-Links!AK129)/(ATM_Conf!$C$6-ATM_Conf!$C$7))</f>
        <v>#DIV/0!</v>
      </c>
      <c r="BC129" s="43" t="e">
        <f>BL$3*MIN(1,(ATM_Conf!$C$6-Links!AM129)/(ATM_Conf!$C$6-ATM_Conf!$C$7))</f>
        <v>#DIV/0!</v>
      </c>
      <c r="BD129" s="43">
        <f t="shared" si="49"/>
        <v>0</v>
      </c>
      <c r="BE129" s="43">
        <f t="shared" si="49"/>
        <v>0</v>
      </c>
      <c r="BF129" s="43">
        <f t="shared" si="49"/>
        <v>0</v>
      </c>
      <c r="BG129" s="43">
        <f t="shared" si="49"/>
        <v>0</v>
      </c>
      <c r="BH129" s="43">
        <f t="shared" si="49"/>
        <v>0</v>
      </c>
      <c r="BI129" s="43">
        <f t="shared" si="49"/>
        <v>0</v>
      </c>
      <c r="BJ129" s="43">
        <f t="shared" si="49"/>
        <v>0</v>
      </c>
      <c r="BK129" s="43">
        <f t="shared" si="49"/>
        <v>0</v>
      </c>
      <c r="BL129" s="43">
        <f t="shared" si="49"/>
        <v>0</v>
      </c>
      <c r="BM129" s="51"/>
      <c r="BN129" s="51"/>
      <c r="BO129" s="51"/>
      <c r="BP129" s="51"/>
      <c r="BQ129" s="51"/>
      <c r="BR129" s="51"/>
      <c r="BS129" s="51"/>
      <c r="BT129" s="51"/>
      <c r="BU129" s="51"/>
      <c r="BV129" s="51" t="e">
        <f t="shared" si="60"/>
        <v>#DIV/0!</v>
      </c>
      <c r="BW129" s="51" t="e">
        <f t="shared" si="61"/>
        <v>#DIV/0!</v>
      </c>
      <c r="BX129" s="51" t="e">
        <f t="shared" si="62"/>
        <v>#DIV/0!</v>
      </c>
      <c r="BY129" s="51" t="e">
        <f t="shared" si="63"/>
        <v>#DIV/0!</v>
      </c>
      <c r="BZ129" s="51" t="e">
        <f t="shared" si="64"/>
        <v>#DIV/0!</v>
      </c>
      <c r="CA129" s="51" t="e">
        <f t="shared" si="65"/>
        <v>#DIV/0!</v>
      </c>
      <c r="CB129" s="51" t="e">
        <f t="shared" si="66"/>
        <v>#DIV/0!</v>
      </c>
      <c r="CC129" s="51" t="e">
        <f t="shared" si="67"/>
        <v>#DIV/0!</v>
      </c>
      <c r="CD129" s="51" t="e">
        <f t="shared" si="68"/>
        <v>#DIV/0!</v>
      </c>
      <c r="CE129" s="53">
        <f t="shared" si="50"/>
        <v>0</v>
      </c>
      <c r="CF129" s="53">
        <f t="shared" si="50"/>
        <v>0</v>
      </c>
      <c r="CG129" s="53">
        <f t="shared" si="50"/>
        <v>0</v>
      </c>
      <c r="CH129" s="53">
        <f t="shared" si="50"/>
        <v>0</v>
      </c>
      <c r="CI129" s="53">
        <f t="shared" si="50"/>
        <v>0</v>
      </c>
      <c r="CJ129" s="53">
        <f t="shared" si="50"/>
        <v>0</v>
      </c>
      <c r="CK129" s="53">
        <f t="shared" si="50"/>
        <v>0</v>
      </c>
      <c r="CL129" s="53">
        <f t="shared" si="50"/>
        <v>0</v>
      </c>
      <c r="CM129" s="53">
        <f t="shared" si="50"/>
        <v>0</v>
      </c>
    </row>
    <row r="130" spans="1:91" x14ac:dyDescent="0.15">
      <c r="A130" s="41">
        <v>128</v>
      </c>
      <c r="B130" s="43">
        <f t="shared" si="86"/>
        <v>1</v>
      </c>
      <c r="C130" s="43">
        <f t="shared" si="85"/>
        <v>1</v>
      </c>
      <c r="D130" s="43">
        <f t="shared" si="85"/>
        <v>1</v>
      </c>
      <c r="E130" s="43">
        <f t="shared" si="85"/>
        <v>1</v>
      </c>
      <c r="F130" s="43">
        <f t="shared" si="85"/>
        <v>1</v>
      </c>
      <c r="G130" s="43">
        <f t="shared" si="85"/>
        <v>1</v>
      </c>
      <c r="H130" s="43">
        <f t="shared" si="85"/>
        <v>1</v>
      </c>
      <c r="I130" s="43">
        <f t="shared" si="85"/>
        <v>1</v>
      </c>
      <c r="J130" s="43">
        <f t="shared" si="85"/>
        <v>1</v>
      </c>
      <c r="K130" s="43" t="e">
        <f>K129+ATM_Conf!$C$5*(T129-AC129)</f>
        <v>#DIV/0!</v>
      </c>
      <c r="L130" s="43" t="e">
        <f>L129+ATM_Conf!$C$5*(U129-AD129)</f>
        <v>#DIV/0!</v>
      </c>
      <c r="M130" s="43" t="e">
        <f>M129+ATM_Conf!$C$5*(V129-AE129)</f>
        <v>#DIV/0!</v>
      </c>
      <c r="N130" s="43" t="e">
        <f>N129+ATM_Conf!$C$5*(W129-AF129)</f>
        <v>#DIV/0!</v>
      </c>
      <c r="O130" s="43" t="e">
        <f>O129+ATM_Conf!$C$5*(X129-AG129)</f>
        <v>#DIV/0!</v>
      </c>
      <c r="P130" s="43" t="e">
        <f>P129+ATM_Conf!$C$5*(Y129-AH129)</f>
        <v>#DIV/0!</v>
      </c>
      <c r="Q130" s="43" t="e">
        <f>Q129+ATM_Conf!$C$5*(Z129-AI129)</f>
        <v>#DIV/0!</v>
      </c>
      <c r="R130" s="43" t="e">
        <f>R129+ATM_Conf!$C$5*(AA129-AJ129)</f>
        <v>#DIV/0!</v>
      </c>
      <c r="S130" s="43" t="e">
        <f>S129+ATM_Conf!$C$5*(AB129-AK129)</f>
        <v>#DIV/0!</v>
      </c>
      <c r="T130" s="43">
        <f t="shared" ref="T130:AB161" si="87">T$3</f>
        <v>0</v>
      </c>
      <c r="U130" s="43">
        <f t="shared" si="87"/>
        <v>0</v>
      </c>
      <c r="V130" s="43">
        <f t="shared" si="87"/>
        <v>0</v>
      </c>
      <c r="W130" s="43">
        <f t="shared" si="87"/>
        <v>0</v>
      </c>
      <c r="X130" s="43">
        <f t="shared" si="87"/>
        <v>0</v>
      </c>
      <c r="Y130" s="43">
        <f t="shared" si="87"/>
        <v>0</v>
      </c>
      <c r="Z130" s="43">
        <f t="shared" si="87"/>
        <v>0</v>
      </c>
      <c r="AA130" s="43">
        <f t="shared" si="87"/>
        <v>0</v>
      </c>
      <c r="AB130" s="43">
        <f t="shared" si="87"/>
        <v>0</v>
      </c>
      <c r="AC130" s="43" t="e">
        <f t="shared" si="51"/>
        <v>#DIV/0!</v>
      </c>
      <c r="AD130" s="43" t="e">
        <f t="shared" si="52"/>
        <v>#DIV/0!</v>
      </c>
      <c r="AE130" s="43" t="e">
        <f t="shared" si="53"/>
        <v>#DIV/0!</v>
      </c>
      <c r="AF130" s="43" t="e">
        <f t="shared" si="54"/>
        <v>#DIV/0!</v>
      </c>
      <c r="AG130" s="43" t="e">
        <f t="shared" si="55"/>
        <v>#DIV/0!</v>
      </c>
      <c r="AH130" s="43" t="e">
        <f t="shared" si="56"/>
        <v>#DIV/0!</v>
      </c>
      <c r="AI130" s="43" t="e">
        <f t="shared" si="57"/>
        <v>#DIV/0!</v>
      </c>
      <c r="AJ130" s="43" t="e">
        <f t="shared" si="58"/>
        <v>#DIV/0!</v>
      </c>
      <c r="AK130" s="43" t="e">
        <f t="shared" si="59"/>
        <v>#DIV/0!</v>
      </c>
      <c r="AL130" s="43" t="e">
        <f>T$3+K130/ATM_Conf!$C$5</f>
        <v>#DIV/0!</v>
      </c>
      <c r="AM130" s="43" t="e">
        <f>U$3+L130/ATM_Conf!$C$5</f>
        <v>#DIV/0!</v>
      </c>
      <c r="AN130" s="43" t="e">
        <f>V$3+M130/ATM_Conf!$C$5</f>
        <v>#DIV/0!</v>
      </c>
      <c r="AO130" s="43" t="e">
        <f>W$3+N130/ATM_Conf!$C$5</f>
        <v>#DIV/0!</v>
      </c>
      <c r="AP130" s="43" t="e">
        <f>X$3+O130/ATM_Conf!$C$5</f>
        <v>#DIV/0!</v>
      </c>
      <c r="AQ130" s="43" t="e">
        <f>Y$3+P130/ATM_Conf!$C$5</f>
        <v>#DIV/0!</v>
      </c>
      <c r="AR130" s="43" t="e">
        <f>Z$3+Q130/ATM_Conf!$C$5</f>
        <v>#DIV/0!</v>
      </c>
      <c r="AS130" s="43" t="e">
        <f>AA$3+R130/ATM_Conf!$C$5</f>
        <v>#DIV/0!</v>
      </c>
      <c r="AT130" s="43" t="e">
        <f>AB$3+S130/ATM_Conf!$C$5</f>
        <v>#DIV/0!</v>
      </c>
      <c r="AU130" s="43" t="e">
        <f>BD$3*MIN(1,(ATM_Conf!$C$6-Links!X130)/(ATM_Conf!$C$6-ATM_Conf!$C$7))</f>
        <v>#DIV/0!</v>
      </c>
      <c r="AV130" s="43" t="e">
        <f>BE$3*MIN(1,(ATM_Conf!$C$6-Links!Z130)/(ATM_Conf!$C$6-ATM_Conf!$C$7))</f>
        <v>#DIV/0!</v>
      </c>
      <c r="AW130" s="43" t="e">
        <f>BF$3*MIN(1,(ATM_Conf!$C$6-Links!AA130)/(ATM_Conf!$C$6-ATM_Conf!$C$7))</f>
        <v>#DIV/0!</v>
      </c>
      <c r="AX130" s="43" t="e">
        <f>BG$3*MIN(1,(ATM_Conf!$C$6-Links!AD130)/(ATM_Conf!$C$6-ATM_Conf!$C$7))</f>
        <v>#DIV/0!</v>
      </c>
      <c r="AY130" s="43" t="e">
        <f>BH$3*MIN(1,(ATM_Conf!$C$6-Links!AE130)/(ATM_Conf!$C$6-ATM_Conf!$C$7))</f>
        <v>#DIV/0!</v>
      </c>
      <c r="AZ130" s="43" t="e">
        <f>BI$3*MIN(1,(ATM_Conf!$C$6-Links!AG130)/(ATM_Conf!$C$6-ATM_Conf!$C$7))</f>
        <v>#DIV/0!</v>
      </c>
      <c r="BA130" s="43" t="e">
        <f>BJ$3*MIN(1,(ATM_Conf!$C$6-Links!AH130)/(ATM_Conf!$C$6-ATM_Conf!$C$7))</f>
        <v>#DIV/0!</v>
      </c>
      <c r="BB130" s="43" t="e">
        <f>BK$3*MIN(1,(ATM_Conf!$C$6-Links!AK130)/(ATM_Conf!$C$6-ATM_Conf!$C$7))</f>
        <v>#DIV/0!</v>
      </c>
      <c r="BC130" s="43" t="e">
        <f>BL$3*MIN(1,(ATM_Conf!$C$6-Links!AM130)/(ATM_Conf!$C$6-ATM_Conf!$C$7))</f>
        <v>#DIV/0!</v>
      </c>
      <c r="BD130" s="43">
        <f t="shared" ref="BD130:BL161" si="88">BD$3</f>
        <v>0</v>
      </c>
      <c r="BE130" s="43">
        <f t="shared" si="88"/>
        <v>0</v>
      </c>
      <c r="BF130" s="43">
        <f t="shared" si="88"/>
        <v>0</v>
      </c>
      <c r="BG130" s="43">
        <f t="shared" si="88"/>
        <v>0</v>
      </c>
      <c r="BH130" s="43">
        <f t="shared" si="88"/>
        <v>0</v>
      </c>
      <c r="BI130" s="43">
        <f t="shared" si="88"/>
        <v>0</v>
      </c>
      <c r="BJ130" s="43">
        <f t="shared" si="88"/>
        <v>0</v>
      </c>
      <c r="BK130" s="43">
        <f t="shared" si="88"/>
        <v>0</v>
      </c>
      <c r="BL130" s="43">
        <f t="shared" si="88"/>
        <v>0</v>
      </c>
      <c r="BM130" s="51"/>
      <c r="BN130" s="51"/>
      <c r="BO130" s="51"/>
      <c r="BP130" s="51"/>
      <c r="BQ130" s="51"/>
      <c r="BR130" s="51"/>
      <c r="BS130" s="51"/>
      <c r="BT130" s="51"/>
      <c r="BU130" s="51"/>
      <c r="BV130" s="51" t="e">
        <f t="shared" si="60"/>
        <v>#DIV/0!</v>
      </c>
      <c r="BW130" s="51" t="e">
        <f t="shared" si="61"/>
        <v>#DIV/0!</v>
      </c>
      <c r="BX130" s="51" t="e">
        <f t="shared" si="62"/>
        <v>#DIV/0!</v>
      </c>
      <c r="BY130" s="51" t="e">
        <f t="shared" si="63"/>
        <v>#DIV/0!</v>
      </c>
      <c r="BZ130" s="51" t="e">
        <f t="shared" si="64"/>
        <v>#DIV/0!</v>
      </c>
      <c r="CA130" s="51" t="e">
        <f t="shared" si="65"/>
        <v>#DIV/0!</v>
      </c>
      <c r="CB130" s="51" t="e">
        <f t="shared" si="66"/>
        <v>#DIV/0!</v>
      </c>
      <c r="CC130" s="51" t="e">
        <f t="shared" si="67"/>
        <v>#DIV/0!</v>
      </c>
      <c r="CD130" s="51" t="e">
        <f t="shared" si="68"/>
        <v>#DIV/0!</v>
      </c>
      <c r="CE130" s="53">
        <f t="shared" ref="CE130:CM158" si="89">CE$3</f>
        <v>0</v>
      </c>
      <c r="CF130" s="53">
        <f t="shared" si="89"/>
        <v>0</v>
      </c>
      <c r="CG130" s="53">
        <f t="shared" si="89"/>
        <v>0</v>
      </c>
      <c r="CH130" s="53">
        <f t="shared" si="89"/>
        <v>0</v>
      </c>
      <c r="CI130" s="53">
        <f t="shared" si="89"/>
        <v>0</v>
      </c>
      <c r="CJ130" s="53">
        <f t="shared" si="89"/>
        <v>0</v>
      </c>
      <c r="CK130" s="53">
        <f t="shared" si="89"/>
        <v>0</v>
      </c>
      <c r="CL130" s="53">
        <f t="shared" si="89"/>
        <v>0</v>
      </c>
      <c r="CM130" s="53">
        <f t="shared" si="89"/>
        <v>0</v>
      </c>
    </row>
    <row r="131" spans="1:91" x14ac:dyDescent="0.15">
      <c r="A131" s="41">
        <v>129</v>
      </c>
      <c r="B131" s="43">
        <f t="shared" si="86"/>
        <v>1</v>
      </c>
      <c r="C131" s="43">
        <f t="shared" si="85"/>
        <v>1</v>
      </c>
      <c r="D131" s="43">
        <f t="shared" si="85"/>
        <v>1</v>
      </c>
      <c r="E131" s="43">
        <f t="shared" si="85"/>
        <v>1</v>
      </c>
      <c r="F131" s="43">
        <f t="shared" si="85"/>
        <v>1</v>
      </c>
      <c r="G131" s="43">
        <f t="shared" si="85"/>
        <v>1</v>
      </c>
      <c r="H131" s="43">
        <f t="shared" si="85"/>
        <v>1</v>
      </c>
      <c r="I131" s="43">
        <f t="shared" si="85"/>
        <v>1</v>
      </c>
      <c r="J131" s="43">
        <f t="shared" si="85"/>
        <v>1</v>
      </c>
      <c r="K131" s="43" t="e">
        <f>K130+ATM_Conf!$C$5*(T130-AC130)</f>
        <v>#DIV/0!</v>
      </c>
      <c r="L131" s="43" t="e">
        <f>L130+ATM_Conf!$C$5*(U130-AD130)</f>
        <v>#DIV/0!</v>
      </c>
      <c r="M131" s="43" t="e">
        <f>M130+ATM_Conf!$C$5*(V130-AE130)</f>
        <v>#DIV/0!</v>
      </c>
      <c r="N131" s="43" t="e">
        <f>N130+ATM_Conf!$C$5*(W130-AF130)</f>
        <v>#DIV/0!</v>
      </c>
      <c r="O131" s="43" t="e">
        <f>O130+ATM_Conf!$C$5*(X130-AG130)</f>
        <v>#DIV/0!</v>
      </c>
      <c r="P131" s="43" t="e">
        <f>P130+ATM_Conf!$C$5*(Y130-AH130)</f>
        <v>#DIV/0!</v>
      </c>
      <c r="Q131" s="43" t="e">
        <f>Q130+ATM_Conf!$C$5*(Z130-AI130)</f>
        <v>#DIV/0!</v>
      </c>
      <c r="R131" s="43" t="e">
        <f>R130+ATM_Conf!$C$5*(AA130-AJ130)</f>
        <v>#DIV/0!</v>
      </c>
      <c r="S131" s="43" t="e">
        <f>S130+ATM_Conf!$C$5*(AB130-AK130)</f>
        <v>#DIV/0!</v>
      </c>
      <c r="T131" s="43">
        <f t="shared" si="87"/>
        <v>0</v>
      </c>
      <c r="U131" s="43">
        <f t="shared" si="87"/>
        <v>0</v>
      </c>
      <c r="V131" s="43">
        <f t="shared" si="87"/>
        <v>0</v>
      </c>
      <c r="W131" s="43">
        <f t="shared" si="87"/>
        <v>0</v>
      </c>
      <c r="X131" s="43">
        <f t="shared" si="87"/>
        <v>0</v>
      </c>
      <c r="Y131" s="43">
        <f t="shared" si="87"/>
        <v>0</v>
      </c>
      <c r="Z131" s="43">
        <f t="shared" si="87"/>
        <v>0</v>
      </c>
      <c r="AA131" s="43">
        <f t="shared" si="87"/>
        <v>0</v>
      </c>
      <c r="AB131" s="43">
        <f t="shared" si="87"/>
        <v>0</v>
      </c>
      <c r="AC131" s="43" t="e">
        <f t="shared" si="51"/>
        <v>#DIV/0!</v>
      </c>
      <c r="AD131" s="43" t="e">
        <f t="shared" si="52"/>
        <v>#DIV/0!</v>
      </c>
      <c r="AE131" s="43" t="e">
        <f t="shared" si="53"/>
        <v>#DIV/0!</v>
      </c>
      <c r="AF131" s="43" t="e">
        <f t="shared" si="54"/>
        <v>#DIV/0!</v>
      </c>
      <c r="AG131" s="43" t="e">
        <f t="shared" si="55"/>
        <v>#DIV/0!</v>
      </c>
      <c r="AH131" s="43" t="e">
        <f t="shared" si="56"/>
        <v>#DIV/0!</v>
      </c>
      <c r="AI131" s="43" t="e">
        <f t="shared" si="57"/>
        <v>#DIV/0!</v>
      </c>
      <c r="AJ131" s="43" t="e">
        <f t="shared" si="58"/>
        <v>#DIV/0!</v>
      </c>
      <c r="AK131" s="43" t="e">
        <f t="shared" si="59"/>
        <v>#DIV/0!</v>
      </c>
      <c r="AL131" s="43" t="e">
        <f>T$3+K131/ATM_Conf!$C$5</f>
        <v>#DIV/0!</v>
      </c>
      <c r="AM131" s="43" t="e">
        <f>U$3+L131/ATM_Conf!$C$5</f>
        <v>#DIV/0!</v>
      </c>
      <c r="AN131" s="43" t="e">
        <f>V$3+M131/ATM_Conf!$C$5</f>
        <v>#DIV/0!</v>
      </c>
      <c r="AO131" s="43" t="e">
        <f>W$3+N131/ATM_Conf!$C$5</f>
        <v>#DIV/0!</v>
      </c>
      <c r="AP131" s="43" t="e">
        <f>X$3+O131/ATM_Conf!$C$5</f>
        <v>#DIV/0!</v>
      </c>
      <c r="AQ131" s="43" t="e">
        <f>Y$3+P131/ATM_Conf!$C$5</f>
        <v>#DIV/0!</v>
      </c>
      <c r="AR131" s="43" t="e">
        <f>Z$3+Q131/ATM_Conf!$C$5</f>
        <v>#DIV/0!</v>
      </c>
      <c r="AS131" s="43" t="e">
        <f>AA$3+R131/ATM_Conf!$C$5</f>
        <v>#DIV/0!</v>
      </c>
      <c r="AT131" s="43" t="e">
        <f>AB$3+S131/ATM_Conf!$C$5</f>
        <v>#DIV/0!</v>
      </c>
      <c r="AU131" s="43" t="e">
        <f>BD$3*MIN(1,(ATM_Conf!$C$6-Links!X131)/(ATM_Conf!$C$6-ATM_Conf!$C$7))</f>
        <v>#DIV/0!</v>
      </c>
      <c r="AV131" s="43" t="e">
        <f>BE$3*MIN(1,(ATM_Conf!$C$6-Links!Z131)/(ATM_Conf!$C$6-ATM_Conf!$C$7))</f>
        <v>#DIV/0!</v>
      </c>
      <c r="AW131" s="43" t="e">
        <f>BF$3*MIN(1,(ATM_Conf!$C$6-Links!AA131)/(ATM_Conf!$C$6-ATM_Conf!$C$7))</f>
        <v>#DIV/0!</v>
      </c>
      <c r="AX131" s="43" t="e">
        <f>BG$3*MIN(1,(ATM_Conf!$C$6-Links!AD131)/(ATM_Conf!$C$6-ATM_Conf!$C$7))</f>
        <v>#DIV/0!</v>
      </c>
      <c r="AY131" s="43" t="e">
        <f>BH$3*MIN(1,(ATM_Conf!$C$6-Links!AE131)/(ATM_Conf!$C$6-ATM_Conf!$C$7))</f>
        <v>#DIV/0!</v>
      </c>
      <c r="AZ131" s="43" t="e">
        <f>BI$3*MIN(1,(ATM_Conf!$C$6-Links!AG131)/(ATM_Conf!$C$6-ATM_Conf!$C$7))</f>
        <v>#DIV/0!</v>
      </c>
      <c r="BA131" s="43" t="e">
        <f>BJ$3*MIN(1,(ATM_Conf!$C$6-Links!AH131)/(ATM_Conf!$C$6-ATM_Conf!$C$7))</f>
        <v>#DIV/0!</v>
      </c>
      <c r="BB131" s="43" t="e">
        <f>BK$3*MIN(1,(ATM_Conf!$C$6-Links!AK131)/(ATM_Conf!$C$6-ATM_Conf!$C$7))</f>
        <v>#DIV/0!</v>
      </c>
      <c r="BC131" s="43" t="e">
        <f>BL$3*MIN(1,(ATM_Conf!$C$6-Links!AM131)/(ATM_Conf!$C$6-ATM_Conf!$C$7))</f>
        <v>#DIV/0!</v>
      </c>
      <c r="BD131" s="43">
        <f t="shared" si="88"/>
        <v>0</v>
      </c>
      <c r="BE131" s="43">
        <f t="shared" si="88"/>
        <v>0</v>
      </c>
      <c r="BF131" s="43">
        <f t="shared" si="88"/>
        <v>0</v>
      </c>
      <c r="BG131" s="43">
        <f t="shared" si="88"/>
        <v>0</v>
      </c>
      <c r="BH131" s="43">
        <f t="shared" si="88"/>
        <v>0</v>
      </c>
      <c r="BI131" s="43">
        <f t="shared" si="88"/>
        <v>0</v>
      </c>
      <c r="BJ131" s="43">
        <f t="shared" si="88"/>
        <v>0</v>
      </c>
      <c r="BK131" s="43">
        <f t="shared" si="88"/>
        <v>0</v>
      </c>
      <c r="BL131" s="43">
        <f t="shared" si="88"/>
        <v>0</v>
      </c>
      <c r="BM131" s="51"/>
      <c r="BN131" s="51"/>
      <c r="BO131" s="51"/>
      <c r="BP131" s="51"/>
      <c r="BQ131" s="51"/>
      <c r="BR131" s="51"/>
      <c r="BS131" s="51"/>
      <c r="BT131" s="51"/>
      <c r="BU131" s="51"/>
      <c r="BV131" s="51" t="e">
        <f t="shared" si="60"/>
        <v>#DIV/0!</v>
      </c>
      <c r="BW131" s="51" t="e">
        <f t="shared" si="61"/>
        <v>#DIV/0!</v>
      </c>
      <c r="BX131" s="51" t="e">
        <f t="shared" si="62"/>
        <v>#DIV/0!</v>
      </c>
      <c r="BY131" s="51" t="e">
        <f t="shared" si="63"/>
        <v>#DIV/0!</v>
      </c>
      <c r="BZ131" s="51" t="e">
        <f t="shared" si="64"/>
        <v>#DIV/0!</v>
      </c>
      <c r="CA131" s="51" t="e">
        <f t="shared" si="65"/>
        <v>#DIV/0!</v>
      </c>
      <c r="CB131" s="51" t="e">
        <f t="shared" si="66"/>
        <v>#DIV/0!</v>
      </c>
      <c r="CC131" s="51" t="e">
        <f t="shared" si="67"/>
        <v>#DIV/0!</v>
      </c>
      <c r="CD131" s="51" t="e">
        <f t="shared" si="68"/>
        <v>#DIV/0!</v>
      </c>
      <c r="CE131" s="53">
        <f t="shared" si="89"/>
        <v>0</v>
      </c>
      <c r="CF131" s="53">
        <f t="shared" si="89"/>
        <v>0</v>
      </c>
      <c r="CG131" s="53">
        <f t="shared" si="89"/>
        <v>0</v>
      </c>
      <c r="CH131" s="53">
        <f t="shared" si="89"/>
        <v>0</v>
      </c>
      <c r="CI131" s="53">
        <f t="shared" si="89"/>
        <v>0</v>
      </c>
      <c r="CJ131" s="53">
        <f t="shared" si="89"/>
        <v>0</v>
      </c>
      <c r="CK131" s="53">
        <f t="shared" si="89"/>
        <v>0</v>
      </c>
      <c r="CL131" s="53">
        <f t="shared" si="89"/>
        <v>0</v>
      </c>
      <c r="CM131" s="53">
        <f t="shared" si="89"/>
        <v>0</v>
      </c>
    </row>
    <row r="132" spans="1:91" x14ac:dyDescent="0.15">
      <c r="A132" s="41">
        <v>130</v>
      </c>
      <c r="B132" s="43">
        <f t="shared" si="86"/>
        <v>1</v>
      </c>
      <c r="C132" s="43">
        <f t="shared" si="85"/>
        <v>1</v>
      </c>
      <c r="D132" s="43">
        <f t="shared" si="85"/>
        <v>1</v>
      </c>
      <c r="E132" s="43">
        <f t="shared" si="85"/>
        <v>1</v>
      </c>
      <c r="F132" s="43">
        <f t="shared" si="85"/>
        <v>1</v>
      </c>
      <c r="G132" s="43">
        <f t="shared" si="85"/>
        <v>1</v>
      </c>
      <c r="H132" s="43">
        <f t="shared" si="85"/>
        <v>1</v>
      </c>
      <c r="I132" s="43">
        <f t="shared" si="85"/>
        <v>1</v>
      </c>
      <c r="J132" s="43">
        <f t="shared" si="85"/>
        <v>1</v>
      </c>
      <c r="K132" s="43" t="e">
        <f>K131+ATM_Conf!$C$5*(T131-AC131)</f>
        <v>#DIV/0!</v>
      </c>
      <c r="L132" s="43" t="e">
        <f>L131+ATM_Conf!$C$5*(U131-AD131)</f>
        <v>#DIV/0!</v>
      </c>
      <c r="M132" s="43" t="e">
        <f>M131+ATM_Conf!$C$5*(V131-AE131)</f>
        <v>#DIV/0!</v>
      </c>
      <c r="N132" s="43" t="e">
        <f>N131+ATM_Conf!$C$5*(W131-AF131)</f>
        <v>#DIV/0!</v>
      </c>
      <c r="O132" s="43" t="e">
        <f>O131+ATM_Conf!$C$5*(X131-AG131)</f>
        <v>#DIV/0!</v>
      </c>
      <c r="P132" s="43" t="e">
        <f>P131+ATM_Conf!$C$5*(Y131-AH131)</f>
        <v>#DIV/0!</v>
      </c>
      <c r="Q132" s="43" t="e">
        <f>Q131+ATM_Conf!$C$5*(Z131-AI131)</f>
        <v>#DIV/0!</v>
      </c>
      <c r="R132" s="43" t="e">
        <f>R131+ATM_Conf!$C$5*(AA131-AJ131)</f>
        <v>#DIV/0!</v>
      </c>
      <c r="S132" s="43" t="e">
        <f>S131+ATM_Conf!$C$5*(AB131-AK131)</f>
        <v>#DIV/0!</v>
      </c>
      <c r="T132" s="43">
        <f t="shared" si="87"/>
        <v>0</v>
      </c>
      <c r="U132" s="43">
        <f t="shared" si="87"/>
        <v>0</v>
      </c>
      <c r="V132" s="43">
        <f t="shared" si="87"/>
        <v>0</v>
      </c>
      <c r="W132" s="43">
        <f t="shared" si="87"/>
        <v>0</v>
      </c>
      <c r="X132" s="43">
        <f t="shared" si="87"/>
        <v>0</v>
      </c>
      <c r="Y132" s="43">
        <f t="shared" si="87"/>
        <v>0</v>
      </c>
      <c r="Z132" s="43">
        <f t="shared" si="87"/>
        <v>0</v>
      </c>
      <c r="AA132" s="43">
        <f t="shared" si="87"/>
        <v>0</v>
      </c>
      <c r="AB132" s="43">
        <f t="shared" si="87"/>
        <v>0</v>
      </c>
      <c r="AC132" s="43" t="e">
        <f t="shared" ref="AC132:AC182" si="90">B132*MIN(AL132,AU132)</f>
        <v>#DIV/0!</v>
      </c>
      <c r="AD132" s="43" t="e">
        <f t="shared" ref="AD132:AD182" si="91">C132*MIN(AM132,AV132)</f>
        <v>#DIV/0!</v>
      </c>
      <c r="AE132" s="43" t="e">
        <f t="shared" ref="AE132:AE182" si="92">D132*MIN(AN132,AW132)</f>
        <v>#DIV/0!</v>
      </c>
      <c r="AF132" s="43" t="e">
        <f t="shared" ref="AF132:AF182" si="93">E132*MIN(AO132,AX132)</f>
        <v>#DIV/0!</v>
      </c>
      <c r="AG132" s="43" t="e">
        <f t="shared" ref="AG132:AG182" si="94">F132*MIN(AP132,AY132)</f>
        <v>#DIV/0!</v>
      </c>
      <c r="AH132" s="43" t="e">
        <f t="shared" ref="AH132:AH182" si="95">G132*MIN(AQ132,AZ132)</f>
        <v>#DIV/0!</v>
      </c>
      <c r="AI132" s="43" t="e">
        <f t="shared" ref="AI132:AI182" si="96">H132*MIN(AR132,BA132)</f>
        <v>#DIV/0!</v>
      </c>
      <c r="AJ132" s="43" t="e">
        <f t="shared" ref="AJ132:AJ182" si="97">I132*MIN(AS132,BB132)</f>
        <v>#DIV/0!</v>
      </c>
      <c r="AK132" s="43" t="e">
        <f t="shared" ref="AK132:AK182" si="98">J132*MIN(AT132,BC132)</f>
        <v>#DIV/0!</v>
      </c>
      <c r="AL132" s="43" t="e">
        <f>T$3+K132/ATM_Conf!$C$5</f>
        <v>#DIV/0!</v>
      </c>
      <c r="AM132" s="43" t="e">
        <f>U$3+L132/ATM_Conf!$C$5</f>
        <v>#DIV/0!</v>
      </c>
      <c r="AN132" s="43" t="e">
        <f>V$3+M132/ATM_Conf!$C$5</f>
        <v>#DIV/0!</v>
      </c>
      <c r="AO132" s="43" t="e">
        <f>W$3+N132/ATM_Conf!$C$5</f>
        <v>#DIV/0!</v>
      </c>
      <c r="AP132" s="43" t="e">
        <f>X$3+O132/ATM_Conf!$C$5</f>
        <v>#DIV/0!</v>
      </c>
      <c r="AQ132" s="43" t="e">
        <f>Y$3+P132/ATM_Conf!$C$5</f>
        <v>#DIV/0!</v>
      </c>
      <c r="AR132" s="43" t="e">
        <f>Z$3+Q132/ATM_Conf!$C$5</f>
        <v>#DIV/0!</v>
      </c>
      <c r="AS132" s="43" t="e">
        <f>AA$3+R132/ATM_Conf!$C$5</f>
        <v>#DIV/0!</v>
      </c>
      <c r="AT132" s="43" t="e">
        <f>AB$3+S132/ATM_Conf!$C$5</f>
        <v>#DIV/0!</v>
      </c>
      <c r="AU132" s="43" t="e">
        <f>BD$3*MIN(1,(ATM_Conf!$C$6-Links!X132)/(ATM_Conf!$C$6-ATM_Conf!$C$7))</f>
        <v>#DIV/0!</v>
      </c>
      <c r="AV132" s="43" t="e">
        <f>BE$3*MIN(1,(ATM_Conf!$C$6-Links!Z132)/(ATM_Conf!$C$6-ATM_Conf!$C$7))</f>
        <v>#DIV/0!</v>
      </c>
      <c r="AW132" s="43" t="e">
        <f>BF$3*MIN(1,(ATM_Conf!$C$6-Links!AA132)/(ATM_Conf!$C$6-ATM_Conf!$C$7))</f>
        <v>#DIV/0!</v>
      </c>
      <c r="AX132" s="43" t="e">
        <f>BG$3*MIN(1,(ATM_Conf!$C$6-Links!AD132)/(ATM_Conf!$C$6-ATM_Conf!$C$7))</f>
        <v>#DIV/0!</v>
      </c>
      <c r="AY132" s="43" t="e">
        <f>BH$3*MIN(1,(ATM_Conf!$C$6-Links!AE132)/(ATM_Conf!$C$6-ATM_Conf!$C$7))</f>
        <v>#DIV/0!</v>
      </c>
      <c r="AZ132" s="43" t="e">
        <f>BI$3*MIN(1,(ATM_Conf!$C$6-Links!AG132)/(ATM_Conf!$C$6-ATM_Conf!$C$7))</f>
        <v>#DIV/0!</v>
      </c>
      <c r="BA132" s="43" t="e">
        <f>BJ$3*MIN(1,(ATM_Conf!$C$6-Links!AH132)/(ATM_Conf!$C$6-ATM_Conf!$C$7))</f>
        <v>#DIV/0!</v>
      </c>
      <c r="BB132" s="43" t="e">
        <f>BK$3*MIN(1,(ATM_Conf!$C$6-Links!AK132)/(ATM_Conf!$C$6-ATM_Conf!$C$7))</f>
        <v>#DIV/0!</v>
      </c>
      <c r="BC132" s="43" t="e">
        <f>BL$3*MIN(1,(ATM_Conf!$C$6-Links!AM132)/(ATM_Conf!$C$6-ATM_Conf!$C$7))</f>
        <v>#DIV/0!</v>
      </c>
      <c r="BD132" s="43">
        <f t="shared" si="88"/>
        <v>0</v>
      </c>
      <c r="BE132" s="43">
        <f t="shared" si="88"/>
        <v>0</v>
      </c>
      <c r="BF132" s="43">
        <f t="shared" si="88"/>
        <v>0</v>
      </c>
      <c r="BG132" s="43">
        <f t="shared" si="88"/>
        <v>0</v>
      </c>
      <c r="BH132" s="43">
        <f t="shared" si="88"/>
        <v>0</v>
      </c>
      <c r="BI132" s="43">
        <f t="shared" si="88"/>
        <v>0</v>
      </c>
      <c r="BJ132" s="43">
        <f t="shared" si="88"/>
        <v>0</v>
      </c>
      <c r="BK132" s="43">
        <f t="shared" si="88"/>
        <v>0</v>
      </c>
      <c r="BL132" s="43">
        <f t="shared" si="88"/>
        <v>0</v>
      </c>
      <c r="BM132" s="51"/>
      <c r="BN132" s="51"/>
      <c r="BO132" s="51"/>
      <c r="BP132" s="51"/>
      <c r="BQ132" s="51"/>
      <c r="BR132" s="51"/>
      <c r="BS132" s="51"/>
      <c r="BT132" s="51"/>
      <c r="BU132" s="51"/>
      <c r="BV132" s="51" t="e">
        <f t="shared" ref="BV132:BV182" si="99">(MAX(K132-T$190,0))^2</f>
        <v>#DIV/0!</v>
      </c>
      <c r="BW132" s="51" t="e">
        <f t="shared" ref="BW132:BW182" si="100">(MAX(L132-U$190,0))^2</f>
        <v>#DIV/0!</v>
      </c>
      <c r="BX132" s="51" t="e">
        <f t="shared" ref="BX132:BX182" si="101">(MAX(M132-V$190,0))^2</f>
        <v>#DIV/0!</v>
      </c>
      <c r="BY132" s="51" t="e">
        <f t="shared" ref="BY132:BY182" si="102">(MAX(N132-W$190,0))^2</f>
        <v>#DIV/0!</v>
      </c>
      <c r="BZ132" s="51" t="e">
        <f t="shared" ref="BZ132:BZ182" si="103">(MAX(O132-X$190,0))^2</f>
        <v>#DIV/0!</v>
      </c>
      <c r="CA132" s="51" t="e">
        <f t="shared" ref="CA132:CA182" si="104">(MAX(P132-Y$190,0))^2</f>
        <v>#DIV/0!</v>
      </c>
      <c r="CB132" s="51" t="e">
        <f t="shared" ref="CB132:CB182" si="105">(MAX(Q132-Z$190,0))^2</f>
        <v>#DIV/0!</v>
      </c>
      <c r="CC132" s="51" t="e">
        <f t="shared" ref="CC132:CC182" si="106">(MAX(R132-AA$190,0))^2</f>
        <v>#DIV/0!</v>
      </c>
      <c r="CD132" s="51" t="e">
        <f t="shared" ref="CD132:CD182" si="107">(MAX(S132-AB$190,0))^2</f>
        <v>#DIV/0!</v>
      </c>
      <c r="CE132" s="53">
        <f t="shared" si="89"/>
        <v>0</v>
      </c>
      <c r="CF132" s="53">
        <f t="shared" si="89"/>
        <v>0</v>
      </c>
      <c r="CG132" s="53">
        <f t="shared" si="89"/>
        <v>0</v>
      </c>
      <c r="CH132" s="53">
        <f t="shared" si="89"/>
        <v>0</v>
      </c>
      <c r="CI132" s="53">
        <f t="shared" si="89"/>
        <v>0</v>
      </c>
      <c r="CJ132" s="53">
        <f t="shared" si="89"/>
        <v>0</v>
      </c>
      <c r="CK132" s="53">
        <f t="shared" si="89"/>
        <v>0</v>
      </c>
      <c r="CL132" s="53">
        <f t="shared" si="89"/>
        <v>0</v>
      </c>
      <c r="CM132" s="53">
        <f t="shared" si="89"/>
        <v>0</v>
      </c>
    </row>
    <row r="133" spans="1:91" x14ac:dyDescent="0.15">
      <c r="A133" s="41">
        <v>131</v>
      </c>
      <c r="B133" s="43">
        <f t="shared" si="86"/>
        <v>1</v>
      </c>
      <c r="C133" s="43">
        <f t="shared" si="85"/>
        <v>1</v>
      </c>
      <c r="D133" s="43">
        <f t="shared" si="85"/>
        <v>1</v>
      </c>
      <c r="E133" s="43">
        <f t="shared" si="85"/>
        <v>1</v>
      </c>
      <c r="F133" s="43">
        <f t="shared" si="85"/>
        <v>1</v>
      </c>
      <c r="G133" s="43">
        <f t="shared" si="85"/>
        <v>1</v>
      </c>
      <c r="H133" s="43">
        <f t="shared" si="85"/>
        <v>1</v>
      </c>
      <c r="I133" s="43">
        <f t="shared" si="85"/>
        <v>1</v>
      </c>
      <c r="J133" s="43">
        <f t="shared" si="85"/>
        <v>1</v>
      </c>
      <c r="K133" s="43" t="e">
        <f>K132+ATM_Conf!$C$5*(T132-AC132)</f>
        <v>#DIV/0!</v>
      </c>
      <c r="L133" s="43" t="e">
        <f>L132+ATM_Conf!$C$5*(U132-AD132)</f>
        <v>#DIV/0!</v>
      </c>
      <c r="M133" s="43" t="e">
        <f>M132+ATM_Conf!$C$5*(V132-AE132)</f>
        <v>#DIV/0!</v>
      </c>
      <c r="N133" s="43" t="e">
        <f>N132+ATM_Conf!$C$5*(W132-AF132)</f>
        <v>#DIV/0!</v>
      </c>
      <c r="O133" s="43" t="e">
        <f>O132+ATM_Conf!$C$5*(X132-AG132)</f>
        <v>#DIV/0!</v>
      </c>
      <c r="P133" s="43" t="e">
        <f>P132+ATM_Conf!$C$5*(Y132-AH132)</f>
        <v>#DIV/0!</v>
      </c>
      <c r="Q133" s="43" t="e">
        <f>Q132+ATM_Conf!$C$5*(Z132-AI132)</f>
        <v>#DIV/0!</v>
      </c>
      <c r="R133" s="43" t="e">
        <f>R132+ATM_Conf!$C$5*(AA132-AJ132)</f>
        <v>#DIV/0!</v>
      </c>
      <c r="S133" s="43" t="e">
        <f>S132+ATM_Conf!$C$5*(AB132-AK132)</f>
        <v>#DIV/0!</v>
      </c>
      <c r="T133" s="43">
        <f t="shared" si="87"/>
        <v>0</v>
      </c>
      <c r="U133" s="43">
        <f t="shared" si="87"/>
        <v>0</v>
      </c>
      <c r="V133" s="43">
        <f t="shared" si="87"/>
        <v>0</v>
      </c>
      <c r="W133" s="43">
        <f t="shared" si="87"/>
        <v>0</v>
      </c>
      <c r="X133" s="43">
        <f t="shared" si="87"/>
        <v>0</v>
      </c>
      <c r="Y133" s="43">
        <f t="shared" si="87"/>
        <v>0</v>
      </c>
      <c r="Z133" s="43">
        <f t="shared" si="87"/>
        <v>0</v>
      </c>
      <c r="AA133" s="43">
        <f t="shared" si="87"/>
        <v>0</v>
      </c>
      <c r="AB133" s="43">
        <f t="shared" si="87"/>
        <v>0</v>
      </c>
      <c r="AC133" s="43" t="e">
        <f t="shared" si="90"/>
        <v>#DIV/0!</v>
      </c>
      <c r="AD133" s="43" t="e">
        <f t="shared" si="91"/>
        <v>#DIV/0!</v>
      </c>
      <c r="AE133" s="43" t="e">
        <f t="shared" si="92"/>
        <v>#DIV/0!</v>
      </c>
      <c r="AF133" s="43" t="e">
        <f t="shared" si="93"/>
        <v>#DIV/0!</v>
      </c>
      <c r="AG133" s="43" t="e">
        <f t="shared" si="94"/>
        <v>#DIV/0!</v>
      </c>
      <c r="AH133" s="43" t="e">
        <f t="shared" si="95"/>
        <v>#DIV/0!</v>
      </c>
      <c r="AI133" s="43" t="e">
        <f t="shared" si="96"/>
        <v>#DIV/0!</v>
      </c>
      <c r="AJ133" s="43" t="e">
        <f t="shared" si="97"/>
        <v>#DIV/0!</v>
      </c>
      <c r="AK133" s="43" t="e">
        <f t="shared" si="98"/>
        <v>#DIV/0!</v>
      </c>
      <c r="AL133" s="43" t="e">
        <f>T$3+K133/ATM_Conf!$C$5</f>
        <v>#DIV/0!</v>
      </c>
      <c r="AM133" s="43" t="e">
        <f>U$3+L133/ATM_Conf!$C$5</f>
        <v>#DIV/0!</v>
      </c>
      <c r="AN133" s="43" t="e">
        <f>V$3+M133/ATM_Conf!$C$5</f>
        <v>#DIV/0!</v>
      </c>
      <c r="AO133" s="43" t="e">
        <f>W$3+N133/ATM_Conf!$C$5</f>
        <v>#DIV/0!</v>
      </c>
      <c r="AP133" s="43" t="e">
        <f>X$3+O133/ATM_Conf!$C$5</f>
        <v>#DIV/0!</v>
      </c>
      <c r="AQ133" s="43" t="e">
        <f>Y$3+P133/ATM_Conf!$C$5</f>
        <v>#DIV/0!</v>
      </c>
      <c r="AR133" s="43" t="e">
        <f>Z$3+Q133/ATM_Conf!$C$5</f>
        <v>#DIV/0!</v>
      </c>
      <c r="AS133" s="43" t="e">
        <f>AA$3+R133/ATM_Conf!$C$5</f>
        <v>#DIV/0!</v>
      </c>
      <c r="AT133" s="43" t="e">
        <f>AB$3+S133/ATM_Conf!$C$5</f>
        <v>#DIV/0!</v>
      </c>
      <c r="AU133" s="43" t="e">
        <f>BD$3*MIN(1,(ATM_Conf!$C$6-Links!X133)/(ATM_Conf!$C$6-ATM_Conf!$C$7))</f>
        <v>#DIV/0!</v>
      </c>
      <c r="AV133" s="43" t="e">
        <f>BE$3*MIN(1,(ATM_Conf!$C$6-Links!Z133)/(ATM_Conf!$C$6-ATM_Conf!$C$7))</f>
        <v>#DIV/0!</v>
      </c>
      <c r="AW133" s="43" t="e">
        <f>BF$3*MIN(1,(ATM_Conf!$C$6-Links!AA133)/(ATM_Conf!$C$6-ATM_Conf!$C$7))</f>
        <v>#DIV/0!</v>
      </c>
      <c r="AX133" s="43" t="e">
        <f>BG$3*MIN(1,(ATM_Conf!$C$6-Links!AD133)/(ATM_Conf!$C$6-ATM_Conf!$C$7))</f>
        <v>#DIV/0!</v>
      </c>
      <c r="AY133" s="43" t="e">
        <f>BH$3*MIN(1,(ATM_Conf!$C$6-Links!AE133)/(ATM_Conf!$C$6-ATM_Conf!$C$7))</f>
        <v>#DIV/0!</v>
      </c>
      <c r="AZ133" s="43" t="e">
        <f>BI$3*MIN(1,(ATM_Conf!$C$6-Links!AG133)/(ATM_Conf!$C$6-ATM_Conf!$C$7))</f>
        <v>#DIV/0!</v>
      </c>
      <c r="BA133" s="43" t="e">
        <f>BJ$3*MIN(1,(ATM_Conf!$C$6-Links!AH133)/(ATM_Conf!$C$6-ATM_Conf!$C$7))</f>
        <v>#DIV/0!</v>
      </c>
      <c r="BB133" s="43" t="e">
        <f>BK$3*MIN(1,(ATM_Conf!$C$6-Links!AK133)/(ATM_Conf!$C$6-ATM_Conf!$C$7))</f>
        <v>#DIV/0!</v>
      </c>
      <c r="BC133" s="43" t="e">
        <f>BL$3*MIN(1,(ATM_Conf!$C$6-Links!AM133)/(ATM_Conf!$C$6-ATM_Conf!$C$7))</f>
        <v>#DIV/0!</v>
      </c>
      <c r="BD133" s="43">
        <f t="shared" si="88"/>
        <v>0</v>
      </c>
      <c r="BE133" s="43">
        <f t="shared" si="88"/>
        <v>0</v>
      </c>
      <c r="BF133" s="43">
        <f t="shared" si="88"/>
        <v>0</v>
      </c>
      <c r="BG133" s="43">
        <f t="shared" si="88"/>
        <v>0</v>
      </c>
      <c r="BH133" s="43">
        <f t="shared" si="88"/>
        <v>0</v>
      </c>
      <c r="BI133" s="43">
        <f t="shared" si="88"/>
        <v>0</v>
      </c>
      <c r="BJ133" s="43">
        <f t="shared" si="88"/>
        <v>0</v>
      </c>
      <c r="BK133" s="43">
        <f t="shared" si="88"/>
        <v>0</v>
      </c>
      <c r="BL133" s="43">
        <f t="shared" si="88"/>
        <v>0</v>
      </c>
      <c r="BM133" s="51"/>
      <c r="BN133" s="51"/>
      <c r="BO133" s="51"/>
      <c r="BP133" s="51"/>
      <c r="BQ133" s="51"/>
      <c r="BR133" s="51"/>
      <c r="BS133" s="51"/>
      <c r="BT133" s="51"/>
      <c r="BU133" s="51"/>
      <c r="BV133" s="51" t="e">
        <f t="shared" si="99"/>
        <v>#DIV/0!</v>
      </c>
      <c r="BW133" s="51" t="e">
        <f t="shared" si="100"/>
        <v>#DIV/0!</v>
      </c>
      <c r="BX133" s="51" t="e">
        <f t="shared" si="101"/>
        <v>#DIV/0!</v>
      </c>
      <c r="BY133" s="51" t="e">
        <f t="shared" si="102"/>
        <v>#DIV/0!</v>
      </c>
      <c r="BZ133" s="51" t="e">
        <f t="shared" si="103"/>
        <v>#DIV/0!</v>
      </c>
      <c r="CA133" s="51" t="e">
        <f t="shared" si="104"/>
        <v>#DIV/0!</v>
      </c>
      <c r="CB133" s="51" t="e">
        <f t="shared" si="105"/>
        <v>#DIV/0!</v>
      </c>
      <c r="CC133" s="51" t="e">
        <f t="shared" si="106"/>
        <v>#DIV/0!</v>
      </c>
      <c r="CD133" s="51" t="e">
        <f t="shared" si="107"/>
        <v>#DIV/0!</v>
      </c>
      <c r="CE133" s="53">
        <f t="shared" si="89"/>
        <v>0</v>
      </c>
      <c r="CF133" s="53">
        <f t="shared" si="89"/>
        <v>0</v>
      </c>
      <c r="CG133" s="53">
        <f t="shared" si="89"/>
        <v>0</v>
      </c>
      <c r="CH133" s="53">
        <f t="shared" si="89"/>
        <v>0</v>
      </c>
      <c r="CI133" s="53">
        <f t="shared" si="89"/>
        <v>0</v>
      </c>
      <c r="CJ133" s="53">
        <f t="shared" si="89"/>
        <v>0</v>
      </c>
      <c r="CK133" s="53">
        <f t="shared" si="89"/>
        <v>0</v>
      </c>
      <c r="CL133" s="53">
        <f t="shared" si="89"/>
        <v>0</v>
      </c>
      <c r="CM133" s="53">
        <f t="shared" si="89"/>
        <v>0</v>
      </c>
    </row>
    <row r="134" spans="1:91" x14ac:dyDescent="0.15">
      <c r="A134" s="41">
        <v>132</v>
      </c>
      <c r="B134" s="43">
        <f t="shared" si="86"/>
        <v>1</v>
      </c>
      <c r="C134" s="43">
        <f t="shared" si="85"/>
        <v>1</v>
      </c>
      <c r="D134" s="43">
        <f t="shared" si="85"/>
        <v>1</v>
      </c>
      <c r="E134" s="43">
        <f t="shared" si="85"/>
        <v>1</v>
      </c>
      <c r="F134" s="43">
        <f t="shared" si="85"/>
        <v>1</v>
      </c>
      <c r="G134" s="43">
        <f t="shared" si="85"/>
        <v>1</v>
      </c>
      <c r="H134" s="43">
        <f t="shared" si="85"/>
        <v>1</v>
      </c>
      <c r="I134" s="43">
        <f t="shared" si="85"/>
        <v>1</v>
      </c>
      <c r="J134" s="43">
        <f t="shared" si="85"/>
        <v>1</v>
      </c>
      <c r="K134" s="43" t="e">
        <f>K133+ATM_Conf!$C$5*(T133-AC133)</f>
        <v>#DIV/0!</v>
      </c>
      <c r="L134" s="43" t="e">
        <f>L133+ATM_Conf!$C$5*(U133-AD133)</f>
        <v>#DIV/0!</v>
      </c>
      <c r="M134" s="43" t="e">
        <f>M133+ATM_Conf!$C$5*(V133-AE133)</f>
        <v>#DIV/0!</v>
      </c>
      <c r="N134" s="43" t="e">
        <f>N133+ATM_Conf!$C$5*(W133-AF133)</f>
        <v>#DIV/0!</v>
      </c>
      <c r="O134" s="43" t="e">
        <f>O133+ATM_Conf!$C$5*(X133-AG133)</f>
        <v>#DIV/0!</v>
      </c>
      <c r="P134" s="43" t="e">
        <f>P133+ATM_Conf!$C$5*(Y133-AH133)</f>
        <v>#DIV/0!</v>
      </c>
      <c r="Q134" s="43" t="e">
        <f>Q133+ATM_Conf!$C$5*(Z133-AI133)</f>
        <v>#DIV/0!</v>
      </c>
      <c r="R134" s="43" t="e">
        <f>R133+ATM_Conf!$C$5*(AA133-AJ133)</f>
        <v>#DIV/0!</v>
      </c>
      <c r="S134" s="43" t="e">
        <f>S133+ATM_Conf!$C$5*(AB133-AK133)</f>
        <v>#DIV/0!</v>
      </c>
      <c r="T134" s="43">
        <f t="shared" si="87"/>
        <v>0</v>
      </c>
      <c r="U134" s="43">
        <f t="shared" si="87"/>
        <v>0</v>
      </c>
      <c r="V134" s="43">
        <f t="shared" si="87"/>
        <v>0</v>
      </c>
      <c r="W134" s="43">
        <f t="shared" si="87"/>
        <v>0</v>
      </c>
      <c r="X134" s="43">
        <f t="shared" si="87"/>
        <v>0</v>
      </c>
      <c r="Y134" s="43">
        <f t="shared" si="87"/>
        <v>0</v>
      </c>
      <c r="Z134" s="43">
        <f t="shared" si="87"/>
        <v>0</v>
      </c>
      <c r="AA134" s="43">
        <f t="shared" si="87"/>
        <v>0</v>
      </c>
      <c r="AB134" s="43">
        <f t="shared" si="87"/>
        <v>0</v>
      </c>
      <c r="AC134" s="43" t="e">
        <f t="shared" si="90"/>
        <v>#DIV/0!</v>
      </c>
      <c r="AD134" s="43" t="e">
        <f t="shared" si="91"/>
        <v>#DIV/0!</v>
      </c>
      <c r="AE134" s="43" t="e">
        <f t="shared" si="92"/>
        <v>#DIV/0!</v>
      </c>
      <c r="AF134" s="43" t="e">
        <f t="shared" si="93"/>
        <v>#DIV/0!</v>
      </c>
      <c r="AG134" s="43" t="e">
        <f t="shared" si="94"/>
        <v>#DIV/0!</v>
      </c>
      <c r="AH134" s="43" t="e">
        <f t="shared" si="95"/>
        <v>#DIV/0!</v>
      </c>
      <c r="AI134" s="43" t="e">
        <f t="shared" si="96"/>
        <v>#DIV/0!</v>
      </c>
      <c r="AJ134" s="43" t="e">
        <f t="shared" si="97"/>
        <v>#DIV/0!</v>
      </c>
      <c r="AK134" s="43" t="e">
        <f t="shared" si="98"/>
        <v>#DIV/0!</v>
      </c>
      <c r="AL134" s="43" t="e">
        <f>T$3+K134/ATM_Conf!$C$5</f>
        <v>#DIV/0!</v>
      </c>
      <c r="AM134" s="43" t="e">
        <f>U$3+L134/ATM_Conf!$C$5</f>
        <v>#DIV/0!</v>
      </c>
      <c r="AN134" s="43" t="e">
        <f>V$3+M134/ATM_Conf!$C$5</f>
        <v>#DIV/0!</v>
      </c>
      <c r="AO134" s="43" t="e">
        <f>W$3+N134/ATM_Conf!$C$5</f>
        <v>#DIV/0!</v>
      </c>
      <c r="AP134" s="43" t="e">
        <f>X$3+O134/ATM_Conf!$C$5</f>
        <v>#DIV/0!</v>
      </c>
      <c r="AQ134" s="43" t="e">
        <f>Y$3+P134/ATM_Conf!$C$5</f>
        <v>#DIV/0!</v>
      </c>
      <c r="AR134" s="43" t="e">
        <f>Z$3+Q134/ATM_Conf!$C$5</f>
        <v>#DIV/0!</v>
      </c>
      <c r="AS134" s="43" t="e">
        <f>AA$3+R134/ATM_Conf!$C$5</f>
        <v>#DIV/0!</v>
      </c>
      <c r="AT134" s="43" t="e">
        <f>AB$3+S134/ATM_Conf!$C$5</f>
        <v>#DIV/0!</v>
      </c>
      <c r="AU134" s="43" t="e">
        <f>BD$3*MIN(1,(ATM_Conf!$C$6-Links!X134)/(ATM_Conf!$C$6-ATM_Conf!$C$7))</f>
        <v>#DIV/0!</v>
      </c>
      <c r="AV134" s="43" t="e">
        <f>BE$3*MIN(1,(ATM_Conf!$C$6-Links!Z134)/(ATM_Conf!$C$6-ATM_Conf!$C$7))</f>
        <v>#DIV/0!</v>
      </c>
      <c r="AW134" s="43" t="e">
        <f>BF$3*MIN(1,(ATM_Conf!$C$6-Links!AA134)/(ATM_Conf!$C$6-ATM_Conf!$C$7))</f>
        <v>#DIV/0!</v>
      </c>
      <c r="AX134" s="43" t="e">
        <f>BG$3*MIN(1,(ATM_Conf!$C$6-Links!AD134)/(ATM_Conf!$C$6-ATM_Conf!$C$7))</f>
        <v>#DIV/0!</v>
      </c>
      <c r="AY134" s="43" t="e">
        <f>BH$3*MIN(1,(ATM_Conf!$C$6-Links!AE134)/(ATM_Conf!$C$6-ATM_Conf!$C$7))</f>
        <v>#DIV/0!</v>
      </c>
      <c r="AZ134" s="43" t="e">
        <f>BI$3*MIN(1,(ATM_Conf!$C$6-Links!AG134)/(ATM_Conf!$C$6-ATM_Conf!$C$7))</f>
        <v>#DIV/0!</v>
      </c>
      <c r="BA134" s="43" t="e">
        <f>BJ$3*MIN(1,(ATM_Conf!$C$6-Links!AH134)/(ATM_Conf!$C$6-ATM_Conf!$C$7))</f>
        <v>#DIV/0!</v>
      </c>
      <c r="BB134" s="43" t="e">
        <f>BK$3*MIN(1,(ATM_Conf!$C$6-Links!AK134)/(ATM_Conf!$C$6-ATM_Conf!$C$7))</f>
        <v>#DIV/0!</v>
      </c>
      <c r="BC134" s="43" t="e">
        <f>BL$3*MIN(1,(ATM_Conf!$C$6-Links!AM134)/(ATM_Conf!$C$6-ATM_Conf!$C$7))</f>
        <v>#DIV/0!</v>
      </c>
      <c r="BD134" s="43">
        <f t="shared" si="88"/>
        <v>0</v>
      </c>
      <c r="BE134" s="43">
        <f t="shared" si="88"/>
        <v>0</v>
      </c>
      <c r="BF134" s="43">
        <f t="shared" si="88"/>
        <v>0</v>
      </c>
      <c r="BG134" s="43">
        <f t="shared" si="88"/>
        <v>0</v>
      </c>
      <c r="BH134" s="43">
        <f t="shared" si="88"/>
        <v>0</v>
      </c>
      <c r="BI134" s="43">
        <f t="shared" si="88"/>
        <v>0</v>
      </c>
      <c r="BJ134" s="43">
        <f t="shared" si="88"/>
        <v>0</v>
      </c>
      <c r="BK134" s="43">
        <f t="shared" si="88"/>
        <v>0</v>
      </c>
      <c r="BL134" s="43">
        <f t="shared" si="88"/>
        <v>0</v>
      </c>
      <c r="BM134" s="51"/>
      <c r="BN134" s="51"/>
      <c r="BO134" s="51"/>
      <c r="BP134" s="51"/>
      <c r="BQ134" s="51"/>
      <c r="BR134" s="51"/>
      <c r="BS134" s="51"/>
      <c r="BT134" s="51"/>
      <c r="BU134" s="51"/>
      <c r="BV134" s="51" t="e">
        <f t="shared" si="99"/>
        <v>#DIV/0!</v>
      </c>
      <c r="BW134" s="51" t="e">
        <f t="shared" si="100"/>
        <v>#DIV/0!</v>
      </c>
      <c r="BX134" s="51" t="e">
        <f t="shared" si="101"/>
        <v>#DIV/0!</v>
      </c>
      <c r="BY134" s="51" t="e">
        <f t="shared" si="102"/>
        <v>#DIV/0!</v>
      </c>
      <c r="BZ134" s="51" t="e">
        <f t="shared" si="103"/>
        <v>#DIV/0!</v>
      </c>
      <c r="CA134" s="51" t="e">
        <f t="shared" si="104"/>
        <v>#DIV/0!</v>
      </c>
      <c r="CB134" s="51" t="e">
        <f t="shared" si="105"/>
        <v>#DIV/0!</v>
      </c>
      <c r="CC134" s="51" t="e">
        <f t="shared" si="106"/>
        <v>#DIV/0!</v>
      </c>
      <c r="CD134" s="51" t="e">
        <f t="shared" si="107"/>
        <v>#DIV/0!</v>
      </c>
      <c r="CE134" s="53">
        <f t="shared" si="89"/>
        <v>0</v>
      </c>
      <c r="CF134" s="53">
        <f t="shared" si="89"/>
        <v>0</v>
      </c>
      <c r="CG134" s="53">
        <f t="shared" si="89"/>
        <v>0</v>
      </c>
      <c r="CH134" s="53">
        <f t="shared" si="89"/>
        <v>0</v>
      </c>
      <c r="CI134" s="53">
        <f t="shared" si="89"/>
        <v>0</v>
      </c>
      <c r="CJ134" s="53">
        <f t="shared" si="89"/>
        <v>0</v>
      </c>
      <c r="CK134" s="53">
        <f t="shared" si="89"/>
        <v>0</v>
      </c>
      <c r="CL134" s="53">
        <f t="shared" si="89"/>
        <v>0</v>
      </c>
      <c r="CM134" s="53">
        <f t="shared" si="89"/>
        <v>0</v>
      </c>
    </row>
    <row r="135" spans="1:91" x14ac:dyDescent="0.15">
      <c r="A135" s="41">
        <v>133</v>
      </c>
      <c r="B135" s="45">
        <v>1</v>
      </c>
      <c r="C135" s="45">
        <v>1</v>
      </c>
      <c r="D135" s="45">
        <v>1</v>
      </c>
      <c r="E135" s="45">
        <v>1</v>
      </c>
      <c r="F135" s="45">
        <v>1</v>
      </c>
      <c r="G135" s="45">
        <v>1</v>
      </c>
      <c r="H135" s="45">
        <v>1</v>
      </c>
      <c r="I135" s="45">
        <v>1</v>
      </c>
      <c r="J135" s="45">
        <v>1</v>
      </c>
      <c r="K135" s="43" t="e">
        <f>K134+ATM_Conf!$C$5*(T134-AC134)</f>
        <v>#DIV/0!</v>
      </c>
      <c r="L135" s="43" t="e">
        <f>L134+ATM_Conf!$C$5*(U134-AD134)</f>
        <v>#DIV/0!</v>
      </c>
      <c r="M135" s="43" t="e">
        <f>M134+ATM_Conf!$C$5*(V134-AE134)</f>
        <v>#DIV/0!</v>
      </c>
      <c r="N135" s="43" t="e">
        <f>N134+ATM_Conf!$C$5*(W134-AF134)</f>
        <v>#DIV/0!</v>
      </c>
      <c r="O135" s="43" t="e">
        <f>O134+ATM_Conf!$C$5*(X134-AG134)</f>
        <v>#DIV/0!</v>
      </c>
      <c r="P135" s="43" t="e">
        <f>P134+ATM_Conf!$C$5*(Y134-AH134)</f>
        <v>#DIV/0!</v>
      </c>
      <c r="Q135" s="43" t="e">
        <f>Q134+ATM_Conf!$C$5*(Z134-AI134)</f>
        <v>#DIV/0!</v>
      </c>
      <c r="R135" s="43" t="e">
        <f>R134+ATM_Conf!$C$5*(AA134-AJ134)</f>
        <v>#DIV/0!</v>
      </c>
      <c r="S135" s="43" t="e">
        <f>S134+ATM_Conf!$C$5*(AB134-AK134)</f>
        <v>#DIV/0!</v>
      </c>
      <c r="T135" s="43">
        <f t="shared" si="87"/>
        <v>0</v>
      </c>
      <c r="U135" s="43">
        <f t="shared" si="87"/>
        <v>0</v>
      </c>
      <c r="V135" s="43">
        <f t="shared" si="87"/>
        <v>0</v>
      </c>
      <c r="W135" s="43">
        <f t="shared" si="87"/>
        <v>0</v>
      </c>
      <c r="X135" s="43">
        <f t="shared" si="87"/>
        <v>0</v>
      </c>
      <c r="Y135" s="43">
        <f t="shared" si="87"/>
        <v>0</v>
      </c>
      <c r="Z135" s="43">
        <f t="shared" si="87"/>
        <v>0</v>
      </c>
      <c r="AA135" s="43">
        <f t="shared" si="87"/>
        <v>0</v>
      </c>
      <c r="AB135" s="43">
        <f t="shared" si="87"/>
        <v>0</v>
      </c>
      <c r="AC135" s="43" t="e">
        <f t="shared" si="90"/>
        <v>#DIV/0!</v>
      </c>
      <c r="AD135" s="43" t="e">
        <f t="shared" si="91"/>
        <v>#DIV/0!</v>
      </c>
      <c r="AE135" s="43" t="e">
        <f t="shared" si="92"/>
        <v>#DIV/0!</v>
      </c>
      <c r="AF135" s="43" t="e">
        <f t="shared" si="93"/>
        <v>#DIV/0!</v>
      </c>
      <c r="AG135" s="43" t="e">
        <f t="shared" si="94"/>
        <v>#DIV/0!</v>
      </c>
      <c r="AH135" s="43" t="e">
        <f t="shared" si="95"/>
        <v>#DIV/0!</v>
      </c>
      <c r="AI135" s="43" t="e">
        <f t="shared" si="96"/>
        <v>#DIV/0!</v>
      </c>
      <c r="AJ135" s="43" t="e">
        <f t="shared" si="97"/>
        <v>#DIV/0!</v>
      </c>
      <c r="AK135" s="43" t="e">
        <f t="shared" si="98"/>
        <v>#DIV/0!</v>
      </c>
      <c r="AL135" s="43" t="e">
        <f>T$3+K135/ATM_Conf!$C$5</f>
        <v>#DIV/0!</v>
      </c>
      <c r="AM135" s="43" t="e">
        <f>U$3+L135/ATM_Conf!$C$5</f>
        <v>#DIV/0!</v>
      </c>
      <c r="AN135" s="43" t="e">
        <f>V$3+M135/ATM_Conf!$C$5</f>
        <v>#DIV/0!</v>
      </c>
      <c r="AO135" s="43" t="e">
        <f>W$3+N135/ATM_Conf!$C$5</f>
        <v>#DIV/0!</v>
      </c>
      <c r="AP135" s="43" t="e">
        <f>X$3+O135/ATM_Conf!$C$5</f>
        <v>#DIV/0!</v>
      </c>
      <c r="AQ135" s="43" t="e">
        <f>Y$3+P135/ATM_Conf!$C$5</f>
        <v>#DIV/0!</v>
      </c>
      <c r="AR135" s="43" t="e">
        <f>Z$3+Q135/ATM_Conf!$C$5</f>
        <v>#DIV/0!</v>
      </c>
      <c r="AS135" s="43" t="e">
        <f>AA$3+R135/ATM_Conf!$C$5</f>
        <v>#DIV/0!</v>
      </c>
      <c r="AT135" s="43" t="e">
        <f>AB$3+S135/ATM_Conf!$C$5</f>
        <v>#DIV/0!</v>
      </c>
      <c r="AU135" s="43" t="e">
        <f>BD$3*MIN(1,(ATM_Conf!$C$6-Links!X135)/(ATM_Conf!$C$6-ATM_Conf!$C$7))</f>
        <v>#DIV/0!</v>
      </c>
      <c r="AV135" s="43" t="e">
        <f>BE$3*MIN(1,(ATM_Conf!$C$6-Links!Z135)/(ATM_Conf!$C$6-ATM_Conf!$C$7))</f>
        <v>#DIV/0!</v>
      </c>
      <c r="AW135" s="43" t="e">
        <f>BF$3*MIN(1,(ATM_Conf!$C$6-Links!AA135)/(ATM_Conf!$C$6-ATM_Conf!$C$7))</f>
        <v>#DIV/0!</v>
      </c>
      <c r="AX135" s="43" t="e">
        <f>BG$3*MIN(1,(ATM_Conf!$C$6-Links!AD135)/(ATM_Conf!$C$6-ATM_Conf!$C$7))</f>
        <v>#DIV/0!</v>
      </c>
      <c r="AY135" s="43" t="e">
        <f>BH$3*MIN(1,(ATM_Conf!$C$6-Links!AE135)/(ATM_Conf!$C$6-ATM_Conf!$C$7))</f>
        <v>#DIV/0!</v>
      </c>
      <c r="AZ135" s="43" t="e">
        <f>BI$3*MIN(1,(ATM_Conf!$C$6-Links!AG135)/(ATM_Conf!$C$6-ATM_Conf!$C$7))</f>
        <v>#DIV/0!</v>
      </c>
      <c r="BA135" s="43" t="e">
        <f>BJ$3*MIN(1,(ATM_Conf!$C$6-Links!AH135)/(ATM_Conf!$C$6-ATM_Conf!$C$7))</f>
        <v>#DIV/0!</v>
      </c>
      <c r="BB135" s="43" t="e">
        <f>BK$3*MIN(1,(ATM_Conf!$C$6-Links!AK135)/(ATM_Conf!$C$6-ATM_Conf!$C$7))</f>
        <v>#DIV/0!</v>
      </c>
      <c r="BC135" s="43" t="e">
        <f>BL$3*MIN(1,(ATM_Conf!$C$6-Links!AM135)/(ATM_Conf!$C$6-ATM_Conf!$C$7))</f>
        <v>#DIV/0!</v>
      </c>
      <c r="BD135" s="43">
        <f t="shared" si="88"/>
        <v>0</v>
      </c>
      <c r="BE135" s="43">
        <f t="shared" si="88"/>
        <v>0</v>
      </c>
      <c r="BF135" s="43">
        <f t="shared" si="88"/>
        <v>0</v>
      </c>
      <c r="BG135" s="43">
        <f t="shared" si="88"/>
        <v>0</v>
      </c>
      <c r="BH135" s="43">
        <f t="shared" si="88"/>
        <v>0</v>
      </c>
      <c r="BI135" s="43">
        <f t="shared" si="88"/>
        <v>0</v>
      </c>
      <c r="BJ135" s="43">
        <f t="shared" si="88"/>
        <v>0</v>
      </c>
      <c r="BK135" s="43">
        <f t="shared" si="88"/>
        <v>0</v>
      </c>
      <c r="BL135" s="43">
        <f t="shared" si="88"/>
        <v>0</v>
      </c>
      <c r="BM135" s="51">
        <f>(B135-B123)^2</f>
        <v>0</v>
      </c>
      <c r="BN135" s="51">
        <f t="shared" ref="BN135:BU135" si="108">(C135-C123)^2</f>
        <v>0</v>
      </c>
      <c r="BO135" s="51">
        <f t="shared" si="108"/>
        <v>0</v>
      </c>
      <c r="BP135" s="51">
        <f t="shared" si="108"/>
        <v>0</v>
      </c>
      <c r="BQ135" s="51">
        <f t="shared" si="108"/>
        <v>0</v>
      </c>
      <c r="BR135" s="51">
        <f t="shared" si="108"/>
        <v>0</v>
      </c>
      <c r="BS135" s="51">
        <f t="shared" si="108"/>
        <v>0</v>
      </c>
      <c r="BT135" s="51">
        <f t="shared" si="108"/>
        <v>0</v>
      </c>
      <c r="BU135" s="51">
        <f t="shared" si="108"/>
        <v>0</v>
      </c>
      <c r="BV135" s="51" t="e">
        <f t="shared" si="99"/>
        <v>#DIV/0!</v>
      </c>
      <c r="BW135" s="51" t="e">
        <f t="shared" si="100"/>
        <v>#DIV/0!</v>
      </c>
      <c r="BX135" s="51" t="e">
        <f t="shared" si="101"/>
        <v>#DIV/0!</v>
      </c>
      <c r="BY135" s="51" t="e">
        <f t="shared" si="102"/>
        <v>#DIV/0!</v>
      </c>
      <c r="BZ135" s="51" t="e">
        <f t="shared" si="103"/>
        <v>#DIV/0!</v>
      </c>
      <c r="CA135" s="51" t="e">
        <f t="shared" si="104"/>
        <v>#DIV/0!</v>
      </c>
      <c r="CB135" s="51" t="e">
        <f t="shared" si="105"/>
        <v>#DIV/0!</v>
      </c>
      <c r="CC135" s="51" t="e">
        <f t="shared" si="106"/>
        <v>#DIV/0!</v>
      </c>
      <c r="CD135" s="51" t="e">
        <f t="shared" si="107"/>
        <v>#DIV/0!</v>
      </c>
      <c r="CE135" s="53">
        <f t="shared" si="89"/>
        <v>0</v>
      </c>
      <c r="CF135" s="53">
        <f t="shared" si="89"/>
        <v>0</v>
      </c>
      <c r="CG135" s="53">
        <f t="shared" si="89"/>
        <v>0</v>
      </c>
      <c r="CH135" s="53">
        <f t="shared" si="89"/>
        <v>0</v>
      </c>
      <c r="CI135" s="53">
        <f t="shared" si="89"/>
        <v>0</v>
      </c>
      <c r="CJ135" s="53">
        <f t="shared" si="89"/>
        <v>0</v>
      </c>
      <c r="CK135" s="53">
        <f t="shared" si="89"/>
        <v>0</v>
      </c>
      <c r="CL135" s="53">
        <f t="shared" si="89"/>
        <v>0</v>
      </c>
      <c r="CM135" s="53">
        <f t="shared" si="89"/>
        <v>0</v>
      </c>
    </row>
    <row r="136" spans="1:91" x14ac:dyDescent="0.15">
      <c r="A136" s="41">
        <v>134</v>
      </c>
      <c r="B136" s="43">
        <f>B$135</f>
        <v>1</v>
      </c>
      <c r="C136" s="43">
        <f t="shared" ref="C136:J146" si="109">C$135</f>
        <v>1</v>
      </c>
      <c r="D136" s="43">
        <f t="shared" si="109"/>
        <v>1</v>
      </c>
      <c r="E136" s="43">
        <f t="shared" si="109"/>
        <v>1</v>
      </c>
      <c r="F136" s="43">
        <f t="shared" si="109"/>
        <v>1</v>
      </c>
      <c r="G136" s="43">
        <f t="shared" si="109"/>
        <v>1</v>
      </c>
      <c r="H136" s="43">
        <f t="shared" si="109"/>
        <v>1</v>
      </c>
      <c r="I136" s="43">
        <f t="shared" si="109"/>
        <v>1</v>
      </c>
      <c r="J136" s="43">
        <f t="shared" si="109"/>
        <v>1</v>
      </c>
      <c r="K136" s="43" t="e">
        <f>K135+ATM_Conf!$C$5*(T135-AC135)</f>
        <v>#DIV/0!</v>
      </c>
      <c r="L136" s="43" t="e">
        <f>L135+ATM_Conf!$C$5*(U135-AD135)</f>
        <v>#DIV/0!</v>
      </c>
      <c r="M136" s="43" t="e">
        <f>M135+ATM_Conf!$C$5*(V135-AE135)</f>
        <v>#DIV/0!</v>
      </c>
      <c r="N136" s="43" t="e">
        <f>N135+ATM_Conf!$C$5*(W135-AF135)</f>
        <v>#DIV/0!</v>
      </c>
      <c r="O136" s="43" t="e">
        <f>O135+ATM_Conf!$C$5*(X135-AG135)</f>
        <v>#DIV/0!</v>
      </c>
      <c r="P136" s="43" t="e">
        <f>P135+ATM_Conf!$C$5*(Y135-AH135)</f>
        <v>#DIV/0!</v>
      </c>
      <c r="Q136" s="43" t="e">
        <f>Q135+ATM_Conf!$C$5*(Z135-AI135)</f>
        <v>#DIV/0!</v>
      </c>
      <c r="R136" s="43" t="e">
        <f>R135+ATM_Conf!$C$5*(AA135-AJ135)</f>
        <v>#DIV/0!</v>
      </c>
      <c r="S136" s="43" t="e">
        <f>S135+ATM_Conf!$C$5*(AB135-AK135)</f>
        <v>#DIV/0!</v>
      </c>
      <c r="T136" s="43">
        <f t="shared" si="87"/>
        <v>0</v>
      </c>
      <c r="U136" s="43">
        <f t="shared" si="87"/>
        <v>0</v>
      </c>
      <c r="V136" s="43">
        <f t="shared" si="87"/>
        <v>0</v>
      </c>
      <c r="W136" s="43">
        <f t="shared" si="87"/>
        <v>0</v>
      </c>
      <c r="X136" s="43">
        <f t="shared" si="87"/>
        <v>0</v>
      </c>
      <c r="Y136" s="43">
        <f t="shared" si="87"/>
        <v>0</v>
      </c>
      <c r="Z136" s="43">
        <f t="shared" si="87"/>
        <v>0</v>
      </c>
      <c r="AA136" s="43">
        <f t="shared" si="87"/>
        <v>0</v>
      </c>
      <c r="AB136" s="43">
        <f t="shared" si="87"/>
        <v>0</v>
      </c>
      <c r="AC136" s="43" t="e">
        <f t="shared" si="90"/>
        <v>#DIV/0!</v>
      </c>
      <c r="AD136" s="43" t="e">
        <f t="shared" si="91"/>
        <v>#DIV/0!</v>
      </c>
      <c r="AE136" s="43" t="e">
        <f t="shared" si="92"/>
        <v>#DIV/0!</v>
      </c>
      <c r="AF136" s="43" t="e">
        <f t="shared" si="93"/>
        <v>#DIV/0!</v>
      </c>
      <c r="AG136" s="43" t="e">
        <f t="shared" si="94"/>
        <v>#DIV/0!</v>
      </c>
      <c r="AH136" s="43" t="e">
        <f t="shared" si="95"/>
        <v>#DIV/0!</v>
      </c>
      <c r="AI136" s="43" t="e">
        <f t="shared" si="96"/>
        <v>#DIV/0!</v>
      </c>
      <c r="AJ136" s="43" t="e">
        <f t="shared" si="97"/>
        <v>#DIV/0!</v>
      </c>
      <c r="AK136" s="43" t="e">
        <f t="shared" si="98"/>
        <v>#DIV/0!</v>
      </c>
      <c r="AL136" s="43" t="e">
        <f>T$3+K136/ATM_Conf!$C$5</f>
        <v>#DIV/0!</v>
      </c>
      <c r="AM136" s="43" t="e">
        <f>U$3+L136/ATM_Conf!$C$5</f>
        <v>#DIV/0!</v>
      </c>
      <c r="AN136" s="43" t="e">
        <f>V$3+M136/ATM_Conf!$C$5</f>
        <v>#DIV/0!</v>
      </c>
      <c r="AO136" s="43" t="e">
        <f>W$3+N136/ATM_Conf!$C$5</f>
        <v>#DIV/0!</v>
      </c>
      <c r="AP136" s="43" t="e">
        <f>X$3+O136/ATM_Conf!$C$5</f>
        <v>#DIV/0!</v>
      </c>
      <c r="AQ136" s="43" t="e">
        <f>Y$3+P136/ATM_Conf!$C$5</f>
        <v>#DIV/0!</v>
      </c>
      <c r="AR136" s="43" t="e">
        <f>Z$3+Q136/ATM_Conf!$C$5</f>
        <v>#DIV/0!</v>
      </c>
      <c r="AS136" s="43" t="e">
        <f>AA$3+R136/ATM_Conf!$C$5</f>
        <v>#DIV/0!</v>
      </c>
      <c r="AT136" s="43" t="e">
        <f>AB$3+S136/ATM_Conf!$C$5</f>
        <v>#DIV/0!</v>
      </c>
      <c r="AU136" s="43" t="e">
        <f>BD$3*MIN(1,(ATM_Conf!$C$6-Links!X136)/(ATM_Conf!$C$6-ATM_Conf!$C$7))</f>
        <v>#DIV/0!</v>
      </c>
      <c r="AV136" s="43" t="e">
        <f>BE$3*MIN(1,(ATM_Conf!$C$6-Links!Z136)/(ATM_Conf!$C$6-ATM_Conf!$C$7))</f>
        <v>#DIV/0!</v>
      </c>
      <c r="AW136" s="43" t="e">
        <f>BF$3*MIN(1,(ATM_Conf!$C$6-Links!AA136)/(ATM_Conf!$C$6-ATM_Conf!$C$7))</f>
        <v>#DIV/0!</v>
      </c>
      <c r="AX136" s="43" t="e">
        <f>BG$3*MIN(1,(ATM_Conf!$C$6-Links!AD136)/(ATM_Conf!$C$6-ATM_Conf!$C$7))</f>
        <v>#DIV/0!</v>
      </c>
      <c r="AY136" s="43" t="e">
        <f>BH$3*MIN(1,(ATM_Conf!$C$6-Links!AE136)/(ATM_Conf!$C$6-ATM_Conf!$C$7))</f>
        <v>#DIV/0!</v>
      </c>
      <c r="AZ136" s="43" t="e">
        <f>BI$3*MIN(1,(ATM_Conf!$C$6-Links!AG136)/(ATM_Conf!$C$6-ATM_Conf!$C$7))</f>
        <v>#DIV/0!</v>
      </c>
      <c r="BA136" s="43" t="e">
        <f>BJ$3*MIN(1,(ATM_Conf!$C$6-Links!AH136)/(ATM_Conf!$C$6-ATM_Conf!$C$7))</f>
        <v>#DIV/0!</v>
      </c>
      <c r="BB136" s="43" t="e">
        <f>BK$3*MIN(1,(ATM_Conf!$C$6-Links!AK136)/(ATM_Conf!$C$6-ATM_Conf!$C$7))</f>
        <v>#DIV/0!</v>
      </c>
      <c r="BC136" s="43" t="e">
        <f>BL$3*MIN(1,(ATM_Conf!$C$6-Links!AM136)/(ATM_Conf!$C$6-ATM_Conf!$C$7))</f>
        <v>#DIV/0!</v>
      </c>
      <c r="BD136" s="43">
        <f t="shared" si="88"/>
        <v>0</v>
      </c>
      <c r="BE136" s="43">
        <f t="shared" si="88"/>
        <v>0</v>
      </c>
      <c r="BF136" s="43">
        <f t="shared" si="88"/>
        <v>0</v>
      </c>
      <c r="BG136" s="43">
        <f t="shared" si="88"/>
        <v>0</v>
      </c>
      <c r="BH136" s="43">
        <f t="shared" si="88"/>
        <v>0</v>
      </c>
      <c r="BI136" s="43">
        <f t="shared" si="88"/>
        <v>0</v>
      </c>
      <c r="BJ136" s="43">
        <f t="shared" si="88"/>
        <v>0</v>
      </c>
      <c r="BK136" s="43">
        <f t="shared" si="88"/>
        <v>0</v>
      </c>
      <c r="BL136" s="43">
        <f t="shared" si="88"/>
        <v>0</v>
      </c>
      <c r="BM136" s="51"/>
      <c r="BN136" s="51"/>
      <c r="BO136" s="51"/>
      <c r="BP136" s="51"/>
      <c r="BQ136" s="51"/>
      <c r="BR136" s="51"/>
      <c r="BS136" s="51"/>
      <c r="BT136" s="51"/>
      <c r="BU136" s="51"/>
      <c r="BV136" s="51" t="e">
        <f t="shared" si="99"/>
        <v>#DIV/0!</v>
      </c>
      <c r="BW136" s="51" t="e">
        <f t="shared" si="100"/>
        <v>#DIV/0!</v>
      </c>
      <c r="BX136" s="51" t="e">
        <f t="shared" si="101"/>
        <v>#DIV/0!</v>
      </c>
      <c r="BY136" s="51" t="e">
        <f t="shared" si="102"/>
        <v>#DIV/0!</v>
      </c>
      <c r="BZ136" s="51" t="e">
        <f t="shared" si="103"/>
        <v>#DIV/0!</v>
      </c>
      <c r="CA136" s="51" t="e">
        <f t="shared" si="104"/>
        <v>#DIV/0!</v>
      </c>
      <c r="CB136" s="51" t="e">
        <f t="shared" si="105"/>
        <v>#DIV/0!</v>
      </c>
      <c r="CC136" s="51" t="e">
        <f t="shared" si="106"/>
        <v>#DIV/0!</v>
      </c>
      <c r="CD136" s="51" t="e">
        <f t="shared" si="107"/>
        <v>#DIV/0!</v>
      </c>
      <c r="CE136" s="53">
        <f t="shared" si="89"/>
        <v>0</v>
      </c>
      <c r="CF136" s="53">
        <f t="shared" si="89"/>
        <v>0</v>
      </c>
      <c r="CG136" s="53">
        <f t="shared" si="89"/>
        <v>0</v>
      </c>
      <c r="CH136" s="53">
        <f t="shared" si="89"/>
        <v>0</v>
      </c>
      <c r="CI136" s="53">
        <f t="shared" si="89"/>
        <v>0</v>
      </c>
      <c r="CJ136" s="53">
        <f t="shared" si="89"/>
        <v>0</v>
      </c>
      <c r="CK136" s="53">
        <f t="shared" si="89"/>
        <v>0</v>
      </c>
      <c r="CL136" s="53">
        <f t="shared" si="89"/>
        <v>0</v>
      </c>
      <c r="CM136" s="53">
        <f t="shared" si="89"/>
        <v>0</v>
      </c>
    </row>
    <row r="137" spans="1:91" x14ac:dyDescent="0.15">
      <c r="A137" s="41">
        <v>135</v>
      </c>
      <c r="B137" s="43">
        <f t="shared" ref="B137:B146" si="110">B$135</f>
        <v>1</v>
      </c>
      <c r="C137" s="43">
        <f t="shared" si="109"/>
        <v>1</v>
      </c>
      <c r="D137" s="43">
        <f t="shared" si="109"/>
        <v>1</v>
      </c>
      <c r="E137" s="43">
        <f t="shared" si="109"/>
        <v>1</v>
      </c>
      <c r="F137" s="43">
        <f t="shared" si="109"/>
        <v>1</v>
      </c>
      <c r="G137" s="43">
        <f t="shared" si="109"/>
        <v>1</v>
      </c>
      <c r="H137" s="43">
        <f t="shared" si="109"/>
        <v>1</v>
      </c>
      <c r="I137" s="43">
        <f t="shared" si="109"/>
        <v>1</v>
      </c>
      <c r="J137" s="43">
        <f t="shared" si="109"/>
        <v>1</v>
      </c>
      <c r="K137" s="43" t="e">
        <f>K136+ATM_Conf!$C$5*(T136-AC136)</f>
        <v>#DIV/0!</v>
      </c>
      <c r="L137" s="43" t="e">
        <f>L136+ATM_Conf!$C$5*(U136-AD136)</f>
        <v>#DIV/0!</v>
      </c>
      <c r="M137" s="43" t="e">
        <f>M136+ATM_Conf!$C$5*(V136-AE136)</f>
        <v>#DIV/0!</v>
      </c>
      <c r="N137" s="43" t="e">
        <f>N136+ATM_Conf!$C$5*(W136-AF136)</f>
        <v>#DIV/0!</v>
      </c>
      <c r="O137" s="43" t="e">
        <f>O136+ATM_Conf!$C$5*(X136-AG136)</f>
        <v>#DIV/0!</v>
      </c>
      <c r="P137" s="43" t="e">
        <f>P136+ATM_Conf!$C$5*(Y136-AH136)</f>
        <v>#DIV/0!</v>
      </c>
      <c r="Q137" s="43" t="e">
        <f>Q136+ATM_Conf!$C$5*(Z136-AI136)</f>
        <v>#DIV/0!</v>
      </c>
      <c r="R137" s="43" t="e">
        <f>R136+ATM_Conf!$C$5*(AA136-AJ136)</f>
        <v>#DIV/0!</v>
      </c>
      <c r="S137" s="43" t="e">
        <f>S136+ATM_Conf!$C$5*(AB136-AK136)</f>
        <v>#DIV/0!</v>
      </c>
      <c r="T137" s="43">
        <f t="shared" si="87"/>
        <v>0</v>
      </c>
      <c r="U137" s="43">
        <f t="shared" si="87"/>
        <v>0</v>
      </c>
      <c r="V137" s="43">
        <f t="shared" si="87"/>
        <v>0</v>
      </c>
      <c r="W137" s="43">
        <f t="shared" si="87"/>
        <v>0</v>
      </c>
      <c r="X137" s="43">
        <f t="shared" si="87"/>
        <v>0</v>
      </c>
      <c r="Y137" s="43">
        <f t="shared" si="87"/>
        <v>0</v>
      </c>
      <c r="Z137" s="43">
        <f t="shared" si="87"/>
        <v>0</v>
      </c>
      <c r="AA137" s="43">
        <f t="shared" si="87"/>
        <v>0</v>
      </c>
      <c r="AB137" s="43">
        <f t="shared" si="87"/>
        <v>0</v>
      </c>
      <c r="AC137" s="43" t="e">
        <f t="shared" si="90"/>
        <v>#DIV/0!</v>
      </c>
      <c r="AD137" s="43" t="e">
        <f t="shared" si="91"/>
        <v>#DIV/0!</v>
      </c>
      <c r="AE137" s="43" t="e">
        <f t="shared" si="92"/>
        <v>#DIV/0!</v>
      </c>
      <c r="AF137" s="43" t="e">
        <f t="shared" si="93"/>
        <v>#DIV/0!</v>
      </c>
      <c r="AG137" s="43" t="e">
        <f t="shared" si="94"/>
        <v>#DIV/0!</v>
      </c>
      <c r="AH137" s="43" t="e">
        <f t="shared" si="95"/>
        <v>#DIV/0!</v>
      </c>
      <c r="AI137" s="43" t="e">
        <f t="shared" si="96"/>
        <v>#DIV/0!</v>
      </c>
      <c r="AJ137" s="43" t="e">
        <f t="shared" si="97"/>
        <v>#DIV/0!</v>
      </c>
      <c r="AK137" s="43" t="e">
        <f t="shared" si="98"/>
        <v>#DIV/0!</v>
      </c>
      <c r="AL137" s="43" t="e">
        <f>T$3+K137/ATM_Conf!$C$5</f>
        <v>#DIV/0!</v>
      </c>
      <c r="AM137" s="43" t="e">
        <f>U$3+L137/ATM_Conf!$C$5</f>
        <v>#DIV/0!</v>
      </c>
      <c r="AN137" s="43" t="e">
        <f>V$3+M137/ATM_Conf!$C$5</f>
        <v>#DIV/0!</v>
      </c>
      <c r="AO137" s="43" t="e">
        <f>W$3+N137/ATM_Conf!$C$5</f>
        <v>#DIV/0!</v>
      </c>
      <c r="AP137" s="43" t="e">
        <f>X$3+O137/ATM_Conf!$C$5</f>
        <v>#DIV/0!</v>
      </c>
      <c r="AQ137" s="43" t="e">
        <f>Y$3+P137/ATM_Conf!$C$5</f>
        <v>#DIV/0!</v>
      </c>
      <c r="AR137" s="43" t="e">
        <f>Z$3+Q137/ATM_Conf!$C$5</f>
        <v>#DIV/0!</v>
      </c>
      <c r="AS137" s="43" t="e">
        <f>AA$3+R137/ATM_Conf!$C$5</f>
        <v>#DIV/0!</v>
      </c>
      <c r="AT137" s="43" t="e">
        <f>AB$3+S137/ATM_Conf!$C$5</f>
        <v>#DIV/0!</v>
      </c>
      <c r="AU137" s="43" t="e">
        <f>BD$3*MIN(1,(ATM_Conf!$C$6-Links!X137)/(ATM_Conf!$C$6-ATM_Conf!$C$7))</f>
        <v>#DIV/0!</v>
      </c>
      <c r="AV137" s="43" t="e">
        <f>BE$3*MIN(1,(ATM_Conf!$C$6-Links!Z137)/(ATM_Conf!$C$6-ATM_Conf!$C$7))</f>
        <v>#DIV/0!</v>
      </c>
      <c r="AW137" s="43" t="e">
        <f>BF$3*MIN(1,(ATM_Conf!$C$6-Links!AA137)/(ATM_Conf!$C$6-ATM_Conf!$C$7))</f>
        <v>#DIV/0!</v>
      </c>
      <c r="AX137" s="43" t="e">
        <f>BG$3*MIN(1,(ATM_Conf!$C$6-Links!AD137)/(ATM_Conf!$C$6-ATM_Conf!$C$7))</f>
        <v>#DIV/0!</v>
      </c>
      <c r="AY137" s="43" t="e">
        <f>BH$3*MIN(1,(ATM_Conf!$C$6-Links!AE137)/(ATM_Conf!$C$6-ATM_Conf!$C$7))</f>
        <v>#DIV/0!</v>
      </c>
      <c r="AZ137" s="43" t="e">
        <f>BI$3*MIN(1,(ATM_Conf!$C$6-Links!AG137)/(ATM_Conf!$C$6-ATM_Conf!$C$7))</f>
        <v>#DIV/0!</v>
      </c>
      <c r="BA137" s="43" t="e">
        <f>BJ$3*MIN(1,(ATM_Conf!$C$6-Links!AH137)/(ATM_Conf!$C$6-ATM_Conf!$C$7))</f>
        <v>#DIV/0!</v>
      </c>
      <c r="BB137" s="43" t="e">
        <f>BK$3*MIN(1,(ATM_Conf!$C$6-Links!AK137)/(ATM_Conf!$C$6-ATM_Conf!$C$7))</f>
        <v>#DIV/0!</v>
      </c>
      <c r="BC137" s="43" t="e">
        <f>BL$3*MIN(1,(ATM_Conf!$C$6-Links!AM137)/(ATM_Conf!$C$6-ATM_Conf!$C$7))</f>
        <v>#DIV/0!</v>
      </c>
      <c r="BD137" s="43">
        <f t="shared" si="88"/>
        <v>0</v>
      </c>
      <c r="BE137" s="43">
        <f t="shared" si="88"/>
        <v>0</v>
      </c>
      <c r="BF137" s="43">
        <f t="shared" si="88"/>
        <v>0</v>
      </c>
      <c r="BG137" s="43">
        <f t="shared" si="88"/>
        <v>0</v>
      </c>
      <c r="BH137" s="43">
        <f t="shared" si="88"/>
        <v>0</v>
      </c>
      <c r="BI137" s="43">
        <f t="shared" si="88"/>
        <v>0</v>
      </c>
      <c r="BJ137" s="43">
        <f t="shared" si="88"/>
        <v>0</v>
      </c>
      <c r="BK137" s="43">
        <f t="shared" si="88"/>
        <v>0</v>
      </c>
      <c r="BL137" s="43">
        <f t="shared" si="88"/>
        <v>0</v>
      </c>
      <c r="BM137" s="51"/>
      <c r="BN137" s="51"/>
      <c r="BO137" s="51"/>
      <c r="BP137" s="51"/>
      <c r="BQ137" s="51"/>
      <c r="BR137" s="51"/>
      <c r="BS137" s="51"/>
      <c r="BT137" s="51"/>
      <c r="BU137" s="51"/>
      <c r="BV137" s="51" t="e">
        <f t="shared" si="99"/>
        <v>#DIV/0!</v>
      </c>
      <c r="BW137" s="51" t="e">
        <f t="shared" si="100"/>
        <v>#DIV/0!</v>
      </c>
      <c r="BX137" s="51" t="e">
        <f t="shared" si="101"/>
        <v>#DIV/0!</v>
      </c>
      <c r="BY137" s="51" t="e">
        <f t="shared" si="102"/>
        <v>#DIV/0!</v>
      </c>
      <c r="BZ137" s="51" t="e">
        <f t="shared" si="103"/>
        <v>#DIV/0!</v>
      </c>
      <c r="CA137" s="51" t="e">
        <f t="shared" si="104"/>
        <v>#DIV/0!</v>
      </c>
      <c r="CB137" s="51" t="e">
        <f t="shared" si="105"/>
        <v>#DIV/0!</v>
      </c>
      <c r="CC137" s="51" t="e">
        <f t="shared" si="106"/>
        <v>#DIV/0!</v>
      </c>
      <c r="CD137" s="51" t="e">
        <f t="shared" si="107"/>
        <v>#DIV/0!</v>
      </c>
      <c r="CE137" s="53">
        <f t="shared" si="89"/>
        <v>0</v>
      </c>
      <c r="CF137" s="53">
        <f t="shared" si="89"/>
        <v>0</v>
      </c>
      <c r="CG137" s="53">
        <f t="shared" si="89"/>
        <v>0</v>
      </c>
      <c r="CH137" s="53">
        <f t="shared" si="89"/>
        <v>0</v>
      </c>
      <c r="CI137" s="53">
        <f t="shared" si="89"/>
        <v>0</v>
      </c>
      <c r="CJ137" s="53">
        <f t="shared" si="89"/>
        <v>0</v>
      </c>
      <c r="CK137" s="53">
        <f t="shared" si="89"/>
        <v>0</v>
      </c>
      <c r="CL137" s="53">
        <f t="shared" si="89"/>
        <v>0</v>
      </c>
      <c r="CM137" s="53">
        <f t="shared" si="89"/>
        <v>0</v>
      </c>
    </row>
    <row r="138" spans="1:91" x14ac:dyDescent="0.15">
      <c r="A138" s="41">
        <v>136</v>
      </c>
      <c r="B138" s="43">
        <f t="shared" si="110"/>
        <v>1</v>
      </c>
      <c r="C138" s="43">
        <f t="shared" si="109"/>
        <v>1</v>
      </c>
      <c r="D138" s="43">
        <f t="shared" si="109"/>
        <v>1</v>
      </c>
      <c r="E138" s="43">
        <f t="shared" si="109"/>
        <v>1</v>
      </c>
      <c r="F138" s="43">
        <f t="shared" si="109"/>
        <v>1</v>
      </c>
      <c r="G138" s="43">
        <f t="shared" si="109"/>
        <v>1</v>
      </c>
      <c r="H138" s="43">
        <f t="shared" si="109"/>
        <v>1</v>
      </c>
      <c r="I138" s="43">
        <f t="shared" si="109"/>
        <v>1</v>
      </c>
      <c r="J138" s="43">
        <f t="shared" si="109"/>
        <v>1</v>
      </c>
      <c r="K138" s="43" t="e">
        <f>K137+ATM_Conf!$C$5*(T137-AC137)</f>
        <v>#DIV/0!</v>
      </c>
      <c r="L138" s="43" t="e">
        <f>L137+ATM_Conf!$C$5*(U137-AD137)</f>
        <v>#DIV/0!</v>
      </c>
      <c r="M138" s="43" t="e">
        <f>M137+ATM_Conf!$C$5*(V137-AE137)</f>
        <v>#DIV/0!</v>
      </c>
      <c r="N138" s="43" t="e">
        <f>N137+ATM_Conf!$C$5*(W137-AF137)</f>
        <v>#DIV/0!</v>
      </c>
      <c r="O138" s="43" t="e">
        <f>O137+ATM_Conf!$C$5*(X137-AG137)</f>
        <v>#DIV/0!</v>
      </c>
      <c r="P138" s="43" t="e">
        <f>P137+ATM_Conf!$C$5*(Y137-AH137)</f>
        <v>#DIV/0!</v>
      </c>
      <c r="Q138" s="43" t="e">
        <f>Q137+ATM_Conf!$C$5*(Z137-AI137)</f>
        <v>#DIV/0!</v>
      </c>
      <c r="R138" s="43" t="e">
        <f>R137+ATM_Conf!$C$5*(AA137-AJ137)</f>
        <v>#DIV/0!</v>
      </c>
      <c r="S138" s="43" t="e">
        <f>S137+ATM_Conf!$C$5*(AB137-AK137)</f>
        <v>#DIV/0!</v>
      </c>
      <c r="T138" s="43">
        <f t="shared" si="87"/>
        <v>0</v>
      </c>
      <c r="U138" s="43">
        <f t="shared" si="87"/>
        <v>0</v>
      </c>
      <c r="V138" s="43">
        <f t="shared" si="87"/>
        <v>0</v>
      </c>
      <c r="W138" s="43">
        <f t="shared" si="87"/>
        <v>0</v>
      </c>
      <c r="X138" s="43">
        <f t="shared" si="87"/>
        <v>0</v>
      </c>
      <c r="Y138" s="43">
        <f t="shared" si="87"/>
        <v>0</v>
      </c>
      <c r="Z138" s="43">
        <f t="shared" si="87"/>
        <v>0</v>
      </c>
      <c r="AA138" s="43">
        <f t="shared" si="87"/>
        <v>0</v>
      </c>
      <c r="AB138" s="43">
        <f t="shared" si="87"/>
        <v>0</v>
      </c>
      <c r="AC138" s="43" t="e">
        <f t="shared" si="90"/>
        <v>#DIV/0!</v>
      </c>
      <c r="AD138" s="43" t="e">
        <f t="shared" si="91"/>
        <v>#DIV/0!</v>
      </c>
      <c r="AE138" s="43" t="e">
        <f t="shared" si="92"/>
        <v>#DIV/0!</v>
      </c>
      <c r="AF138" s="43" t="e">
        <f t="shared" si="93"/>
        <v>#DIV/0!</v>
      </c>
      <c r="AG138" s="43" t="e">
        <f t="shared" si="94"/>
        <v>#DIV/0!</v>
      </c>
      <c r="AH138" s="43" t="e">
        <f t="shared" si="95"/>
        <v>#DIV/0!</v>
      </c>
      <c r="AI138" s="43" t="e">
        <f t="shared" si="96"/>
        <v>#DIV/0!</v>
      </c>
      <c r="AJ138" s="43" t="e">
        <f t="shared" si="97"/>
        <v>#DIV/0!</v>
      </c>
      <c r="AK138" s="43" t="e">
        <f t="shared" si="98"/>
        <v>#DIV/0!</v>
      </c>
      <c r="AL138" s="43" t="e">
        <f>T$3+K138/ATM_Conf!$C$5</f>
        <v>#DIV/0!</v>
      </c>
      <c r="AM138" s="43" t="e">
        <f>U$3+L138/ATM_Conf!$C$5</f>
        <v>#DIV/0!</v>
      </c>
      <c r="AN138" s="43" t="e">
        <f>V$3+M138/ATM_Conf!$C$5</f>
        <v>#DIV/0!</v>
      </c>
      <c r="AO138" s="43" t="e">
        <f>W$3+N138/ATM_Conf!$C$5</f>
        <v>#DIV/0!</v>
      </c>
      <c r="AP138" s="43" t="e">
        <f>X$3+O138/ATM_Conf!$C$5</f>
        <v>#DIV/0!</v>
      </c>
      <c r="AQ138" s="43" t="e">
        <f>Y$3+P138/ATM_Conf!$C$5</f>
        <v>#DIV/0!</v>
      </c>
      <c r="AR138" s="43" t="e">
        <f>Z$3+Q138/ATM_Conf!$C$5</f>
        <v>#DIV/0!</v>
      </c>
      <c r="AS138" s="43" t="e">
        <f>AA$3+R138/ATM_Conf!$C$5</f>
        <v>#DIV/0!</v>
      </c>
      <c r="AT138" s="43" t="e">
        <f>AB$3+S138/ATM_Conf!$C$5</f>
        <v>#DIV/0!</v>
      </c>
      <c r="AU138" s="43" t="e">
        <f>BD$3*MIN(1,(ATM_Conf!$C$6-Links!X138)/(ATM_Conf!$C$6-ATM_Conf!$C$7))</f>
        <v>#DIV/0!</v>
      </c>
      <c r="AV138" s="43" t="e">
        <f>BE$3*MIN(1,(ATM_Conf!$C$6-Links!Z138)/(ATM_Conf!$C$6-ATM_Conf!$C$7))</f>
        <v>#DIV/0!</v>
      </c>
      <c r="AW138" s="43" t="e">
        <f>BF$3*MIN(1,(ATM_Conf!$C$6-Links!AA138)/(ATM_Conf!$C$6-ATM_Conf!$C$7))</f>
        <v>#DIV/0!</v>
      </c>
      <c r="AX138" s="43" t="e">
        <f>BG$3*MIN(1,(ATM_Conf!$C$6-Links!AD138)/(ATM_Conf!$C$6-ATM_Conf!$C$7))</f>
        <v>#DIV/0!</v>
      </c>
      <c r="AY138" s="43" t="e">
        <f>BH$3*MIN(1,(ATM_Conf!$C$6-Links!AE138)/(ATM_Conf!$C$6-ATM_Conf!$C$7))</f>
        <v>#DIV/0!</v>
      </c>
      <c r="AZ138" s="43" t="e">
        <f>BI$3*MIN(1,(ATM_Conf!$C$6-Links!AG138)/(ATM_Conf!$C$6-ATM_Conf!$C$7))</f>
        <v>#DIV/0!</v>
      </c>
      <c r="BA138" s="43" t="e">
        <f>BJ$3*MIN(1,(ATM_Conf!$C$6-Links!AH138)/(ATM_Conf!$C$6-ATM_Conf!$C$7))</f>
        <v>#DIV/0!</v>
      </c>
      <c r="BB138" s="43" t="e">
        <f>BK$3*MIN(1,(ATM_Conf!$C$6-Links!AK138)/(ATM_Conf!$C$6-ATM_Conf!$C$7))</f>
        <v>#DIV/0!</v>
      </c>
      <c r="BC138" s="43" t="e">
        <f>BL$3*MIN(1,(ATM_Conf!$C$6-Links!AM138)/(ATM_Conf!$C$6-ATM_Conf!$C$7))</f>
        <v>#DIV/0!</v>
      </c>
      <c r="BD138" s="43">
        <f t="shared" si="88"/>
        <v>0</v>
      </c>
      <c r="BE138" s="43">
        <f t="shared" si="88"/>
        <v>0</v>
      </c>
      <c r="BF138" s="43">
        <f t="shared" si="88"/>
        <v>0</v>
      </c>
      <c r="BG138" s="43">
        <f t="shared" si="88"/>
        <v>0</v>
      </c>
      <c r="BH138" s="43">
        <f t="shared" si="88"/>
        <v>0</v>
      </c>
      <c r="BI138" s="43">
        <f t="shared" si="88"/>
        <v>0</v>
      </c>
      <c r="BJ138" s="43">
        <f t="shared" si="88"/>
        <v>0</v>
      </c>
      <c r="BK138" s="43">
        <f t="shared" si="88"/>
        <v>0</v>
      </c>
      <c r="BL138" s="43">
        <f t="shared" si="88"/>
        <v>0</v>
      </c>
      <c r="BM138" s="51"/>
      <c r="BN138" s="51"/>
      <c r="BO138" s="51"/>
      <c r="BP138" s="51"/>
      <c r="BQ138" s="51"/>
      <c r="BR138" s="51"/>
      <c r="BS138" s="51"/>
      <c r="BT138" s="51"/>
      <c r="BU138" s="51"/>
      <c r="BV138" s="51" t="e">
        <f t="shared" si="99"/>
        <v>#DIV/0!</v>
      </c>
      <c r="BW138" s="51" t="e">
        <f t="shared" si="100"/>
        <v>#DIV/0!</v>
      </c>
      <c r="BX138" s="51" t="e">
        <f t="shared" si="101"/>
        <v>#DIV/0!</v>
      </c>
      <c r="BY138" s="51" t="e">
        <f t="shared" si="102"/>
        <v>#DIV/0!</v>
      </c>
      <c r="BZ138" s="51" t="e">
        <f t="shared" si="103"/>
        <v>#DIV/0!</v>
      </c>
      <c r="CA138" s="51" t="e">
        <f t="shared" si="104"/>
        <v>#DIV/0!</v>
      </c>
      <c r="CB138" s="51" t="e">
        <f t="shared" si="105"/>
        <v>#DIV/0!</v>
      </c>
      <c r="CC138" s="51" t="e">
        <f t="shared" si="106"/>
        <v>#DIV/0!</v>
      </c>
      <c r="CD138" s="51" t="e">
        <f t="shared" si="107"/>
        <v>#DIV/0!</v>
      </c>
      <c r="CE138" s="53">
        <f t="shared" si="89"/>
        <v>0</v>
      </c>
      <c r="CF138" s="53">
        <f t="shared" si="89"/>
        <v>0</v>
      </c>
      <c r="CG138" s="53">
        <f t="shared" si="89"/>
        <v>0</v>
      </c>
      <c r="CH138" s="53">
        <f t="shared" si="89"/>
        <v>0</v>
      </c>
      <c r="CI138" s="53">
        <f t="shared" si="89"/>
        <v>0</v>
      </c>
      <c r="CJ138" s="53">
        <f t="shared" si="89"/>
        <v>0</v>
      </c>
      <c r="CK138" s="53">
        <f t="shared" si="89"/>
        <v>0</v>
      </c>
      <c r="CL138" s="53">
        <f t="shared" si="89"/>
        <v>0</v>
      </c>
      <c r="CM138" s="53">
        <f t="shared" si="89"/>
        <v>0</v>
      </c>
    </row>
    <row r="139" spans="1:91" x14ac:dyDescent="0.15">
      <c r="A139" s="41">
        <v>137</v>
      </c>
      <c r="B139" s="43">
        <f t="shared" si="110"/>
        <v>1</v>
      </c>
      <c r="C139" s="43">
        <f t="shared" si="109"/>
        <v>1</v>
      </c>
      <c r="D139" s="43">
        <f t="shared" si="109"/>
        <v>1</v>
      </c>
      <c r="E139" s="43">
        <f t="shared" si="109"/>
        <v>1</v>
      </c>
      <c r="F139" s="43">
        <f t="shared" si="109"/>
        <v>1</v>
      </c>
      <c r="G139" s="43">
        <f t="shared" si="109"/>
        <v>1</v>
      </c>
      <c r="H139" s="43">
        <f t="shared" si="109"/>
        <v>1</v>
      </c>
      <c r="I139" s="43">
        <f t="shared" si="109"/>
        <v>1</v>
      </c>
      <c r="J139" s="43">
        <f t="shared" si="109"/>
        <v>1</v>
      </c>
      <c r="K139" s="43" t="e">
        <f>K138+ATM_Conf!$C$5*(T138-AC138)</f>
        <v>#DIV/0!</v>
      </c>
      <c r="L139" s="43" t="e">
        <f>L138+ATM_Conf!$C$5*(U138-AD138)</f>
        <v>#DIV/0!</v>
      </c>
      <c r="M139" s="43" t="e">
        <f>M138+ATM_Conf!$C$5*(V138-AE138)</f>
        <v>#DIV/0!</v>
      </c>
      <c r="N139" s="43" t="e">
        <f>N138+ATM_Conf!$C$5*(W138-AF138)</f>
        <v>#DIV/0!</v>
      </c>
      <c r="O139" s="43" t="e">
        <f>O138+ATM_Conf!$C$5*(X138-AG138)</f>
        <v>#DIV/0!</v>
      </c>
      <c r="P139" s="43" t="e">
        <f>P138+ATM_Conf!$C$5*(Y138-AH138)</f>
        <v>#DIV/0!</v>
      </c>
      <c r="Q139" s="43" t="e">
        <f>Q138+ATM_Conf!$C$5*(Z138-AI138)</f>
        <v>#DIV/0!</v>
      </c>
      <c r="R139" s="43" t="e">
        <f>R138+ATM_Conf!$C$5*(AA138-AJ138)</f>
        <v>#DIV/0!</v>
      </c>
      <c r="S139" s="43" t="e">
        <f>S138+ATM_Conf!$C$5*(AB138-AK138)</f>
        <v>#DIV/0!</v>
      </c>
      <c r="T139" s="43">
        <f t="shared" si="87"/>
        <v>0</v>
      </c>
      <c r="U139" s="43">
        <f t="shared" si="87"/>
        <v>0</v>
      </c>
      <c r="V139" s="43">
        <f t="shared" si="87"/>
        <v>0</v>
      </c>
      <c r="W139" s="43">
        <f t="shared" si="87"/>
        <v>0</v>
      </c>
      <c r="X139" s="43">
        <f t="shared" si="87"/>
        <v>0</v>
      </c>
      <c r="Y139" s="43">
        <f t="shared" si="87"/>
        <v>0</v>
      </c>
      <c r="Z139" s="43">
        <f t="shared" si="87"/>
        <v>0</v>
      </c>
      <c r="AA139" s="43">
        <f t="shared" si="87"/>
        <v>0</v>
      </c>
      <c r="AB139" s="43">
        <f t="shared" si="87"/>
        <v>0</v>
      </c>
      <c r="AC139" s="43" t="e">
        <f t="shared" si="90"/>
        <v>#DIV/0!</v>
      </c>
      <c r="AD139" s="43" t="e">
        <f t="shared" si="91"/>
        <v>#DIV/0!</v>
      </c>
      <c r="AE139" s="43" t="e">
        <f t="shared" si="92"/>
        <v>#DIV/0!</v>
      </c>
      <c r="AF139" s="43" t="e">
        <f t="shared" si="93"/>
        <v>#DIV/0!</v>
      </c>
      <c r="AG139" s="43" t="e">
        <f t="shared" si="94"/>
        <v>#DIV/0!</v>
      </c>
      <c r="AH139" s="43" t="e">
        <f t="shared" si="95"/>
        <v>#DIV/0!</v>
      </c>
      <c r="AI139" s="43" t="e">
        <f t="shared" si="96"/>
        <v>#DIV/0!</v>
      </c>
      <c r="AJ139" s="43" t="e">
        <f t="shared" si="97"/>
        <v>#DIV/0!</v>
      </c>
      <c r="AK139" s="43" t="e">
        <f t="shared" si="98"/>
        <v>#DIV/0!</v>
      </c>
      <c r="AL139" s="43" t="e">
        <f>T$3+K139/ATM_Conf!$C$5</f>
        <v>#DIV/0!</v>
      </c>
      <c r="AM139" s="43" t="e">
        <f>U$3+L139/ATM_Conf!$C$5</f>
        <v>#DIV/0!</v>
      </c>
      <c r="AN139" s="43" t="e">
        <f>V$3+M139/ATM_Conf!$C$5</f>
        <v>#DIV/0!</v>
      </c>
      <c r="AO139" s="43" t="e">
        <f>W$3+N139/ATM_Conf!$C$5</f>
        <v>#DIV/0!</v>
      </c>
      <c r="AP139" s="43" t="e">
        <f>X$3+O139/ATM_Conf!$C$5</f>
        <v>#DIV/0!</v>
      </c>
      <c r="AQ139" s="43" t="e">
        <f>Y$3+P139/ATM_Conf!$C$5</f>
        <v>#DIV/0!</v>
      </c>
      <c r="AR139" s="43" t="e">
        <f>Z$3+Q139/ATM_Conf!$C$5</f>
        <v>#DIV/0!</v>
      </c>
      <c r="AS139" s="43" t="e">
        <f>AA$3+R139/ATM_Conf!$C$5</f>
        <v>#DIV/0!</v>
      </c>
      <c r="AT139" s="43" t="e">
        <f>AB$3+S139/ATM_Conf!$C$5</f>
        <v>#DIV/0!</v>
      </c>
      <c r="AU139" s="43" t="e">
        <f>BD$3*MIN(1,(ATM_Conf!$C$6-Links!X139)/(ATM_Conf!$C$6-ATM_Conf!$C$7))</f>
        <v>#DIV/0!</v>
      </c>
      <c r="AV139" s="43" t="e">
        <f>BE$3*MIN(1,(ATM_Conf!$C$6-Links!Z139)/(ATM_Conf!$C$6-ATM_Conf!$C$7))</f>
        <v>#DIV/0!</v>
      </c>
      <c r="AW139" s="43" t="e">
        <f>BF$3*MIN(1,(ATM_Conf!$C$6-Links!AA139)/(ATM_Conf!$C$6-ATM_Conf!$C$7))</f>
        <v>#DIV/0!</v>
      </c>
      <c r="AX139" s="43" t="e">
        <f>BG$3*MIN(1,(ATM_Conf!$C$6-Links!AD139)/(ATM_Conf!$C$6-ATM_Conf!$C$7))</f>
        <v>#DIV/0!</v>
      </c>
      <c r="AY139" s="43" t="e">
        <f>BH$3*MIN(1,(ATM_Conf!$C$6-Links!AE139)/(ATM_Conf!$C$6-ATM_Conf!$C$7))</f>
        <v>#DIV/0!</v>
      </c>
      <c r="AZ139" s="43" t="e">
        <f>BI$3*MIN(1,(ATM_Conf!$C$6-Links!AG139)/(ATM_Conf!$C$6-ATM_Conf!$C$7))</f>
        <v>#DIV/0!</v>
      </c>
      <c r="BA139" s="43" t="e">
        <f>BJ$3*MIN(1,(ATM_Conf!$C$6-Links!AH139)/(ATM_Conf!$C$6-ATM_Conf!$C$7))</f>
        <v>#DIV/0!</v>
      </c>
      <c r="BB139" s="43" t="e">
        <f>BK$3*MIN(1,(ATM_Conf!$C$6-Links!AK139)/(ATM_Conf!$C$6-ATM_Conf!$C$7))</f>
        <v>#DIV/0!</v>
      </c>
      <c r="BC139" s="43" t="e">
        <f>BL$3*MIN(1,(ATM_Conf!$C$6-Links!AM139)/(ATM_Conf!$C$6-ATM_Conf!$C$7))</f>
        <v>#DIV/0!</v>
      </c>
      <c r="BD139" s="43">
        <f t="shared" si="88"/>
        <v>0</v>
      </c>
      <c r="BE139" s="43">
        <f t="shared" si="88"/>
        <v>0</v>
      </c>
      <c r="BF139" s="43">
        <f t="shared" si="88"/>
        <v>0</v>
      </c>
      <c r="BG139" s="43">
        <f t="shared" si="88"/>
        <v>0</v>
      </c>
      <c r="BH139" s="43">
        <f t="shared" si="88"/>
        <v>0</v>
      </c>
      <c r="BI139" s="43">
        <f t="shared" si="88"/>
        <v>0</v>
      </c>
      <c r="BJ139" s="43">
        <f t="shared" si="88"/>
        <v>0</v>
      </c>
      <c r="BK139" s="43">
        <f t="shared" si="88"/>
        <v>0</v>
      </c>
      <c r="BL139" s="43">
        <f t="shared" si="88"/>
        <v>0</v>
      </c>
      <c r="BM139" s="51"/>
      <c r="BN139" s="51"/>
      <c r="BO139" s="51"/>
      <c r="BP139" s="51"/>
      <c r="BQ139" s="51"/>
      <c r="BR139" s="51"/>
      <c r="BS139" s="51"/>
      <c r="BT139" s="51"/>
      <c r="BU139" s="51"/>
      <c r="BV139" s="51" t="e">
        <f t="shared" si="99"/>
        <v>#DIV/0!</v>
      </c>
      <c r="BW139" s="51" t="e">
        <f t="shared" si="100"/>
        <v>#DIV/0!</v>
      </c>
      <c r="BX139" s="51" t="e">
        <f t="shared" si="101"/>
        <v>#DIV/0!</v>
      </c>
      <c r="BY139" s="51" t="e">
        <f t="shared" si="102"/>
        <v>#DIV/0!</v>
      </c>
      <c r="BZ139" s="51" t="e">
        <f t="shared" si="103"/>
        <v>#DIV/0!</v>
      </c>
      <c r="CA139" s="51" t="e">
        <f t="shared" si="104"/>
        <v>#DIV/0!</v>
      </c>
      <c r="CB139" s="51" t="e">
        <f t="shared" si="105"/>
        <v>#DIV/0!</v>
      </c>
      <c r="CC139" s="51" t="e">
        <f t="shared" si="106"/>
        <v>#DIV/0!</v>
      </c>
      <c r="CD139" s="51" t="e">
        <f t="shared" si="107"/>
        <v>#DIV/0!</v>
      </c>
      <c r="CE139" s="53">
        <f t="shared" si="89"/>
        <v>0</v>
      </c>
      <c r="CF139" s="53">
        <f t="shared" si="89"/>
        <v>0</v>
      </c>
      <c r="CG139" s="53">
        <f t="shared" si="89"/>
        <v>0</v>
      </c>
      <c r="CH139" s="53">
        <f t="shared" si="89"/>
        <v>0</v>
      </c>
      <c r="CI139" s="53">
        <f t="shared" si="89"/>
        <v>0</v>
      </c>
      <c r="CJ139" s="53">
        <f t="shared" si="89"/>
        <v>0</v>
      </c>
      <c r="CK139" s="53">
        <f t="shared" si="89"/>
        <v>0</v>
      </c>
      <c r="CL139" s="53">
        <f t="shared" si="89"/>
        <v>0</v>
      </c>
      <c r="CM139" s="53">
        <f t="shared" si="89"/>
        <v>0</v>
      </c>
    </row>
    <row r="140" spans="1:91" x14ac:dyDescent="0.15">
      <c r="A140" s="41">
        <v>138</v>
      </c>
      <c r="B140" s="43">
        <f t="shared" si="110"/>
        <v>1</v>
      </c>
      <c r="C140" s="43">
        <f t="shared" si="109"/>
        <v>1</v>
      </c>
      <c r="D140" s="43">
        <f t="shared" si="109"/>
        <v>1</v>
      </c>
      <c r="E140" s="43">
        <f t="shared" si="109"/>
        <v>1</v>
      </c>
      <c r="F140" s="43">
        <f t="shared" si="109"/>
        <v>1</v>
      </c>
      <c r="G140" s="43">
        <f t="shared" si="109"/>
        <v>1</v>
      </c>
      <c r="H140" s="43">
        <f t="shared" si="109"/>
        <v>1</v>
      </c>
      <c r="I140" s="43">
        <f t="shared" si="109"/>
        <v>1</v>
      </c>
      <c r="J140" s="43">
        <f t="shared" si="109"/>
        <v>1</v>
      </c>
      <c r="K140" s="43" t="e">
        <f>K139+ATM_Conf!$C$5*(T139-AC139)</f>
        <v>#DIV/0!</v>
      </c>
      <c r="L140" s="43" t="e">
        <f>L139+ATM_Conf!$C$5*(U139-AD139)</f>
        <v>#DIV/0!</v>
      </c>
      <c r="M140" s="43" t="e">
        <f>M139+ATM_Conf!$C$5*(V139-AE139)</f>
        <v>#DIV/0!</v>
      </c>
      <c r="N140" s="43" t="e">
        <f>N139+ATM_Conf!$C$5*(W139-AF139)</f>
        <v>#DIV/0!</v>
      </c>
      <c r="O140" s="43" t="e">
        <f>O139+ATM_Conf!$C$5*(X139-AG139)</f>
        <v>#DIV/0!</v>
      </c>
      <c r="P140" s="43" t="e">
        <f>P139+ATM_Conf!$C$5*(Y139-AH139)</f>
        <v>#DIV/0!</v>
      </c>
      <c r="Q140" s="43" t="e">
        <f>Q139+ATM_Conf!$C$5*(Z139-AI139)</f>
        <v>#DIV/0!</v>
      </c>
      <c r="R140" s="43" t="e">
        <f>R139+ATM_Conf!$C$5*(AA139-AJ139)</f>
        <v>#DIV/0!</v>
      </c>
      <c r="S140" s="43" t="e">
        <f>S139+ATM_Conf!$C$5*(AB139-AK139)</f>
        <v>#DIV/0!</v>
      </c>
      <c r="T140" s="43">
        <f t="shared" si="87"/>
        <v>0</v>
      </c>
      <c r="U140" s="43">
        <f t="shared" si="87"/>
        <v>0</v>
      </c>
      <c r="V140" s="43">
        <f t="shared" si="87"/>
        <v>0</v>
      </c>
      <c r="W140" s="43">
        <f t="shared" si="87"/>
        <v>0</v>
      </c>
      <c r="X140" s="43">
        <f t="shared" si="87"/>
        <v>0</v>
      </c>
      <c r="Y140" s="43">
        <f t="shared" si="87"/>
        <v>0</v>
      </c>
      <c r="Z140" s="43">
        <f t="shared" si="87"/>
        <v>0</v>
      </c>
      <c r="AA140" s="43">
        <f t="shared" si="87"/>
        <v>0</v>
      </c>
      <c r="AB140" s="43">
        <f t="shared" si="87"/>
        <v>0</v>
      </c>
      <c r="AC140" s="43" t="e">
        <f t="shared" si="90"/>
        <v>#DIV/0!</v>
      </c>
      <c r="AD140" s="43" t="e">
        <f t="shared" si="91"/>
        <v>#DIV/0!</v>
      </c>
      <c r="AE140" s="43" t="e">
        <f t="shared" si="92"/>
        <v>#DIV/0!</v>
      </c>
      <c r="AF140" s="43" t="e">
        <f t="shared" si="93"/>
        <v>#DIV/0!</v>
      </c>
      <c r="AG140" s="43" t="e">
        <f t="shared" si="94"/>
        <v>#DIV/0!</v>
      </c>
      <c r="AH140" s="43" t="e">
        <f t="shared" si="95"/>
        <v>#DIV/0!</v>
      </c>
      <c r="AI140" s="43" t="e">
        <f t="shared" si="96"/>
        <v>#DIV/0!</v>
      </c>
      <c r="AJ140" s="43" t="e">
        <f t="shared" si="97"/>
        <v>#DIV/0!</v>
      </c>
      <c r="AK140" s="43" t="e">
        <f t="shared" si="98"/>
        <v>#DIV/0!</v>
      </c>
      <c r="AL140" s="43" t="e">
        <f>T$3+K140/ATM_Conf!$C$5</f>
        <v>#DIV/0!</v>
      </c>
      <c r="AM140" s="43" t="e">
        <f>U$3+L140/ATM_Conf!$C$5</f>
        <v>#DIV/0!</v>
      </c>
      <c r="AN140" s="43" t="e">
        <f>V$3+M140/ATM_Conf!$C$5</f>
        <v>#DIV/0!</v>
      </c>
      <c r="AO140" s="43" t="e">
        <f>W$3+N140/ATM_Conf!$C$5</f>
        <v>#DIV/0!</v>
      </c>
      <c r="AP140" s="43" t="e">
        <f>X$3+O140/ATM_Conf!$C$5</f>
        <v>#DIV/0!</v>
      </c>
      <c r="AQ140" s="43" t="e">
        <f>Y$3+P140/ATM_Conf!$C$5</f>
        <v>#DIV/0!</v>
      </c>
      <c r="AR140" s="43" t="e">
        <f>Z$3+Q140/ATM_Conf!$C$5</f>
        <v>#DIV/0!</v>
      </c>
      <c r="AS140" s="43" t="e">
        <f>AA$3+R140/ATM_Conf!$C$5</f>
        <v>#DIV/0!</v>
      </c>
      <c r="AT140" s="43" t="e">
        <f>AB$3+S140/ATM_Conf!$C$5</f>
        <v>#DIV/0!</v>
      </c>
      <c r="AU140" s="43" t="e">
        <f>BD$3*MIN(1,(ATM_Conf!$C$6-Links!X140)/(ATM_Conf!$C$6-ATM_Conf!$C$7))</f>
        <v>#DIV/0!</v>
      </c>
      <c r="AV140" s="43" t="e">
        <f>BE$3*MIN(1,(ATM_Conf!$C$6-Links!Z140)/(ATM_Conf!$C$6-ATM_Conf!$C$7))</f>
        <v>#DIV/0!</v>
      </c>
      <c r="AW140" s="43" t="e">
        <f>BF$3*MIN(1,(ATM_Conf!$C$6-Links!AA140)/(ATM_Conf!$C$6-ATM_Conf!$C$7))</f>
        <v>#DIV/0!</v>
      </c>
      <c r="AX140" s="43" t="e">
        <f>BG$3*MIN(1,(ATM_Conf!$C$6-Links!AD140)/(ATM_Conf!$C$6-ATM_Conf!$C$7))</f>
        <v>#DIV/0!</v>
      </c>
      <c r="AY140" s="43" t="e">
        <f>BH$3*MIN(1,(ATM_Conf!$C$6-Links!AE140)/(ATM_Conf!$C$6-ATM_Conf!$C$7))</f>
        <v>#DIV/0!</v>
      </c>
      <c r="AZ140" s="43" t="e">
        <f>BI$3*MIN(1,(ATM_Conf!$C$6-Links!AG140)/(ATM_Conf!$C$6-ATM_Conf!$C$7))</f>
        <v>#DIV/0!</v>
      </c>
      <c r="BA140" s="43" t="e">
        <f>BJ$3*MIN(1,(ATM_Conf!$C$6-Links!AH140)/(ATM_Conf!$C$6-ATM_Conf!$C$7))</f>
        <v>#DIV/0!</v>
      </c>
      <c r="BB140" s="43" t="e">
        <f>BK$3*MIN(1,(ATM_Conf!$C$6-Links!AK140)/(ATM_Conf!$C$6-ATM_Conf!$C$7))</f>
        <v>#DIV/0!</v>
      </c>
      <c r="BC140" s="43" t="e">
        <f>BL$3*MIN(1,(ATM_Conf!$C$6-Links!AM140)/(ATM_Conf!$C$6-ATM_Conf!$C$7))</f>
        <v>#DIV/0!</v>
      </c>
      <c r="BD140" s="43">
        <f t="shared" si="88"/>
        <v>0</v>
      </c>
      <c r="BE140" s="43">
        <f t="shared" si="88"/>
        <v>0</v>
      </c>
      <c r="BF140" s="43">
        <f t="shared" si="88"/>
        <v>0</v>
      </c>
      <c r="BG140" s="43">
        <f t="shared" si="88"/>
        <v>0</v>
      </c>
      <c r="BH140" s="43">
        <f t="shared" si="88"/>
        <v>0</v>
      </c>
      <c r="BI140" s="43">
        <f t="shared" si="88"/>
        <v>0</v>
      </c>
      <c r="BJ140" s="43">
        <f t="shared" si="88"/>
        <v>0</v>
      </c>
      <c r="BK140" s="43">
        <f t="shared" si="88"/>
        <v>0</v>
      </c>
      <c r="BL140" s="43">
        <f t="shared" si="88"/>
        <v>0</v>
      </c>
      <c r="BM140" s="51"/>
      <c r="BN140" s="51"/>
      <c r="BO140" s="51"/>
      <c r="BP140" s="51"/>
      <c r="BQ140" s="51"/>
      <c r="BR140" s="51"/>
      <c r="BS140" s="51"/>
      <c r="BT140" s="51"/>
      <c r="BU140" s="51"/>
      <c r="BV140" s="51" t="e">
        <f t="shared" si="99"/>
        <v>#DIV/0!</v>
      </c>
      <c r="BW140" s="51" t="e">
        <f t="shared" si="100"/>
        <v>#DIV/0!</v>
      </c>
      <c r="BX140" s="51" t="e">
        <f t="shared" si="101"/>
        <v>#DIV/0!</v>
      </c>
      <c r="BY140" s="51" t="e">
        <f t="shared" si="102"/>
        <v>#DIV/0!</v>
      </c>
      <c r="BZ140" s="51" t="e">
        <f t="shared" si="103"/>
        <v>#DIV/0!</v>
      </c>
      <c r="CA140" s="51" t="e">
        <f t="shared" si="104"/>
        <v>#DIV/0!</v>
      </c>
      <c r="CB140" s="51" t="e">
        <f t="shared" si="105"/>
        <v>#DIV/0!</v>
      </c>
      <c r="CC140" s="51" t="e">
        <f t="shared" si="106"/>
        <v>#DIV/0!</v>
      </c>
      <c r="CD140" s="51" t="e">
        <f t="shared" si="107"/>
        <v>#DIV/0!</v>
      </c>
      <c r="CE140" s="53">
        <f t="shared" si="89"/>
        <v>0</v>
      </c>
      <c r="CF140" s="53">
        <f t="shared" si="89"/>
        <v>0</v>
      </c>
      <c r="CG140" s="53">
        <f t="shared" si="89"/>
        <v>0</v>
      </c>
      <c r="CH140" s="53">
        <f t="shared" si="89"/>
        <v>0</v>
      </c>
      <c r="CI140" s="53">
        <f t="shared" si="89"/>
        <v>0</v>
      </c>
      <c r="CJ140" s="53">
        <f t="shared" si="89"/>
        <v>0</v>
      </c>
      <c r="CK140" s="53">
        <f t="shared" si="89"/>
        <v>0</v>
      </c>
      <c r="CL140" s="53">
        <f t="shared" si="89"/>
        <v>0</v>
      </c>
      <c r="CM140" s="53">
        <f t="shared" si="89"/>
        <v>0</v>
      </c>
    </row>
    <row r="141" spans="1:91" x14ac:dyDescent="0.15">
      <c r="A141" s="41">
        <v>139</v>
      </c>
      <c r="B141" s="43">
        <f t="shared" si="110"/>
        <v>1</v>
      </c>
      <c r="C141" s="43">
        <f t="shared" si="109"/>
        <v>1</v>
      </c>
      <c r="D141" s="43">
        <f t="shared" si="109"/>
        <v>1</v>
      </c>
      <c r="E141" s="43">
        <f t="shared" si="109"/>
        <v>1</v>
      </c>
      <c r="F141" s="43">
        <f t="shared" si="109"/>
        <v>1</v>
      </c>
      <c r="G141" s="43">
        <f t="shared" si="109"/>
        <v>1</v>
      </c>
      <c r="H141" s="43">
        <f t="shared" si="109"/>
        <v>1</v>
      </c>
      <c r="I141" s="43">
        <f t="shared" si="109"/>
        <v>1</v>
      </c>
      <c r="J141" s="43">
        <f t="shared" si="109"/>
        <v>1</v>
      </c>
      <c r="K141" s="43" t="e">
        <f>K140+ATM_Conf!$C$5*(T140-AC140)</f>
        <v>#DIV/0!</v>
      </c>
      <c r="L141" s="43" t="e">
        <f>L140+ATM_Conf!$C$5*(U140-AD140)</f>
        <v>#DIV/0!</v>
      </c>
      <c r="M141" s="43" t="e">
        <f>M140+ATM_Conf!$C$5*(V140-AE140)</f>
        <v>#DIV/0!</v>
      </c>
      <c r="N141" s="43" t="e">
        <f>N140+ATM_Conf!$C$5*(W140-AF140)</f>
        <v>#DIV/0!</v>
      </c>
      <c r="O141" s="43" t="e">
        <f>O140+ATM_Conf!$C$5*(X140-AG140)</f>
        <v>#DIV/0!</v>
      </c>
      <c r="P141" s="43" t="e">
        <f>P140+ATM_Conf!$C$5*(Y140-AH140)</f>
        <v>#DIV/0!</v>
      </c>
      <c r="Q141" s="43" t="e">
        <f>Q140+ATM_Conf!$C$5*(Z140-AI140)</f>
        <v>#DIV/0!</v>
      </c>
      <c r="R141" s="43" t="e">
        <f>R140+ATM_Conf!$C$5*(AA140-AJ140)</f>
        <v>#DIV/0!</v>
      </c>
      <c r="S141" s="43" t="e">
        <f>S140+ATM_Conf!$C$5*(AB140-AK140)</f>
        <v>#DIV/0!</v>
      </c>
      <c r="T141" s="43">
        <f t="shared" si="87"/>
        <v>0</v>
      </c>
      <c r="U141" s="43">
        <f t="shared" si="87"/>
        <v>0</v>
      </c>
      <c r="V141" s="43">
        <f t="shared" si="87"/>
        <v>0</v>
      </c>
      <c r="W141" s="43">
        <f t="shared" si="87"/>
        <v>0</v>
      </c>
      <c r="X141" s="43">
        <f t="shared" si="87"/>
        <v>0</v>
      </c>
      <c r="Y141" s="43">
        <f t="shared" si="87"/>
        <v>0</v>
      </c>
      <c r="Z141" s="43">
        <f t="shared" si="87"/>
        <v>0</v>
      </c>
      <c r="AA141" s="43">
        <f t="shared" si="87"/>
        <v>0</v>
      </c>
      <c r="AB141" s="43">
        <f t="shared" si="87"/>
        <v>0</v>
      </c>
      <c r="AC141" s="43" t="e">
        <f t="shared" si="90"/>
        <v>#DIV/0!</v>
      </c>
      <c r="AD141" s="43" t="e">
        <f t="shared" si="91"/>
        <v>#DIV/0!</v>
      </c>
      <c r="AE141" s="43" t="e">
        <f t="shared" si="92"/>
        <v>#DIV/0!</v>
      </c>
      <c r="AF141" s="43" t="e">
        <f t="shared" si="93"/>
        <v>#DIV/0!</v>
      </c>
      <c r="AG141" s="43" t="e">
        <f t="shared" si="94"/>
        <v>#DIV/0!</v>
      </c>
      <c r="AH141" s="43" t="e">
        <f t="shared" si="95"/>
        <v>#DIV/0!</v>
      </c>
      <c r="AI141" s="43" t="e">
        <f t="shared" si="96"/>
        <v>#DIV/0!</v>
      </c>
      <c r="AJ141" s="43" t="e">
        <f t="shared" si="97"/>
        <v>#DIV/0!</v>
      </c>
      <c r="AK141" s="43" t="e">
        <f t="shared" si="98"/>
        <v>#DIV/0!</v>
      </c>
      <c r="AL141" s="43" t="e">
        <f>T$3+K141/ATM_Conf!$C$5</f>
        <v>#DIV/0!</v>
      </c>
      <c r="AM141" s="43" t="e">
        <f>U$3+L141/ATM_Conf!$C$5</f>
        <v>#DIV/0!</v>
      </c>
      <c r="AN141" s="43" t="e">
        <f>V$3+M141/ATM_Conf!$C$5</f>
        <v>#DIV/0!</v>
      </c>
      <c r="AO141" s="43" t="e">
        <f>W$3+N141/ATM_Conf!$C$5</f>
        <v>#DIV/0!</v>
      </c>
      <c r="AP141" s="43" t="e">
        <f>X$3+O141/ATM_Conf!$C$5</f>
        <v>#DIV/0!</v>
      </c>
      <c r="AQ141" s="43" t="e">
        <f>Y$3+P141/ATM_Conf!$C$5</f>
        <v>#DIV/0!</v>
      </c>
      <c r="AR141" s="43" t="e">
        <f>Z$3+Q141/ATM_Conf!$C$5</f>
        <v>#DIV/0!</v>
      </c>
      <c r="AS141" s="43" t="e">
        <f>AA$3+R141/ATM_Conf!$C$5</f>
        <v>#DIV/0!</v>
      </c>
      <c r="AT141" s="43" t="e">
        <f>AB$3+S141/ATM_Conf!$C$5</f>
        <v>#DIV/0!</v>
      </c>
      <c r="AU141" s="43" t="e">
        <f>BD$3*MIN(1,(ATM_Conf!$C$6-Links!X141)/(ATM_Conf!$C$6-ATM_Conf!$C$7))</f>
        <v>#DIV/0!</v>
      </c>
      <c r="AV141" s="43" t="e">
        <f>BE$3*MIN(1,(ATM_Conf!$C$6-Links!Z141)/(ATM_Conf!$C$6-ATM_Conf!$C$7))</f>
        <v>#DIV/0!</v>
      </c>
      <c r="AW141" s="43" t="e">
        <f>BF$3*MIN(1,(ATM_Conf!$C$6-Links!AA141)/(ATM_Conf!$C$6-ATM_Conf!$C$7))</f>
        <v>#DIV/0!</v>
      </c>
      <c r="AX141" s="43" t="e">
        <f>BG$3*MIN(1,(ATM_Conf!$C$6-Links!AD141)/(ATM_Conf!$C$6-ATM_Conf!$C$7))</f>
        <v>#DIV/0!</v>
      </c>
      <c r="AY141" s="43" t="e">
        <f>BH$3*MIN(1,(ATM_Conf!$C$6-Links!AE141)/(ATM_Conf!$C$6-ATM_Conf!$C$7))</f>
        <v>#DIV/0!</v>
      </c>
      <c r="AZ141" s="43" t="e">
        <f>BI$3*MIN(1,(ATM_Conf!$C$6-Links!AG141)/(ATM_Conf!$C$6-ATM_Conf!$C$7))</f>
        <v>#DIV/0!</v>
      </c>
      <c r="BA141" s="43" t="e">
        <f>BJ$3*MIN(1,(ATM_Conf!$C$6-Links!AH141)/(ATM_Conf!$C$6-ATM_Conf!$C$7))</f>
        <v>#DIV/0!</v>
      </c>
      <c r="BB141" s="43" t="e">
        <f>BK$3*MIN(1,(ATM_Conf!$C$6-Links!AK141)/(ATM_Conf!$C$6-ATM_Conf!$C$7))</f>
        <v>#DIV/0!</v>
      </c>
      <c r="BC141" s="43" t="e">
        <f>BL$3*MIN(1,(ATM_Conf!$C$6-Links!AM141)/(ATM_Conf!$C$6-ATM_Conf!$C$7))</f>
        <v>#DIV/0!</v>
      </c>
      <c r="BD141" s="43">
        <f t="shared" si="88"/>
        <v>0</v>
      </c>
      <c r="BE141" s="43">
        <f t="shared" si="88"/>
        <v>0</v>
      </c>
      <c r="BF141" s="43">
        <f t="shared" si="88"/>
        <v>0</v>
      </c>
      <c r="BG141" s="43">
        <f t="shared" si="88"/>
        <v>0</v>
      </c>
      <c r="BH141" s="43">
        <f t="shared" si="88"/>
        <v>0</v>
      </c>
      <c r="BI141" s="43">
        <f t="shared" si="88"/>
        <v>0</v>
      </c>
      <c r="BJ141" s="43">
        <f t="shared" si="88"/>
        <v>0</v>
      </c>
      <c r="BK141" s="43">
        <f t="shared" si="88"/>
        <v>0</v>
      </c>
      <c r="BL141" s="43">
        <f t="shared" si="88"/>
        <v>0</v>
      </c>
      <c r="BM141" s="51"/>
      <c r="BN141" s="51"/>
      <c r="BO141" s="51"/>
      <c r="BP141" s="51"/>
      <c r="BQ141" s="51"/>
      <c r="BR141" s="51"/>
      <c r="BS141" s="51"/>
      <c r="BT141" s="51"/>
      <c r="BU141" s="51"/>
      <c r="BV141" s="51" t="e">
        <f t="shared" si="99"/>
        <v>#DIV/0!</v>
      </c>
      <c r="BW141" s="51" t="e">
        <f t="shared" si="100"/>
        <v>#DIV/0!</v>
      </c>
      <c r="BX141" s="51" t="e">
        <f t="shared" si="101"/>
        <v>#DIV/0!</v>
      </c>
      <c r="BY141" s="51" t="e">
        <f t="shared" si="102"/>
        <v>#DIV/0!</v>
      </c>
      <c r="BZ141" s="51" t="e">
        <f t="shared" si="103"/>
        <v>#DIV/0!</v>
      </c>
      <c r="CA141" s="51" t="e">
        <f t="shared" si="104"/>
        <v>#DIV/0!</v>
      </c>
      <c r="CB141" s="51" t="e">
        <f t="shared" si="105"/>
        <v>#DIV/0!</v>
      </c>
      <c r="CC141" s="51" t="e">
        <f t="shared" si="106"/>
        <v>#DIV/0!</v>
      </c>
      <c r="CD141" s="51" t="e">
        <f t="shared" si="107"/>
        <v>#DIV/0!</v>
      </c>
      <c r="CE141" s="53">
        <f t="shared" si="89"/>
        <v>0</v>
      </c>
      <c r="CF141" s="53">
        <f t="shared" si="89"/>
        <v>0</v>
      </c>
      <c r="CG141" s="53">
        <f t="shared" si="89"/>
        <v>0</v>
      </c>
      <c r="CH141" s="53">
        <f t="shared" si="89"/>
        <v>0</v>
      </c>
      <c r="CI141" s="53">
        <f t="shared" si="89"/>
        <v>0</v>
      </c>
      <c r="CJ141" s="53">
        <f t="shared" si="89"/>
        <v>0</v>
      </c>
      <c r="CK141" s="53">
        <f t="shared" si="89"/>
        <v>0</v>
      </c>
      <c r="CL141" s="53">
        <f t="shared" si="89"/>
        <v>0</v>
      </c>
      <c r="CM141" s="53">
        <f t="shared" si="89"/>
        <v>0</v>
      </c>
    </row>
    <row r="142" spans="1:91" x14ac:dyDescent="0.15">
      <c r="A142" s="41">
        <v>140</v>
      </c>
      <c r="B142" s="43">
        <f t="shared" si="110"/>
        <v>1</v>
      </c>
      <c r="C142" s="43">
        <f t="shared" si="109"/>
        <v>1</v>
      </c>
      <c r="D142" s="43">
        <f t="shared" si="109"/>
        <v>1</v>
      </c>
      <c r="E142" s="43">
        <f t="shared" si="109"/>
        <v>1</v>
      </c>
      <c r="F142" s="43">
        <f t="shared" si="109"/>
        <v>1</v>
      </c>
      <c r="G142" s="43">
        <f t="shared" si="109"/>
        <v>1</v>
      </c>
      <c r="H142" s="43">
        <f t="shared" si="109"/>
        <v>1</v>
      </c>
      <c r="I142" s="43">
        <f t="shared" si="109"/>
        <v>1</v>
      </c>
      <c r="J142" s="43">
        <f t="shared" si="109"/>
        <v>1</v>
      </c>
      <c r="K142" s="43" t="e">
        <f>K141+ATM_Conf!$C$5*(T141-AC141)</f>
        <v>#DIV/0!</v>
      </c>
      <c r="L142" s="43" t="e">
        <f>L141+ATM_Conf!$C$5*(U141-AD141)</f>
        <v>#DIV/0!</v>
      </c>
      <c r="M142" s="43" t="e">
        <f>M141+ATM_Conf!$C$5*(V141-AE141)</f>
        <v>#DIV/0!</v>
      </c>
      <c r="N142" s="43" t="e">
        <f>N141+ATM_Conf!$C$5*(W141-AF141)</f>
        <v>#DIV/0!</v>
      </c>
      <c r="O142" s="43" t="e">
        <f>O141+ATM_Conf!$C$5*(X141-AG141)</f>
        <v>#DIV/0!</v>
      </c>
      <c r="P142" s="43" t="e">
        <f>P141+ATM_Conf!$C$5*(Y141-AH141)</f>
        <v>#DIV/0!</v>
      </c>
      <c r="Q142" s="43" t="e">
        <f>Q141+ATM_Conf!$C$5*(Z141-AI141)</f>
        <v>#DIV/0!</v>
      </c>
      <c r="R142" s="43" t="e">
        <f>R141+ATM_Conf!$C$5*(AA141-AJ141)</f>
        <v>#DIV/0!</v>
      </c>
      <c r="S142" s="43" t="e">
        <f>S141+ATM_Conf!$C$5*(AB141-AK141)</f>
        <v>#DIV/0!</v>
      </c>
      <c r="T142" s="43">
        <f t="shared" si="87"/>
        <v>0</v>
      </c>
      <c r="U142" s="43">
        <f t="shared" si="87"/>
        <v>0</v>
      </c>
      <c r="V142" s="43">
        <f t="shared" si="87"/>
        <v>0</v>
      </c>
      <c r="W142" s="43">
        <f t="shared" si="87"/>
        <v>0</v>
      </c>
      <c r="X142" s="43">
        <f t="shared" si="87"/>
        <v>0</v>
      </c>
      <c r="Y142" s="43">
        <f t="shared" si="87"/>
        <v>0</v>
      </c>
      <c r="Z142" s="43">
        <f t="shared" si="87"/>
        <v>0</v>
      </c>
      <c r="AA142" s="43">
        <f t="shared" si="87"/>
        <v>0</v>
      </c>
      <c r="AB142" s="43">
        <f t="shared" si="87"/>
        <v>0</v>
      </c>
      <c r="AC142" s="43" t="e">
        <f t="shared" si="90"/>
        <v>#DIV/0!</v>
      </c>
      <c r="AD142" s="43" t="e">
        <f t="shared" si="91"/>
        <v>#DIV/0!</v>
      </c>
      <c r="AE142" s="43" t="e">
        <f t="shared" si="92"/>
        <v>#DIV/0!</v>
      </c>
      <c r="AF142" s="43" t="e">
        <f t="shared" si="93"/>
        <v>#DIV/0!</v>
      </c>
      <c r="AG142" s="43" t="e">
        <f t="shared" si="94"/>
        <v>#DIV/0!</v>
      </c>
      <c r="AH142" s="43" t="e">
        <f t="shared" si="95"/>
        <v>#DIV/0!</v>
      </c>
      <c r="AI142" s="43" t="e">
        <f t="shared" si="96"/>
        <v>#DIV/0!</v>
      </c>
      <c r="AJ142" s="43" t="e">
        <f t="shared" si="97"/>
        <v>#DIV/0!</v>
      </c>
      <c r="AK142" s="43" t="e">
        <f t="shared" si="98"/>
        <v>#DIV/0!</v>
      </c>
      <c r="AL142" s="43" t="e">
        <f>T$3+K142/ATM_Conf!$C$5</f>
        <v>#DIV/0!</v>
      </c>
      <c r="AM142" s="43" t="e">
        <f>U$3+L142/ATM_Conf!$C$5</f>
        <v>#DIV/0!</v>
      </c>
      <c r="AN142" s="43" t="e">
        <f>V$3+M142/ATM_Conf!$C$5</f>
        <v>#DIV/0!</v>
      </c>
      <c r="AO142" s="43" t="e">
        <f>W$3+N142/ATM_Conf!$C$5</f>
        <v>#DIV/0!</v>
      </c>
      <c r="AP142" s="43" t="e">
        <f>X$3+O142/ATM_Conf!$C$5</f>
        <v>#DIV/0!</v>
      </c>
      <c r="AQ142" s="43" t="e">
        <f>Y$3+P142/ATM_Conf!$C$5</f>
        <v>#DIV/0!</v>
      </c>
      <c r="AR142" s="43" t="e">
        <f>Z$3+Q142/ATM_Conf!$C$5</f>
        <v>#DIV/0!</v>
      </c>
      <c r="AS142" s="43" t="e">
        <f>AA$3+R142/ATM_Conf!$C$5</f>
        <v>#DIV/0!</v>
      </c>
      <c r="AT142" s="43" t="e">
        <f>AB$3+S142/ATM_Conf!$C$5</f>
        <v>#DIV/0!</v>
      </c>
      <c r="AU142" s="43" t="e">
        <f>BD$3*MIN(1,(ATM_Conf!$C$6-Links!X142)/(ATM_Conf!$C$6-ATM_Conf!$C$7))</f>
        <v>#DIV/0!</v>
      </c>
      <c r="AV142" s="43" t="e">
        <f>BE$3*MIN(1,(ATM_Conf!$C$6-Links!Z142)/(ATM_Conf!$C$6-ATM_Conf!$C$7))</f>
        <v>#DIV/0!</v>
      </c>
      <c r="AW142" s="43" t="e">
        <f>BF$3*MIN(1,(ATM_Conf!$C$6-Links!AA142)/(ATM_Conf!$C$6-ATM_Conf!$C$7))</f>
        <v>#DIV/0!</v>
      </c>
      <c r="AX142" s="43" t="e">
        <f>BG$3*MIN(1,(ATM_Conf!$C$6-Links!AD142)/(ATM_Conf!$C$6-ATM_Conf!$C$7))</f>
        <v>#DIV/0!</v>
      </c>
      <c r="AY142" s="43" t="e">
        <f>BH$3*MIN(1,(ATM_Conf!$C$6-Links!AE142)/(ATM_Conf!$C$6-ATM_Conf!$C$7))</f>
        <v>#DIV/0!</v>
      </c>
      <c r="AZ142" s="43" t="e">
        <f>BI$3*MIN(1,(ATM_Conf!$C$6-Links!AG142)/(ATM_Conf!$C$6-ATM_Conf!$C$7))</f>
        <v>#DIV/0!</v>
      </c>
      <c r="BA142" s="43" t="e">
        <f>BJ$3*MIN(1,(ATM_Conf!$C$6-Links!AH142)/(ATM_Conf!$C$6-ATM_Conf!$C$7))</f>
        <v>#DIV/0!</v>
      </c>
      <c r="BB142" s="43" t="e">
        <f>BK$3*MIN(1,(ATM_Conf!$C$6-Links!AK142)/(ATM_Conf!$C$6-ATM_Conf!$C$7))</f>
        <v>#DIV/0!</v>
      </c>
      <c r="BC142" s="43" t="e">
        <f>BL$3*MIN(1,(ATM_Conf!$C$6-Links!AM142)/(ATM_Conf!$C$6-ATM_Conf!$C$7))</f>
        <v>#DIV/0!</v>
      </c>
      <c r="BD142" s="43">
        <f t="shared" si="88"/>
        <v>0</v>
      </c>
      <c r="BE142" s="43">
        <f t="shared" si="88"/>
        <v>0</v>
      </c>
      <c r="BF142" s="43">
        <f t="shared" si="88"/>
        <v>0</v>
      </c>
      <c r="BG142" s="43">
        <f t="shared" si="88"/>
        <v>0</v>
      </c>
      <c r="BH142" s="43">
        <f t="shared" si="88"/>
        <v>0</v>
      </c>
      <c r="BI142" s="43">
        <f t="shared" si="88"/>
        <v>0</v>
      </c>
      <c r="BJ142" s="43">
        <f t="shared" si="88"/>
        <v>0</v>
      </c>
      <c r="BK142" s="43">
        <f t="shared" si="88"/>
        <v>0</v>
      </c>
      <c r="BL142" s="43">
        <f t="shared" si="88"/>
        <v>0</v>
      </c>
      <c r="BM142" s="51"/>
      <c r="BN142" s="51"/>
      <c r="BO142" s="51"/>
      <c r="BP142" s="51"/>
      <c r="BQ142" s="51"/>
      <c r="BR142" s="51"/>
      <c r="BS142" s="51"/>
      <c r="BT142" s="51"/>
      <c r="BU142" s="51"/>
      <c r="BV142" s="51" t="e">
        <f t="shared" si="99"/>
        <v>#DIV/0!</v>
      </c>
      <c r="BW142" s="51" t="e">
        <f t="shared" si="100"/>
        <v>#DIV/0!</v>
      </c>
      <c r="BX142" s="51" t="e">
        <f t="shared" si="101"/>
        <v>#DIV/0!</v>
      </c>
      <c r="BY142" s="51" t="e">
        <f t="shared" si="102"/>
        <v>#DIV/0!</v>
      </c>
      <c r="BZ142" s="51" t="e">
        <f t="shared" si="103"/>
        <v>#DIV/0!</v>
      </c>
      <c r="CA142" s="51" t="e">
        <f t="shared" si="104"/>
        <v>#DIV/0!</v>
      </c>
      <c r="CB142" s="51" t="e">
        <f t="shared" si="105"/>
        <v>#DIV/0!</v>
      </c>
      <c r="CC142" s="51" t="e">
        <f t="shared" si="106"/>
        <v>#DIV/0!</v>
      </c>
      <c r="CD142" s="51" t="e">
        <f t="shared" si="107"/>
        <v>#DIV/0!</v>
      </c>
      <c r="CE142" s="53">
        <f t="shared" si="89"/>
        <v>0</v>
      </c>
      <c r="CF142" s="53">
        <f t="shared" si="89"/>
        <v>0</v>
      </c>
      <c r="CG142" s="53">
        <f t="shared" si="89"/>
        <v>0</v>
      </c>
      <c r="CH142" s="53">
        <f t="shared" si="89"/>
        <v>0</v>
      </c>
      <c r="CI142" s="53">
        <f t="shared" si="89"/>
        <v>0</v>
      </c>
      <c r="CJ142" s="53">
        <f t="shared" si="89"/>
        <v>0</v>
      </c>
      <c r="CK142" s="53">
        <f t="shared" si="89"/>
        <v>0</v>
      </c>
      <c r="CL142" s="53">
        <f t="shared" si="89"/>
        <v>0</v>
      </c>
      <c r="CM142" s="53">
        <f t="shared" si="89"/>
        <v>0</v>
      </c>
    </row>
    <row r="143" spans="1:91" x14ac:dyDescent="0.15">
      <c r="A143" s="41">
        <v>141</v>
      </c>
      <c r="B143" s="43">
        <f t="shared" si="110"/>
        <v>1</v>
      </c>
      <c r="C143" s="43">
        <f t="shared" si="109"/>
        <v>1</v>
      </c>
      <c r="D143" s="43">
        <f t="shared" si="109"/>
        <v>1</v>
      </c>
      <c r="E143" s="43">
        <f t="shared" si="109"/>
        <v>1</v>
      </c>
      <c r="F143" s="43">
        <f t="shared" si="109"/>
        <v>1</v>
      </c>
      <c r="G143" s="43">
        <f t="shared" si="109"/>
        <v>1</v>
      </c>
      <c r="H143" s="43">
        <f t="shared" si="109"/>
        <v>1</v>
      </c>
      <c r="I143" s="43">
        <f t="shared" si="109"/>
        <v>1</v>
      </c>
      <c r="J143" s="43">
        <f t="shared" si="109"/>
        <v>1</v>
      </c>
      <c r="K143" s="43" t="e">
        <f>K142+ATM_Conf!$C$5*(T142-AC142)</f>
        <v>#DIV/0!</v>
      </c>
      <c r="L143" s="43" t="e">
        <f>L142+ATM_Conf!$C$5*(U142-AD142)</f>
        <v>#DIV/0!</v>
      </c>
      <c r="M143" s="43" t="e">
        <f>M142+ATM_Conf!$C$5*(V142-AE142)</f>
        <v>#DIV/0!</v>
      </c>
      <c r="N143" s="43" t="e">
        <f>N142+ATM_Conf!$C$5*(W142-AF142)</f>
        <v>#DIV/0!</v>
      </c>
      <c r="O143" s="43" t="e">
        <f>O142+ATM_Conf!$C$5*(X142-AG142)</f>
        <v>#DIV/0!</v>
      </c>
      <c r="P143" s="43" t="e">
        <f>P142+ATM_Conf!$C$5*(Y142-AH142)</f>
        <v>#DIV/0!</v>
      </c>
      <c r="Q143" s="43" t="e">
        <f>Q142+ATM_Conf!$C$5*(Z142-AI142)</f>
        <v>#DIV/0!</v>
      </c>
      <c r="R143" s="43" t="e">
        <f>R142+ATM_Conf!$C$5*(AA142-AJ142)</f>
        <v>#DIV/0!</v>
      </c>
      <c r="S143" s="43" t="e">
        <f>S142+ATM_Conf!$C$5*(AB142-AK142)</f>
        <v>#DIV/0!</v>
      </c>
      <c r="T143" s="43">
        <f t="shared" si="87"/>
        <v>0</v>
      </c>
      <c r="U143" s="43">
        <f t="shared" si="87"/>
        <v>0</v>
      </c>
      <c r="V143" s="43">
        <f t="shared" si="87"/>
        <v>0</v>
      </c>
      <c r="W143" s="43">
        <f t="shared" si="87"/>
        <v>0</v>
      </c>
      <c r="X143" s="43">
        <f t="shared" si="87"/>
        <v>0</v>
      </c>
      <c r="Y143" s="43">
        <f t="shared" si="87"/>
        <v>0</v>
      </c>
      <c r="Z143" s="43">
        <f t="shared" si="87"/>
        <v>0</v>
      </c>
      <c r="AA143" s="43">
        <f t="shared" si="87"/>
        <v>0</v>
      </c>
      <c r="AB143" s="43">
        <f t="shared" si="87"/>
        <v>0</v>
      </c>
      <c r="AC143" s="43" t="e">
        <f t="shared" si="90"/>
        <v>#DIV/0!</v>
      </c>
      <c r="AD143" s="43" t="e">
        <f t="shared" si="91"/>
        <v>#DIV/0!</v>
      </c>
      <c r="AE143" s="43" t="e">
        <f t="shared" si="92"/>
        <v>#DIV/0!</v>
      </c>
      <c r="AF143" s="43" t="e">
        <f t="shared" si="93"/>
        <v>#DIV/0!</v>
      </c>
      <c r="AG143" s="43" t="e">
        <f t="shared" si="94"/>
        <v>#DIV/0!</v>
      </c>
      <c r="AH143" s="43" t="e">
        <f t="shared" si="95"/>
        <v>#DIV/0!</v>
      </c>
      <c r="AI143" s="43" t="e">
        <f t="shared" si="96"/>
        <v>#DIV/0!</v>
      </c>
      <c r="AJ143" s="43" t="e">
        <f t="shared" si="97"/>
        <v>#DIV/0!</v>
      </c>
      <c r="AK143" s="43" t="e">
        <f t="shared" si="98"/>
        <v>#DIV/0!</v>
      </c>
      <c r="AL143" s="43" t="e">
        <f>T$3+K143/ATM_Conf!$C$5</f>
        <v>#DIV/0!</v>
      </c>
      <c r="AM143" s="43" t="e">
        <f>U$3+L143/ATM_Conf!$C$5</f>
        <v>#DIV/0!</v>
      </c>
      <c r="AN143" s="43" t="e">
        <f>V$3+M143/ATM_Conf!$C$5</f>
        <v>#DIV/0!</v>
      </c>
      <c r="AO143" s="43" t="e">
        <f>W$3+N143/ATM_Conf!$C$5</f>
        <v>#DIV/0!</v>
      </c>
      <c r="AP143" s="43" t="e">
        <f>X$3+O143/ATM_Conf!$C$5</f>
        <v>#DIV/0!</v>
      </c>
      <c r="AQ143" s="43" t="e">
        <f>Y$3+P143/ATM_Conf!$C$5</f>
        <v>#DIV/0!</v>
      </c>
      <c r="AR143" s="43" t="e">
        <f>Z$3+Q143/ATM_Conf!$C$5</f>
        <v>#DIV/0!</v>
      </c>
      <c r="AS143" s="43" t="e">
        <f>AA$3+R143/ATM_Conf!$C$5</f>
        <v>#DIV/0!</v>
      </c>
      <c r="AT143" s="43" t="e">
        <f>AB$3+S143/ATM_Conf!$C$5</f>
        <v>#DIV/0!</v>
      </c>
      <c r="AU143" s="43" t="e">
        <f>BD$3*MIN(1,(ATM_Conf!$C$6-Links!X143)/(ATM_Conf!$C$6-ATM_Conf!$C$7))</f>
        <v>#DIV/0!</v>
      </c>
      <c r="AV143" s="43" t="e">
        <f>BE$3*MIN(1,(ATM_Conf!$C$6-Links!Z143)/(ATM_Conf!$C$6-ATM_Conf!$C$7))</f>
        <v>#DIV/0!</v>
      </c>
      <c r="AW143" s="43" t="e">
        <f>BF$3*MIN(1,(ATM_Conf!$C$6-Links!AA143)/(ATM_Conf!$C$6-ATM_Conf!$C$7))</f>
        <v>#DIV/0!</v>
      </c>
      <c r="AX143" s="43" t="e">
        <f>BG$3*MIN(1,(ATM_Conf!$C$6-Links!AD143)/(ATM_Conf!$C$6-ATM_Conf!$C$7))</f>
        <v>#DIV/0!</v>
      </c>
      <c r="AY143" s="43" t="e">
        <f>BH$3*MIN(1,(ATM_Conf!$C$6-Links!AE143)/(ATM_Conf!$C$6-ATM_Conf!$C$7))</f>
        <v>#DIV/0!</v>
      </c>
      <c r="AZ143" s="43" t="e">
        <f>BI$3*MIN(1,(ATM_Conf!$C$6-Links!AG143)/(ATM_Conf!$C$6-ATM_Conf!$C$7))</f>
        <v>#DIV/0!</v>
      </c>
      <c r="BA143" s="43" t="e">
        <f>BJ$3*MIN(1,(ATM_Conf!$C$6-Links!AH143)/(ATM_Conf!$C$6-ATM_Conf!$C$7))</f>
        <v>#DIV/0!</v>
      </c>
      <c r="BB143" s="43" t="e">
        <f>BK$3*MIN(1,(ATM_Conf!$C$6-Links!AK143)/(ATM_Conf!$C$6-ATM_Conf!$C$7))</f>
        <v>#DIV/0!</v>
      </c>
      <c r="BC143" s="43" t="e">
        <f>BL$3*MIN(1,(ATM_Conf!$C$6-Links!AM143)/(ATM_Conf!$C$6-ATM_Conf!$C$7))</f>
        <v>#DIV/0!</v>
      </c>
      <c r="BD143" s="43">
        <f t="shared" si="88"/>
        <v>0</v>
      </c>
      <c r="BE143" s="43">
        <f t="shared" si="88"/>
        <v>0</v>
      </c>
      <c r="BF143" s="43">
        <f t="shared" si="88"/>
        <v>0</v>
      </c>
      <c r="BG143" s="43">
        <f t="shared" si="88"/>
        <v>0</v>
      </c>
      <c r="BH143" s="43">
        <f t="shared" si="88"/>
        <v>0</v>
      </c>
      <c r="BI143" s="43">
        <f t="shared" si="88"/>
        <v>0</v>
      </c>
      <c r="BJ143" s="43">
        <f t="shared" si="88"/>
        <v>0</v>
      </c>
      <c r="BK143" s="43">
        <f t="shared" si="88"/>
        <v>0</v>
      </c>
      <c r="BL143" s="43">
        <f t="shared" si="88"/>
        <v>0</v>
      </c>
      <c r="BM143" s="51"/>
      <c r="BN143" s="51"/>
      <c r="BO143" s="51"/>
      <c r="BP143" s="51"/>
      <c r="BQ143" s="51"/>
      <c r="BR143" s="51"/>
      <c r="BS143" s="51"/>
      <c r="BT143" s="51"/>
      <c r="BU143" s="51"/>
      <c r="BV143" s="51" t="e">
        <f t="shared" si="99"/>
        <v>#DIV/0!</v>
      </c>
      <c r="BW143" s="51" t="e">
        <f t="shared" si="100"/>
        <v>#DIV/0!</v>
      </c>
      <c r="BX143" s="51" t="e">
        <f t="shared" si="101"/>
        <v>#DIV/0!</v>
      </c>
      <c r="BY143" s="51" t="e">
        <f t="shared" si="102"/>
        <v>#DIV/0!</v>
      </c>
      <c r="BZ143" s="51" t="e">
        <f t="shared" si="103"/>
        <v>#DIV/0!</v>
      </c>
      <c r="CA143" s="51" t="e">
        <f t="shared" si="104"/>
        <v>#DIV/0!</v>
      </c>
      <c r="CB143" s="51" t="e">
        <f t="shared" si="105"/>
        <v>#DIV/0!</v>
      </c>
      <c r="CC143" s="51" t="e">
        <f t="shared" si="106"/>
        <v>#DIV/0!</v>
      </c>
      <c r="CD143" s="51" t="e">
        <f t="shared" si="107"/>
        <v>#DIV/0!</v>
      </c>
      <c r="CE143" s="53">
        <f t="shared" si="89"/>
        <v>0</v>
      </c>
      <c r="CF143" s="53">
        <f t="shared" si="89"/>
        <v>0</v>
      </c>
      <c r="CG143" s="53">
        <f t="shared" si="89"/>
        <v>0</v>
      </c>
      <c r="CH143" s="53">
        <f t="shared" si="89"/>
        <v>0</v>
      </c>
      <c r="CI143" s="53">
        <f t="shared" si="89"/>
        <v>0</v>
      </c>
      <c r="CJ143" s="53">
        <f t="shared" si="89"/>
        <v>0</v>
      </c>
      <c r="CK143" s="53">
        <f t="shared" si="89"/>
        <v>0</v>
      </c>
      <c r="CL143" s="53">
        <f t="shared" si="89"/>
        <v>0</v>
      </c>
      <c r="CM143" s="53">
        <f t="shared" si="89"/>
        <v>0</v>
      </c>
    </row>
    <row r="144" spans="1:91" x14ac:dyDescent="0.15">
      <c r="A144" s="41">
        <v>142</v>
      </c>
      <c r="B144" s="43">
        <f t="shared" si="110"/>
        <v>1</v>
      </c>
      <c r="C144" s="43">
        <f t="shared" si="109"/>
        <v>1</v>
      </c>
      <c r="D144" s="43">
        <f t="shared" si="109"/>
        <v>1</v>
      </c>
      <c r="E144" s="43">
        <f t="shared" si="109"/>
        <v>1</v>
      </c>
      <c r="F144" s="43">
        <f t="shared" si="109"/>
        <v>1</v>
      </c>
      <c r="G144" s="43">
        <f t="shared" si="109"/>
        <v>1</v>
      </c>
      <c r="H144" s="43">
        <f t="shared" si="109"/>
        <v>1</v>
      </c>
      <c r="I144" s="43">
        <f t="shared" si="109"/>
        <v>1</v>
      </c>
      <c r="J144" s="43">
        <f t="shared" si="109"/>
        <v>1</v>
      </c>
      <c r="K144" s="43" t="e">
        <f>K143+ATM_Conf!$C$5*(T143-AC143)</f>
        <v>#DIV/0!</v>
      </c>
      <c r="L144" s="43" t="e">
        <f>L143+ATM_Conf!$C$5*(U143-AD143)</f>
        <v>#DIV/0!</v>
      </c>
      <c r="M144" s="43" t="e">
        <f>M143+ATM_Conf!$C$5*(V143-AE143)</f>
        <v>#DIV/0!</v>
      </c>
      <c r="N144" s="43" t="e">
        <f>N143+ATM_Conf!$C$5*(W143-AF143)</f>
        <v>#DIV/0!</v>
      </c>
      <c r="O144" s="43" t="e">
        <f>O143+ATM_Conf!$C$5*(X143-AG143)</f>
        <v>#DIV/0!</v>
      </c>
      <c r="P144" s="43" t="e">
        <f>P143+ATM_Conf!$C$5*(Y143-AH143)</f>
        <v>#DIV/0!</v>
      </c>
      <c r="Q144" s="43" t="e">
        <f>Q143+ATM_Conf!$C$5*(Z143-AI143)</f>
        <v>#DIV/0!</v>
      </c>
      <c r="R144" s="43" t="e">
        <f>R143+ATM_Conf!$C$5*(AA143-AJ143)</f>
        <v>#DIV/0!</v>
      </c>
      <c r="S144" s="43" t="e">
        <f>S143+ATM_Conf!$C$5*(AB143-AK143)</f>
        <v>#DIV/0!</v>
      </c>
      <c r="T144" s="43">
        <f t="shared" si="87"/>
        <v>0</v>
      </c>
      <c r="U144" s="43">
        <f t="shared" si="87"/>
        <v>0</v>
      </c>
      <c r="V144" s="43">
        <f t="shared" si="87"/>
        <v>0</v>
      </c>
      <c r="W144" s="43">
        <f t="shared" si="87"/>
        <v>0</v>
      </c>
      <c r="X144" s="43">
        <f t="shared" si="87"/>
        <v>0</v>
      </c>
      <c r="Y144" s="43">
        <f t="shared" si="87"/>
        <v>0</v>
      </c>
      <c r="Z144" s="43">
        <f t="shared" si="87"/>
        <v>0</v>
      </c>
      <c r="AA144" s="43">
        <f t="shared" si="87"/>
        <v>0</v>
      </c>
      <c r="AB144" s="43">
        <f t="shared" si="87"/>
        <v>0</v>
      </c>
      <c r="AC144" s="43" t="e">
        <f t="shared" si="90"/>
        <v>#DIV/0!</v>
      </c>
      <c r="AD144" s="43" t="e">
        <f t="shared" si="91"/>
        <v>#DIV/0!</v>
      </c>
      <c r="AE144" s="43" t="e">
        <f t="shared" si="92"/>
        <v>#DIV/0!</v>
      </c>
      <c r="AF144" s="43" t="e">
        <f t="shared" si="93"/>
        <v>#DIV/0!</v>
      </c>
      <c r="AG144" s="43" t="e">
        <f t="shared" si="94"/>
        <v>#DIV/0!</v>
      </c>
      <c r="AH144" s="43" t="e">
        <f t="shared" si="95"/>
        <v>#DIV/0!</v>
      </c>
      <c r="AI144" s="43" t="e">
        <f t="shared" si="96"/>
        <v>#DIV/0!</v>
      </c>
      <c r="AJ144" s="43" t="e">
        <f t="shared" si="97"/>
        <v>#DIV/0!</v>
      </c>
      <c r="AK144" s="43" t="e">
        <f t="shared" si="98"/>
        <v>#DIV/0!</v>
      </c>
      <c r="AL144" s="43" t="e">
        <f>T$3+K144/ATM_Conf!$C$5</f>
        <v>#DIV/0!</v>
      </c>
      <c r="AM144" s="43" t="e">
        <f>U$3+L144/ATM_Conf!$C$5</f>
        <v>#DIV/0!</v>
      </c>
      <c r="AN144" s="43" t="e">
        <f>V$3+M144/ATM_Conf!$C$5</f>
        <v>#DIV/0!</v>
      </c>
      <c r="AO144" s="43" t="e">
        <f>W$3+N144/ATM_Conf!$C$5</f>
        <v>#DIV/0!</v>
      </c>
      <c r="AP144" s="43" t="e">
        <f>X$3+O144/ATM_Conf!$C$5</f>
        <v>#DIV/0!</v>
      </c>
      <c r="AQ144" s="43" t="e">
        <f>Y$3+P144/ATM_Conf!$C$5</f>
        <v>#DIV/0!</v>
      </c>
      <c r="AR144" s="43" t="e">
        <f>Z$3+Q144/ATM_Conf!$C$5</f>
        <v>#DIV/0!</v>
      </c>
      <c r="AS144" s="43" t="e">
        <f>AA$3+R144/ATM_Conf!$C$5</f>
        <v>#DIV/0!</v>
      </c>
      <c r="AT144" s="43" t="e">
        <f>AB$3+S144/ATM_Conf!$C$5</f>
        <v>#DIV/0!</v>
      </c>
      <c r="AU144" s="43" t="e">
        <f>BD$3*MIN(1,(ATM_Conf!$C$6-Links!X144)/(ATM_Conf!$C$6-ATM_Conf!$C$7))</f>
        <v>#DIV/0!</v>
      </c>
      <c r="AV144" s="43" t="e">
        <f>BE$3*MIN(1,(ATM_Conf!$C$6-Links!Z144)/(ATM_Conf!$C$6-ATM_Conf!$C$7))</f>
        <v>#DIV/0!</v>
      </c>
      <c r="AW144" s="43" t="e">
        <f>BF$3*MIN(1,(ATM_Conf!$C$6-Links!AA144)/(ATM_Conf!$C$6-ATM_Conf!$C$7))</f>
        <v>#DIV/0!</v>
      </c>
      <c r="AX144" s="43" t="e">
        <f>BG$3*MIN(1,(ATM_Conf!$C$6-Links!AD144)/(ATM_Conf!$C$6-ATM_Conf!$C$7))</f>
        <v>#DIV/0!</v>
      </c>
      <c r="AY144" s="43" t="e">
        <f>BH$3*MIN(1,(ATM_Conf!$C$6-Links!AE144)/(ATM_Conf!$C$6-ATM_Conf!$C$7))</f>
        <v>#DIV/0!</v>
      </c>
      <c r="AZ144" s="43" t="e">
        <f>BI$3*MIN(1,(ATM_Conf!$C$6-Links!AG144)/(ATM_Conf!$C$6-ATM_Conf!$C$7))</f>
        <v>#DIV/0!</v>
      </c>
      <c r="BA144" s="43" t="e">
        <f>BJ$3*MIN(1,(ATM_Conf!$C$6-Links!AH144)/(ATM_Conf!$C$6-ATM_Conf!$C$7))</f>
        <v>#DIV/0!</v>
      </c>
      <c r="BB144" s="43" t="e">
        <f>BK$3*MIN(1,(ATM_Conf!$C$6-Links!AK144)/(ATM_Conf!$C$6-ATM_Conf!$C$7))</f>
        <v>#DIV/0!</v>
      </c>
      <c r="BC144" s="43" t="e">
        <f>BL$3*MIN(1,(ATM_Conf!$C$6-Links!AM144)/(ATM_Conf!$C$6-ATM_Conf!$C$7))</f>
        <v>#DIV/0!</v>
      </c>
      <c r="BD144" s="43">
        <f t="shared" si="88"/>
        <v>0</v>
      </c>
      <c r="BE144" s="43">
        <f t="shared" si="88"/>
        <v>0</v>
      </c>
      <c r="BF144" s="43">
        <f t="shared" si="88"/>
        <v>0</v>
      </c>
      <c r="BG144" s="43">
        <f t="shared" si="88"/>
        <v>0</v>
      </c>
      <c r="BH144" s="43">
        <f t="shared" si="88"/>
        <v>0</v>
      </c>
      <c r="BI144" s="43">
        <f t="shared" si="88"/>
        <v>0</v>
      </c>
      <c r="BJ144" s="43">
        <f t="shared" si="88"/>
        <v>0</v>
      </c>
      <c r="BK144" s="43">
        <f t="shared" si="88"/>
        <v>0</v>
      </c>
      <c r="BL144" s="43">
        <f t="shared" si="88"/>
        <v>0</v>
      </c>
      <c r="BM144" s="51"/>
      <c r="BN144" s="51"/>
      <c r="BO144" s="51"/>
      <c r="BP144" s="51"/>
      <c r="BQ144" s="51"/>
      <c r="BR144" s="51"/>
      <c r="BS144" s="51"/>
      <c r="BT144" s="51"/>
      <c r="BU144" s="51"/>
      <c r="BV144" s="51" t="e">
        <f t="shared" si="99"/>
        <v>#DIV/0!</v>
      </c>
      <c r="BW144" s="51" t="e">
        <f t="shared" si="100"/>
        <v>#DIV/0!</v>
      </c>
      <c r="BX144" s="51" t="e">
        <f t="shared" si="101"/>
        <v>#DIV/0!</v>
      </c>
      <c r="BY144" s="51" t="e">
        <f t="shared" si="102"/>
        <v>#DIV/0!</v>
      </c>
      <c r="BZ144" s="51" t="e">
        <f t="shared" si="103"/>
        <v>#DIV/0!</v>
      </c>
      <c r="CA144" s="51" t="e">
        <f t="shared" si="104"/>
        <v>#DIV/0!</v>
      </c>
      <c r="CB144" s="51" t="e">
        <f t="shared" si="105"/>
        <v>#DIV/0!</v>
      </c>
      <c r="CC144" s="51" t="e">
        <f t="shared" si="106"/>
        <v>#DIV/0!</v>
      </c>
      <c r="CD144" s="51" t="e">
        <f t="shared" si="107"/>
        <v>#DIV/0!</v>
      </c>
      <c r="CE144" s="53">
        <f t="shared" si="89"/>
        <v>0</v>
      </c>
      <c r="CF144" s="53">
        <f t="shared" si="89"/>
        <v>0</v>
      </c>
      <c r="CG144" s="53">
        <f t="shared" si="89"/>
        <v>0</v>
      </c>
      <c r="CH144" s="53">
        <f t="shared" si="89"/>
        <v>0</v>
      </c>
      <c r="CI144" s="53">
        <f t="shared" si="89"/>
        <v>0</v>
      </c>
      <c r="CJ144" s="53">
        <f t="shared" si="89"/>
        <v>0</v>
      </c>
      <c r="CK144" s="53">
        <f t="shared" si="89"/>
        <v>0</v>
      </c>
      <c r="CL144" s="53">
        <f t="shared" si="89"/>
        <v>0</v>
      </c>
      <c r="CM144" s="53">
        <f t="shared" si="89"/>
        <v>0</v>
      </c>
    </row>
    <row r="145" spans="1:91" x14ac:dyDescent="0.15">
      <c r="A145" s="41">
        <v>143</v>
      </c>
      <c r="B145" s="43">
        <f t="shared" si="110"/>
        <v>1</v>
      </c>
      <c r="C145" s="43">
        <f t="shared" si="109"/>
        <v>1</v>
      </c>
      <c r="D145" s="43">
        <f t="shared" si="109"/>
        <v>1</v>
      </c>
      <c r="E145" s="43">
        <f t="shared" si="109"/>
        <v>1</v>
      </c>
      <c r="F145" s="43">
        <f t="shared" si="109"/>
        <v>1</v>
      </c>
      <c r="G145" s="43">
        <f t="shared" si="109"/>
        <v>1</v>
      </c>
      <c r="H145" s="43">
        <f t="shared" si="109"/>
        <v>1</v>
      </c>
      <c r="I145" s="43">
        <f t="shared" si="109"/>
        <v>1</v>
      </c>
      <c r="J145" s="43">
        <f t="shared" si="109"/>
        <v>1</v>
      </c>
      <c r="K145" s="43" t="e">
        <f>K144+ATM_Conf!$C$5*(T144-AC144)</f>
        <v>#DIV/0!</v>
      </c>
      <c r="L145" s="43" t="e">
        <f>L144+ATM_Conf!$C$5*(U144-AD144)</f>
        <v>#DIV/0!</v>
      </c>
      <c r="M145" s="43" t="e">
        <f>M144+ATM_Conf!$C$5*(V144-AE144)</f>
        <v>#DIV/0!</v>
      </c>
      <c r="N145" s="43" t="e">
        <f>N144+ATM_Conf!$C$5*(W144-AF144)</f>
        <v>#DIV/0!</v>
      </c>
      <c r="O145" s="43" t="e">
        <f>O144+ATM_Conf!$C$5*(X144-AG144)</f>
        <v>#DIV/0!</v>
      </c>
      <c r="P145" s="43" t="e">
        <f>P144+ATM_Conf!$C$5*(Y144-AH144)</f>
        <v>#DIV/0!</v>
      </c>
      <c r="Q145" s="43" t="e">
        <f>Q144+ATM_Conf!$C$5*(Z144-AI144)</f>
        <v>#DIV/0!</v>
      </c>
      <c r="R145" s="43" t="e">
        <f>R144+ATM_Conf!$C$5*(AA144-AJ144)</f>
        <v>#DIV/0!</v>
      </c>
      <c r="S145" s="43" t="e">
        <f>S144+ATM_Conf!$C$5*(AB144-AK144)</f>
        <v>#DIV/0!</v>
      </c>
      <c r="T145" s="43">
        <f t="shared" si="87"/>
        <v>0</v>
      </c>
      <c r="U145" s="43">
        <f t="shared" si="87"/>
        <v>0</v>
      </c>
      <c r="V145" s="43">
        <f t="shared" si="87"/>
        <v>0</v>
      </c>
      <c r="W145" s="43">
        <f t="shared" si="87"/>
        <v>0</v>
      </c>
      <c r="X145" s="43">
        <f t="shared" si="87"/>
        <v>0</v>
      </c>
      <c r="Y145" s="43">
        <f t="shared" si="87"/>
        <v>0</v>
      </c>
      <c r="Z145" s="43">
        <f t="shared" si="87"/>
        <v>0</v>
      </c>
      <c r="AA145" s="43">
        <f t="shared" si="87"/>
        <v>0</v>
      </c>
      <c r="AB145" s="43">
        <f t="shared" si="87"/>
        <v>0</v>
      </c>
      <c r="AC145" s="43" t="e">
        <f t="shared" si="90"/>
        <v>#DIV/0!</v>
      </c>
      <c r="AD145" s="43" t="e">
        <f t="shared" si="91"/>
        <v>#DIV/0!</v>
      </c>
      <c r="AE145" s="43" t="e">
        <f t="shared" si="92"/>
        <v>#DIV/0!</v>
      </c>
      <c r="AF145" s="43" t="e">
        <f t="shared" si="93"/>
        <v>#DIV/0!</v>
      </c>
      <c r="AG145" s="43" t="e">
        <f t="shared" si="94"/>
        <v>#DIV/0!</v>
      </c>
      <c r="AH145" s="43" t="e">
        <f t="shared" si="95"/>
        <v>#DIV/0!</v>
      </c>
      <c r="AI145" s="43" t="e">
        <f t="shared" si="96"/>
        <v>#DIV/0!</v>
      </c>
      <c r="AJ145" s="43" t="e">
        <f t="shared" si="97"/>
        <v>#DIV/0!</v>
      </c>
      <c r="AK145" s="43" t="e">
        <f t="shared" si="98"/>
        <v>#DIV/0!</v>
      </c>
      <c r="AL145" s="43" t="e">
        <f>T$3+K145/ATM_Conf!$C$5</f>
        <v>#DIV/0!</v>
      </c>
      <c r="AM145" s="43" t="e">
        <f>U$3+L145/ATM_Conf!$C$5</f>
        <v>#DIV/0!</v>
      </c>
      <c r="AN145" s="43" t="e">
        <f>V$3+M145/ATM_Conf!$C$5</f>
        <v>#DIV/0!</v>
      </c>
      <c r="AO145" s="43" t="e">
        <f>W$3+N145/ATM_Conf!$C$5</f>
        <v>#DIV/0!</v>
      </c>
      <c r="AP145" s="43" t="e">
        <f>X$3+O145/ATM_Conf!$C$5</f>
        <v>#DIV/0!</v>
      </c>
      <c r="AQ145" s="43" t="e">
        <f>Y$3+P145/ATM_Conf!$C$5</f>
        <v>#DIV/0!</v>
      </c>
      <c r="AR145" s="43" t="e">
        <f>Z$3+Q145/ATM_Conf!$C$5</f>
        <v>#DIV/0!</v>
      </c>
      <c r="AS145" s="43" t="e">
        <f>AA$3+R145/ATM_Conf!$C$5</f>
        <v>#DIV/0!</v>
      </c>
      <c r="AT145" s="43" t="e">
        <f>AB$3+S145/ATM_Conf!$C$5</f>
        <v>#DIV/0!</v>
      </c>
      <c r="AU145" s="43" t="e">
        <f>BD$3*MIN(1,(ATM_Conf!$C$6-Links!X145)/(ATM_Conf!$C$6-ATM_Conf!$C$7))</f>
        <v>#DIV/0!</v>
      </c>
      <c r="AV145" s="43" t="e">
        <f>BE$3*MIN(1,(ATM_Conf!$C$6-Links!Z145)/(ATM_Conf!$C$6-ATM_Conf!$C$7))</f>
        <v>#DIV/0!</v>
      </c>
      <c r="AW145" s="43" t="e">
        <f>BF$3*MIN(1,(ATM_Conf!$C$6-Links!AA145)/(ATM_Conf!$C$6-ATM_Conf!$C$7))</f>
        <v>#DIV/0!</v>
      </c>
      <c r="AX145" s="43" t="e">
        <f>BG$3*MIN(1,(ATM_Conf!$C$6-Links!AD145)/(ATM_Conf!$C$6-ATM_Conf!$C$7))</f>
        <v>#DIV/0!</v>
      </c>
      <c r="AY145" s="43" t="e">
        <f>BH$3*MIN(1,(ATM_Conf!$C$6-Links!AE145)/(ATM_Conf!$C$6-ATM_Conf!$C$7))</f>
        <v>#DIV/0!</v>
      </c>
      <c r="AZ145" s="43" t="e">
        <f>BI$3*MIN(1,(ATM_Conf!$C$6-Links!AG145)/(ATM_Conf!$C$6-ATM_Conf!$C$7))</f>
        <v>#DIV/0!</v>
      </c>
      <c r="BA145" s="43" t="e">
        <f>BJ$3*MIN(1,(ATM_Conf!$C$6-Links!AH145)/(ATM_Conf!$C$6-ATM_Conf!$C$7))</f>
        <v>#DIV/0!</v>
      </c>
      <c r="BB145" s="43" t="e">
        <f>BK$3*MIN(1,(ATM_Conf!$C$6-Links!AK145)/(ATM_Conf!$C$6-ATM_Conf!$C$7))</f>
        <v>#DIV/0!</v>
      </c>
      <c r="BC145" s="43" t="e">
        <f>BL$3*MIN(1,(ATM_Conf!$C$6-Links!AM145)/(ATM_Conf!$C$6-ATM_Conf!$C$7))</f>
        <v>#DIV/0!</v>
      </c>
      <c r="BD145" s="43">
        <f t="shared" si="88"/>
        <v>0</v>
      </c>
      <c r="BE145" s="43">
        <f t="shared" si="88"/>
        <v>0</v>
      </c>
      <c r="BF145" s="43">
        <f t="shared" si="88"/>
        <v>0</v>
      </c>
      <c r="BG145" s="43">
        <f t="shared" si="88"/>
        <v>0</v>
      </c>
      <c r="BH145" s="43">
        <f t="shared" si="88"/>
        <v>0</v>
      </c>
      <c r="BI145" s="43">
        <f t="shared" si="88"/>
        <v>0</v>
      </c>
      <c r="BJ145" s="43">
        <f t="shared" si="88"/>
        <v>0</v>
      </c>
      <c r="BK145" s="43">
        <f t="shared" si="88"/>
        <v>0</v>
      </c>
      <c r="BL145" s="43">
        <f t="shared" si="88"/>
        <v>0</v>
      </c>
      <c r="BM145" s="51"/>
      <c r="BN145" s="51"/>
      <c r="BO145" s="51"/>
      <c r="BP145" s="51"/>
      <c r="BQ145" s="51"/>
      <c r="BR145" s="51"/>
      <c r="BS145" s="51"/>
      <c r="BT145" s="51"/>
      <c r="BU145" s="51"/>
      <c r="BV145" s="51" t="e">
        <f t="shared" si="99"/>
        <v>#DIV/0!</v>
      </c>
      <c r="BW145" s="51" t="e">
        <f t="shared" si="100"/>
        <v>#DIV/0!</v>
      </c>
      <c r="BX145" s="51" t="e">
        <f t="shared" si="101"/>
        <v>#DIV/0!</v>
      </c>
      <c r="BY145" s="51" t="e">
        <f t="shared" si="102"/>
        <v>#DIV/0!</v>
      </c>
      <c r="BZ145" s="51" t="e">
        <f t="shared" si="103"/>
        <v>#DIV/0!</v>
      </c>
      <c r="CA145" s="51" t="e">
        <f t="shared" si="104"/>
        <v>#DIV/0!</v>
      </c>
      <c r="CB145" s="51" t="e">
        <f t="shared" si="105"/>
        <v>#DIV/0!</v>
      </c>
      <c r="CC145" s="51" t="e">
        <f t="shared" si="106"/>
        <v>#DIV/0!</v>
      </c>
      <c r="CD145" s="51" t="e">
        <f t="shared" si="107"/>
        <v>#DIV/0!</v>
      </c>
      <c r="CE145" s="53">
        <f t="shared" si="89"/>
        <v>0</v>
      </c>
      <c r="CF145" s="53">
        <f t="shared" si="89"/>
        <v>0</v>
      </c>
      <c r="CG145" s="53">
        <f t="shared" si="89"/>
        <v>0</v>
      </c>
      <c r="CH145" s="53">
        <f t="shared" si="89"/>
        <v>0</v>
      </c>
      <c r="CI145" s="53">
        <f t="shared" si="89"/>
        <v>0</v>
      </c>
      <c r="CJ145" s="53">
        <f t="shared" si="89"/>
        <v>0</v>
      </c>
      <c r="CK145" s="53">
        <f t="shared" si="89"/>
        <v>0</v>
      </c>
      <c r="CL145" s="53">
        <f t="shared" si="89"/>
        <v>0</v>
      </c>
      <c r="CM145" s="53">
        <f t="shared" si="89"/>
        <v>0</v>
      </c>
    </row>
    <row r="146" spans="1:91" x14ac:dyDescent="0.15">
      <c r="A146" s="41">
        <v>144</v>
      </c>
      <c r="B146" s="43">
        <f t="shared" si="110"/>
        <v>1</v>
      </c>
      <c r="C146" s="43">
        <f t="shared" si="109"/>
        <v>1</v>
      </c>
      <c r="D146" s="43">
        <f t="shared" si="109"/>
        <v>1</v>
      </c>
      <c r="E146" s="43">
        <f t="shared" si="109"/>
        <v>1</v>
      </c>
      <c r="F146" s="43">
        <f t="shared" si="109"/>
        <v>1</v>
      </c>
      <c r="G146" s="43">
        <f t="shared" si="109"/>
        <v>1</v>
      </c>
      <c r="H146" s="43">
        <f t="shared" si="109"/>
        <v>1</v>
      </c>
      <c r="I146" s="43">
        <f t="shared" si="109"/>
        <v>1</v>
      </c>
      <c r="J146" s="43">
        <f t="shared" si="109"/>
        <v>1</v>
      </c>
      <c r="K146" s="43" t="e">
        <f>K145+ATM_Conf!$C$5*(T145-AC145)</f>
        <v>#DIV/0!</v>
      </c>
      <c r="L146" s="43" t="e">
        <f>L145+ATM_Conf!$C$5*(U145-AD145)</f>
        <v>#DIV/0!</v>
      </c>
      <c r="M146" s="43" t="e">
        <f>M145+ATM_Conf!$C$5*(V145-AE145)</f>
        <v>#DIV/0!</v>
      </c>
      <c r="N146" s="43" t="e">
        <f>N145+ATM_Conf!$C$5*(W145-AF145)</f>
        <v>#DIV/0!</v>
      </c>
      <c r="O146" s="43" t="e">
        <f>O145+ATM_Conf!$C$5*(X145-AG145)</f>
        <v>#DIV/0!</v>
      </c>
      <c r="P146" s="43" t="e">
        <f>P145+ATM_Conf!$C$5*(Y145-AH145)</f>
        <v>#DIV/0!</v>
      </c>
      <c r="Q146" s="43" t="e">
        <f>Q145+ATM_Conf!$C$5*(Z145-AI145)</f>
        <v>#DIV/0!</v>
      </c>
      <c r="R146" s="43" t="e">
        <f>R145+ATM_Conf!$C$5*(AA145-AJ145)</f>
        <v>#DIV/0!</v>
      </c>
      <c r="S146" s="43" t="e">
        <f>S145+ATM_Conf!$C$5*(AB145-AK145)</f>
        <v>#DIV/0!</v>
      </c>
      <c r="T146" s="43">
        <f t="shared" si="87"/>
        <v>0</v>
      </c>
      <c r="U146" s="43">
        <f t="shared" si="87"/>
        <v>0</v>
      </c>
      <c r="V146" s="43">
        <f t="shared" si="87"/>
        <v>0</v>
      </c>
      <c r="W146" s="43">
        <f t="shared" si="87"/>
        <v>0</v>
      </c>
      <c r="X146" s="43">
        <f t="shared" si="87"/>
        <v>0</v>
      </c>
      <c r="Y146" s="43">
        <f t="shared" si="87"/>
        <v>0</v>
      </c>
      <c r="Z146" s="43">
        <f t="shared" si="87"/>
        <v>0</v>
      </c>
      <c r="AA146" s="43">
        <f t="shared" si="87"/>
        <v>0</v>
      </c>
      <c r="AB146" s="43">
        <f t="shared" si="87"/>
        <v>0</v>
      </c>
      <c r="AC146" s="43" t="e">
        <f t="shared" si="90"/>
        <v>#DIV/0!</v>
      </c>
      <c r="AD146" s="43" t="e">
        <f t="shared" si="91"/>
        <v>#DIV/0!</v>
      </c>
      <c r="AE146" s="43" t="e">
        <f t="shared" si="92"/>
        <v>#DIV/0!</v>
      </c>
      <c r="AF146" s="43" t="e">
        <f t="shared" si="93"/>
        <v>#DIV/0!</v>
      </c>
      <c r="AG146" s="43" t="e">
        <f t="shared" si="94"/>
        <v>#DIV/0!</v>
      </c>
      <c r="AH146" s="43" t="e">
        <f t="shared" si="95"/>
        <v>#DIV/0!</v>
      </c>
      <c r="AI146" s="43" t="e">
        <f t="shared" si="96"/>
        <v>#DIV/0!</v>
      </c>
      <c r="AJ146" s="43" t="e">
        <f t="shared" si="97"/>
        <v>#DIV/0!</v>
      </c>
      <c r="AK146" s="43" t="e">
        <f t="shared" si="98"/>
        <v>#DIV/0!</v>
      </c>
      <c r="AL146" s="43" t="e">
        <f>T$3+K146/ATM_Conf!$C$5</f>
        <v>#DIV/0!</v>
      </c>
      <c r="AM146" s="43" t="e">
        <f>U$3+L146/ATM_Conf!$C$5</f>
        <v>#DIV/0!</v>
      </c>
      <c r="AN146" s="43" t="e">
        <f>V$3+M146/ATM_Conf!$C$5</f>
        <v>#DIV/0!</v>
      </c>
      <c r="AO146" s="43" t="e">
        <f>W$3+N146/ATM_Conf!$C$5</f>
        <v>#DIV/0!</v>
      </c>
      <c r="AP146" s="43" t="e">
        <f>X$3+O146/ATM_Conf!$C$5</f>
        <v>#DIV/0!</v>
      </c>
      <c r="AQ146" s="43" t="e">
        <f>Y$3+P146/ATM_Conf!$C$5</f>
        <v>#DIV/0!</v>
      </c>
      <c r="AR146" s="43" t="e">
        <f>Z$3+Q146/ATM_Conf!$C$5</f>
        <v>#DIV/0!</v>
      </c>
      <c r="AS146" s="43" t="e">
        <f>AA$3+R146/ATM_Conf!$C$5</f>
        <v>#DIV/0!</v>
      </c>
      <c r="AT146" s="43" t="e">
        <f>AB$3+S146/ATM_Conf!$C$5</f>
        <v>#DIV/0!</v>
      </c>
      <c r="AU146" s="43" t="e">
        <f>BD$3*MIN(1,(ATM_Conf!$C$6-Links!X146)/(ATM_Conf!$C$6-ATM_Conf!$C$7))</f>
        <v>#DIV/0!</v>
      </c>
      <c r="AV146" s="43" t="e">
        <f>BE$3*MIN(1,(ATM_Conf!$C$6-Links!Z146)/(ATM_Conf!$C$6-ATM_Conf!$C$7))</f>
        <v>#DIV/0!</v>
      </c>
      <c r="AW146" s="43" t="e">
        <f>BF$3*MIN(1,(ATM_Conf!$C$6-Links!AA146)/(ATM_Conf!$C$6-ATM_Conf!$C$7))</f>
        <v>#DIV/0!</v>
      </c>
      <c r="AX146" s="43" t="e">
        <f>BG$3*MIN(1,(ATM_Conf!$C$6-Links!AD146)/(ATM_Conf!$C$6-ATM_Conf!$C$7))</f>
        <v>#DIV/0!</v>
      </c>
      <c r="AY146" s="43" t="e">
        <f>BH$3*MIN(1,(ATM_Conf!$C$6-Links!AE146)/(ATM_Conf!$C$6-ATM_Conf!$C$7))</f>
        <v>#DIV/0!</v>
      </c>
      <c r="AZ146" s="43" t="e">
        <f>BI$3*MIN(1,(ATM_Conf!$C$6-Links!AG146)/(ATM_Conf!$C$6-ATM_Conf!$C$7))</f>
        <v>#DIV/0!</v>
      </c>
      <c r="BA146" s="43" t="e">
        <f>BJ$3*MIN(1,(ATM_Conf!$C$6-Links!AH146)/(ATM_Conf!$C$6-ATM_Conf!$C$7))</f>
        <v>#DIV/0!</v>
      </c>
      <c r="BB146" s="43" t="e">
        <f>BK$3*MIN(1,(ATM_Conf!$C$6-Links!AK146)/(ATM_Conf!$C$6-ATM_Conf!$C$7))</f>
        <v>#DIV/0!</v>
      </c>
      <c r="BC146" s="43" t="e">
        <f>BL$3*MIN(1,(ATM_Conf!$C$6-Links!AM146)/(ATM_Conf!$C$6-ATM_Conf!$C$7))</f>
        <v>#DIV/0!</v>
      </c>
      <c r="BD146" s="43">
        <f t="shared" si="88"/>
        <v>0</v>
      </c>
      <c r="BE146" s="43">
        <f t="shared" si="88"/>
        <v>0</v>
      </c>
      <c r="BF146" s="43">
        <f t="shared" si="88"/>
        <v>0</v>
      </c>
      <c r="BG146" s="43">
        <f t="shared" si="88"/>
        <v>0</v>
      </c>
      <c r="BH146" s="43">
        <f t="shared" si="88"/>
        <v>0</v>
      </c>
      <c r="BI146" s="43">
        <f t="shared" si="88"/>
        <v>0</v>
      </c>
      <c r="BJ146" s="43">
        <f t="shared" si="88"/>
        <v>0</v>
      </c>
      <c r="BK146" s="43">
        <f t="shared" si="88"/>
        <v>0</v>
      </c>
      <c r="BL146" s="43">
        <f t="shared" si="88"/>
        <v>0</v>
      </c>
      <c r="BM146" s="51"/>
      <c r="BN146" s="51"/>
      <c r="BO146" s="51"/>
      <c r="BP146" s="51"/>
      <c r="BQ146" s="51"/>
      <c r="BR146" s="51"/>
      <c r="BS146" s="51"/>
      <c r="BT146" s="51"/>
      <c r="BU146" s="51"/>
      <c r="BV146" s="51" t="e">
        <f t="shared" si="99"/>
        <v>#DIV/0!</v>
      </c>
      <c r="BW146" s="51" t="e">
        <f t="shared" si="100"/>
        <v>#DIV/0!</v>
      </c>
      <c r="BX146" s="51" t="e">
        <f t="shared" si="101"/>
        <v>#DIV/0!</v>
      </c>
      <c r="BY146" s="51" t="e">
        <f t="shared" si="102"/>
        <v>#DIV/0!</v>
      </c>
      <c r="BZ146" s="51" t="e">
        <f t="shared" si="103"/>
        <v>#DIV/0!</v>
      </c>
      <c r="CA146" s="51" t="e">
        <f t="shared" si="104"/>
        <v>#DIV/0!</v>
      </c>
      <c r="CB146" s="51" t="e">
        <f t="shared" si="105"/>
        <v>#DIV/0!</v>
      </c>
      <c r="CC146" s="51" t="e">
        <f t="shared" si="106"/>
        <v>#DIV/0!</v>
      </c>
      <c r="CD146" s="51" t="e">
        <f t="shared" si="107"/>
        <v>#DIV/0!</v>
      </c>
      <c r="CE146" s="53">
        <f t="shared" si="89"/>
        <v>0</v>
      </c>
      <c r="CF146" s="53">
        <f t="shared" si="89"/>
        <v>0</v>
      </c>
      <c r="CG146" s="53">
        <f t="shared" si="89"/>
        <v>0</v>
      </c>
      <c r="CH146" s="53">
        <f t="shared" si="89"/>
        <v>0</v>
      </c>
      <c r="CI146" s="53">
        <f t="shared" si="89"/>
        <v>0</v>
      </c>
      <c r="CJ146" s="53">
        <f t="shared" si="89"/>
        <v>0</v>
      </c>
      <c r="CK146" s="53">
        <f t="shared" si="89"/>
        <v>0</v>
      </c>
      <c r="CL146" s="53">
        <f t="shared" si="89"/>
        <v>0</v>
      </c>
      <c r="CM146" s="53">
        <f t="shared" si="89"/>
        <v>0</v>
      </c>
    </row>
    <row r="147" spans="1:91" x14ac:dyDescent="0.15">
      <c r="A147" s="41">
        <v>145</v>
      </c>
      <c r="B147" s="45">
        <v>1</v>
      </c>
      <c r="C147" s="45">
        <v>1</v>
      </c>
      <c r="D147" s="45">
        <v>1</v>
      </c>
      <c r="E147" s="45">
        <v>1</v>
      </c>
      <c r="F147" s="45">
        <v>1</v>
      </c>
      <c r="G147" s="45">
        <v>1</v>
      </c>
      <c r="H147" s="45">
        <v>1</v>
      </c>
      <c r="I147" s="45">
        <v>1</v>
      </c>
      <c r="J147" s="45">
        <v>1</v>
      </c>
      <c r="K147" s="43" t="e">
        <f>K146+ATM_Conf!$C$5*(T146-AC146)</f>
        <v>#DIV/0!</v>
      </c>
      <c r="L147" s="43" t="e">
        <f>L146+ATM_Conf!$C$5*(U146-AD146)</f>
        <v>#DIV/0!</v>
      </c>
      <c r="M147" s="43" t="e">
        <f>M146+ATM_Conf!$C$5*(V146-AE146)</f>
        <v>#DIV/0!</v>
      </c>
      <c r="N147" s="43" t="e">
        <f>N146+ATM_Conf!$C$5*(W146-AF146)</f>
        <v>#DIV/0!</v>
      </c>
      <c r="O147" s="43" t="e">
        <f>O146+ATM_Conf!$C$5*(X146-AG146)</f>
        <v>#DIV/0!</v>
      </c>
      <c r="P147" s="43" t="e">
        <f>P146+ATM_Conf!$C$5*(Y146-AH146)</f>
        <v>#DIV/0!</v>
      </c>
      <c r="Q147" s="43" t="e">
        <f>Q146+ATM_Conf!$C$5*(Z146-AI146)</f>
        <v>#DIV/0!</v>
      </c>
      <c r="R147" s="43" t="e">
        <f>R146+ATM_Conf!$C$5*(AA146-AJ146)</f>
        <v>#DIV/0!</v>
      </c>
      <c r="S147" s="43" t="e">
        <f>S146+ATM_Conf!$C$5*(AB146-AK146)</f>
        <v>#DIV/0!</v>
      </c>
      <c r="T147" s="43">
        <f t="shared" si="87"/>
        <v>0</v>
      </c>
      <c r="U147" s="43">
        <f t="shared" si="87"/>
        <v>0</v>
      </c>
      <c r="V147" s="43">
        <f t="shared" si="87"/>
        <v>0</v>
      </c>
      <c r="W147" s="43">
        <f t="shared" si="87"/>
        <v>0</v>
      </c>
      <c r="X147" s="43">
        <f t="shared" si="87"/>
        <v>0</v>
      </c>
      <c r="Y147" s="43">
        <f t="shared" si="87"/>
        <v>0</v>
      </c>
      <c r="Z147" s="43">
        <f t="shared" si="87"/>
        <v>0</v>
      </c>
      <c r="AA147" s="43">
        <f t="shared" si="87"/>
        <v>0</v>
      </c>
      <c r="AB147" s="43">
        <f t="shared" si="87"/>
        <v>0</v>
      </c>
      <c r="AC147" s="43" t="e">
        <f t="shared" si="90"/>
        <v>#DIV/0!</v>
      </c>
      <c r="AD147" s="43" t="e">
        <f t="shared" si="91"/>
        <v>#DIV/0!</v>
      </c>
      <c r="AE147" s="43" t="e">
        <f t="shared" si="92"/>
        <v>#DIV/0!</v>
      </c>
      <c r="AF147" s="43" t="e">
        <f t="shared" si="93"/>
        <v>#DIV/0!</v>
      </c>
      <c r="AG147" s="43" t="e">
        <f t="shared" si="94"/>
        <v>#DIV/0!</v>
      </c>
      <c r="AH147" s="43" t="e">
        <f t="shared" si="95"/>
        <v>#DIV/0!</v>
      </c>
      <c r="AI147" s="43" t="e">
        <f t="shared" si="96"/>
        <v>#DIV/0!</v>
      </c>
      <c r="AJ147" s="43" t="e">
        <f t="shared" si="97"/>
        <v>#DIV/0!</v>
      </c>
      <c r="AK147" s="43" t="e">
        <f t="shared" si="98"/>
        <v>#DIV/0!</v>
      </c>
      <c r="AL147" s="43" t="e">
        <f>T$3+K147/ATM_Conf!$C$5</f>
        <v>#DIV/0!</v>
      </c>
      <c r="AM147" s="43" t="e">
        <f>U$3+L147/ATM_Conf!$C$5</f>
        <v>#DIV/0!</v>
      </c>
      <c r="AN147" s="43" t="e">
        <f>V$3+M147/ATM_Conf!$C$5</f>
        <v>#DIV/0!</v>
      </c>
      <c r="AO147" s="43" t="e">
        <f>W$3+N147/ATM_Conf!$C$5</f>
        <v>#DIV/0!</v>
      </c>
      <c r="AP147" s="43" t="e">
        <f>X$3+O147/ATM_Conf!$C$5</f>
        <v>#DIV/0!</v>
      </c>
      <c r="AQ147" s="43" t="e">
        <f>Y$3+P147/ATM_Conf!$C$5</f>
        <v>#DIV/0!</v>
      </c>
      <c r="AR147" s="43" t="e">
        <f>Z$3+Q147/ATM_Conf!$C$5</f>
        <v>#DIV/0!</v>
      </c>
      <c r="AS147" s="43" t="e">
        <f>AA$3+R147/ATM_Conf!$C$5</f>
        <v>#DIV/0!</v>
      </c>
      <c r="AT147" s="43" t="e">
        <f>AB$3+S147/ATM_Conf!$C$5</f>
        <v>#DIV/0!</v>
      </c>
      <c r="AU147" s="43" t="e">
        <f>BD$3*MIN(1,(ATM_Conf!$C$6-Links!X147)/(ATM_Conf!$C$6-ATM_Conf!$C$7))</f>
        <v>#DIV/0!</v>
      </c>
      <c r="AV147" s="43" t="e">
        <f>BE$3*MIN(1,(ATM_Conf!$C$6-Links!Z147)/(ATM_Conf!$C$6-ATM_Conf!$C$7))</f>
        <v>#DIV/0!</v>
      </c>
      <c r="AW147" s="43" t="e">
        <f>BF$3*MIN(1,(ATM_Conf!$C$6-Links!AA147)/(ATM_Conf!$C$6-ATM_Conf!$C$7))</f>
        <v>#DIV/0!</v>
      </c>
      <c r="AX147" s="43" t="e">
        <f>BG$3*MIN(1,(ATM_Conf!$C$6-Links!AD147)/(ATM_Conf!$C$6-ATM_Conf!$C$7))</f>
        <v>#DIV/0!</v>
      </c>
      <c r="AY147" s="43" t="e">
        <f>BH$3*MIN(1,(ATM_Conf!$C$6-Links!AE147)/(ATM_Conf!$C$6-ATM_Conf!$C$7))</f>
        <v>#DIV/0!</v>
      </c>
      <c r="AZ147" s="43" t="e">
        <f>BI$3*MIN(1,(ATM_Conf!$C$6-Links!AG147)/(ATM_Conf!$C$6-ATM_Conf!$C$7))</f>
        <v>#DIV/0!</v>
      </c>
      <c r="BA147" s="43" t="e">
        <f>BJ$3*MIN(1,(ATM_Conf!$C$6-Links!AH147)/(ATM_Conf!$C$6-ATM_Conf!$C$7))</f>
        <v>#DIV/0!</v>
      </c>
      <c r="BB147" s="43" t="e">
        <f>BK$3*MIN(1,(ATM_Conf!$C$6-Links!AK147)/(ATM_Conf!$C$6-ATM_Conf!$C$7))</f>
        <v>#DIV/0!</v>
      </c>
      <c r="BC147" s="43" t="e">
        <f>BL$3*MIN(1,(ATM_Conf!$C$6-Links!AM147)/(ATM_Conf!$C$6-ATM_Conf!$C$7))</f>
        <v>#DIV/0!</v>
      </c>
      <c r="BD147" s="43">
        <f t="shared" si="88"/>
        <v>0</v>
      </c>
      <c r="BE147" s="43">
        <f t="shared" si="88"/>
        <v>0</v>
      </c>
      <c r="BF147" s="43">
        <f t="shared" si="88"/>
        <v>0</v>
      </c>
      <c r="BG147" s="43">
        <f t="shared" si="88"/>
        <v>0</v>
      </c>
      <c r="BH147" s="43">
        <f t="shared" si="88"/>
        <v>0</v>
      </c>
      <c r="BI147" s="43">
        <f t="shared" si="88"/>
        <v>0</v>
      </c>
      <c r="BJ147" s="43">
        <f t="shared" si="88"/>
        <v>0</v>
      </c>
      <c r="BK147" s="43">
        <f t="shared" si="88"/>
        <v>0</v>
      </c>
      <c r="BL147" s="43">
        <f t="shared" si="88"/>
        <v>0</v>
      </c>
      <c r="BM147" s="51">
        <f>(B147-B135)^2</f>
        <v>0</v>
      </c>
      <c r="BN147" s="51">
        <f t="shared" ref="BN147:BU147" si="111">(C147-C135)^2</f>
        <v>0</v>
      </c>
      <c r="BO147" s="51">
        <f t="shared" si="111"/>
        <v>0</v>
      </c>
      <c r="BP147" s="51">
        <f t="shared" si="111"/>
        <v>0</v>
      </c>
      <c r="BQ147" s="51">
        <f t="shared" si="111"/>
        <v>0</v>
      </c>
      <c r="BR147" s="51">
        <f t="shared" si="111"/>
        <v>0</v>
      </c>
      <c r="BS147" s="51">
        <f t="shared" si="111"/>
        <v>0</v>
      </c>
      <c r="BT147" s="51">
        <f t="shared" si="111"/>
        <v>0</v>
      </c>
      <c r="BU147" s="51">
        <f t="shared" si="111"/>
        <v>0</v>
      </c>
      <c r="BV147" s="51" t="e">
        <f t="shared" si="99"/>
        <v>#DIV/0!</v>
      </c>
      <c r="BW147" s="51" t="e">
        <f t="shared" si="100"/>
        <v>#DIV/0!</v>
      </c>
      <c r="BX147" s="51" t="e">
        <f t="shared" si="101"/>
        <v>#DIV/0!</v>
      </c>
      <c r="BY147" s="51" t="e">
        <f t="shared" si="102"/>
        <v>#DIV/0!</v>
      </c>
      <c r="BZ147" s="51" t="e">
        <f t="shared" si="103"/>
        <v>#DIV/0!</v>
      </c>
      <c r="CA147" s="51" t="e">
        <f t="shared" si="104"/>
        <v>#DIV/0!</v>
      </c>
      <c r="CB147" s="51" t="e">
        <f t="shared" si="105"/>
        <v>#DIV/0!</v>
      </c>
      <c r="CC147" s="51" t="e">
        <f t="shared" si="106"/>
        <v>#DIV/0!</v>
      </c>
      <c r="CD147" s="51" t="e">
        <f t="shared" si="107"/>
        <v>#DIV/0!</v>
      </c>
      <c r="CE147" s="53">
        <f t="shared" si="89"/>
        <v>0</v>
      </c>
      <c r="CF147" s="53">
        <f t="shared" si="89"/>
        <v>0</v>
      </c>
      <c r="CG147" s="53">
        <f t="shared" si="89"/>
        <v>0</v>
      </c>
      <c r="CH147" s="53">
        <f t="shared" si="89"/>
        <v>0</v>
      </c>
      <c r="CI147" s="53">
        <f t="shared" si="89"/>
        <v>0</v>
      </c>
      <c r="CJ147" s="53">
        <f t="shared" si="89"/>
        <v>0</v>
      </c>
      <c r="CK147" s="53">
        <f t="shared" si="89"/>
        <v>0</v>
      </c>
      <c r="CL147" s="53">
        <f t="shared" si="89"/>
        <v>0</v>
      </c>
      <c r="CM147" s="53">
        <f t="shared" si="89"/>
        <v>0</v>
      </c>
    </row>
    <row r="148" spans="1:91" x14ac:dyDescent="0.15">
      <c r="A148" s="41">
        <v>146</v>
      </c>
      <c r="B148" s="43">
        <f>B$147</f>
        <v>1</v>
      </c>
      <c r="C148" s="43">
        <f t="shared" ref="C148:J158" si="112">C$147</f>
        <v>1</v>
      </c>
      <c r="D148" s="43">
        <f t="shared" si="112"/>
        <v>1</v>
      </c>
      <c r="E148" s="43">
        <f t="shared" si="112"/>
        <v>1</v>
      </c>
      <c r="F148" s="43">
        <f t="shared" si="112"/>
        <v>1</v>
      </c>
      <c r="G148" s="43">
        <f t="shared" si="112"/>
        <v>1</v>
      </c>
      <c r="H148" s="43">
        <f t="shared" si="112"/>
        <v>1</v>
      </c>
      <c r="I148" s="43">
        <f t="shared" si="112"/>
        <v>1</v>
      </c>
      <c r="J148" s="43">
        <f t="shared" si="112"/>
        <v>1</v>
      </c>
      <c r="K148" s="43" t="e">
        <f>K147+ATM_Conf!$C$5*(T147-AC147)</f>
        <v>#DIV/0!</v>
      </c>
      <c r="L148" s="43" t="e">
        <f>L147+ATM_Conf!$C$5*(U147-AD147)</f>
        <v>#DIV/0!</v>
      </c>
      <c r="M148" s="43" t="e">
        <f>M147+ATM_Conf!$C$5*(V147-AE147)</f>
        <v>#DIV/0!</v>
      </c>
      <c r="N148" s="43" t="e">
        <f>N147+ATM_Conf!$C$5*(W147-AF147)</f>
        <v>#DIV/0!</v>
      </c>
      <c r="O148" s="43" t="e">
        <f>O147+ATM_Conf!$C$5*(X147-AG147)</f>
        <v>#DIV/0!</v>
      </c>
      <c r="P148" s="43" t="e">
        <f>P147+ATM_Conf!$C$5*(Y147-AH147)</f>
        <v>#DIV/0!</v>
      </c>
      <c r="Q148" s="43" t="e">
        <f>Q147+ATM_Conf!$C$5*(Z147-AI147)</f>
        <v>#DIV/0!</v>
      </c>
      <c r="R148" s="43" t="e">
        <f>R147+ATM_Conf!$C$5*(AA147-AJ147)</f>
        <v>#DIV/0!</v>
      </c>
      <c r="S148" s="43" t="e">
        <f>S147+ATM_Conf!$C$5*(AB147-AK147)</f>
        <v>#DIV/0!</v>
      </c>
      <c r="T148" s="43">
        <f t="shared" si="87"/>
        <v>0</v>
      </c>
      <c r="U148" s="43">
        <f t="shared" si="87"/>
        <v>0</v>
      </c>
      <c r="V148" s="43">
        <f t="shared" si="87"/>
        <v>0</v>
      </c>
      <c r="W148" s="43">
        <f t="shared" si="87"/>
        <v>0</v>
      </c>
      <c r="X148" s="43">
        <f t="shared" si="87"/>
        <v>0</v>
      </c>
      <c r="Y148" s="43">
        <f t="shared" si="87"/>
        <v>0</v>
      </c>
      <c r="Z148" s="43">
        <f t="shared" si="87"/>
        <v>0</v>
      </c>
      <c r="AA148" s="43">
        <f t="shared" si="87"/>
        <v>0</v>
      </c>
      <c r="AB148" s="43">
        <f t="shared" si="87"/>
        <v>0</v>
      </c>
      <c r="AC148" s="43" t="e">
        <f t="shared" si="90"/>
        <v>#DIV/0!</v>
      </c>
      <c r="AD148" s="43" t="e">
        <f t="shared" si="91"/>
        <v>#DIV/0!</v>
      </c>
      <c r="AE148" s="43" t="e">
        <f t="shared" si="92"/>
        <v>#DIV/0!</v>
      </c>
      <c r="AF148" s="43" t="e">
        <f t="shared" si="93"/>
        <v>#DIV/0!</v>
      </c>
      <c r="AG148" s="43" t="e">
        <f t="shared" si="94"/>
        <v>#DIV/0!</v>
      </c>
      <c r="AH148" s="43" t="e">
        <f t="shared" si="95"/>
        <v>#DIV/0!</v>
      </c>
      <c r="AI148" s="43" t="e">
        <f t="shared" si="96"/>
        <v>#DIV/0!</v>
      </c>
      <c r="AJ148" s="43" t="e">
        <f t="shared" si="97"/>
        <v>#DIV/0!</v>
      </c>
      <c r="AK148" s="43" t="e">
        <f t="shared" si="98"/>
        <v>#DIV/0!</v>
      </c>
      <c r="AL148" s="43" t="e">
        <f>T$3+K148/ATM_Conf!$C$5</f>
        <v>#DIV/0!</v>
      </c>
      <c r="AM148" s="43" t="e">
        <f>U$3+L148/ATM_Conf!$C$5</f>
        <v>#DIV/0!</v>
      </c>
      <c r="AN148" s="43" t="e">
        <f>V$3+M148/ATM_Conf!$C$5</f>
        <v>#DIV/0!</v>
      </c>
      <c r="AO148" s="43" t="e">
        <f>W$3+N148/ATM_Conf!$C$5</f>
        <v>#DIV/0!</v>
      </c>
      <c r="AP148" s="43" t="e">
        <f>X$3+O148/ATM_Conf!$C$5</f>
        <v>#DIV/0!</v>
      </c>
      <c r="AQ148" s="43" t="e">
        <f>Y$3+P148/ATM_Conf!$C$5</f>
        <v>#DIV/0!</v>
      </c>
      <c r="AR148" s="43" t="e">
        <f>Z$3+Q148/ATM_Conf!$C$5</f>
        <v>#DIV/0!</v>
      </c>
      <c r="AS148" s="43" t="e">
        <f>AA$3+R148/ATM_Conf!$C$5</f>
        <v>#DIV/0!</v>
      </c>
      <c r="AT148" s="43" t="e">
        <f>AB$3+S148/ATM_Conf!$C$5</f>
        <v>#DIV/0!</v>
      </c>
      <c r="AU148" s="43" t="e">
        <f>BD$3*MIN(1,(ATM_Conf!$C$6-Links!X148)/(ATM_Conf!$C$6-ATM_Conf!$C$7))</f>
        <v>#DIV/0!</v>
      </c>
      <c r="AV148" s="43" t="e">
        <f>BE$3*MIN(1,(ATM_Conf!$C$6-Links!Z148)/(ATM_Conf!$C$6-ATM_Conf!$C$7))</f>
        <v>#DIV/0!</v>
      </c>
      <c r="AW148" s="43" t="e">
        <f>BF$3*MIN(1,(ATM_Conf!$C$6-Links!AA148)/(ATM_Conf!$C$6-ATM_Conf!$C$7))</f>
        <v>#DIV/0!</v>
      </c>
      <c r="AX148" s="43" t="e">
        <f>BG$3*MIN(1,(ATM_Conf!$C$6-Links!AD148)/(ATM_Conf!$C$6-ATM_Conf!$C$7))</f>
        <v>#DIV/0!</v>
      </c>
      <c r="AY148" s="43" t="e">
        <f>BH$3*MIN(1,(ATM_Conf!$C$6-Links!AE148)/(ATM_Conf!$C$6-ATM_Conf!$C$7))</f>
        <v>#DIV/0!</v>
      </c>
      <c r="AZ148" s="43" t="e">
        <f>BI$3*MIN(1,(ATM_Conf!$C$6-Links!AG148)/(ATM_Conf!$C$6-ATM_Conf!$C$7))</f>
        <v>#DIV/0!</v>
      </c>
      <c r="BA148" s="43" t="e">
        <f>BJ$3*MIN(1,(ATM_Conf!$C$6-Links!AH148)/(ATM_Conf!$C$6-ATM_Conf!$C$7))</f>
        <v>#DIV/0!</v>
      </c>
      <c r="BB148" s="43" t="e">
        <f>BK$3*MIN(1,(ATM_Conf!$C$6-Links!AK148)/(ATM_Conf!$C$6-ATM_Conf!$C$7))</f>
        <v>#DIV/0!</v>
      </c>
      <c r="BC148" s="43" t="e">
        <f>BL$3*MIN(1,(ATM_Conf!$C$6-Links!AM148)/(ATM_Conf!$C$6-ATM_Conf!$C$7))</f>
        <v>#DIV/0!</v>
      </c>
      <c r="BD148" s="43">
        <f t="shared" si="88"/>
        <v>0</v>
      </c>
      <c r="BE148" s="43">
        <f t="shared" si="88"/>
        <v>0</v>
      </c>
      <c r="BF148" s="43">
        <f t="shared" si="88"/>
        <v>0</v>
      </c>
      <c r="BG148" s="43">
        <f t="shared" si="88"/>
        <v>0</v>
      </c>
      <c r="BH148" s="43">
        <f t="shared" si="88"/>
        <v>0</v>
      </c>
      <c r="BI148" s="43">
        <f t="shared" si="88"/>
        <v>0</v>
      </c>
      <c r="BJ148" s="43">
        <f t="shared" si="88"/>
        <v>0</v>
      </c>
      <c r="BK148" s="43">
        <f t="shared" si="88"/>
        <v>0</v>
      </c>
      <c r="BL148" s="43">
        <f t="shared" si="88"/>
        <v>0</v>
      </c>
      <c r="BM148" s="51"/>
      <c r="BN148" s="51"/>
      <c r="BO148" s="51"/>
      <c r="BP148" s="51"/>
      <c r="BQ148" s="51"/>
      <c r="BR148" s="51"/>
      <c r="BS148" s="51"/>
      <c r="BT148" s="51"/>
      <c r="BU148" s="51"/>
      <c r="BV148" s="51" t="e">
        <f t="shared" si="99"/>
        <v>#DIV/0!</v>
      </c>
      <c r="BW148" s="51" t="e">
        <f t="shared" si="100"/>
        <v>#DIV/0!</v>
      </c>
      <c r="BX148" s="51" t="e">
        <f t="shared" si="101"/>
        <v>#DIV/0!</v>
      </c>
      <c r="BY148" s="51" t="e">
        <f t="shared" si="102"/>
        <v>#DIV/0!</v>
      </c>
      <c r="BZ148" s="51" t="e">
        <f t="shared" si="103"/>
        <v>#DIV/0!</v>
      </c>
      <c r="CA148" s="51" t="e">
        <f t="shared" si="104"/>
        <v>#DIV/0!</v>
      </c>
      <c r="CB148" s="51" t="e">
        <f t="shared" si="105"/>
        <v>#DIV/0!</v>
      </c>
      <c r="CC148" s="51" t="e">
        <f t="shared" si="106"/>
        <v>#DIV/0!</v>
      </c>
      <c r="CD148" s="51" t="e">
        <f t="shared" si="107"/>
        <v>#DIV/0!</v>
      </c>
      <c r="CE148" s="53">
        <f t="shared" si="89"/>
        <v>0</v>
      </c>
      <c r="CF148" s="53">
        <f t="shared" si="89"/>
        <v>0</v>
      </c>
      <c r="CG148" s="53">
        <f t="shared" si="89"/>
        <v>0</v>
      </c>
      <c r="CH148" s="53">
        <f t="shared" si="89"/>
        <v>0</v>
      </c>
      <c r="CI148" s="53">
        <f t="shared" si="89"/>
        <v>0</v>
      </c>
      <c r="CJ148" s="53">
        <f t="shared" si="89"/>
        <v>0</v>
      </c>
      <c r="CK148" s="53">
        <f t="shared" si="89"/>
        <v>0</v>
      </c>
      <c r="CL148" s="53">
        <f t="shared" si="89"/>
        <v>0</v>
      </c>
      <c r="CM148" s="53">
        <f t="shared" si="89"/>
        <v>0</v>
      </c>
    </row>
    <row r="149" spans="1:91" x14ac:dyDescent="0.15">
      <c r="A149" s="41">
        <v>147</v>
      </c>
      <c r="B149" s="43">
        <f t="shared" ref="B149:B158" si="113">B$147</f>
        <v>1</v>
      </c>
      <c r="C149" s="43">
        <f t="shared" si="112"/>
        <v>1</v>
      </c>
      <c r="D149" s="43">
        <f t="shared" si="112"/>
        <v>1</v>
      </c>
      <c r="E149" s="43">
        <f t="shared" si="112"/>
        <v>1</v>
      </c>
      <c r="F149" s="43">
        <f t="shared" si="112"/>
        <v>1</v>
      </c>
      <c r="G149" s="43">
        <f t="shared" si="112"/>
        <v>1</v>
      </c>
      <c r="H149" s="43">
        <f t="shared" si="112"/>
        <v>1</v>
      </c>
      <c r="I149" s="43">
        <f t="shared" si="112"/>
        <v>1</v>
      </c>
      <c r="J149" s="43">
        <f t="shared" si="112"/>
        <v>1</v>
      </c>
      <c r="K149" s="43" t="e">
        <f>K148+ATM_Conf!$C$5*(T148-AC148)</f>
        <v>#DIV/0!</v>
      </c>
      <c r="L149" s="43" t="e">
        <f>L148+ATM_Conf!$C$5*(U148-AD148)</f>
        <v>#DIV/0!</v>
      </c>
      <c r="M149" s="43" t="e">
        <f>M148+ATM_Conf!$C$5*(V148-AE148)</f>
        <v>#DIV/0!</v>
      </c>
      <c r="N149" s="43" t="e">
        <f>N148+ATM_Conf!$C$5*(W148-AF148)</f>
        <v>#DIV/0!</v>
      </c>
      <c r="O149" s="43" t="e">
        <f>O148+ATM_Conf!$C$5*(X148-AG148)</f>
        <v>#DIV/0!</v>
      </c>
      <c r="P149" s="43" t="e">
        <f>P148+ATM_Conf!$C$5*(Y148-AH148)</f>
        <v>#DIV/0!</v>
      </c>
      <c r="Q149" s="43" t="e">
        <f>Q148+ATM_Conf!$C$5*(Z148-AI148)</f>
        <v>#DIV/0!</v>
      </c>
      <c r="R149" s="43" t="e">
        <f>R148+ATM_Conf!$C$5*(AA148-AJ148)</f>
        <v>#DIV/0!</v>
      </c>
      <c r="S149" s="43" t="e">
        <f>S148+ATM_Conf!$C$5*(AB148-AK148)</f>
        <v>#DIV/0!</v>
      </c>
      <c r="T149" s="43">
        <f t="shared" si="87"/>
        <v>0</v>
      </c>
      <c r="U149" s="43">
        <f t="shared" si="87"/>
        <v>0</v>
      </c>
      <c r="V149" s="43">
        <f t="shared" si="87"/>
        <v>0</v>
      </c>
      <c r="W149" s="43">
        <f t="shared" si="87"/>
        <v>0</v>
      </c>
      <c r="X149" s="43">
        <f t="shared" si="87"/>
        <v>0</v>
      </c>
      <c r="Y149" s="43">
        <f t="shared" si="87"/>
        <v>0</v>
      </c>
      <c r="Z149" s="43">
        <f t="shared" si="87"/>
        <v>0</v>
      </c>
      <c r="AA149" s="43">
        <f t="shared" si="87"/>
        <v>0</v>
      </c>
      <c r="AB149" s="43">
        <f t="shared" si="87"/>
        <v>0</v>
      </c>
      <c r="AC149" s="43" t="e">
        <f t="shared" si="90"/>
        <v>#DIV/0!</v>
      </c>
      <c r="AD149" s="43" t="e">
        <f t="shared" si="91"/>
        <v>#DIV/0!</v>
      </c>
      <c r="AE149" s="43" t="e">
        <f t="shared" si="92"/>
        <v>#DIV/0!</v>
      </c>
      <c r="AF149" s="43" t="e">
        <f t="shared" si="93"/>
        <v>#DIV/0!</v>
      </c>
      <c r="AG149" s="43" t="e">
        <f t="shared" si="94"/>
        <v>#DIV/0!</v>
      </c>
      <c r="AH149" s="43" t="e">
        <f t="shared" si="95"/>
        <v>#DIV/0!</v>
      </c>
      <c r="AI149" s="43" t="e">
        <f t="shared" si="96"/>
        <v>#DIV/0!</v>
      </c>
      <c r="AJ149" s="43" t="e">
        <f t="shared" si="97"/>
        <v>#DIV/0!</v>
      </c>
      <c r="AK149" s="43" t="e">
        <f t="shared" si="98"/>
        <v>#DIV/0!</v>
      </c>
      <c r="AL149" s="43" t="e">
        <f>T$3+K149/ATM_Conf!$C$5</f>
        <v>#DIV/0!</v>
      </c>
      <c r="AM149" s="43" t="e">
        <f>U$3+L149/ATM_Conf!$C$5</f>
        <v>#DIV/0!</v>
      </c>
      <c r="AN149" s="43" t="e">
        <f>V$3+M149/ATM_Conf!$C$5</f>
        <v>#DIV/0!</v>
      </c>
      <c r="AO149" s="43" t="e">
        <f>W$3+N149/ATM_Conf!$C$5</f>
        <v>#DIV/0!</v>
      </c>
      <c r="AP149" s="43" t="e">
        <f>X$3+O149/ATM_Conf!$C$5</f>
        <v>#DIV/0!</v>
      </c>
      <c r="AQ149" s="43" t="e">
        <f>Y$3+P149/ATM_Conf!$C$5</f>
        <v>#DIV/0!</v>
      </c>
      <c r="AR149" s="43" t="e">
        <f>Z$3+Q149/ATM_Conf!$C$5</f>
        <v>#DIV/0!</v>
      </c>
      <c r="AS149" s="43" t="e">
        <f>AA$3+R149/ATM_Conf!$C$5</f>
        <v>#DIV/0!</v>
      </c>
      <c r="AT149" s="43" t="e">
        <f>AB$3+S149/ATM_Conf!$C$5</f>
        <v>#DIV/0!</v>
      </c>
      <c r="AU149" s="43" t="e">
        <f>BD$3*MIN(1,(ATM_Conf!$C$6-Links!X149)/(ATM_Conf!$C$6-ATM_Conf!$C$7))</f>
        <v>#DIV/0!</v>
      </c>
      <c r="AV149" s="43" t="e">
        <f>BE$3*MIN(1,(ATM_Conf!$C$6-Links!Z149)/(ATM_Conf!$C$6-ATM_Conf!$C$7))</f>
        <v>#DIV/0!</v>
      </c>
      <c r="AW149" s="43" t="e">
        <f>BF$3*MIN(1,(ATM_Conf!$C$6-Links!AA149)/(ATM_Conf!$C$6-ATM_Conf!$C$7))</f>
        <v>#DIV/0!</v>
      </c>
      <c r="AX149" s="43" t="e">
        <f>BG$3*MIN(1,(ATM_Conf!$C$6-Links!AD149)/(ATM_Conf!$C$6-ATM_Conf!$C$7))</f>
        <v>#DIV/0!</v>
      </c>
      <c r="AY149" s="43" t="e">
        <f>BH$3*MIN(1,(ATM_Conf!$C$6-Links!AE149)/(ATM_Conf!$C$6-ATM_Conf!$C$7))</f>
        <v>#DIV/0!</v>
      </c>
      <c r="AZ149" s="43" t="e">
        <f>BI$3*MIN(1,(ATM_Conf!$C$6-Links!AG149)/(ATM_Conf!$C$6-ATM_Conf!$C$7))</f>
        <v>#DIV/0!</v>
      </c>
      <c r="BA149" s="43" t="e">
        <f>BJ$3*MIN(1,(ATM_Conf!$C$6-Links!AH149)/(ATM_Conf!$C$6-ATM_Conf!$C$7))</f>
        <v>#DIV/0!</v>
      </c>
      <c r="BB149" s="43" t="e">
        <f>BK$3*MIN(1,(ATM_Conf!$C$6-Links!AK149)/(ATM_Conf!$C$6-ATM_Conf!$C$7))</f>
        <v>#DIV/0!</v>
      </c>
      <c r="BC149" s="43" t="e">
        <f>BL$3*MIN(1,(ATM_Conf!$C$6-Links!AM149)/(ATM_Conf!$C$6-ATM_Conf!$C$7))</f>
        <v>#DIV/0!</v>
      </c>
      <c r="BD149" s="43">
        <f t="shared" si="88"/>
        <v>0</v>
      </c>
      <c r="BE149" s="43">
        <f t="shared" si="88"/>
        <v>0</v>
      </c>
      <c r="BF149" s="43">
        <f t="shared" si="88"/>
        <v>0</v>
      </c>
      <c r="BG149" s="43">
        <f t="shared" si="88"/>
        <v>0</v>
      </c>
      <c r="BH149" s="43">
        <f t="shared" si="88"/>
        <v>0</v>
      </c>
      <c r="BI149" s="43">
        <f t="shared" si="88"/>
        <v>0</v>
      </c>
      <c r="BJ149" s="43">
        <f t="shared" si="88"/>
        <v>0</v>
      </c>
      <c r="BK149" s="43">
        <f t="shared" si="88"/>
        <v>0</v>
      </c>
      <c r="BL149" s="43">
        <f t="shared" si="88"/>
        <v>0</v>
      </c>
      <c r="BM149" s="51"/>
      <c r="BN149" s="51"/>
      <c r="BO149" s="51"/>
      <c r="BP149" s="51"/>
      <c r="BQ149" s="51"/>
      <c r="BR149" s="51"/>
      <c r="BS149" s="51"/>
      <c r="BT149" s="51"/>
      <c r="BU149" s="51"/>
      <c r="BV149" s="51" t="e">
        <f t="shared" si="99"/>
        <v>#DIV/0!</v>
      </c>
      <c r="BW149" s="51" t="e">
        <f t="shared" si="100"/>
        <v>#DIV/0!</v>
      </c>
      <c r="BX149" s="51" t="e">
        <f t="shared" si="101"/>
        <v>#DIV/0!</v>
      </c>
      <c r="BY149" s="51" t="e">
        <f t="shared" si="102"/>
        <v>#DIV/0!</v>
      </c>
      <c r="BZ149" s="51" t="e">
        <f t="shared" si="103"/>
        <v>#DIV/0!</v>
      </c>
      <c r="CA149" s="51" t="e">
        <f t="shared" si="104"/>
        <v>#DIV/0!</v>
      </c>
      <c r="CB149" s="51" t="e">
        <f t="shared" si="105"/>
        <v>#DIV/0!</v>
      </c>
      <c r="CC149" s="51" t="e">
        <f t="shared" si="106"/>
        <v>#DIV/0!</v>
      </c>
      <c r="CD149" s="51" t="e">
        <f t="shared" si="107"/>
        <v>#DIV/0!</v>
      </c>
      <c r="CE149" s="53">
        <f t="shared" si="89"/>
        <v>0</v>
      </c>
      <c r="CF149" s="53">
        <f t="shared" si="89"/>
        <v>0</v>
      </c>
      <c r="CG149" s="53">
        <f t="shared" si="89"/>
        <v>0</v>
      </c>
      <c r="CH149" s="53">
        <f t="shared" si="89"/>
        <v>0</v>
      </c>
      <c r="CI149" s="53">
        <f t="shared" si="89"/>
        <v>0</v>
      </c>
      <c r="CJ149" s="53">
        <f t="shared" si="89"/>
        <v>0</v>
      </c>
      <c r="CK149" s="53">
        <f t="shared" si="89"/>
        <v>0</v>
      </c>
      <c r="CL149" s="53">
        <f t="shared" si="89"/>
        <v>0</v>
      </c>
      <c r="CM149" s="53">
        <f t="shared" si="89"/>
        <v>0</v>
      </c>
    </row>
    <row r="150" spans="1:91" x14ac:dyDescent="0.15">
      <c r="A150" s="41">
        <v>148</v>
      </c>
      <c r="B150" s="43">
        <f t="shared" si="113"/>
        <v>1</v>
      </c>
      <c r="C150" s="43">
        <f t="shared" si="112"/>
        <v>1</v>
      </c>
      <c r="D150" s="43">
        <f t="shared" si="112"/>
        <v>1</v>
      </c>
      <c r="E150" s="43">
        <f t="shared" si="112"/>
        <v>1</v>
      </c>
      <c r="F150" s="43">
        <f t="shared" si="112"/>
        <v>1</v>
      </c>
      <c r="G150" s="43">
        <f t="shared" si="112"/>
        <v>1</v>
      </c>
      <c r="H150" s="43">
        <f t="shared" si="112"/>
        <v>1</v>
      </c>
      <c r="I150" s="43">
        <f t="shared" si="112"/>
        <v>1</v>
      </c>
      <c r="J150" s="43">
        <f t="shared" si="112"/>
        <v>1</v>
      </c>
      <c r="K150" s="43" t="e">
        <f>K149+ATM_Conf!$C$5*(T149-AC149)</f>
        <v>#DIV/0!</v>
      </c>
      <c r="L150" s="43" t="e">
        <f>L149+ATM_Conf!$C$5*(U149-AD149)</f>
        <v>#DIV/0!</v>
      </c>
      <c r="M150" s="43" t="e">
        <f>M149+ATM_Conf!$C$5*(V149-AE149)</f>
        <v>#DIV/0!</v>
      </c>
      <c r="N150" s="43" t="e">
        <f>N149+ATM_Conf!$C$5*(W149-AF149)</f>
        <v>#DIV/0!</v>
      </c>
      <c r="O150" s="43" t="e">
        <f>O149+ATM_Conf!$C$5*(X149-AG149)</f>
        <v>#DIV/0!</v>
      </c>
      <c r="P150" s="43" t="e">
        <f>P149+ATM_Conf!$C$5*(Y149-AH149)</f>
        <v>#DIV/0!</v>
      </c>
      <c r="Q150" s="43" t="e">
        <f>Q149+ATM_Conf!$C$5*(Z149-AI149)</f>
        <v>#DIV/0!</v>
      </c>
      <c r="R150" s="43" t="e">
        <f>R149+ATM_Conf!$C$5*(AA149-AJ149)</f>
        <v>#DIV/0!</v>
      </c>
      <c r="S150" s="43" t="e">
        <f>S149+ATM_Conf!$C$5*(AB149-AK149)</f>
        <v>#DIV/0!</v>
      </c>
      <c r="T150" s="43">
        <f t="shared" si="87"/>
        <v>0</v>
      </c>
      <c r="U150" s="43">
        <f t="shared" si="87"/>
        <v>0</v>
      </c>
      <c r="V150" s="43">
        <f t="shared" si="87"/>
        <v>0</v>
      </c>
      <c r="W150" s="43">
        <f t="shared" si="87"/>
        <v>0</v>
      </c>
      <c r="X150" s="43">
        <f t="shared" si="87"/>
        <v>0</v>
      </c>
      <c r="Y150" s="43">
        <f t="shared" si="87"/>
        <v>0</v>
      </c>
      <c r="Z150" s="43">
        <f t="shared" si="87"/>
        <v>0</v>
      </c>
      <c r="AA150" s="43">
        <f t="shared" si="87"/>
        <v>0</v>
      </c>
      <c r="AB150" s="43">
        <f t="shared" si="87"/>
        <v>0</v>
      </c>
      <c r="AC150" s="43" t="e">
        <f t="shared" si="90"/>
        <v>#DIV/0!</v>
      </c>
      <c r="AD150" s="43" t="e">
        <f t="shared" si="91"/>
        <v>#DIV/0!</v>
      </c>
      <c r="AE150" s="43" t="e">
        <f t="shared" si="92"/>
        <v>#DIV/0!</v>
      </c>
      <c r="AF150" s="43" t="e">
        <f t="shared" si="93"/>
        <v>#DIV/0!</v>
      </c>
      <c r="AG150" s="43" t="e">
        <f t="shared" si="94"/>
        <v>#DIV/0!</v>
      </c>
      <c r="AH150" s="43" t="e">
        <f t="shared" si="95"/>
        <v>#DIV/0!</v>
      </c>
      <c r="AI150" s="43" t="e">
        <f t="shared" si="96"/>
        <v>#DIV/0!</v>
      </c>
      <c r="AJ150" s="43" t="e">
        <f t="shared" si="97"/>
        <v>#DIV/0!</v>
      </c>
      <c r="AK150" s="43" t="e">
        <f t="shared" si="98"/>
        <v>#DIV/0!</v>
      </c>
      <c r="AL150" s="43" t="e">
        <f>T$3+K150/ATM_Conf!$C$5</f>
        <v>#DIV/0!</v>
      </c>
      <c r="AM150" s="43" t="e">
        <f>U$3+L150/ATM_Conf!$C$5</f>
        <v>#DIV/0!</v>
      </c>
      <c r="AN150" s="43" t="e">
        <f>V$3+M150/ATM_Conf!$C$5</f>
        <v>#DIV/0!</v>
      </c>
      <c r="AO150" s="43" t="e">
        <f>W$3+N150/ATM_Conf!$C$5</f>
        <v>#DIV/0!</v>
      </c>
      <c r="AP150" s="43" t="e">
        <f>X$3+O150/ATM_Conf!$C$5</f>
        <v>#DIV/0!</v>
      </c>
      <c r="AQ150" s="43" t="e">
        <f>Y$3+P150/ATM_Conf!$C$5</f>
        <v>#DIV/0!</v>
      </c>
      <c r="AR150" s="43" t="e">
        <f>Z$3+Q150/ATM_Conf!$C$5</f>
        <v>#DIV/0!</v>
      </c>
      <c r="AS150" s="43" t="e">
        <f>AA$3+R150/ATM_Conf!$C$5</f>
        <v>#DIV/0!</v>
      </c>
      <c r="AT150" s="43" t="e">
        <f>AB$3+S150/ATM_Conf!$C$5</f>
        <v>#DIV/0!</v>
      </c>
      <c r="AU150" s="43" t="e">
        <f>BD$3*MIN(1,(ATM_Conf!$C$6-Links!X150)/(ATM_Conf!$C$6-ATM_Conf!$C$7))</f>
        <v>#DIV/0!</v>
      </c>
      <c r="AV150" s="43" t="e">
        <f>BE$3*MIN(1,(ATM_Conf!$C$6-Links!Z150)/(ATM_Conf!$C$6-ATM_Conf!$C$7))</f>
        <v>#DIV/0!</v>
      </c>
      <c r="AW150" s="43" t="e">
        <f>BF$3*MIN(1,(ATM_Conf!$C$6-Links!AA150)/(ATM_Conf!$C$6-ATM_Conf!$C$7))</f>
        <v>#DIV/0!</v>
      </c>
      <c r="AX150" s="43" t="e">
        <f>BG$3*MIN(1,(ATM_Conf!$C$6-Links!AD150)/(ATM_Conf!$C$6-ATM_Conf!$C$7))</f>
        <v>#DIV/0!</v>
      </c>
      <c r="AY150" s="43" t="e">
        <f>BH$3*MIN(1,(ATM_Conf!$C$6-Links!AE150)/(ATM_Conf!$C$6-ATM_Conf!$C$7))</f>
        <v>#DIV/0!</v>
      </c>
      <c r="AZ150" s="43" t="e">
        <f>BI$3*MIN(1,(ATM_Conf!$C$6-Links!AG150)/(ATM_Conf!$C$6-ATM_Conf!$C$7))</f>
        <v>#DIV/0!</v>
      </c>
      <c r="BA150" s="43" t="e">
        <f>BJ$3*MIN(1,(ATM_Conf!$C$6-Links!AH150)/(ATM_Conf!$C$6-ATM_Conf!$C$7))</f>
        <v>#DIV/0!</v>
      </c>
      <c r="BB150" s="43" t="e">
        <f>BK$3*MIN(1,(ATM_Conf!$C$6-Links!AK150)/(ATM_Conf!$C$6-ATM_Conf!$C$7))</f>
        <v>#DIV/0!</v>
      </c>
      <c r="BC150" s="43" t="e">
        <f>BL$3*MIN(1,(ATM_Conf!$C$6-Links!AM150)/(ATM_Conf!$C$6-ATM_Conf!$C$7))</f>
        <v>#DIV/0!</v>
      </c>
      <c r="BD150" s="43">
        <f t="shared" si="88"/>
        <v>0</v>
      </c>
      <c r="BE150" s="43">
        <f t="shared" si="88"/>
        <v>0</v>
      </c>
      <c r="BF150" s="43">
        <f t="shared" si="88"/>
        <v>0</v>
      </c>
      <c r="BG150" s="43">
        <f t="shared" si="88"/>
        <v>0</v>
      </c>
      <c r="BH150" s="43">
        <f t="shared" si="88"/>
        <v>0</v>
      </c>
      <c r="BI150" s="43">
        <f t="shared" si="88"/>
        <v>0</v>
      </c>
      <c r="BJ150" s="43">
        <f t="shared" si="88"/>
        <v>0</v>
      </c>
      <c r="BK150" s="43">
        <f t="shared" si="88"/>
        <v>0</v>
      </c>
      <c r="BL150" s="43">
        <f t="shared" si="88"/>
        <v>0</v>
      </c>
      <c r="BM150" s="51"/>
      <c r="BN150" s="51"/>
      <c r="BO150" s="51"/>
      <c r="BP150" s="51"/>
      <c r="BQ150" s="51"/>
      <c r="BR150" s="51"/>
      <c r="BS150" s="51"/>
      <c r="BT150" s="51"/>
      <c r="BU150" s="51"/>
      <c r="BV150" s="51" t="e">
        <f t="shared" si="99"/>
        <v>#DIV/0!</v>
      </c>
      <c r="BW150" s="51" t="e">
        <f t="shared" si="100"/>
        <v>#DIV/0!</v>
      </c>
      <c r="BX150" s="51" t="e">
        <f t="shared" si="101"/>
        <v>#DIV/0!</v>
      </c>
      <c r="BY150" s="51" t="e">
        <f t="shared" si="102"/>
        <v>#DIV/0!</v>
      </c>
      <c r="BZ150" s="51" t="e">
        <f t="shared" si="103"/>
        <v>#DIV/0!</v>
      </c>
      <c r="CA150" s="51" t="e">
        <f t="shared" si="104"/>
        <v>#DIV/0!</v>
      </c>
      <c r="CB150" s="51" t="e">
        <f t="shared" si="105"/>
        <v>#DIV/0!</v>
      </c>
      <c r="CC150" s="51" t="e">
        <f t="shared" si="106"/>
        <v>#DIV/0!</v>
      </c>
      <c r="CD150" s="51" t="e">
        <f t="shared" si="107"/>
        <v>#DIV/0!</v>
      </c>
      <c r="CE150" s="53">
        <f t="shared" si="89"/>
        <v>0</v>
      </c>
      <c r="CF150" s="53">
        <f t="shared" si="89"/>
        <v>0</v>
      </c>
      <c r="CG150" s="53">
        <f t="shared" si="89"/>
        <v>0</v>
      </c>
      <c r="CH150" s="53">
        <f t="shared" si="89"/>
        <v>0</v>
      </c>
      <c r="CI150" s="53">
        <f t="shared" si="89"/>
        <v>0</v>
      </c>
      <c r="CJ150" s="53">
        <f t="shared" si="89"/>
        <v>0</v>
      </c>
      <c r="CK150" s="53">
        <f t="shared" si="89"/>
        <v>0</v>
      </c>
      <c r="CL150" s="53">
        <f t="shared" si="89"/>
        <v>0</v>
      </c>
      <c r="CM150" s="53">
        <f t="shared" si="89"/>
        <v>0</v>
      </c>
    </row>
    <row r="151" spans="1:91" x14ac:dyDescent="0.15">
      <c r="A151" s="41">
        <v>149</v>
      </c>
      <c r="B151" s="43">
        <f t="shared" si="113"/>
        <v>1</v>
      </c>
      <c r="C151" s="43">
        <f t="shared" si="112"/>
        <v>1</v>
      </c>
      <c r="D151" s="43">
        <f t="shared" si="112"/>
        <v>1</v>
      </c>
      <c r="E151" s="43">
        <f t="shared" si="112"/>
        <v>1</v>
      </c>
      <c r="F151" s="43">
        <f t="shared" si="112"/>
        <v>1</v>
      </c>
      <c r="G151" s="43">
        <f t="shared" si="112"/>
        <v>1</v>
      </c>
      <c r="H151" s="43">
        <f t="shared" si="112"/>
        <v>1</v>
      </c>
      <c r="I151" s="43">
        <f t="shared" si="112"/>
        <v>1</v>
      </c>
      <c r="J151" s="43">
        <f t="shared" si="112"/>
        <v>1</v>
      </c>
      <c r="K151" s="43" t="e">
        <f>K150+ATM_Conf!$C$5*(T150-AC150)</f>
        <v>#DIV/0!</v>
      </c>
      <c r="L151" s="43" t="e">
        <f>L150+ATM_Conf!$C$5*(U150-AD150)</f>
        <v>#DIV/0!</v>
      </c>
      <c r="M151" s="43" t="e">
        <f>M150+ATM_Conf!$C$5*(V150-AE150)</f>
        <v>#DIV/0!</v>
      </c>
      <c r="N151" s="43" t="e">
        <f>N150+ATM_Conf!$C$5*(W150-AF150)</f>
        <v>#DIV/0!</v>
      </c>
      <c r="O151" s="43" t="e">
        <f>O150+ATM_Conf!$C$5*(X150-AG150)</f>
        <v>#DIV/0!</v>
      </c>
      <c r="P151" s="43" t="e">
        <f>P150+ATM_Conf!$C$5*(Y150-AH150)</f>
        <v>#DIV/0!</v>
      </c>
      <c r="Q151" s="43" t="e">
        <f>Q150+ATM_Conf!$C$5*(Z150-AI150)</f>
        <v>#DIV/0!</v>
      </c>
      <c r="R151" s="43" t="e">
        <f>R150+ATM_Conf!$C$5*(AA150-AJ150)</f>
        <v>#DIV/0!</v>
      </c>
      <c r="S151" s="43" t="e">
        <f>S150+ATM_Conf!$C$5*(AB150-AK150)</f>
        <v>#DIV/0!</v>
      </c>
      <c r="T151" s="43">
        <f t="shared" si="87"/>
        <v>0</v>
      </c>
      <c r="U151" s="43">
        <f t="shared" si="87"/>
        <v>0</v>
      </c>
      <c r="V151" s="43">
        <f t="shared" si="87"/>
        <v>0</v>
      </c>
      <c r="W151" s="43">
        <f t="shared" si="87"/>
        <v>0</v>
      </c>
      <c r="X151" s="43">
        <f t="shared" si="87"/>
        <v>0</v>
      </c>
      <c r="Y151" s="43">
        <f t="shared" si="87"/>
        <v>0</v>
      </c>
      <c r="Z151" s="43">
        <f t="shared" si="87"/>
        <v>0</v>
      </c>
      <c r="AA151" s="43">
        <f t="shared" si="87"/>
        <v>0</v>
      </c>
      <c r="AB151" s="43">
        <f t="shared" si="87"/>
        <v>0</v>
      </c>
      <c r="AC151" s="43" t="e">
        <f t="shared" si="90"/>
        <v>#DIV/0!</v>
      </c>
      <c r="AD151" s="43" t="e">
        <f t="shared" si="91"/>
        <v>#DIV/0!</v>
      </c>
      <c r="AE151" s="43" t="e">
        <f t="shared" si="92"/>
        <v>#DIV/0!</v>
      </c>
      <c r="AF151" s="43" t="e">
        <f t="shared" si="93"/>
        <v>#DIV/0!</v>
      </c>
      <c r="AG151" s="43" t="e">
        <f t="shared" si="94"/>
        <v>#DIV/0!</v>
      </c>
      <c r="AH151" s="43" t="e">
        <f t="shared" si="95"/>
        <v>#DIV/0!</v>
      </c>
      <c r="AI151" s="43" t="e">
        <f t="shared" si="96"/>
        <v>#DIV/0!</v>
      </c>
      <c r="AJ151" s="43" t="e">
        <f t="shared" si="97"/>
        <v>#DIV/0!</v>
      </c>
      <c r="AK151" s="43" t="e">
        <f t="shared" si="98"/>
        <v>#DIV/0!</v>
      </c>
      <c r="AL151" s="43" t="e">
        <f>T$3+K151/ATM_Conf!$C$5</f>
        <v>#DIV/0!</v>
      </c>
      <c r="AM151" s="43" t="e">
        <f>U$3+L151/ATM_Conf!$C$5</f>
        <v>#DIV/0!</v>
      </c>
      <c r="AN151" s="43" t="e">
        <f>V$3+M151/ATM_Conf!$C$5</f>
        <v>#DIV/0!</v>
      </c>
      <c r="AO151" s="43" t="e">
        <f>W$3+N151/ATM_Conf!$C$5</f>
        <v>#DIV/0!</v>
      </c>
      <c r="AP151" s="43" t="e">
        <f>X$3+O151/ATM_Conf!$C$5</f>
        <v>#DIV/0!</v>
      </c>
      <c r="AQ151" s="43" t="e">
        <f>Y$3+P151/ATM_Conf!$C$5</f>
        <v>#DIV/0!</v>
      </c>
      <c r="AR151" s="43" t="e">
        <f>Z$3+Q151/ATM_Conf!$C$5</f>
        <v>#DIV/0!</v>
      </c>
      <c r="AS151" s="43" t="e">
        <f>AA$3+R151/ATM_Conf!$C$5</f>
        <v>#DIV/0!</v>
      </c>
      <c r="AT151" s="43" t="e">
        <f>AB$3+S151/ATM_Conf!$C$5</f>
        <v>#DIV/0!</v>
      </c>
      <c r="AU151" s="43" t="e">
        <f>BD$3*MIN(1,(ATM_Conf!$C$6-Links!X151)/(ATM_Conf!$C$6-ATM_Conf!$C$7))</f>
        <v>#DIV/0!</v>
      </c>
      <c r="AV151" s="43" t="e">
        <f>BE$3*MIN(1,(ATM_Conf!$C$6-Links!Z151)/(ATM_Conf!$C$6-ATM_Conf!$C$7))</f>
        <v>#DIV/0!</v>
      </c>
      <c r="AW151" s="43" t="e">
        <f>BF$3*MIN(1,(ATM_Conf!$C$6-Links!AA151)/(ATM_Conf!$C$6-ATM_Conf!$C$7))</f>
        <v>#DIV/0!</v>
      </c>
      <c r="AX151" s="43" t="e">
        <f>BG$3*MIN(1,(ATM_Conf!$C$6-Links!AD151)/(ATM_Conf!$C$6-ATM_Conf!$C$7))</f>
        <v>#DIV/0!</v>
      </c>
      <c r="AY151" s="43" t="e">
        <f>BH$3*MIN(1,(ATM_Conf!$C$6-Links!AE151)/(ATM_Conf!$C$6-ATM_Conf!$C$7))</f>
        <v>#DIV/0!</v>
      </c>
      <c r="AZ151" s="43" t="e">
        <f>BI$3*MIN(1,(ATM_Conf!$C$6-Links!AG151)/(ATM_Conf!$C$6-ATM_Conf!$C$7))</f>
        <v>#DIV/0!</v>
      </c>
      <c r="BA151" s="43" t="e">
        <f>BJ$3*MIN(1,(ATM_Conf!$C$6-Links!AH151)/(ATM_Conf!$C$6-ATM_Conf!$C$7))</f>
        <v>#DIV/0!</v>
      </c>
      <c r="BB151" s="43" t="e">
        <f>BK$3*MIN(1,(ATM_Conf!$C$6-Links!AK151)/(ATM_Conf!$C$6-ATM_Conf!$C$7))</f>
        <v>#DIV/0!</v>
      </c>
      <c r="BC151" s="43" t="e">
        <f>BL$3*MIN(1,(ATM_Conf!$C$6-Links!AM151)/(ATM_Conf!$C$6-ATM_Conf!$C$7))</f>
        <v>#DIV/0!</v>
      </c>
      <c r="BD151" s="43">
        <f t="shared" si="88"/>
        <v>0</v>
      </c>
      <c r="BE151" s="43">
        <f t="shared" si="88"/>
        <v>0</v>
      </c>
      <c r="BF151" s="43">
        <f t="shared" si="88"/>
        <v>0</v>
      </c>
      <c r="BG151" s="43">
        <f t="shared" si="88"/>
        <v>0</v>
      </c>
      <c r="BH151" s="43">
        <f t="shared" si="88"/>
        <v>0</v>
      </c>
      <c r="BI151" s="43">
        <f t="shared" si="88"/>
        <v>0</v>
      </c>
      <c r="BJ151" s="43">
        <f t="shared" si="88"/>
        <v>0</v>
      </c>
      <c r="BK151" s="43">
        <f t="shared" si="88"/>
        <v>0</v>
      </c>
      <c r="BL151" s="43">
        <f t="shared" si="88"/>
        <v>0</v>
      </c>
      <c r="BM151" s="51"/>
      <c r="BN151" s="51"/>
      <c r="BO151" s="51"/>
      <c r="BP151" s="51"/>
      <c r="BQ151" s="51"/>
      <c r="BR151" s="51"/>
      <c r="BS151" s="51"/>
      <c r="BT151" s="51"/>
      <c r="BU151" s="51"/>
      <c r="BV151" s="51" t="e">
        <f t="shared" si="99"/>
        <v>#DIV/0!</v>
      </c>
      <c r="BW151" s="51" t="e">
        <f t="shared" si="100"/>
        <v>#DIV/0!</v>
      </c>
      <c r="BX151" s="51" t="e">
        <f t="shared" si="101"/>
        <v>#DIV/0!</v>
      </c>
      <c r="BY151" s="51" t="e">
        <f t="shared" si="102"/>
        <v>#DIV/0!</v>
      </c>
      <c r="BZ151" s="51" t="e">
        <f t="shared" si="103"/>
        <v>#DIV/0!</v>
      </c>
      <c r="CA151" s="51" t="e">
        <f t="shared" si="104"/>
        <v>#DIV/0!</v>
      </c>
      <c r="CB151" s="51" t="e">
        <f t="shared" si="105"/>
        <v>#DIV/0!</v>
      </c>
      <c r="CC151" s="51" t="e">
        <f t="shared" si="106"/>
        <v>#DIV/0!</v>
      </c>
      <c r="CD151" s="51" t="e">
        <f t="shared" si="107"/>
        <v>#DIV/0!</v>
      </c>
      <c r="CE151" s="53">
        <f t="shared" si="89"/>
        <v>0</v>
      </c>
      <c r="CF151" s="53">
        <f t="shared" si="89"/>
        <v>0</v>
      </c>
      <c r="CG151" s="53">
        <f t="shared" si="89"/>
        <v>0</v>
      </c>
      <c r="CH151" s="53">
        <f t="shared" si="89"/>
        <v>0</v>
      </c>
      <c r="CI151" s="53">
        <f t="shared" si="89"/>
        <v>0</v>
      </c>
      <c r="CJ151" s="53">
        <f t="shared" si="89"/>
        <v>0</v>
      </c>
      <c r="CK151" s="53">
        <f t="shared" si="89"/>
        <v>0</v>
      </c>
      <c r="CL151" s="53">
        <f t="shared" si="89"/>
        <v>0</v>
      </c>
      <c r="CM151" s="53">
        <f t="shared" si="89"/>
        <v>0</v>
      </c>
    </row>
    <row r="152" spans="1:91" x14ac:dyDescent="0.15">
      <c r="A152" s="41">
        <v>150</v>
      </c>
      <c r="B152" s="43">
        <f t="shared" si="113"/>
        <v>1</v>
      </c>
      <c r="C152" s="43">
        <f t="shared" si="112"/>
        <v>1</v>
      </c>
      <c r="D152" s="43">
        <f t="shared" si="112"/>
        <v>1</v>
      </c>
      <c r="E152" s="43">
        <f t="shared" si="112"/>
        <v>1</v>
      </c>
      <c r="F152" s="43">
        <f t="shared" si="112"/>
        <v>1</v>
      </c>
      <c r="G152" s="43">
        <f t="shared" si="112"/>
        <v>1</v>
      </c>
      <c r="H152" s="43">
        <f t="shared" si="112"/>
        <v>1</v>
      </c>
      <c r="I152" s="43">
        <f t="shared" si="112"/>
        <v>1</v>
      </c>
      <c r="J152" s="43">
        <f t="shared" si="112"/>
        <v>1</v>
      </c>
      <c r="K152" s="43" t="e">
        <f>K151+ATM_Conf!$C$5*(T151-AC151)</f>
        <v>#DIV/0!</v>
      </c>
      <c r="L152" s="43" t="e">
        <f>L151+ATM_Conf!$C$5*(U151-AD151)</f>
        <v>#DIV/0!</v>
      </c>
      <c r="M152" s="43" t="e">
        <f>M151+ATM_Conf!$C$5*(V151-AE151)</f>
        <v>#DIV/0!</v>
      </c>
      <c r="N152" s="43" t="e">
        <f>N151+ATM_Conf!$C$5*(W151-AF151)</f>
        <v>#DIV/0!</v>
      </c>
      <c r="O152" s="43" t="e">
        <f>O151+ATM_Conf!$C$5*(X151-AG151)</f>
        <v>#DIV/0!</v>
      </c>
      <c r="P152" s="43" t="e">
        <f>P151+ATM_Conf!$C$5*(Y151-AH151)</f>
        <v>#DIV/0!</v>
      </c>
      <c r="Q152" s="43" t="e">
        <f>Q151+ATM_Conf!$C$5*(Z151-AI151)</f>
        <v>#DIV/0!</v>
      </c>
      <c r="R152" s="43" t="e">
        <f>R151+ATM_Conf!$C$5*(AA151-AJ151)</f>
        <v>#DIV/0!</v>
      </c>
      <c r="S152" s="43" t="e">
        <f>S151+ATM_Conf!$C$5*(AB151-AK151)</f>
        <v>#DIV/0!</v>
      </c>
      <c r="T152" s="43">
        <f t="shared" si="87"/>
        <v>0</v>
      </c>
      <c r="U152" s="43">
        <f t="shared" si="87"/>
        <v>0</v>
      </c>
      <c r="V152" s="43">
        <f t="shared" si="87"/>
        <v>0</v>
      </c>
      <c r="W152" s="43">
        <f t="shared" si="87"/>
        <v>0</v>
      </c>
      <c r="X152" s="43">
        <f t="shared" si="87"/>
        <v>0</v>
      </c>
      <c r="Y152" s="43">
        <f t="shared" si="87"/>
        <v>0</v>
      </c>
      <c r="Z152" s="43">
        <f t="shared" si="87"/>
        <v>0</v>
      </c>
      <c r="AA152" s="43">
        <f t="shared" si="87"/>
        <v>0</v>
      </c>
      <c r="AB152" s="43">
        <f t="shared" si="87"/>
        <v>0</v>
      </c>
      <c r="AC152" s="43" t="e">
        <f t="shared" si="90"/>
        <v>#DIV/0!</v>
      </c>
      <c r="AD152" s="43" t="e">
        <f t="shared" si="91"/>
        <v>#DIV/0!</v>
      </c>
      <c r="AE152" s="43" t="e">
        <f t="shared" si="92"/>
        <v>#DIV/0!</v>
      </c>
      <c r="AF152" s="43" t="e">
        <f t="shared" si="93"/>
        <v>#DIV/0!</v>
      </c>
      <c r="AG152" s="43" t="e">
        <f t="shared" si="94"/>
        <v>#DIV/0!</v>
      </c>
      <c r="AH152" s="43" t="e">
        <f t="shared" si="95"/>
        <v>#DIV/0!</v>
      </c>
      <c r="AI152" s="43" t="e">
        <f t="shared" si="96"/>
        <v>#DIV/0!</v>
      </c>
      <c r="AJ152" s="43" t="e">
        <f t="shared" si="97"/>
        <v>#DIV/0!</v>
      </c>
      <c r="AK152" s="43" t="e">
        <f t="shared" si="98"/>
        <v>#DIV/0!</v>
      </c>
      <c r="AL152" s="43" t="e">
        <f>T$3+K152/ATM_Conf!$C$5</f>
        <v>#DIV/0!</v>
      </c>
      <c r="AM152" s="43" t="e">
        <f>U$3+L152/ATM_Conf!$C$5</f>
        <v>#DIV/0!</v>
      </c>
      <c r="AN152" s="43" t="e">
        <f>V$3+M152/ATM_Conf!$C$5</f>
        <v>#DIV/0!</v>
      </c>
      <c r="AO152" s="43" t="e">
        <f>W$3+N152/ATM_Conf!$C$5</f>
        <v>#DIV/0!</v>
      </c>
      <c r="AP152" s="43" t="e">
        <f>X$3+O152/ATM_Conf!$C$5</f>
        <v>#DIV/0!</v>
      </c>
      <c r="AQ152" s="43" t="e">
        <f>Y$3+P152/ATM_Conf!$C$5</f>
        <v>#DIV/0!</v>
      </c>
      <c r="AR152" s="43" t="e">
        <f>Z$3+Q152/ATM_Conf!$C$5</f>
        <v>#DIV/0!</v>
      </c>
      <c r="AS152" s="43" t="e">
        <f>AA$3+R152/ATM_Conf!$C$5</f>
        <v>#DIV/0!</v>
      </c>
      <c r="AT152" s="43" t="e">
        <f>AB$3+S152/ATM_Conf!$C$5</f>
        <v>#DIV/0!</v>
      </c>
      <c r="AU152" s="43" t="e">
        <f>BD$3*MIN(1,(ATM_Conf!$C$6-Links!X152)/(ATM_Conf!$C$6-ATM_Conf!$C$7))</f>
        <v>#DIV/0!</v>
      </c>
      <c r="AV152" s="43" t="e">
        <f>BE$3*MIN(1,(ATM_Conf!$C$6-Links!Z152)/(ATM_Conf!$C$6-ATM_Conf!$C$7))</f>
        <v>#DIV/0!</v>
      </c>
      <c r="AW152" s="43" t="e">
        <f>BF$3*MIN(1,(ATM_Conf!$C$6-Links!AA152)/(ATM_Conf!$C$6-ATM_Conf!$C$7))</f>
        <v>#DIV/0!</v>
      </c>
      <c r="AX152" s="43" t="e">
        <f>BG$3*MIN(1,(ATM_Conf!$C$6-Links!AD152)/(ATM_Conf!$C$6-ATM_Conf!$C$7))</f>
        <v>#DIV/0!</v>
      </c>
      <c r="AY152" s="43" t="e">
        <f>BH$3*MIN(1,(ATM_Conf!$C$6-Links!AE152)/(ATM_Conf!$C$6-ATM_Conf!$C$7))</f>
        <v>#DIV/0!</v>
      </c>
      <c r="AZ152" s="43" t="e">
        <f>BI$3*MIN(1,(ATM_Conf!$C$6-Links!AG152)/(ATM_Conf!$C$6-ATM_Conf!$C$7))</f>
        <v>#DIV/0!</v>
      </c>
      <c r="BA152" s="43" t="e">
        <f>BJ$3*MIN(1,(ATM_Conf!$C$6-Links!AH152)/(ATM_Conf!$C$6-ATM_Conf!$C$7))</f>
        <v>#DIV/0!</v>
      </c>
      <c r="BB152" s="43" t="e">
        <f>BK$3*MIN(1,(ATM_Conf!$C$6-Links!AK152)/(ATM_Conf!$C$6-ATM_Conf!$C$7))</f>
        <v>#DIV/0!</v>
      </c>
      <c r="BC152" s="43" t="e">
        <f>BL$3*MIN(1,(ATM_Conf!$C$6-Links!AM152)/(ATM_Conf!$C$6-ATM_Conf!$C$7))</f>
        <v>#DIV/0!</v>
      </c>
      <c r="BD152" s="43">
        <f t="shared" si="88"/>
        <v>0</v>
      </c>
      <c r="BE152" s="43">
        <f t="shared" si="88"/>
        <v>0</v>
      </c>
      <c r="BF152" s="43">
        <f t="shared" si="88"/>
        <v>0</v>
      </c>
      <c r="BG152" s="43">
        <f t="shared" si="88"/>
        <v>0</v>
      </c>
      <c r="BH152" s="43">
        <f t="shared" si="88"/>
        <v>0</v>
      </c>
      <c r="BI152" s="43">
        <f t="shared" si="88"/>
        <v>0</v>
      </c>
      <c r="BJ152" s="43">
        <f t="shared" si="88"/>
        <v>0</v>
      </c>
      <c r="BK152" s="43">
        <f t="shared" si="88"/>
        <v>0</v>
      </c>
      <c r="BL152" s="43">
        <f t="shared" si="88"/>
        <v>0</v>
      </c>
      <c r="BM152" s="51"/>
      <c r="BN152" s="51"/>
      <c r="BO152" s="51"/>
      <c r="BP152" s="51"/>
      <c r="BQ152" s="51"/>
      <c r="BR152" s="51"/>
      <c r="BS152" s="51"/>
      <c r="BT152" s="51"/>
      <c r="BU152" s="51"/>
      <c r="BV152" s="51" t="e">
        <f t="shared" si="99"/>
        <v>#DIV/0!</v>
      </c>
      <c r="BW152" s="51" t="e">
        <f t="shared" si="100"/>
        <v>#DIV/0!</v>
      </c>
      <c r="BX152" s="51" t="e">
        <f t="shared" si="101"/>
        <v>#DIV/0!</v>
      </c>
      <c r="BY152" s="51" t="e">
        <f t="shared" si="102"/>
        <v>#DIV/0!</v>
      </c>
      <c r="BZ152" s="51" t="e">
        <f t="shared" si="103"/>
        <v>#DIV/0!</v>
      </c>
      <c r="CA152" s="51" t="e">
        <f t="shared" si="104"/>
        <v>#DIV/0!</v>
      </c>
      <c r="CB152" s="51" t="e">
        <f t="shared" si="105"/>
        <v>#DIV/0!</v>
      </c>
      <c r="CC152" s="51" t="e">
        <f t="shared" si="106"/>
        <v>#DIV/0!</v>
      </c>
      <c r="CD152" s="51" t="e">
        <f t="shared" si="107"/>
        <v>#DIV/0!</v>
      </c>
      <c r="CE152" s="53">
        <f t="shared" si="89"/>
        <v>0</v>
      </c>
      <c r="CF152" s="53">
        <f t="shared" si="89"/>
        <v>0</v>
      </c>
      <c r="CG152" s="53">
        <f t="shared" si="89"/>
        <v>0</v>
      </c>
      <c r="CH152" s="53">
        <f t="shared" si="89"/>
        <v>0</v>
      </c>
      <c r="CI152" s="53">
        <f t="shared" si="89"/>
        <v>0</v>
      </c>
      <c r="CJ152" s="53">
        <f t="shared" si="89"/>
        <v>0</v>
      </c>
      <c r="CK152" s="53">
        <f t="shared" si="89"/>
        <v>0</v>
      </c>
      <c r="CL152" s="53">
        <f t="shared" si="89"/>
        <v>0</v>
      </c>
      <c r="CM152" s="53">
        <f t="shared" si="89"/>
        <v>0</v>
      </c>
    </row>
    <row r="153" spans="1:91" x14ac:dyDescent="0.15">
      <c r="A153" s="41">
        <v>151</v>
      </c>
      <c r="B153" s="43">
        <f t="shared" si="113"/>
        <v>1</v>
      </c>
      <c r="C153" s="43">
        <f t="shared" si="112"/>
        <v>1</v>
      </c>
      <c r="D153" s="43">
        <f t="shared" si="112"/>
        <v>1</v>
      </c>
      <c r="E153" s="43">
        <f t="shared" si="112"/>
        <v>1</v>
      </c>
      <c r="F153" s="43">
        <f t="shared" si="112"/>
        <v>1</v>
      </c>
      <c r="G153" s="43">
        <f t="shared" si="112"/>
        <v>1</v>
      </c>
      <c r="H153" s="43">
        <f t="shared" si="112"/>
        <v>1</v>
      </c>
      <c r="I153" s="43">
        <f t="shared" si="112"/>
        <v>1</v>
      </c>
      <c r="J153" s="43">
        <f t="shared" si="112"/>
        <v>1</v>
      </c>
      <c r="K153" s="43" t="e">
        <f>K152+ATM_Conf!$C$5*(T152-AC152)</f>
        <v>#DIV/0!</v>
      </c>
      <c r="L153" s="43" t="e">
        <f>L152+ATM_Conf!$C$5*(U152-AD152)</f>
        <v>#DIV/0!</v>
      </c>
      <c r="M153" s="43" t="e">
        <f>M152+ATM_Conf!$C$5*(V152-AE152)</f>
        <v>#DIV/0!</v>
      </c>
      <c r="N153" s="43" t="e">
        <f>N152+ATM_Conf!$C$5*(W152-AF152)</f>
        <v>#DIV/0!</v>
      </c>
      <c r="O153" s="43" t="e">
        <f>O152+ATM_Conf!$C$5*(X152-AG152)</f>
        <v>#DIV/0!</v>
      </c>
      <c r="P153" s="43" t="e">
        <f>P152+ATM_Conf!$C$5*(Y152-AH152)</f>
        <v>#DIV/0!</v>
      </c>
      <c r="Q153" s="43" t="e">
        <f>Q152+ATM_Conf!$C$5*(Z152-AI152)</f>
        <v>#DIV/0!</v>
      </c>
      <c r="R153" s="43" t="e">
        <f>R152+ATM_Conf!$C$5*(AA152-AJ152)</f>
        <v>#DIV/0!</v>
      </c>
      <c r="S153" s="43" t="e">
        <f>S152+ATM_Conf!$C$5*(AB152-AK152)</f>
        <v>#DIV/0!</v>
      </c>
      <c r="T153" s="43">
        <f t="shared" si="87"/>
        <v>0</v>
      </c>
      <c r="U153" s="43">
        <f t="shared" si="87"/>
        <v>0</v>
      </c>
      <c r="V153" s="43">
        <f t="shared" si="87"/>
        <v>0</v>
      </c>
      <c r="W153" s="43">
        <f t="shared" si="87"/>
        <v>0</v>
      </c>
      <c r="X153" s="43">
        <f t="shared" si="87"/>
        <v>0</v>
      </c>
      <c r="Y153" s="43">
        <f t="shared" si="87"/>
        <v>0</v>
      </c>
      <c r="Z153" s="43">
        <f t="shared" si="87"/>
        <v>0</v>
      </c>
      <c r="AA153" s="43">
        <f t="shared" si="87"/>
        <v>0</v>
      </c>
      <c r="AB153" s="43">
        <f t="shared" si="87"/>
        <v>0</v>
      </c>
      <c r="AC153" s="43" t="e">
        <f t="shared" si="90"/>
        <v>#DIV/0!</v>
      </c>
      <c r="AD153" s="43" t="e">
        <f t="shared" si="91"/>
        <v>#DIV/0!</v>
      </c>
      <c r="AE153" s="43" t="e">
        <f t="shared" si="92"/>
        <v>#DIV/0!</v>
      </c>
      <c r="AF153" s="43" t="e">
        <f t="shared" si="93"/>
        <v>#DIV/0!</v>
      </c>
      <c r="AG153" s="43" t="e">
        <f t="shared" si="94"/>
        <v>#DIV/0!</v>
      </c>
      <c r="AH153" s="43" t="e">
        <f t="shared" si="95"/>
        <v>#DIV/0!</v>
      </c>
      <c r="AI153" s="43" t="e">
        <f t="shared" si="96"/>
        <v>#DIV/0!</v>
      </c>
      <c r="AJ153" s="43" t="e">
        <f t="shared" si="97"/>
        <v>#DIV/0!</v>
      </c>
      <c r="AK153" s="43" t="e">
        <f t="shared" si="98"/>
        <v>#DIV/0!</v>
      </c>
      <c r="AL153" s="43" t="e">
        <f>T$3+K153/ATM_Conf!$C$5</f>
        <v>#DIV/0!</v>
      </c>
      <c r="AM153" s="43" t="e">
        <f>U$3+L153/ATM_Conf!$C$5</f>
        <v>#DIV/0!</v>
      </c>
      <c r="AN153" s="43" t="e">
        <f>V$3+M153/ATM_Conf!$C$5</f>
        <v>#DIV/0!</v>
      </c>
      <c r="AO153" s="43" t="e">
        <f>W$3+N153/ATM_Conf!$C$5</f>
        <v>#DIV/0!</v>
      </c>
      <c r="AP153" s="43" t="e">
        <f>X$3+O153/ATM_Conf!$C$5</f>
        <v>#DIV/0!</v>
      </c>
      <c r="AQ153" s="43" t="e">
        <f>Y$3+P153/ATM_Conf!$C$5</f>
        <v>#DIV/0!</v>
      </c>
      <c r="AR153" s="43" t="e">
        <f>Z$3+Q153/ATM_Conf!$C$5</f>
        <v>#DIV/0!</v>
      </c>
      <c r="AS153" s="43" t="e">
        <f>AA$3+R153/ATM_Conf!$C$5</f>
        <v>#DIV/0!</v>
      </c>
      <c r="AT153" s="43" t="e">
        <f>AB$3+S153/ATM_Conf!$C$5</f>
        <v>#DIV/0!</v>
      </c>
      <c r="AU153" s="43" t="e">
        <f>BD$3*MIN(1,(ATM_Conf!$C$6-Links!X153)/(ATM_Conf!$C$6-ATM_Conf!$C$7))</f>
        <v>#DIV/0!</v>
      </c>
      <c r="AV153" s="43" t="e">
        <f>BE$3*MIN(1,(ATM_Conf!$C$6-Links!Z153)/(ATM_Conf!$C$6-ATM_Conf!$C$7))</f>
        <v>#DIV/0!</v>
      </c>
      <c r="AW153" s="43" t="e">
        <f>BF$3*MIN(1,(ATM_Conf!$C$6-Links!AA153)/(ATM_Conf!$C$6-ATM_Conf!$C$7))</f>
        <v>#DIV/0!</v>
      </c>
      <c r="AX153" s="43" t="e">
        <f>BG$3*MIN(1,(ATM_Conf!$C$6-Links!AD153)/(ATM_Conf!$C$6-ATM_Conf!$C$7))</f>
        <v>#DIV/0!</v>
      </c>
      <c r="AY153" s="43" t="e">
        <f>BH$3*MIN(1,(ATM_Conf!$C$6-Links!AE153)/(ATM_Conf!$C$6-ATM_Conf!$C$7))</f>
        <v>#DIV/0!</v>
      </c>
      <c r="AZ153" s="43" t="e">
        <f>BI$3*MIN(1,(ATM_Conf!$C$6-Links!AG153)/(ATM_Conf!$C$6-ATM_Conf!$C$7))</f>
        <v>#DIV/0!</v>
      </c>
      <c r="BA153" s="43" t="e">
        <f>BJ$3*MIN(1,(ATM_Conf!$C$6-Links!AH153)/(ATM_Conf!$C$6-ATM_Conf!$C$7))</f>
        <v>#DIV/0!</v>
      </c>
      <c r="BB153" s="43" t="e">
        <f>BK$3*MIN(1,(ATM_Conf!$C$6-Links!AK153)/(ATM_Conf!$C$6-ATM_Conf!$C$7))</f>
        <v>#DIV/0!</v>
      </c>
      <c r="BC153" s="43" t="e">
        <f>BL$3*MIN(1,(ATM_Conf!$C$6-Links!AM153)/(ATM_Conf!$C$6-ATM_Conf!$C$7))</f>
        <v>#DIV/0!</v>
      </c>
      <c r="BD153" s="43">
        <f t="shared" si="88"/>
        <v>0</v>
      </c>
      <c r="BE153" s="43">
        <f t="shared" si="88"/>
        <v>0</v>
      </c>
      <c r="BF153" s="43">
        <f t="shared" si="88"/>
        <v>0</v>
      </c>
      <c r="BG153" s="43">
        <f t="shared" si="88"/>
        <v>0</v>
      </c>
      <c r="BH153" s="43">
        <f t="shared" si="88"/>
        <v>0</v>
      </c>
      <c r="BI153" s="43">
        <f t="shared" si="88"/>
        <v>0</v>
      </c>
      <c r="BJ153" s="43">
        <f t="shared" si="88"/>
        <v>0</v>
      </c>
      <c r="BK153" s="43">
        <f t="shared" si="88"/>
        <v>0</v>
      </c>
      <c r="BL153" s="43">
        <f t="shared" si="88"/>
        <v>0</v>
      </c>
      <c r="BM153" s="51"/>
      <c r="BN153" s="51"/>
      <c r="BO153" s="51"/>
      <c r="BP153" s="51"/>
      <c r="BQ153" s="51"/>
      <c r="BR153" s="51"/>
      <c r="BS153" s="51"/>
      <c r="BT153" s="51"/>
      <c r="BU153" s="51"/>
      <c r="BV153" s="51" t="e">
        <f t="shared" si="99"/>
        <v>#DIV/0!</v>
      </c>
      <c r="BW153" s="51" t="e">
        <f t="shared" si="100"/>
        <v>#DIV/0!</v>
      </c>
      <c r="BX153" s="51" t="e">
        <f t="shared" si="101"/>
        <v>#DIV/0!</v>
      </c>
      <c r="BY153" s="51" t="e">
        <f t="shared" si="102"/>
        <v>#DIV/0!</v>
      </c>
      <c r="BZ153" s="51" t="e">
        <f t="shared" si="103"/>
        <v>#DIV/0!</v>
      </c>
      <c r="CA153" s="51" t="e">
        <f t="shared" si="104"/>
        <v>#DIV/0!</v>
      </c>
      <c r="CB153" s="51" t="e">
        <f t="shared" si="105"/>
        <v>#DIV/0!</v>
      </c>
      <c r="CC153" s="51" t="e">
        <f t="shared" si="106"/>
        <v>#DIV/0!</v>
      </c>
      <c r="CD153" s="51" t="e">
        <f t="shared" si="107"/>
        <v>#DIV/0!</v>
      </c>
      <c r="CE153" s="53">
        <f t="shared" si="89"/>
        <v>0</v>
      </c>
      <c r="CF153" s="53">
        <f t="shared" si="89"/>
        <v>0</v>
      </c>
      <c r="CG153" s="53">
        <f t="shared" si="89"/>
        <v>0</v>
      </c>
      <c r="CH153" s="53">
        <f t="shared" si="89"/>
        <v>0</v>
      </c>
      <c r="CI153" s="53">
        <f t="shared" si="89"/>
        <v>0</v>
      </c>
      <c r="CJ153" s="53">
        <f t="shared" si="89"/>
        <v>0</v>
      </c>
      <c r="CK153" s="53">
        <f t="shared" si="89"/>
        <v>0</v>
      </c>
      <c r="CL153" s="53">
        <f t="shared" si="89"/>
        <v>0</v>
      </c>
      <c r="CM153" s="53">
        <f t="shared" si="89"/>
        <v>0</v>
      </c>
    </row>
    <row r="154" spans="1:91" x14ac:dyDescent="0.15">
      <c r="A154" s="41">
        <v>152</v>
      </c>
      <c r="B154" s="43">
        <f t="shared" si="113"/>
        <v>1</v>
      </c>
      <c r="C154" s="43">
        <f t="shared" si="112"/>
        <v>1</v>
      </c>
      <c r="D154" s="43">
        <f t="shared" si="112"/>
        <v>1</v>
      </c>
      <c r="E154" s="43">
        <f t="shared" si="112"/>
        <v>1</v>
      </c>
      <c r="F154" s="43">
        <f t="shared" si="112"/>
        <v>1</v>
      </c>
      <c r="G154" s="43">
        <f t="shared" si="112"/>
        <v>1</v>
      </c>
      <c r="H154" s="43">
        <f t="shared" si="112"/>
        <v>1</v>
      </c>
      <c r="I154" s="43">
        <f t="shared" si="112"/>
        <v>1</v>
      </c>
      <c r="J154" s="43">
        <f t="shared" si="112"/>
        <v>1</v>
      </c>
      <c r="K154" s="43" t="e">
        <f>K153+ATM_Conf!$C$5*(T153-AC153)</f>
        <v>#DIV/0!</v>
      </c>
      <c r="L154" s="43" t="e">
        <f>L153+ATM_Conf!$C$5*(U153-AD153)</f>
        <v>#DIV/0!</v>
      </c>
      <c r="M154" s="43" t="e">
        <f>M153+ATM_Conf!$C$5*(V153-AE153)</f>
        <v>#DIV/0!</v>
      </c>
      <c r="N154" s="43" t="e">
        <f>N153+ATM_Conf!$C$5*(W153-AF153)</f>
        <v>#DIV/0!</v>
      </c>
      <c r="O154" s="43" t="e">
        <f>O153+ATM_Conf!$C$5*(X153-AG153)</f>
        <v>#DIV/0!</v>
      </c>
      <c r="P154" s="43" t="e">
        <f>P153+ATM_Conf!$C$5*(Y153-AH153)</f>
        <v>#DIV/0!</v>
      </c>
      <c r="Q154" s="43" t="e">
        <f>Q153+ATM_Conf!$C$5*(Z153-AI153)</f>
        <v>#DIV/0!</v>
      </c>
      <c r="R154" s="43" t="e">
        <f>R153+ATM_Conf!$C$5*(AA153-AJ153)</f>
        <v>#DIV/0!</v>
      </c>
      <c r="S154" s="43" t="e">
        <f>S153+ATM_Conf!$C$5*(AB153-AK153)</f>
        <v>#DIV/0!</v>
      </c>
      <c r="T154" s="43">
        <f t="shared" si="87"/>
        <v>0</v>
      </c>
      <c r="U154" s="43">
        <f t="shared" si="87"/>
        <v>0</v>
      </c>
      <c r="V154" s="43">
        <f t="shared" si="87"/>
        <v>0</v>
      </c>
      <c r="W154" s="43">
        <f t="shared" si="87"/>
        <v>0</v>
      </c>
      <c r="X154" s="43">
        <f t="shared" si="87"/>
        <v>0</v>
      </c>
      <c r="Y154" s="43">
        <f t="shared" si="87"/>
        <v>0</v>
      </c>
      <c r="Z154" s="43">
        <f t="shared" si="87"/>
        <v>0</v>
      </c>
      <c r="AA154" s="43">
        <f t="shared" si="87"/>
        <v>0</v>
      </c>
      <c r="AB154" s="43">
        <f t="shared" si="87"/>
        <v>0</v>
      </c>
      <c r="AC154" s="43" t="e">
        <f t="shared" si="90"/>
        <v>#DIV/0!</v>
      </c>
      <c r="AD154" s="43" t="e">
        <f t="shared" si="91"/>
        <v>#DIV/0!</v>
      </c>
      <c r="AE154" s="43" t="e">
        <f t="shared" si="92"/>
        <v>#DIV/0!</v>
      </c>
      <c r="AF154" s="43" t="e">
        <f t="shared" si="93"/>
        <v>#DIV/0!</v>
      </c>
      <c r="AG154" s="43" t="e">
        <f t="shared" si="94"/>
        <v>#DIV/0!</v>
      </c>
      <c r="AH154" s="43" t="e">
        <f t="shared" si="95"/>
        <v>#DIV/0!</v>
      </c>
      <c r="AI154" s="43" t="e">
        <f t="shared" si="96"/>
        <v>#DIV/0!</v>
      </c>
      <c r="AJ154" s="43" t="e">
        <f t="shared" si="97"/>
        <v>#DIV/0!</v>
      </c>
      <c r="AK154" s="43" t="e">
        <f t="shared" si="98"/>
        <v>#DIV/0!</v>
      </c>
      <c r="AL154" s="43" t="e">
        <f>T$3+K154/ATM_Conf!$C$5</f>
        <v>#DIV/0!</v>
      </c>
      <c r="AM154" s="43" t="e">
        <f>U$3+L154/ATM_Conf!$C$5</f>
        <v>#DIV/0!</v>
      </c>
      <c r="AN154" s="43" t="e">
        <f>V$3+M154/ATM_Conf!$C$5</f>
        <v>#DIV/0!</v>
      </c>
      <c r="AO154" s="43" t="e">
        <f>W$3+N154/ATM_Conf!$C$5</f>
        <v>#DIV/0!</v>
      </c>
      <c r="AP154" s="43" t="e">
        <f>X$3+O154/ATM_Conf!$C$5</f>
        <v>#DIV/0!</v>
      </c>
      <c r="AQ154" s="43" t="e">
        <f>Y$3+P154/ATM_Conf!$C$5</f>
        <v>#DIV/0!</v>
      </c>
      <c r="AR154" s="43" t="e">
        <f>Z$3+Q154/ATM_Conf!$C$5</f>
        <v>#DIV/0!</v>
      </c>
      <c r="AS154" s="43" t="e">
        <f>AA$3+R154/ATM_Conf!$C$5</f>
        <v>#DIV/0!</v>
      </c>
      <c r="AT154" s="43" t="e">
        <f>AB$3+S154/ATM_Conf!$C$5</f>
        <v>#DIV/0!</v>
      </c>
      <c r="AU154" s="43" t="e">
        <f>BD$3*MIN(1,(ATM_Conf!$C$6-Links!X154)/(ATM_Conf!$C$6-ATM_Conf!$C$7))</f>
        <v>#DIV/0!</v>
      </c>
      <c r="AV154" s="43" t="e">
        <f>BE$3*MIN(1,(ATM_Conf!$C$6-Links!Z154)/(ATM_Conf!$C$6-ATM_Conf!$C$7))</f>
        <v>#DIV/0!</v>
      </c>
      <c r="AW154" s="43" t="e">
        <f>BF$3*MIN(1,(ATM_Conf!$C$6-Links!AA154)/(ATM_Conf!$C$6-ATM_Conf!$C$7))</f>
        <v>#DIV/0!</v>
      </c>
      <c r="AX154" s="43" t="e">
        <f>BG$3*MIN(1,(ATM_Conf!$C$6-Links!AD154)/(ATM_Conf!$C$6-ATM_Conf!$C$7))</f>
        <v>#DIV/0!</v>
      </c>
      <c r="AY154" s="43" t="e">
        <f>BH$3*MIN(1,(ATM_Conf!$C$6-Links!AE154)/(ATM_Conf!$C$6-ATM_Conf!$C$7))</f>
        <v>#DIV/0!</v>
      </c>
      <c r="AZ154" s="43" t="e">
        <f>BI$3*MIN(1,(ATM_Conf!$C$6-Links!AG154)/(ATM_Conf!$C$6-ATM_Conf!$C$7))</f>
        <v>#DIV/0!</v>
      </c>
      <c r="BA154" s="43" t="e">
        <f>BJ$3*MIN(1,(ATM_Conf!$C$6-Links!AH154)/(ATM_Conf!$C$6-ATM_Conf!$C$7))</f>
        <v>#DIV/0!</v>
      </c>
      <c r="BB154" s="43" t="e">
        <f>BK$3*MIN(1,(ATM_Conf!$C$6-Links!AK154)/(ATM_Conf!$C$6-ATM_Conf!$C$7))</f>
        <v>#DIV/0!</v>
      </c>
      <c r="BC154" s="43" t="e">
        <f>BL$3*MIN(1,(ATM_Conf!$C$6-Links!AM154)/(ATM_Conf!$C$6-ATM_Conf!$C$7))</f>
        <v>#DIV/0!</v>
      </c>
      <c r="BD154" s="43">
        <f t="shared" si="88"/>
        <v>0</v>
      </c>
      <c r="BE154" s="43">
        <f t="shared" si="88"/>
        <v>0</v>
      </c>
      <c r="BF154" s="43">
        <f t="shared" si="88"/>
        <v>0</v>
      </c>
      <c r="BG154" s="43">
        <f t="shared" si="88"/>
        <v>0</v>
      </c>
      <c r="BH154" s="43">
        <f t="shared" si="88"/>
        <v>0</v>
      </c>
      <c r="BI154" s="43">
        <f t="shared" si="88"/>
        <v>0</v>
      </c>
      <c r="BJ154" s="43">
        <f t="shared" si="88"/>
        <v>0</v>
      </c>
      <c r="BK154" s="43">
        <f t="shared" si="88"/>
        <v>0</v>
      </c>
      <c r="BL154" s="43">
        <f t="shared" si="88"/>
        <v>0</v>
      </c>
      <c r="BM154" s="51"/>
      <c r="BN154" s="51"/>
      <c r="BO154" s="51"/>
      <c r="BP154" s="51"/>
      <c r="BQ154" s="51"/>
      <c r="BR154" s="51"/>
      <c r="BS154" s="51"/>
      <c r="BT154" s="51"/>
      <c r="BU154" s="51"/>
      <c r="BV154" s="51" t="e">
        <f t="shared" si="99"/>
        <v>#DIV/0!</v>
      </c>
      <c r="BW154" s="51" t="e">
        <f t="shared" si="100"/>
        <v>#DIV/0!</v>
      </c>
      <c r="BX154" s="51" t="e">
        <f t="shared" si="101"/>
        <v>#DIV/0!</v>
      </c>
      <c r="BY154" s="51" t="e">
        <f t="shared" si="102"/>
        <v>#DIV/0!</v>
      </c>
      <c r="BZ154" s="51" t="e">
        <f t="shared" si="103"/>
        <v>#DIV/0!</v>
      </c>
      <c r="CA154" s="51" t="e">
        <f t="shared" si="104"/>
        <v>#DIV/0!</v>
      </c>
      <c r="CB154" s="51" t="e">
        <f t="shared" si="105"/>
        <v>#DIV/0!</v>
      </c>
      <c r="CC154" s="51" t="e">
        <f t="shared" si="106"/>
        <v>#DIV/0!</v>
      </c>
      <c r="CD154" s="51" t="e">
        <f t="shared" si="107"/>
        <v>#DIV/0!</v>
      </c>
      <c r="CE154" s="53">
        <f t="shared" si="89"/>
        <v>0</v>
      </c>
      <c r="CF154" s="53">
        <f t="shared" si="89"/>
        <v>0</v>
      </c>
      <c r="CG154" s="53">
        <f t="shared" si="89"/>
        <v>0</v>
      </c>
      <c r="CH154" s="53">
        <f t="shared" si="89"/>
        <v>0</v>
      </c>
      <c r="CI154" s="53">
        <f t="shared" si="89"/>
        <v>0</v>
      </c>
      <c r="CJ154" s="53">
        <f t="shared" si="89"/>
        <v>0</v>
      </c>
      <c r="CK154" s="53">
        <f t="shared" si="89"/>
        <v>0</v>
      </c>
      <c r="CL154" s="53">
        <f t="shared" si="89"/>
        <v>0</v>
      </c>
      <c r="CM154" s="53">
        <f t="shared" si="89"/>
        <v>0</v>
      </c>
    </row>
    <row r="155" spans="1:91" x14ac:dyDescent="0.15">
      <c r="A155" s="41">
        <v>153</v>
      </c>
      <c r="B155" s="43">
        <f t="shared" si="113"/>
        <v>1</v>
      </c>
      <c r="C155" s="43">
        <f t="shared" si="112"/>
        <v>1</v>
      </c>
      <c r="D155" s="43">
        <f t="shared" si="112"/>
        <v>1</v>
      </c>
      <c r="E155" s="43">
        <f t="shared" si="112"/>
        <v>1</v>
      </c>
      <c r="F155" s="43">
        <f t="shared" si="112"/>
        <v>1</v>
      </c>
      <c r="G155" s="43">
        <f t="shared" si="112"/>
        <v>1</v>
      </c>
      <c r="H155" s="43">
        <f t="shared" si="112"/>
        <v>1</v>
      </c>
      <c r="I155" s="43">
        <f t="shared" si="112"/>
        <v>1</v>
      </c>
      <c r="J155" s="43">
        <f t="shared" si="112"/>
        <v>1</v>
      </c>
      <c r="K155" s="43" t="e">
        <f>K154+ATM_Conf!$C$5*(T154-AC154)</f>
        <v>#DIV/0!</v>
      </c>
      <c r="L155" s="43" t="e">
        <f>L154+ATM_Conf!$C$5*(U154-AD154)</f>
        <v>#DIV/0!</v>
      </c>
      <c r="M155" s="43" t="e">
        <f>M154+ATM_Conf!$C$5*(V154-AE154)</f>
        <v>#DIV/0!</v>
      </c>
      <c r="N155" s="43" t="e">
        <f>N154+ATM_Conf!$C$5*(W154-AF154)</f>
        <v>#DIV/0!</v>
      </c>
      <c r="O155" s="43" t="e">
        <f>O154+ATM_Conf!$C$5*(X154-AG154)</f>
        <v>#DIV/0!</v>
      </c>
      <c r="P155" s="43" t="e">
        <f>P154+ATM_Conf!$C$5*(Y154-AH154)</f>
        <v>#DIV/0!</v>
      </c>
      <c r="Q155" s="43" t="e">
        <f>Q154+ATM_Conf!$C$5*(Z154-AI154)</f>
        <v>#DIV/0!</v>
      </c>
      <c r="R155" s="43" t="e">
        <f>R154+ATM_Conf!$C$5*(AA154-AJ154)</f>
        <v>#DIV/0!</v>
      </c>
      <c r="S155" s="43" t="e">
        <f>S154+ATM_Conf!$C$5*(AB154-AK154)</f>
        <v>#DIV/0!</v>
      </c>
      <c r="T155" s="43">
        <f t="shared" si="87"/>
        <v>0</v>
      </c>
      <c r="U155" s="43">
        <f t="shared" si="87"/>
        <v>0</v>
      </c>
      <c r="V155" s="43">
        <f t="shared" si="87"/>
        <v>0</v>
      </c>
      <c r="W155" s="43">
        <f t="shared" si="87"/>
        <v>0</v>
      </c>
      <c r="X155" s="43">
        <f t="shared" si="87"/>
        <v>0</v>
      </c>
      <c r="Y155" s="43">
        <f t="shared" si="87"/>
        <v>0</v>
      </c>
      <c r="Z155" s="43">
        <f t="shared" si="87"/>
        <v>0</v>
      </c>
      <c r="AA155" s="43">
        <f t="shared" si="87"/>
        <v>0</v>
      </c>
      <c r="AB155" s="43">
        <f t="shared" si="87"/>
        <v>0</v>
      </c>
      <c r="AC155" s="43" t="e">
        <f t="shared" si="90"/>
        <v>#DIV/0!</v>
      </c>
      <c r="AD155" s="43" t="e">
        <f t="shared" si="91"/>
        <v>#DIV/0!</v>
      </c>
      <c r="AE155" s="43" t="e">
        <f t="shared" si="92"/>
        <v>#DIV/0!</v>
      </c>
      <c r="AF155" s="43" t="e">
        <f t="shared" si="93"/>
        <v>#DIV/0!</v>
      </c>
      <c r="AG155" s="43" t="e">
        <f t="shared" si="94"/>
        <v>#DIV/0!</v>
      </c>
      <c r="AH155" s="43" t="e">
        <f t="shared" si="95"/>
        <v>#DIV/0!</v>
      </c>
      <c r="AI155" s="43" t="e">
        <f t="shared" si="96"/>
        <v>#DIV/0!</v>
      </c>
      <c r="AJ155" s="43" t="e">
        <f t="shared" si="97"/>
        <v>#DIV/0!</v>
      </c>
      <c r="AK155" s="43" t="e">
        <f t="shared" si="98"/>
        <v>#DIV/0!</v>
      </c>
      <c r="AL155" s="43" t="e">
        <f>T$3+K155/ATM_Conf!$C$5</f>
        <v>#DIV/0!</v>
      </c>
      <c r="AM155" s="43" t="e">
        <f>U$3+L155/ATM_Conf!$C$5</f>
        <v>#DIV/0!</v>
      </c>
      <c r="AN155" s="43" t="e">
        <f>V$3+M155/ATM_Conf!$C$5</f>
        <v>#DIV/0!</v>
      </c>
      <c r="AO155" s="43" t="e">
        <f>W$3+N155/ATM_Conf!$C$5</f>
        <v>#DIV/0!</v>
      </c>
      <c r="AP155" s="43" t="e">
        <f>X$3+O155/ATM_Conf!$C$5</f>
        <v>#DIV/0!</v>
      </c>
      <c r="AQ155" s="43" t="e">
        <f>Y$3+P155/ATM_Conf!$C$5</f>
        <v>#DIV/0!</v>
      </c>
      <c r="AR155" s="43" t="e">
        <f>Z$3+Q155/ATM_Conf!$C$5</f>
        <v>#DIV/0!</v>
      </c>
      <c r="AS155" s="43" t="e">
        <f>AA$3+R155/ATM_Conf!$C$5</f>
        <v>#DIV/0!</v>
      </c>
      <c r="AT155" s="43" t="e">
        <f>AB$3+S155/ATM_Conf!$C$5</f>
        <v>#DIV/0!</v>
      </c>
      <c r="AU155" s="43" t="e">
        <f>BD$3*MIN(1,(ATM_Conf!$C$6-Links!X155)/(ATM_Conf!$C$6-ATM_Conf!$C$7))</f>
        <v>#DIV/0!</v>
      </c>
      <c r="AV155" s="43" t="e">
        <f>BE$3*MIN(1,(ATM_Conf!$C$6-Links!Z155)/(ATM_Conf!$C$6-ATM_Conf!$C$7))</f>
        <v>#DIV/0!</v>
      </c>
      <c r="AW155" s="43" t="e">
        <f>BF$3*MIN(1,(ATM_Conf!$C$6-Links!AA155)/(ATM_Conf!$C$6-ATM_Conf!$C$7))</f>
        <v>#DIV/0!</v>
      </c>
      <c r="AX155" s="43" t="e">
        <f>BG$3*MIN(1,(ATM_Conf!$C$6-Links!AD155)/(ATM_Conf!$C$6-ATM_Conf!$C$7))</f>
        <v>#DIV/0!</v>
      </c>
      <c r="AY155" s="43" t="e">
        <f>BH$3*MIN(1,(ATM_Conf!$C$6-Links!AE155)/(ATM_Conf!$C$6-ATM_Conf!$C$7))</f>
        <v>#DIV/0!</v>
      </c>
      <c r="AZ155" s="43" t="e">
        <f>BI$3*MIN(1,(ATM_Conf!$C$6-Links!AG155)/(ATM_Conf!$C$6-ATM_Conf!$C$7))</f>
        <v>#DIV/0!</v>
      </c>
      <c r="BA155" s="43" t="e">
        <f>BJ$3*MIN(1,(ATM_Conf!$C$6-Links!AH155)/(ATM_Conf!$C$6-ATM_Conf!$C$7))</f>
        <v>#DIV/0!</v>
      </c>
      <c r="BB155" s="43" t="e">
        <f>BK$3*MIN(1,(ATM_Conf!$C$6-Links!AK155)/(ATM_Conf!$C$6-ATM_Conf!$C$7))</f>
        <v>#DIV/0!</v>
      </c>
      <c r="BC155" s="43" t="e">
        <f>BL$3*MIN(1,(ATM_Conf!$C$6-Links!AM155)/(ATM_Conf!$C$6-ATM_Conf!$C$7))</f>
        <v>#DIV/0!</v>
      </c>
      <c r="BD155" s="43">
        <f t="shared" si="88"/>
        <v>0</v>
      </c>
      <c r="BE155" s="43">
        <f t="shared" si="88"/>
        <v>0</v>
      </c>
      <c r="BF155" s="43">
        <f t="shared" si="88"/>
        <v>0</v>
      </c>
      <c r="BG155" s="43">
        <f t="shared" si="88"/>
        <v>0</v>
      </c>
      <c r="BH155" s="43">
        <f t="shared" si="88"/>
        <v>0</v>
      </c>
      <c r="BI155" s="43">
        <f t="shared" si="88"/>
        <v>0</v>
      </c>
      <c r="BJ155" s="43">
        <f t="shared" si="88"/>
        <v>0</v>
      </c>
      <c r="BK155" s="43">
        <f t="shared" si="88"/>
        <v>0</v>
      </c>
      <c r="BL155" s="43">
        <f t="shared" si="88"/>
        <v>0</v>
      </c>
      <c r="BM155" s="51"/>
      <c r="BN155" s="51"/>
      <c r="BO155" s="51"/>
      <c r="BP155" s="51"/>
      <c r="BQ155" s="51"/>
      <c r="BR155" s="51"/>
      <c r="BS155" s="51"/>
      <c r="BT155" s="51"/>
      <c r="BU155" s="51"/>
      <c r="BV155" s="51" t="e">
        <f t="shared" si="99"/>
        <v>#DIV/0!</v>
      </c>
      <c r="BW155" s="51" t="e">
        <f t="shared" si="100"/>
        <v>#DIV/0!</v>
      </c>
      <c r="BX155" s="51" t="e">
        <f t="shared" si="101"/>
        <v>#DIV/0!</v>
      </c>
      <c r="BY155" s="51" t="e">
        <f t="shared" si="102"/>
        <v>#DIV/0!</v>
      </c>
      <c r="BZ155" s="51" t="e">
        <f t="shared" si="103"/>
        <v>#DIV/0!</v>
      </c>
      <c r="CA155" s="51" t="e">
        <f t="shared" si="104"/>
        <v>#DIV/0!</v>
      </c>
      <c r="CB155" s="51" t="e">
        <f t="shared" si="105"/>
        <v>#DIV/0!</v>
      </c>
      <c r="CC155" s="51" t="e">
        <f t="shared" si="106"/>
        <v>#DIV/0!</v>
      </c>
      <c r="CD155" s="51" t="e">
        <f t="shared" si="107"/>
        <v>#DIV/0!</v>
      </c>
      <c r="CE155" s="53">
        <f t="shared" si="89"/>
        <v>0</v>
      </c>
      <c r="CF155" s="53">
        <f t="shared" si="89"/>
        <v>0</v>
      </c>
      <c r="CG155" s="53">
        <f t="shared" si="89"/>
        <v>0</v>
      </c>
      <c r="CH155" s="53">
        <f t="shared" si="89"/>
        <v>0</v>
      </c>
      <c r="CI155" s="53">
        <f t="shared" si="89"/>
        <v>0</v>
      </c>
      <c r="CJ155" s="53">
        <f t="shared" si="89"/>
        <v>0</v>
      </c>
      <c r="CK155" s="53">
        <f t="shared" si="89"/>
        <v>0</v>
      </c>
      <c r="CL155" s="53">
        <f t="shared" si="89"/>
        <v>0</v>
      </c>
      <c r="CM155" s="53">
        <f t="shared" si="89"/>
        <v>0</v>
      </c>
    </row>
    <row r="156" spans="1:91" x14ac:dyDescent="0.15">
      <c r="A156" s="41">
        <v>154</v>
      </c>
      <c r="B156" s="43">
        <f t="shared" si="113"/>
        <v>1</v>
      </c>
      <c r="C156" s="43">
        <f t="shared" si="112"/>
        <v>1</v>
      </c>
      <c r="D156" s="43">
        <f t="shared" si="112"/>
        <v>1</v>
      </c>
      <c r="E156" s="43">
        <f t="shared" si="112"/>
        <v>1</v>
      </c>
      <c r="F156" s="43">
        <f t="shared" si="112"/>
        <v>1</v>
      </c>
      <c r="G156" s="43">
        <f t="shared" si="112"/>
        <v>1</v>
      </c>
      <c r="H156" s="43">
        <f t="shared" si="112"/>
        <v>1</v>
      </c>
      <c r="I156" s="43">
        <f t="shared" si="112"/>
        <v>1</v>
      </c>
      <c r="J156" s="43">
        <f t="shared" si="112"/>
        <v>1</v>
      </c>
      <c r="K156" s="43" t="e">
        <f>K155+ATM_Conf!$C$5*(T155-AC155)</f>
        <v>#DIV/0!</v>
      </c>
      <c r="L156" s="43" t="e">
        <f>L155+ATM_Conf!$C$5*(U155-AD155)</f>
        <v>#DIV/0!</v>
      </c>
      <c r="M156" s="43" t="e">
        <f>M155+ATM_Conf!$C$5*(V155-AE155)</f>
        <v>#DIV/0!</v>
      </c>
      <c r="N156" s="43" t="e">
        <f>N155+ATM_Conf!$C$5*(W155-AF155)</f>
        <v>#DIV/0!</v>
      </c>
      <c r="O156" s="43" t="e">
        <f>O155+ATM_Conf!$C$5*(X155-AG155)</f>
        <v>#DIV/0!</v>
      </c>
      <c r="P156" s="43" t="e">
        <f>P155+ATM_Conf!$C$5*(Y155-AH155)</f>
        <v>#DIV/0!</v>
      </c>
      <c r="Q156" s="43" t="e">
        <f>Q155+ATM_Conf!$C$5*(Z155-AI155)</f>
        <v>#DIV/0!</v>
      </c>
      <c r="R156" s="43" t="e">
        <f>R155+ATM_Conf!$C$5*(AA155-AJ155)</f>
        <v>#DIV/0!</v>
      </c>
      <c r="S156" s="43" t="e">
        <f>S155+ATM_Conf!$C$5*(AB155-AK155)</f>
        <v>#DIV/0!</v>
      </c>
      <c r="T156" s="43">
        <f t="shared" si="87"/>
        <v>0</v>
      </c>
      <c r="U156" s="43">
        <f t="shared" si="87"/>
        <v>0</v>
      </c>
      <c r="V156" s="43">
        <f t="shared" si="87"/>
        <v>0</v>
      </c>
      <c r="W156" s="43">
        <f t="shared" si="87"/>
        <v>0</v>
      </c>
      <c r="X156" s="43">
        <f t="shared" si="87"/>
        <v>0</v>
      </c>
      <c r="Y156" s="43">
        <f t="shared" si="87"/>
        <v>0</v>
      </c>
      <c r="Z156" s="43">
        <f t="shared" si="87"/>
        <v>0</v>
      </c>
      <c r="AA156" s="43">
        <f t="shared" si="87"/>
        <v>0</v>
      </c>
      <c r="AB156" s="43">
        <f t="shared" si="87"/>
        <v>0</v>
      </c>
      <c r="AC156" s="43" t="e">
        <f t="shared" si="90"/>
        <v>#DIV/0!</v>
      </c>
      <c r="AD156" s="43" t="e">
        <f t="shared" si="91"/>
        <v>#DIV/0!</v>
      </c>
      <c r="AE156" s="43" t="e">
        <f t="shared" si="92"/>
        <v>#DIV/0!</v>
      </c>
      <c r="AF156" s="43" t="e">
        <f t="shared" si="93"/>
        <v>#DIV/0!</v>
      </c>
      <c r="AG156" s="43" t="e">
        <f t="shared" si="94"/>
        <v>#DIV/0!</v>
      </c>
      <c r="AH156" s="43" t="e">
        <f t="shared" si="95"/>
        <v>#DIV/0!</v>
      </c>
      <c r="AI156" s="43" t="e">
        <f t="shared" si="96"/>
        <v>#DIV/0!</v>
      </c>
      <c r="AJ156" s="43" t="e">
        <f t="shared" si="97"/>
        <v>#DIV/0!</v>
      </c>
      <c r="AK156" s="43" t="e">
        <f t="shared" si="98"/>
        <v>#DIV/0!</v>
      </c>
      <c r="AL156" s="43" t="e">
        <f>T$3+K156/ATM_Conf!$C$5</f>
        <v>#DIV/0!</v>
      </c>
      <c r="AM156" s="43" t="e">
        <f>U$3+L156/ATM_Conf!$C$5</f>
        <v>#DIV/0!</v>
      </c>
      <c r="AN156" s="43" t="e">
        <f>V$3+M156/ATM_Conf!$C$5</f>
        <v>#DIV/0!</v>
      </c>
      <c r="AO156" s="43" t="e">
        <f>W$3+N156/ATM_Conf!$C$5</f>
        <v>#DIV/0!</v>
      </c>
      <c r="AP156" s="43" t="e">
        <f>X$3+O156/ATM_Conf!$C$5</f>
        <v>#DIV/0!</v>
      </c>
      <c r="AQ156" s="43" t="e">
        <f>Y$3+P156/ATM_Conf!$C$5</f>
        <v>#DIV/0!</v>
      </c>
      <c r="AR156" s="43" t="e">
        <f>Z$3+Q156/ATM_Conf!$C$5</f>
        <v>#DIV/0!</v>
      </c>
      <c r="AS156" s="43" t="e">
        <f>AA$3+R156/ATM_Conf!$C$5</f>
        <v>#DIV/0!</v>
      </c>
      <c r="AT156" s="43" t="e">
        <f>AB$3+S156/ATM_Conf!$C$5</f>
        <v>#DIV/0!</v>
      </c>
      <c r="AU156" s="43" t="e">
        <f>BD$3*MIN(1,(ATM_Conf!$C$6-Links!X156)/(ATM_Conf!$C$6-ATM_Conf!$C$7))</f>
        <v>#DIV/0!</v>
      </c>
      <c r="AV156" s="43" t="e">
        <f>BE$3*MIN(1,(ATM_Conf!$C$6-Links!Z156)/(ATM_Conf!$C$6-ATM_Conf!$C$7))</f>
        <v>#DIV/0!</v>
      </c>
      <c r="AW156" s="43" t="e">
        <f>BF$3*MIN(1,(ATM_Conf!$C$6-Links!AA156)/(ATM_Conf!$C$6-ATM_Conf!$C$7))</f>
        <v>#DIV/0!</v>
      </c>
      <c r="AX156" s="43" t="e">
        <f>BG$3*MIN(1,(ATM_Conf!$C$6-Links!AD156)/(ATM_Conf!$C$6-ATM_Conf!$C$7))</f>
        <v>#DIV/0!</v>
      </c>
      <c r="AY156" s="43" t="e">
        <f>BH$3*MIN(1,(ATM_Conf!$C$6-Links!AE156)/(ATM_Conf!$C$6-ATM_Conf!$C$7))</f>
        <v>#DIV/0!</v>
      </c>
      <c r="AZ156" s="43" t="e">
        <f>BI$3*MIN(1,(ATM_Conf!$C$6-Links!AG156)/(ATM_Conf!$C$6-ATM_Conf!$C$7))</f>
        <v>#DIV/0!</v>
      </c>
      <c r="BA156" s="43" t="e">
        <f>BJ$3*MIN(1,(ATM_Conf!$C$6-Links!AH156)/(ATM_Conf!$C$6-ATM_Conf!$C$7))</f>
        <v>#DIV/0!</v>
      </c>
      <c r="BB156" s="43" t="e">
        <f>BK$3*MIN(1,(ATM_Conf!$C$6-Links!AK156)/(ATM_Conf!$C$6-ATM_Conf!$C$7))</f>
        <v>#DIV/0!</v>
      </c>
      <c r="BC156" s="43" t="e">
        <f>BL$3*MIN(1,(ATM_Conf!$C$6-Links!AM156)/(ATM_Conf!$C$6-ATM_Conf!$C$7))</f>
        <v>#DIV/0!</v>
      </c>
      <c r="BD156" s="43">
        <f t="shared" si="88"/>
        <v>0</v>
      </c>
      <c r="BE156" s="43">
        <f t="shared" si="88"/>
        <v>0</v>
      </c>
      <c r="BF156" s="43">
        <f t="shared" si="88"/>
        <v>0</v>
      </c>
      <c r="BG156" s="43">
        <f t="shared" si="88"/>
        <v>0</v>
      </c>
      <c r="BH156" s="43">
        <f t="shared" si="88"/>
        <v>0</v>
      </c>
      <c r="BI156" s="43">
        <f t="shared" si="88"/>
        <v>0</v>
      </c>
      <c r="BJ156" s="43">
        <f t="shared" si="88"/>
        <v>0</v>
      </c>
      <c r="BK156" s="43">
        <f t="shared" si="88"/>
        <v>0</v>
      </c>
      <c r="BL156" s="43">
        <f t="shared" si="88"/>
        <v>0</v>
      </c>
      <c r="BM156" s="51"/>
      <c r="BN156" s="51"/>
      <c r="BO156" s="51"/>
      <c r="BP156" s="51"/>
      <c r="BQ156" s="51"/>
      <c r="BR156" s="51"/>
      <c r="BS156" s="51"/>
      <c r="BT156" s="51"/>
      <c r="BU156" s="51"/>
      <c r="BV156" s="51" t="e">
        <f t="shared" si="99"/>
        <v>#DIV/0!</v>
      </c>
      <c r="BW156" s="51" t="e">
        <f t="shared" si="100"/>
        <v>#DIV/0!</v>
      </c>
      <c r="BX156" s="51" t="e">
        <f t="shared" si="101"/>
        <v>#DIV/0!</v>
      </c>
      <c r="BY156" s="51" t="e">
        <f t="shared" si="102"/>
        <v>#DIV/0!</v>
      </c>
      <c r="BZ156" s="51" t="e">
        <f t="shared" si="103"/>
        <v>#DIV/0!</v>
      </c>
      <c r="CA156" s="51" t="e">
        <f t="shared" si="104"/>
        <v>#DIV/0!</v>
      </c>
      <c r="CB156" s="51" t="e">
        <f t="shared" si="105"/>
        <v>#DIV/0!</v>
      </c>
      <c r="CC156" s="51" t="e">
        <f t="shared" si="106"/>
        <v>#DIV/0!</v>
      </c>
      <c r="CD156" s="51" t="e">
        <f t="shared" si="107"/>
        <v>#DIV/0!</v>
      </c>
      <c r="CE156" s="53">
        <f t="shared" si="89"/>
        <v>0</v>
      </c>
      <c r="CF156" s="53">
        <f t="shared" si="89"/>
        <v>0</v>
      </c>
      <c r="CG156" s="53">
        <f t="shared" si="89"/>
        <v>0</v>
      </c>
      <c r="CH156" s="53">
        <f t="shared" si="89"/>
        <v>0</v>
      </c>
      <c r="CI156" s="53">
        <f t="shared" si="89"/>
        <v>0</v>
      </c>
      <c r="CJ156" s="53">
        <f t="shared" si="89"/>
        <v>0</v>
      </c>
      <c r="CK156" s="53">
        <f t="shared" si="89"/>
        <v>0</v>
      </c>
      <c r="CL156" s="53">
        <f t="shared" si="89"/>
        <v>0</v>
      </c>
      <c r="CM156" s="53">
        <f t="shared" si="89"/>
        <v>0</v>
      </c>
    </row>
    <row r="157" spans="1:91" x14ac:dyDescent="0.15">
      <c r="A157" s="41">
        <v>155</v>
      </c>
      <c r="B157" s="43">
        <f t="shared" si="113"/>
        <v>1</v>
      </c>
      <c r="C157" s="43">
        <f t="shared" si="112"/>
        <v>1</v>
      </c>
      <c r="D157" s="43">
        <f t="shared" si="112"/>
        <v>1</v>
      </c>
      <c r="E157" s="43">
        <f t="shared" si="112"/>
        <v>1</v>
      </c>
      <c r="F157" s="43">
        <f t="shared" si="112"/>
        <v>1</v>
      </c>
      <c r="G157" s="43">
        <f t="shared" si="112"/>
        <v>1</v>
      </c>
      <c r="H157" s="43">
        <f t="shared" si="112"/>
        <v>1</v>
      </c>
      <c r="I157" s="43">
        <f t="shared" si="112"/>
        <v>1</v>
      </c>
      <c r="J157" s="43">
        <f t="shared" si="112"/>
        <v>1</v>
      </c>
      <c r="K157" s="43" t="e">
        <f>K156+ATM_Conf!$C$5*(T156-AC156)</f>
        <v>#DIV/0!</v>
      </c>
      <c r="L157" s="43" t="e">
        <f>L156+ATM_Conf!$C$5*(U156-AD156)</f>
        <v>#DIV/0!</v>
      </c>
      <c r="M157" s="43" t="e">
        <f>M156+ATM_Conf!$C$5*(V156-AE156)</f>
        <v>#DIV/0!</v>
      </c>
      <c r="N157" s="43" t="e">
        <f>N156+ATM_Conf!$C$5*(W156-AF156)</f>
        <v>#DIV/0!</v>
      </c>
      <c r="O157" s="43" t="e">
        <f>O156+ATM_Conf!$C$5*(X156-AG156)</f>
        <v>#DIV/0!</v>
      </c>
      <c r="P157" s="43" t="e">
        <f>P156+ATM_Conf!$C$5*(Y156-AH156)</f>
        <v>#DIV/0!</v>
      </c>
      <c r="Q157" s="43" t="e">
        <f>Q156+ATM_Conf!$C$5*(Z156-AI156)</f>
        <v>#DIV/0!</v>
      </c>
      <c r="R157" s="43" t="e">
        <f>R156+ATM_Conf!$C$5*(AA156-AJ156)</f>
        <v>#DIV/0!</v>
      </c>
      <c r="S157" s="43" t="e">
        <f>S156+ATM_Conf!$C$5*(AB156-AK156)</f>
        <v>#DIV/0!</v>
      </c>
      <c r="T157" s="43">
        <f t="shared" si="87"/>
        <v>0</v>
      </c>
      <c r="U157" s="43">
        <f t="shared" si="87"/>
        <v>0</v>
      </c>
      <c r="V157" s="43">
        <f t="shared" si="87"/>
        <v>0</v>
      </c>
      <c r="W157" s="43">
        <f t="shared" si="87"/>
        <v>0</v>
      </c>
      <c r="X157" s="43">
        <f t="shared" si="87"/>
        <v>0</v>
      </c>
      <c r="Y157" s="43">
        <f t="shared" si="87"/>
        <v>0</v>
      </c>
      <c r="Z157" s="43">
        <f t="shared" si="87"/>
        <v>0</v>
      </c>
      <c r="AA157" s="43">
        <f t="shared" si="87"/>
        <v>0</v>
      </c>
      <c r="AB157" s="43">
        <f t="shared" si="87"/>
        <v>0</v>
      </c>
      <c r="AC157" s="43" t="e">
        <f t="shared" si="90"/>
        <v>#DIV/0!</v>
      </c>
      <c r="AD157" s="43" t="e">
        <f t="shared" si="91"/>
        <v>#DIV/0!</v>
      </c>
      <c r="AE157" s="43" t="e">
        <f t="shared" si="92"/>
        <v>#DIV/0!</v>
      </c>
      <c r="AF157" s="43" t="e">
        <f t="shared" si="93"/>
        <v>#DIV/0!</v>
      </c>
      <c r="AG157" s="43" t="e">
        <f t="shared" si="94"/>
        <v>#DIV/0!</v>
      </c>
      <c r="AH157" s="43" t="e">
        <f t="shared" si="95"/>
        <v>#DIV/0!</v>
      </c>
      <c r="AI157" s="43" t="e">
        <f t="shared" si="96"/>
        <v>#DIV/0!</v>
      </c>
      <c r="AJ157" s="43" t="e">
        <f t="shared" si="97"/>
        <v>#DIV/0!</v>
      </c>
      <c r="AK157" s="43" t="e">
        <f t="shared" si="98"/>
        <v>#DIV/0!</v>
      </c>
      <c r="AL157" s="43" t="e">
        <f>T$3+K157/ATM_Conf!$C$5</f>
        <v>#DIV/0!</v>
      </c>
      <c r="AM157" s="43" t="e">
        <f>U$3+L157/ATM_Conf!$C$5</f>
        <v>#DIV/0!</v>
      </c>
      <c r="AN157" s="43" t="e">
        <f>V$3+M157/ATM_Conf!$C$5</f>
        <v>#DIV/0!</v>
      </c>
      <c r="AO157" s="43" t="e">
        <f>W$3+N157/ATM_Conf!$C$5</f>
        <v>#DIV/0!</v>
      </c>
      <c r="AP157" s="43" t="e">
        <f>X$3+O157/ATM_Conf!$C$5</f>
        <v>#DIV/0!</v>
      </c>
      <c r="AQ157" s="43" t="e">
        <f>Y$3+P157/ATM_Conf!$C$5</f>
        <v>#DIV/0!</v>
      </c>
      <c r="AR157" s="43" t="e">
        <f>Z$3+Q157/ATM_Conf!$C$5</f>
        <v>#DIV/0!</v>
      </c>
      <c r="AS157" s="43" t="e">
        <f>AA$3+R157/ATM_Conf!$C$5</f>
        <v>#DIV/0!</v>
      </c>
      <c r="AT157" s="43" t="e">
        <f>AB$3+S157/ATM_Conf!$C$5</f>
        <v>#DIV/0!</v>
      </c>
      <c r="AU157" s="43" t="e">
        <f>BD$3*MIN(1,(ATM_Conf!$C$6-Links!X157)/(ATM_Conf!$C$6-ATM_Conf!$C$7))</f>
        <v>#DIV/0!</v>
      </c>
      <c r="AV157" s="43" t="e">
        <f>BE$3*MIN(1,(ATM_Conf!$C$6-Links!Z157)/(ATM_Conf!$C$6-ATM_Conf!$C$7))</f>
        <v>#DIV/0!</v>
      </c>
      <c r="AW157" s="43" t="e">
        <f>BF$3*MIN(1,(ATM_Conf!$C$6-Links!AA157)/(ATM_Conf!$C$6-ATM_Conf!$C$7))</f>
        <v>#DIV/0!</v>
      </c>
      <c r="AX157" s="43" t="e">
        <f>BG$3*MIN(1,(ATM_Conf!$C$6-Links!AD157)/(ATM_Conf!$C$6-ATM_Conf!$C$7))</f>
        <v>#DIV/0!</v>
      </c>
      <c r="AY157" s="43" t="e">
        <f>BH$3*MIN(1,(ATM_Conf!$C$6-Links!AE157)/(ATM_Conf!$C$6-ATM_Conf!$C$7))</f>
        <v>#DIV/0!</v>
      </c>
      <c r="AZ157" s="43" t="e">
        <f>BI$3*MIN(1,(ATM_Conf!$C$6-Links!AG157)/(ATM_Conf!$C$6-ATM_Conf!$C$7))</f>
        <v>#DIV/0!</v>
      </c>
      <c r="BA157" s="43" t="e">
        <f>BJ$3*MIN(1,(ATM_Conf!$C$6-Links!AH157)/(ATM_Conf!$C$6-ATM_Conf!$C$7))</f>
        <v>#DIV/0!</v>
      </c>
      <c r="BB157" s="43" t="e">
        <f>BK$3*MIN(1,(ATM_Conf!$C$6-Links!AK157)/(ATM_Conf!$C$6-ATM_Conf!$C$7))</f>
        <v>#DIV/0!</v>
      </c>
      <c r="BC157" s="43" t="e">
        <f>BL$3*MIN(1,(ATM_Conf!$C$6-Links!AM157)/(ATM_Conf!$C$6-ATM_Conf!$C$7))</f>
        <v>#DIV/0!</v>
      </c>
      <c r="BD157" s="43">
        <f t="shared" si="88"/>
        <v>0</v>
      </c>
      <c r="BE157" s="43">
        <f t="shared" si="88"/>
        <v>0</v>
      </c>
      <c r="BF157" s="43">
        <f t="shared" si="88"/>
        <v>0</v>
      </c>
      <c r="BG157" s="43">
        <f t="shared" si="88"/>
        <v>0</v>
      </c>
      <c r="BH157" s="43">
        <f t="shared" si="88"/>
        <v>0</v>
      </c>
      <c r="BI157" s="43">
        <f t="shared" si="88"/>
        <v>0</v>
      </c>
      <c r="BJ157" s="43">
        <f t="shared" si="88"/>
        <v>0</v>
      </c>
      <c r="BK157" s="43">
        <f t="shared" si="88"/>
        <v>0</v>
      </c>
      <c r="BL157" s="43">
        <f t="shared" si="88"/>
        <v>0</v>
      </c>
      <c r="BM157" s="51"/>
      <c r="BN157" s="51"/>
      <c r="BO157" s="51"/>
      <c r="BP157" s="51"/>
      <c r="BQ157" s="51"/>
      <c r="BR157" s="51"/>
      <c r="BS157" s="51"/>
      <c r="BT157" s="51"/>
      <c r="BU157" s="51"/>
      <c r="BV157" s="51" t="e">
        <f t="shared" si="99"/>
        <v>#DIV/0!</v>
      </c>
      <c r="BW157" s="51" t="e">
        <f t="shared" si="100"/>
        <v>#DIV/0!</v>
      </c>
      <c r="BX157" s="51" t="e">
        <f t="shared" si="101"/>
        <v>#DIV/0!</v>
      </c>
      <c r="BY157" s="51" t="e">
        <f t="shared" si="102"/>
        <v>#DIV/0!</v>
      </c>
      <c r="BZ157" s="51" t="e">
        <f t="shared" si="103"/>
        <v>#DIV/0!</v>
      </c>
      <c r="CA157" s="51" t="e">
        <f t="shared" si="104"/>
        <v>#DIV/0!</v>
      </c>
      <c r="CB157" s="51" t="e">
        <f t="shared" si="105"/>
        <v>#DIV/0!</v>
      </c>
      <c r="CC157" s="51" t="e">
        <f t="shared" si="106"/>
        <v>#DIV/0!</v>
      </c>
      <c r="CD157" s="51" t="e">
        <f t="shared" si="107"/>
        <v>#DIV/0!</v>
      </c>
      <c r="CE157" s="53">
        <f t="shared" si="89"/>
        <v>0</v>
      </c>
      <c r="CF157" s="53">
        <f t="shared" si="89"/>
        <v>0</v>
      </c>
      <c r="CG157" s="53">
        <f t="shared" si="89"/>
        <v>0</v>
      </c>
      <c r="CH157" s="53">
        <f t="shared" si="89"/>
        <v>0</v>
      </c>
      <c r="CI157" s="53">
        <f t="shared" si="89"/>
        <v>0</v>
      </c>
      <c r="CJ157" s="53">
        <f t="shared" si="89"/>
        <v>0</v>
      </c>
      <c r="CK157" s="53">
        <f t="shared" si="89"/>
        <v>0</v>
      </c>
      <c r="CL157" s="53">
        <f t="shared" si="89"/>
        <v>0</v>
      </c>
      <c r="CM157" s="53">
        <f t="shared" si="89"/>
        <v>0</v>
      </c>
    </row>
    <row r="158" spans="1:91" x14ac:dyDescent="0.15">
      <c r="A158" s="41">
        <v>156</v>
      </c>
      <c r="B158" s="43">
        <f t="shared" si="113"/>
        <v>1</v>
      </c>
      <c r="C158" s="43">
        <f t="shared" si="112"/>
        <v>1</v>
      </c>
      <c r="D158" s="43">
        <f t="shared" si="112"/>
        <v>1</v>
      </c>
      <c r="E158" s="43">
        <f t="shared" si="112"/>
        <v>1</v>
      </c>
      <c r="F158" s="43">
        <f t="shared" si="112"/>
        <v>1</v>
      </c>
      <c r="G158" s="43">
        <f t="shared" si="112"/>
        <v>1</v>
      </c>
      <c r="H158" s="43">
        <f t="shared" si="112"/>
        <v>1</v>
      </c>
      <c r="I158" s="43">
        <f t="shared" si="112"/>
        <v>1</v>
      </c>
      <c r="J158" s="43">
        <f t="shared" si="112"/>
        <v>1</v>
      </c>
      <c r="K158" s="43" t="e">
        <f>K157+ATM_Conf!$C$5*(T157-AC157)</f>
        <v>#DIV/0!</v>
      </c>
      <c r="L158" s="43" t="e">
        <f>L157+ATM_Conf!$C$5*(U157-AD157)</f>
        <v>#DIV/0!</v>
      </c>
      <c r="M158" s="43" t="e">
        <f>M157+ATM_Conf!$C$5*(V157-AE157)</f>
        <v>#DIV/0!</v>
      </c>
      <c r="N158" s="43" t="e">
        <f>N157+ATM_Conf!$C$5*(W157-AF157)</f>
        <v>#DIV/0!</v>
      </c>
      <c r="O158" s="43" t="e">
        <f>O157+ATM_Conf!$C$5*(X157-AG157)</f>
        <v>#DIV/0!</v>
      </c>
      <c r="P158" s="43" t="e">
        <f>P157+ATM_Conf!$C$5*(Y157-AH157)</f>
        <v>#DIV/0!</v>
      </c>
      <c r="Q158" s="43" t="e">
        <f>Q157+ATM_Conf!$C$5*(Z157-AI157)</f>
        <v>#DIV/0!</v>
      </c>
      <c r="R158" s="43" t="e">
        <f>R157+ATM_Conf!$C$5*(AA157-AJ157)</f>
        <v>#DIV/0!</v>
      </c>
      <c r="S158" s="43" t="e">
        <f>S157+ATM_Conf!$C$5*(AB157-AK157)</f>
        <v>#DIV/0!</v>
      </c>
      <c r="T158" s="43">
        <f t="shared" si="87"/>
        <v>0</v>
      </c>
      <c r="U158" s="43">
        <f t="shared" si="87"/>
        <v>0</v>
      </c>
      <c r="V158" s="43">
        <f t="shared" si="87"/>
        <v>0</v>
      </c>
      <c r="W158" s="43">
        <f t="shared" ref="U158:AB182" si="114">W$3</f>
        <v>0</v>
      </c>
      <c r="X158" s="43">
        <f t="shared" si="114"/>
        <v>0</v>
      </c>
      <c r="Y158" s="43">
        <f t="shared" si="114"/>
        <v>0</v>
      </c>
      <c r="Z158" s="43">
        <f t="shared" si="114"/>
        <v>0</v>
      </c>
      <c r="AA158" s="43">
        <f t="shared" si="114"/>
        <v>0</v>
      </c>
      <c r="AB158" s="43">
        <f t="shared" si="114"/>
        <v>0</v>
      </c>
      <c r="AC158" s="43" t="e">
        <f t="shared" si="90"/>
        <v>#DIV/0!</v>
      </c>
      <c r="AD158" s="43" t="e">
        <f t="shared" si="91"/>
        <v>#DIV/0!</v>
      </c>
      <c r="AE158" s="43" t="e">
        <f t="shared" si="92"/>
        <v>#DIV/0!</v>
      </c>
      <c r="AF158" s="43" t="e">
        <f t="shared" si="93"/>
        <v>#DIV/0!</v>
      </c>
      <c r="AG158" s="43" t="e">
        <f t="shared" si="94"/>
        <v>#DIV/0!</v>
      </c>
      <c r="AH158" s="43" t="e">
        <f t="shared" si="95"/>
        <v>#DIV/0!</v>
      </c>
      <c r="AI158" s="43" t="e">
        <f t="shared" si="96"/>
        <v>#DIV/0!</v>
      </c>
      <c r="AJ158" s="43" t="e">
        <f t="shared" si="97"/>
        <v>#DIV/0!</v>
      </c>
      <c r="AK158" s="43" t="e">
        <f t="shared" si="98"/>
        <v>#DIV/0!</v>
      </c>
      <c r="AL158" s="43" t="e">
        <f>T$3+K158/ATM_Conf!$C$5</f>
        <v>#DIV/0!</v>
      </c>
      <c r="AM158" s="43" t="e">
        <f>U$3+L158/ATM_Conf!$C$5</f>
        <v>#DIV/0!</v>
      </c>
      <c r="AN158" s="43" t="e">
        <f>V$3+M158/ATM_Conf!$C$5</f>
        <v>#DIV/0!</v>
      </c>
      <c r="AO158" s="43" t="e">
        <f>W$3+N158/ATM_Conf!$C$5</f>
        <v>#DIV/0!</v>
      </c>
      <c r="AP158" s="43" t="e">
        <f>X$3+O158/ATM_Conf!$C$5</f>
        <v>#DIV/0!</v>
      </c>
      <c r="AQ158" s="43" t="e">
        <f>Y$3+P158/ATM_Conf!$C$5</f>
        <v>#DIV/0!</v>
      </c>
      <c r="AR158" s="43" t="e">
        <f>Z$3+Q158/ATM_Conf!$C$5</f>
        <v>#DIV/0!</v>
      </c>
      <c r="AS158" s="43" t="e">
        <f>AA$3+R158/ATM_Conf!$C$5</f>
        <v>#DIV/0!</v>
      </c>
      <c r="AT158" s="43" t="e">
        <f>AB$3+S158/ATM_Conf!$C$5</f>
        <v>#DIV/0!</v>
      </c>
      <c r="AU158" s="43" t="e">
        <f>BD$3*MIN(1,(ATM_Conf!$C$6-Links!X158)/(ATM_Conf!$C$6-ATM_Conf!$C$7))</f>
        <v>#DIV/0!</v>
      </c>
      <c r="AV158" s="43" t="e">
        <f>BE$3*MIN(1,(ATM_Conf!$C$6-Links!Z158)/(ATM_Conf!$C$6-ATM_Conf!$C$7))</f>
        <v>#DIV/0!</v>
      </c>
      <c r="AW158" s="43" t="e">
        <f>BF$3*MIN(1,(ATM_Conf!$C$6-Links!AA158)/(ATM_Conf!$C$6-ATM_Conf!$C$7))</f>
        <v>#DIV/0!</v>
      </c>
      <c r="AX158" s="43" t="e">
        <f>BG$3*MIN(1,(ATM_Conf!$C$6-Links!AD158)/(ATM_Conf!$C$6-ATM_Conf!$C$7))</f>
        <v>#DIV/0!</v>
      </c>
      <c r="AY158" s="43" t="e">
        <f>BH$3*MIN(1,(ATM_Conf!$C$6-Links!AE158)/(ATM_Conf!$C$6-ATM_Conf!$C$7))</f>
        <v>#DIV/0!</v>
      </c>
      <c r="AZ158" s="43" t="e">
        <f>BI$3*MIN(1,(ATM_Conf!$C$6-Links!AG158)/(ATM_Conf!$C$6-ATM_Conf!$C$7))</f>
        <v>#DIV/0!</v>
      </c>
      <c r="BA158" s="43" t="e">
        <f>BJ$3*MIN(1,(ATM_Conf!$C$6-Links!AH158)/(ATM_Conf!$C$6-ATM_Conf!$C$7))</f>
        <v>#DIV/0!</v>
      </c>
      <c r="BB158" s="43" t="e">
        <f>BK$3*MIN(1,(ATM_Conf!$C$6-Links!AK158)/(ATM_Conf!$C$6-ATM_Conf!$C$7))</f>
        <v>#DIV/0!</v>
      </c>
      <c r="BC158" s="43" t="e">
        <f>BL$3*MIN(1,(ATM_Conf!$C$6-Links!AM158)/(ATM_Conf!$C$6-ATM_Conf!$C$7))</f>
        <v>#DIV/0!</v>
      </c>
      <c r="BD158" s="43">
        <f t="shared" si="88"/>
        <v>0</v>
      </c>
      <c r="BE158" s="43">
        <f t="shared" si="88"/>
        <v>0</v>
      </c>
      <c r="BF158" s="43">
        <f t="shared" si="88"/>
        <v>0</v>
      </c>
      <c r="BG158" s="43">
        <f t="shared" ref="BE158:BL182" si="115">BG$3</f>
        <v>0</v>
      </c>
      <c r="BH158" s="43">
        <f t="shared" si="115"/>
        <v>0</v>
      </c>
      <c r="BI158" s="43">
        <f t="shared" si="115"/>
        <v>0</v>
      </c>
      <c r="BJ158" s="43">
        <f t="shared" si="115"/>
        <v>0</v>
      </c>
      <c r="BK158" s="43">
        <f t="shared" si="115"/>
        <v>0</v>
      </c>
      <c r="BL158" s="43">
        <f t="shared" si="115"/>
        <v>0</v>
      </c>
      <c r="BM158" s="51"/>
      <c r="BN158" s="51"/>
      <c r="BO158" s="51"/>
      <c r="BP158" s="51"/>
      <c r="BQ158" s="51"/>
      <c r="BR158" s="51"/>
      <c r="BS158" s="51"/>
      <c r="BT158" s="51"/>
      <c r="BU158" s="51"/>
      <c r="BV158" s="51" t="e">
        <f t="shared" si="99"/>
        <v>#DIV/0!</v>
      </c>
      <c r="BW158" s="51" t="e">
        <f t="shared" si="100"/>
        <v>#DIV/0!</v>
      </c>
      <c r="BX158" s="51" t="e">
        <f t="shared" si="101"/>
        <v>#DIV/0!</v>
      </c>
      <c r="BY158" s="51" t="e">
        <f t="shared" si="102"/>
        <v>#DIV/0!</v>
      </c>
      <c r="BZ158" s="51" t="e">
        <f t="shared" si="103"/>
        <v>#DIV/0!</v>
      </c>
      <c r="CA158" s="51" t="e">
        <f t="shared" si="104"/>
        <v>#DIV/0!</v>
      </c>
      <c r="CB158" s="51" t="e">
        <f t="shared" si="105"/>
        <v>#DIV/0!</v>
      </c>
      <c r="CC158" s="51" t="e">
        <f t="shared" si="106"/>
        <v>#DIV/0!</v>
      </c>
      <c r="CD158" s="51" t="e">
        <f t="shared" si="107"/>
        <v>#DIV/0!</v>
      </c>
      <c r="CE158" s="53">
        <f t="shared" si="89"/>
        <v>0</v>
      </c>
      <c r="CF158" s="53">
        <f t="shared" si="89"/>
        <v>0</v>
      </c>
      <c r="CG158" s="53">
        <f t="shared" si="89"/>
        <v>0</v>
      </c>
      <c r="CH158" s="53">
        <f t="shared" ref="CF158:CM181" si="116">CH$3</f>
        <v>0</v>
      </c>
      <c r="CI158" s="53">
        <f t="shared" si="116"/>
        <v>0</v>
      </c>
      <c r="CJ158" s="53">
        <f t="shared" si="116"/>
        <v>0</v>
      </c>
      <c r="CK158" s="53">
        <f t="shared" si="116"/>
        <v>0</v>
      </c>
      <c r="CL158" s="53">
        <f t="shared" si="116"/>
        <v>0</v>
      </c>
      <c r="CM158" s="53">
        <f t="shared" si="116"/>
        <v>0</v>
      </c>
    </row>
    <row r="159" spans="1:91" x14ac:dyDescent="0.15">
      <c r="A159" s="41">
        <v>157</v>
      </c>
      <c r="B159" s="45">
        <v>1</v>
      </c>
      <c r="C159" s="45">
        <v>1</v>
      </c>
      <c r="D159" s="45">
        <v>1</v>
      </c>
      <c r="E159" s="45">
        <v>1</v>
      </c>
      <c r="F159" s="45">
        <v>1</v>
      </c>
      <c r="G159" s="45">
        <v>1</v>
      </c>
      <c r="H159" s="45">
        <v>1</v>
      </c>
      <c r="I159" s="45">
        <v>1</v>
      </c>
      <c r="J159" s="45">
        <v>1</v>
      </c>
      <c r="K159" s="43" t="e">
        <f>K158+ATM_Conf!$C$5*(T158-AC158)</f>
        <v>#DIV/0!</v>
      </c>
      <c r="L159" s="43" t="e">
        <f>L158+ATM_Conf!$C$5*(U158-AD158)</f>
        <v>#DIV/0!</v>
      </c>
      <c r="M159" s="43" t="e">
        <f>M158+ATM_Conf!$C$5*(V158-AE158)</f>
        <v>#DIV/0!</v>
      </c>
      <c r="N159" s="43" t="e">
        <f>N158+ATM_Conf!$C$5*(W158-AF158)</f>
        <v>#DIV/0!</v>
      </c>
      <c r="O159" s="43" t="e">
        <f>O158+ATM_Conf!$C$5*(X158-AG158)</f>
        <v>#DIV/0!</v>
      </c>
      <c r="P159" s="43" t="e">
        <f>P158+ATM_Conf!$C$5*(Y158-AH158)</f>
        <v>#DIV/0!</v>
      </c>
      <c r="Q159" s="43" t="e">
        <f>Q158+ATM_Conf!$C$5*(Z158-AI158)</f>
        <v>#DIV/0!</v>
      </c>
      <c r="R159" s="43" t="e">
        <f>R158+ATM_Conf!$C$5*(AA158-AJ158)</f>
        <v>#DIV/0!</v>
      </c>
      <c r="S159" s="43" t="e">
        <f>S158+ATM_Conf!$C$5*(AB158-AK158)</f>
        <v>#DIV/0!</v>
      </c>
      <c r="T159" s="43">
        <f t="shared" ref="T159:T182" si="117">T$3</f>
        <v>0</v>
      </c>
      <c r="U159" s="43">
        <f t="shared" si="114"/>
        <v>0</v>
      </c>
      <c r="V159" s="43">
        <f t="shared" si="114"/>
        <v>0</v>
      </c>
      <c r="W159" s="43">
        <f t="shared" si="114"/>
        <v>0</v>
      </c>
      <c r="X159" s="43">
        <f t="shared" si="114"/>
        <v>0</v>
      </c>
      <c r="Y159" s="43">
        <f t="shared" si="114"/>
        <v>0</v>
      </c>
      <c r="Z159" s="43">
        <f t="shared" si="114"/>
        <v>0</v>
      </c>
      <c r="AA159" s="43">
        <f t="shared" si="114"/>
        <v>0</v>
      </c>
      <c r="AB159" s="43">
        <f t="shared" si="114"/>
        <v>0</v>
      </c>
      <c r="AC159" s="43" t="e">
        <f t="shared" si="90"/>
        <v>#DIV/0!</v>
      </c>
      <c r="AD159" s="43" t="e">
        <f t="shared" si="91"/>
        <v>#DIV/0!</v>
      </c>
      <c r="AE159" s="43" t="e">
        <f t="shared" si="92"/>
        <v>#DIV/0!</v>
      </c>
      <c r="AF159" s="43" t="e">
        <f t="shared" si="93"/>
        <v>#DIV/0!</v>
      </c>
      <c r="AG159" s="43" t="e">
        <f t="shared" si="94"/>
        <v>#DIV/0!</v>
      </c>
      <c r="AH159" s="43" t="e">
        <f t="shared" si="95"/>
        <v>#DIV/0!</v>
      </c>
      <c r="AI159" s="43" t="e">
        <f t="shared" si="96"/>
        <v>#DIV/0!</v>
      </c>
      <c r="AJ159" s="43" t="e">
        <f t="shared" si="97"/>
        <v>#DIV/0!</v>
      </c>
      <c r="AK159" s="43" t="e">
        <f t="shared" si="98"/>
        <v>#DIV/0!</v>
      </c>
      <c r="AL159" s="43" t="e">
        <f>T$3+K159/ATM_Conf!$C$5</f>
        <v>#DIV/0!</v>
      </c>
      <c r="AM159" s="43" t="e">
        <f>U$3+L159/ATM_Conf!$C$5</f>
        <v>#DIV/0!</v>
      </c>
      <c r="AN159" s="43" t="e">
        <f>V$3+M159/ATM_Conf!$C$5</f>
        <v>#DIV/0!</v>
      </c>
      <c r="AO159" s="43" t="e">
        <f>W$3+N159/ATM_Conf!$C$5</f>
        <v>#DIV/0!</v>
      </c>
      <c r="AP159" s="43" t="e">
        <f>X$3+O159/ATM_Conf!$C$5</f>
        <v>#DIV/0!</v>
      </c>
      <c r="AQ159" s="43" t="e">
        <f>Y$3+P159/ATM_Conf!$C$5</f>
        <v>#DIV/0!</v>
      </c>
      <c r="AR159" s="43" t="e">
        <f>Z$3+Q159/ATM_Conf!$C$5</f>
        <v>#DIV/0!</v>
      </c>
      <c r="AS159" s="43" t="e">
        <f>AA$3+R159/ATM_Conf!$C$5</f>
        <v>#DIV/0!</v>
      </c>
      <c r="AT159" s="43" t="e">
        <f>AB$3+S159/ATM_Conf!$C$5</f>
        <v>#DIV/0!</v>
      </c>
      <c r="AU159" s="43" t="e">
        <f>BD$3*MIN(1,(ATM_Conf!$C$6-Links!X159)/(ATM_Conf!$C$6-ATM_Conf!$C$7))</f>
        <v>#DIV/0!</v>
      </c>
      <c r="AV159" s="43" t="e">
        <f>BE$3*MIN(1,(ATM_Conf!$C$6-Links!Z159)/(ATM_Conf!$C$6-ATM_Conf!$C$7))</f>
        <v>#DIV/0!</v>
      </c>
      <c r="AW159" s="43" t="e">
        <f>BF$3*MIN(1,(ATM_Conf!$C$6-Links!AA159)/(ATM_Conf!$C$6-ATM_Conf!$C$7))</f>
        <v>#DIV/0!</v>
      </c>
      <c r="AX159" s="43" t="e">
        <f>BG$3*MIN(1,(ATM_Conf!$C$6-Links!AD159)/(ATM_Conf!$C$6-ATM_Conf!$C$7))</f>
        <v>#DIV/0!</v>
      </c>
      <c r="AY159" s="43" t="e">
        <f>BH$3*MIN(1,(ATM_Conf!$C$6-Links!AE159)/(ATM_Conf!$C$6-ATM_Conf!$C$7))</f>
        <v>#DIV/0!</v>
      </c>
      <c r="AZ159" s="43" t="e">
        <f>BI$3*MIN(1,(ATM_Conf!$C$6-Links!AG159)/(ATM_Conf!$C$6-ATM_Conf!$C$7))</f>
        <v>#DIV/0!</v>
      </c>
      <c r="BA159" s="43" t="e">
        <f>BJ$3*MIN(1,(ATM_Conf!$C$6-Links!AH159)/(ATM_Conf!$C$6-ATM_Conf!$C$7))</f>
        <v>#DIV/0!</v>
      </c>
      <c r="BB159" s="43" t="e">
        <f>BK$3*MIN(1,(ATM_Conf!$C$6-Links!AK159)/(ATM_Conf!$C$6-ATM_Conf!$C$7))</f>
        <v>#DIV/0!</v>
      </c>
      <c r="BC159" s="43" t="e">
        <f>BL$3*MIN(1,(ATM_Conf!$C$6-Links!AM159)/(ATM_Conf!$C$6-ATM_Conf!$C$7))</f>
        <v>#DIV/0!</v>
      </c>
      <c r="BD159" s="43">
        <f t="shared" ref="BD159:BD182" si="118">BD$3</f>
        <v>0</v>
      </c>
      <c r="BE159" s="43">
        <f t="shared" si="115"/>
        <v>0</v>
      </c>
      <c r="BF159" s="43">
        <f t="shared" si="115"/>
        <v>0</v>
      </c>
      <c r="BG159" s="43">
        <f t="shared" si="115"/>
        <v>0</v>
      </c>
      <c r="BH159" s="43">
        <f t="shared" si="115"/>
        <v>0</v>
      </c>
      <c r="BI159" s="43">
        <f t="shared" si="115"/>
        <v>0</v>
      </c>
      <c r="BJ159" s="43">
        <f t="shared" si="115"/>
        <v>0</v>
      </c>
      <c r="BK159" s="43">
        <f t="shared" si="115"/>
        <v>0</v>
      </c>
      <c r="BL159" s="43">
        <f t="shared" si="115"/>
        <v>0</v>
      </c>
      <c r="BM159" s="51">
        <f>(B159-B147)^2</f>
        <v>0</v>
      </c>
      <c r="BN159" s="51">
        <f t="shared" ref="BN159:BU159" si="119">(C159-C147)^2</f>
        <v>0</v>
      </c>
      <c r="BO159" s="51">
        <f t="shared" si="119"/>
        <v>0</v>
      </c>
      <c r="BP159" s="51">
        <f t="shared" si="119"/>
        <v>0</v>
      </c>
      <c r="BQ159" s="51">
        <f t="shared" si="119"/>
        <v>0</v>
      </c>
      <c r="BR159" s="51">
        <f t="shared" si="119"/>
        <v>0</v>
      </c>
      <c r="BS159" s="51">
        <f t="shared" si="119"/>
        <v>0</v>
      </c>
      <c r="BT159" s="51">
        <f t="shared" si="119"/>
        <v>0</v>
      </c>
      <c r="BU159" s="51">
        <f t="shared" si="119"/>
        <v>0</v>
      </c>
      <c r="BV159" s="51" t="e">
        <f t="shared" si="99"/>
        <v>#DIV/0!</v>
      </c>
      <c r="BW159" s="51" t="e">
        <f t="shared" si="100"/>
        <v>#DIV/0!</v>
      </c>
      <c r="BX159" s="51" t="e">
        <f t="shared" si="101"/>
        <v>#DIV/0!</v>
      </c>
      <c r="BY159" s="51" t="e">
        <f t="shared" si="102"/>
        <v>#DIV/0!</v>
      </c>
      <c r="BZ159" s="51" t="e">
        <f t="shared" si="103"/>
        <v>#DIV/0!</v>
      </c>
      <c r="CA159" s="51" t="e">
        <f t="shared" si="104"/>
        <v>#DIV/0!</v>
      </c>
      <c r="CB159" s="51" t="e">
        <f t="shared" si="105"/>
        <v>#DIV/0!</v>
      </c>
      <c r="CC159" s="51" t="e">
        <f t="shared" si="106"/>
        <v>#DIV/0!</v>
      </c>
      <c r="CD159" s="51" t="e">
        <f t="shared" si="107"/>
        <v>#DIV/0!</v>
      </c>
      <c r="CE159" s="53">
        <f t="shared" ref="CE159:CE181" si="120">CE$3</f>
        <v>0</v>
      </c>
      <c r="CF159" s="53">
        <f t="shared" si="116"/>
        <v>0</v>
      </c>
      <c r="CG159" s="53">
        <f t="shared" si="116"/>
        <v>0</v>
      </c>
      <c r="CH159" s="53">
        <f t="shared" si="116"/>
        <v>0</v>
      </c>
      <c r="CI159" s="53">
        <f t="shared" si="116"/>
        <v>0</v>
      </c>
      <c r="CJ159" s="53">
        <f t="shared" si="116"/>
        <v>0</v>
      </c>
      <c r="CK159" s="53">
        <f t="shared" si="116"/>
        <v>0</v>
      </c>
      <c r="CL159" s="53">
        <f t="shared" si="116"/>
        <v>0</v>
      </c>
      <c r="CM159" s="53">
        <f t="shared" si="116"/>
        <v>0</v>
      </c>
    </row>
    <row r="160" spans="1:91" x14ac:dyDescent="0.15">
      <c r="A160" s="41">
        <v>158</v>
      </c>
      <c r="B160" s="43">
        <f>B$159</f>
        <v>1</v>
      </c>
      <c r="C160" s="43">
        <f t="shared" ref="C160:J170" si="121">C$159</f>
        <v>1</v>
      </c>
      <c r="D160" s="43">
        <f t="shared" si="121"/>
        <v>1</v>
      </c>
      <c r="E160" s="43">
        <f t="shared" si="121"/>
        <v>1</v>
      </c>
      <c r="F160" s="43">
        <f t="shared" si="121"/>
        <v>1</v>
      </c>
      <c r="G160" s="43">
        <f t="shared" si="121"/>
        <v>1</v>
      </c>
      <c r="H160" s="43">
        <f t="shared" si="121"/>
        <v>1</v>
      </c>
      <c r="I160" s="43">
        <f t="shared" si="121"/>
        <v>1</v>
      </c>
      <c r="J160" s="43">
        <f t="shared" si="121"/>
        <v>1</v>
      </c>
      <c r="K160" s="43" t="e">
        <f>K159+ATM_Conf!$C$5*(T159-AC159)</f>
        <v>#DIV/0!</v>
      </c>
      <c r="L160" s="43" t="e">
        <f>L159+ATM_Conf!$C$5*(U159-AD159)</f>
        <v>#DIV/0!</v>
      </c>
      <c r="M160" s="43" t="e">
        <f>M159+ATM_Conf!$C$5*(V159-AE159)</f>
        <v>#DIV/0!</v>
      </c>
      <c r="N160" s="43" t="e">
        <f>N159+ATM_Conf!$C$5*(W159-AF159)</f>
        <v>#DIV/0!</v>
      </c>
      <c r="O160" s="43" t="e">
        <f>O159+ATM_Conf!$C$5*(X159-AG159)</f>
        <v>#DIV/0!</v>
      </c>
      <c r="P160" s="43" t="e">
        <f>P159+ATM_Conf!$C$5*(Y159-AH159)</f>
        <v>#DIV/0!</v>
      </c>
      <c r="Q160" s="43" t="e">
        <f>Q159+ATM_Conf!$C$5*(Z159-AI159)</f>
        <v>#DIV/0!</v>
      </c>
      <c r="R160" s="43" t="e">
        <f>R159+ATM_Conf!$C$5*(AA159-AJ159)</f>
        <v>#DIV/0!</v>
      </c>
      <c r="S160" s="43" t="e">
        <f>S159+ATM_Conf!$C$5*(AB159-AK159)</f>
        <v>#DIV/0!</v>
      </c>
      <c r="T160" s="43">
        <f t="shared" si="117"/>
        <v>0</v>
      </c>
      <c r="U160" s="43">
        <f t="shared" si="114"/>
        <v>0</v>
      </c>
      <c r="V160" s="43">
        <f t="shared" si="114"/>
        <v>0</v>
      </c>
      <c r="W160" s="43">
        <f t="shared" si="114"/>
        <v>0</v>
      </c>
      <c r="X160" s="43">
        <f t="shared" si="114"/>
        <v>0</v>
      </c>
      <c r="Y160" s="43">
        <f t="shared" si="114"/>
        <v>0</v>
      </c>
      <c r="Z160" s="43">
        <f t="shared" si="114"/>
        <v>0</v>
      </c>
      <c r="AA160" s="43">
        <f t="shared" si="114"/>
        <v>0</v>
      </c>
      <c r="AB160" s="43">
        <f t="shared" si="114"/>
        <v>0</v>
      </c>
      <c r="AC160" s="43" t="e">
        <f t="shared" si="90"/>
        <v>#DIV/0!</v>
      </c>
      <c r="AD160" s="43" t="e">
        <f t="shared" si="91"/>
        <v>#DIV/0!</v>
      </c>
      <c r="AE160" s="43" t="e">
        <f t="shared" si="92"/>
        <v>#DIV/0!</v>
      </c>
      <c r="AF160" s="43" t="e">
        <f t="shared" si="93"/>
        <v>#DIV/0!</v>
      </c>
      <c r="AG160" s="43" t="e">
        <f t="shared" si="94"/>
        <v>#DIV/0!</v>
      </c>
      <c r="AH160" s="43" t="e">
        <f t="shared" si="95"/>
        <v>#DIV/0!</v>
      </c>
      <c r="AI160" s="43" t="e">
        <f t="shared" si="96"/>
        <v>#DIV/0!</v>
      </c>
      <c r="AJ160" s="43" t="e">
        <f t="shared" si="97"/>
        <v>#DIV/0!</v>
      </c>
      <c r="AK160" s="43" t="e">
        <f t="shared" si="98"/>
        <v>#DIV/0!</v>
      </c>
      <c r="AL160" s="43" t="e">
        <f>T$3+K160/ATM_Conf!$C$5</f>
        <v>#DIV/0!</v>
      </c>
      <c r="AM160" s="43" t="e">
        <f>U$3+L160/ATM_Conf!$C$5</f>
        <v>#DIV/0!</v>
      </c>
      <c r="AN160" s="43" t="e">
        <f>V$3+M160/ATM_Conf!$C$5</f>
        <v>#DIV/0!</v>
      </c>
      <c r="AO160" s="43" t="e">
        <f>W$3+N160/ATM_Conf!$C$5</f>
        <v>#DIV/0!</v>
      </c>
      <c r="AP160" s="43" t="e">
        <f>X$3+O160/ATM_Conf!$C$5</f>
        <v>#DIV/0!</v>
      </c>
      <c r="AQ160" s="43" t="e">
        <f>Y$3+P160/ATM_Conf!$C$5</f>
        <v>#DIV/0!</v>
      </c>
      <c r="AR160" s="43" t="e">
        <f>Z$3+Q160/ATM_Conf!$C$5</f>
        <v>#DIV/0!</v>
      </c>
      <c r="AS160" s="43" t="e">
        <f>AA$3+R160/ATM_Conf!$C$5</f>
        <v>#DIV/0!</v>
      </c>
      <c r="AT160" s="43" t="e">
        <f>AB$3+S160/ATM_Conf!$C$5</f>
        <v>#DIV/0!</v>
      </c>
      <c r="AU160" s="43" t="e">
        <f>BD$3*MIN(1,(ATM_Conf!$C$6-Links!X160)/(ATM_Conf!$C$6-ATM_Conf!$C$7))</f>
        <v>#DIV/0!</v>
      </c>
      <c r="AV160" s="43" t="e">
        <f>BE$3*MIN(1,(ATM_Conf!$C$6-Links!Z160)/(ATM_Conf!$C$6-ATM_Conf!$C$7))</f>
        <v>#DIV/0!</v>
      </c>
      <c r="AW160" s="43" t="e">
        <f>BF$3*MIN(1,(ATM_Conf!$C$6-Links!AA160)/(ATM_Conf!$C$6-ATM_Conf!$C$7))</f>
        <v>#DIV/0!</v>
      </c>
      <c r="AX160" s="43" t="e">
        <f>BG$3*MIN(1,(ATM_Conf!$C$6-Links!AD160)/(ATM_Conf!$C$6-ATM_Conf!$C$7))</f>
        <v>#DIV/0!</v>
      </c>
      <c r="AY160" s="43" t="e">
        <f>BH$3*MIN(1,(ATM_Conf!$C$6-Links!AE160)/(ATM_Conf!$C$6-ATM_Conf!$C$7))</f>
        <v>#DIV/0!</v>
      </c>
      <c r="AZ160" s="43" t="e">
        <f>BI$3*MIN(1,(ATM_Conf!$C$6-Links!AG160)/(ATM_Conf!$C$6-ATM_Conf!$C$7))</f>
        <v>#DIV/0!</v>
      </c>
      <c r="BA160" s="43" t="e">
        <f>BJ$3*MIN(1,(ATM_Conf!$C$6-Links!AH160)/(ATM_Conf!$C$6-ATM_Conf!$C$7))</f>
        <v>#DIV/0!</v>
      </c>
      <c r="BB160" s="43" t="e">
        <f>BK$3*MIN(1,(ATM_Conf!$C$6-Links!AK160)/(ATM_Conf!$C$6-ATM_Conf!$C$7))</f>
        <v>#DIV/0!</v>
      </c>
      <c r="BC160" s="43" t="e">
        <f>BL$3*MIN(1,(ATM_Conf!$C$6-Links!AM160)/(ATM_Conf!$C$6-ATM_Conf!$C$7))</f>
        <v>#DIV/0!</v>
      </c>
      <c r="BD160" s="43">
        <f t="shared" si="118"/>
        <v>0</v>
      </c>
      <c r="BE160" s="43">
        <f t="shared" si="115"/>
        <v>0</v>
      </c>
      <c r="BF160" s="43">
        <f t="shared" si="115"/>
        <v>0</v>
      </c>
      <c r="BG160" s="43">
        <f t="shared" si="115"/>
        <v>0</v>
      </c>
      <c r="BH160" s="43">
        <f t="shared" si="115"/>
        <v>0</v>
      </c>
      <c r="BI160" s="43">
        <f t="shared" si="115"/>
        <v>0</v>
      </c>
      <c r="BJ160" s="43">
        <f t="shared" si="115"/>
        <v>0</v>
      </c>
      <c r="BK160" s="43">
        <f t="shared" si="115"/>
        <v>0</v>
      </c>
      <c r="BL160" s="43">
        <f t="shared" si="115"/>
        <v>0</v>
      </c>
      <c r="BM160" s="51"/>
      <c r="BN160" s="51"/>
      <c r="BO160" s="51"/>
      <c r="BP160" s="51"/>
      <c r="BQ160" s="51"/>
      <c r="BR160" s="51"/>
      <c r="BS160" s="51"/>
      <c r="BT160" s="51"/>
      <c r="BU160" s="51"/>
      <c r="BV160" s="51" t="e">
        <f t="shared" si="99"/>
        <v>#DIV/0!</v>
      </c>
      <c r="BW160" s="51" t="e">
        <f t="shared" si="100"/>
        <v>#DIV/0!</v>
      </c>
      <c r="BX160" s="51" t="e">
        <f t="shared" si="101"/>
        <v>#DIV/0!</v>
      </c>
      <c r="BY160" s="51" t="e">
        <f t="shared" si="102"/>
        <v>#DIV/0!</v>
      </c>
      <c r="BZ160" s="51" t="e">
        <f t="shared" si="103"/>
        <v>#DIV/0!</v>
      </c>
      <c r="CA160" s="51" t="e">
        <f t="shared" si="104"/>
        <v>#DIV/0!</v>
      </c>
      <c r="CB160" s="51" t="e">
        <f t="shared" si="105"/>
        <v>#DIV/0!</v>
      </c>
      <c r="CC160" s="51" t="e">
        <f t="shared" si="106"/>
        <v>#DIV/0!</v>
      </c>
      <c r="CD160" s="51" t="e">
        <f t="shared" si="107"/>
        <v>#DIV/0!</v>
      </c>
      <c r="CE160" s="53">
        <f t="shared" si="120"/>
        <v>0</v>
      </c>
      <c r="CF160" s="53">
        <f t="shared" si="116"/>
        <v>0</v>
      </c>
      <c r="CG160" s="53">
        <f t="shared" si="116"/>
        <v>0</v>
      </c>
      <c r="CH160" s="53">
        <f t="shared" si="116"/>
        <v>0</v>
      </c>
      <c r="CI160" s="53">
        <f t="shared" si="116"/>
        <v>0</v>
      </c>
      <c r="CJ160" s="53">
        <f t="shared" si="116"/>
        <v>0</v>
      </c>
      <c r="CK160" s="53">
        <f t="shared" si="116"/>
        <v>0</v>
      </c>
      <c r="CL160" s="53">
        <f t="shared" si="116"/>
        <v>0</v>
      </c>
      <c r="CM160" s="53">
        <f t="shared" si="116"/>
        <v>0</v>
      </c>
    </row>
    <row r="161" spans="1:91" x14ac:dyDescent="0.15">
      <c r="A161" s="41">
        <v>159</v>
      </c>
      <c r="B161" s="43">
        <f t="shared" ref="B161:B170" si="122">B$159</f>
        <v>1</v>
      </c>
      <c r="C161" s="43">
        <f t="shared" si="121"/>
        <v>1</v>
      </c>
      <c r="D161" s="43">
        <f t="shared" si="121"/>
        <v>1</v>
      </c>
      <c r="E161" s="43">
        <f t="shared" si="121"/>
        <v>1</v>
      </c>
      <c r="F161" s="43">
        <f t="shared" si="121"/>
        <v>1</v>
      </c>
      <c r="G161" s="43">
        <f t="shared" si="121"/>
        <v>1</v>
      </c>
      <c r="H161" s="43">
        <f t="shared" si="121"/>
        <v>1</v>
      </c>
      <c r="I161" s="43">
        <f t="shared" si="121"/>
        <v>1</v>
      </c>
      <c r="J161" s="43">
        <f t="shared" si="121"/>
        <v>1</v>
      </c>
      <c r="K161" s="43" t="e">
        <f>K160+ATM_Conf!$C$5*(T160-AC160)</f>
        <v>#DIV/0!</v>
      </c>
      <c r="L161" s="43" t="e">
        <f>L160+ATM_Conf!$C$5*(U160-AD160)</f>
        <v>#DIV/0!</v>
      </c>
      <c r="M161" s="43" t="e">
        <f>M160+ATM_Conf!$C$5*(V160-AE160)</f>
        <v>#DIV/0!</v>
      </c>
      <c r="N161" s="43" t="e">
        <f>N160+ATM_Conf!$C$5*(W160-AF160)</f>
        <v>#DIV/0!</v>
      </c>
      <c r="O161" s="43" t="e">
        <f>O160+ATM_Conf!$C$5*(X160-AG160)</f>
        <v>#DIV/0!</v>
      </c>
      <c r="P161" s="43" t="e">
        <f>P160+ATM_Conf!$C$5*(Y160-AH160)</f>
        <v>#DIV/0!</v>
      </c>
      <c r="Q161" s="43" t="e">
        <f>Q160+ATM_Conf!$C$5*(Z160-AI160)</f>
        <v>#DIV/0!</v>
      </c>
      <c r="R161" s="43" t="e">
        <f>R160+ATM_Conf!$C$5*(AA160-AJ160)</f>
        <v>#DIV/0!</v>
      </c>
      <c r="S161" s="43" t="e">
        <f>S160+ATM_Conf!$C$5*(AB160-AK160)</f>
        <v>#DIV/0!</v>
      </c>
      <c r="T161" s="43">
        <f t="shared" si="117"/>
        <v>0</v>
      </c>
      <c r="U161" s="43">
        <f t="shared" si="114"/>
        <v>0</v>
      </c>
      <c r="V161" s="43">
        <f t="shared" si="114"/>
        <v>0</v>
      </c>
      <c r="W161" s="43">
        <f t="shared" si="114"/>
        <v>0</v>
      </c>
      <c r="X161" s="43">
        <f t="shared" si="114"/>
        <v>0</v>
      </c>
      <c r="Y161" s="43">
        <f t="shared" si="114"/>
        <v>0</v>
      </c>
      <c r="Z161" s="43">
        <f t="shared" si="114"/>
        <v>0</v>
      </c>
      <c r="AA161" s="43">
        <f t="shared" si="114"/>
        <v>0</v>
      </c>
      <c r="AB161" s="43">
        <f t="shared" si="114"/>
        <v>0</v>
      </c>
      <c r="AC161" s="43" t="e">
        <f t="shared" si="90"/>
        <v>#DIV/0!</v>
      </c>
      <c r="AD161" s="43" t="e">
        <f t="shared" si="91"/>
        <v>#DIV/0!</v>
      </c>
      <c r="AE161" s="43" t="e">
        <f t="shared" si="92"/>
        <v>#DIV/0!</v>
      </c>
      <c r="AF161" s="43" t="e">
        <f t="shared" si="93"/>
        <v>#DIV/0!</v>
      </c>
      <c r="AG161" s="43" t="e">
        <f t="shared" si="94"/>
        <v>#DIV/0!</v>
      </c>
      <c r="AH161" s="43" t="e">
        <f t="shared" si="95"/>
        <v>#DIV/0!</v>
      </c>
      <c r="AI161" s="43" t="e">
        <f t="shared" si="96"/>
        <v>#DIV/0!</v>
      </c>
      <c r="AJ161" s="43" t="e">
        <f t="shared" si="97"/>
        <v>#DIV/0!</v>
      </c>
      <c r="AK161" s="43" t="e">
        <f t="shared" si="98"/>
        <v>#DIV/0!</v>
      </c>
      <c r="AL161" s="43" t="e">
        <f>T$3+K161/ATM_Conf!$C$5</f>
        <v>#DIV/0!</v>
      </c>
      <c r="AM161" s="43" t="e">
        <f>U$3+L161/ATM_Conf!$C$5</f>
        <v>#DIV/0!</v>
      </c>
      <c r="AN161" s="43" t="e">
        <f>V$3+M161/ATM_Conf!$C$5</f>
        <v>#DIV/0!</v>
      </c>
      <c r="AO161" s="43" t="e">
        <f>W$3+N161/ATM_Conf!$C$5</f>
        <v>#DIV/0!</v>
      </c>
      <c r="AP161" s="43" t="e">
        <f>X$3+O161/ATM_Conf!$C$5</f>
        <v>#DIV/0!</v>
      </c>
      <c r="AQ161" s="43" t="e">
        <f>Y$3+P161/ATM_Conf!$C$5</f>
        <v>#DIV/0!</v>
      </c>
      <c r="AR161" s="43" t="e">
        <f>Z$3+Q161/ATM_Conf!$C$5</f>
        <v>#DIV/0!</v>
      </c>
      <c r="AS161" s="43" t="e">
        <f>AA$3+R161/ATM_Conf!$C$5</f>
        <v>#DIV/0!</v>
      </c>
      <c r="AT161" s="43" t="e">
        <f>AB$3+S161/ATM_Conf!$C$5</f>
        <v>#DIV/0!</v>
      </c>
      <c r="AU161" s="43" t="e">
        <f>BD$3*MIN(1,(ATM_Conf!$C$6-Links!X161)/(ATM_Conf!$C$6-ATM_Conf!$C$7))</f>
        <v>#DIV/0!</v>
      </c>
      <c r="AV161" s="43" t="e">
        <f>BE$3*MIN(1,(ATM_Conf!$C$6-Links!Z161)/(ATM_Conf!$C$6-ATM_Conf!$C$7))</f>
        <v>#DIV/0!</v>
      </c>
      <c r="AW161" s="43" t="e">
        <f>BF$3*MIN(1,(ATM_Conf!$C$6-Links!AA161)/(ATM_Conf!$C$6-ATM_Conf!$C$7))</f>
        <v>#DIV/0!</v>
      </c>
      <c r="AX161" s="43" t="e">
        <f>BG$3*MIN(1,(ATM_Conf!$C$6-Links!AD161)/(ATM_Conf!$C$6-ATM_Conf!$C$7))</f>
        <v>#DIV/0!</v>
      </c>
      <c r="AY161" s="43" t="e">
        <f>BH$3*MIN(1,(ATM_Conf!$C$6-Links!AE161)/(ATM_Conf!$C$6-ATM_Conf!$C$7))</f>
        <v>#DIV/0!</v>
      </c>
      <c r="AZ161" s="43" t="e">
        <f>BI$3*MIN(1,(ATM_Conf!$C$6-Links!AG161)/(ATM_Conf!$C$6-ATM_Conf!$C$7))</f>
        <v>#DIV/0!</v>
      </c>
      <c r="BA161" s="43" t="e">
        <f>BJ$3*MIN(1,(ATM_Conf!$C$6-Links!AH161)/(ATM_Conf!$C$6-ATM_Conf!$C$7))</f>
        <v>#DIV/0!</v>
      </c>
      <c r="BB161" s="43" t="e">
        <f>BK$3*MIN(1,(ATM_Conf!$C$6-Links!AK161)/(ATM_Conf!$C$6-ATM_Conf!$C$7))</f>
        <v>#DIV/0!</v>
      </c>
      <c r="BC161" s="43" t="e">
        <f>BL$3*MIN(1,(ATM_Conf!$C$6-Links!AM161)/(ATM_Conf!$C$6-ATM_Conf!$C$7))</f>
        <v>#DIV/0!</v>
      </c>
      <c r="BD161" s="43">
        <f t="shared" si="118"/>
        <v>0</v>
      </c>
      <c r="BE161" s="43">
        <f t="shared" si="115"/>
        <v>0</v>
      </c>
      <c r="BF161" s="43">
        <f t="shared" si="115"/>
        <v>0</v>
      </c>
      <c r="BG161" s="43">
        <f t="shared" si="115"/>
        <v>0</v>
      </c>
      <c r="BH161" s="43">
        <f t="shared" si="115"/>
        <v>0</v>
      </c>
      <c r="BI161" s="43">
        <f t="shared" si="115"/>
        <v>0</v>
      </c>
      <c r="BJ161" s="43">
        <f t="shared" si="115"/>
        <v>0</v>
      </c>
      <c r="BK161" s="43">
        <f t="shared" si="115"/>
        <v>0</v>
      </c>
      <c r="BL161" s="43">
        <f t="shared" si="115"/>
        <v>0</v>
      </c>
      <c r="BM161" s="51"/>
      <c r="BN161" s="51"/>
      <c r="BO161" s="51"/>
      <c r="BP161" s="51"/>
      <c r="BQ161" s="51"/>
      <c r="BR161" s="51"/>
      <c r="BS161" s="51"/>
      <c r="BT161" s="51"/>
      <c r="BU161" s="51"/>
      <c r="BV161" s="51" t="e">
        <f t="shared" si="99"/>
        <v>#DIV/0!</v>
      </c>
      <c r="BW161" s="51" t="e">
        <f t="shared" si="100"/>
        <v>#DIV/0!</v>
      </c>
      <c r="BX161" s="51" t="e">
        <f t="shared" si="101"/>
        <v>#DIV/0!</v>
      </c>
      <c r="BY161" s="51" t="e">
        <f t="shared" si="102"/>
        <v>#DIV/0!</v>
      </c>
      <c r="BZ161" s="51" t="e">
        <f t="shared" si="103"/>
        <v>#DIV/0!</v>
      </c>
      <c r="CA161" s="51" t="e">
        <f t="shared" si="104"/>
        <v>#DIV/0!</v>
      </c>
      <c r="CB161" s="51" t="e">
        <f t="shared" si="105"/>
        <v>#DIV/0!</v>
      </c>
      <c r="CC161" s="51" t="e">
        <f t="shared" si="106"/>
        <v>#DIV/0!</v>
      </c>
      <c r="CD161" s="51" t="e">
        <f t="shared" si="107"/>
        <v>#DIV/0!</v>
      </c>
      <c r="CE161" s="53">
        <f t="shared" si="120"/>
        <v>0</v>
      </c>
      <c r="CF161" s="53">
        <f t="shared" si="116"/>
        <v>0</v>
      </c>
      <c r="CG161" s="53">
        <f t="shared" si="116"/>
        <v>0</v>
      </c>
      <c r="CH161" s="53">
        <f t="shared" si="116"/>
        <v>0</v>
      </c>
      <c r="CI161" s="53">
        <f t="shared" si="116"/>
        <v>0</v>
      </c>
      <c r="CJ161" s="53">
        <f t="shared" si="116"/>
        <v>0</v>
      </c>
      <c r="CK161" s="53">
        <f t="shared" si="116"/>
        <v>0</v>
      </c>
      <c r="CL161" s="53">
        <f t="shared" si="116"/>
        <v>0</v>
      </c>
      <c r="CM161" s="53">
        <f t="shared" si="116"/>
        <v>0</v>
      </c>
    </row>
    <row r="162" spans="1:91" x14ac:dyDescent="0.15">
      <c r="A162" s="41">
        <v>160</v>
      </c>
      <c r="B162" s="43">
        <f t="shared" si="122"/>
        <v>1</v>
      </c>
      <c r="C162" s="43">
        <f t="shared" si="121"/>
        <v>1</v>
      </c>
      <c r="D162" s="43">
        <f t="shared" si="121"/>
        <v>1</v>
      </c>
      <c r="E162" s="43">
        <f t="shared" si="121"/>
        <v>1</v>
      </c>
      <c r="F162" s="43">
        <f t="shared" si="121"/>
        <v>1</v>
      </c>
      <c r="G162" s="43">
        <f t="shared" si="121"/>
        <v>1</v>
      </c>
      <c r="H162" s="43">
        <f t="shared" si="121"/>
        <v>1</v>
      </c>
      <c r="I162" s="43">
        <f t="shared" si="121"/>
        <v>1</v>
      </c>
      <c r="J162" s="43">
        <f t="shared" si="121"/>
        <v>1</v>
      </c>
      <c r="K162" s="43" t="e">
        <f>K161+ATM_Conf!$C$5*(T161-AC161)</f>
        <v>#DIV/0!</v>
      </c>
      <c r="L162" s="43" t="e">
        <f>L161+ATM_Conf!$C$5*(U161-AD161)</f>
        <v>#DIV/0!</v>
      </c>
      <c r="M162" s="43" t="e">
        <f>M161+ATM_Conf!$C$5*(V161-AE161)</f>
        <v>#DIV/0!</v>
      </c>
      <c r="N162" s="43" t="e">
        <f>N161+ATM_Conf!$C$5*(W161-AF161)</f>
        <v>#DIV/0!</v>
      </c>
      <c r="O162" s="43" t="e">
        <f>O161+ATM_Conf!$C$5*(X161-AG161)</f>
        <v>#DIV/0!</v>
      </c>
      <c r="P162" s="43" t="e">
        <f>P161+ATM_Conf!$C$5*(Y161-AH161)</f>
        <v>#DIV/0!</v>
      </c>
      <c r="Q162" s="43" t="e">
        <f>Q161+ATM_Conf!$C$5*(Z161-AI161)</f>
        <v>#DIV/0!</v>
      </c>
      <c r="R162" s="43" t="e">
        <f>R161+ATM_Conf!$C$5*(AA161-AJ161)</f>
        <v>#DIV/0!</v>
      </c>
      <c r="S162" s="43" t="e">
        <f>S161+ATM_Conf!$C$5*(AB161-AK161)</f>
        <v>#DIV/0!</v>
      </c>
      <c r="T162" s="43">
        <f t="shared" si="117"/>
        <v>0</v>
      </c>
      <c r="U162" s="43">
        <f t="shared" si="114"/>
        <v>0</v>
      </c>
      <c r="V162" s="43">
        <f t="shared" si="114"/>
        <v>0</v>
      </c>
      <c r="W162" s="43">
        <f t="shared" si="114"/>
        <v>0</v>
      </c>
      <c r="X162" s="43">
        <f t="shared" si="114"/>
        <v>0</v>
      </c>
      <c r="Y162" s="43">
        <f t="shared" si="114"/>
        <v>0</v>
      </c>
      <c r="Z162" s="43">
        <f t="shared" si="114"/>
        <v>0</v>
      </c>
      <c r="AA162" s="43">
        <f t="shared" si="114"/>
        <v>0</v>
      </c>
      <c r="AB162" s="43">
        <f t="shared" si="114"/>
        <v>0</v>
      </c>
      <c r="AC162" s="43" t="e">
        <f t="shared" si="90"/>
        <v>#DIV/0!</v>
      </c>
      <c r="AD162" s="43" t="e">
        <f t="shared" si="91"/>
        <v>#DIV/0!</v>
      </c>
      <c r="AE162" s="43" t="e">
        <f t="shared" si="92"/>
        <v>#DIV/0!</v>
      </c>
      <c r="AF162" s="43" t="e">
        <f t="shared" si="93"/>
        <v>#DIV/0!</v>
      </c>
      <c r="AG162" s="43" t="e">
        <f t="shared" si="94"/>
        <v>#DIV/0!</v>
      </c>
      <c r="AH162" s="43" t="e">
        <f t="shared" si="95"/>
        <v>#DIV/0!</v>
      </c>
      <c r="AI162" s="43" t="e">
        <f t="shared" si="96"/>
        <v>#DIV/0!</v>
      </c>
      <c r="AJ162" s="43" t="e">
        <f t="shared" si="97"/>
        <v>#DIV/0!</v>
      </c>
      <c r="AK162" s="43" t="e">
        <f t="shared" si="98"/>
        <v>#DIV/0!</v>
      </c>
      <c r="AL162" s="43" t="e">
        <f>T$3+K162/ATM_Conf!$C$5</f>
        <v>#DIV/0!</v>
      </c>
      <c r="AM162" s="43" t="e">
        <f>U$3+L162/ATM_Conf!$C$5</f>
        <v>#DIV/0!</v>
      </c>
      <c r="AN162" s="43" t="e">
        <f>V$3+M162/ATM_Conf!$C$5</f>
        <v>#DIV/0!</v>
      </c>
      <c r="AO162" s="43" t="e">
        <f>W$3+N162/ATM_Conf!$C$5</f>
        <v>#DIV/0!</v>
      </c>
      <c r="AP162" s="43" t="e">
        <f>X$3+O162/ATM_Conf!$C$5</f>
        <v>#DIV/0!</v>
      </c>
      <c r="AQ162" s="43" t="e">
        <f>Y$3+P162/ATM_Conf!$C$5</f>
        <v>#DIV/0!</v>
      </c>
      <c r="AR162" s="43" t="e">
        <f>Z$3+Q162/ATM_Conf!$C$5</f>
        <v>#DIV/0!</v>
      </c>
      <c r="AS162" s="43" t="e">
        <f>AA$3+R162/ATM_Conf!$C$5</f>
        <v>#DIV/0!</v>
      </c>
      <c r="AT162" s="43" t="e">
        <f>AB$3+S162/ATM_Conf!$C$5</f>
        <v>#DIV/0!</v>
      </c>
      <c r="AU162" s="43" t="e">
        <f>BD$3*MIN(1,(ATM_Conf!$C$6-Links!X162)/(ATM_Conf!$C$6-ATM_Conf!$C$7))</f>
        <v>#DIV/0!</v>
      </c>
      <c r="AV162" s="43" t="e">
        <f>BE$3*MIN(1,(ATM_Conf!$C$6-Links!Z162)/(ATM_Conf!$C$6-ATM_Conf!$C$7))</f>
        <v>#DIV/0!</v>
      </c>
      <c r="AW162" s="43" t="e">
        <f>BF$3*MIN(1,(ATM_Conf!$C$6-Links!AA162)/(ATM_Conf!$C$6-ATM_Conf!$C$7))</f>
        <v>#DIV/0!</v>
      </c>
      <c r="AX162" s="43" t="e">
        <f>BG$3*MIN(1,(ATM_Conf!$C$6-Links!AD162)/(ATM_Conf!$C$6-ATM_Conf!$C$7))</f>
        <v>#DIV/0!</v>
      </c>
      <c r="AY162" s="43" t="e">
        <f>BH$3*MIN(1,(ATM_Conf!$C$6-Links!AE162)/(ATM_Conf!$C$6-ATM_Conf!$C$7))</f>
        <v>#DIV/0!</v>
      </c>
      <c r="AZ162" s="43" t="e">
        <f>BI$3*MIN(1,(ATM_Conf!$C$6-Links!AG162)/(ATM_Conf!$C$6-ATM_Conf!$C$7))</f>
        <v>#DIV/0!</v>
      </c>
      <c r="BA162" s="43" t="e">
        <f>BJ$3*MIN(1,(ATM_Conf!$C$6-Links!AH162)/(ATM_Conf!$C$6-ATM_Conf!$C$7))</f>
        <v>#DIV/0!</v>
      </c>
      <c r="BB162" s="43" t="e">
        <f>BK$3*MIN(1,(ATM_Conf!$C$6-Links!AK162)/(ATM_Conf!$C$6-ATM_Conf!$C$7))</f>
        <v>#DIV/0!</v>
      </c>
      <c r="BC162" s="43" t="e">
        <f>BL$3*MIN(1,(ATM_Conf!$C$6-Links!AM162)/(ATM_Conf!$C$6-ATM_Conf!$C$7))</f>
        <v>#DIV/0!</v>
      </c>
      <c r="BD162" s="43">
        <f t="shared" si="118"/>
        <v>0</v>
      </c>
      <c r="BE162" s="43">
        <f t="shared" si="115"/>
        <v>0</v>
      </c>
      <c r="BF162" s="43">
        <f t="shared" si="115"/>
        <v>0</v>
      </c>
      <c r="BG162" s="43">
        <f t="shared" si="115"/>
        <v>0</v>
      </c>
      <c r="BH162" s="43">
        <f t="shared" si="115"/>
        <v>0</v>
      </c>
      <c r="BI162" s="43">
        <f t="shared" si="115"/>
        <v>0</v>
      </c>
      <c r="BJ162" s="43">
        <f t="shared" si="115"/>
        <v>0</v>
      </c>
      <c r="BK162" s="43">
        <f t="shared" si="115"/>
        <v>0</v>
      </c>
      <c r="BL162" s="43">
        <f t="shared" si="115"/>
        <v>0</v>
      </c>
      <c r="BM162" s="51"/>
      <c r="BN162" s="51"/>
      <c r="BO162" s="51"/>
      <c r="BP162" s="51"/>
      <c r="BQ162" s="51"/>
      <c r="BR162" s="51"/>
      <c r="BS162" s="51"/>
      <c r="BT162" s="51"/>
      <c r="BU162" s="51"/>
      <c r="BV162" s="51" t="e">
        <f t="shared" si="99"/>
        <v>#DIV/0!</v>
      </c>
      <c r="BW162" s="51" t="e">
        <f t="shared" si="100"/>
        <v>#DIV/0!</v>
      </c>
      <c r="BX162" s="51" t="e">
        <f t="shared" si="101"/>
        <v>#DIV/0!</v>
      </c>
      <c r="BY162" s="51" t="e">
        <f t="shared" si="102"/>
        <v>#DIV/0!</v>
      </c>
      <c r="BZ162" s="51" t="e">
        <f t="shared" si="103"/>
        <v>#DIV/0!</v>
      </c>
      <c r="CA162" s="51" t="e">
        <f t="shared" si="104"/>
        <v>#DIV/0!</v>
      </c>
      <c r="CB162" s="51" t="e">
        <f t="shared" si="105"/>
        <v>#DIV/0!</v>
      </c>
      <c r="CC162" s="51" t="e">
        <f t="shared" si="106"/>
        <v>#DIV/0!</v>
      </c>
      <c r="CD162" s="51" t="e">
        <f t="shared" si="107"/>
        <v>#DIV/0!</v>
      </c>
      <c r="CE162" s="53">
        <f t="shared" si="120"/>
        <v>0</v>
      </c>
      <c r="CF162" s="53">
        <f t="shared" si="116"/>
        <v>0</v>
      </c>
      <c r="CG162" s="53">
        <f t="shared" si="116"/>
        <v>0</v>
      </c>
      <c r="CH162" s="53">
        <f t="shared" si="116"/>
        <v>0</v>
      </c>
      <c r="CI162" s="53">
        <f t="shared" si="116"/>
        <v>0</v>
      </c>
      <c r="CJ162" s="53">
        <f t="shared" si="116"/>
        <v>0</v>
      </c>
      <c r="CK162" s="53">
        <f t="shared" si="116"/>
        <v>0</v>
      </c>
      <c r="CL162" s="53">
        <f t="shared" si="116"/>
        <v>0</v>
      </c>
      <c r="CM162" s="53">
        <f t="shared" si="116"/>
        <v>0</v>
      </c>
    </row>
    <row r="163" spans="1:91" x14ac:dyDescent="0.15">
      <c r="A163" s="41">
        <v>161</v>
      </c>
      <c r="B163" s="43">
        <f t="shared" si="122"/>
        <v>1</v>
      </c>
      <c r="C163" s="43">
        <f t="shared" si="121"/>
        <v>1</v>
      </c>
      <c r="D163" s="43">
        <f t="shared" si="121"/>
        <v>1</v>
      </c>
      <c r="E163" s="43">
        <f t="shared" si="121"/>
        <v>1</v>
      </c>
      <c r="F163" s="43">
        <f t="shared" si="121"/>
        <v>1</v>
      </c>
      <c r="G163" s="43">
        <f t="shared" si="121"/>
        <v>1</v>
      </c>
      <c r="H163" s="43">
        <f t="shared" si="121"/>
        <v>1</v>
      </c>
      <c r="I163" s="43">
        <f t="shared" si="121"/>
        <v>1</v>
      </c>
      <c r="J163" s="43">
        <f t="shared" si="121"/>
        <v>1</v>
      </c>
      <c r="K163" s="43" t="e">
        <f>K162+ATM_Conf!$C$5*(T162-AC162)</f>
        <v>#DIV/0!</v>
      </c>
      <c r="L163" s="43" t="e">
        <f>L162+ATM_Conf!$C$5*(U162-AD162)</f>
        <v>#DIV/0!</v>
      </c>
      <c r="M163" s="43" t="e">
        <f>M162+ATM_Conf!$C$5*(V162-AE162)</f>
        <v>#DIV/0!</v>
      </c>
      <c r="N163" s="43" t="e">
        <f>N162+ATM_Conf!$C$5*(W162-AF162)</f>
        <v>#DIV/0!</v>
      </c>
      <c r="O163" s="43" t="e">
        <f>O162+ATM_Conf!$C$5*(X162-AG162)</f>
        <v>#DIV/0!</v>
      </c>
      <c r="P163" s="43" t="e">
        <f>P162+ATM_Conf!$C$5*(Y162-AH162)</f>
        <v>#DIV/0!</v>
      </c>
      <c r="Q163" s="43" t="e">
        <f>Q162+ATM_Conf!$C$5*(Z162-AI162)</f>
        <v>#DIV/0!</v>
      </c>
      <c r="R163" s="43" t="e">
        <f>R162+ATM_Conf!$C$5*(AA162-AJ162)</f>
        <v>#DIV/0!</v>
      </c>
      <c r="S163" s="43" t="e">
        <f>S162+ATM_Conf!$C$5*(AB162-AK162)</f>
        <v>#DIV/0!</v>
      </c>
      <c r="T163" s="43">
        <f t="shared" si="117"/>
        <v>0</v>
      </c>
      <c r="U163" s="43">
        <f t="shared" si="114"/>
        <v>0</v>
      </c>
      <c r="V163" s="43">
        <f t="shared" si="114"/>
        <v>0</v>
      </c>
      <c r="W163" s="43">
        <f t="shared" si="114"/>
        <v>0</v>
      </c>
      <c r="X163" s="43">
        <f t="shared" si="114"/>
        <v>0</v>
      </c>
      <c r="Y163" s="43">
        <f t="shared" si="114"/>
        <v>0</v>
      </c>
      <c r="Z163" s="43">
        <f t="shared" si="114"/>
        <v>0</v>
      </c>
      <c r="AA163" s="43">
        <f t="shared" si="114"/>
        <v>0</v>
      </c>
      <c r="AB163" s="43">
        <f t="shared" si="114"/>
        <v>0</v>
      </c>
      <c r="AC163" s="43" t="e">
        <f t="shared" si="90"/>
        <v>#DIV/0!</v>
      </c>
      <c r="AD163" s="43" t="e">
        <f t="shared" si="91"/>
        <v>#DIV/0!</v>
      </c>
      <c r="AE163" s="43" t="e">
        <f t="shared" si="92"/>
        <v>#DIV/0!</v>
      </c>
      <c r="AF163" s="43" t="e">
        <f t="shared" si="93"/>
        <v>#DIV/0!</v>
      </c>
      <c r="AG163" s="43" t="e">
        <f t="shared" si="94"/>
        <v>#DIV/0!</v>
      </c>
      <c r="AH163" s="43" t="e">
        <f t="shared" si="95"/>
        <v>#DIV/0!</v>
      </c>
      <c r="AI163" s="43" t="e">
        <f t="shared" si="96"/>
        <v>#DIV/0!</v>
      </c>
      <c r="AJ163" s="43" t="e">
        <f t="shared" si="97"/>
        <v>#DIV/0!</v>
      </c>
      <c r="AK163" s="43" t="e">
        <f t="shared" si="98"/>
        <v>#DIV/0!</v>
      </c>
      <c r="AL163" s="43" t="e">
        <f>T$3+K163/ATM_Conf!$C$5</f>
        <v>#DIV/0!</v>
      </c>
      <c r="AM163" s="43" t="e">
        <f>U$3+L163/ATM_Conf!$C$5</f>
        <v>#DIV/0!</v>
      </c>
      <c r="AN163" s="43" t="e">
        <f>V$3+M163/ATM_Conf!$C$5</f>
        <v>#DIV/0!</v>
      </c>
      <c r="AO163" s="43" t="e">
        <f>W$3+N163/ATM_Conf!$C$5</f>
        <v>#DIV/0!</v>
      </c>
      <c r="AP163" s="43" t="e">
        <f>X$3+O163/ATM_Conf!$C$5</f>
        <v>#DIV/0!</v>
      </c>
      <c r="AQ163" s="43" t="e">
        <f>Y$3+P163/ATM_Conf!$C$5</f>
        <v>#DIV/0!</v>
      </c>
      <c r="AR163" s="43" t="e">
        <f>Z$3+Q163/ATM_Conf!$C$5</f>
        <v>#DIV/0!</v>
      </c>
      <c r="AS163" s="43" t="e">
        <f>AA$3+R163/ATM_Conf!$C$5</f>
        <v>#DIV/0!</v>
      </c>
      <c r="AT163" s="43" t="e">
        <f>AB$3+S163/ATM_Conf!$C$5</f>
        <v>#DIV/0!</v>
      </c>
      <c r="AU163" s="43" t="e">
        <f>BD$3*MIN(1,(ATM_Conf!$C$6-Links!X163)/(ATM_Conf!$C$6-ATM_Conf!$C$7))</f>
        <v>#DIV/0!</v>
      </c>
      <c r="AV163" s="43" t="e">
        <f>BE$3*MIN(1,(ATM_Conf!$C$6-Links!Z163)/(ATM_Conf!$C$6-ATM_Conf!$C$7))</f>
        <v>#DIV/0!</v>
      </c>
      <c r="AW163" s="43" t="e">
        <f>BF$3*MIN(1,(ATM_Conf!$C$6-Links!AA163)/(ATM_Conf!$C$6-ATM_Conf!$C$7))</f>
        <v>#DIV/0!</v>
      </c>
      <c r="AX163" s="43" t="e">
        <f>BG$3*MIN(1,(ATM_Conf!$C$6-Links!AD163)/(ATM_Conf!$C$6-ATM_Conf!$C$7))</f>
        <v>#DIV/0!</v>
      </c>
      <c r="AY163" s="43" t="e">
        <f>BH$3*MIN(1,(ATM_Conf!$C$6-Links!AE163)/(ATM_Conf!$C$6-ATM_Conf!$C$7))</f>
        <v>#DIV/0!</v>
      </c>
      <c r="AZ163" s="43" t="e">
        <f>BI$3*MIN(1,(ATM_Conf!$C$6-Links!AG163)/(ATM_Conf!$C$6-ATM_Conf!$C$7))</f>
        <v>#DIV/0!</v>
      </c>
      <c r="BA163" s="43" t="e">
        <f>BJ$3*MIN(1,(ATM_Conf!$C$6-Links!AH163)/(ATM_Conf!$C$6-ATM_Conf!$C$7))</f>
        <v>#DIV/0!</v>
      </c>
      <c r="BB163" s="43" t="e">
        <f>BK$3*MIN(1,(ATM_Conf!$C$6-Links!AK163)/(ATM_Conf!$C$6-ATM_Conf!$C$7))</f>
        <v>#DIV/0!</v>
      </c>
      <c r="BC163" s="43" t="e">
        <f>BL$3*MIN(1,(ATM_Conf!$C$6-Links!AM163)/(ATM_Conf!$C$6-ATM_Conf!$C$7))</f>
        <v>#DIV/0!</v>
      </c>
      <c r="BD163" s="43">
        <f t="shared" si="118"/>
        <v>0</v>
      </c>
      <c r="BE163" s="43">
        <f t="shared" si="115"/>
        <v>0</v>
      </c>
      <c r="BF163" s="43">
        <f t="shared" si="115"/>
        <v>0</v>
      </c>
      <c r="BG163" s="43">
        <f t="shared" si="115"/>
        <v>0</v>
      </c>
      <c r="BH163" s="43">
        <f t="shared" si="115"/>
        <v>0</v>
      </c>
      <c r="BI163" s="43">
        <f t="shared" si="115"/>
        <v>0</v>
      </c>
      <c r="BJ163" s="43">
        <f t="shared" si="115"/>
        <v>0</v>
      </c>
      <c r="BK163" s="43">
        <f t="shared" si="115"/>
        <v>0</v>
      </c>
      <c r="BL163" s="43">
        <f t="shared" si="115"/>
        <v>0</v>
      </c>
      <c r="BM163" s="51"/>
      <c r="BN163" s="51"/>
      <c r="BO163" s="51"/>
      <c r="BP163" s="51"/>
      <c r="BQ163" s="51"/>
      <c r="BR163" s="51"/>
      <c r="BS163" s="51"/>
      <c r="BT163" s="51"/>
      <c r="BU163" s="51"/>
      <c r="BV163" s="51" t="e">
        <f t="shared" si="99"/>
        <v>#DIV/0!</v>
      </c>
      <c r="BW163" s="51" t="e">
        <f t="shared" si="100"/>
        <v>#DIV/0!</v>
      </c>
      <c r="BX163" s="51" t="e">
        <f t="shared" si="101"/>
        <v>#DIV/0!</v>
      </c>
      <c r="BY163" s="51" t="e">
        <f t="shared" si="102"/>
        <v>#DIV/0!</v>
      </c>
      <c r="BZ163" s="51" t="e">
        <f t="shared" si="103"/>
        <v>#DIV/0!</v>
      </c>
      <c r="CA163" s="51" t="e">
        <f t="shared" si="104"/>
        <v>#DIV/0!</v>
      </c>
      <c r="CB163" s="51" t="e">
        <f t="shared" si="105"/>
        <v>#DIV/0!</v>
      </c>
      <c r="CC163" s="51" t="e">
        <f t="shared" si="106"/>
        <v>#DIV/0!</v>
      </c>
      <c r="CD163" s="51" t="e">
        <f t="shared" si="107"/>
        <v>#DIV/0!</v>
      </c>
      <c r="CE163" s="53">
        <f t="shared" si="120"/>
        <v>0</v>
      </c>
      <c r="CF163" s="53">
        <f t="shared" si="116"/>
        <v>0</v>
      </c>
      <c r="CG163" s="53">
        <f t="shared" si="116"/>
        <v>0</v>
      </c>
      <c r="CH163" s="53">
        <f t="shared" si="116"/>
        <v>0</v>
      </c>
      <c r="CI163" s="53">
        <f t="shared" si="116"/>
        <v>0</v>
      </c>
      <c r="CJ163" s="53">
        <f t="shared" si="116"/>
        <v>0</v>
      </c>
      <c r="CK163" s="53">
        <f t="shared" si="116"/>
        <v>0</v>
      </c>
      <c r="CL163" s="53">
        <f t="shared" si="116"/>
        <v>0</v>
      </c>
      <c r="CM163" s="53">
        <f t="shared" si="116"/>
        <v>0</v>
      </c>
    </row>
    <row r="164" spans="1:91" x14ac:dyDescent="0.15">
      <c r="A164" s="41">
        <v>162</v>
      </c>
      <c r="B164" s="43">
        <f t="shared" si="122"/>
        <v>1</v>
      </c>
      <c r="C164" s="43">
        <f t="shared" si="121"/>
        <v>1</v>
      </c>
      <c r="D164" s="43">
        <f t="shared" si="121"/>
        <v>1</v>
      </c>
      <c r="E164" s="43">
        <f t="shared" si="121"/>
        <v>1</v>
      </c>
      <c r="F164" s="43">
        <f t="shared" si="121"/>
        <v>1</v>
      </c>
      <c r="G164" s="43">
        <f t="shared" si="121"/>
        <v>1</v>
      </c>
      <c r="H164" s="43">
        <f t="shared" si="121"/>
        <v>1</v>
      </c>
      <c r="I164" s="43">
        <f t="shared" si="121"/>
        <v>1</v>
      </c>
      <c r="J164" s="43">
        <f t="shared" si="121"/>
        <v>1</v>
      </c>
      <c r="K164" s="43" t="e">
        <f>K163+ATM_Conf!$C$5*(T163-AC163)</f>
        <v>#DIV/0!</v>
      </c>
      <c r="L164" s="43" t="e">
        <f>L163+ATM_Conf!$C$5*(U163-AD163)</f>
        <v>#DIV/0!</v>
      </c>
      <c r="M164" s="43" t="e">
        <f>M163+ATM_Conf!$C$5*(V163-AE163)</f>
        <v>#DIV/0!</v>
      </c>
      <c r="N164" s="43" t="e">
        <f>N163+ATM_Conf!$C$5*(W163-AF163)</f>
        <v>#DIV/0!</v>
      </c>
      <c r="O164" s="43" t="e">
        <f>O163+ATM_Conf!$C$5*(X163-AG163)</f>
        <v>#DIV/0!</v>
      </c>
      <c r="P164" s="43" t="e">
        <f>P163+ATM_Conf!$C$5*(Y163-AH163)</f>
        <v>#DIV/0!</v>
      </c>
      <c r="Q164" s="43" t="e">
        <f>Q163+ATM_Conf!$C$5*(Z163-AI163)</f>
        <v>#DIV/0!</v>
      </c>
      <c r="R164" s="43" t="e">
        <f>R163+ATM_Conf!$C$5*(AA163-AJ163)</f>
        <v>#DIV/0!</v>
      </c>
      <c r="S164" s="43" t="e">
        <f>S163+ATM_Conf!$C$5*(AB163-AK163)</f>
        <v>#DIV/0!</v>
      </c>
      <c r="T164" s="43">
        <f t="shared" si="117"/>
        <v>0</v>
      </c>
      <c r="U164" s="43">
        <f t="shared" si="114"/>
        <v>0</v>
      </c>
      <c r="V164" s="43">
        <f t="shared" si="114"/>
        <v>0</v>
      </c>
      <c r="W164" s="43">
        <f t="shared" si="114"/>
        <v>0</v>
      </c>
      <c r="X164" s="43">
        <f t="shared" si="114"/>
        <v>0</v>
      </c>
      <c r="Y164" s="43">
        <f t="shared" si="114"/>
        <v>0</v>
      </c>
      <c r="Z164" s="43">
        <f t="shared" si="114"/>
        <v>0</v>
      </c>
      <c r="AA164" s="43">
        <f t="shared" si="114"/>
        <v>0</v>
      </c>
      <c r="AB164" s="43">
        <f t="shared" si="114"/>
        <v>0</v>
      </c>
      <c r="AC164" s="43" t="e">
        <f t="shared" si="90"/>
        <v>#DIV/0!</v>
      </c>
      <c r="AD164" s="43" t="e">
        <f t="shared" si="91"/>
        <v>#DIV/0!</v>
      </c>
      <c r="AE164" s="43" t="e">
        <f t="shared" si="92"/>
        <v>#DIV/0!</v>
      </c>
      <c r="AF164" s="43" t="e">
        <f t="shared" si="93"/>
        <v>#DIV/0!</v>
      </c>
      <c r="AG164" s="43" t="e">
        <f t="shared" si="94"/>
        <v>#DIV/0!</v>
      </c>
      <c r="AH164" s="43" t="e">
        <f t="shared" si="95"/>
        <v>#DIV/0!</v>
      </c>
      <c r="AI164" s="43" t="e">
        <f t="shared" si="96"/>
        <v>#DIV/0!</v>
      </c>
      <c r="AJ164" s="43" t="e">
        <f t="shared" si="97"/>
        <v>#DIV/0!</v>
      </c>
      <c r="AK164" s="43" t="e">
        <f t="shared" si="98"/>
        <v>#DIV/0!</v>
      </c>
      <c r="AL164" s="43" t="e">
        <f>T$3+K164/ATM_Conf!$C$5</f>
        <v>#DIV/0!</v>
      </c>
      <c r="AM164" s="43" t="e">
        <f>U$3+L164/ATM_Conf!$C$5</f>
        <v>#DIV/0!</v>
      </c>
      <c r="AN164" s="43" t="e">
        <f>V$3+M164/ATM_Conf!$C$5</f>
        <v>#DIV/0!</v>
      </c>
      <c r="AO164" s="43" t="e">
        <f>W$3+N164/ATM_Conf!$C$5</f>
        <v>#DIV/0!</v>
      </c>
      <c r="AP164" s="43" t="e">
        <f>X$3+O164/ATM_Conf!$C$5</f>
        <v>#DIV/0!</v>
      </c>
      <c r="AQ164" s="43" t="e">
        <f>Y$3+P164/ATM_Conf!$C$5</f>
        <v>#DIV/0!</v>
      </c>
      <c r="AR164" s="43" t="e">
        <f>Z$3+Q164/ATM_Conf!$C$5</f>
        <v>#DIV/0!</v>
      </c>
      <c r="AS164" s="43" t="e">
        <f>AA$3+R164/ATM_Conf!$C$5</f>
        <v>#DIV/0!</v>
      </c>
      <c r="AT164" s="43" t="e">
        <f>AB$3+S164/ATM_Conf!$C$5</f>
        <v>#DIV/0!</v>
      </c>
      <c r="AU164" s="43" t="e">
        <f>BD$3*MIN(1,(ATM_Conf!$C$6-Links!X164)/(ATM_Conf!$C$6-ATM_Conf!$C$7))</f>
        <v>#DIV/0!</v>
      </c>
      <c r="AV164" s="43" t="e">
        <f>BE$3*MIN(1,(ATM_Conf!$C$6-Links!Z164)/(ATM_Conf!$C$6-ATM_Conf!$C$7))</f>
        <v>#DIV/0!</v>
      </c>
      <c r="AW164" s="43" t="e">
        <f>BF$3*MIN(1,(ATM_Conf!$C$6-Links!AA164)/(ATM_Conf!$C$6-ATM_Conf!$C$7))</f>
        <v>#DIV/0!</v>
      </c>
      <c r="AX164" s="43" t="e">
        <f>BG$3*MIN(1,(ATM_Conf!$C$6-Links!AD164)/(ATM_Conf!$C$6-ATM_Conf!$C$7))</f>
        <v>#DIV/0!</v>
      </c>
      <c r="AY164" s="43" t="e">
        <f>BH$3*MIN(1,(ATM_Conf!$C$6-Links!AE164)/(ATM_Conf!$C$6-ATM_Conf!$C$7))</f>
        <v>#DIV/0!</v>
      </c>
      <c r="AZ164" s="43" t="e">
        <f>BI$3*MIN(1,(ATM_Conf!$C$6-Links!AG164)/(ATM_Conf!$C$6-ATM_Conf!$C$7))</f>
        <v>#DIV/0!</v>
      </c>
      <c r="BA164" s="43" t="e">
        <f>BJ$3*MIN(1,(ATM_Conf!$C$6-Links!AH164)/(ATM_Conf!$C$6-ATM_Conf!$C$7))</f>
        <v>#DIV/0!</v>
      </c>
      <c r="BB164" s="43" t="e">
        <f>BK$3*MIN(1,(ATM_Conf!$C$6-Links!AK164)/(ATM_Conf!$C$6-ATM_Conf!$C$7))</f>
        <v>#DIV/0!</v>
      </c>
      <c r="BC164" s="43" t="e">
        <f>BL$3*MIN(1,(ATM_Conf!$C$6-Links!AM164)/(ATM_Conf!$C$6-ATM_Conf!$C$7))</f>
        <v>#DIV/0!</v>
      </c>
      <c r="BD164" s="43">
        <f t="shared" si="118"/>
        <v>0</v>
      </c>
      <c r="BE164" s="43">
        <f t="shared" si="115"/>
        <v>0</v>
      </c>
      <c r="BF164" s="43">
        <f t="shared" si="115"/>
        <v>0</v>
      </c>
      <c r="BG164" s="43">
        <f t="shared" si="115"/>
        <v>0</v>
      </c>
      <c r="BH164" s="43">
        <f t="shared" si="115"/>
        <v>0</v>
      </c>
      <c r="BI164" s="43">
        <f t="shared" si="115"/>
        <v>0</v>
      </c>
      <c r="BJ164" s="43">
        <f t="shared" si="115"/>
        <v>0</v>
      </c>
      <c r="BK164" s="43">
        <f t="shared" si="115"/>
        <v>0</v>
      </c>
      <c r="BL164" s="43">
        <f t="shared" si="115"/>
        <v>0</v>
      </c>
      <c r="BM164" s="51"/>
      <c r="BN164" s="51"/>
      <c r="BO164" s="51"/>
      <c r="BP164" s="51"/>
      <c r="BQ164" s="51"/>
      <c r="BR164" s="51"/>
      <c r="BS164" s="51"/>
      <c r="BT164" s="51"/>
      <c r="BU164" s="51"/>
      <c r="BV164" s="51" t="e">
        <f t="shared" si="99"/>
        <v>#DIV/0!</v>
      </c>
      <c r="BW164" s="51" t="e">
        <f t="shared" si="100"/>
        <v>#DIV/0!</v>
      </c>
      <c r="BX164" s="51" t="e">
        <f t="shared" si="101"/>
        <v>#DIV/0!</v>
      </c>
      <c r="BY164" s="51" t="e">
        <f t="shared" si="102"/>
        <v>#DIV/0!</v>
      </c>
      <c r="BZ164" s="51" t="e">
        <f t="shared" si="103"/>
        <v>#DIV/0!</v>
      </c>
      <c r="CA164" s="51" t="e">
        <f t="shared" si="104"/>
        <v>#DIV/0!</v>
      </c>
      <c r="CB164" s="51" t="e">
        <f t="shared" si="105"/>
        <v>#DIV/0!</v>
      </c>
      <c r="CC164" s="51" t="e">
        <f t="shared" si="106"/>
        <v>#DIV/0!</v>
      </c>
      <c r="CD164" s="51" t="e">
        <f t="shared" si="107"/>
        <v>#DIV/0!</v>
      </c>
      <c r="CE164" s="53">
        <f t="shared" si="120"/>
        <v>0</v>
      </c>
      <c r="CF164" s="53">
        <f t="shared" si="116"/>
        <v>0</v>
      </c>
      <c r="CG164" s="53">
        <f t="shared" si="116"/>
        <v>0</v>
      </c>
      <c r="CH164" s="53">
        <f t="shared" si="116"/>
        <v>0</v>
      </c>
      <c r="CI164" s="53">
        <f t="shared" si="116"/>
        <v>0</v>
      </c>
      <c r="CJ164" s="53">
        <f t="shared" si="116"/>
        <v>0</v>
      </c>
      <c r="CK164" s="53">
        <f t="shared" si="116"/>
        <v>0</v>
      </c>
      <c r="CL164" s="53">
        <f t="shared" si="116"/>
        <v>0</v>
      </c>
      <c r="CM164" s="53">
        <f t="shared" si="116"/>
        <v>0</v>
      </c>
    </row>
    <row r="165" spans="1:91" x14ac:dyDescent="0.15">
      <c r="A165" s="41">
        <v>163</v>
      </c>
      <c r="B165" s="43">
        <f t="shared" si="122"/>
        <v>1</v>
      </c>
      <c r="C165" s="43">
        <f t="shared" si="121"/>
        <v>1</v>
      </c>
      <c r="D165" s="43">
        <f t="shared" si="121"/>
        <v>1</v>
      </c>
      <c r="E165" s="43">
        <f t="shared" si="121"/>
        <v>1</v>
      </c>
      <c r="F165" s="43">
        <f t="shared" si="121"/>
        <v>1</v>
      </c>
      <c r="G165" s="43">
        <f t="shared" si="121"/>
        <v>1</v>
      </c>
      <c r="H165" s="43">
        <f t="shared" si="121"/>
        <v>1</v>
      </c>
      <c r="I165" s="43">
        <f t="shared" si="121"/>
        <v>1</v>
      </c>
      <c r="J165" s="43">
        <f t="shared" si="121"/>
        <v>1</v>
      </c>
      <c r="K165" s="43" t="e">
        <f>K164+ATM_Conf!$C$5*(T164-AC164)</f>
        <v>#DIV/0!</v>
      </c>
      <c r="L165" s="43" t="e">
        <f>L164+ATM_Conf!$C$5*(U164-AD164)</f>
        <v>#DIV/0!</v>
      </c>
      <c r="M165" s="43" t="e">
        <f>M164+ATM_Conf!$C$5*(V164-AE164)</f>
        <v>#DIV/0!</v>
      </c>
      <c r="N165" s="43" t="e">
        <f>N164+ATM_Conf!$C$5*(W164-AF164)</f>
        <v>#DIV/0!</v>
      </c>
      <c r="O165" s="43" t="e">
        <f>O164+ATM_Conf!$C$5*(X164-AG164)</f>
        <v>#DIV/0!</v>
      </c>
      <c r="P165" s="43" t="e">
        <f>P164+ATM_Conf!$C$5*(Y164-AH164)</f>
        <v>#DIV/0!</v>
      </c>
      <c r="Q165" s="43" t="e">
        <f>Q164+ATM_Conf!$C$5*(Z164-AI164)</f>
        <v>#DIV/0!</v>
      </c>
      <c r="R165" s="43" t="e">
        <f>R164+ATM_Conf!$C$5*(AA164-AJ164)</f>
        <v>#DIV/0!</v>
      </c>
      <c r="S165" s="43" t="e">
        <f>S164+ATM_Conf!$C$5*(AB164-AK164)</f>
        <v>#DIV/0!</v>
      </c>
      <c r="T165" s="43">
        <f t="shared" si="117"/>
        <v>0</v>
      </c>
      <c r="U165" s="43">
        <f t="shared" si="114"/>
        <v>0</v>
      </c>
      <c r="V165" s="43">
        <f t="shared" si="114"/>
        <v>0</v>
      </c>
      <c r="W165" s="43">
        <f t="shared" si="114"/>
        <v>0</v>
      </c>
      <c r="X165" s="43">
        <f t="shared" si="114"/>
        <v>0</v>
      </c>
      <c r="Y165" s="43">
        <f t="shared" si="114"/>
        <v>0</v>
      </c>
      <c r="Z165" s="43">
        <f t="shared" si="114"/>
        <v>0</v>
      </c>
      <c r="AA165" s="43">
        <f t="shared" si="114"/>
        <v>0</v>
      </c>
      <c r="AB165" s="43">
        <f t="shared" si="114"/>
        <v>0</v>
      </c>
      <c r="AC165" s="43" t="e">
        <f t="shared" si="90"/>
        <v>#DIV/0!</v>
      </c>
      <c r="AD165" s="43" t="e">
        <f t="shared" si="91"/>
        <v>#DIV/0!</v>
      </c>
      <c r="AE165" s="43" t="e">
        <f t="shared" si="92"/>
        <v>#DIV/0!</v>
      </c>
      <c r="AF165" s="43" t="e">
        <f t="shared" si="93"/>
        <v>#DIV/0!</v>
      </c>
      <c r="AG165" s="43" t="e">
        <f t="shared" si="94"/>
        <v>#DIV/0!</v>
      </c>
      <c r="AH165" s="43" t="e">
        <f t="shared" si="95"/>
        <v>#DIV/0!</v>
      </c>
      <c r="AI165" s="43" t="e">
        <f t="shared" si="96"/>
        <v>#DIV/0!</v>
      </c>
      <c r="AJ165" s="43" t="e">
        <f t="shared" si="97"/>
        <v>#DIV/0!</v>
      </c>
      <c r="AK165" s="43" t="e">
        <f t="shared" si="98"/>
        <v>#DIV/0!</v>
      </c>
      <c r="AL165" s="43" t="e">
        <f>T$3+K165/ATM_Conf!$C$5</f>
        <v>#DIV/0!</v>
      </c>
      <c r="AM165" s="43" t="e">
        <f>U$3+L165/ATM_Conf!$C$5</f>
        <v>#DIV/0!</v>
      </c>
      <c r="AN165" s="43" t="e">
        <f>V$3+M165/ATM_Conf!$C$5</f>
        <v>#DIV/0!</v>
      </c>
      <c r="AO165" s="43" t="e">
        <f>W$3+N165/ATM_Conf!$C$5</f>
        <v>#DIV/0!</v>
      </c>
      <c r="AP165" s="43" t="e">
        <f>X$3+O165/ATM_Conf!$C$5</f>
        <v>#DIV/0!</v>
      </c>
      <c r="AQ165" s="43" t="e">
        <f>Y$3+P165/ATM_Conf!$C$5</f>
        <v>#DIV/0!</v>
      </c>
      <c r="AR165" s="43" t="e">
        <f>Z$3+Q165/ATM_Conf!$C$5</f>
        <v>#DIV/0!</v>
      </c>
      <c r="AS165" s="43" t="e">
        <f>AA$3+R165/ATM_Conf!$C$5</f>
        <v>#DIV/0!</v>
      </c>
      <c r="AT165" s="43" t="e">
        <f>AB$3+S165/ATM_Conf!$C$5</f>
        <v>#DIV/0!</v>
      </c>
      <c r="AU165" s="43" t="e">
        <f>BD$3*MIN(1,(ATM_Conf!$C$6-Links!X165)/(ATM_Conf!$C$6-ATM_Conf!$C$7))</f>
        <v>#DIV/0!</v>
      </c>
      <c r="AV165" s="43" t="e">
        <f>BE$3*MIN(1,(ATM_Conf!$C$6-Links!Z165)/(ATM_Conf!$C$6-ATM_Conf!$C$7))</f>
        <v>#DIV/0!</v>
      </c>
      <c r="AW165" s="43" t="e">
        <f>BF$3*MIN(1,(ATM_Conf!$C$6-Links!AA165)/(ATM_Conf!$C$6-ATM_Conf!$C$7))</f>
        <v>#DIV/0!</v>
      </c>
      <c r="AX165" s="43" t="e">
        <f>BG$3*MIN(1,(ATM_Conf!$C$6-Links!AD165)/(ATM_Conf!$C$6-ATM_Conf!$C$7))</f>
        <v>#DIV/0!</v>
      </c>
      <c r="AY165" s="43" t="e">
        <f>BH$3*MIN(1,(ATM_Conf!$C$6-Links!AE165)/(ATM_Conf!$C$6-ATM_Conf!$C$7))</f>
        <v>#DIV/0!</v>
      </c>
      <c r="AZ165" s="43" t="e">
        <f>BI$3*MIN(1,(ATM_Conf!$C$6-Links!AG165)/(ATM_Conf!$C$6-ATM_Conf!$C$7))</f>
        <v>#DIV/0!</v>
      </c>
      <c r="BA165" s="43" t="e">
        <f>BJ$3*MIN(1,(ATM_Conf!$C$6-Links!AH165)/(ATM_Conf!$C$6-ATM_Conf!$C$7))</f>
        <v>#DIV/0!</v>
      </c>
      <c r="BB165" s="43" t="e">
        <f>BK$3*MIN(1,(ATM_Conf!$C$6-Links!AK165)/(ATM_Conf!$C$6-ATM_Conf!$C$7))</f>
        <v>#DIV/0!</v>
      </c>
      <c r="BC165" s="43" t="e">
        <f>BL$3*MIN(1,(ATM_Conf!$C$6-Links!AM165)/(ATM_Conf!$C$6-ATM_Conf!$C$7))</f>
        <v>#DIV/0!</v>
      </c>
      <c r="BD165" s="43">
        <f t="shared" si="118"/>
        <v>0</v>
      </c>
      <c r="BE165" s="43">
        <f t="shared" si="115"/>
        <v>0</v>
      </c>
      <c r="BF165" s="43">
        <f t="shared" si="115"/>
        <v>0</v>
      </c>
      <c r="BG165" s="43">
        <f t="shared" si="115"/>
        <v>0</v>
      </c>
      <c r="BH165" s="43">
        <f t="shared" si="115"/>
        <v>0</v>
      </c>
      <c r="BI165" s="43">
        <f t="shared" si="115"/>
        <v>0</v>
      </c>
      <c r="BJ165" s="43">
        <f t="shared" si="115"/>
        <v>0</v>
      </c>
      <c r="BK165" s="43">
        <f t="shared" si="115"/>
        <v>0</v>
      </c>
      <c r="BL165" s="43">
        <f t="shared" si="115"/>
        <v>0</v>
      </c>
      <c r="BM165" s="51"/>
      <c r="BN165" s="51"/>
      <c r="BO165" s="51"/>
      <c r="BP165" s="51"/>
      <c r="BQ165" s="51"/>
      <c r="BR165" s="51"/>
      <c r="BS165" s="51"/>
      <c r="BT165" s="51"/>
      <c r="BU165" s="51"/>
      <c r="BV165" s="51" t="e">
        <f t="shared" si="99"/>
        <v>#DIV/0!</v>
      </c>
      <c r="BW165" s="51" t="e">
        <f t="shared" si="100"/>
        <v>#DIV/0!</v>
      </c>
      <c r="BX165" s="51" t="e">
        <f t="shared" si="101"/>
        <v>#DIV/0!</v>
      </c>
      <c r="BY165" s="51" t="e">
        <f t="shared" si="102"/>
        <v>#DIV/0!</v>
      </c>
      <c r="BZ165" s="51" t="e">
        <f t="shared" si="103"/>
        <v>#DIV/0!</v>
      </c>
      <c r="CA165" s="51" t="e">
        <f t="shared" si="104"/>
        <v>#DIV/0!</v>
      </c>
      <c r="CB165" s="51" t="e">
        <f t="shared" si="105"/>
        <v>#DIV/0!</v>
      </c>
      <c r="CC165" s="51" t="e">
        <f t="shared" si="106"/>
        <v>#DIV/0!</v>
      </c>
      <c r="CD165" s="51" t="e">
        <f t="shared" si="107"/>
        <v>#DIV/0!</v>
      </c>
      <c r="CE165" s="53">
        <f t="shared" si="120"/>
        <v>0</v>
      </c>
      <c r="CF165" s="53">
        <f t="shared" si="116"/>
        <v>0</v>
      </c>
      <c r="CG165" s="53">
        <f t="shared" si="116"/>
        <v>0</v>
      </c>
      <c r="CH165" s="53">
        <f t="shared" si="116"/>
        <v>0</v>
      </c>
      <c r="CI165" s="53">
        <f t="shared" si="116"/>
        <v>0</v>
      </c>
      <c r="CJ165" s="53">
        <f t="shared" si="116"/>
        <v>0</v>
      </c>
      <c r="CK165" s="53">
        <f t="shared" si="116"/>
        <v>0</v>
      </c>
      <c r="CL165" s="53">
        <f t="shared" si="116"/>
        <v>0</v>
      </c>
      <c r="CM165" s="53">
        <f t="shared" si="116"/>
        <v>0</v>
      </c>
    </row>
    <row r="166" spans="1:91" x14ac:dyDescent="0.15">
      <c r="A166" s="41">
        <v>164</v>
      </c>
      <c r="B166" s="43">
        <f t="shared" si="122"/>
        <v>1</v>
      </c>
      <c r="C166" s="43">
        <f t="shared" si="121"/>
        <v>1</v>
      </c>
      <c r="D166" s="43">
        <f t="shared" si="121"/>
        <v>1</v>
      </c>
      <c r="E166" s="43">
        <f t="shared" si="121"/>
        <v>1</v>
      </c>
      <c r="F166" s="43">
        <f t="shared" si="121"/>
        <v>1</v>
      </c>
      <c r="G166" s="43">
        <f t="shared" si="121"/>
        <v>1</v>
      </c>
      <c r="H166" s="43">
        <f t="shared" si="121"/>
        <v>1</v>
      </c>
      <c r="I166" s="43">
        <f t="shared" si="121"/>
        <v>1</v>
      </c>
      <c r="J166" s="43">
        <f t="shared" si="121"/>
        <v>1</v>
      </c>
      <c r="K166" s="43" t="e">
        <f>K165+ATM_Conf!$C$5*(T165-AC165)</f>
        <v>#DIV/0!</v>
      </c>
      <c r="L166" s="43" t="e">
        <f>L165+ATM_Conf!$C$5*(U165-AD165)</f>
        <v>#DIV/0!</v>
      </c>
      <c r="M166" s="43" t="e">
        <f>M165+ATM_Conf!$C$5*(V165-AE165)</f>
        <v>#DIV/0!</v>
      </c>
      <c r="N166" s="43" t="e">
        <f>N165+ATM_Conf!$C$5*(W165-AF165)</f>
        <v>#DIV/0!</v>
      </c>
      <c r="O166" s="43" t="e">
        <f>O165+ATM_Conf!$C$5*(X165-AG165)</f>
        <v>#DIV/0!</v>
      </c>
      <c r="P166" s="43" t="e">
        <f>P165+ATM_Conf!$C$5*(Y165-AH165)</f>
        <v>#DIV/0!</v>
      </c>
      <c r="Q166" s="43" t="e">
        <f>Q165+ATM_Conf!$C$5*(Z165-AI165)</f>
        <v>#DIV/0!</v>
      </c>
      <c r="R166" s="43" t="e">
        <f>R165+ATM_Conf!$C$5*(AA165-AJ165)</f>
        <v>#DIV/0!</v>
      </c>
      <c r="S166" s="43" t="e">
        <f>S165+ATM_Conf!$C$5*(AB165-AK165)</f>
        <v>#DIV/0!</v>
      </c>
      <c r="T166" s="43">
        <f t="shared" si="117"/>
        <v>0</v>
      </c>
      <c r="U166" s="43">
        <f t="shared" si="114"/>
        <v>0</v>
      </c>
      <c r="V166" s="43">
        <f t="shared" si="114"/>
        <v>0</v>
      </c>
      <c r="W166" s="43">
        <f t="shared" si="114"/>
        <v>0</v>
      </c>
      <c r="X166" s="43">
        <f t="shared" si="114"/>
        <v>0</v>
      </c>
      <c r="Y166" s="43">
        <f t="shared" si="114"/>
        <v>0</v>
      </c>
      <c r="Z166" s="43">
        <f t="shared" si="114"/>
        <v>0</v>
      </c>
      <c r="AA166" s="43">
        <f t="shared" si="114"/>
        <v>0</v>
      </c>
      <c r="AB166" s="43">
        <f t="shared" si="114"/>
        <v>0</v>
      </c>
      <c r="AC166" s="43" t="e">
        <f t="shared" si="90"/>
        <v>#DIV/0!</v>
      </c>
      <c r="AD166" s="43" t="e">
        <f t="shared" si="91"/>
        <v>#DIV/0!</v>
      </c>
      <c r="AE166" s="43" t="e">
        <f t="shared" si="92"/>
        <v>#DIV/0!</v>
      </c>
      <c r="AF166" s="43" t="e">
        <f t="shared" si="93"/>
        <v>#DIV/0!</v>
      </c>
      <c r="AG166" s="43" t="e">
        <f t="shared" si="94"/>
        <v>#DIV/0!</v>
      </c>
      <c r="AH166" s="43" t="e">
        <f t="shared" si="95"/>
        <v>#DIV/0!</v>
      </c>
      <c r="AI166" s="43" t="e">
        <f t="shared" si="96"/>
        <v>#DIV/0!</v>
      </c>
      <c r="AJ166" s="43" t="e">
        <f t="shared" si="97"/>
        <v>#DIV/0!</v>
      </c>
      <c r="AK166" s="43" t="e">
        <f t="shared" si="98"/>
        <v>#DIV/0!</v>
      </c>
      <c r="AL166" s="43" t="e">
        <f>T$3+K166/ATM_Conf!$C$5</f>
        <v>#DIV/0!</v>
      </c>
      <c r="AM166" s="43" t="e">
        <f>U$3+L166/ATM_Conf!$C$5</f>
        <v>#DIV/0!</v>
      </c>
      <c r="AN166" s="43" t="e">
        <f>V$3+M166/ATM_Conf!$C$5</f>
        <v>#DIV/0!</v>
      </c>
      <c r="AO166" s="43" t="e">
        <f>W$3+N166/ATM_Conf!$C$5</f>
        <v>#DIV/0!</v>
      </c>
      <c r="AP166" s="43" t="e">
        <f>X$3+O166/ATM_Conf!$C$5</f>
        <v>#DIV/0!</v>
      </c>
      <c r="AQ166" s="43" t="e">
        <f>Y$3+P166/ATM_Conf!$C$5</f>
        <v>#DIV/0!</v>
      </c>
      <c r="AR166" s="43" t="e">
        <f>Z$3+Q166/ATM_Conf!$C$5</f>
        <v>#DIV/0!</v>
      </c>
      <c r="AS166" s="43" t="e">
        <f>AA$3+R166/ATM_Conf!$C$5</f>
        <v>#DIV/0!</v>
      </c>
      <c r="AT166" s="43" t="e">
        <f>AB$3+S166/ATM_Conf!$C$5</f>
        <v>#DIV/0!</v>
      </c>
      <c r="AU166" s="43" t="e">
        <f>BD$3*MIN(1,(ATM_Conf!$C$6-Links!X166)/(ATM_Conf!$C$6-ATM_Conf!$C$7))</f>
        <v>#DIV/0!</v>
      </c>
      <c r="AV166" s="43" t="e">
        <f>BE$3*MIN(1,(ATM_Conf!$C$6-Links!Z166)/(ATM_Conf!$C$6-ATM_Conf!$C$7))</f>
        <v>#DIV/0!</v>
      </c>
      <c r="AW166" s="43" t="e">
        <f>BF$3*MIN(1,(ATM_Conf!$C$6-Links!AA166)/(ATM_Conf!$C$6-ATM_Conf!$C$7))</f>
        <v>#DIV/0!</v>
      </c>
      <c r="AX166" s="43" t="e">
        <f>BG$3*MIN(1,(ATM_Conf!$C$6-Links!AD166)/(ATM_Conf!$C$6-ATM_Conf!$C$7))</f>
        <v>#DIV/0!</v>
      </c>
      <c r="AY166" s="43" t="e">
        <f>BH$3*MIN(1,(ATM_Conf!$C$6-Links!AE166)/(ATM_Conf!$C$6-ATM_Conf!$C$7))</f>
        <v>#DIV/0!</v>
      </c>
      <c r="AZ166" s="43" t="e">
        <f>BI$3*MIN(1,(ATM_Conf!$C$6-Links!AG166)/(ATM_Conf!$C$6-ATM_Conf!$C$7))</f>
        <v>#DIV/0!</v>
      </c>
      <c r="BA166" s="43" t="e">
        <f>BJ$3*MIN(1,(ATM_Conf!$C$6-Links!AH166)/(ATM_Conf!$C$6-ATM_Conf!$C$7))</f>
        <v>#DIV/0!</v>
      </c>
      <c r="BB166" s="43" t="e">
        <f>BK$3*MIN(1,(ATM_Conf!$C$6-Links!AK166)/(ATM_Conf!$C$6-ATM_Conf!$C$7))</f>
        <v>#DIV/0!</v>
      </c>
      <c r="BC166" s="43" t="e">
        <f>BL$3*MIN(1,(ATM_Conf!$C$6-Links!AM166)/(ATM_Conf!$C$6-ATM_Conf!$C$7))</f>
        <v>#DIV/0!</v>
      </c>
      <c r="BD166" s="43">
        <f t="shared" si="118"/>
        <v>0</v>
      </c>
      <c r="BE166" s="43">
        <f t="shared" si="115"/>
        <v>0</v>
      </c>
      <c r="BF166" s="43">
        <f t="shared" si="115"/>
        <v>0</v>
      </c>
      <c r="BG166" s="43">
        <f t="shared" si="115"/>
        <v>0</v>
      </c>
      <c r="BH166" s="43">
        <f t="shared" si="115"/>
        <v>0</v>
      </c>
      <c r="BI166" s="43">
        <f t="shared" si="115"/>
        <v>0</v>
      </c>
      <c r="BJ166" s="43">
        <f t="shared" si="115"/>
        <v>0</v>
      </c>
      <c r="BK166" s="43">
        <f t="shared" si="115"/>
        <v>0</v>
      </c>
      <c r="BL166" s="43">
        <f t="shared" si="115"/>
        <v>0</v>
      </c>
      <c r="BM166" s="51"/>
      <c r="BN166" s="51"/>
      <c r="BO166" s="51"/>
      <c r="BP166" s="51"/>
      <c r="BQ166" s="51"/>
      <c r="BR166" s="51"/>
      <c r="BS166" s="51"/>
      <c r="BT166" s="51"/>
      <c r="BU166" s="51"/>
      <c r="BV166" s="51" t="e">
        <f t="shared" si="99"/>
        <v>#DIV/0!</v>
      </c>
      <c r="BW166" s="51" t="e">
        <f t="shared" si="100"/>
        <v>#DIV/0!</v>
      </c>
      <c r="BX166" s="51" t="e">
        <f t="shared" si="101"/>
        <v>#DIV/0!</v>
      </c>
      <c r="BY166" s="51" t="e">
        <f t="shared" si="102"/>
        <v>#DIV/0!</v>
      </c>
      <c r="BZ166" s="51" t="e">
        <f t="shared" si="103"/>
        <v>#DIV/0!</v>
      </c>
      <c r="CA166" s="51" t="e">
        <f t="shared" si="104"/>
        <v>#DIV/0!</v>
      </c>
      <c r="CB166" s="51" t="e">
        <f t="shared" si="105"/>
        <v>#DIV/0!</v>
      </c>
      <c r="CC166" s="51" t="e">
        <f t="shared" si="106"/>
        <v>#DIV/0!</v>
      </c>
      <c r="CD166" s="51" t="e">
        <f t="shared" si="107"/>
        <v>#DIV/0!</v>
      </c>
      <c r="CE166" s="53">
        <f t="shared" si="120"/>
        <v>0</v>
      </c>
      <c r="CF166" s="53">
        <f t="shared" si="116"/>
        <v>0</v>
      </c>
      <c r="CG166" s="53">
        <f t="shared" si="116"/>
        <v>0</v>
      </c>
      <c r="CH166" s="53">
        <f t="shared" si="116"/>
        <v>0</v>
      </c>
      <c r="CI166" s="53">
        <f t="shared" si="116"/>
        <v>0</v>
      </c>
      <c r="CJ166" s="53">
        <f t="shared" si="116"/>
        <v>0</v>
      </c>
      <c r="CK166" s="53">
        <f t="shared" si="116"/>
        <v>0</v>
      </c>
      <c r="CL166" s="53">
        <f t="shared" si="116"/>
        <v>0</v>
      </c>
      <c r="CM166" s="53">
        <f t="shared" si="116"/>
        <v>0</v>
      </c>
    </row>
    <row r="167" spans="1:91" x14ac:dyDescent="0.15">
      <c r="A167" s="41">
        <v>165</v>
      </c>
      <c r="B167" s="43">
        <f t="shared" si="122"/>
        <v>1</v>
      </c>
      <c r="C167" s="43">
        <f t="shared" si="121"/>
        <v>1</v>
      </c>
      <c r="D167" s="43">
        <f t="shared" si="121"/>
        <v>1</v>
      </c>
      <c r="E167" s="43">
        <f t="shared" si="121"/>
        <v>1</v>
      </c>
      <c r="F167" s="43">
        <f t="shared" si="121"/>
        <v>1</v>
      </c>
      <c r="G167" s="43">
        <f t="shared" si="121"/>
        <v>1</v>
      </c>
      <c r="H167" s="43">
        <f t="shared" si="121"/>
        <v>1</v>
      </c>
      <c r="I167" s="43">
        <f t="shared" si="121"/>
        <v>1</v>
      </c>
      <c r="J167" s="43">
        <f t="shared" si="121"/>
        <v>1</v>
      </c>
      <c r="K167" s="43" t="e">
        <f>K166+ATM_Conf!$C$5*(T166-AC166)</f>
        <v>#DIV/0!</v>
      </c>
      <c r="L167" s="43" t="e">
        <f>L166+ATM_Conf!$C$5*(U166-AD166)</f>
        <v>#DIV/0!</v>
      </c>
      <c r="M167" s="43" t="e">
        <f>M166+ATM_Conf!$C$5*(V166-AE166)</f>
        <v>#DIV/0!</v>
      </c>
      <c r="N167" s="43" t="e">
        <f>N166+ATM_Conf!$C$5*(W166-AF166)</f>
        <v>#DIV/0!</v>
      </c>
      <c r="O167" s="43" t="e">
        <f>O166+ATM_Conf!$C$5*(X166-AG166)</f>
        <v>#DIV/0!</v>
      </c>
      <c r="P167" s="43" t="e">
        <f>P166+ATM_Conf!$C$5*(Y166-AH166)</f>
        <v>#DIV/0!</v>
      </c>
      <c r="Q167" s="43" t="e">
        <f>Q166+ATM_Conf!$C$5*(Z166-AI166)</f>
        <v>#DIV/0!</v>
      </c>
      <c r="R167" s="43" t="e">
        <f>R166+ATM_Conf!$C$5*(AA166-AJ166)</f>
        <v>#DIV/0!</v>
      </c>
      <c r="S167" s="43" t="e">
        <f>S166+ATM_Conf!$C$5*(AB166-AK166)</f>
        <v>#DIV/0!</v>
      </c>
      <c r="T167" s="43">
        <f t="shared" si="117"/>
        <v>0</v>
      </c>
      <c r="U167" s="43">
        <f t="shared" si="114"/>
        <v>0</v>
      </c>
      <c r="V167" s="43">
        <f t="shared" si="114"/>
        <v>0</v>
      </c>
      <c r="W167" s="43">
        <f t="shared" si="114"/>
        <v>0</v>
      </c>
      <c r="X167" s="43">
        <f t="shared" si="114"/>
        <v>0</v>
      </c>
      <c r="Y167" s="43">
        <f t="shared" si="114"/>
        <v>0</v>
      </c>
      <c r="Z167" s="43">
        <f t="shared" si="114"/>
        <v>0</v>
      </c>
      <c r="AA167" s="43">
        <f t="shared" si="114"/>
        <v>0</v>
      </c>
      <c r="AB167" s="43">
        <f t="shared" si="114"/>
        <v>0</v>
      </c>
      <c r="AC167" s="43" t="e">
        <f t="shared" si="90"/>
        <v>#DIV/0!</v>
      </c>
      <c r="AD167" s="43" t="e">
        <f t="shared" si="91"/>
        <v>#DIV/0!</v>
      </c>
      <c r="AE167" s="43" t="e">
        <f t="shared" si="92"/>
        <v>#DIV/0!</v>
      </c>
      <c r="AF167" s="43" t="e">
        <f t="shared" si="93"/>
        <v>#DIV/0!</v>
      </c>
      <c r="AG167" s="43" t="e">
        <f t="shared" si="94"/>
        <v>#DIV/0!</v>
      </c>
      <c r="AH167" s="43" t="e">
        <f t="shared" si="95"/>
        <v>#DIV/0!</v>
      </c>
      <c r="AI167" s="43" t="e">
        <f t="shared" si="96"/>
        <v>#DIV/0!</v>
      </c>
      <c r="AJ167" s="43" t="e">
        <f t="shared" si="97"/>
        <v>#DIV/0!</v>
      </c>
      <c r="AK167" s="43" t="e">
        <f t="shared" si="98"/>
        <v>#DIV/0!</v>
      </c>
      <c r="AL167" s="43" t="e">
        <f>T$3+K167/ATM_Conf!$C$5</f>
        <v>#DIV/0!</v>
      </c>
      <c r="AM167" s="43" t="e">
        <f>U$3+L167/ATM_Conf!$C$5</f>
        <v>#DIV/0!</v>
      </c>
      <c r="AN167" s="43" t="e">
        <f>V$3+M167/ATM_Conf!$C$5</f>
        <v>#DIV/0!</v>
      </c>
      <c r="AO167" s="43" t="e">
        <f>W$3+N167/ATM_Conf!$C$5</f>
        <v>#DIV/0!</v>
      </c>
      <c r="AP167" s="43" t="e">
        <f>X$3+O167/ATM_Conf!$C$5</f>
        <v>#DIV/0!</v>
      </c>
      <c r="AQ167" s="43" t="e">
        <f>Y$3+P167/ATM_Conf!$C$5</f>
        <v>#DIV/0!</v>
      </c>
      <c r="AR167" s="43" t="e">
        <f>Z$3+Q167/ATM_Conf!$C$5</f>
        <v>#DIV/0!</v>
      </c>
      <c r="AS167" s="43" t="e">
        <f>AA$3+R167/ATM_Conf!$C$5</f>
        <v>#DIV/0!</v>
      </c>
      <c r="AT167" s="43" t="e">
        <f>AB$3+S167/ATM_Conf!$C$5</f>
        <v>#DIV/0!</v>
      </c>
      <c r="AU167" s="43" t="e">
        <f>BD$3*MIN(1,(ATM_Conf!$C$6-Links!X167)/(ATM_Conf!$C$6-ATM_Conf!$C$7))</f>
        <v>#DIV/0!</v>
      </c>
      <c r="AV167" s="43" t="e">
        <f>BE$3*MIN(1,(ATM_Conf!$C$6-Links!Z167)/(ATM_Conf!$C$6-ATM_Conf!$C$7))</f>
        <v>#DIV/0!</v>
      </c>
      <c r="AW167" s="43" t="e">
        <f>BF$3*MIN(1,(ATM_Conf!$C$6-Links!AA167)/(ATM_Conf!$C$6-ATM_Conf!$C$7))</f>
        <v>#DIV/0!</v>
      </c>
      <c r="AX167" s="43" t="e">
        <f>BG$3*MIN(1,(ATM_Conf!$C$6-Links!AD167)/(ATM_Conf!$C$6-ATM_Conf!$C$7))</f>
        <v>#DIV/0!</v>
      </c>
      <c r="AY167" s="43" t="e">
        <f>BH$3*MIN(1,(ATM_Conf!$C$6-Links!AE167)/(ATM_Conf!$C$6-ATM_Conf!$C$7))</f>
        <v>#DIV/0!</v>
      </c>
      <c r="AZ167" s="43" t="e">
        <f>BI$3*MIN(1,(ATM_Conf!$C$6-Links!AG167)/(ATM_Conf!$C$6-ATM_Conf!$C$7))</f>
        <v>#DIV/0!</v>
      </c>
      <c r="BA167" s="43" t="e">
        <f>BJ$3*MIN(1,(ATM_Conf!$C$6-Links!AH167)/(ATM_Conf!$C$6-ATM_Conf!$C$7))</f>
        <v>#DIV/0!</v>
      </c>
      <c r="BB167" s="43" t="e">
        <f>BK$3*MIN(1,(ATM_Conf!$C$6-Links!AK167)/(ATM_Conf!$C$6-ATM_Conf!$C$7))</f>
        <v>#DIV/0!</v>
      </c>
      <c r="BC167" s="43" t="e">
        <f>BL$3*MIN(1,(ATM_Conf!$C$6-Links!AM167)/(ATM_Conf!$C$6-ATM_Conf!$C$7))</f>
        <v>#DIV/0!</v>
      </c>
      <c r="BD167" s="43">
        <f t="shared" si="118"/>
        <v>0</v>
      </c>
      <c r="BE167" s="43">
        <f t="shared" si="115"/>
        <v>0</v>
      </c>
      <c r="BF167" s="43">
        <f t="shared" si="115"/>
        <v>0</v>
      </c>
      <c r="BG167" s="43">
        <f t="shared" si="115"/>
        <v>0</v>
      </c>
      <c r="BH167" s="43">
        <f t="shared" si="115"/>
        <v>0</v>
      </c>
      <c r="BI167" s="43">
        <f t="shared" si="115"/>
        <v>0</v>
      </c>
      <c r="BJ167" s="43">
        <f t="shared" si="115"/>
        <v>0</v>
      </c>
      <c r="BK167" s="43">
        <f t="shared" si="115"/>
        <v>0</v>
      </c>
      <c r="BL167" s="43">
        <f t="shared" si="115"/>
        <v>0</v>
      </c>
      <c r="BM167" s="51"/>
      <c r="BN167" s="51"/>
      <c r="BO167" s="51"/>
      <c r="BP167" s="51"/>
      <c r="BQ167" s="51"/>
      <c r="BR167" s="51"/>
      <c r="BS167" s="51"/>
      <c r="BT167" s="51"/>
      <c r="BU167" s="51"/>
      <c r="BV167" s="51" t="e">
        <f t="shared" si="99"/>
        <v>#DIV/0!</v>
      </c>
      <c r="BW167" s="51" t="e">
        <f t="shared" si="100"/>
        <v>#DIV/0!</v>
      </c>
      <c r="BX167" s="51" t="e">
        <f t="shared" si="101"/>
        <v>#DIV/0!</v>
      </c>
      <c r="BY167" s="51" t="e">
        <f t="shared" si="102"/>
        <v>#DIV/0!</v>
      </c>
      <c r="BZ167" s="51" t="e">
        <f t="shared" si="103"/>
        <v>#DIV/0!</v>
      </c>
      <c r="CA167" s="51" t="e">
        <f t="shared" si="104"/>
        <v>#DIV/0!</v>
      </c>
      <c r="CB167" s="51" t="e">
        <f t="shared" si="105"/>
        <v>#DIV/0!</v>
      </c>
      <c r="CC167" s="51" t="e">
        <f t="shared" si="106"/>
        <v>#DIV/0!</v>
      </c>
      <c r="CD167" s="51" t="e">
        <f t="shared" si="107"/>
        <v>#DIV/0!</v>
      </c>
      <c r="CE167" s="53">
        <f t="shared" si="120"/>
        <v>0</v>
      </c>
      <c r="CF167" s="53">
        <f t="shared" si="116"/>
        <v>0</v>
      </c>
      <c r="CG167" s="53">
        <f t="shared" si="116"/>
        <v>0</v>
      </c>
      <c r="CH167" s="53">
        <f t="shared" si="116"/>
        <v>0</v>
      </c>
      <c r="CI167" s="53">
        <f t="shared" si="116"/>
        <v>0</v>
      </c>
      <c r="CJ167" s="53">
        <f t="shared" si="116"/>
        <v>0</v>
      </c>
      <c r="CK167" s="53">
        <f t="shared" si="116"/>
        <v>0</v>
      </c>
      <c r="CL167" s="53">
        <f t="shared" si="116"/>
        <v>0</v>
      </c>
      <c r="CM167" s="53">
        <f t="shared" si="116"/>
        <v>0</v>
      </c>
    </row>
    <row r="168" spans="1:91" x14ac:dyDescent="0.15">
      <c r="A168" s="41">
        <v>166</v>
      </c>
      <c r="B168" s="43">
        <f t="shared" si="122"/>
        <v>1</v>
      </c>
      <c r="C168" s="43">
        <f t="shared" si="121"/>
        <v>1</v>
      </c>
      <c r="D168" s="43">
        <f t="shared" si="121"/>
        <v>1</v>
      </c>
      <c r="E168" s="43">
        <f t="shared" si="121"/>
        <v>1</v>
      </c>
      <c r="F168" s="43">
        <f t="shared" si="121"/>
        <v>1</v>
      </c>
      <c r="G168" s="43">
        <f t="shared" si="121"/>
        <v>1</v>
      </c>
      <c r="H168" s="43">
        <f t="shared" si="121"/>
        <v>1</v>
      </c>
      <c r="I168" s="43">
        <f t="shared" si="121"/>
        <v>1</v>
      </c>
      <c r="J168" s="43">
        <f t="shared" si="121"/>
        <v>1</v>
      </c>
      <c r="K168" s="43" t="e">
        <f>K167+ATM_Conf!$C$5*(T167-AC167)</f>
        <v>#DIV/0!</v>
      </c>
      <c r="L168" s="43" t="e">
        <f>L167+ATM_Conf!$C$5*(U167-AD167)</f>
        <v>#DIV/0!</v>
      </c>
      <c r="M168" s="43" t="e">
        <f>M167+ATM_Conf!$C$5*(V167-AE167)</f>
        <v>#DIV/0!</v>
      </c>
      <c r="N168" s="43" t="e">
        <f>N167+ATM_Conf!$C$5*(W167-AF167)</f>
        <v>#DIV/0!</v>
      </c>
      <c r="O168" s="43" t="e">
        <f>O167+ATM_Conf!$C$5*(X167-AG167)</f>
        <v>#DIV/0!</v>
      </c>
      <c r="P168" s="43" t="e">
        <f>P167+ATM_Conf!$C$5*(Y167-AH167)</f>
        <v>#DIV/0!</v>
      </c>
      <c r="Q168" s="43" t="e">
        <f>Q167+ATM_Conf!$C$5*(Z167-AI167)</f>
        <v>#DIV/0!</v>
      </c>
      <c r="R168" s="43" t="e">
        <f>R167+ATM_Conf!$C$5*(AA167-AJ167)</f>
        <v>#DIV/0!</v>
      </c>
      <c r="S168" s="43" t="e">
        <f>S167+ATM_Conf!$C$5*(AB167-AK167)</f>
        <v>#DIV/0!</v>
      </c>
      <c r="T168" s="43">
        <f t="shared" si="117"/>
        <v>0</v>
      </c>
      <c r="U168" s="43">
        <f t="shared" si="114"/>
        <v>0</v>
      </c>
      <c r="V168" s="43">
        <f t="shared" si="114"/>
        <v>0</v>
      </c>
      <c r="W168" s="43">
        <f t="shared" si="114"/>
        <v>0</v>
      </c>
      <c r="X168" s="43">
        <f t="shared" si="114"/>
        <v>0</v>
      </c>
      <c r="Y168" s="43">
        <f t="shared" si="114"/>
        <v>0</v>
      </c>
      <c r="Z168" s="43">
        <f t="shared" si="114"/>
        <v>0</v>
      </c>
      <c r="AA168" s="43">
        <f t="shared" si="114"/>
        <v>0</v>
      </c>
      <c r="AB168" s="43">
        <f t="shared" si="114"/>
        <v>0</v>
      </c>
      <c r="AC168" s="43" t="e">
        <f t="shared" si="90"/>
        <v>#DIV/0!</v>
      </c>
      <c r="AD168" s="43" t="e">
        <f t="shared" si="91"/>
        <v>#DIV/0!</v>
      </c>
      <c r="AE168" s="43" t="e">
        <f t="shared" si="92"/>
        <v>#DIV/0!</v>
      </c>
      <c r="AF168" s="43" t="e">
        <f t="shared" si="93"/>
        <v>#DIV/0!</v>
      </c>
      <c r="AG168" s="43" t="e">
        <f t="shared" si="94"/>
        <v>#DIV/0!</v>
      </c>
      <c r="AH168" s="43" t="e">
        <f t="shared" si="95"/>
        <v>#DIV/0!</v>
      </c>
      <c r="AI168" s="43" t="e">
        <f t="shared" si="96"/>
        <v>#DIV/0!</v>
      </c>
      <c r="AJ168" s="43" t="e">
        <f t="shared" si="97"/>
        <v>#DIV/0!</v>
      </c>
      <c r="AK168" s="43" t="e">
        <f t="shared" si="98"/>
        <v>#DIV/0!</v>
      </c>
      <c r="AL168" s="43" t="e">
        <f>T$3+K168/ATM_Conf!$C$5</f>
        <v>#DIV/0!</v>
      </c>
      <c r="AM168" s="43" t="e">
        <f>U$3+L168/ATM_Conf!$C$5</f>
        <v>#DIV/0!</v>
      </c>
      <c r="AN168" s="43" t="e">
        <f>V$3+M168/ATM_Conf!$C$5</f>
        <v>#DIV/0!</v>
      </c>
      <c r="AO168" s="43" t="e">
        <f>W$3+N168/ATM_Conf!$C$5</f>
        <v>#DIV/0!</v>
      </c>
      <c r="AP168" s="43" t="e">
        <f>X$3+O168/ATM_Conf!$C$5</f>
        <v>#DIV/0!</v>
      </c>
      <c r="AQ168" s="43" t="e">
        <f>Y$3+P168/ATM_Conf!$C$5</f>
        <v>#DIV/0!</v>
      </c>
      <c r="AR168" s="43" t="e">
        <f>Z$3+Q168/ATM_Conf!$C$5</f>
        <v>#DIV/0!</v>
      </c>
      <c r="AS168" s="43" t="e">
        <f>AA$3+R168/ATM_Conf!$C$5</f>
        <v>#DIV/0!</v>
      </c>
      <c r="AT168" s="43" t="e">
        <f>AB$3+S168/ATM_Conf!$C$5</f>
        <v>#DIV/0!</v>
      </c>
      <c r="AU168" s="43" t="e">
        <f>BD$3*MIN(1,(ATM_Conf!$C$6-Links!X168)/(ATM_Conf!$C$6-ATM_Conf!$C$7))</f>
        <v>#DIV/0!</v>
      </c>
      <c r="AV168" s="43" t="e">
        <f>BE$3*MIN(1,(ATM_Conf!$C$6-Links!Z168)/(ATM_Conf!$C$6-ATM_Conf!$C$7))</f>
        <v>#DIV/0!</v>
      </c>
      <c r="AW168" s="43" t="e">
        <f>BF$3*MIN(1,(ATM_Conf!$C$6-Links!AA168)/(ATM_Conf!$C$6-ATM_Conf!$C$7))</f>
        <v>#DIV/0!</v>
      </c>
      <c r="AX168" s="43" t="e">
        <f>BG$3*MIN(1,(ATM_Conf!$C$6-Links!AD168)/(ATM_Conf!$C$6-ATM_Conf!$C$7))</f>
        <v>#DIV/0!</v>
      </c>
      <c r="AY168" s="43" t="e">
        <f>BH$3*MIN(1,(ATM_Conf!$C$6-Links!AE168)/(ATM_Conf!$C$6-ATM_Conf!$C$7))</f>
        <v>#DIV/0!</v>
      </c>
      <c r="AZ168" s="43" t="e">
        <f>BI$3*MIN(1,(ATM_Conf!$C$6-Links!AG168)/(ATM_Conf!$C$6-ATM_Conf!$C$7))</f>
        <v>#DIV/0!</v>
      </c>
      <c r="BA168" s="43" t="e">
        <f>BJ$3*MIN(1,(ATM_Conf!$C$6-Links!AH168)/(ATM_Conf!$C$6-ATM_Conf!$C$7))</f>
        <v>#DIV/0!</v>
      </c>
      <c r="BB168" s="43" t="e">
        <f>BK$3*MIN(1,(ATM_Conf!$C$6-Links!AK168)/(ATM_Conf!$C$6-ATM_Conf!$C$7))</f>
        <v>#DIV/0!</v>
      </c>
      <c r="BC168" s="43" t="e">
        <f>BL$3*MIN(1,(ATM_Conf!$C$6-Links!AM168)/(ATM_Conf!$C$6-ATM_Conf!$C$7))</f>
        <v>#DIV/0!</v>
      </c>
      <c r="BD168" s="43">
        <f t="shared" si="118"/>
        <v>0</v>
      </c>
      <c r="BE168" s="43">
        <f t="shared" si="115"/>
        <v>0</v>
      </c>
      <c r="BF168" s="43">
        <f t="shared" si="115"/>
        <v>0</v>
      </c>
      <c r="BG168" s="43">
        <f t="shared" si="115"/>
        <v>0</v>
      </c>
      <c r="BH168" s="43">
        <f t="shared" si="115"/>
        <v>0</v>
      </c>
      <c r="BI168" s="43">
        <f t="shared" si="115"/>
        <v>0</v>
      </c>
      <c r="BJ168" s="43">
        <f t="shared" si="115"/>
        <v>0</v>
      </c>
      <c r="BK168" s="43">
        <f t="shared" si="115"/>
        <v>0</v>
      </c>
      <c r="BL168" s="43">
        <f t="shared" si="115"/>
        <v>0</v>
      </c>
      <c r="BM168" s="51"/>
      <c r="BN168" s="51"/>
      <c r="BO168" s="51"/>
      <c r="BP168" s="51"/>
      <c r="BQ168" s="51"/>
      <c r="BR168" s="51"/>
      <c r="BS168" s="51"/>
      <c r="BT168" s="51"/>
      <c r="BU168" s="51"/>
      <c r="BV168" s="51" t="e">
        <f t="shared" si="99"/>
        <v>#DIV/0!</v>
      </c>
      <c r="BW168" s="51" t="e">
        <f t="shared" si="100"/>
        <v>#DIV/0!</v>
      </c>
      <c r="BX168" s="51" t="e">
        <f t="shared" si="101"/>
        <v>#DIV/0!</v>
      </c>
      <c r="BY168" s="51" t="e">
        <f t="shared" si="102"/>
        <v>#DIV/0!</v>
      </c>
      <c r="BZ168" s="51" t="e">
        <f t="shared" si="103"/>
        <v>#DIV/0!</v>
      </c>
      <c r="CA168" s="51" t="e">
        <f t="shared" si="104"/>
        <v>#DIV/0!</v>
      </c>
      <c r="CB168" s="51" t="e">
        <f t="shared" si="105"/>
        <v>#DIV/0!</v>
      </c>
      <c r="CC168" s="51" t="e">
        <f t="shared" si="106"/>
        <v>#DIV/0!</v>
      </c>
      <c r="CD168" s="51" t="e">
        <f t="shared" si="107"/>
        <v>#DIV/0!</v>
      </c>
      <c r="CE168" s="53">
        <f t="shared" si="120"/>
        <v>0</v>
      </c>
      <c r="CF168" s="53">
        <f t="shared" si="116"/>
        <v>0</v>
      </c>
      <c r="CG168" s="53">
        <f t="shared" si="116"/>
        <v>0</v>
      </c>
      <c r="CH168" s="53">
        <f t="shared" si="116"/>
        <v>0</v>
      </c>
      <c r="CI168" s="53">
        <f t="shared" si="116"/>
        <v>0</v>
      </c>
      <c r="CJ168" s="53">
        <f t="shared" si="116"/>
        <v>0</v>
      </c>
      <c r="CK168" s="53">
        <f t="shared" si="116"/>
        <v>0</v>
      </c>
      <c r="CL168" s="53">
        <f t="shared" si="116"/>
        <v>0</v>
      </c>
      <c r="CM168" s="53">
        <f t="shared" si="116"/>
        <v>0</v>
      </c>
    </row>
    <row r="169" spans="1:91" x14ac:dyDescent="0.15">
      <c r="A169" s="41">
        <v>167</v>
      </c>
      <c r="B169" s="43">
        <f t="shared" si="122"/>
        <v>1</v>
      </c>
      <c r="C169" s="43">
        <f t="shared" si="121"/>
        <v>1</v>
      </c>
      <c r="D169" s="43">
        <f t="shared" si="121"/>
        <v>1</v>
      </c>
      <c r="E169" s="43">
        <f t="shared" si="121"/>
        <v>1</v>
      </c>
      <c r="F169" s="43">
        <f t="shared" si="121"/>
        <v>1</v>
      </c>
      <c r="G169" s="43">
        <f t="shared" si="121"/>
        <v>1</v>
      </c>
      <c r="H169" s="43">
        <f t="shared" si="121"/>
        <v>1</v>
      </c>
      <c r="I169" s="43">
        <f t="shared" si="121"/>
        <v>1</v>
      </c>
      <c r="J169" s="43">
        <f t="shared" si="121"/>
        <v>1</v>
      </c>
      <c r="K169" s="43" t="e">
        <f>K168+ATM_Conf!$C$5*(T168-AC168)</f>
        <v>#DIV/0!</v>
      </c>
      <c r="L169" s="43" t="e">
        <f>L168+ATM_Conf!$C$5*(U168-AD168)</f>
        <v>#DIV/0!</v>
      </c>
      <c r="M169" s="43" t="e">
        <f>M168+ATM_Conf!$C$5*(V168-AE168)</f>
        <v>#DIV/0!</v>
      </c>
      <c r="N169" s="43" t="e">
        <f>N168+ATM_Conf!$C$5*(W168-AF168)</f>
        <v>#DIV/0!</v>
      </c>
      <c r="O169" s="43" t="e">
        <f>O168+ATM_Conf!$C$5*(X168-AG168)</f>
        <v>#DIV/0!</v>
      </c>
      <c r="P169" s="43" t="e">
        <f>P168+ATM_Conf!$C$5*(Y168-AH168)</f>
        <v>#DIV/0!</v>
      </c>
      <c r="Q169" s="43" t="e">
        <f>Q168+ATM_Conf!$C$5*(Z168-AI168)</f>
        <v>#DIV/0!</v>
      </c>
      <c r="R169" s="43" t="e">
        <f>R168+ATM_Conf!$C$5*(AA168-AJ168)</f>
        <v>#DIV/0!</v>
      </c>
      <c r="S169" s="43" t="e">
        <f>S168+ATM_Conf!$C$5*(AB168-AK168)</f>
        <v>#DIV/0!</v>
      </c>
      <c r="T169" s="43">
        <f t="shared" si="117"/>
        <v>0</v>
      </c>
      <c r="U169" s="43">
        <f t="shared" si="114"/>
        <v>0</v>
      </c>
      <c r="V169" s="43">
        <f t="shared" si="114"/>
        <v>0</v>
      </c>
      <c r="W169" s="43">
        <f t="shared" si="114"/>
        <v>0</v>
      </c>
      <c r="X169" s="43">
        <f t="shared" si="114"/>
        <v>0</v>
      </c>
      <c r="Y169" s="43">
        <f t="shared" si="114"/>
        <v>0</v>
      </c>
      <c r="Z169" s="43">
        <f t="shared" si="114"/>
        <v>0</v>
      </c>
      <c r="AA169" s="43">
        <f t="shared" si="114"/>
        <v>0</v>
      </c>
      <c r="AB169" s="43">
        <f t="shared" si="114"/>
        <v>0</v>
      </c>
      <c r="AC169" s="43" t="e">
        <f t="shared" si="90"/>
        <v>#DIV/0!</v>
      </c>
      <c r="AD169" s="43" t="e">
        <f t="shared" si="91"/>
        <v>#DIV/0!</v>
      </c>
      <c r="AE169" s="43" t="e">
        <f t="shared" si="92"/>
        <v>#DIV/0!</v>
      </c>
      <c r="AF169" s="43" t="e">
        <f t="shared" si="93"/>
        <v>#DIV/0!</v>
      </c>
      <c r="AG169" s="43" t="e">
        <f t="shared" si="94"/>
        <v>#DIV/0!</v>
      </c>
      <c r="AH169" s="43" t="e">
        <f t="shared" si="95"/>
        <v>#DIV/0!</v>
      </c>
      <c r="AI169" s="43" t="e">
        <f t="shared" si="96"/>
        <v>#DIV/0!</v>
      </c>
      <c r="AJ169" s="43" t="e">
        <f t="shared" si="97"/>
        <v>#DIV/0!</v>
      </c>
      <c r="AK169" s="43" t="e">
        <f t="shared" si="98"/>
        <v>#DIV/0!</v>
      </c>
      <c r="AL169" s="43" t="e">
        <f>T$3+K169/ATM_Conf!$C$5</f>
        <v>#DIV/0!</v>
      </c>
      <c r="AM169" s="43" t="e">
        <f>U$3+L169/ATM_Conf!$C$5</f>
        <v>#DIV/0!</v>
      </c>
      <c r="AN169" s="43" t="e">
        <f>V$3+M169/ATM_Conf!$C$5</f>
        <v>#DIV/0!</v>
      </c>
      <c r="AO169" s="43" t="e">
        <f>W$3+N169/ATM_Conf!$C$5</f>
        <v>#DIV/0!</v>
      </c>
      <c r="AP169" s="43" t="e">
        <f>X$3+O169/ATM_Conf!$C$5</f>
        <v>#DIV/0!</v>
      </c>
      <c r="AQ169" s="43" t="e">
        <f>Y$3+P169/ATM_Conf!$C$5</f>
        <v>#DIV/0!</v>
      </c>
      <c r="AR169" s="43" t="e">
        <f>Z$3+Q169/ATM_Conf!$C$5</f>
        <v>#DIV/0!</v>
      </c>
      <c r="AS169" s="43" t="e">
        <f>AA$3+R169/ATM_Conf!$C$5</f>
        <v>#DIV/0!</v>
      </c>
      <c r="AT169" s="43" t="e">
        <f>AB$3+S169/ATM_Conf!$C$5</f>
        <v>#DIV/0!</v>
      </c>
      <c r="AU169" s="43" t="e">
        <f>BD$3*MIN(1,(ATM_Conf!$C$6-Links!X169)/(ATM_Conf!$C$6-ATM_Conf!$C$7))</f>
        <v>#DIV/0!</v>
      </c>
      <c r="AV169" s="43" t="e">
        <f>BE$3*MIN(1,(ATM_Conf!$C$6-Links!Z169)/(ATM_Conf!$C$6-ATM_Conf!$C$7))</f>
        <v>#DIV/0!</v>
      </c>
      <c r="AW169" s="43" t="e">
        <f>BF$3*MIN(1,(ATM_Conf!$C$6-Links!AA169)/(ATM_Conf!$C$6-ATM_Conf!$C$7))</f>
        <v>#DIV/0!</v>
      </c>
      <c r="AX169" s="43" t="e">
        <f>BG$3*MIN(1,(ATM_Conf!$C$6-Links!AD169)/(ATM_Conf!$C$6-ATM_Conf!$C$7))</f>
        <v>#DIV/0!</v>
      </c>
      <c r="AY169" s="43" t="e">
        <f>BH$3*MIN(1,(ATM_Conf!$C$6-Links!AE169)/(ATM_Conf!$C$6-ATM_Conf!$C$7))</f>
        <v>#DIV/0!</v>
      </c>
      <c r="AZ169" s="43" t="e">
        <f>BI$3*MIN(1,(ATM_Conf!$C$6-Links!AG169)/(ATM_Conf!$C$6-ATM_Conf!$C$7))</f>
        <v>#DIV/0!</v>
      </c>
      <c r="BA169" s="43" t="e">
        <f>BJ$3*MIN(1,(ATM_Conf!$C$6-Links!AH169)/(ATM_Conf!$C$6-ATM_Conf!$C$7))</f>
        <v>#DIV/0!</v>
      </c>
      <c r="BB169" s="43" t="e">
        <f>BK$3*MIN(1,(ATM_Conf!$C$6-Links!AK169)/(ATM_Conf!$C$6-ATM_Conf!$C$7))</f>
        <v>#DIV/0!</v>
      </c>
      <c r="BC169" s="43" t="e">
        <f>BL$3*MIN(1,(ATM_Conf!$C$6-Links!AM169)/(ATM_Conf!$C$6-ATM_Conf!$C$7))</f>
        <v>#DIV/0!</v>
      </c>
      <c r="BD169" s="43">
        <f t="shared" si="118"/>
        <v>0</v>
      </c>
      <c r="BE169" s="43">
        <f t="shared" si="115"/>
        <v>0</v>
      </c>
      <c r="BF169" s="43">
        <f t="shared" si="115"/>
        <v>0</v>
      </c>
      <c r="BG169" s="43">
        <f t="shared" si="115"/>
        <v>0</v>
      </c>
      <c r="BH169" s="43">
        <f t="shared" si="115"/>
        <v>0</v>
      </c>
      <c r="BI169" s="43">
        <f t="shared" si="115"/>
        <v>0</v>
      </c>
      <c r="BJ169" s="43">
        <f t="shared" si="115"/>
        <v>0</v>
      </c>
      <c r="BK169" s="43">
        <f t="shared" si="115"/>
        <v>0</v>
      </c>
      <c r="BL169" s="43">
        <f t="shared" si="115"/>
        <v>0</v>
      </c>
      <c r="BM169" s="51"/>
      <c r="BN169" s="51"/>
      <c r="BO169" s="51"/>
      <c r="BP169" s="51"/>
      <c r="BQ169" s="51"/>
      <c r="BR169" s="51"/>
      <c r="BS169" s="51"/>
      <c r="BT169" s="51"/>
      <c r="BU169" s="51"/>
      <c r="BV169" s="51" t="e">
        <f t="shared" si="99"/>
        <v>#DIV/0!</v>
      </c>
      <c r="BW169" s="51" t="e">
        <f t="shared" si="100"/>
        <v>#DIV/0!</v>
      </c>
      <c r="BX169" s="51" t="e">
        <f t="shared" si="101"/>
        <v>#DIV/0!</v>
      </c>
      <c r="BY169" s="51" t="e">
        <f t="shared" si="102"/>
        <v>#DIV/0!</v>
      </c>
      <c r="BZ169" s="51" t="e">
        <f t="shared" si="103"/>
        <v>#DIV/0!</v>
      </c>
      <c r="CA169" s="51" t="e">
        <f t="shared" si="104"/>
        <v>#DIV/0!</v>
      </c>
      <c r="CB169" s="51" t="e">
        <f t="shared" si="105"/>
        <v>#DIV/0!</v>
      </c>
      <c r="CC169" s="51" t="e">
        <f t="shared" si="106"/>
        <v>#DIV/0!</v>
      </c>
      <c r="CD169" s="51" t="e">
        <f t="shared" si="107"/>
        <v>#DIV/0!</v>
      </c>
      <c r="CE169" s="53">
        <f t="shared" si="120"/>
        <v>0</v>
      </c>
      <c r="CF169" s="53">
        <f t="shared" si="116"/>
        <v>0</v>
      </c>
      <c r="CG169" s="53">
        <f t="shared" si="116"/>
        <v>0</v>
      </c>
      <c r="CH169" s="53">
        <f t="shared" si="116"/>
        <v>0</v>
      </c>
      <c r="CI169" s="53">
        <f t="shared" si="116"/>
        <v>0</v>
      </c>
      <c r="CJ169" s="53">
        <f t="shared" si="116"/>
        <v>0</v>
      </c>
      <c r="CK169" s="53">
        <f t="shared" si="116"/>
        <v>0</v>
      </c>
      <c r="CL169" s="53">
        <f t="shared" si="116"/>
        <v>0</v>
      </c>
      <c r="CM169" s="53">
        <f t="shared" si="116"/>
        <v>0</v>
      </c>
    </row>
    <row r="170" spans="1:91" x14ac:dyDescent="0.15">
      <c r="A170" s="41">
        <v>168</v>
      </c>
      <c r="B170" s="43">
        <f t="shared" si="122"/>
        <v>1</v>
      </c>
      <c r="C170" s="43">
        <f t="shared" si="121"/>
        <v>1</v>
      </c>
      <c r="D170" s="43">
        <f t="shared" si="121"/>
        <v>1</v>
      </c>
      <c r="E170" s="43">
        <f t="shared" si="121"/>
        <v>1</v>
      </c>
      <c r="F170" s="43">
        <f t="shared" si="121"/>
        <v>1</v>
      </c>
      <c r="G170" s="43">
        <f t="shared" si="121"/>
        <v>1</v>
      </c>
      <c r="H170" s="43">
        <f t="shared" si="121"/>
        <v>1</v>
      </c>
      <c r="I170" s="43">
        <f t="shared" si="121"/>
        <v>1</v>
      </c>
      <c r="J170" s="43">
        <f t="shared" si="121"/>
        <v>1</v>
      </c>
      <c r="K170" s="43" t="e">
        <f>K169+ATM_Conf!$C$5*(T169-AC169)</f>
        <v>#DIV/0!</v>
      </c>
      <c r="L170" s="43" t="e">
        <f>L169+ATM_Conf!$C$5*(U169-AD169)</f>
        <v>#DIV/0!</v>
      </c>
      <c r="M170" s="43" t="e">
        <f>M169+ATM_Conf!$C$5*(V169-AE169)</f>
        <v>#DIV/0!</v>
      </c>
      <c r="N170" s="43" t="e">
        <f>N169+ATM_Conf!$C$5*(W169-AF169)</f>
        <v>#DIV/0!</v>
      </c>
      <c r="O170" s="43" t="e">
        <f>O169+ATM_Conf!$C$5*(X169-AG169)</f>
        <v>#DIV/0!</v>
      </c>
      <c r="P170" s="43" t="e">
        <f>P169+ATM_Conf!$C$5*(Y169-AH169)</f>
        <v>#DIV/0!</v>
      </c>
      <c r="Q170" s="43" t="e">
        <f>Q169+ATM_Conf!$C$5*(Z169-AI169)</f>
        <v>#DIV/0!</v>
      </c>
      <c r="R170" s="43" t="e">
        <f>R169+ATM_Conf!$C$5*(AA169-AJ169)</f>
        <v>#DIV/0!</v>
      </c>
      <c r="S170" s="43" t="e">
        <f>S169+ATM_Conf!$C$5*(AB169-AK169)</f>
        <v>#DIV/0!</v>
      </c>
      <c r="T170" s="43">
        <f t="shared" si="117"/>
        <v>0</v>
      </c>
      <c r="U170" s="43">
        <f t="shared" si="114"/>
        <v>0</v>
      </c>
      <c r="V170" s="43">
        <f t="shared" si="114"/>
        <v>0</v>
      </c>
      <c r="W170" s="43">
        <f t="shared" si="114"/>
        <v>0</v>
      </c>
      <c r="X170" s="43">
        <f t="shared" si="114"/>
        <v>0</v>
      </c>
      <c r="Y170" s="43">
        <f t="shared" si="114"/>
        <v>0</v>
      </c>
      <c r="Z170" s="43">
        <f t="shared" si="114"/>
        <v>0</v>
      </c>
      <c r="AA170" s="43">
        <f t="shared" si="114"/>
        <v>0</v>
      </c>
      <c r="AB170" s="43">
        <f t="shared" si="114"/>
        <v>0</v>
      </c>
      <c r="AC170" s="43" t="e">
        <f t="shared" si="90"/>
        <v>#DIV/0!</v>
      </c>
      <c r="AD170" s="43" t="e">
        <f t="shared" si="91"/>
        <v>#DIV/0!</v>
      </c>
      <c r="AE170" s="43" t="e">
        <f t="shared" si="92"/>
        <v>#DIV/0!</v>
      </c>
      <c r="AF170" s="43" t="e">
        <f t="shared" si="93"/>
        <v>#DIV/0!</v>
      </c>
      <c r="AG170" s="43" t="e">
        <f t="shared" si="94"/>
        <v>#DIV/0!</v>
      </c>
      <c r="AH170" s="43" t="e">
        <f t="shared" si="95"/>
        <v>#DIV/0!</v>
      </c>
      <c r="AI170" s="43" t="e">
        <f t="shared" si="96"/>
        <v>#DIV/0!</v>
      </c>
      <c r="AJ170" s="43" t="e">
        <f t="shared" si="97"/>
        <v>#DIV/0!</v>
      </c>
      <c r="AK170" s="43" t="e">
        <f t="shared" si="98"/>
        <v>#DIV/0!</v>
      </c>
      <c r="AL170" s="43" t="e">
        <f>T$3+K170/ATM_Conf!$C$5</f>
        <v>#DIV/0!</v>
      </c>
      <c r="AM170" s="43" t="e">
        <f>U$3+L170/ATM_Conf!$C$5</f>
        <v>#DIV/0!</v>
      </c>
      <c r="AN170" s="43" t="e">
        <f>V$3+M170/ATM_Conf!$C$5</f>
        <v>#DIV/0!</v>
      </c>
      <c r="AO170" s="43" t="e">
        <f>W$3+N170/ATM_Conf!$C$5</f>
        <v>#DIV/0!</v>
      </c>
      <c r="AP170" s="43" t="e">
        <f>X$3+O170/ATM_Conf!$C$5</f>
        <v>#DIV/0!</v>
      </c>
      <c r="AQ170" s="43" t="e">
        <f>Y$3+P170/ATM_Conf!$C$5</f>
        <v>#DIV/0!</v>
      </c>
      <c r="AR170" s="43" t="e">
        <f>Z$3+Q170/ATM_Conf!$C$5</f>
        <v>#DIV/0!</v>
      </c>
      <c r="AS170" s="43" t="e">
        <f>AA$3+R170/ATM_Conf!$C$5</f>
        <v>#DIV/0!</v>
      </c>
      <c r="AT170" s="43" t="e">
        <f>AB$3+S170/ATM_Conf!$C$5</f>
        <v>#DIV/0!</v>
      </c>
      <c r="AU170" s="43" t="e">
        <f>BD$3*MIN(1,(ATM_Conf!$C$6-Links!X170)/(ATM_Conf!$C$6-ATM_Conf!$C$7))</f>
        <v>#DIV/0!</v>
      </c>
      <c r="AV170" s="43" t="e">
        <f>BE$3*MIN(1,(ATM_Conf!$C$6-Links!Z170)/(ATM_Conf!$C$6-ATM_Conf!$C$7))</f>
        <v>#DIV/0!</v>
      </c>
      <c r="AW170" s="43" t="e">
        <f>BF$3*MIN(1,(ATM_Conf!$C$6-Links!AA170)/(ATM_Conf!$C$6-ATM_Conf!$C$7))</f>
        <v>#DIV/0!</v>
      </c>
      <c r="AX170" s="43" t="e">
        <f>BG$3*MIN(1,(ATM_Conf!$C$6-Links!AD170)/(ATM_Conf!$C$6-ATM_Conf!$C$7))</f>
        <v>#DIV/0!</v>
      </c>
      <c r="AY170" s="43" t="e">
        <f>BH$3*MIN(1,(ATM_Conf!$C$6-Links!AE170)/(ATM_Conf!$C$6-ATM_Conf!$C$7))</f>
        <v>#DIV/0!</v>
      </c>
      <c r="AZ170" s="43" t="e">
        <f>BI$3*MIN(1,(ATM_Conf!$C$6-Links!AG170)/(ATM_Conf!$C$6-ATM_Conf!$C$7))</f>
        <v>#DIV/0!</v>
      </c>
      <c r="BA170" s="43" t="e">
        <f>BJ$3*MIN(1,(ATM_Conf!$C$6-Links!AH170)/(ATM_Conf!$C$6-ATM_Conf!$C$7))</f>
        <v>#DIV/0!</v>
      </c>
      <c r="BB170" s="43" t="e">
        <f>BK$3*MIN(1,(ATM_Conf!$C$6-Links!AK170)/(ATM_Conf!$C$6-ATM_Conf!$C$7))</f>
        <v>#DIV/0!</v>
      </c>
      <c r="BC170" s="43" t="e">
        <f>BL$3*MIN(1,(ATM_Conf!$C$6-Links!AM170)/(ATM_Conf!$C$6-ATM_Conf!$C$7))</f>
        <v>#DIV/0!</v>
      </c>
      <c r="BD170" s="43">
        <f t="shared" si="118"/>
        <v>0</v>
      </c>
      <c r="BE170" s="43">
        <f t="shared" si="115"/>
        <v>0</v>
      </c>
      <c r="BF170" s="43">
        <f t="shared" si="115"/>
        <v>0</v>
      </c>
      <c r="BG170" s="43">
        <f t="shared" si="115"/>
        <v>0</v>
      </c>
      <c r="BH170" s="43">
        <f t="shared" si="115"/>
        <v>0</v>
      </c>
      <c r="BI170" s="43">
        <f t="shared" si="115"/>
        <v>0</v>
      </c>
      <c r="BJ170" s="43">
        <f t="shared" si="115"/>
        <v>0</v>
      </c>
      <c r="BK170" s="43">
        <f t="shared" si="115"/>
        <v>0</v>
      </c>
      <c r="BL170" s="43">
        <f t="shared" si="115"/>
        <v>0</v>
      </c>
      <c r="BM170" s="51"/>
      <c r="BN170" s="51"/>
      <c r="BO170" s="51"/>
      <c r="BP170" s="51"/>
      <c r="BQ170" s="51"/>
      <c r="BR170" s="51"/>
      <c r="BS170" s="51"/>
      <c r="BT170" s="51"/>
      <c r="BU170" s="51"/>
      <c r="BV170" s="51" t="e">
        <f t="shared" si="99"/>
        <v>#DIV/0!</v>
      </c>
      <c r="BW170" s="51" t="e">
        <f t="shared" si="100"/>
        <v>#DIV/0!</v>
      </c>
      <c r="BX170" s="51" t="e">
        <f t="shared" si="101"/>
        <v>#DIV/0!</v>
      </c>
      <c r="BY170" s="51" t="e">
        <f t="shared" si="102"/>
        <v>#DIV/0!</v>
      </c>
      <c r="BZ170" s="51" t="e">
        <f t="shared" si="103"/>
        <v>#DIV/0!</v>
      </c>
      <c r="CA170" s="51" t="e">
        <f t="shared" si="104"/>
        <v>#DIV/0!</v>
      </c>
      <c r="CB170" s="51" t="e">
        <f t="shared" si="105"/>
        <v>#DIV/0!</v>
      </c>
      <c r="CC170" s="51" t="e">
        <f t="shared" si="106"/>
        <v>#DIV/0!</v>
      </c>
      <c r="CD170" s="51" t="e">
        <f t="shared" si="107"/>
        <v>#DIV/0!</v>
      </c>
      <c r="CE170" s="53">
        <f t="shared" si="120"/>
        <v>0</v>
      </c>
      <c r="CF170" s="53">
        <f t="shared" si="116"/>
        <v>0</v>
      </c>
      <c r="CG170" s="53">
        <f t="shared" si="116"/>
        <v>0</v>
      </c>
      <c r="CH170" s="53">
        <f t="shared" si="116"/>
        <v>0</v>
      </c>
      <c r="CI170" s="53">
        <f t="shared" si="116"/>
        <v>0</v>
      </c>
      <c r="CJ170" s="53">
        <f t="shared" si="116"/>
        <v>0</v>
      </c>
      <c r="CK170" s="53">
        <f t="shared" si="116"/>
        <v>0</v>
      </c>
      <c r="CL170" s="53">
        <f t="shared" si="116"/>
        <v>0</v>
      </c>
      <c r="CM170" s="53">
        <f t="shared" si="116"/>
        <v>0</v>
      </c>
    </row>
    <row r="171" spans="1:91" x14ac:dyDescent="0.15">
      <c r="A171" s="41">
        <v>169</v>
      </c>
      <c r="B171" s="45">
        <v>1</v>
      </c>
      <c r="C171" s="45">
        <v>1</v>
      </c>
      <c r="D171" s="45">
        <v>1</v>
      </c>
      <c r="E171" s="45">
        <v>1</v>
      </c>
      <c r="F171" s="45">
        <v>1</v>
      </c>
      <c r="G171" s="45">
        <v>1</v>
      </c>
      <c r="H171" s="45">
        <v>1</v>
      </c>
      <c r="I171" s="45">
        <v>1</v>
      </c>
      <c r="J171" s="45">
        <v>1</v>
      </c>
      <c r="K171" s="43" t="e">
        <f>K170+ATM_Conf!$C$5*(T170-AC170)</f>
        <v>#DIV/0!</v>
      </c>
      <c r="L171" s="43" t="e">
        <f>L170+ATM_Conf!$C$5*(U170-AD170)</f>
        <v>#DIV/0!</v>
      </c>
      <c r="M171" s="43" t="e">
        <f>M170+ATM_Conf!$C$5*(V170-AE170)</f>
        <v>#DIV/0!</v>
      </c>
      <c r="N171" s="43" t="e">
        <f>N170+ATM_Conf!$C$5*(W170-AF170)</f>
        <v>#DIV/0!</v>
      </c>
      <c r="O171" s="43" t="e">
        <f>O170+ATM_Conf!$C$5*(X170-AG170)</f>
        <v>#DIV/0!</v>
      </c>
      <c r="P171" s="43" t="e">
        <f>P170+ATM_Conf!$C$5*(Y170-AH170)</f>
        <v>#DIV/0!</v>
      </c>
      <c r="Q171" s="43" t="e">
        <f>Q170+ATM_Conf!$C$5*(Z170-AI170)</f>
        <v>#DIV/0!</v>
      </c>
      <c r="R171" s="43" t="e">
        <f>R170+ATM_Conf!$C$5*(AA170-AJ170)</f>
        <v>#DIV/0!</v>
      </c>
      <c r="S171" s="43" t="e">
        <f>S170+ATM_Conf!$C$5*(AB170-AK170)</f>
        <v>#DIV/0!</v>
      </c>
      <c r="T171" s="43">
        <f t="shared" si="117"/>
        <v>0</v>
      </c>
      <c r="U171" s="43">
        <f t="shared" si="114"/>
        <v>0</v>
      </c>
      <c r="V171" s="43">
        <f t="shared" si="114"/>
        <v>0</v>
      </c>
      <c r="W171" s="43">
        <f t="shared" si="114"/>
        <v>0</v>
      </c>
      <c r="X171" s="43">
        <f t="shared" si="114"/>
        <v>0</v>
      </c>
      <c r="Y171" s="43">
        <f t="shared" si="114"/>
        <v>0</v>
      </c>
      <c r="Z171" s="43">
        <f t="shared" si="114"/>
        <v>0</v>
      </c>
      <c r="AA171" s="43">
        <f t="shared" si="114"/>
        <v>0</v>
      </c>
      <c r="AB171" s="43">
        <f t="shared" si="114"/>
        <v>0</v>
      </c>
      <c r="AC171" s="43" t="e">
        <f t="shared" si="90"/>
        <v>#DIV/0!</v>
      </c>
      <c r="AD171" s="43" t="e">
        <f t="shared" si="91"/>
        <v>#DIV/0!</v>
      </c>
      <c r="AE171" s="43" t="e">
        <f t="shared" si="92"/>
        <v>#DIV/0!</v>
      </c>
      <c r="AF171" s="43" t="e">
        <f t="shared" si="93"/>
        <v>#DIV/0!</v>
      </c>
      <c r="AG171" s="43" t="e">
        <f t="shared" si="94"/>
        <v>#DIV/0!</v>
      </c>
      <c r="AH171" s="43" t="e">
        <f t="shared" si="95"/>
        <v>#DIV/0!</v>
      </c>
      <c r="AI171" s="43" t="e">
        <f t="shared" si="96"/>
        <v>#DIV/0!</v>
      </c>
      <c r="AJ171" s="43" t="e">
        <f t="shared" si="97"/>
        <v>#DIV/0!</v>
      </c>
      <c r="AK171" s="43" t="e">
        <f t="shared" si="98"/>
        <v>#DIV/0!</v>
      </c>
      <c r="AL171" s="43" t="e">
        <f>T$3+K171/ATM_Conf!$C$5</f>
        <v>#DIV/0!</v>
      </c>
      <c r="AM171" s="43" t="e">
        <f>U$3+L171/ATM_Conf!$C$5</f>
        <v>#DIV/0!</v>
      </c>
      <c r="AN171" s="43" t="e">
        <f>V$3+M171/ATM_Conf!$C$5</f>
        <v>#DIV/0!</v>
      </c>
      <c r="AO171" s="43" t="e">
        <f>W$3+N171/ATM_Conf!$C$5</f>
        <v>#DIV/0!</v>
      </c>
      <c r="AP171" s="43" t="e">
        <f>X$3+O171/ATM_Conf!$C$5</f>
        <v>#DIV/0!</v>
      </c>
      <c r="AQ171" s="43" t="e">
        <f>Y$3+P171/ATM_Conf!$C$5</f>
        <v>#DIV/0!</v>
      </c>
      <c r="AR171" s="43" t="e">
        <f>Z$3+Q171/ATM_Conf!$C$5</f>
        <v>#DIV/0!</v>
      </c>
      <c r="AS171" s="43" t="e">
        <f>AA$3+R171/ATM_Conf!$C$5</f>
        <v>#DIV/0!</v>
      </c>
      <c r="AT171" s="43" t="e">
        <f>AB$3+S171/ATM_Conf!$C$5</f>
        <v>#DIV/0!</v>
      </c>
      <c r="AU171" s="43" t="e">
        <f>BD$3*MIN(1,(ATM_Conf!$C$6-Links!X171)/(ATM_Conf!$C$6-ATM_Conf!$C$7))</f>
        <v>#DIV/0!</v>
      </c>
      <c r="AV171" s="43" t="e">
        <f>BE$3*MIN(1,(ATM_Conf!$C$6-Links!Z171)/(ATM_Conf!$C$6-ATM_Conf!$C$7))</f>
        <v>#DIV/0!</v>
      </c>
      <c r="AW171" s="43" t="e">
        <f>BF$3*MIN(1,(ATM_Conf!$C$6-Links!AA171)/(ATM_Conf!$C$6-ATM_Conf!$C$7))</f>
        <v>#DIV/0!</v>
      </c>
      <c r="AX171" s="43" t="e">
        <f>BG$3*MIN(1,(ATM_Conf!$C$6-Links!AD171)/(ATM_Conf!$C$6-ATM_Conf!$C$7))</f>
        <v>#DIV/0!</v>
      </c>
      <c r="AY171" s="43" t="e">
        <f>BH$3*MIN(1,(ATM_Conf!$C$6-Links!AE171)/(ATM_Conf!$C$6-ATM_Conf!$C$7))</f>
        <v>#DIV/0!</v>
      </c>
      <c r="AZ171" s="43" t="e">
        <f>BI$3*MIN(1,(ATM_Conf!$C$6-Links!AG171)/(ATM_Conf!$C$6-ATM_Conf!$C$7))</f>
        <v>#DIV/0!</v>
      </c>
      <c r="BA171" s="43" t="e">
        <f>BJ$3*MIN(1,(ATM_Conf!$C$6-Links!AH171)/(ATM_Conf!$C$6-ATM_Conf!$C$7))</f>
        <v>#DIV/0!</v>
      </c>
      <c r="BB171" s="43" t="e">
        <f>BK$3*MIN(1,(ATM_Conf!$C$6-Links!AK171)/(ATM_Conf!$C$6-ATM_Conf!$C$7))</f>
        <v>#DIV/0!</v>
      </c>
      <c r="BC171" s="43" t="e">
        <f>BL$3*MIN(1,(ATM_Conf!$C$6-Links!AM171)/(ATM_Conf!$C$6-ATM_Conf!$C$7))</f>
        <v>#DIV/0!</v>
      </c>
      <c r="BD171" s="43">
        <f t="shared" si="118"/>
        <v>0</v>
      </c>
      <c r="BE171" s="43">
        <f t="shared" si="115"/>
        <v>0</v>
      </c>
      <c r="BF171" s="43">
        <f t="shared" si="115"/>
        <v>0</v>
      </c>
      <c r="BG171" s="43">
        <f t="shared" si="115"/>
        <v>0</v>
      </c>
      <c r="BH171" s="43">
        <f t="shared" si="115"/>
        <v>0</v>
      </c>
      <c r="BI171" s="43">
        <f t="shared" si="115"/>
        <v>0</v>
      </c>
      <c r="BJ171" s="43">
        <f t="shared" si="115"/>
        <v>0</v>
      </c>
      <c r="BK171" s="43">
        <f t="shared" si="115"/>
        <v>0</v>
      </c>
      <c r="BL171" s="43">
        <f t="shared" si="115"/>
        <v>0</v>
      </c>
      <c r="BM171" s="51">
        <f>(B171-B159)^2</f>
        <v>0</v>
      </c>
      <c r="BN171" s="51">
        <f t="shared" ref="BN171:BU171" si="123">(C171-C159)^2</f>
        <v>0</v>
      </c>
      <c r="BO171" s="51">
        <f t="shared" si="123"/>
        <v>0</v>
      </c>
      <c r="BP171" s="51">
        <f t="shared" si="123"/>
        <v>0</v>
      </c>
      <c r="BQ171" s="51">
        <f t="shared" si="123"/>
        <v>0</v>
      </c>
      <c r="BR171" s="51">
        <f t="shared" si="123"/>
        <v>0</v>
      </c>
      <c r="BS171" s="51">
        <f t="shared" si="123"/>
        <v>0</v>
      </c>
      <c r="BT171" s="51">
        <f t="shared" si="123"/>
        <v>0</v>
      </c>
      <c r="BU171" s="51">
        <f t="shared" si="123"/>
        <v>0</v>
      </c>
      <c r="BV171" s="51" t="e">
        <f t="shared" si="99"/>
        <v>#DIV/0!</v>
      </c>
      <c r="BW171" s="51" t="e">
        <f t="shared" si="100"/>
        <v>#DIV/0!</v>
      </c>
      <c r="BX171" s="51" t="e">
        <f t="shared" si="101"/>
        <v>#DIV/0!</v>
      </c>
      <c r="BY171" s="51" t="e">
        <f t="shared" si="102"/>
        <v>#DIV/0!</v>
      </c>
      <c r="BZ171" s="51" t="e">
        <f t="shared" si="103"/>
        <v>#DIV/0!</v>
      </c>
      <c r="CA171" s="51" t="e">
        <f t="shared" si="104"/>
        <v>#DIV/0!</v>
      </c>
      <c r="CB171" s="51" t="e">
        <f t="shared" si="105"/>
        <v>#DIV/0!</v>
      </c>
      <c r="CC171" s="51" t="e">
        <f t="shared" si="106"/>
        <v>#DIV/0!</v>
      </c>
      <c r="CD171" s="51" t="e">
        <f t="shared" si="107"/>
        <v>#DIV/0!</v>
      </c>
      <c r="CE171" s="53">
        <f t="shared" si="120"/>
        <v>0</v>
      </c>
      <c r="CF171" s="53">
        <f t="shared" si="116"/>
        <v>0</v>
      </c>
      <c r="CG171" s="53">
        <f t="shared" si="116"/>
        <v>0</v>
      </c>
      <c r="CH171" s="53">
        <f t="shared" si="116"/>
        <v>0</v>
      </c>
      <c r="CI171" s="53">
        <f t="shared" si="116"/>
        <v>0</v>
      </c>
      <c r="CJ171" s="53">
        <f t="shared" si="116"/>
        <v>0</v>
      </c>
      <c r="CK171" s="53">
        <f t="shared" si="116"/>
        <v>0</v>
      </c>
      <c r="CL171" s="53">
        <f t="shared" si="116"/>
        <v>0</v>
      </c>
      <c r="CM171" s="53">
        <f t="shared" si="116"/>
        <v>0</v>
      </c>
    </row>
    <row r="172" spans="1:91" x14ac:dyDescent="0.15">
      <c r="A172" s="41">
        <v>170</v>
      </c>
      <c r="B172" s="43">
        <f>B$171</f>
        <v>1</v>
      </c>
      <c r="C172" s="43">
        <f t="shared" ref="C172:J182" si="124">C$171</f>
        <v>1</v>
      </c>
      <c r="D172" s="43">
        <f t="shared" si="124"/>
        <v>1</v>
      </c>
      <c r="E172" s="43">
        <f t="shared" si="124"/>
        <v>1</v>
      </c>
      <c r="F172" s="43">
        <f t="shared" si="124"/>
        <v>1</v>
      </c>
      <c r="G172" s="43">
        <f t="shared" si="124"/>
        <v>1</v>
      </c>
      <c r="H172" s="43">
        <f t="shared" si="124"/>
        <v>1</v>
      </c>
      <c r="I172" s="43">
        <f t="shared" si="124"/>
        <v>1</v>
      </c>
      <c r="J172" s="43">
        <f t="shared" si="124"/>
        <v>1</v>
      </c>
      <c r="K172" s="43" t="e">
        <f>K171+ATM_Conf!$C$5*(T171-AC171)</f>
        <v>#DIV/0!</v>
      </c>
      <c r="L172" s="43" t="e">
        <f>L171+ATM_Conf!$C$5*(U171-AD171)</f>
        <v>#DIV/0!</v>
      </c>
      <c r="M172" s="43" t="e">
        <f>M171+ATM_Conf!$C$5*(V171-AE171)</f>
        <v>#DIV/0!</v>
      </c>
      <c r="N172" s="43" t="e">
        <f>N171+ATM_Conf!$C$5*(W171-AF171)</f>
        <v>#DIV/0!</v>
      </c>
      <c r="O172" s="43" t="e">
        <f>O171+ATM_Conf!$C$5*(X171-AG171)</f>
        <v>#DIV/0!</v>
      </c>
      <c r="P172" s="43" t="e">
        <f>P171+ATM_Conf!$C$5*(Y171-AH171)</f>
        <v>#DIV/0!</v>
      </c>
      <c r="Q172" s="43" t="e">
        <f>Q171+ATM_Conf!$C$5*(Z171-AI171)</f>
        <v>#DIV/0!</v>
      </c>
      <c r="R172" s="43" t="e">
        <f>R171+ATM_Conf!$C$5*(AA171-AJ171)</f>
        <v>#DIV/0!</v>
      </c>
      <c r="S172" s="43" t="e">
        <f>S171+ATM_Conf!$C$5*(AB171-AK171)</f>
        <v>#DIV/0!</v>
      </c>
      <c r="T172" s="43">
        <f t="shared" si="117"/>
        <v>0</v>
      </c>
      <c r="U172" s="43">
        <f t="shared" si="114"/>
        <v>0</v>
      </c>
      <c r="V172" s="43">
        <f t="shared" si="114"/>
        <v>0</v>
      </c>
      <c r="W172" s="43">
        <f t="shared" si="114"/>
        <v>0</v>
      </c>
      <c r="X172" s="43">
        <f t="shared" si="114"/>
        <v>0</v>
      </c>
      <c r="Y172" s="43">
        <f t="shared" si="114"/>
        <v>0</v>
      </c>
      <c r="Z172" s="43">
        <f t="shared" si="114"/>
        <v>0</v>
      </c>
      <c r="AA172" s="43">
        <f t="shared" si="114"/>
        <v>0</v>
      </c>
      <c r="AB172" s="43">
        <f t="shared" si="114"/>
        <v>0</v>
      </c>
      <c r="AC172" s="43" t="e">
        <f t="shared" si="90"/>
        <v>#DIV/0!</v>
      </c>
      <c r="AD172" s="43" t="e">
        <f t="shared" si="91"/>
        <v>#DIV/0!</v>
      </c>
      <c r="AE172" s="43" t="e">
        <f t="shared" si="92"/>
        <v>#DIV/0!</v>
      </c>
      <c r="AF172" s="43" t="e">
        <f t="shared" si="93"/>
        <v>#DIV/0!</v>
      </c>
      <c r="AG172" s="43" t="e">
        <f t="shared" si="94"/>
        <v>#DIV/0!</v>
      </c>
      <c r="AH172" s="43" t="e">
        <f t="shared" si="95"/>
        <v>#DIV/0!</v>
      </c>
      <c r="AI172" s="43" t="e">
        <f t="shared" si="96"/>
        <v>#DIV/0!</v>
      </c>
      <c r="AJ172" s="43" t="e">
        <f t="shared" si="97"/>
        <v>#DIV/0!</v>
      </c>
      <c r="AK172" s="43" t="e">
        <f t="shared" si="98"/>
        <v>#DIV/0!</v>
      </c>
      <c r="AL172" s="43" t="e">
        <f>T$3+K172/ATM_Conf!$C$5</f>
        <v>#DIV/0!</v>
      </c>
      <c r="AM172" s="43" t="e">
        <f>U$3+L172/ATM_Conf!$C$5</f>
        <v>#DIV/0!</v>
      </c>
      <c r="AN172" s="43" t="e">
        <f>V$3+M172/ATM_Conf!$C$5</f>
        <v>#DIV/0!</v>
      </c>
      <c r="AO172" s="43" t="e">
        <f>W$3+N172/ATM_Conf!$C$5</f>
        <v>#DIV/0!</v>
      </c>
      <c r="AP172" s="43" t="e">
        <f>X$3+O172/ATM_Conf!$C$5</f>
        <v>#DIV/0!</v>
      </c>
      <c r="AQ172" s="43" t="e">
        <f>Y$3+P172/ATM_Conf!$C$5</f>
        <v>#DIV/0!</v>
      </c>
      <c r="AR172" s="43" t="e">
        <f>Z$3+Q172/ATM_Conf!$C$5</f>
        <v>#DIV/0!</v>
      </c>
      <c r="AS172" s="43" t="e">
        <f>AA$3+R172/ATM_Conf!$C$5</f>
        <v>#DIV/0!</v>
      </c>
      <c r="AT172" s="43" t="e">
        <f>AB$3+S172/ATM_Conf!$C$5</f>
        <v>#DIV/0!</v>
      </c>
      <c r="AU172" s="43" t="e">
        <f>BD$3*MIN(1,(ATM_Conf!$C$6-Links!X172)/(ATM_Conf!$C$6-ATM_Conf!$C$7))</f>
        <v>#DIV/0!</v>
      </c>
      <c r="AV172" s="43" t="e">
        <f>BE$3*MIN(1,(ATM_Conf!$C$6-Links!Z172)/(ATM_Conf!$C$6-ATM_Conf!$C$7))</f>
        <v>#DIV/0!</v>
      </c>
      <c r="AW172" s="43" t="e">
        <f>BF$3*MIN(1,(ATM_Conf!$C$6-Links!AA172)/(ATM_Conf!$C$6-ATM_Conf!$C$7))</f>
        <v>#DIV/0!</v>
      </c>
      <c r="AX172" s="43" t="e">
        <f>BG$3*MIN(1,(ATM_Conf!$C$6-Links!AD172)/(ATM_Conf!$C$6-ATM_Conf!$C$7))</f>
        <v>#DIV/0!</v>
      </c>
      <c r="AY172" s="43" t="e">
        <f>BH$3*MIN(1,(ATM_Conf!$C$6-Links!AE172)/(ATM_Conf!$C$6-ATM_Conf!$C$7))</f>
        <v>#DIV/0!</v>
      </c>
      <c r="AZ172" s="43" t="e">
        <f>BI$3*MIN(1,(ATM_Conf!$C$6-Links!AG172)/(ATM_Conf!$C$6-ATM_Conf!$C$7))</f>
        <v>#DIV/0!</v>
      </c>
      <c r="BA172" s="43" t="e">
        <f>BJ$3*MIN(1,(ATM_Conf!$C$6-Links!AH172)/(ATM_Conf!$C$6-ATM_Conf!$C$7))</f>
        <v>#DIV/0!</v>
      </c>
      <c r="BB172" s="43" t="e">
        <f>BK$3*MIN(1,(ATM_Conf!$C$6-Links!AK172)/(ATM_Conf!$C$6-ATM_Conf!$C$7))</f>
        <v>#DIV/0!</v>
      </c>
      <c r="BC172" s="43" t="e">
        <f>BL$3*MIN(1,(ATM_Conf!$C$6-Links!AM172)/(ATM_Conf!$C$6-ATM_Conf!$C$7))</f>
        <v>#DIV/0!</v>
      </c>
      <c r="BD172" s="43">
        <f t="shared" si="118"/>
        <v>0</v>
      </c>
      <c r="BE172" s="43">
        <f t="shared" si="115"/>
        <v>0</v>
      </c>
      <c r="BF172" s="43">
        <f t="shared" si="115"/>
        <v>0</v>
      </c>
      <c r="BG172" s="43">
        <f t="shared" si="115"/>
        <v>0</v>
      </c>
      <c r="BH172" s="43">
        <f t="shared" si="115"/>
        <v>0</v>
      </c>
      <c r="BI172" s="43">
        <f t="shared" si="115"/>
        <v>0</v>
      </c>
      <c r="BJ172" s="43">
        <f t="shared" si="115"/>
        <v>0</v>
      </c>
      <c r="BK172" s="43">
        <f t="shared" si="115"/>
        <v>0</v>
      </c>
      <c r="BL172" s="43">
        <f t="shared" si="115"/>
        <v>0</v>
      </c>
      <c r="BM172" s="51"/>
      <c r="BN172" s="51"/>
      <c r="BO172" s="51"/>
      <c r="BP172" s="51"/>
      <c r="BQ172" s="51"/>
      <c r="BR172" s="51"/>
      <c r="BS172" s="51"/>
      <c r="BT172" s="51"/>
      <c r="BU172" s="51"/>
      <c r="BV172" s="51" t="e">
        <f t="shared" si="99"/>
        <v>#DIV/0!</v>
      </c>
      <c r="BW172" s="51" t="e">
        <f t="shared" si="100"/>
        <v>#DIV/0!</v>
      </c>
      <c r="BX172" s="51" t="e">
        <f t="shared" si="101"/>
        <v>#DIV/0!</v>
      </c>
      <c r="BY172" s="51" t="e">
        <f t="shared" si="102"/>
        <v>#DIV/0!</v>
      </c>
      <c r="BZ172" s="51" t="e">
        <f t="shared" si="103"/>
        <v>#DIV/0!</v>
      </c>
      <c r="CA172" s="51" t="e">
        <f t="shared" si="104"/>
        <v>#DIV/0!</v>
      </c>
      <c r="CB172" s="51" t="e">
        <f t="shared" si="105"/>
        <v>#DIV/0!</v>
      </c>
      <c r="CC172" s="51" t="e">
        <f t="shared" si="106"/>
        <v>#DIV/0!</v>
      </c>
      <c r="CD172" s="51" t="e">
        <f t="shared" si="107"/>
        <v>#DIV/0!</v>
      </c>
      <c r="CE172" s="53">
        <f t="shared" si="120"/>
        <v>0</v>
      </c>
      <c r="CF172" s="53">
        <f t="shared" si="116"/>
        <v>0</v>
      </c>
      <c r="CG172" s="53">
        <f t="shared" si="116"/>
        <v>0</v>
      </c>
      <c r="CH172" s="53">
        <f t="shared" si="116"/>
        <v>0</v>
      </c>
      <c r="CI172" s="53">
        <f t="shared" si="116"/>
        <v>0</v>
      </c>
      <c r="CJ172" s="53">
        <f t="shared" si="116"/>
        <v>0</v>
      </c>
      <c r="CK172" s="53">
        <f t="shared" si="116"/>
        <v>0</v>
      </c>
      <c r="CL172" s="53">
        <f t="shared" si="116"/>
        <v>0</v>
      </c>
      <c r="CM172" s="53">
        <f t="shared" si="116"/>
        <v>0</v>
      </c>
    </row>
    <row r="173" spans="1:91" x14ac:dyDescent="0.15">
      <c r="A173" s="41">
        <v>171</v>
      </c>
      <c r="B173" s="43">
        <f t="shared" ref="B173:B182" si="125">B$171</f>
        <v>1</v>
      </c>
      <c r="C173" s="43">
        <f t="shared" si="124"/>
        <v>1</v>
      </c>
      <c r="D173" s="43">
        <f t="shared" si="124"/>
        <v>1</v>
      </c>
      <c r="E173" s="43">
        <f t="shared" si="124"/>
        <v>1</v>
      </c>
      <c r="F173" s="43">
        <f t="shared" si="124"/>
        <v>1</v>
      </c>
      <c r="G173" s="43">
        <f t="shared" si="124"/>
        <v>1</v>
      </c>
      <c r="H173" s="43">
        <f t="shared" si="124"/>
        <v>1</v>
      </c>
      <c r="I173" s="43">
        <f t="shared" si="124"/>
        <v>1</v>
      </c>
      <c r="J173" s="43">
        <f t="shared" si="124"/>
        <v>1</v>
      </c>
      <c r="K173" s="43" t="e">
        <f>K172+ATM_Conf!$C$5*(T172-AC172)</f>
        <v>#DIV/0!</v>
      </c>
      <c r="L173" s="43" t="e">
        <f>L172+ATM_Conf!$C$5*(U172-AD172)</f>
        <v>#DIV/0!</v>
      </c>
      <c r="M173" s="43" t="e">
        <f>M172+ATM_Conf!$C$5*(V172-AE172)</f>
        <v>#DIV/0!</v>
      </c>
      <c r="N173" s="43" t="e">
        <f>N172+ATM_Conf!$C$5*(W172-AF172)</f>
        <v>#DIV/0!</v>
      </c>
      <c r="O173" s="43" t="e">
        <f>O172+ATM_Conf!$C$5*(X172-AG172)</f>
        <v>#DIV/0!</v>
      </c>
      <c r="P173" s="43" t="e">
        <f>P172+ATM_Conf!$C$5*(Y172-AH172)</f>
        <v>#DIV/0!</v>
      </c>
      <c r="Q173" s="43" t="e">
        <f>Q172+ATM_Conf!$C$5*(Z172-AI172)</f>
        <v>#DIV/0!</v>
      </c>
      <c r="R173" s="43" t="e">
        <f>R172+ATM_Conf!$C$5*(AA172-AJ172)</f>
        <v>#DIV/0!</v>
      </c>
      <c r="S173" s="43" t="e">
        <f>S172+ATM_Conf!$C$5*(AB172-AK172)</f>
        <v>#DIV/0!</v>
      </c>
      <c r="T173" s="43">
        <f t="shared" si="117"/>
        <v>0</v>
      </c>
      <c r="U173" s="43">
        <f t="shared" si="114"/>
        <v>0</v>
      </c>
      <c r="V173" s="43">
        <f t="shared" si="114"/>
        <v>0</v>
      </c>
      <c r="W173" s="43">
        <f t="shared" si="114"/>
        <v>0</v>
      </c>
      <c r="X173" s="43">
        <f t="shared" si="114"/>
        <v>0</v>
      </c>
      <c r="Y173" s="43">
        <f t="shared" si="114"/>
        <v>0</v>
      </c>
      <c r="Z173" s="43">
        <f t="shared" si="114"/>
        <v>0</v>
      </c>
      <c r="AA173" s="43">
        <f t="shared" si="114"/>
        <v>0</v>
      </c>
      <c r="AB173" s="43">
        <f t="shared" si="114"/>
        <v>0</v>
      </c>
      <c r="AC173" s="43" t="e">
        <f t="shared" si="90"/>
        <v>#DIV/0!</v>
      </c>
      <c r="AD173" s="43" t="e">
        <f t="shared" si="91"/>
        <v>#DIV/0!</v>
      </c>
      <c r="AE173" s="43" t="e">
        <f t="shared" si="92"/>
        <v>#DIV/0!</v>
      </c>
      <c r="AF173" s="43" t="e">
        <f t="shared" si="93"/>
        <v>#DIV/0!</v>
      </c>
      <c r="AG173" s="43" t="e">
        <f t="shared" si="94"/>
        <v>#DIV/0!</v>
      </c>
      <c r="AH173" s="43" t="e">
        <f t="shared" si="95"/>
        <v>#DIV/0!</v>
      </c>
      <c r="AI173" s="43" t="e">
        <f t="shared" si="96"/>
        <v>#DIV/0!</v>
      </c>
      <c r="AJ173" s="43" t="e">
        <f t="shared" si="97"/>
        <v>#DIV/0!</v>
      </c>
      <c r="AK173" s="43" t="e">
        <f t="shared" si="98"/>
        <v>#DIV/0!</v>
      </c>
      <c r="AL173" s="43" t="e">
        <f>T$3+K173/ATM_Conf!$C$5</f>
        <v>#DIV/0!</v>
      </c>
      <c r="AM173" s="43" t="e">
        <f>U$3+L173/ATM_Conf!$C$5</f>
        <v>#DIV/0!</v>
      </c>
      <c r="AN173" s="43" t="e">
        <f>V$3+M173/ATM_Conf!$C$5</f>
        <v>#DIV/0!</v>
      </c>
      <c r="AO173" s="43" t="e">
        <f>W$3+N173/ATM_Conf!$C$5</f>
        <v>#DIV/0!</v>
      </c>
      <c r="AP173" s="43" t="e">
        <f>X$3+O173/ATM_Conf!$C$5</f>
        <v>#DIV/0!</v>
      </c>
      <c r="AQ173" s="43" t="e">
        <f>Y$3+P173/ATM_Conf!$C$5</f>
        <v>#DIV/0!</v>
      </c>
      <c r="AR173" s="43" t="e">
        <f>Z$3+Q173/ATM_Conf!$C$5</f>
        <v>#DIV/0!</v>
      </c>
      <c r="AS173" s="43" t="e">
        <f>AA$3+R173/ATM_Conf!$C$5</f>
        <v>#DIV/0!</v>
      </c>
      <c r="AT173" s="43" t="e">
        <f>AB$3+S173/ATM_Conf!$C$5</f>
        <v>#DIV/0!</v>
      </c>
      <c r="AU173" s="43" t="e">
        <f>BD$3*MIN(1,(ATM_Conf!$C$6-Links!X173)/(ATM_Conf!$C$6-ATM_Conf!$C$7))</f>
        <v>#DIV/0!</v>
      </c>
      <c r="AV173" s="43" t="e">
        <f>BE$3*MIN(1,(ATM_Conf!$C$6-Links!Z173)/(ATM_Conf!$C$6-ATM_Conf!$C$7))</f>
        <v>#DIV/0!</v>
      </c>
      <c r="AW173" s="43" t="e">
        <f>BF$3*MIN(1,(ATM_Conf!$C$6-Links!AA173)/(ATM_Conf!$C$6-ATM_Conf!$C$7))</f>
        <v>#DIV/0!</v>
      </c>
      <c r="AX173" s="43" t="e">
        <f>BG$3*MIN(1,(ATM_Conf!$C$6-Links!AD173)/(ATM_Conf!$C$6-ATM_Conf!$C$7))</f>
        <v>#DIV/0!</v>
      </c>
      <c r="AY173" s="43" t="e">
        <f>BH$3*MIN(1,(ATM_Conf!$C$6-Links!AE173)/(ATM_Conf!$C$6-ATM_Conf!$C$7))</f>
        <v>#DIV/0!</v>
      </c>
      <c r="AZ173" s="43" t="e">
        <f>BI$3*MIN(1,(ATM_Conf!$C$6-Links!AG173)/(ATM_Conf!$C$6-ATM_Conf!$C$7))</f>
        <v>#DIV/0!</v>
      </c>
      <c r="BA173" s="43" t="e">
        <f>BJ$3*MIN(1,(ATM_Conf!$C$6-Links!AH173)/(ATM_Conf!$C$6-ATM_Conf!$C$7))</f>
        <v>#DIV/0!</v>
      </c>
      <c r="BB173" s="43" t="e">
        <f>BK$3*MIN(1,(ATM_Conf!$C$6-Links!AK173)/(ATM_Conf!$C$6-ATM_Conf!$C$7))</f>
        <v>#DIV/0!</v>
      </c>
      <c r="BC173" s="43" t="e">
        <f>BL$3*MIN(1,(ATM_Conf!$C$6-Links!AM173)/(ATM_Conf!$C$6-ATM_Conf!$C$7))</f>
        <v>#DIV/0!</v>
      </c>
      <c r="BD173" s="43">
        <f t="shared" si="118"/>
        <v>0</v>
      </c>
      <c r="BE173" s="43">
        <f t="shared" si="115"/>
        <v>0</v>
      </c>
      <c r="BF173" s="43">
        <f t="shared" si="115"/>
        <v>0</v>
      </c>
      <c r="BG173" s="43">
        <f t="shared" si="115"/>
        <v>0</v>
      </c>
      <c r="BH173" s="43">
        <f t="shared" si="115"/>
        <v>0</v>
      </c>
      <c r="BI173" s="43">
        <f t="shared" si="115"/>
        <v>0</v>
      </c>
      <c r="BJ173" s="43">
        <f t="shared" si="115"/>
        <v>0</v>
      </c>
      <c r="BK173" s="43">
        <f t="shared" si="115"/>
        <v>0</v>
      </c>
      <c r="BL173" s="43">
        <f t="shared" si="115"/>
        <v>0</v>
      </c>
      <c r="BM173" s="51"/>
      <c r="BN173" s="51"/>
      <c r="BO173" s="51"/>
      <c r="BP173" s="51"/>
      <c r="BQ173" s="51"/>
      <c r="BR173" s="51"/>
      <c r="BS173" s="51"/>
      <c r="BT173" s="51"/>
      <c r="BU173" s="51"/>
      <c r="BV173" s="51" t="e">
        <f t="shared" si="99"/>
        <v>#DIV/0!</v>
      </c>
      <c r="BW173" s="51" t="e">
        <f t="shared" si="100"/>
        <v>#DIV/0!</v>
      </c>
      <c r="BX173" s="51" t="e">
        <f t="shared" si="101"/>
        <v>#DIV/0!</v>
      </c>
      <c r="BY173" s="51" t="e">
        <f t="shared" si="102"/>
        <v>#DIV/0!</v>
      </c>
      <c r="BZ173" s="51" t="e">
        <f t="shared" si="103"/>
        <v>#DIV/0!</v>
      </c>
      <c r="CA173" s="51" t="e">
        <f t="shared" si="104"/>
        <v>#DIV/0!</v>
      </c>
      <c r="CB173" s="51" t="e">
        <f t="shared" si="105"/>
        <v>#DIV/0!</v>
      </c>
      <c r="CC173" s="51" t="e">
        <f t="shared" si="106"/>
        <v>#DIV/0!</v>
      </c>
      <c r="CD173" s="51" t="e">
        <f t="shared" si="107"/>
        <v>#DIV/0!</v>
      </c>
      <c r="CE173" s="53">
        <f t="shared" si="120"/>
        <v>0</v>
      </c>
      <c r="CF173" s="53">
        <f t="shared" si="116"/>
        <v>0</v>
      </c>
      <c r="CG173" s="53">
        <f t="shared" si="116"/>
        <v>0</v>
      </c>
      <c r="CH173" s="53">
        <f t="shared" si="116"/>
        <v>0</v>
      </c>
      <c r="CI173" s="53">
        <f t="shared" si="116"/>
        <v>0</v>
      </c>
      <c r="CJ173" s="53">
        <f t="shared" si="116"/>
        <v>0</v>
      </c>
      <c r="CK173" s="53">
        <f t="shared" si="116"/>
        <v>0</v>
      </c>
      <c r="CL173" s="53">
        <f t="shared" si="116"/>
        <v>0</v>
      </c>
      <c r="CM173" s="53">
        <f t="shared" si="116"/>
        <v>0</v>
      </c>
    </row>
    <row r="174" spans="1:91" x14ac:dyDescent="0.15">
      <c r="A174" s="41">
        <v>172</v>
      </c>
      <c r="B174" s="43">
        <f t="shared" si="125"/>
        <v>1</v>
      </c>
      <c r="C174" s="43">
        <f t="shared" si="124"/>
        <v>1</v>
      </c>
      <c r="D174" s="43">
        <f t="shared" si="124"/>
        <v>1</v>
      </c>
      <c r="E174" s="43">
        <f t="shared" si="124"/>
        <v>1</v>
      </c>
      <c r="F174" s="43">
        <f t="shared" si="124"/>
        <v>1</v>
      </c>
      <c r="G174" s="43">
        <f t="shared" si="124"/>
        <v>1</v>
      </c>
      <c r="H174" s="43">
        <f t="shared" si="124"/>
        <v>1</v>
      </c>
      <c r="I174" s="43">
        <f t="shared" si="124"/>
        <v>1</v>
      </c>
      <c r="J174" s="43">
        <f t="shared" si="124"/>
        <v>1</v>
      </c>
      <c r="K174" s="43" t="e">
        <f>K173+ATM_Conf!$C$5*(T173-AC173)</f>
        <v>#DIV/0!</v>
      </c>
      <c r="L174" s="43" t="e">
        <f>L173+ATM_Conf!$C$5*(U173-AD173)</f>
        <v>#DIV/0!</v>
      </c>
      <c r="M174" s="43" t="e">
        <f>M173+ATM_Conf!$C$5*(V173-AE173)</f>
        <v>#DIV/0!</v>
      </c>
      <c r="N174" s="43" t="e">
        <f>N173+ATM_Conf!$C$5*(W173-AF173)</f>
        <v>#DIV/0!</v>
      </c>
      <c r="O174" s="43" t="e">
        <f>O173+ATM_Conf!$C$5*(X173-AG173)</f>
        <v>#DIV/0!</v>
      </c>
      <c r="P174" s="43" t="e">
        <f>P173+ATM_Conf!$C$5*(Y173-AH173)</f>
        <v>#DIV/0!</v>
      </c>
      <c r="Q174" s="43" t="e">
        <f>Q173+ATM_Conf!$C$5*(Z173-AI173)</f>
        <v>#DIV/0!</v>
      </c>
      <c r="R174" s="43" t="e">
        <f>R173+ATM_Conf!$C$5*(AA173-AJ173)</f>
        <v>#DIV/0!</v>
      </c>
      <c r="S174" s="43" t="e">
        <f>S173+ATM_Conf!$C$5*(AB173-AK173)</f>
        <v>#DIV/0!</v>
      </c>
      <c r="T174" s="43">
        <f t="shared" si="117"/>
        <v>0</v>
      </c>
      <c r="U174" s="43">
        <f t="shared" si="114"/>
        <v>0</v>
      </c>
      <c r="V174" s="43">
        <f t="shared" si="114"/>
        <v>0</v>
      </c>
      <c r="W174" s="43">
        <f t="shared" si="114"/>
        <v>0</v>
      </c>
      <c r="X174" s="43">
        <f t="shared" si="114"/>
        <v>0</v>
      </c>
      <c r="Y174" s="43">
        <f t="shared" si="114"/>
        <v>0</v>
      </c>
      <c r="Z174" s="43">
        <f t="shared" si="114"/>
        <v>0</v>
      </c>
      <c r="AA174" s="43">
        <f t="shared" si="114"/>
        <v>0</v>
      </c>
      <c r="AB174" s="43">
        <f t="shared" si="114"/>
        <v>0</v>
      </c>
      <c r="AC174" s="43" t="e">
        <f t="shared" si="90"/>
        <v>#DIV/0!</v>
      </c>
      <c r="AD174" s="43" t="e">
        <f t="shared" si="91"/>
        <v>#DIV/0!</v>
      </c>
      <c r="AE174" s="43" t="e">
        <f t="shared" si="92"/>
        <v>#DIV/0!</v>
      </c>
      <c r="AF174" s="43" t="e">
        <f t="shared" si="93"/>
        <v>#DIV/0!</v>
      </c>
      <c r="AG174" s="43" t="e">
        <f t="shared" si="94"/>
        <v>#DIV/0!</v>
      </c>
      <c r="AH174" s="43" t="e">
        <f t="shared" si="95"/>
        <v>#DIV/0!</v>
      </c>
      <c r="AI174" s="43" t="e">
        <f t="shared" si="96"/>
        <v>#DIV/0!</v>
      </c>
      <c r="AJ174" s="43" t="e">
        <f t="shared" si="97"/>
        <v>#DIV/0!</v>
      </c>
      <c r="AK174" s="43" t="e">
        <f t="shared" si="98"/>
        <v>#DIV/0!</v>
      </c>
      <c r="AL174" s="43" t="e">
        <f>T$3+K174/ATM_Conf!$C$5</f>
        <v>#DIV/0!</v>
      </c>
      <c r="AM174" s="43" t="e">
        <f>U$3+L174/ATM_Conf!$C$5</f>
        <v>#DIV/0!</v>
      </c>
      <c r="AN174" s="43" t="e">
        <f>V$3+M174/ATM_Conf!$C$5</f>
        <v>#DIV/0!</v>
      </c>
      <c r="AO174" s="43" t="e">
        <f>W$3+N174/ATM_Conf!$C$5</f>
        <v>#DIV/0!</v>
      </c>
      <c r="AP174" s="43" t="e">
        <f>X$3+O174/ATM_Conf!$C$5</f>
        <v>#DIV/0!</v>
      </c>
      <c r="AQ174" s="43" t="e">
        <f>Y$3+P174/ATM_Conf!$C$5</f>
        <v>#DIV/0!</v>
      </c>
      <c r="AR174" s="43" t="e">
        <f>Z$3+Q174/ATM_Conf!$C$5</f>
        <v>#DIV/0!</v>
      </c>
      <c r="AS174" s="43" t="e">
        <f>AA$3+R174/ATM_Conf!$C$5</f>
        <v>#DIV/0!</v>
      </c>
      <c r="AT174" s="43" t="e">
        <f>AB$3+S174/ATM_Conf!$C$5</f>
        <v>#DIV/0!</v>
      </c>
      <c r="AU174" s="43" t="e">
        <f>BD$3*MIN(1,(ATM_Conf!$C$6-Links!X174)/(ATM_Conf!$C$6-ATM_Conf!$C$7))</f>
        <v>#DIV/0!</v>
      </c>
      <c r="AV174" s="43" t="e">
        <f>BE$3*MIN(1,(ATM_Conf!$C$6-Links!Z174)/(ATM_Conf!$C$6-ATM_Conf!$C$7))</f>
        <v>#DIV/0!</v>
      </c>
      <c r="AW174" s="43" t="e">
        <f>BF$3*MIN(1,(ATM_Conf!$C$6-Links!AA174)/(ATM_Conf!$C$6-ATM_Conf!$C$7))</f>
        <v>#DIV/0!</v>
      </c>
      <c r="AX174" s="43" t="e">
        <f>BG$3*MIN(1,(ATM_Conf!$C$6-Links!AD174)/(ATM_Conf!$C$6-ATM_Conf!$C$7))</f>
        <v>#DIV/0!</v>
      </c>
      <c r="AY174" s="43" t="e">
        <f>BH$3*MIN(1,(ATM_Conf!$C$6-Links!AE174)/(ATM_Conf!$C$6-ATM_Conf!$C$7))</f>
        <v>#DIV/0!</v>
      </c>
      <c r="AZ174" s="43" t="e">
        <f>BI$3*MIN(1,(ATM_Conf!$C$6-Links!AG174)/(ATM_Conf!$C$6-ATM_Conf!$C$7))</f>
        <v>#DIV/0!</v>
      </c>
      <c r="BA174" s="43" t="e">
        <f>BJ$3*MIN(1,(ATM_Conf!$C$6-Links!AH174)/(ATM_Conf!$C$6-ATM_Conf!$C$7))</f>
        <v>#DIV/0!</v>
      </c>
      <c r="BB174" s="43" t="e">
        <f>BK$3*MIN(1,(ATM_Conf!$C$6-Links!AK174)/(ATM_Conf!$C$6-ATM_Conf!$C$7))</f>
        <v>#DIV/0!</v>
      </c>
      <c r="BC174" s="43" t="e">
        <f>BL$3*MIN(1,(ATM_Conf!$C$6-Links!AM174)/(ATM_Conf!$C$6-ATM_Conf!$C$7))</f>
        <v>#DIV/0!</v>
      </c>
      <c r="BD174" s="43">
        <f t="shared" si="118"/>
        <v>0</v>
      </c>
      <c r="BE174" s="43">
        <f t="shared" si="115"/>
        <v>0</v>
      </c>
      <c r="BF174" s="43">
        <f t="shared" si="115"/>
        <v>0</v>
      </c>
      <c r="BG174" s="43">
        <f t="shared" si="115"/>
        <v>0</v>
      </c>
      <c r="BH174" s="43">
        <f t="shared" si="115"/>
        <v>0</v>
      </c>
      <c r="BI174" s="43">
        <f t="shared" si="115"/>
        <v>0</v>
      </c>
      <c r="BJ174" s="43">
        <f t="shared" si="115"/>
        <v>0</v>
      </c>
      <c r="BK174" s="43">
        <f t="shared" si="115"/>
        <v>0</v>
      </c>
      <c r="BL174" s="43">
        <f t="shared" si="115"/>
        <v>0</v>
      </c>
      <c r="BM174" s="51"/>
      <c r="BN174" s="51"/>
      <c r="BO174" s="51"/>
      <c r="BP174" s="51"/>
      <c r="BQ174" s="51"/>
      <c r="BR174" s="51"/>
      <c r="BS174" s="51"/>
      <c r="BT174" s="51"/>
      <c r="BU174" s="51"/>
      <c r="BV174" s="51" t="e">
        <f t="shared" si="99"/>
        <v>#DIV/0!</v>
      </c>
      <c r="BW174" s="51" t="e">
        <f t="shared" si="100"/>
        <v>#DIV/0!</v>
      </c>
      <c r="BX174" s="51" t="e">
        <f t="shared" si="101"/>
        <v>#DIV/0!</v>
      </c>
      <c r="BY174" s="51" t="e">
        <f t="shared" si="102"/>
        <v>#DIV/0!</v>
      </c>
      <c r="BZ174" s="51" t="e">
        <f t="shared" si="103"/>
        <v>#DIV/0!</v>
      </c>
      <c r="CA174" s="51" t="e">
        <f t="shared" si="104"/>
        <v>#DIV/0!</v>
      </c>
      <c r="CB174" s="51" t="e">
        <f t="shared" si="105"/>
        <v>#DIV/0!</v>
      </c>
      <c r="CC174" s="51" t="e">
        <f t="shared" si="106"/>
        <v>#DIV/0!</v>
      </c>
      <c r="CD174" s="51" t="e">
        <f t="shared" si="107"/>
        <v>#DIV/0!</v>
      </c>
      <c r="CE174" s="53">
        <f t="shared" si="120"/>
        <v>0</v>
      </c>
      <c r="CF174" s="53">
        <f t="shared" si="116"/>
        <v>0</v>
      </c>
      <c r="CG174" s="53">
        <f t="shared" si="116"/>
        <v>0</v>
      </c>
      <c r="CH174" s="53">
        <f t="shared" si="116"/>
        <v>0</v>
      </c>
      <c r="CI174" s="53">
        <f t="shared" si="116"/>
        <v>0</v>
      </c>
      <c r="CJ174" s="53">
        <f t="shared" si="116"/>
        <v>0</v>
      </c>
      <c r="CK174" s="53">
        <f t="shared" si="116"/>
        <v>0</v>
      </c>
      <c r="CL174" s="53">
        <f t="shared" si="116"/>
        <v>0</v>
      </c>
      <c r="CM174" s="53">
        <f t="shared" si="116"/>
        <v>0</v>
      </c>
    </row>
    <row r="175" spans="1:91" x14ac:dyDescent="0.15">
      <c r="A175" s="41">
        <v>173</v>
      </c>
      <c r="B175" s="43">
        <f t="shared" si="125"/>
        <v>1</v>
      </c>
      <c r="C175" s="43">
        <f t="shared" si="124"/>
        <v>1</v>
      </c>
      <c r="D175" s="43">
        <f t="shared" si="124"/>
        <v>1</v>
      </c>
      <c r="E175" s="43">
        <f t="shared" si="124"/>
        <v>1</v>
      </c>
      <c r="F175" s="43">
        <f t="shared" si="124"/>
        <v>1</v>
      </c>
      <c r="G175" s="43">
        <f t="shared" si="124"/>
        <v>1</v>
      </c>
      <c r="H175" s="43">
        <f t="shared" si="124"/>
        <v>1</v>
      </c>
      <c r="I175" s="43">
        <f t="shared" si="124"/>
        <v>1</v>
      </c>
      <c r="J175" s="43">
        <f t="shared" si="124"/>
        <v>1</v>
      </c>
      <c r="K175" s="43" t="e">
        <f>K174+ATM_Conf!$C$5*(T174-AC174)</f>
        <v>#DIV/0!</v>
      </c>
      <c r="L175" s="43" t="e">
        <f>L174+ATM_Conf!$C$5*(U174-AD174)</f>
        <v>#DIV/0!</v>
      </c>
      <c r="M175" s="43" t="e">
        <f>M174+ATM_Conf!$C$5*(V174-AE174)</f>
        <v>#DIV/0!</v>
      </c>
      <c r="N175" s="43" t="e">
        <f>N174+ATM_Conf!$C$5*(W174-AF174)</f>
        <v>#DIV/0!</v>
      </c>
      <c r="O175" s="43" t="e">
        <f>O174+ATM_Conf!$C$5*(X174-AG174)</f>
        <v>#DIV/0!</v>
      </c>
      <c r="P175" s="43" t="e">
        <f>P174+ATM_Conf!$C$5*(Y174-AH174)</f>
        <v>#DIV/0!</v>
      </c>
      <c r="Q175" s="43" t="e">
        <f>Q174+ATM_Conf!$C$5*(Z174-AI174)</f>
        <v>#DIV/0!</v>
      </c>
      <c r="R175" s="43" t="e">
        <f>R174+ATM_Conf!$C$5*(AA174-AJ174)</f>
        <v>#DIV/0!</v>
      </c>
      <c r="S175" s="43" t="e">
        <f>S174+ATM_Conf!$C$5*(AB174-AK174)</f>
        <v>#DIV/0!</v>
      </c>
      <c r="T175" s="43">
        <f t="shared" si="117"/>
        <v>0</v>
      </c>
      <c r="U175" s="43">
        <f t="shared" si="114"/>
        <v>0</v>
      </c>
      <c r="V175" s="43">
        <f t="shared" si="114"/>
        <v>0</v>
      </c>
      <c r="W175" s="43">
        <f t="shared" si="114"/>
        <v>0</v>
      </c>
      <c r="X175" s="43">
        <f t="shared" si="114"/>
        <v>0</v>
      </c>
      <c r="Y175" s="43">
        <f t="shared" si="114"/>
        <v>0</v>
      </c>
      <c r="Z175" s="43">
        <f t="shared" si="114"/>
        <v>0</v>
      </c>
      <c r="AA175" s="43">
        <f t="shared" si="114"/>
        <v>0</v>
      </c>
      <c r="AB175" s="43">
        <f t="shared" si="114"/>
        <v>0</v>
      </c>
      <c r="AC175" s="43" t="e">
        <f t="shared" si="90"/>
        <v>#DIV/0!</v>
      </c>
      <c r="AD175" s="43" t="e">
        <f t="shared" si="91"/>
        <v>#DIV/0!</v>
      </c>
      <c r="AE175" s="43" t="e">
        <f t="shared" si="92"/>
        <v>#DIV/0!</v>
      </c>
      <c r="AF175" s="43" t="e">
        <f t="shared" si="93"/>
        <v>#DIV/0!</v>
      </c>
      <c r="AG175" s="43" t="e">
        <f t="shared" si="94"/>
        <v>#DIV/0!</v>
      </c>
      <c r="AH175" s="43" t="e">
        <f t="shared" si="95"/>
        <v>#DIV/0!</v>
      </c>
      <c r="AI175" s="43" t="e">
        <f t="shared" si="96"/>
        <v>#DIV/0!</v>
      </c>
      <c r="AJ175" s="43" t="e">
        <f t="shared" si="97"/>
        <v>#DIV/0!</v>
      </c>
      <c r="AK175" s="43" t="e">
        <f t="shared" si="98"/>
        <v>#DIV/0!</v>
      </c>
      <c r="AL175" s="43" t="e">
        <f>T$3+K175/ATM_Conf!$C$5</f>
        <v>#DIV/0!</v>
      </c>
      <c r="AM175" s="43" t="e">
        <f>U$3+L175/ATM_Conf!$C$5</f>
        <v>#DIV/0!</v>
      </c>
      <c r="AN175" s="43" t="e">
        <f>V$3+M175/ATM_Conf!$C$5</f>
        <v>#DIV/0!</v>
      </c>
      <c r="AO175" s="43" t="e">
        <f>W$3+N175/ATM_Conf!$C$5</f>
        <v>#DIV/0!</v>
      </c>
      <c r="AP175" s="43" t="e">
        <f>X$3+O175/ATM_Conf!$C$5</f>
        <v>#DIV/0!</v>
      </c>
      <c r="AQ175" s="43" t="e">
        <f>Y$3+P175/ATM_Conf!$C$5</f>
        <v>#DIV/0!</v>
      </c>
      <c r="AR175" s="43" t="e">
        <f>Z$3+Q175/ATM_Conf!$C$5</f>
        <v>#DIV/0!</v>
      </c>
      <c r="AS175" s="43" t="e">
        <f>AA$3+R175/ATM_Conf!$C$5</f>
        <v>#DIV/0!</v>
      </c>
      <c r="AT175" s="43" t="e">
        <f>AB$3+S175/ATM_Conf!$C$5</f>
        <v>#DIV/0!</v>
      </c>
      <c r="AU175" s="43" t="e">
        <f>BD$3*MIN(1,(ATM_Conf!$C$6-Links!X175)/(ATM_Conf!$C$6-ATM_Conf!$C$7))</f>
        <v>#DIV/0!</v>
      </c>
      <c r="AV175" s="43" t="e">
        <f>BE$3*MIN(1,(ATM_Conf!$C$6-Links!Z175)/(ATM_Conf!$C$6-ATM_Conf!$C$7))</f>
        <v>#DIV/0!</v>
      </c>
      <c r="AW175" s="43" t="e">
        <f>BF$3*MIN(1,(ATM_Conf!$C$6-Links!AA175)/(ATM_Conf!$C$6-ATM_Conf!$C$7))</f>
        <v>#DIV/0!</v>
      </c>
      <c r="AX175" s="43" t="e">
        <f>BG$3*MIN(1,(ATM_Conf!$C$6-Links!AD175)/(ATM_Conf!$C$6-ATM_Conf!$C$7))</f>
        <v>#DIV/0!</v>
      </c>
      <c r="AY175" s="43" t="e">
        <f>BH$3*MIN(1,(ATM_Conf!$C$6-Links!AE175)/(ATM_Conf!$C$6-ATM_Conf!$C$7))</f>
        <v>#DIV/0!</v>
      </c>
      <c r="AZ175" s="43" t="e">
        <f>BI$3*MIN(1,(ATM_Conf!$C$6-Links!AG175)/(ATM_Conf!$C$6-ATM_Conf!$C$7))</f>
        <v>#DIV/0!</v>
      </c>
      <c r="BA175" s="43" t="e">
        <f>BJ$3*MIN(1,(ATM_Conf!$C$6-Links!AH175)/(ATM_Conf!$C$6-ATM_Conf!$C$7))</f>
        <v>#DIV/0!</v>
      </c>
      <c r="BB175" s="43" t="e">
        <f>BK$3*MIN(1,(ATM_Conf!$C$6-Links!AK175)/(ATM_Conf!$C$6-ATM_Conf!$C$7))</f>
        <v>#DIV/0!</v>
      </c>
      <c r="BC175" s="43" t="e">
        <f>BL$3*MIN(1,(ATM_Conf!$C$6-Links!AM175)/(ATM_Conf!$C$6-ATM_Conf!$C$7))</f>
        <v>#DIV/0!</v>
      </c>
      <c r="BD175" s="43">
        <f t="shared" si="118"/>
        <v>0</v>
      </c>
      <c r="BE175" s="43">
        <f t="shared" si="115"/>
        <v>0</v>
      </c>
      <c r="BF175" s="43">
        <f t="shared" si="115"/>
        <v>0</v>
      </c>
      <c r="BG175" s="43">
        <f t="shared" si="115"/>
        <v>0</v>
      </c>
      <c r="BH175" s="43">
        <f t="shared" si="115"/>
        <v>0</v>
      </c>
      <c r="BI175" s="43">
        <f t="shared" si="115"/>
        <v>0</v>
      </c>
      <c r="BJ175" s="43">
        <f t="shared" si="115"/>
        <v>0</v>
      </c>
      <c r="BK175" s="43">
        <f t="shared" si="115"/>
        <v>0</v>
      </c>
      <c r="BL175" s="43">
        <f t="shared" si="115"/>
        <v>0</v>
      </c>
      <c r="BM175" s="51"/>
      <c r="BN175" s="51"/>
      <c r="BO175" s="51"/>
      <c r="BP175" s="51"/>
      <c r="BQ175" s="51"/>
      <c r="BR175" s="51"/>
      <c r="BS175" s="51"/>
      <c r="BT175" s="51"/>
      <c r="BU175" s="51"/>
      <c r="BV175" s="51" t="e">
        <f t="shared" si="99"/>
        <v>#DIV/0!</v>
      </c>
      <c r="BW175" s="51" t="e">
        <f t="shared" si="100"/>
        <v>#DIV/0!</v>
      </c>
      <c r="BX175" s="51" t="e">
        <f t="shared" si="101"/>
        <v>#DIV/0!</v>
      </c>
      <c r="BY175" s="51" t="e">
        <f t="shared" si="102"/>
        <v>#DIV/0!</v>
      </c>
      <c r="BZ175" s="51" t="e">
        <f t="shared" si="103"/>
        <v>#DIV/0!</v>
      </c>
      <c r="CA175" s="51" t="e">
        <f t="shared" si="104"/>
        <v>#DIV/0!</v>
      </c>
      <c r="CB175" s="51" t="e">
        <f t="shared" si="105"/>
        <v>#DIV/0!</v>
      </c>
      <c r="CC175" s="51" t="e">
        <f t="shared" si="106"/>
        <v>#DIV/0!</v>
      </c>
      <c r="CD175" s="51" t="e">
        <f t="shared" si="107"/>
        <v>#DIV/0!</v>
      </c>
      <c r="CE175" s="53">
        <f t="shared" si="120"/>
        <v>0</v>
      </c>
      <c r="CF175" s="53">
        <f t="shared" si="116"/>
        <v>0</v>
      </c>
      <c r="CG175" s="53">
        <f t="shared" si="116"/>
        <v>0</v>
      </c>
      <c r="CH175" s="53">
        <f t="shared" si="116"/>
        <v>0</v>
      </c>
      <c r="CI175" s="53">
        <f t="shared" si="116"/>
        <v>0</v>
      </c>
      <c r="CJ175" s="53">
        <f t="shared" si="116"/>
        <v>0</v>
      </c>
      <c r="CK175" s="53">
        <f t="shared" si="116"/>
        <v>0</v>
      </c>
      <c r="CL175" s="53">
        <f t="shared" si="116"/>
        <v>0</v>
      </c>
      <c r="CM175" s="53">
        <f t="shared" si="116"/>
        <v>0</v>
      </c>
    </row>
    <row r="176" spans="1:91" x14ac:dyDescent="0.15">
      <c r="A176" s="41">
        <v>174</v>
      </c>
      <c r="B176" s="43">
        <f t="shared" si="125"/>
        <v>1</v>
      </c>
      <c r="C176" s="43">
        <f t="shared" si="124"/>
        <v>1</v>
      </c>
      <c r="D176" s="43">
        <f t="shared" si="124"/>
        <v>1</v>
      </c>
      <c r="E176" s="43">
        <f t="shared" si="124"/>
        <v>1</v>
      </c>
      <c r="F176" s="43">
        <f t="shared" si="124"/>
        <v>1</v>
      </c>
      <c r="G176" s="43">
        <f t="shared" si="124"/>
        <v>1</v>
      </c>
      <c r="H176" s="43">
        <f t="shared" si="124"/>
        <v>1</v>
      </c>
      <c r="I176" s="43">
        <f t="shared" si="124"/>
        <v>1</v>
      </c>
      <c r="J176" s="43">
        <f t="shared" si="124"/>
        <v>1</v>
      </c>
      <c r="K176" s="43" t="e">
        <f>K175+ATM_Conf!$C$5*(T175-AC175)</f>
        <v>#DIV/0!</v>
      </c>
      <c r="L176" s="43" t="e">
        <f>L175+ATM_Conf!$C$5*(U175-AD175)</f>
        <v>#DIV/0!</v>
      </c>
      <c r="M176" s="43" t="e">
        <f>M175+ATM_Conf!$C$5*(V175-AE175)</f>
        <v>#DIV/0!</v>
      </c>
      <c r="N176" s="43" t="e">
        <f>N175+ATM_Conf!$C$5*(W175-AF175)</f>
        <v>#DIV/0!</v>
      </c>
      <c r="O176" s="43" t="e">
        <f>O175+ATM_Conf!$C$5*(X175-AG175)</f>
        <v>#DIV/0!</v>
      </c>
      <c r="P176" s="43" t="e">
        <f>P175+ATM_Conf!$C$5*(Y175-AH175)</f>
        <v>#DIV/0!</v>
      </c>
      <c r="Q176" s="43" t="e">
        <f>Q175+ATM_Conf!$C$5*(Z175-AI175)</f>
        <v>#DIV/0!</v>
      </c>
      <c r="R176" s="43" t="e">
        <f>R175+ATM_Conf!$C$5*(AA175-AJ175)</f>
        <v>#DIV/0!</v>
      </c>
      <c r="S176" s="43" t="e">
        <f>S175+ATM_Conf!$C$5*(AB175-AK175)</f>
        <v>#DIV/0!</v>
      </c>
      <c r="T176" s="43">
        <f t="shared" si="117"/>
        <v>0</v>
      </c>
      <c r="U176" s="43">
        <f t="shared" si="114"/>
        <v>0</v>
      </c>
      <c r="V176" s="43">
        <f t="shared" si="114"/>
        <v>0</v>
      </c>
      <c r="W176" s="43">
        <f t="shared" si="114"/>
        <v>0</v>
      </c>
      <c r="X176" s="43">
        <f t="shared" si="114"/>
        <v>0</v>
      </c>
      <c r="Y176" s="43">
        <f t="shared" si="114"/>
        <v>0</v>
      </c>
      <c r="Z176" s="43">
        <f t="shared" si="114"/>
        <v>0</v>
      </c>
      <c r="AA176" s="43">
        <f t="shared" si="114"/>
        <v>0</v>
      </c>
      <c r="AB176" s="43">
        <f t="shared" si="114"/>
        <v>0</v>
      </c>
      <c r="AC176" s="43" t="e">
        <f t="shared" si="90"/>
        <v>#DIV/0!</v>
      </c>
      <c r="AD176" s="43" t="e">
        <f t="shared" si="91"/>
        <v>#DIV/0!</v>
      </c>
      <c r="AE176" s="43" t="e">
        <f t="shared" si="92"/>
        <v>#DIV/0!</v>
      </c>
      <c r="AF176" s="43" t="e">
        <f t="shared" si="93"/>
        <v>#DIV/0!</v>
      </c>
      <c r="AG176" s="43" t="e">
        <f t="shared" si="94"/>
        <v>#DIV/0!</v>
      </c>
      <c r="AH176" s="43" t="e">
        <f t="shared" si="95"/>
        <v>#DIV/0!</v>
      </c>
      <c r="AI176" s="43" t="e">
        <f t="shared" si="96"/>
        <v>#DIV/0!</v>
      </c>
      <c r="AJ176" s="43" t="e">
        <f t="shared" si="97"/>
        <v>#DIV/0!</v>
      </c>
      <c r="AK176" s="43" t="e">
        <f t="shared" si="98"/>
        <v>#DIV/0!</v>
      </c>
      <c r="AL176" s="43" t="e">
        <f>T$3+K176/ATM_Conf!$C$5</f>
        <v>#DIV/0!</v>
      </c>
      <c r="AM176" s="43" t="e">
        <f>U$3+L176/ATM_Conf!$C$5</f>
        <v>#DIV/0!</v>
      </c>
      <c r="AN176" s="43" t="e">
        <f>V$3+M176/ATM_Conf!$C$5</f>
        <v>#DIV/0!</v>
      </c>
      <c r="AO176" s="43" t="e">
        <f>W$3+N176/ATM_Conf!$C$5</f>
        <v>#DIV/0!</v>
      </c>
      <c r="AP176" s="43" t="e">
        <f>X$3+O176/ATM_Conf!$C$5</f>
        <v>#DIV/0!</v>
      </c>
      <c r="AQ176" s="43" t="e">
        <f>Y$3+P176/ATM_Conf!$C$5</f>
        <v>#DIV/0!</v>
      </c>
      <c r="AR176" s="43" t="e">
        <f>Z$3+Q176/ATM_Conf!$C$5</f>
        <v>#DIV/0!</v>
      </c>
      <c r="AS176" s="43" t="e">
        <f>AA$3+R176/ATM_Conf!$C$5</f>
        <v>#DIV/0!</v>
      </c>
      <c r="AT176" s="43" t="e">
        <f>AB$3+S176/ATM_Conf!$C$5</f>
        <v>#DIV/0!</v>
      </c>
      <c r="AU176" s="43" t="e">
        <f>BD$3*MIN(1,(ATM_Conf!$C$6-Links!X176)/(ATM_Conf!$C$6-ATM_Conf!$C$7))</f>
        <v>#DIV/0!</v>
      </c>
      <c r="AV176" s="43" t="e">
        <f>BE$3*MIN(1,(ATM_Conf!$C$6-Links!Z176)/(ATM_Conf!$C$6-ATM_Conf!$C$7))</f>
        <v>#DIV/0!</v>
      </c>
      <c r="AW176" s="43" t="e">
        <f>BF$3*MIN(1,(ATM_Conf!$C$6-Links!AA176)/(ATM_Conf!$C$6-ATM_Conf!$C$7))</f>
        <v>#DIV/0!</v>
      </c>
      <c r="AX176" s="43" t="e">
        <f>BG$3*MIN(1,(ATM_Conf!$C$6-Links!AD176)/(ATM_Conf!$C$6-ATM_Conf!$C$7))</f>
        <v>#DIV/0!</v>
      </c>
      <c r="AY176" s="43" t="e">
        <f>BH$3*MIN(1,(ATM_Conf!$C$6-Links!AE176)/(ATM_Conf!$C$6-ATM_Conf!$C$7))</f>
        <v>#DIV/0!</v>
      </c>
      <c r="AZ176" s="43" t="e">
        <f>BI$3*MIN(1,(ATM_Conf!$C$6-Links!AG176)/(ATM_Conf!$C$6-ATM_Conf!$C$7))</f>
        <v>#DIV/0!</v>
      </c>
      <c r="BA176" s="43" t="e">
        <f>BJ$3*MIN(1,(ATM_Conf!$C$6-Links!AH176)/(ATM_Conf!$C$6-ATM_Conf!$C$7))</f>
        <v>#DIV/0!</v>
      </c>
      <c r="BB176" s="43" t="e">
        <f>BK$3*MIN(1,(ATM_Conf!$C$6-Links!AK176)/(ATM_Conf!$C$6-ATM_Conf!$C$7))</f>
        <v>#DIV/0!</v>
      </c>
      <c r="BC176" s="43" t="e">
        <f>BL$3*MIN(1,(ATM_Conf!$C$6-Links!AM176)/(ATM_Conf!$C$6-ATM_Conf!$C$7))</f>
        <v>#DIV/0!</v>
      </c>
      <c r="BD176" s="43">
        <f t="shared" si="118"/>
        <v>0</v>
      </c>
      <c r="BE176" s="43">
        <f t="shared" si="115"/>
        <v>0</v>
      </c>
      <c r="BF176" s="43">
        <f t="shared" si="115"/>
        <v>0</v>
      </c>
      <c r="BG176" s="43">
        <f t="shared" si="115"/>
        <v>0</v>
      </c>
      <c r="BH176" s="43">
        <f t="shared" si="115"/>
        <v>0</v>
      </c>
      <c r="BI176" s="43">
        <f t="shared" si="115"/>
        <v>0</v>
      </c>
      <c r="BJ176" s="43">
        <f t="shared" si="115"/>
        <v>0</v>
      </c>
      <c r="BK176" s="43">
        <f t="shared" si="115"/>
        <v>0</v>
      </c>
      <c r="BL176" s="43">
        <f t="shared" si="115"/>
        <v>0</v>
      </c>
      <c r="BM176" s="51"/>
      <c r="BN176" s="51"/>
      <c r="BO176" s="51"/>
      <c r="BP176" s="51"/>
      <c r="BQ176" s="51"/>
      <c r="BR176" s="51"/>
      <c r="BS176" s="51"/>
      <c r="BT176" s="51"/>
      <c r="BU176" s="51"/>
      <c r="BV176" s="51" t="e">
        <f t="shared" si="99"/>
        <v>#DIV/0!</v>
      </c>
      <c r="BW176" s="51" t="e">
        <f t="shared" si="100"/>
        <v>#DIV/0!</v>
      </c>
      <c r="BX176" s="51" t="e">
        <f t="shared" si="101"/>
        <v>#DIV/0!</v>
      </c>
      <c r="BY176" s="51" t="e">
        <f t="shared" si="102"/>
        <v>#DIV/0!</v>
      </c>
      <c r="BZ176" s="51" t="e">
        <f t="shared" si="103"/>
        <v>#DIV/0!</v>
      </c>
      <c r="CA176" s="51" t="e">
        <f t="shared" si="104"/>
        <v>#DIV/0!</v>
      </c>
      <c r="CB176" s="51" t="e">
        <f t="shared" si="105"/>
        <v>#DIV/0!</v>
      </c>
      <c r="CC176" s="51" t="e">
        <f t="shared" si="106"/>
        <v>#DIV/0!</v>
      </c>
      <c r="CD176" s="51" t="e">
        <f t="shared" si="107"/>
        <v>#DIV/0!</v>
      </c>
      <c r="CE176" s="53">
        <f t="shared" si="120"/>
        <v>0</v>
      </c>
      <c r="CF176" s="53">
        <f t="shared" si="116"/>
        <v>0</v>
      </c>
      <c r="CG176" s="53">
        <f t="shared" si="116"/>
        <v>0</v>
      </c>
      <c r="CH176" s="53">
        <f t="shared" si="116"/>
        <v>0</v>
      </c>
      <c r="CI176" s="53">
        <f t="shared" si="116"/>
        <v>0</v>
      </c>
      <c r="CJ176" s="53">
        <f t="shared" si="116"/>
        <v>0</v>
      </c>
      <c r="CK176" s="53">
        <f t="shared" si="116"/>
        <v>0</v>
      </c>
      <c r="CL176" s="53">
        <f t="shared" si="116"/>
        <v>0</v>
      </c>
      <c r="CM176" s="53">
        <f t="shared" si="116"/>
        <v>0</v>
      </c>
    </row>
    <row r="177" spans="1:91" x14ac:dyDescent="0.15">
      <c r="A177" s="41">
        <v>175</v>
      </c>
      <c r="B177" s="43">
        <f t="shared" si="125"/>
        <v>1</v>
      </c>
      <c r="C177" s="43">
        <f t="shared" si="124"/>
        <v>1</v>
      </c>
      <c r="D177" s="43">
        <f t="shared" si="124"/>
        <v>1</v>
      </c>
      <c r="E177" s="43">
        <f t="shared" si="124"/>
        <v>1</v>
      </c>
      <c r="F177" s="43">
        <f t="shared" si="124"/>
        <v>1</v>
      </c>
      <c r="G177" s="43">
        <f t="shared" si="124"/>
        <v>1</v>
      </c>
      <c r="H177" s="43">
        <f t="shared" si="124"/>
        <v>1</v>
      </c>
      <c r="I177" s="43">
        <f t="shared" si="124"/>
        <v>1</v>
      </c>
      <c r="J177" s="43">
        <f t="shared" si="124"/>
        <v>1</v>
      </c>
      <c r="K177" s="43" t="e">
        <f>K176+ATM_Conf!$C$5*(T176-AC176)</f>
        <v>#DIV/0!</v>
      </c>
      <c r="L177" s="43" t="e">
        <f>L176+ATM_Conf!$C$5*(U176-AD176)</f>
        <v>#DIV/0!</v>
      </c>
      <c r="M177" s="43" t="e">
        <f>M176+ATM_Conf!$C$5*(V176-AE176)</f>
        <v>#DIV/0!</v>
      </c>
      <c r="N177" s="43" t="e">
        <f>N176+ATM_Conf!$C$5*(W176-AF176)</f>
        <v>#DIV/0!</v>
      </c>
      <c r="O177" s="43" t="e">
        <f>O176+ATM_Conf!$C$5*(X176-AG176)</f>
        <v>#DIV/0!</v>
      </c>
      <c r="P177" s="43" t="e">
        <f>P176+ATM_Conf!$C$5*(Y176-AH176)</f>
        <v>#DIV/0!</v>
      </c>
      <c r="Q177" s="43" t="e">
        <f>Q176+ATM_Conf!$C$5*(Z176-AI176)</f>
        <v>#DIV/0!</v>
      </c>
      <c r="R177" s="43" t="e">
        <f>R176+ATM_Conf!$C$5*(AA176-AJ176)</f>
        <v>#DIV/0!</v>
      </c>
      <c r="S177" s="43" t="e">
        <f>S176+ATM_Conf!$C$5*(AB176-AK176)</f>
        <v>#DIV/0!</v>
      </c>
      <c r="T177" s="43">
        <f t="shared" si="117"/>
        <v>0</v>
      </c>
      <c r="U177" s="43">
        <f t="shared" si="114"/>
        <v>0</v>
      </c>
      <c r="V177" s="43">
        <f t="shared" si="114"/>
        <v>0</v>
      </c>
      <c r="W177" s="43">
        <f t="shared" si="114"/>
        <v>0</v>
      </c>
      <c r="X177" s="43">
        <f t="shared" si="114"/>
        <v>0</v>
      </c>
      <c r="Y177" s="43">
        <f t="shared" si="114"/>
        <v>0</v>
      </c>
      <c r="Z177" s="43">
        <f t="shared" si="114"/>
        <v>0</v>
      </c>
      <c r="AA177" s="43">
        <f t="shared" si="114"/>
        <v>0</v>
      </c>
      <c r="AB177" s="43">
        <f t="shared" si="114"/>
        <v>0</v>
      </c>
      <c r="AC177" s="43" t="e">
        <f t="shared" si="90"/>
        <v>#DIV/0!</v>
      </c>
      <c r="AD177" s="43" t="e">
        <f t="shared" si="91"/>
        <v>#DIV/0!</v>
      </c>
      <c r="AE177" s="43" t="e">
        <f t="shared" si="92"/>
        <v>#DIV/0!</v>
      </c>
      <c r="AF177" s="43" t="e">
        <f t="shared" si="93"/>
        <v>#DIV/0!</v>
      </c>
      <c r="AG177" s="43" t="e">
        <f t="shared" si="94"/>
        <v>#DIV/0!</v>
      </c>
      <c r="AH177" s="43" t="e">
        <f t="shared" si="95"/>
        <v>#DIV/0!</v>
      </c>
      <c r="AI177" s="43" t="e">
        <f t="shared" si="96"/>
        <v>#DIV/0!</v>
      </c>
      <c r="AJ177" s="43" t="e">
        <f t="shared" si="97"/>
        <v>#DIV/0!</v>
      </c>
      <c r="AK177" s="43" t="e">
        <f t="shared" si="98"/>
        <v>#DIV/0!</v>
      </c>
      <c r="AL177" s="43" t="e">
        <f>T$3+K177/ATM_Conf!$C$5</f>
        <v>#DIV/0!</v>
      </c>
      <c r="AM177" s="43" t="e">
        <f>U$3+L177/ATM_Conf!$C$5</f>
        <v>#DIV/0!</v>
      </c>
      <c r="AN177" s="43" t="e">
        <f>V$3+M177/ATM_Conf!$C$5</f>
        <v>#DIV/0!</v>
      </c>
      <c r="AO177" s="43" t="e">
        <f>W$3+N177/ATM_Conf!$C$5</f>
        <v>#DIV/0!</v>
      </c>
      <c r="AP177" s="43" t="e">
        <f>X$3+O177/ATM_Conf!$C$5</f>
        <v>#DIV/0!</v>
      </c>
      <c r="AQ177" s="43" t="e">
        <f>Y$3+P177/ATM_Conf!$C$5</f>
        <v>#DIV/0!</v>
      </c>
      <c r="AR177" s="43" t="e">
        <f>Z$3+Q177/ATM_Conf!$C$5</f>
        <v>#DIV/0!</v>
      </c>
      <c r="AS177" s="43" t="e">
        <f>AA$3+R177/ATM_Conf!$C$5</f>
        <v>#DIV/0!</v>
      </c>
      <c r="AT177" s="43" t="e">
        <f>AB$3+S177/ATM_Conf!$C$5</f>
        <v>#DIV/0!</v>
      </c>
      <c r="AU177" s="43" t="e">
        <f>BD$3*MIN(1,(ATM_Conf!$C$6-Links!X177)/(ATM_Conf!$C$6-ATM_Conf!$C$7))</f>
        <v>#DIV/0!</v>
      </c>
      <c r="AV177" s="43" t="e">
        <f>BE$3*MIN(1,(ATM_Conf!$C$6-Links!Z177)/(ATM_Conf!$C$6-ATM_Conf!$C$7))</f>
        <v>#DIV/0!</v>
      </c>
      <c r="AW177" s="43" t="e">
        <f>BF$3*MIN(1,(ATM_Conf!$C$6-Links!AA177)/(ATM_Conf!$C$6-ATM_Conf!$C$7))</f>
        <v>#DIV/0!</v>
      </c>
      <c r="AX177" s="43" t="e">
        <f>BG$3*MIN(1,(ATM_Conf!$C$6-Links!AD177)/(ATM_Conf!$C$6-ATM_Conf!$C$7))</f>
        <v>#DIV/0!</v>
      </c>
      <c r="AY177" s="43" t="e">
        <f>BH$3*MIN(1,(ATM_Conf!$C$6-Links!AE177)/(ATM_Conf!$C$6-ATM_Conf!$C$7))</f>
        <v>#DIV/0!</v>
      </c>
      <c r="AZ177" s="43" t="e">
        <f>BI$3*MIN(1,(ATM_Conf!$C$6-Links!AG177)/(ATM_Conf!$C$6-ATM_Conf!$C$7))</f>
        <v>#DIV/0!</v>
      </c>
      <c r="BA177" s="43" t="e">
        <f>BJ$3*MIN(1,(ATM_Conf!$C$6-Links!AH177)/(ATM_Conf!$C$6-ATM_Conf!$C$7))</f>
        <v>#DIV/0!</v>
      </c>
      <c r="BB177" s="43" t="e">
        <f>BK$3*MIN(1,(ATM_Conf!$C$6-Links!AK177)/(ATM_Conf!$C$6-ATM_Conf!$C$7))</f>
        <v>#DIV/0!</v>
      </c>
      <c r="BC177" s="43" t="e">
        <f>BL$3*MIN(1,(ATM_Conf!$C$6-Links!AM177)/(ATM_Conf!$C$6-ATM_Conf!$C$7))</f>
        <v>#DIV/0!</v>
      </c>
      <c r="BD177" s="43">
        <f t="shared" si="118"/>
        <v>0</v>
      </c>
      <c r="BE177" s="43">
        <f t="shared" si="115"/>
        <v>0</v>
      </c>
      <c r="BF177" s="43">
        <f t="shared" si="115"/>
        <v>0</v>
      </c>
      <c r="BG177" s="43">
        <f t="shared" si="115"/>
        <v>0</v>
      </c>
      <c r="BH177" s="43">
        <f t="shared" si="115"/>
        <v>0</v>
      </c>
      <c r="BI177" s="43">
        <f t="shared" si="115"/>
        <v>0</v>
      </c>
      <c r="BJ177" s="43">
        <f t="shared" si="115"/>
        <v>0</v>
      </c>
      <c r="BK177" s="43">
        <f t="shared" si="115"/>
        <v>0</v>
      </c>
      <c r="BL177" s="43">
        <f t="shared" si="115"/>
        <v>0</v>
      </c>
      <c r="BM177" s="51"/>
      <c r="BN177" s="51"/>
      <c r="BO177" s="51"/>
      <c r="BP177" s="51"/>
      <c r="BQ177" s="51"/>
      <c r="BR177" s="51"/>
      <c r="BS177" s="51"/>
      <c r="BT177" s="51"/>
      <c r="BU177" s="51"/>
      <c r="BV177" s="51" t="e">
        <f t="shared" si="99"/>
        <v>#DIV/0!</v>
      </c>
      <c r="BW177" s="51" t="e">
        <f t="shared" si="100"/>
        <v>#DIV/0!</v>
      </c>
      <c r="BX177" s="51" t="e">
        <f t="shared" si="101"/>
        <v>#DIV/0!</v>
      </c>
      <c r="BY177" s="51" t="e">
        <f t="shared" si="102"/>
        <v>#DIV/0!</v>
      </c>
      <c r="BZ177" s="51" t="e">
        <f t="shared" si="103"/>
        <v>#DIV/0!</v>
      </c>
      <c r="CA177" s="51" t="e">
        <f t="shared" si="104"/>
        <v>#DIV/0!</v>
      </c>
      <c r="CB177" s="51" t="e">
        <f t="shared" si="105"/>
        <v>#DIV/0!</v>
      </c>
      <c r="CC177" s="51" t="e">
        <f t="shared" si="106"/>
        <v>#DIV/0!</v>
      </c>
      <c r="CD177" s="51" t="e">
        <f t="shared" si="107"/>
        <v>#DIV/0!</v>
      </c>
      <c r="CE177" s="53">
        <f t="shared" si="120"/>
        <v>0</v>
      </c>
      <c r="CF177" s="53">
        <f t="shared" si="116"/>
        <v>0</v>
      </c>
      <c r="CG177" s="53">
        <f t="shared" si="116"/>
        <v>0</v>
      </c>
      <c r="CH177" s="53">
        <f t="shared" si="116"/>
        <v>0</v>
      </c>
      <c r="CI177" s="53">
        <f t="shared" si="116"/>
        <v>0</v>
      </c>
      <c r="CJ177" s="53">
        <f t="shared" si="116"/>
        <v>0</v>
      </c>
      <c r="CK177" s="53">
        <f t="shared" si="116"/>
        <v>0</v>
      </c>
      <c r="CL177" s="53">
        <f t="shared" si="116"/>
        <v>0</v>
      </c>
      <c r="CM177" s="53">
        <f t="shared" si="116"/>
        <v>0</v>
      </c>
    </row>
    <row r="178" spans="1:91" x14ac:dyDescent="0.15">
      <c r="A178" s="41">
        <v>176</v>
      </c>
      <c r="B178" s="43">
        <f t="shared" si="125"/>
        <v>1</v>
      </c>
      <c r="C178" s="43">
        <f t="shared" si="124"/>
        <v>1</v>
      </c>
      <c r="D178" s="43">
        <f t="shared" si="124"/>
        <v>1</v>
      </c>
      <c r="E178" s="43">
        <f t="shared" si="124"/>
        <v>1</v>
      </c>
      <c r="F178" s="43">
        <f t="shared" si="124"/>
        <v>1</v>
      </c>
      <c r="G178" s="43">
        <f t="shared" si="124"/>
        <v>1</v>
      </c>
      <c r="H178" s="43">
        <f t="shared" si="124"/>
        <v>1</v>
      </c>
      <c r="I178" s="43">
        <f t="shared" si="124"/>
        <v>1</v>
      </c>
      <c r="J178" s="43">
        <f t="shared" si="124"/>
        <v>1</v>
      </c>
      <c r="K178" s="43" t="e">
        <f>K177+ATM_Conf!$C$5*(T177-AC177)</f>
        <v>#DIV/0!</v>
      </c>
      <c r="L178" s="43" t="e">
        <f>L177+ATM_Conf!$C$5*(U177-AD177)</f>
        <v>#DIV/0!</v>
      </c>
      <c r="M178" s="43" t="e">
        <f>M177+ATM_Conf!$C$5*(V177-AE177)</f>
        <v>#DIV/0!</v>
      </c>
      <c r="N178" s="43" t="e">
        <f>N177+ATM_Conf!$C$5*(W177-AF177)</f>
        <v>#DIV/0!</v>
      </c>
      <c r="O178" s="43" t="e">
        <f>O177+ATM_Conf!$C$5*(X177-AG177)</f>
        <v>#DIV/0!</v>
      </c>
      <c r="P178" s="43" t="e">
        <f>P177+ATM_Conf!$C$5*(Y177-AH177)</f>
        <v>#DIV/0!</v>
      </c>
      <c r="Q178" s="43" t="e">
        <f>Q177+ATM_Conf!$C$5*(Z177-AI177)</f>
        <v>#DIV/0!</v>
      </c>
      <c r="R178" s="43" t="e">
        <f>R177+ATM_Conf!$C$5*(AA177-AJ177)</f>
        <v>#DIV/0!</v>
      </c>
      <c r="S178" s="43" t="e">
        <f>S177+ATM_Conf!$C$5*(AB177-AK177)</f>
        <v>#DIV/0!</v>
      </c>
      <c r="T178" s="43">
        <f t="shared" si="117"/>
        <v>0</v>
      </c>
      <c r="U178" s="43">
        <f t="shared" si="114"/>
        <v>0</v>
      </c>
      <c r="V178" s="43">
        <f t="shared" si="114"/>
        <v>0</v>
      </c>
      <c r="W178" s="43">
        <f t="shared" si="114"/>
        <v>0</v>
      </c>
      <c r="X178" s="43">
        <f t="shared" si="114"/>
        <v>0</v>
      </c>
      <c r="Y178" s="43">
        <f t="shared" si="114"/>
        <v>0</v>
      </c>
      <c r="Z178" s="43">
        <f t="shared" si="114"/>
        <v>0</v>
      </c>
      <c r="AA178" s="43">
        <f t="shared" si="114"/>
        <v>0</v>
      </c>
      <c r="AB178" s="43">
        <f t="shared" si="114"/>
        <v>0</v>
      </c>
      <c r="AC178" s="43" t="e">
        <f t="shared" si="90"/>
        <v>#DIV/0!</v>
      </c>
      <c r="AD178" s="43" t="e">
        <f t="shared" si="91"/>
        <v>#DIV/0!</v>
      </c>
      <c r="AE178" s="43" t="e">
        <f t="shared" si="92"/>
        <v>#DIV/0!</v>
      </c>
      <c r="AF178" s="43" t="e">
        <f t="shared" si="93"/>
        <v>#DIV/0!</v>
      </c>
      <c r="AG178" s="43" t="e">
        <f t="shared" si="94"/>
        <v>#DIV/0!</v>
      </c>
      <c r="AH178" s="43" t="e">
        <f t="shared" si="95"/>
        <v>#DIV/0!</v>
      </c>
      <c r="AI178" s="43" t="e">
        <f t="shared" si="96"/>
        <v>#DIV/0!</v>
      </c>
      <c r="AJ178" s="43" t="e">
        <f t="shared" si="97"/>
        <v>#DIV/0!</v>
      </c>
      <c r="AK178" s="43" t="e">
        <f t="shared" si="98"/>
        <v>#DIV/0!</v>
      </c>
      <c r="AL178" s="43" t="e">
        <f>T$3+K178/ATM_Conf!$C$5</f>
        <v>#DIV/0!</v>
      </c>
      <c r="AM178" s="43" t="e">
        <f>U$3+L178/ATM_Conf!$C$5</f>
        <v>#DIV/0!</v>
      </c>
      <c r="AN178" s="43" t="e">
        <f>V$3+M178/ATM_Conf!$C$5</f>
        <v>#DIV/0!</v>
      </c>
      <c r="AO178" s="43" t="e">
        <f>W$3+N178/ATM_Conf!$C$5</f>
        <v>#DIV/0!</v>
      </c>
      <c r="AP178" s="43" t="e">
        <f>X$3+O178/ATM_Conf!$C$5</f>
        <v>#DIV/0!</v>
      </c>
      <c r="AQ178" s="43" t="e">
        <f>Y$3+P178/ATM_Conf!$C$5</f>
        <v>#DIV/0!</v>
      </c>
      <c r="AR178" s="43" t="e">
        <f>Z$3+Q178/ATM_Conf!$C$5</f>
        <v>#DIV/0!</v>
      </c>
      <c r="AS178" s="43" t="e">
        <f>AA$3+R178/ATM_Conf!$C$5</f>
        <v>#DIV/0!</v>
      </c>
      <c r="AT178" s="43" t="e">
        <f>AB$3+S178/ATM_Conf!$C$5</f>
        <v>#DIV/0!</v>
      </c>
      <c r="AU178" s="43" t="e">
        <f>BD$3*MIN(1,(ATM_Conf!$C$6-Links!X178)/(ATM_Conf!$C$6-ATM_Conf!$C$7))</f>
        <v>#DIV/0!</v>
      </c>
      <c r="AV178" s="43" t="e">
        <f>BE$3*MIN(1,(ATM_Conf!$C$6-Links!Z178)/(ATM_Conf!$C$6-ATM_Conf!$C$7))</f>
        <v>#DIV/0!</v>
      </c>
      <c r="AW178" s="43" t="e">
        <f>BF$3*MIN(1,(ATM_Conf!$C$6-Links!AA178)/(ATM_Conf!$C$6-ATM_Conf!$C$7))</f>
        <v>#DIV/0!</v>
      </c>
      <c r="AX178" s="43" t="e">
        <f>BG$3*MIN(1,(ATM_Conf!$C$6-Links!AD178)/(ATM_Conf!$C$6-ATM_Conf!$C$7))</f>
        <v>#DIV/0!</v>
      </c>
      <c r="AY178" s="43" t="e">
        <f>BH$3*MIN(1,(ATM_Conf!$C$6-Links!AE178)/(ATM_Conf!$C$6-ATM_Conf!$C$7))</f>
        <v>#DIV/0!</v>
      </c>
      <c r="AZ178" s="43" t="e">
        <f>BI$3*MIN(1,(ATM_Conf!$C$6-Links!AG178)/(ATM_Conf!$C$6-ATM_Conf!$C$7))</f>
        <v>#DIV/0!</v>
      </c>
      <c r="BA178" s="43" t="e">
        <f>BJ$3*MIN(1,(ATM_Conf!$C$6-Links!AH178)/(ATM_Conf!$C$6-ATM_Conf!$C$7))</f>
        <v>#DIV/0!</v>
      </c>
      <c r="BB178" s="43" t="e">
        <f>BK$3*MIN(1,(ATM_Conf!$C$6-Links!AK178)/(ATM_Conf!$C$6-ATM_Conf!$C$7))</f>
        <v>#DIV/0!</v>
      </c>
      <c r="BC178" s="43" t="e">
        <f>BL$3*MIN(1,(ATM_Conf!$C$6-Links!AM178)/(ATM_Conf!$C$6-ATM_Conf!$C$7))</f>
        <v>#DIV/0!</v>
      </c>
      <c r="BD178" s="43">
        <f t="shared" si="118"/>
        <v>0</v>
      </c>
      <c r="BE178" s="43">
        <f t="shared" si="115"/>
        <v>0</v>
      </c>
      <c r="BF178" s="43">
        <f t="shared" si="115"/>
        <v>0</v>
      </c>
      <c r="BG178" s="43">
        <f t="shared" si="115"/>
        <v>0</v>
      </c>
      <c r="BH178" s="43">
        <f t="shared" si="115"/>
        <v>0</v>
      </c>
      <c r="BI178" s="43">
        <f t="shared" si="115"/>
        <v>0</v>
      </c>
      <c r="BJ178" s="43">
        <f t="shared" si="115"/>
        <v>0</v>
      </c>
      <c r="BK178" s="43">
        <f t="shared" si="115"/>
        <v>0</v>
      </c>
      <c r="BL178" s="43">
        <f t="shared" si="115"/>
        <v>0</v>
      </c>
      <c r="BM178" s="51"/>
      <c r="BN178" s="51"/>
      <c r="BO178" s="51"/>
      <c r="BP178" s="51"/>
      <c r="BQ178" s="51"/>
      <c r="BR178" s="51"/>
      <c r="BS178" s="51"/>
      <c r="BT178" s="51"/>
      <c r="BU178" s="51"/>
      <c r="BV178" s="51" t="e">
        <f t="shared" si="99"/>
        <v>#DIV/0!</v>
      </c>
      <c r="BW178" s="51" t="e">
        <f t="shared" si="100"/>
        <v>#DIV/0!</v>
      </c>
      <c r="BX178" s="51" t="e">
        <f t="shared" si="101"/>
        <v>#DIV/0!</v>
      </c>
      <c r="BY178" s="51" t="e">
        <f t="shared" si="102"/>
        <v>#DIV/0!</v>
      </c>
      <c r="BZ178" s="51" t="e">
        <f t="shared" si="103"/>
        <v>#DIV/0!</v>
      </c>
      <c r="CA178" s="51" t="e">
        <f t="shared" si="104"/>
        <v>#DIV/0!</v>
      </c>
      <c r="CB178" s="51" t="e">
        <f t="shared" si="105"/>
        <v>#DIV/0!</v>
      </c>
      <c r="CC178" s="51" t="e">
        <f t="shared" si="106"/>
        <v>#DIV/0!</v>
      </c>
      <c r="CD178" s="51" t="e">
        <f t="shared" si="107"/>
        <v>#DIV/0!</v>
      </c>
      <c r="CE178" s="53">
        <f t="shared" si="120"/>
        <v>0</v>
      </c>
      <c r="CF178" s="53">
        <f t="shared" si="116"/>
        <v>0</v>
      </c>
      <c r="CG178" s="53">
        <f t="shared" si="116"/>
        <v>0</v>
      </c>
      <c r="CH178" s="53">
        <f t="shared" si="116"/>
        <v>0</v>
      </c>
      <c r="CI178" s="53">
        <f t="shared" si="116"/>
        <v>0</v>
      </c>
      <c r="CJ178" s="53">
        <f t="shared" si="116"/>
        <v>0</v>
      </c>
      <c r="CK178" s="53">
        <f t="shared" si="116"/>
        <v>0</v>
      </c>
      <c r="CL178" s="53">
        <f t="shared" si="116"/>
        <v>0</v>
      </c>
      <c r="CM178" s="53">
        <f t="shared" si="116"/>
        <v>0</v>
      </c>
    </row>
    <row r="179" spans="1:91" x14ac:dyDescent="0.15">
      <c r="A179" s="41">
        <v>177</v>
      </c>
      <c r="B179" s="43">
        <f t="shared" si="125"/>
        <v>1</v>
      </c>
      <c r="C179" s="43">
        <f t="shared" si="124"/>
        <v>1</v>
      </c>
      <c r="D179" s="43">
        <f t="shared" si="124"/>
        <v>1</v>
      </c>
      <c r="E179" s="43">
        <f t="shared" si="124"/>
        <v>1</v>
      </c>
      <c r="F179" s="43">
        <f t="shared" si="124"/>
        <v>1</v>
      </c>
      <c r="G179" s="43">
        <f t="shared" si="124"/>
        <v>1</v>
      </c>
      <c r="H179" s="43">
        <f t="shared" si="124"/>
        <v>1</v>
      </c>
      <c r="I179" s="43">
        <f t="shared" si="124"/>
        <v>1</v>
      </c>
      <c r="J179" s="43">
        <f t="shared" si="124"/>
        <v>1</v>
      </c>
      <c r="K179" s="43" t="e">
        <f>K178+ATM_Conf!$C$5*(T178-AC178)</f>
        <v>#DIV/0!</v>
      </c>
      <c r="L179" s="43" t="e">
        <f>L178+ATM_Conf!$C$5*(U178-AD178)</f>
        <v>#DIV/0!</v>
      </c>
      <c r="M179" s="43" t="e">
        <f>M178+ATM_Conf!$C$5*(V178-AE178)</f>
        <v>#DIV/0!</v>
      </c>
      <c r="N179" s="43" t="e">
        <f>N178+ATM_Conf!$C$5*(W178-AF178)</f>
        <v>#DIV/0!</v>
      </c>
      <c r="O179" s="43" t="e">
        <f>O178+ATM_Conf!$C$5*(X178-AG178)</f>
        <v>#DIV/0!</v>
      </c>
      <c r="P179" s="43" t="e">
        <f>P178+ATM_Conf!$C$5*(Y178-AH178)</f>
        <v>#DIV/0!</v>
      </c>
      <c r="Q179" s="43" t="e">
        <f>Q178+ATM_Conf!$C$5*(Z178-AI178)</f>
        <v>#DIV/0!</v>
      </c>
      <c r="R179" s="43" t="e">
        <f>R178+ATM_Conf!$C$5*(AA178-AJ178)</f>
        <v>#DIV/0!</v>
      </c>
      <c r="S179" s="43" t="e">
        <f>S178+ATM_Conf!$C$5*(AB178-AK178)</f>
        <v>#DIV/0!</v>
      </c>
      <c r="T179" s="43">
        <f t="shared" si="117"/>
        <v>0</v>
      </c>
      <c r="U179" s="43">
        <f t="shared" si="114"/>
        <v>0</v>
      </c>
      <c r="V179" s="43">
        <f t="shared" si="114"/>
        <v>0</v>
      </c>
      <c r="W179" s="43">
        <f t="shared" si="114"/>
        <v>0</v>
      </c>
      <c r="X179" s="43">
        <f t="shared" si="114"/>
        <v>0</v>
      </c>
      <c r="Y179" s="43">
        <f t="shared" si="114"/>
        <v>0</v>
      </c>
      <c r="Z179" s="43">
        <f t="shared" si="114"/>
        <v>0</v>
      </c>
      <c r="AA179" s="43">
        <f t="shared" si="114"/>
        <v>0</v>
      </c>
      <c r="AB179" s="43">
        <f t="shared" si="114"/>
        <v>0</v>
      </c>
      <c r="AC179" s="43" t="e">
        <f t="shared" si="90"/>
        <v>#DIV/0!</v>
      </c>
      <c r="AD179" s="43" t="e">
        <f t="shared" si="91"/>
        <v>#DIV/0!</v>
      </c>
      <c r="AE179" s="43" t="e">
        <f t="shared" si="92"/>
        <v>#DIV/0!</v>
      </c>
      <c r="AF179" s="43" t="e">
        <f t="shared" si="93"/>
        <v>#DIV/0!</v>
      </c>
      <c r="AG179" s="43" t="e">
        <f t="shared" si="94"/>
        <v>#DIV/0!</v>
      </c>
      <c r="AH179" s="43" t="e">
        <f t="shared" si="95"/>
        <v>#DIV/0!</v>
      </c>
      <c r="AI179" s="43" t="e">
        <f t="shared" si="96"/>
        <v>#DIV/0!</v>
      </c>
      <c r="AJ179" s="43" t="e">
        <f t="shared" si="97"/>
        <v>#DIV/0!</v>
      </c>
      <c r="AK179" s="43" t="e">
        <f t="shared" si="98"/>
        <v>#DIV/0!</v>
      </c>
      <c r="AL179" s="43" t="e">
        <f>T$3+K179/ATM_Conf!$C$5</f>
        <v>#DIV/0!</v>
      </c>
      <c r="AM179" s="43" t="e">
        <f>U$3+L179/ATM_Conf!$C$5</f>
        <v>#DIV/0!</v>
      </c>
      <c r="AN179" s="43" t="e">
        <f>V$3+M179/ATM_Conf!$C$5</f>
        <v>#DIV/0!</v>
      </c>
      <c r="AO179" s="43" t="e">
        <f>W$3+N179/ATM_Conf!$C$5</f>
        <v>#DIV/0!</v>
      </c>
      <c r="AP179" s="43" t="e">
        <f>X$3+O179/ATM_Conf!$C$5</f>
        <v>#DIV/0!</v>
      </c>
      <c r="AQ179" s="43" t="e">
        <f>Y$3+P179/ATM_Conf!$C$5</f>
        <v>#DIV/0!</v>
      </c>
      <c r="AR179" s="43" t="e">
        <f>Z$3+Q179/ATM_Conf!$C$5</f>
        <v>#DIV/0!</v>
      </c>
      <c r="AS179" s="43" t="e">
        <f>AA$3+R179/ATM_Conf!$C$5</f>
        <v>#DIV/0!</v>
      </c>
      <c r="AT179" s="43" t="e">
        <f>AB$3+S179/ATM_Conf!$C$5</f>
        <v>#DIV/0!</v>
      </c>
      <c r="AU179" s="43" t="e">
        <f>BD$3*MIN(1,(ATM_Conf!$C$6-Links!X179)/(ATM_Conf!$C$6-ATM_Conf!$C$7))</f>
        <v>#DIV/0!</v>
      </c>
      <c r="AV179" s="43" t="e">
        <f>BE$3*MIN(1,(ATM_Conf!$C$6-Links!Z179)/(ATM_Conf!$C$6-ATM_Conf!$C$7))</f>
        <v>#DIV/0!</v>
      </c>
      <c r="AW179" s="43" t="e">
        <f>BF$3*MIN(1,(ATM_Conf!$C$6-Links!AA179)/(ATM_Conf!$C$6-ATM_Conf!$C$7))</f>
        <v>#DIV/0!</v>
      </c>
      <c r="AX179" s="43" t="e">
        <f>BG$3*MIN(1,(ATM_Conf!$C$6-Links!AD179)/(ATM_Conf!$C$6-ATM_Conf!$C$7))</f>
        <v>#DIV/0!</v>
      </c>
      <c r="AY179" s="43" t="e">
        <f>BH$3*MIN(1,(ATM_Conf!$C$6-Links!AE179)/(ATM_Conf!$C$6-ATM_Conf!$C$7))</f>
        <v>#DIV/0!</v>
      </c>
      <c r="AZ179" s="43" t="e">
        <f>BI$3*MIN(1,(ATM_Conf!$C$6-Links!AG179)/(ATM_Conf!$C$6-ATM_Conf!$C$7))</f>
        <v>#DIV/0!</v>
      </c>
      <c r="BA179" s="43" t="e">
        <f>BJ$3*MIN(1,(ATM_Conf!$C$6-Links!AH179)/(ATM_Conf!$C$6-ATM_Conf!$C$7))</f>
        <v>#DIV/0!</v>
      </c>
      <c r="BB179" s="43" t="e">
        <f>BK$3*MIN(1,(ATM_Conf!$C$6-Links!AK179)/(ATM_Conf!$C$6-ATM_Conf!$C$7))</f>
        <v>#DIV/0!</v>
      </c>
      <c r="BC179" s="43" t="e">
        <f>BL$3*MIN(1,(ATM_Conf!$C$6-Links!AM179)/(ATM_Conf!$C$6-ATM_Conf!$C$7))</f>
        <v>#DIV/0!</v>
      </c>
      <c r="BD179" s="43">
        <f t="shared" si="118"/>
        <v>0</v>
      </c>
      <c r="BE179" s="43">
        <f t="shared" si="115"/>
        <v>0</v>
      </c>
      <c r="BF179" s="43">
        <f t="shared" si="115"/>
        <v>0</v>
      </c>
      <c r="BG179" s="43">
        <f t="shared" si="115"/>
        <v>0</v>
      </c>
      <c r="BH179" s="43">
        <f t="shared" si="115"/>
        <v>0</v>
      </c>
      <c r="BI179" s="43">
        <f t="shared" si="115"/>
        <v>0</v>
      </c>
      <c r="BJ179" s="43">
        <f t="shared" si="115"/>
        <v>0</v>
      </c>
      <c r="BK179" s="43">
        <f t="shared" si="115"/>
        <v>0</v>
      </c>
      <c r="BL179" s="43">
        <f t="shared" si="115"/>
        <v>0</v>
      </c>
      <c r="BM179" s="51"/>
      <c r="BN179" s="51"/>
      <c r="BO179" s="51"/>
      <c r="BP179" s="51"/>
      <c r="BQ179" s="51"/>
      <c r="BR179" s="51"/>
      <c r="BS179" s="51"/>
      <c r="BT179" s="51"/>
      <c r="BU179" s="51"/>
      <c r="BV179" s="51" t="e">
        <f t="shared" si="99"/>
        <v>#DIV/0!</v>
      </c>
      <c r="BW179" s="51" t="e">
        <f t="shared" si="100"/>
        <v>#DIV/0!</v>
      </c>
      <c r="BX179" s="51" t="e">
        <f t="shared" si="101"/>
        <v>#DIV/0!</v>
      </c>
      <c r="BY179" s="51" t="e">
        <f t="shared" si="102"/>
        <v>#DIV/0!</v>
      </c>
      <c r="BZ179" s="51" t="e">
        <f t="shared" si="103"/>
        <v>#DIV/0!</v>
      </c>
      <c r="CA179" s="51" t="e">
        <f t="shared" si="104"/>
        <v>#DIV/0!</v>
      </c>
      <c r="CB179" s="51" t="e">
        <f t="shared" si="105"/>
        <v>#DIV/0!</v>
      </c>
      <c r="CC179" s="51" t="e">
        <f t="shared" si="106"/>
        <v>#DIV/0!</v>
      </c>
      <c r="CD179" s="51" t="e">
        <f t="shared" si="107"/>
        <v>#DIV/0!</v>
      </c>
      <c r="CE179" s="53">
        <f t="shared" si="120"/>
        <v>0</v>
      </c>
      <c r="CF179" s="53">
        <f t="shared" si="116"/>
        <v>0</v>
      </c>
      <c r="CG179" s="53">
        <f t="shared" si="116"/>
        <v>0</v>
      </c>
      <c r="CH179" s="53">
        <f t="shared" si="116"/>
        <v>0</v>
      </c>
      <c r="CI179" s="53">
        <f t="shared" si="116"/>
        <v>0</v>
      </c>
      <c r="CJ179" s="53">
        <f t="shared" si="116"/>
        <v>0</v>
      </c>
      <c r="CK179" s="53">
        <f t="shared" si="116"/>
        <v>0</v>
      </c>
      <c r="CL179" s="53">
        <f t="shared" si="116"/>
        <v>0</v>
      </c>
      <c r="CM179" s="53">
        <f t="shared" si="116"/>
        <v>0</v>
      </c>
    </row>
    <row r="180" spans="1:91" x14ac:dyDescent="0.15">
      <c r="A180" s="41">
        <v>178</v>
      </c>
      <c r="B180" s="43">
        <f t="shared" si="125"/>
        <v>1</v>
      </c>
      <c r="C180" s="43">
        <f t="shared" si="124"/>
        <v>1</v>
      </c>
      <c r="D180" s="43">
        <f t="shared" si="124"/>
        <v>1</v>
      </c>
      <c r="E180" s="43">
        <f t="shared" si="124"/>
        <v>1</v>
      </c>
      <c r="F180" s="43">
        <f t="shared" si="124"/>
        <v>1</v>
      </c>
      <c r="G180" s="43">
        <f t="shared" si="124"/>
        <v>1</v>
      </c>
      <c r="H180" s="43">
        <f t="shared" si="124"/>
        <v>1</v>
      </c>
      <c r="I180" s="43">
        <f t="shared" si="124"/>
        <v>1</v>
      </c>
      <c r="J180" s="43">
        <f t="shared" si="124"/>
        <v>1</v>
      </c>
      <c r="K180" s="43" t="e">
        <f>K179+ATM_Conf!$C$5*(T179-AC179)</f>
        <v>#DIV/0!</v>
      </c>
      <c r="L180" s="43" t="e">
        <f>L179+ATM_Conf!$C$5*(U179-AD179)</f>
        <v>#DIV/0!</v>
      </c>
      <c r="M180" s="43" t="e">
        <f>M179+ATM_Conf!$C$5*(V179-AE179)</f>
        <v>#DIV/0!</v>
      </c>
      <c r="N180" s="43" t="e">
        <f>N179+ATM_Conf!$C$5*(W179-AF179)</f>
        <v>#DIV/0!</v>
      </c>
      <c r="O180" s="43" t="e">
        <f>O179+ATM_Conf!$C$5*(X179-AG179)</f>
        <v>#DIV/0!</v>
      </c>
      <c r="P180" s="43" t="e">
        <f>P179+ATM_Conf!$C$5*(Y179-AH179)</f>
        <v>#DIV/0!</v>
      </c>
      <c r="Q180" s="43" t="e">
        <f>Q179+ATM_Conf!$C$5*(Z179-AI179)</f>
        <v>#DIV/0!</v>
      </c>
      <c r="R180" s="43" t="e">
        <f>R179+ATM_Conf!$C$5*(AA179-AJ179)</f>
        <v>#DIV/0!</v>
      </c>
      <c r="S180" s="43" t="e">
        <f>S179+ATM_Conf!$C$5*(AB179-AK179)</f>
        <v>#DIV/0!</v>
      </c>
      <c r="T180" s="43">
        <f t="shared" si="117"/>
        <v>0</v>
      </c>
      <c r="U180" s="43">
        <f t="shared" si="114"/>
        <v>0</v>
      </c>
      <c r="V180" s="43">
        <f t="shared" si="114"/>
        <v>0</v>
      </c>
      <c r="W180" s="43">
        <f t="shared" si="114"/>
        <v>0</v>
      </c>
      <c r="X180" s="43">
        <f t="shared" si="114"/>
        <v>0</v>
      </c>
      <c r="Y180" s="43">
        <f t="shared" si="114"/>
        <v>0</v>
      </c>
      <c r="Z180" s="43">
        <f t="shared" si="114"/>
        <v>0</v>
      </c>
      <c r="AA180" s="43">
        <f t="shared" si="114"/>
        <v>0</v>
      </c>
      <c r="AB180" s="43">
        <f t="shared" si="114"/>
        <v>0</v>
      </c>
      <c r="AC180" s="43" t="e">
        <f t="shared" si="90"/>
        <v>#DIV/0!</v>
      </c>
      <c r="AD180" s="43" t="e">
        <f t="shared" si="91"/>
        <v>#DIV/0!</v>
      </c>
      <c r="AE180" s="43" t="e">
        <f t="shared" si="92"/>
        <v>#DIV/0!</v>
      </c>
      <c r="AF180" s="43" t="e">
        <f t="shared" si="93"/>
        <v>#DIV/0!</v>
      </c>
      <c r="AG180" s="43" t="e">
        <f t="shared" si="94"/>
        <v>#DIV/0!</v>
      </c>
      <c r="AH180" s="43" t="e">
        <f t="shared" si="95"/>
        <v>#DIV/0!</v>
      </c>
      <c r="AI180" s="43" t="e">
        <f t="shared" si="96"/>
        <v>#DIV/0!</v>
      </c>
      <c r="AJ180" s="43" t="e">
        <f t="shared" si="97"/>
        <v>#DIV/0!</v>
      </c>
      <c r="AK180" s="43" t="e">
        <f t="shared" si="98"/>
        <v>#DIV/0!</v>
      </c>
      <c r="AL180" s="43" t="e">
        <f>T$3+K180/ATM_Conf!$C$5</f>
        <v>#DIV/0!</v>
      </c>
      <c r="AM180" s="43" t="e">
        <f>U$3+L180/ATM_Conf!$C$5</f>
        <v>#DIV/0!</v>
      </c>
      <c r="AN180" s="43" t="e">
        <f>V$3+M180/ATM_Conf!$C$5</f>
        <v>#DIV/0!</v>
      </c>
      <c r="AO180" s="43" t="e">
        <f>W$3+N180/ATM_Conf!$C$5</f>
        <v>#DIV/0!</v>
      </c>
      <c r="AP180" s="43" t="e">
        <f>X$3+O180/ATM_Conf!$C$5</f>
        <v>#DIV/0!</v>
      </c>
      <c r="AQ180" s="43" t="e">
        <f>Y$3+P180/ATM_Conf!$C$5</f>
        <v>#DIV/0!</v>
      </c>
      <c r="AR180" s="43" t="e">
        <f>Z$3+Q180/ATM_Conf!$C$5</f>
        <v>#DIV/0!</v>
      </c>
      <c r="AS180" s="43" t="e">
        <f>AA$3+R180/ATM_Conf!$C$5</f>
        <v>#DIV/0!</v>
      </c>
      <c r="AT180" s="43" t="e">
        <f>AB$3+S180/ATM_Conf!$C$5</f>
        <v>#DIV/0!</v>
      </c>
      <c r="AU180" s="43" t="e">
        <f>BD$3*MIN(1,(ATM_Conf!$C$6-Links!X180)/(ATM_Conf!$C$6-ATM_Conf!$C$7))</f>
        <v>#DIV/0!</v>
      </c>
      <c r="AV180" s="43" t="e">
        <f>BE$3*MIN(1,(ATM_Conf!$C$6-Links!Z180)/(ATM_Conf!$C$6-ATM_Conf!$C$7))</f>
        <v>#DIV/0!</v>
      </c>
      <c r="AW180" s="43" t="e">
        <f>BF$3*MIN(1,(ATM_Conf!$C$6-Links!AA180)/(ATM_Conf!$C$6-ATM_Conf!$C$7))</f>
        <v>#DIV/0!</v>
      </c>
      <c r="AX180" s="43" t="e">
        <f>BG$3*MIN(1,(ATM_Conf!$C$6-Links!AD180)/(ATM_Conf!$C$6-ATM_Conf!$C$7))</f>
        <v>#DIV/0!</v>
      </c>
      <c r="AY180" s="43" t="e">
        <f>BH$3*MIN(1,(ATM_Conf!$C$6-Links!AE180)/(ATM_Conf!$C$6-ATM_Conf!$C$7))</f>
        <v>#DIV/0!</v>
      </c>
      <c r="AZ180" s="43" t="e">
        <f>BI$3*MIN(1,(ATM_Conf!$C$6-Links!AG180)/(ATM_Conf!$C$6-ATM_Conf!$C$7))</f>
        <v>#DIV/0!</v>
      </c>
      <c r="BA180" s="43" t="e">
        <f>BJ$3*MIN(1,(ATM_Conf!$C$6-Links!AH180)/(ATM_Conf!$C$6-ATM_Conf!$C$7))</f>
        <v>#DIV/0!</v>
      </c>
      <c r="BB180" s="43" t="e">
        <f>BK$3*MIN(1,(ATM_Conf!$C$6-Links!AK180)/(ATM_Conf!$C$6-ATM_Conf!$C$7))</f>
        <v>#DIV/0!</v>
      </c>
      <c r="BC180" s="43" t="e">
        <f>BL$3*MIN(1,(ATM_Conf!$C$6-Links!AM180)/(ATM_Conf!$C$6-ATM_Conf!$C$7))</f>
        <v>#DIV/0!</v>
      </c>
      <c r="BD180" s="43">
        <f t="shared" si="118"/>
        <v>0</v>
      </c>
      <c r="BE180" s="43">
        <f t="shared" si="115"/>
        <v>0</v>
      </c>
      <c r="BF180" s="43">
        <f t="shared" si="115"/>
        <v>0</v>
      </c>
      <c r="BG180" s="43">
        <f t="shared" si="115"/>
        <v>0</v>
      </c>
      <c r="BH180" s="43">
        <f t="shared" si="115"/>
        <v>0</v>
      </c>
      <c r="BI180" s="43">
        <f t="shared" si="115"/>
        <v>0</v>
      </c>
      <c r="BJ180" s="43">
        <f t="shared" si="115"/>
        <v>0</v>
      </c>
      <c r="BK180" s="43">
        <f t="shared" si="115"/>
        <v>0</v>
      </c>
      <c r="BL180" s="43">
        <f t="shared" si="115"/>
        <v>0</v>
      </c>
      <c r="BM180" s="51"/>
      <c r="BN180" s="51"/>
      <c r="BO180" s="51"/>
      <c r="BP180" s="51"/>
      <c r="BQ180" s="51"/>
      <c r="BR180" s="51"/>
      <c r="BS180" s="51"/>
      <c r="BT180" s="51"/>
      <c r="BU180" s="51"/>
      <c r="BV180" s="51" t="e">
        <f t="shared" si="99"/>
        <v>#DIV/0!</v>
      </c>
      <c r="BW180" s="51" t="e">
        <f t="shared" si="100"/>
        <v>#DIV/0!</v>
      </c>
      <c r="BX180" s="51" t="e">
        <f t="shared" si="101"/>
        <v>#DIV/0!</v>
      </c>
      <c r="BY180" s="51" t="e">
        <f t="shared" si="102"/>
        <v>#DIV/0!</v>
      </c>
      <c r="BZ180" s="51" t="e">
        <f t="shared" si="103"/>
        <v>#DIV/0!</v>
      </c>
      <c r="CA180" s="51" t="e">
        <f t="shared" si="104"/>
        <v>#DIV/0!</v>
      </c>
      <c r="CB180" s="51" t="e">
        <f t="shared" si="105"/>
        <v>#DIV/0!</v>
      </c>
      <c r="CC180" s="51" t="e">
        <f t="shared" si="106"/>
        <v>#DIV/0!</v>
      </c>
      <c r="CD180" s="51" t="e">
        <f t="shared" si="107"/>
        <v>#DIV/0!</v>
      </c>
      <c r="CE180" s="53">
        <f t="shared" si="120"/>
        <v>0</v>
      </c>
      <c r="CF180" s="53">
        <f t="shared" si="116"/>
        <v>0</v>
      </c>
      <c r="CG180" s="53">
        <f t="shared" si="116"/>
        <v>0</v>
      </c>
      <c r="CH180" s="53">
        <f t="shared" si="116"/>
        <v>0</v>
      </c>
      <c r="CI180" s="53">
        <f t="shared" si="116"/>
        <v>0</v>
      </c>
      <c r="CJ180" s="53">
        <f t="shared" si="116"/>
        <v>0</v>
      </c>
      <c r="CK180" s="53">
        <f t="shared" si="116"/>
        <v>0</v>
      </c>
      <c r="CL180" s="53">
        <f t="shared" si="116"/>
        <v>0</v>
      </c>
      <c r="CM180" s="53">
        <f t="shared" si="116"/>
        <v>0</v>
      </c>
    </row>
    <row r="181" spans="1:91" x14ac:dyDescent="0.15">
      <c r="A181" s="41">
        <v>179</v>
      </c>
      <c r="B181" s="43">
        <f t="shared" si="125"/>
        <v>1</v>
      </c>
      <c r="C181" s="43">
        <f t="shared" si="124"/>
        <v>1</v>
      </c>
      <c r="D181" s="43">
        <f t="shared" si="124"/>
        <v>1</v>
      </c>
      <c r="E181" s="43">
        <f t="shared" si="124"/>
        <v>1</v>
      </c>
      <c r="F181" s="43">
        <f t="shared" si="124"/>
        <v>1</v>
      </c>
      <c r="G181" s="43">
        <f t="shared" si="124"/>
        <v>1</v>
      </c>
      <c r="H181" s="43">
        <f t="shared" si="124"/>
        <v>1</v>
      </c>
      <c r="I181" s="43">
        <f t="shared" si="124"/>
        <v>1</v>
      </c>
      <c r="J181" s="43">
        <f t="shared" si="124"/>
        <v>1</v>
      </c>
      <c r="K181" s="43" t="e">
        <f>K180+ATM_Conf!$C$5*(T180-AC180)</f>
        <v>#DIV/0!</v>
      </c>
      <c r="L181" s="43" t="e">
        <f>L180+ATM_Conf!$C$5*(U180-AD180)</f>
        <v>#DIV/0!</v>
      </c>
      <c r="M181" s="43" t="e">
        <f>M180+ATM_Conf!$C$5*(V180-AE180)</f>
        <v>#DIV/0!</v>
      </c>
      <c r="N181" s="43" t="e">
        <f>N180+ATM_Conf!$C$5*(W180-AF180)</f>
        <v>#DIV/0!</v>
      </c>
      <c r="O181" s="43" t="e">
        <f>O180+ATM_Conf!$C$5*(X180-AG180)</f>
        <v>#DIV/0!</v>
      </c>
      <c r="P181" s="43" t="e">
        <f>P180+ATM_Conf!$C$5*(Y180-AH180)</f>
        <v>#DIV/0!</v>
      </c>
      <c r="Q181" s="43" t="e">
        <f>Q180+ATM_Conf!$C$5*(Z180-AI180)</f>
        <v>#DIV/0!</v>
      </c>
      <c r="R181" s="43" t="e">
        <f>R180+ATM_Conf!$C$5*(AA180-AJ180)</f>
        <v>#DIV/0!</v>
      </c>
      <c r="S181" s="43" t="e">
        <f>S180+ATM_Conf!$C$5*(AB180-AK180)</f>
        <v>#DIV/0!</v>
      </c>
      <c r="T181" s="43">
        <f t="shared" si="117"/>
        <v>0</v>
      </c>
      <c r="U181" s="43">
        <f t="shared" si="114"/>
        <v>0</v>
      </c>
      <c r="V181" s="43">
        <f t="shared" si="114"/>
        <v>0</v>
      </c>
      <c r="W181" s="43">
        <f t="shared" si="114"/>
        <v>0</v>
      </c>
      <c r="X181" s="43">
        <f t="shared" si="114"/>
        <v>0</v>
      </c>
      <c r="Y181" s="43">
        <f t="shared" si="114"/>
        <v>0</v>
      </c>
      <c r="Z181" s="43">
        <f t="shared" si="114"/>
        <v>0</v>
      </c>
      <c r="AA181" s="43">
        <f t="shared" si="114"/>
        <v>0</v>
      </c>
      <c r="AB181" s="43">
        <f t="shared" si="114"/>
        <v>0</v>
      </c>
      <c r="AC181" s="43" t="e">
        <f t="shared" si="90"/>
        <v>#DIV/0!</v>
      </c>
      <c r="AD181" s="43" t="e">
        <f t="shared" si="91"/>
        <v>#DIV/0!</v>
      </c>
      <c r="AE181" s="43" t="e">
        <f t="shared" si="92"/>
        <v>#DIV/0!</v>
      </c>
      <c r="AF181" s="43" t="e">
        <f t="shared" si="93"/>
        <v>#DIV/0!</v>
      </c>
      <c r="AG181" s="43" t="e">
        <f t="shared" si="94"/>
        <v>#DIV/0!</v>
      </c>
      <c r="AH181" s="43" t="e">
        <f t="shared" si="95"/>
        <v>#DIV/0!</v>
      </c>
      <c r="AI181" s="43" t="e">
        <f t="shared" si="96"/>
        <v>#DIV/0!</v>
      </c>
      <c r="AJ181" s="43" t="e">
        <f t="shared" si="97"/>
        <v>#DIV/0!</v>
      </c>
      <c r="AK181" s="43" t="e">
        <f t="shared" si="98"/>
        <v>#DIV/0!</v>
      </c>
      <c r="AL181" s="43" t="e">
        <f>T$3+K181/ATM_Conf!$C$5</f>
        <v>#DIV/0!</v>
      </c>
      <c r="AM181" s="43" t="e">
        <f>U$3+L181/ATM_Conf!$C$5</f>
        <v>#DIV/0!</v>
      </c>
      <c r="AN181" s="43" t="e">
        <f>V$3+M181/ATM_Conf!$C$5</f>
        <v>#DIV/0!</v>
      </c>
      <c r="AO181" s="43" t="e">
        <f>W$3+N181/ATM_Conf!$C$5</f>
        <v>#DIV/0!</v>
      </c>
      <c r="AP181" s="43" t="e">
        <f>X$3+O181/ATM_Conf!$C$5</f>
        <v>#DIV/0!</v>
      </c>
      <c r="AQ181" s="43" t="e">
        <f>Y$3+P181/ATM_Conf!$C$5</f>
        <v>#DIV/0!</v>
      </c>
      <c r="AR181" s="43" t="e">
        <f>Z$3+Q181/ATM_Conf!$C$5</f>
        <v>#DIV/0!</v>
      </c>
      <c r="AS181" s="43" t="e">
        <f>AA$3+R181/ATM_Conf!$C$5</f>
        <v>#DIV/0!</v>
      </c>
      <c r="AT181" s="43" t="e">
        <f>AB$3+S181/ATM_Conf!$C$5</f>
        <v>#DIV/0!</v>
      </c>
      <c r="AU181" s="43" t="e">
        <f>BD$3*MIN(1,(ATM_Conf!$C$6-Links!X181)/(ATM_Conf!$C$6-ATM_Conf!$C$7))</f>
        <v>#DIV/0!</v>
      </c>
      <c r="AV181" s="43" t="e">
        <f>BE$3*MIN(1,(ATM_Conf!$C$6-Links!Z181)/(ATM_Conf!$C$6-ATM_Conf!$C$7))</f>
        <v>#DIV/0!</v>
      </c>
      <c r="AW181" s="43" t="e">
        <f>BF$3*MIN(1,(ATM_Conf!$C$6-Links!AA181)/(ATM_Conf!$C$6-ATM_Conf!$C$7))</f>
        <v>#DIV/0!</v>
      </c>
      <c r="AX181" s="43" t="e">
        <f>BG$3*MIN(1,(ATM_Conf!$C$6-Links!AD181)/(ATM_Conf!$C$6-ATM_Conf!$C$7))</f>
        <v>#DIV/0!</v>
      </c>
      <c r="AY181" s="43" t="e">
        <f>BH$3*MIN(1,(ATM_Conf!$C$6-Links!AE181)/(ATM_Conf!$C$6-ATM_Conf!$C$7))</f>
        <v>#DIV/0!</v>
      </c>
      <c r="AZ181" s="43" t="e">
        <f>BI$3*MIN(1,(ATM_Conf!$C$6-Links!AG181)/(ATM_Conf!$C$6-ATM_Conf!$C$7))</f>
        <v>#DIV/0!</v>
      </c>
      <c r="BA181" s="43" t="e">
        <f>BJ$3*MIN(1,(ATM_Conf!$C$6-Links!AH181)/(ATM_Conf!$C$6-ATM_Conf!$C$7))</f>
        <v>#DIV/0!</v>
      </c>
      <c r="BB181" s="43" t="e">
        <f>BK$3*MIN(1,(ATM_Conf!$C$6-Links!AK181)/(ATM_Conf!$C$6-ATM_Conf!$C$7))</f>
        <v>#DIV/0!</v>
      </c>
      <c r="BC181" s="43" t="e">
        <f>BL$3*MIN(1,(ATM_Conf!$C$6-Links!AM181)/(ATM_Conf!$C$6-ATM_Conf!$C$7))</f>
        <v>#DIV/0!</v>
      </c>
      <c r="BD181" s="43">
        <f t="shared" si="118"/>
        <v>0</v>
      </c>
      <c r="BE181" s="43">
        <f t="shared" si="115"/>
        <v>0</v>
      </c>
      <c r="BF181" s="43">
        <f t="shared" si="115"/>
        <v>0</v>
      </c>
      <c r="BG181" s="43">
        <f t="shared" si="115"/>
        <v>0</v>
      </c>
      <c r="BH181" s="43">
        <f t="shared" si="115"/>
        <v>0</v>
      </c>
      <c r="BI181" s="43">
        <f t="shared" si="115"/>
        <v>0</v>
      </c>
      <c r="BJ181" s="43">
        <f t="shared" si="115"/>
        <v>0</v>
      </c>
      <c r="BK181" s="43">
        <f t="shared" si="115"/>
        <v>0</v>
      </c>
      <c r="BL181" s="43">
        <f t="shared" si="115"/>
        <v>0</v>
      </c>
      <c r="BM181" s="51"/>
      <c r="BN181" s="51"/>
      <c r="BO181" s="51"/>
      <c r="BP181" s="51"/>
      <c r="BQ181" s="51"/>
      <c r="BR181" s="51"/>
      <c r="BS181" s="51"/>
      <c r="BT181" s="51"/>
      <c r="BU181" s="51"/>
      <c r="BV181" s="51" t="e">
        <f t="shared" si="99"/>
        <v>#DIV/0!</v>
      </c>
      <c r="BW181" s="51" t="e">
        <f t="shared" si="100"/>
        <v>#DIV/0!</v>
      </c>
      <c r="BX181" s="51" t="e">
        <f t="shared" si="101"/>
        <v>#DIV/0!</v>
      </c>
      <c r="BY181" s="51" t="e">
        <f t="shared" si="102"/>
        <v>#DIV/0!</v>
      </c>
      <c r="BZ181" s="51" t="e">
        <f t="shared" si="103"/>
        <v>#DIV/0!</v>
      </c>
      <c r="CA181" s="51" t="e">
        <f t="shared" si="104"/>
        <v>#DIV/0!</v>
      </c>
      <c r="CB181" s="51" t="e">
        <f t="shared" si="105"/>
        <v>#DIV/0!</v>
      </c>
      <c r="CC181" s="51" t="e">
        <f t="shared" si="106"/>
        <v>#DIV/0!</v>
      </c>
      <c r="CD181" s="51" t="e">
        <f t="shared" si="107"/>
        <v>#DIV/0!</v>
      </c>
      <c r="CE181" s="53">
        <f t="shared" si="120"/>
        <v>0</v>
      </c>
      <c r="CF181" s="53">
        <f t="shared" si="116"/>
        <v>0</v>
      </c>
      <c r="CG181" s="53">
        <f t="shared" si="116"/>
        <v>0</v>
      </c>
      <c r="CH181" s="53">
        <f t="shared" si="116"/>
        <v>0</v>
      </c>
      <c r="CI181" s="53">
        <f t="shared" si="116"/>
        <v>0</v>
      </c>
      <c r="CJ181" s="53">
        <f t="shared" si="116"/>
        <v>0</v>
      </c>
      <c r="CK181" s="53">
        <f t="shared" si="116"/>
        <v>0</v>
      </c>
      <c r="CL181" s="53">
        <f t="shared" si="116"/>
        <v>0</v>
      </c>
      <c r="CM181" s="53">
        <f t="shared" si="116"/>
        <v>0</v>
      </c>
    </row>
    <row r="182" spans="1:91" x14ac:dyDescent="0.15">
      <c r="A182" s="41">
        <v>180</v>
      </c>
      <c r="B182" s="43">
        <f t="shared" si="125"/>
        <v>1</v>
      </c>
      <c r="C182" s="43">
        <f t="shared" si="124"/>
        <v>1</v>
      </c>
      <c r="D182" s="43">
        <f t="shared" si="124"/>
        <v>1</v>
      </c>
      <c r="E182" s="43">
        <f t="shared" si="124"/>
        <v>1</v>
      </c>
      <c r="F182" s="43">
        <f t="shared" si="124"/>
        <v>1</v>
      </c>
      <c r="G182" s="43">
        <f t="shared" si="124"/>
        <v>1</v>
      </c>
      <c r="H182" s="43">
        <f t="shared" si="124"/>
        <v>1</v>
      </c>
      <c r="I182" s="43">
        <f t="shared" si="124"/>
        <v>1</v>
      </c>
      <c r="J182" s="43">
        <f t="shared" si="124"/>
        <v>1</v>
      </c>
      <c r="K182" s="43" t="e">
        <f>K181+ATM_Conf!$C$5*(T181-AC181)</f>
        <v>#DIV/0!</v>
      </c>
      <c r="L182" s="43" t="e">
        <f>L181+ATM_Conf!$C$5*(U181-AD181)</f>
        <v>#DIV/0!</v>
      </c>
      <c r="M182" s="43" t="e">
        <f>M181+ATM_Conf!$C$5*(V181-AE181)</f>
        <v>#DIV/0!</v>
      </c>
      <c r="N182" s="43" t="e">
        <f>N181+ATM_Conf!$C$5*(W181-AF181)</f>
        <v>#DIV/0!</v>
      </c>
      <c r="O182" s="43" t="e">
        <f>O181+ATM_Conf!$C$5*(X181-AG181)</f>
        <v>#DIV/0!</v>
      </c>
      <c r="P182" s="43" t="e">
        <f>P181+ATM_Conf!$C$5*(Y181-AH181)</f>
        <v>#DIV/0!</v>
      </c>
      <c r="Q182" s="43" t="e">
        <f>Q181+ATM_Conf!$C$5*(Z181-AI181)</f>
        <v>#DIV/0!</v>
      </c>
      <c r="R182" s="43" t="e">
        <f>R181+ATM_Conf!$C$5*(AA181-AJ181)</f>
        <v>#DIV/0!</v>
      </c>
      <c r="S182" s="43" t="e">
        <f>S181+ATM_Conf!$C$5*(AB181-AK181)</f>
        <v>#DIV/0!</v>
      </c>
      <c r="T182" s="43">
        <f t="shared" si="117"/>
        <v>0</v>
      </c>
      <c r="U182" s="43">
        <f t="shared" si="114"/>
        <v>0</v>
      </c>
      <c r="V182" s="43">
        <f t="shared" si="114"/>
        <v>0</v>
      </c>
      <c r="W182" s="43">
        <f t="shared" si="114"/>
        <v>0</v>
      </c>
      <c r="X182" s="43">
        <f t="shared" si="114"/>
        <v>0</v>
      </c>
      <c r="Y182" s="43">
        <f t="shared" si="114"/>
        <v>0</v>
      </c>
      <c r="Z182" s="43">
        <f t="shared" si="114"/>
        <v>0</v>
      </c>
      <c r="AA182" s="43">
        <f t="shared" si="114"/>
        <v>0</v>
      </c>
      <c r="AB182" s="43">
        <f t="shared" si="114"/>
        <v>0</v>
      </c>
      <c r="AC182" s="43" t="e">
        <f t="shared" si="90"/>
        <v>#DIV/0!</v>
      </c>
      <c r="AD182" s="43" t="e">
        <f t="shared" si="91"/>
        <v>#DIV/0!</v>
      </c>
      <c r="AE182" s="43" t="e">
        <f t="shared" si="92"/>
        <v>#DIV/0!</v>
      </c>
      <c r="AF182" s="43" t="e">
        <f t="shared" si="93"/>
        <v>#DIV/0!</v>
      </c>
      <c r="AG182" s="43" t="e">
        <f t="shared" si="94"/>
        <v>#DIV/0!</v>
      </c>
      <c r="AH182" s="43" t="e">
        <f t="shared" si="95"/>
        <v>#DIV/0!</v>
      </c>
      <c r="AI182" s="43" t="e">
        <f t="shared" si="96"/>
        <v>#DIV/0!</v>
      </c>
      <c r="AJ182" s="43" t="e">
        <f t="shared" si="97"/>
        <v>#DIV/0!</v>
      </c>
      <c r="AK182" s="43" t="e">
        <f t="shared" si="98"/>
        <v>#DIV/0!</v>
      </c>
      <c r="AL182" s="43" t="e">
        <f>T$3+K182/ATM_Conf!$C$5</f>
        <v>#DIV/0!</v>
      </c>
      <c r="AM182" s="43" t="e">
        <f>U$3+L182/ATM_Conf!$C$5</f>
        <v>#DIV/0!</v>
      </c>
      <c r="AN182" s="43" t="e">
        <f>V$3+M182/ATM_Conf!$C$5</f>
        <v>#DIV/0!</v>
      </c>
      <c r="AO182" s="43" t="e">
        <f>W$3+N182/ATM_Conf!$C$5</f>
        <v>#DIV/0!</v>
      </c>
      <c r="AP182" s="43" t="e">
        <f>X$3+O182/ATM_Conf!$C$5</f>
        <v>#DIV/0!</v>
      </c>
      <c r="AQ182" s="43" t="e">
        <f>Y$3+P182/ATM_Conf!$C$5</f>
        <v>#DIV/0!</v>
      </c>
      <c r="AR182" s="43" t="e">
        <f>Z$3+Q182/ATM_Conf!$C$5</f>
        <v>#DIV/0!</v>
      </c>
      <c r="AS182" s="43" t="e">
        <f>AA$3+R182/ATM_Conf!$C$5</f>
        <v>#DIV/0!</v>
      </c>
      <c r="AT182" s="43" t="e">
        <f>AB$3+S182/ATM_Conf!$C$5</f>
        <v>#DIV/0!</v>
      </c>
      <c r="AU182" s="43" t="e">
        <f>BD$3*MIN(1,(ATM_Conf!$C$6-Links!X182)/(ATM_Conf!$C$6-ATM_Conf!$C$7))</f>
        <v>#DIV/0!</v>
      </c>
      <c r="AV182" s="43" t="e">
        <f>BE$3*MIN(1,(ATM_Conf!$C$6-Links!Z182)/(ATM_Conf!$C$6-ATM_Conf!$C$7))</f>
        <v>#DIV/0!</v>
      </c>
      <c r="AW182" s="43" t="e">
        <f>BF$3*MIN(1,(ATM_Conf!$C$6-Links!AA182)/(ATM_Conf!$C$6-ATM_Conf!$C$7))</f>
        <v>#DIV/0!</v>
      </c>
      <c r="AX182" s="43" t="e">
        <f>BG$3*MIN(1,(ATM_Conf!$C$6-Links!AD182)/(ATM_Conf!$C$6-ATM_Conf!$C$7))</f>
        <v>#DIV/0!</v>
      </c>
      <c r="AY182" s="43" t="e">
        <f>BH$3*MIN(1,(ATM_Conf!$C$6-Links!AE182)/(ATM_Conf!$C$6-ATM_Conf!$C$7))</f>
        <v>#DIV/0!</v>
      </c>
      <c r="AZ182" s="43" t="e">
        <f>BI$3*MIN(1,(ATM_Conf!$C$6-Links!AG182)/(ATM_Conf!$C$6-ATM_Conf!$C$7))</f>
        <v>#DIV/0!</v>
      </c>
      <c r="BA182" s="43" t="e">
        <f>BJ$3*MIN(1,(ATM_Conf!$C$6-Links!AH182)/(ATM_Conf!$C$6-ATM_Conf!$C$7))</f>
        <v>#DIV/0!</v>
      </c>
      <c r="BB182" s="43" t="e">
        <f>BK$3*MIN(1,(ATM_Conf!$C$6-Links!AK182)/(ATM_Conf!$C$6-ATM_Conf!$C$7))</f>
        <v>#DIV/0!</v>
      </c>
      <c r="BC182" s="43" t="e">
        <f>BL$3*MIN(1,(ATM_Conf!$C$6-Links!AM182)/(ATM_Conf!$C$6-ATM_Conf!$C$7))</f>
        <v>#DIV/0!</v>
      </c>
      <c r="BD182" s="43">
        <f t="shared" si="118"/>
        <v>0</v>
      </c>
      <c r="BE182" s="43">
        <f t="shared" si="115"/>
        <v>0</v>
      </c>
      <c r="BF182" s="43">
        <f t="shared" si="115"/>
        <v>0</v>
      </c>
      <c r="BG182" s="43">
        <f t="shared" si="115"/>
        <v>0</v>
      </c>
      <c r="BH182" s="43">
        <f t="shared" si="115"/>
        <v>0</v>
      </c>
      <c r="BI182" s="43">
        <f t="shared" si="115"/>
        <v>0</v>
      </c>
      <c r="BJ182" s="43">
        <f t="shared" si="115"/>
        <v>0</v>
      </c>
      <c r="BK182" s="43">
        <f t="shared" si="115"/>
        <v>0</v>
      </c>
      <c r="BL182" s="43">
        <f t="shared" si="115"/>
        <v>0</v>
      </c>
      <c r="BM182" s="54">
        <f>12*SUM(BM3:BU181)</f>
        <v>0</v>
      </c>
      <c r="BN182" s="51"/>
      <c r="BO182" s="51"/>
      <c r="BP182" s="51"/>
      <c r="BQ182" s="51"/>
      <c r="BR182" s="51"/>
      <c r="BS182" s="51"/>
      <c r="BT182" s="51"/>
      <c r="BU182" s="51"/>
      <c r="BV182" s="51" t="e">
        <f t="shared" si="99"/>
        <v>#DIV/0!</v>
      </c>
      <c r="BW182" s="51" t="e">
        <f t="shared" si="100"/>
        <v>#DIV/0!</v>
      </c>
      <c r="BX182" s="51" t="e">
        <f t="shared" si="101"/>
        <v>#DIV/0!</v>
      </c>
      <c r="BY182" s="51" t="e">
        <f t="shared" si="102"/>
        <v>#DIV/0!</v>
      </c>
      <c r="BZ182" s="51" t="e">
        <f t="shared" si="103"/>
        <v>#DIV/0!</v>
      </c>
      <c r="CA182" s="51" t="e">
        <f t="shared" si="104"/>
        <v>#DIV/0!</v>
      </c>
      <c r="CB182" s="51" t="e">
        <f t="shared" si="105"/>
        <v>#DIV/0!</v>
      </c>
      <c r="CC182" s="51" t="e">
        <f t="shared" si="106"/>
        <v>#DIV/0!</v>
      </c>
      <c r="CD182" s="51" t="e">
        <f t="shared" si="107"/>
        <v>#DIV/0!</v>
      </c>
      <c r="CE182" s="53"/>
      <c r="CF182" s="53"/>
      <c r="CG182" s="53"/>
      <c r="CH182" s="53"/>
      <c r="CI182" s="53"/>
      <c r="CJ182" s="53"/>
      <c r="CK182" s="53"/>
      <c r="CL182" s="53"/>
      <c r="CM182" s="53"/>
    </row>
    <row r="183" spans="1:91" x14ac:dyDescent="0.15">
      <c r="K183" s="64" t="e">
        <f>SUM(K4:S182)</f>
        <v>#DIV/0!</v>
      </c>
      <c r="BV183" s="64" t="e">
        <f>SUM(BV4:CD182)</f>
        <v>#DIV/0!</v>
      </c>
    </row>
    <row r="188" spans="1:91" x14ac:dyDescent="0.15">
      <c r="B188" s="107" t="s">
        <v>191</v>
      </c>
      <c r="C188" s="107"/>
      <c r="D188" s="107"/>
      <c r="E188" s="107"/>
      <c r="F188" s="107"/>
      <c r="G188" s="107"/>
      <c r="H188" s="107"/>
      <c r="I188" s="107"/>
      <c r="J188" s="107"/>
      <c r="K188" s="107" t="s">
        <v>200</v>
      </c>
      <c r="L188" s="107"/>
      <c r="M188" s="107"/>
      <c r="N188" s="107"/>
      <c r="O188" s="107"/>
      <c r="P188" s="107"/>
      <c r="Q188" s="107"/>
      <c r="R188" s="107"/>
      <c r="S188" s="107"/>
      <c r="T188" s="107" t="s">
        <v>209</v>
      </c>
      <c r="U188" s="107"/>
      <c r="V188" s="107"/>
      <c r="W188" s="107"/>
      <c r="X188" s="107"/>
      <c r="Y188" s="107"/>
      <c r="Z188" s="107"/>
      <c r="AA188" s="107"/>
      <c r="AB188" s="107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1</v>
      </c>
      <c r="M190" s="42">
        <v>1</v>
      </c>
      <c r="N190" s="42">
        <v>1</v>
      </c>
      <c r="O190" s="42">
        <v>1</v>
      </c>
      <c r="P190" s="42">
        <v>1</v>
      </c>
      <c r="Q190" s="42">
        <v>1</v>
      </c>
      <c r="R190" s="42">
        <v>1</v>
      </c>
      <c r="S190" s="42">
        <v>1</v>
      </c>
      <c r="T190" s="42">
        <v>1</v>
      </c>
      <c r="U190" s="42">
        <v>1</v>
      </c>
      <c r="V190" s="42">
        <v>1</v>
      </c>
      <c r="W190" s="42">
        <v>1</v>
      </c>
      <c r="X190" s="42">
        <v>1</v>
      </c>
      <c r="Y190" s="42">
        <v>1</v>
      </c>
      <c r="Z190" s="42">
        <v>1</v>
      </c>
      <c r="AA190" s="42">
        <v>1</v>
      </c>
      <c r="AB190" s="42">
        <v>1</v>
      </c>
    </row>
    <row r="192" spans="1:91" x14ac:dyDescent="0.15">
      <c r="B192" s="107" t="s">
        <v>257</v>
      </c>
      <c r="C192" s="107"/>
      <c r="D192" s="107"/>
      <c r="E192" s="107"/>
      <c r="F192" s="107"/>
      <c r="G192" s="107"/>
      <c r="H192" s="107"/>
      <c r="I192" s="107"/>
      <c r="J192" s="107"/>
    </row>
    <row r="193" spans="2:10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</row>
    <row r="194" spans="2:10" x14ac:dyDescent="0.15">
      <c r="B194" s="42"/>
      <c r="C194" s="42"/>
      <c r="D194" s="42"/>
      <c r="E194" s="42"/>
      <c r="F194" s="42"/>
      <c r="G194" s="42"/>
      <c r="H194" s="42"/>
      <c r="I194" s="42"/>
      <c r="J194" s="42"/>
    </row>
  </sheetData>
  <mergeCells count="15">
    <mergeCell ref="A1:A2"/>
    <mergeCell ref="BM1:BU1"/>
    <mergeCell ref="B1:J1"/>
    <mergeCell ref="K1:S1"/>
    <mergeCell ref="T1:AB1"/>
    <mergeCell ref="AC1:AK1"/>
    <mergeCell ref="AL1:AT1"/>
    <mergeCell ref="AU1:BC1"/>
    <mergeCell ref="B192:J192"/>
    <mergeCell ref="BV1:CD1"/>
    <mergeCell ref="CE1:CM1"/>
    <mergeCell ref="B188:J188"/>
    <mergeCell ref="K188:S188"/>
    <mergeCell ref="BD1:BL1"/>
    <mergeCell ref="T188:AB188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3"/>
  <sheetViews>
    <sheetView zoomScale="70" zoomScaleNormal="70" workbookViewId="0">
      <selection activeCell="Q196" sqref="Q196"/>
    </sheetView>
  </sheetViews>
  <sheetFormatPr defaultRowHeight="14.25" x14ac:dyDescent="0.15"/>
  <cols>
    <col min="1" max="16384" width="9" style="48"/>
  </cols>
  <sheetData>
    <row r="1" spans="1:28" x14ac:dyDescent="0.15">
      <c r="A1" s="109" t="s">
        <v>188</v>
      </c>
      <c r="B1" s="114" t="s">
        <v>168</v>
      </c>
      <c r="C1" s="115"/>
      <c r="D1" s="115"/>
      <c r="E1" s="115"/>
      <c r="F1" s="115"/>
      <c r="G1" s="115"/>
      <c r="H1" s="115"/>
      <c r="I1" s="115"/>
      <c r="J1" s="115"/>
      <c r="K1" s="116"/>
      <c r="L1" s="107" t="s">
        <v>201</v>
      </c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60"/>
    </row>
    <row r="2" spans="1:28" x14ac:dyDescent="0.15">
      <c r="A2" s="110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231</v>
      </c>
      <c r="W2" s="40" t="s">
        <v>232</v>
      </c>
      <c r="X2" s="40" t="s">
        <v>233</v>
      </c>
      <c r="Y2" s="40" t="s">
        <v>234</v>
      </c>
      <c r="Z2" s="40" t="s">
        <v>235</v>
      </c>
      <c r="AA2" s="40" t="s">
        <v>236</v>
      </c>
      <c r="AB2" s="60"/>
    </row>
    <row r="3" spans="1:28" x14ac:dyDescent="0.15">
      <c r="A3" s="46">
        <v>1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9" t="e">
        <f>(B195-B194+B196)/(A189*Q189)</f>
        <v>#DIV/0!</v>
      </c>
      <c r="M3" s="49" t="e">
        <f t="shared" ref="M3:AA3" si="0">(C195-C194+C196)/(B189*R189)</f>
        <v>#DIV/0!</v>
      </c>
      <c r="N3" s="49" t="e">
        <f t="shared" si="0"/>
        <v>#DIV/0!</v>
      </c>
      <c r="O3" s="49" t="e">
        <f t="shared" si="0"/>
        <v>#DIV/0!</v>
      </c>
      <c r="P3" s="69"/>
      <c r="Q3" s="69"/>
      <c r="R3" s="49" t="e">
        <f t="shared" si="0"/>
        <v>#DIV/0!</v>
      </c>
      <c r="S3" s="49" t="e">
        <f t="shared" si="0"/>
        <v>#DIV/0!</v>
      </c>
      <c r="T3" s="49" t="e">
        <f t="shared" si="0"/>
        <v>#DIV/0!</v>
      </c>
      <c r="U3" s="49" t="e">
        <f t="shared" si="0"/>
        <v>#DIV/0!</v>
      </c>
      <c r="V3" s="49" t="e">
        <f t="shared" si="0"/>
        <v>#DIV/0!</v>
      </c>
      <c r="W3" s="49" t="e">
        <f t="shared" si="0"/>
        <v>#DIV/0!</v>
      </c>
      <c r="X3" s="49" t="e">
        <f t="shared" si="0"/>
        <v>#DIV/0!</v>
      </c>
      <c r="Y3" s="49" t="e">
        <f t="shared" si="0"/>
        <v>#DIV/0!</v>
      </c>
      <c r="Z3" s="49" t="e">
        <f t="shared" si="0"/>
        <v>#DIV/0!</v>
      </c>
      <c r="AA3" s="49" t="e">
        <f t="shared" si="0"/>
        <v>#DIV/0!</v>
      </c>
    </row>
    <row r="4" spans="1:28" x14ac:dyDescent="0.15">
      <c r="A4" s="46">
        <v>2</v>
      </c>
      <c r="B4" s="61"/>
      <c r="C4" s="61"/>
      <c r="D4" s="61"/>
      <c r="E4" s="61"/>
      <c r="F4" s="61"/>
      <c r="G4" s="61"/>
      <c r="H4" s="61"/>
      <c r="I4" s="61"/>
      <c r="J4" s="61"/>
      <c r="K4" s="61"/>
      <c r="L4" s="53" t="e">
        <f>L3+ATM_Conf!$C$5*(Nodes!AB3)/('Off-Ramp'!A189*Q189)</f>
        <v>#DIV/0!</v>
      </c>
      <c r="M4" s="53" t="e">
        <f>M3+ATM_Conf!$C$5*(Nodes!AC3)/('Off-Ramp'!B189*R189)</f>
        <v>#DIV/0!</v>
      </c>
      <c r="N4" s="53" t="e">
        <f>N3+ATM_Conf!$C$5*(Nodes!AD3)/('Off-Ramp'!C189*S189)</f>
        <v>#DIV/0!</v>
      </c>
      <c r="O4" s="53" t="e">
        <f>O3+ATM_Conf!$C$5*(Nodes!AE3)/('Off-Ramp'!D189*T189)</f>
        <v>#DIV/0!</v>
      </c>
      <c r="P4" s="69"/>
      <c r="Q4" s="69"/>
      <c r="R4" s="53" t="e">
        <f>R3+ATM_Conf!$C$5*(Nodes!AH3)/('Off-Ramp'!G189*W189)</f>
        <v>#DIV/0!</v>
      </c>
      <c r="S4" s="53" t="e">
        <f>S3+ATM_Conf!$C$5*(Nodes!AI3)/('Off-Ramp'!H189*X189)</f>
        <v>#DIV/0!</v>
      </c>
      <c r="T4" s="53" t="e">
        <f>T3+ATM_Conf!$C$5*(Nodes!AJ3)/('Off-Ramp'!I189*Y189)</f>
        <v>#DIV/0!</v>
      </c>
      <c r="U4" s="53" t="e">
        <f>U3+ATM_Conf!$C$5*(Nodes!AK3)/('Off-Ramp'!J189*Z189)</f>
        <v>#DIV/0!</v>
      </c>
      <c r="V4" s="53" t="e">
        <f>V3+ATM_Conf!$C$5*(Nodes!AL3)/('Off-Ramp'!K189*AA189)</f>
        <v>#DIV/0!</v>
      </c>
      <c r="W4" s="53" t="e">
        <f>W3+ATM_Conf!$C$5*(Nodes!AM3)/('Off-Ramp'!L189*AB189)</f>
        <v>#DIV/0!</v>
      </c>
      <c r="X4" s="53" t="e">
        <f>X3+ATM_Conf!$C$5*(Nodes!AN3)/('Off-Ramp'!M189*AC189)</f>
        <v>#DIV/0!</v>
      </c>
      <c r="Y4" s="53" t="e">
        <f>Y3+ATM_Conf!$C$5*(Nodes!AO3)/('Off-Ramp'!N189*AD189)</f>
        <v>#DIV/0!</v>
      </c>
      <c r="Z4" s="53" t="e">
        <f>Z3+ATM_Conf!$C$5*(Nodes!AP3)/('Off-Ramp'!O189*AE189)</f>
        <v>#DIV/0!</v>
      </c>
      <c r="AA4" s="53" t="e">
        <f>AA3+ATM_Conf!$C$5*(Nodes!AQ3)/('Off-Ramp'!P189*AF189)</f>
        <v>#DIV/0!</v>
      </c>
    </row>
    <row r="5" spans="1:28" x14ac:dyDescent="0.15">
      <c r="A5" s="46">
        <v>3</v>
      </c>
      <c r="B5" s="61"/>
      <c r="C5" s="61"/>
      <c r="D5" s="61"/>
      <c r="E5" s="61"/>
      <c r="F5" s="61"/>
      <c r="G5" s="61"/>
      <c r="H5" s="61"/>
      <c r="I5" s="61"/>
      <c r="J5" s="61"/>
      <c r="K5" s="61"/>
      <c r="L5" s="53" t="e">
        <f t="shared" ref="L5:L35" si="1">B5/60/A$189</f>
        <v>#DIV/0!</v>
      </c>
      <c r="M5" s="53" t="e">
        <f t="shared" ref="M5:M35" si="2">C5/60/B$189</f>
        <v>#DIV/0!</v>
      </c>
      <c r="N5" s="53" t="e">
        <f t="shared" ref="N5:N35" si="3">D5/60/C$189</f>
        <v>#DIV/0!</v>
      </c>
      <c r="O5" s="53" t="e">
        <f t="shared" ref="O5:O35" si="4">E5/60/D$189</f>
        <v>#DIV/0!</v>
      </c>
      <c r="P5" s="69"/>
      <c r="Q5" s="69"/>
      <c r="R5" s="53" t="e">
        <f t="shared" ref="R5:R35" si="5">H5/60/G$189</f>
        <v>#DIV/0!</v>
      </c>
      <c r="S5" s="53" t="e">
        <f t="shared" ref="S5:S35" si="6">I5/60/H$189</f>
        <v>#DIV/0!</v>
      </c>
      <c r="T5" s="53" t="e">
        <f t="shared" ref="T5:T35" si="7">J5/60/I$189</f>
        <v>#DIV/0!</v>
      </c>
      <c r="U5" s="53" t="e">
        <f t="shared" ref="U5:U67" si="8">K5/60/J$189</f>
        <v>#DIV/0!</v>
      </c>
      <c r="V5" s="53" t="e">
        <f>V4+ATM_Conf!$C$5*(Nodes!AL4)/('Off-Ramp'!K190*AA190)</f>
        <v>#DIV/0!</v>
      </c>
      <c r="W5" s="53" t="e">
        <f>W4+ATM_Conf!$C$5*(Nodes!AM4)/('Off-Ramp'!L190*AB190)</f>
        <v>#DIV/0!</v>
      </c>
      <c r="X5" s="53" t="e">
        <f>X4+ATM_Conf!$C$5*(Nodes!AN4)/('Off-Ramp'!M190*AC190)</f>
        <v>#DIV/0!</v>
      </c>
      <c r="Y5" s="53" t="e">
        <f>Y4+ATM_Conf!$C$5*(Nodes!AO4)/('Off-Ramp'!N190*AD190)</f>
        <v>#DIV/0!</v>
      </c>
      <c r="Z5" s="53" t="e">
        <f>Z4+ATM_Conf!$C$5*(Nodes!AP4)/('Off-Ramp'!O190*AE190)</f>
        <v>#DIV/0!</v>
      </c>
      <c r="AA5" s="53" t="e">
        <f>AA4+ATM_Conf!$C$5*(Nodes!AQ4)/('Off-Ramp'!P190*AF190)</f>
        <v>#DIV/0!</v>
      </c>
    </row>
    <row r="6" spans="1:28" x14ac:dyDescent="0.15">
      <c r="A6" s="46">
        <v>4</v>
      </c>
      <c r="B6" s="61"/>
      <c r="C6" s="61"/>
      <c r="D6" s="61"/>
      <c r="E6" s="61"/>
      <c r="F6" s="61"/>
      <c r="G6" s="61"/>
      <c r="H6" s="61"/>
      <c r="I6" s="61"/>
      <c r="J6" s="61"/>
      <c r="K6" s="61"/>
      <c r="L6" s="53" t="e">
        <f t="shared" si="1"/>
        <v>#DIV/0!</v>
      </c>
      <c r="M6" s="53" t="e">
        <f t="shared" si="2"/>
        <v>#DIV/0!</v>
      </c>
      <c r="N6" s="53" t="e">
        <f t="shared" si="3"/>
        <v>#DIV/0!</v>
      </c>
      <c r="O6" s="53" t="e">
        <f t="shared" si="4"/>
        <v>#DIV/0!</v>
      </c>
      <c r="P6" s="69"/>
      <c r="Q6" s="69"/>
      <c r="R6" s="53" t="e">
        <f t="shared" si="5"/>
        <v>#DIV/0!</v>
      </c>
      <c r="S6" s="53" t="e">
        <f t="shared" si="6"/>
        <v>#DIV/0!</v>
      </c>
      <c r="T6" s="53" t="e">
        <f t="shared" si="7"/>
        <v>#DIV/0!</v>
      </c>
      <c r="U6" s="53" t="e">
        <f t="shared" si="8"/>
        <v>#DIV/0!</v>
      </c>
      <c r="V6" s="53" t="e">
        <f>V5+ATM_Conf!$C$5*(Nodes!AL5)/('Off-Ramp'!K191*AA191)</f>
        <v>#DIV/0!</v>
      </c>
      <c r="W6" s="53" t="e">
        <f>W5+ATM_Conf!$C$5*(Nodes!AM5)/('Off-Ramp'!L191*AB191)</f>
        <v>#DIV/0!</v>
      </c>
      <c r="X6" s="53" t="e">
        <f>X5+ATM_Conf!$C$5*(Nodes!AN5)/('Off-Ramp'!M191*AC191)</f>
        <v>#DIV/0!</v>
      </c>
      <c r="Y6" s="53" t="e">
        <f>Y5+ATM_Conf!$C$5*(Nodes!AO5)/('Off-Ramp'!N191*AD191)</f>
        <v>#DIV/0!</v>
      </c>
      <c r="Z6" s="53" t="e">
        <f>Z5+ATM_Conf!$C$5*(Nodes!AP5)/('Off-Ramp'!O191*AE191)</f>
        <v>#DIV/0!</v>
      </c>
      <c r="AA6" s="53" t="e">
        <f>AA5+ATM_Conf!$C$5*(Nodes!AQ5)/('Off-Ramp'!P191*AF191)</f>
        <v>#DIV/0!</v>
      </c>
    </row>
    <row r="7" spans="1:28" x14ac:dyDescent="0.15">
      <c r="A7" s="46">
        <v>5</v>
      </c>
      <c r="B7" s="61"/>
      <c r="C7" s="61"/>
      <c r="D7" s="61"/>
      <c r="E7" s="61"/>
      <c r="F7" s="61"/>
      <c r="G7" s="61"/>
      <c r="H7" s="61"/>
      <c r="I7" s="61"/>
      <c r="J7" s="61"/>
      <c r="K7" s="61"/>
      <c r="L7" s="53" t="e">
        <f t="shared" si="1"/>
        <v>#DIV/0!</v>
      </c>
      <c r="M7" s="53" t="e">
        <f t="shared" si="2"/>
        <v>#DIV/0!</v>
      </c>
      <c r="N7" s="53" t="e">
        <f t="shared" si="3"/>
        <v>#DIV/0!</v>
      </c>
      <c r="O7" s="53" t="e">
        <f t="shared" si="4"/>
        <v>#DIV/0!</v>
      </c>
      <c r="P7" s="69"/>
      <c r="Q7" s="69"/>
      <c r="R7" s="53" t="e">
        <f t="shared" si="5"/>
        <v>#DIV/0!</v>
      </c>
      <c r="S7" s="53" t="e">
        <f t="shared" si="6"/>
        <v>#DIV/0!</v>
      </c>
      <c r="T7" s="53" t="e">
        <f t="shared" si="7"/>
        <v>#DIV/0!</v>
      </c>
      <c r="U7" s="53" t="e">
        <f t="shared" si="8"/>
        <v>#DIV/0!</v>
      </c>
      <c r="V7" s="53" t="e">
        <f>V6+ATM_Conf!$C$5*(Nodes!AL6)/('Off-Ramp'!K192*AA192)</f>
        <v>#DIV/0!</v>
      </c>
      <c r="W7" s="53" t="e">
        <f>W6+ATM_Conf!$C$5*(Nodes!AM6)/('Off-Ramp'!L192*AB192)</f>
        <v>#DIV/0!</v>
      </c>
      <c r="X7" s="53" t="e">
        <f>X6+ATM_Conf!$C$5*(Nodes!AN6)/('Off-Ramp'!M192*AC192)</f>
        <v>#DIV/0!</v>
      </c>
      <c r="Y7" s="53" t="e">
        <f>Y6+ATM_Conf!$C$5*(Nodes!AO6)/('Off-Ramp'!N192*AD192)</f>
        <v>#DIV/0!</v>
      </c>
      <c r="Z7" s="53" t="e">
        <f>Z6+ATM_Conf!$C$5*(Nodes!AP6)/('Off-Ramp'!O192*AE192)</f>
        <v>#DIV/0!</v>
      </c>
      <c r="AA7" s="53" t="e">
        <f>AA6+ATM_Conf!$C$5*(Nodes!AQ6)/('Off-Ramp'!P192*AF192)</f>
        <v>#DIV/0!</v>
      </c>
    </row>
    <row r="8" spans="1:28" x14ac:dyDescent="0.15">
      <c r="A8" s="46">
        <v>6</v>
      </c>
      <c r="B8" s="61"/>
      <c r="C8" s="61"/>
      <c r="D8" s="61"/>
      <c r="E8" s="61"/>
      <c r="F8" s="61"/>
      <c r="G8" s="61"/>
      <c r="H8" s="61"/>
      <c r="I8" s="61"/>
      <c r="J8" s="61"/>
      <c r="K8" s="61"/>
      <c r="L8" s="53" t="e">
        <f t="shared" si="1"/>
        <v>#DIV/0!</v>
      </c>
      <c r="M8" s="53" t="e">
        <f t="shared" si="2"/>
        <v>#DIV/0!</v>
      </c>
      <c r="N8" s="53" t="e">
        <f t="shared" si="3"/>
        <v>#DIV/0!</v>
      </c>
      <c r="O8" s="53" t="e">
        <f t="shared" si="4"/>
        <v>#DIV/0!</v>
      </c>
      <c r="P8" s="69"/>
      <c r="Q8" s="69"/>
      <c r="R8" s="53" t="e">
        <f t="shared" si="5"/>
        <v>#DIV/0!</v>
      </c>
      <c r="S8" s="53" t="e">
        <f t="shared" si="6"/>
        <v>#DIV/0!</v>
      </c>
      <c r="T8" s="53" t="e">
        <f t="shared" si="7"/>
        <v>#DIV/0!</v>
      </c>
      <c r="U8" s="53" t="e">
        <f t="shared" si="8"/>
        <v>#DIV/0!</v>
      </c>
      <c r="V8" s="53" t="e">
        <f>V7+ATM_Conf!$C$5*(Nodes!AL7)/('Off-Ramp'!K193*AA193)</f>
        <v>#DIV/0!</v>
      </c>
      <c r="W8" s="53" t="e">
        <f>W7+ATM_Conf!$C$5*(Nodes!AM7)/('Off-Ramp'!L193*AB193)</f>
        <v>#DIV/0!</v>
      </c>
      <c r="X8" s="53" t="e">
        <f>X7+ATM_Conf!$C$5*(Nodes!AN7)/('Off-Ramp'!M193*AC193)</f>
        <v>#DIV/0!</v>
      </c>
      <c r="Y8" s="53" t="e">
        <f>Y7+ATM_Conf!$C$5*(Nodes!AO7)/('Off-Ramp'!N193*AD193)</f>
        <v>#DIV/0!</v>
      </c>
      <c r="Z8" s="53" t="e">
        <f>Z7+ATM_Conf!$C$5*(Nodes!AP7)/('Off-Ramp'!O193*AE193)</f>
        <v>#DIV/0!</v>
      </c>
      <c r="AA8" s="53" t="e">
        <f>AA7+ATM_Conf!$C$5*(Nodes!AQ7)/('Off-Ramp'!P193*AF193)</f>
        <v>#DIV/0!</v>
      </c>
    </row>
    <row r="9" spans="1:28" x14ac:dyDescent="0.15">
      <c r="A9" s="46">
        <v>7</v>
      </c>
      <c r="B9" s="61"/>
      <c r="C9" s="61"/>
      <c r="D9" s="61"/>
      <c r="E9" s="61"/>
      <c r="F9" s="61"/>
      <c r="G9" s="61"/>
      <c r="H9" s="61"/>
      <c r="I9" s="61"/>
      <c r="J9" s="61"/>
      <c r="K9" s="61"/>
      <c r="L9" s="53" t="e">
        <f t="shared" si="1"/>
        <v>#DIV/0!</v>
      </c>
      <c r="M9" s="53" t="e">
        <f t="shared" si="2"/>
        <v>#DIV/0!</v>
      </c>
      <c r="N9" s="53" t="e">
        <f t="shared" si="3"/>
        <v>#DIV/0!</v>
      </c>
      <c r="O9" s="53" t="e">
        <f t="shared" si="4"/>
        <v>#DIV/0!</v>
      </c>
      <c r="P9" s="69"/>
      <c r="Q9" s="69"/>
      <c r="R9" s="53" t="e">
        <f t="shared" si="5"/>
        <v>#DIV/0!</v>
      </c>
      <c r="S9" s="53" t="e">
        <f t="shared" si="6"/>
        <v>#DIV/0!</v>
      </c>
      <c r="T9" s="53" t="e">
        <f t="shared" si="7"/>
        <v>#DIV/0!</v>
      </c>
      <c r="U9" s="53" t="e">
        <f t="shared" si="8"/>
        <v>#DIV/0!</v>
      </c>
      <c r="V9" s="53" t="e">
        <f>V8+ATM_Conf!$C$5*(Nodes!AL8)/('Off-Ramp'!K194*AA194)</f>
        <v>#DIV/0!</v>
      </c>
      <c r="W9" s="53" t="e">
        <f>W8+ATM_Conf!$C$5*(Nodes!AM8)/('Off-Ramp'!L194*AB194)</f>
        <v>#DIV/0!</v>
      </c>
      <c r="X9" s="53" t="e">
        <f>X8+ATM_Conf!$C$5*(Nodes!AN8)/('Off-Ramp'!M194*AC194)</f>
        <v>#DIV/0!</v>
      </c>
      <c r="Y9" s="53" t="e">
        <f>Y8+ATM_Conf!$C$5*(Nodes!AO8)/('Off-Ramp'!N194*AD194)</f>
        <v>#DIV/0!</v>
      </c>
      <c r="Z9" s="53" t="e">
        <f>Z8+ATM_Conf!$C$5*(Nodes!AP8)/('Off-Ramp'!O194*AE194)</f>
        <v>#DIV/0!</v>
      </c>
      <c r="AA9" s="53" t="e">
        <f>AA8+ATM_Conf!$C$5*(Nodes!AQ8)/('Off-Ramp'!P194*AF194)</f>
        <v>#DIV/0!</v>
      </c>
    </row>
    <row r="10" spans="1:28" x14ac:dyDescent="0.15">
      <c r="A10" s="46">
        <v>8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53" t="e">
        <f t="shared" si="1"/>
        <v>#DIV/0!</v>
      </c>
      <c r="M10" s="53" t="e">
        <f t="shared" si="2"/>
        <v>#DIV/0!</v>
      </c>
      <c r="N10" s="53" t="e">
        <f t="shared" si="3"/>
        <v>#DIV/0!</v>
      </c>
      <c r="O10" s="53" t="e">
        <f t="shared" si="4"/>
        <v>#DIV/0!</v>
      </c>
      <c r="P10" s="69"/>
      <c r="Q10" s="69"/>
      <c r="R10" s="53" t="e">
        <f t="shared" si="5"/>
        <v>#DIV/0!</v>
      </c>
      <c r="S10" s="53" t="e">
        <f t="shared" si="6"/>
        <v>#DIV/0!</v>
      </c>
      <c r="T10" s="53" t="e">
        <f t="shared" si="7"/>
        <v>#DIV/0!</v>
      </c>
      <c r="U10" s="53" t="e">
        <f t="shared" si="8"/>
        <v>#DIV/0!</v>
      </c>
      <c r="V10" s="53" t="e">
        <f>V9+ATM_Conf!$C$5*(Nodes!AL9)/('Off-Ramp'!K195*AA195)</f>
        <v>#DIV/0!</v>
      </c>
      <c r="W10" s="53" t="e">
        <f>W9+ATM_Conf!$C$5*(Nodes!AM9)/('Off-Ramp'!L195*AB195)</f>
        <v>#DIV/0!</v>
      </c>
      <c r="X10" s="53" t="e">
        <f>X9+ATM_Conf!$C$5*(Nodes!AN9)/('Off-Ramp'!M195*AC195)</f>
        <v>#DIV/0!</v>
      </c>
      <c r="Y10" s="53" t="e">
        <f>Y9+ATM_Conf!$C$5*(Nodes!AO9)/('Off-Ramp'!N195*AD195)</f>
        <v>#DIV/0!</v>
      </c>
      <c r="Z10" s="53" t="e">
        <f>Z9+ATM_Conf!$C$5*(Nodes!AP9)/('Off-Ramp'!O195*AE195)</f>
        <v>#DIV/0!</v>
      </c>
      <c r="AA10" s="53" t="e">
        <f>AA9+ATM_Conf!$C$5*(Nodes!AQ9)/('Off-Ramp'!P195*AF195)</f>
        <v>#DIV/0!</v>
      </c>
    </row>
    <row r="11" spans="1:28" x14ac:dyDescent="0.15">
      <c r="A11" s="46">
        <v>9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53" t="e">
        <f t="shared" si="1"/>
        <v>#DIV/0!</v>
      </c>
      <c r="M11" s="53" t="e">
        <f t="shared" si="2"/>
        <v>#DIV/0!</v>
      </c>
      <c r="N11" s="53" t="e">
        <f t="shared" si="3"/>
        <v>#DIV/0!</v>
      </c>
      <c r="O11" s="53" t="e">
        <f t="shared" si="4"/>
        <v>#DIV/0!</v>
      </c>
      <c r="P11" s="69"/>
      <c r="Q11" s="69"/>
      <c r="R11" s="53" t="e">
        <f t="shared" si="5"/>
        <v>#DIV/0!</v>
      </c>
      <c r="S11" s="53" t="e">
        <f t="shared" si="6"/>
        <v>#DIV/0!</v>
      </c>
      <c r="T11" s="53" t="e">
        <f t="shared" si="7"/>
        <v>#DIV/0!</v>
      </c>
      <c r="U11" s="53" t="e">
        <f t="shared" si="8"/>
        <v>#DIV/0!</v>
      </c>
      <c r="V11" s="53" t="e">
        <f>V10+ATM_Conf!$C$5*(Nodes!AL10)/('Off-Ramp'!K196*AA196)</f>
        <v>#DIV/0!</v>
      </c>
      <c r="W11" s="53" t="e">
        <f>W10+ATM_Conf!$C$5*(Nodes!AM10)/('Off-Ramp'!L196*AB196)</f>
        <v>#DIV/0!</v>
      </c>
      <c r="X11" s="53" t="e">
        <f>X10+ATM_Conf!$C$5*(Nodes!AN10)/('Off-Ramp'!M196*AC196)</f>
        <v>#DIV/0!</v>
      </c>
      <c r="Y11" s="53" t="e">
        <f>Y10+ATM_Conf!$C$5*(Nodes!AO10)/('Off-Ramp'!N196*AD196)</f>
        <v>#DIV/0!</v>
      </c>
      <c r="Z11" s="53" t="e">
        <f>Z10+ATM_Conf!$C$5*(Nodes!AP10)/('Off-Ramp'!O196*AE196)</f>
        <v>#DIV/0!</v>
      </c>
      <c r="AA11" s="53" t="e">
        <f>AA10+ATM_Conf!$C$5*(Nodes!AQ10)/('Off-Ramp'!P196*AF196)</f>
        <v>#DIV/0!</v>
      </c>
    </row>
    <row r="12" spans="1:28" x14ac:dyDescent="0.15">
      <c r="A12" s="46">
        <v>10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53" t="e">
        <f t="shared" si="1"/>
        <v>#DIV/0!</v>
      </c>
      <c r="M12" s="53" t="e">
        <f t="shared" si="2"/>
        <v>#DIV/0!</v>
      </c>
      <c r="N12" s="53" t="e">
        <f t="shared" si="3"/>
        <v>#DIV/0!</v>
      </c>
      <c r="O12" s="53" t="e">
        <f t="shared" si="4"/>
        <v>#DIV/0!</v>
      </c>
      <c r="P12" s="69"/>
      <c r="Q12" s="69"/>
      <c r="R12" s="53" t="e">
        <f t="shared" si="5"/>
        <v>#DIV/0!</v>
      </c>
      <c r="S12" s="53" t="e">
        <f t="shared" si="6"/>
        <v>#DIV/0!</v>
      </c>
      <c r="T12" s="53" t="e">
        <f t="shared" si="7"/>
        <v>#DIV/0!</v>
      </c>
      <c r="U12" s="53" t="e">
        <f t="shared" si="8"/>
        <v>#DIV/0!</v>
      </c>
      <c r="V12" s="53" t="e">
        <f>V11+ATM_Conf!$C$5*(Nodes!AL11)/('Off-Ramp'!K197*AA197)</f>
        <v>#DIV/0!</v>
      </c>
      <c r="W12" s="53" t="e">
        <f>W11+ATM_Conf!$C$5*(Nodes!AM11)/('Off-Ramp'!L197*AB197)</f>
        <v>#DIV/0!</v>
      </c>
      <c r="X12" s="53" t="e">
        <f>X11+ATM_Conf!$C$5*(Nodes!AN11)/('Off-Ramp'!M197*AC197)</f>
        <v>#DIV/0!</v>
      </c>
      <c r="Y12" s="53" t="e">
        <f>Y11+ATM_Conf!$C$5*(Nodes!AO11)/('Off-Ramp'!N197*AD197)</f>
        <v>#DIV/0!</v>
      </c>
      <c r="Z12" s="53" t="e">
        <f>Z11+ATM_Conf!$C$5*(Nodes!AP11)/('Off-Ramp'!O197*AE197)</f>
        <v>#DIV/0!</v>
      </c>
      <c r="AA12" s="53" t="e">
        <f>AA11+ATM_Conf!$C$5*(Nodes!AQ11)/('Off-Ramp'!P197*AF197)</f>
        <v>#DIV/0!</v>
      </c>
    </row>
    <row r="13" spans="1:28" x14ac:dyDescent="0.15">
      <c r="A13" s="46">
        <v>11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53" t="e">
        <f t="shared" si="1"/>
        <v>#DIV/0!</v>
      </c>
      <c r="M13" s="53" t="e">
        <f t="shared" si="2"/>
        <v>#DIV/0!</v>
      </c>
      <c r="N13" s="53" t="e">
        <f t="shared" si="3"/>
        <v>#DIV/0!</v>
      </c>
      <c r="O13" s="53" t="e">
        <f t="shared" si="4"/>
        <v>#DIV/0!</v>
      </c>
      <c r="P13" s="69"/>
      <c r="Q13" s="69"/>
      <c r="R13" s="53" t="e">
        <f t="shared" si="5"/>
        <v>#DIV/0!</v>
      </c>
      <c r="S13" s="53" t="e">
        <f t="shared" si="6"/>
        <v>#DIV/0!</v>
      </c>
      <c r="T13" s="53" t="e">
        <f t="shared" si="7"/>
        <v>#DIV/0!</v>
      </c>
      <c r="U13" s="53" t="e">
        <f t="shared" si="8"/>
        <v>#DIV/0!</v>
      </c>
      <c r="V13" s="53" t="e">
        <f>V12+ATM_Conf!$C$5*(Nodes!AL12)/('Off-Ramp'!K198*AA198)</f>
        <v>#DIV/0!</v>
      </c>
      <c r="W13" s="53" t="e">
        <f>W12+ATM_Conf!$C$5*(Nodes!AM12)/('Off-Ramp'!L198*AB198)</f>
        <v>#DIV/0!</v>
      </c>
      <c r="X13" s="53" t="e">
        <f>X12+ATM_Conf!$C$5*(Nodes!AN12)/('Off-Ramp'!M198*AC198)</f>
        <v>#DIV/0!</v>
      </c>
      <c r="Y13" s="53" t="e">
        <f>Y12+ATM_Conf!$C$5*(Nodes!AO12)/('Off-Ramp'!N198*AD198)</f>
        <v>#DIV/0!</v>
      </c>
      <c r="Z13" s="53" t="e">
        <f>Z12+ATM_Conf!$C$5*(Nodes!AP12)/('Off-Ramp'!O198*AE198)</f>
        <v>#DIV/0!</v>
      </c>
      <c r="AA13" s="53" t="e">
        <f>AA12+ATM_Conf!$C$5*(Nodes!AQ12)/('Off-Ramp'!P198*AF198)</f>
        <v>#DIV/0!</v>
      </c>
    </row>
    <row r="14" spans="1:28" x14ac:dyDescent="0.15">
      <c r="A14" s="46">
        <v>12</v>
      </c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53" t="e">
        <f t="shared" si="1"/>
        <v>#DIV/0!</v>
      </c>
      <c r="M14" s="53" t="e">
        <f t="shared" si="2"/>
        <v>#DIV/0!</v>
      </c>
      <c r="N14" s="53" t="e">
        <f t="shared" si="3"/>
        <v>#DIV/0!</v>
      </c>
      <c r="O14" s="53" t="e">
        <f t="shared" si="4"/>
        <v>#DIV/0!</v>
      </c>
      <c r="P14" s="69"/>
      <c r="Q14" s="69"/>
      <c r="R14" s="53" t="e">
        <f t="shared" si="5"/>
        <v>#DIV/0!</v>
      </c>
      <c r="S14" s="53" t="e">
        <f t="shared" si="6"/>
        <v>#DIV/0!</v>
      </c>
      <c r="T14" s="53" t="e">
        <f t="shared" si="7"/>
        <v>#DIV/0!</v>
      </c>
      <c r="U14" s="53" t="e">
        <f t="shared" si="8"/>
        <v>#DIV/0!</v>
      </c>
      <c r="V14" s="53" t="e">
        <f>V13+ATM_Conf!$C$5*(Nodes!AL13)/('Off-Ramp'!K199*AA199)</f>
        <v>#DIV/0!</v>
      </c>
      <c r="W14" s="53" t="e">
        <f>W13+ATM_Conf!$C$5*(Nodes!AM13)/('Off-Ramp'!L199*AB199)</f>
        <v>#DIV/0!</v>
      </c>
      <c r="X14" s="53" t="e">
        <f>X13+ATM_Conf!$C$5*(Nodes!AN13)/('Off-Ramp'!M199*AC199)</f>
        <v>#DIV/0!</v>
      </c>
      <c r="Y14" s="53" t="e">
        <f>Y13+ATM_Conf!$C$5*(Nodes!AO13)/('Off-Ramp'!N199*AD199)</f>
        <v>#DIV/0!</v>
      </c>
      <c r="Z14" s="53" t="e">
        <f>Z13+ATM_Conf!$C$5*(Nodes!AP13)/('Off-Ramp'!O199*AE199)</f>
        <v>#DIV/0!</v>
      </c>
      <c r="AA14" s="53" t="e">
        <f>AA13+ATM_Conf!$C$5*(Nodes!AQ13)/('Off-Ramp'!P199*AF199)</f>
        <v>#DIV/0!</v>
      </c>
    </row>
    <row r="15" spans="1:28" x14ac:dyDescent="0.15">
      <c r="A15" s="46">
        <v>13</v>
      </c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53" t="e">
        <f t="shared" si="1"/>
        <v>#DIV/0!</v>
      </c>
      <c r="M15" s="53" t="e">
        <f t="shared" si="2"/>
        <v>#DIV/0!</v>
      </c>
      <c r="N15" s="53" t="e">
        <f t="shared" si="3"/>
        <v>#DIV/0!</v>
      </c>
      <c r="O15" s="53" t="e">
        <f t="shared" si="4"/>
        <v>#DIV/0!</v>
      </c>
      <c r="P15" s="69"/>
      <c r="Q15" s="69"/>
      <c r="R15" s="53" t="e">
        <f t="shared" si="5"/>
        <v>#DIV/0!</v>
      </c>
      <c r="S15" s="53" t="e">
        <f t="shared" si="6"/>
        <v>#DIV/0!</v>
      </c>
      <c r="T15" s="53" t="e">
        <f t="shared" si="7"/>
        <v>#DIV/0!</v>
      </c>
      <c r="U15" s="53" t="e">
        <f t="shared" si="8"/>
        <v>#DIV/0!</v>
      </c>
      <c r="V15" s="53" t="e">
        <f>V14+ATM_Conf!$C$5*(Nodes!AL14)/('Off-Ramp'!K200*AA200)</f>
        <v>#DIV/0!</v>
      </c>
      <c r="W15" s="53" t="e">
        <f>W14+ATM_Conf!$C$5*(Nodes!AM14)/('Off-Ramp'!L200*AB200)</f>
        <v>#DIV/0!</v>
      </c>
      <c r="X15" s="53" t="e">
        <f>X14+ATM_Conf!$C$5*(Nodes!AN14)/('Off-Ramp'!M200*AC200)</f>
        <v>#DIV/0!</v>
      </c>
      <c r="Y15" s="53" t="e">
        <f>Y14+ATM_Conf!$C$5*(Nodes!AO14)/('Off-Ramp'!N200*AD200)</f>
        <v>#DIV/0!</v>
      </c>
      <c r="Z15" s="53" t="e">
        <f>Z14+ATM_Conf!$C$5*(Nodes!AP14)/('Off-Ramp'!O200*AE200)</f>
        <v>#DIV/0!</v>
      </c>
      <c r="AA15" s="53" t="e">
        <f>AA14+ATM_Conf!$C$5*(Nodes!AQ14)/('Off-Ramp'!P200*AF200)</f>
        <v>#DIV/0!</v>
      </c>
    </row>
    <row r="16" spans="1:28" x14ac:dyDescent="0.15">
      <c r="A16" s="46">
        <v>14</v>
      </c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53" t="e">
        <f t="shared" si="1"/>
        <v>#DIV/0!</v>
      </c>
      <c r="M16" s="53" t="e">
        <f t="shared" si="2"/>
        <v>#DIV/0!</v>
      </c>
      <c r="N16" s="53" t="e">
        <f t="shared" si="3"/>
        <v>#DIV/0!</v>
      </c>
      <c r="O16" s="53" t="e">
        <f t="shared" si="4"/>
        <v>#DIV/0!</v>
      </c>
      <c r="P16" s="69"/>
      <c r="Q16" s="69"/>
      <c r="R16" s="53" t="e">
        <f t="shared" si="5"/>
        <v>#DIV/0!</v>
      </c>
      <c r="S16" s="53" t="e">
        <f t="shared" si="6"/>
        <v>#DIV/0!</v>
      </c>
      <c r="T16" s="53" t="e">
        <f t="shared" si="7"/>
        <v>#DIV/0!</v>
      </c>
      <c r="U16" s="53" t="e">
        <f t="shared" si="8"/>
        <v>#DIV/0!</v>
      </c>
      <c r="V16" s="53" t="e">
        <f>V15+ATM_Conf!$C$5*(Nodes!AL15)/('Off-Ramp'!K201*AA201)</f>
        <v>#DIV/0!</v>
      </c>
      <c r="W16" s="53" t="e">
        <f>W15+ATM_Conf!$C$5*(Nodes!AM15)/('Off-Ramp'!L201*AB201)</f>
        <v>#DIV/0!</v>
      </c>
      <c r="X16" s="53" t="e">
        <f>X15+ATM_Conf!$C$5*(Nodes!AN15)/('Off-Ramp'!M201*AC201)</f>
        <v>#DIV/0!</v>
      </c>
      <c r="Y16" s="53" t="e">
        <f>Y15+ATM_Conf!$C$5*(Nodes!AO15)/('Off-Ramp'!N201*AD201)</f>
        <v>#DIV/0!</v>
      </c>
      <c r="Z16" s="53" t="e">
        <f>Z15+ATM_Conf!$C$5*(Nodes!AP15)/('Off-Ramp'!O201*AE201)</f>
        <v>#DIV/0!</v>
      </c>
      <c r="AA16" s="53" t="e">
        <f>AA15+ATM_Conf!$C$5*(Nodes!AQ15)/('Off-Ramp'!P201*AF201)</f>
        <v>#DIV/0!</v>
      </c>
    </row>
    <row r="17" spans="1:27" x14ac:dyDescent="0.15">
      <c r="A17" s="46">
        <v>15</v>
      </c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53" t="e">
        <f t="shared" si="1"/>
        <v>#DIV/0!</v>
      </c>
      <c r="M17" s="53" t="e">
        <f t="shared" si="2"/>
        <v>#DIV/0!</v>
      </c>
      <c r="N17" s="53" t="e">
        <f t="shared" si="3"/>
        <v>#DIV/0!</v>
      </c>
      <c r="O17" s="53" t="e">
        <f t="shared" si="4"/>
        <v>#DIV/0!</v>
      </c>
      <c r="P17" s="69"/>
      <c r="Q17" s="69"/>
      <c r="R17" s="53" t="e">
        <f t="shared" si="5"/>
        <v>#DIV/0!</v>
      </c>
      <c r="S17" s="53" t="e">
        <f t="shared" si="6"/>
        <v>#DIV/0!</v>
      </c>
      <c r="T17" s="53" t="e">
        <f t="shared" si="7"/>
        <v>#DIV/0!</v>
      </c>
      <c r="U17" s="53" t="e">
        <f t="shared" si="8"/>
        <v>#DIV/0!</v>
      </c>
      <c r="V17" s="53" t="e">
        <f>V16+ATM_Conf!$C$5*(Nodes!AL16)/('Off-Ramp'!K202*AA202)</f>
        <v>#DIV/0!</v>
      </c>
      <c r="W17" s="53" t="e">
        <f>W16+ATM_Conf!$C$5*(Nodes!AM16)/('Off-Ramp'!L202*AB202)</f>
        <v>#DIV/0!</v>
      </c>
      <c r="X17" s="53" t="e">
        <f>X16+ATM_Conf!$C$5*(Nodes!AN16)/('Off-Ramp'!M202*AC202)</f>
        <v>#DIV/0!</v>
      </c>
      <c r="Y17" s="53" t="e">
        <f>Y16+ATM_Conf!$C$5*(Nodes!AO16)/('Off-Ramp'!N202*AD202)</f>
        <v>#DIV/0!</v>
      </c>
      <c r="Z17" s="53" t="e">
        <f>Z16+ATM_Conf!$C$5*(Nodes!AP16)/('Off-Ramp'!O202*AE202)</f>
        <v>#DIV/0!</v>
      </c>
      <c r="AA17" s="53" t="e">
        <f>AA16+ATM_Conf!$C$5*(Nodes!AQ16)/('Off-Ramp'!P202*AF202)</f>
        <v>#DIV/0!</v>
      </c>
    </row>
    <row r="18" spans="1:27" x14ac:dyDescent="0.15">
      <c r="A18" s="46">
        <v>16</v>
      </c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53" t="e">
        <f t="shared" si="1"/>
        <v>#DIV/0!</v>
      </c>
      <c r="M18" s="53" t="e">
        <f t="shared" si="2"/>
        <v>#DIV/0!</v>
      </c>
      <c r="N18" s="53" t="e">
        <f t="shared" si="3"/>
        <v>#DIV/0!</v>
      </c>
      <c r="O18" s="53" t="e">
        <f t="shared" si="4"/>
        <v>#DIV/0!</v>
      </c>
      <c r="P18" s="69"/>
      <c r="Q18" s="69"/>
      <c r="R18" s="53" t="e">
        <f t="shared" si="5"/>
        <v>#DIV/0!</v>
      </c>
      <c r="S18" s="53" t="e">
        <f t="shared" si="6"/>
        <v>#DIV/0!</v>
      </c>
      <c r="T18" s="53" t="e">
        <f t="shared" si="7"/>
        <v>#DIV/0!</v>
      </c>
      <c r="U18" s="53" t="e">
        <f t="shared" si="8"/>
        <v>#DIV/0!</v>
      </c>
      <c r="V18" s="53" t="e">
        <f>V17+ATM_Conf!$C$5*(Nodes!AL17)/('Off-Ramp'!K203*AA203)</f>
        <v>#DIV/0!</v>
      </c>
      <c r="W18" s="53" t="e">
        <f>W17+ATM_Conf!$C$5*(Nodes!AM17)/('Off-Ramp'!L203*AB203)</f>
        <v>#DIV/0!</v>
      </c>
      <c r="X18" s="53" t="e">
        <f>X17+ATM_Conf!$C$5*(Nodes!AN17)/('Off-Ramp'!M203*AC203)</f>
        <v>#DIV/0!</v>
      </c>
      <c r="Y18" s="53" t="e">
        <f>Y17+ATM_Conf!$C$5*(Nodes!AO17)/('Off-Ramp'!N203*AD203)</f>
        <v>#DIV/0!</v>
      </c>
      <c r="Z18" s="53" t="e">
        <f>Z17+ATM_Conf!$C$5*(Nodes!AP17)/('Off-Ramp'!O203*AE203)</f>
        <v>#DIV/0!</v>
      </c>
      <c r="AA18" s="53" t="e">
        <f>AA17+ATM_Conf!$C$5*(Nodes!AQ17)/('Off-Ramp'!P203*AF203)</f>
        <v>#DIV/0!</v>
      </c>
    </row>
    <row r="19" spans="1:27" x14ac:dyDescent="0.15">
      <c r="A19" s="46">
        <v>17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53" t="e">
        <f t="shared" si="1"/>
        <v>#DIV/0!</v>
      </c>
      <c r="M19" s="53" t="e">
        <f t="shared" si="2"/>
        <v>#DIV/0!</v>
      </c>
      <c r="N19" s="53" t="e">
        <f t="shared" si="3"/>
        <v>#DIV/0!</v>
      </c>
      <c r="O19" s="53" t="e">
        <f t="shared" si="4"/>
        <v>#DIV/0!</v>
      </c>
      <c r="P19" s="69"/>
      <c r="Q19" s="69"/>
      <c r="R19" s="53" t="e">
        <f t="shared" si="5"/>
        <v>#DIV/0!</v>
      </c>
      <c r="S19" s="53" t="e">
        <f t="shared" si="6"/>
        <v>#DIV/0!</v>
      </c>
      <c r="T19" s="53" t="e">
        <f t="shared" si="7"/>
        <v>#DIV/0!</v>
      </c>
      <c r="U19" s="53" t="e">
        <f t="shared" si="8"/>
        <v>#DIV/0!</v>
      </c>
      <c r="V19" s="53" t="e">
        <f>V18+ATM_Conf!$C$5*(Nodes!AL18)/('Off-Ramp'!K204*AA204)</f>
        <v>#DIV/0!</v>
      </c>
      <c r="W19" s="53" t="e">
        <f>W18+ATM_Conf!$C$5*(Nodes!AM18)/('Off-Ramp'!L204*AB204)</f>
        <v>#DIV/0!</v>
      </c>
      <c r="X19" s="53" t="e">
        <f>X18+ATM_Conf!$C$5*(Nodes!AN18)/('Off-Ramp'!M204*AC204)</f>
        <v>#DIV/0!</v>
      </c>
      <c r="Y19" s="53" t="e">
        <f>Y18+ATM_Conf!$C$5*(Nodes!AO18)/('Off-Ramp'!N204*AD204)</f>
        <v>#DIV/0!</v>
      </c>
      <c r="Z19" s="53" t="e">
        <f>Z18+ATM_Conf!$C$5*(Nodes!AP18)/('Off-Ramp'!O204*AE204)</f>
        <v>#DIV/0!</v>
      </c>
      <c r="AA19" s="53" t="e">
        <f>AA18+ATM_Conf!$C$5*(Nodes!AQ18)/('Off-Ramp'!P204*AF204)</f>
        <v>#DIV/0!</v>
      </c>
    </row>
    <row r="20" spans="1:27" x14ac:dyDescent="0.15">
      <c r="A20" s="46">
        <v>18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53" t="e">
        <f t="shared" si="1"/>
        <v>#DIV/0!</v>
      </c>
      <c r="M20" s="53" t="e">
        <f t="shared" si="2"/>
        <v>#DIV/0!</v>
      </c>
      <c r="N20" s="53" t="e">
        <f t="shared" si="3"/>
        <v>#DIV/0!</v>
      </c>
      <c r="O20" s="53" t="e">
        <f t="shared" si="4"/>
        <v>#DIV/0!</v>
      </c>
      <c r="P20" s="69"/>
      <c r="Q20" s="69"/>
      <c r="R20" s="53" t="e">
        <f t="shared" si="5"/>
        <v>#DIV/0!</v>
      </c>
      <c r="S20" s="53" t="e">
        <f t="shared" si="6"/>
        <v>#DIV/0!</v>
      </c>
      <c r="T20" s="53" t="e">
        <f t="shared" si="7"/>
        <v>#DIV/0!</v>
      </c>
      <c r="U20" s="53" t="e">
        <f t="shared" si="8"/>
        <v>#DIV/0!</v>
      </c>
      <c r="V20" s="53" t="e">
        <f>V19+ATM_Conf!$C$5*(Nodes!AL19)/('Off-Ramp'!K205*AA205)</f>
        <v>#DIV/0!</v>
      </c>
      <c r="W20" s="53" t="e">
        <f>W19+ATM_Conf!$C$5*(Nodes!AM19)/('Off-Ramp'!L205*AB205)</f>
        <v>#DIV/0!</v>
      </c>
      <c r="X20" s="53" t="e">
        <f>X19+ATM_Conf!$C$5*(Nodes!AN19)/('Off-Ramp'!M205*AC205)</f>
        <v>#DIV/0!</v>
      </c>
      <c r="Y20" s="53" t="e">
        <f>Y19+ATM_Conf!$C$5*(Nodes!AO19)/('Off-Ramp'!N205*AD205)</f>
        <v>#DIV/0!</v>
      </c>
      <c r="Z20" s="53" t="e">
        <f>Z19+ATM_Conf!$C$5*(Nodes!AP19)/('Off-Ramp'!O205*AE205)</f>
        <v>#DIV/0!</v>
      </c>
      <c r="AA20" s="53" t="e">
        <f>AA19+ATM_Conf!$C$5*(Nodes!AQ19)/('Off-Ramp'!P205*AF205)</f>
        <v>#DIV/0!</v>
      </c>
    </row>
    <row r="21" spans="1:27" x14ac:dyDescent="0.15">
      <c r="A21" s="46">
        <v>19</v>
      </c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53" t="e">
        <f t="shared" si="1"/>
        <v>#DIV/0!</v>
      </c>
      <c r="M21" s="53" t="e">
        <f t="shared" si="2"/>
        <v>#DIV/0!</v>
      </c>
      <c r="N21" s="53" t="e">
        <f t="shared" si="3"/>
        <v>#DIV/0!</v>
      </c>
      <c r="O21" s="53" t="e">
        <f t="shared" si="4"/>
        <v>#DIV/0!</v>
      </c>
      <c r="P21" s="69"/>
      <c r="Q21" s="69"/>
      <c r="R21" s="53" t="e">
        <f t="shared" si="5"/>
        <v>#DIV/0!</v>
      </c>
      <c r="S21" s="53" t="e">
        <f t="shared" si="6"/>
        <v>#DIV/0!</v>
      </c>
      <c r="T21" s="53" t="e">
        <f t="shared" si="7"/>
        <v>#DIV/0!</v>
      </c>
      <c r="U21" s="53" t="e">
        <f t="shared" si="8"/>
        <v>#DIV/0!</v>
      </c>
      <c r="V21" s="53" t="e">
        <f>V20+ATM_Conf!$C$5*(Nodes!AL20)/('Off-Ramp'!K206*AA206)</f>
        <v>#DIV/0!</v>
      </c>
      <c r="W21" s="53" t="e">
        <f>W20+ATM_Conf!$C$5*(Nodes!AM20)/('Off-Ramp'!L206*AB206)</f>
        <v>#DIV/0!</v>
      </c>
      <c r="X21" s="53" t="e">
        <f>X20+ATM_Conf!$C$5*(Nodes!AN20)/('Off-Ramp'!M206*AC206)</f>
        <v>#DIV/0!</v>
      </c>
      <c r="Y21" s="53" t="e">
        <f>Y20+ATM_Conf!$C$5*(Nodes!AO20)/('Off-Ramp'!N206*AD206)</f>
        <v>#DIV/0!</v>
      </c>
      <c r="Z21" s="53" t="e">
        <f>Z20+ATM_Conf!$C$5*(Nodes!AP20)/('Off-Ramp'!O206*AE206)</f>
        <v>#DIV/0!</v>
      </c>
      <c r="AA21" s="53" t="e">
        <f>AA20+ATM_Conf!$C$5*(Nodes!AQ20)/('Off-Ramp'!P206*AF206)</f>
        <v>#DIV/0!</v>
      </c>
    </row>
    <row r="22" spans="1:27" x14ac:dyDescent="0.15">
      <c r="A22" s="46">
        <v>20</v>
      </c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53" t="e">
        <f t="shared" si="1"/>
        <v>#DIV/0!</v>
      </c>
      <c r="M22" s="53" t="e">
        <f t="shared" si="2"/>
        <v>#DIV/0!</v>
      </c>
      <c r="N22" s="53" t="e">
        <f t="shared" si="3"/>
        <v>#DIV/0!</v>
      </c>
      <c r="O22" s="53" t="e">
        <f t="shared" si="4"/>
        <v>#DIV/0!</v>
      </c>
      <c r="P22" s="69"/>
      <c r="Q22" s="69"/>
      <c r="R22" s="53" t="e">
        <f t="shared" si="5"/>
        <v>#DIV/0!</v>
      </c>
      <c r="S22" s="53" t="e">
        <f t="shared" si="6"/>
        <v>#DIV/0!</v>
      </c>
      <c r="T22" s="53" t="e">
        <f t="shared" si="7"/>
        <v>#DIV/0!</v>
      </c>
      <c r="U22" s="53" t="e">
        <f t="shared" si="8"/>
        <v>#DIV/0!</v>
      </c>
      <c r="V22" s="53" t="e">
        <f>V21+ATM_Conf!$C$5*(Nodes!AL21)/('Off-Ramp'!K207*AA207)</f>
        <v>#DIV/0!</v>
      </c>
      <c r="W22" s="53" t="e">
        <f>W21+ATM_Conf!$C$5*(Nodes!AM21)/('Off-Ramp'!L207*AB207)</f>
        <v>#DIV/0!</v>
      </c>
      <c r="X22" s="53" t="e">
        <f>X21+ATM_Conf!$C$5*(Nodes!AN21)/('Off-Ramp'!M207*AC207)</f>
        <v>#DIV/0!</v>
      </c>
      <c r="Y22" s="53" t="e">
        <f>Y21+ATM_Conf!$C$5*(Nodes!AO21)/('Off-Ramp'!N207*AD207)</f>
        <v>#DIV/0!</v>
      </c>
      <c r="Z22" s="53" t="e">
        <f>Z21+ATM_Conf!$C$5*(Nodes!AP21)/('Off-Ramp'!O207*AE207)</f>
        <v>#DIV/0!</v>
      </c>
      <c r="AA22" s="53" t="e">
        <f>AA21+ATM_Conf!$C$5*(Nodes!AQ21)/('Off-Ramp'!P207*AF207)</f>
        <v>#DIV/0!</v>
      </c>
    </row>
    <row r="23" spans="1:27" x14ac:dyDescent="0.15">
      <c r="A23" s="46">
        <v>21</v>
      </c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53" t="e">
        <f t="shared" si="1"/>
        <v>#DIV/0!</v>
      </c>
      <c r="M23" s="53" t="e">
        <f t="shared" si="2"/>
        <v>#DIV/0!</v>
      </c>
      <c r="N23" s="53" t="e">
        <f t="shared" si="3"/>
        <v>#DIV/0!</v>
      </c>
      <c r="O23" s="53" t="e">
        <f t="shared" si="4"/>
        <v>#DIV/0!</v>
      </c>
      <c r="P23" s="69"/>
      <c r="Q23" s="69"/>
      <c r="R23" s="53" t="e">
        <f t="shared" si="5"/>
        <v>#DIV/0!</v>
      </c>
      <c r="S23" s="53" t="e">
        <f t="shared" si="6"/>
        <v>#DIV/0!</v>
      </c>
      <c r="T23" s="53" t="e">
        <f t="shared" si="7"/>
        <v>#DIV/0!</v>
      </c>
      <c r="U23" s="53" t="e">
        <f t="shared" si="8"/>
        <v>#DIV/0!</v>
      </c>
      <c r="V23" s="53" t="e">
        <f>V22+ATM_Conf!$C$5*(Nodes!AL22)/('Off-Ramp'!K208*AA208)</f>
        <v>#DIV/0!</v>
      </c>
      <c r="W23" s="53" t="e">
        <f>W22+ATM_Conf!$C$5*(Nodes!AM22)/('Off-Ramp'!L208*AB208)</f>
        <v>#DIV/0!</v>
      </c>
      <c r="X23" s="53" t="e">
        <f>X22+ATM_Conf!$C$5*(Nodes!AN22)/('Off-Ramp'!M208*AC208)</f>
        <v>#DIV/0!</v>
      </c>
      <c r="Y23" s="53" t="e">
        <f>Y22+ATM_Conf!$C$5*(Nodes!AO22)/('Off-Ramp'!N208*AD208)</f>
        <v>#DIV/0!</v>
      </c>
      <c r="Z23" s="53" t="e">
        <f>Z22+ATM_Conf!$C$5*(Nodes!AP22)/('Off-Ramp'!O208*AE208)</f>
        <v>#DIV/0!</v>
      </c>
      <c r="AA23" s="53" t="e">
        <f>AA22+ATM_Conf!$C$5*(Nodes!AQ22)/('Off-Ramp'!P208*AF208)</f>
        <v>#DIV/0!</v>
      </c>
    </row>
    <row r="24" spans="1:27" x14ac:dyDescent="0.15">
      <c r="A24" s="46">
        <v>22</v>
      </c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53" t="e">
        <f t="shared" si="1"/>
        <v>#DIV/0!</v>
      </c>
      <c r="M24" s="53" t="e">
        <f t="shared" si="2"/>
        <v>#DIV/0!</v>
      </c>
      <c r="N24" s="53" t="e">
        <f t="shared" si="3"/>
        <v>#DIV/0!</v>
      </c>
      <c r="O24" s="53" t="e">
        <f t="shared" si="4"/>
        <v>#DIV/0!</v>
      </c>
      <c r="P24" s="69"/>
      <c r="Q24" s="69"/>
      <c r="R24" s="53" t="e">
        <f t="shared" si="5"/>
        <v>#DIV/0!</v>
      </c>
      <c r="S24" s="53" t="e">
        <f t="shared" si="6"/>
        <v>#DIV/0!</v>
      </c>
      <c r="T24" s="53" t="e">
        <f t="shared" si="7"/>
        <v>#DIV/0!</v>
      </c>
      <c r="U24" s="53" t="e">
        <f t="shared" si="8"/>
        <v>#DIV/0!</v>
      </c>
      <c r="V24" s="53" t="e">
        <f>V23+ATM_Conf!$C$5*(Nodes!AL23)/('Off-Ramp'!K209*AA209)</f>
        <v>#DIV/0!</v>
      </c>
      <c r="W24" s="53" t="e">
        <f>W23+ATM_Conf!$C$5*(Nodes!AM23)/('Off-Ramp'!L209*AB209)</f>
        <v>#DIV/0!</v>
      </c>
      <c r="X24" s="53" t="e">
        <f>X23+ATM_Conf!$C$5*(Nodes!AN23)/('Off-Ramp'!M209*AC209)</f>
        <v>#DIV/0!</v>
      </c>
      <c r="Y24" s="53" t="e">
        <f>Y23+ATM_Conf!$C$5*(Nodes!AO23)/('Off-Ramp'!N209*AD209)</f>
        <v>#DIV/0!</v>
      </c>
      <c r="Z24" s="53" t="e">
        <f>Z23+ATM_Conf!$C$5*(Nodes!AP23)/('Off-Ramp'!O209*AE209)</f>
        <v>#DIV/0!</v>
      </c>
      <c r="AA24" s="53" t="e">
        <f>AA23+ATM_Conf!$C$5*(Nodes!AQ23)/('Off-Ramp'!P209*AF209)</f>
        <v>#DIV/0!</v>
      </c>
    </row>
    <row r="25" spans="1:27" x14ac:dyDescent="0.15">
      <c r="A25" s="46">
        <v>23</v>
      </c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53" t="e">
        <f t="shared" si="1"/>
        <v>#DIV/0!</v>
      </c>
      <c r="M25" s="53" t="e">
        <f t="shared" si="2"/>
        <v>#DIV/0!</v>
      </c>
      <c r="N25" s="53" t="e">
        <f t="shared" si="3"/>
        <v>#DIV/0!</v>
      </c>
      <c r="O25" s="53" t="e">
        <f t="shared" si="4"/>
        <v>#DIV/0!</v>
      </c>
      <c r="P25" s="69"/>
      <c r="Q25" s="69"/>
      <c r="R25" s="53" t="e">
        <f t="shared" si="5"/>
        <v>#DIV/0!</v>
      </c>
      <c r="S25" s="53" t="e">
        <f t="shared" si="6"/>
        <v>#DIV/0!</v>
      </c>
      <c r="T25" s="53" t="e">
        <f t="shared" si="7"/>
        <v>#DIV/0!</v>
      </c>
      <c r="U25" s="53" t="e">
        <f t="shared" si="8"/>
        <v>#DIV/0!</v>
      </c>
      <c r="V25" s="53" t="e">
        <f>V24+ATM_Conf!$C$5*(Nodes!AL24)/('Off-Ramp'!K210*AA210)</f>
        <v>#DIV/0!</v>
      </c>
      <c r="W25" s="53" t="e">
        <f>W24+ATM_Conf!$C$5*(Nodes!AM24)/('Off-Ramp'!L210*AB210)</f>
        <v>#DIV/0!</v>
      </c>
      <c r="X25" s="53" t="e">
        <f>X24+ATM_Conf!$C$5*(Nodes!AN24)/('Off-Ramp'!M210*AC210)</f>
        <v>#DIV/0!</v>
      </c>
      <c r="Y25" s="53" t="e">
        <f>Y24+ATM_Conf!$C$5*(Nodes!AO24)/('Off-Ramp'!N210*AD210)</f>
        <v>#DIV/0!</v>
      </c>
      <c r="Z25" s="53" t="e">
        <f>Z24+ATM_Conf!$C$5*(Nodes!AP24)/('Off-Ramp'!O210*AE210)</f>
        <v>#DIV/0!</v>
      </c>
      <c r="AA25" s="53" t="e">
        <f>AA24+ATM_Conf!$C$5*(Nodes!AQ24)/('Off-Ramp'!P210*AF210)</f>
        <v>#DIV/0!</v>
      </c>
    </row>
    <row r="26" spans="1:27" x14ac:dyDescent="0.15">
      <c r="A26" s="46">
        <v>24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53" t="e">
        <f t="shared" si="1"/>
        <v>#DIV/0!</v>
      </c>
      <c r="M26" s="53" t="e">
        <f t="shared" si="2"/>
        <v>#DIV/0!</v>
      </c>
      <c r="N26" s="53" t="e">
        <f t="shared" si="3"/>
        <v>#DIV/0!</v>
      </c>
      <c r="O26" s="53" t="e">
        <f t="shared" si="4"/>
        <v>#DIV/0!</v>
      </c>
      <c r="P26" s="69"/>
      <c r="Q26" s="69"/>
      <c r="R26" s="53" t="e">
        <f t="shared" si="5"/>
        <v>#DIV/0!</v>
      </c>
      <c r="S26" s="53" t="e">
        <f t="shared" si="6"/>
        <v>#DIV/0!</v>
      </c>
      <c r="T26" s="53" t="e">
        <f t="shared" si="7"/>
        <v>#DIV/0!</v>
      </c>
      <c r="U26" s="53" t="e">
        <f t="shared" si="8"/>
        <v>#DIV/0!</v>
      </c>
      <c r="V26" s="53" t="e">
        <f>V25+ATM_Conf!$C$5*(Nodes!AL25)/('Off-Ramp'!K211*AA211)</f>
        <v>#DIV/0!</v>
      </c>
      <c r="W26" s="53" t="e">
        <f>W25+ATM_Conf!$C$5*(Nodes!AM25)/('Off-Ramp'!L211*AB211)</f>
        <v>#DIV/0!</v>
      </c>
      <c r="X26" s="53" t="e">
        <f>X25+ATM_Conf!$C$5*(Nodes!AN25)/('Off-Ramp'!M211*AC211)</f>
        <v>#DIV/0!</v>
      </c>
      <c r="Y26" s="53" t="e">
        <f>Y25+ATM_Conf!$C$5*(Nodes!AO25)/('Off-Ramp'!N211*AD211)</f>
        <v>#DIV/0!</v>
      </c>
      <c r="Z26" s="53" t="e">
        <f>Z25+ATM_Conf!$C$5*(Nodes!AP25)/('Off-Ramp'!O211*AE211)</f>
        <v>#DIV/0!</v>
      </c>
      <c r="AA26" s="53" t="e">
        <f>AA25+ATM_Conf!$C$5*(Nodes!AQ25)/('Off-Ramp'!P211*AF211)</f>
        <v>#DIV/0!</v>
      </c>
    </row>
    <row r="27" spans="1:27" x14ac:dyDescent="0.15">
      <c r="A27" s="46">
        <v>25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53" t="e">
        <f t="shared" si="1"/>
        <v>#DIV/0!</v>
      </c>
      <c r="M27" s="53" t="e">
        <f t="shared" si="2"/>
        <v>#DIV/0!</v>
      </c>
      <c r="N27" s="53" t="e">
        <f t="shared" si="3"/>
        <v>#DIV/0!</v>
      </c>
      <c r="O27" s="53" t="e">
        <f t="shared" si="4"/>
        <v>#DIV/0!</v>
      </c>
      <c r="P27" s="69"/>
      <c r="Q27" s="69"/>
      <c r="R27" s="53" t="e">
        <f t="shared" si="5"/>
        <v>#DIV/0!</v>
      </c>
      <c r="S27" s="53" t="e">
        <f t="shared" si="6"/>
        <v>#DIV/0!</v>
      </c>
      <c r="T27" s="53" t="e">
        <f t="shared" si="7"/>
        <v>#DIV/0!</v>
      </c>
      <c r="U27" s="53" t="e">
        <f t="shared" si="8"/>
        <v>#DIV/0!</v>
      </c>
      <c r="V27" s="53" t="e">
        <f>V26+ATM_Conf!$C$5*(Nodes!AL26)/('Off-Ramp'!K212*AA212)</f>
        <v>#DIV/0!</v>
      </c>
      <c r="W27" s="53" t="e">
        <f>W26+ATM_Conf!$C$5*(Nodes!AM26)/('Off-Ramp'!L212*AB212)</f>
        <v>#DIV/0!</v>
      </c>
      <c r="X27" s="53" t="e">
        <f>X26+ATM_Conf!$C$5*(Nodes!AN26)/('Off-Ramp'!M212*AC212)</f>
        <v>#DIV/0!</v>
      </c>
      <c r="Y27" s="53" t="e">
        <f>Y26+ATM_Conf!$C$5*(Nodes!AO26)/('Off-Ramp'!N212*AD212)</f>
        <v>#DIV/0!</v>
      </c>
      <c r="Z27" s="53" t="e">
        <f>Z26+ATM_Conf!$C$5*(Nodes!AP26)/('Off-Ramp'!O212*AE212)</f>
        <v>#DIV/0!</v>
      </c>
      <c r="AA27" s="53" t="e">
        <f>AA26+ATM_Conf!$C$5*(Nodes!AQ26)/('Off-Ramp'!P212*AF212)</f>
        <v>#DIV/0!</v>
      </c>
    </row>
    <row r="28" spans="1:27" x14ac:dyDescent="0.15">
      <c r="A28" s="46">
        <v>26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53" t="e">
        <f t="shared" si="1"/>
        <v>#DIV/0!</v>
      </c>
      <c r="M28" s="53" t="e">
        <f t="shared" si="2"/>
        <v>#DIV/0!</v>
      </c>
      <c r="N28" s="53" t="e">
        <f t="shared" si="3"/>
        <v>#DIV/0!</v>
      </c>
      <c r="O28" s="53" t="e">
        <f t="shared" si="4"/>
        <v>#DIV/0!</v>
      </c>
      <c r="P28" s="69"/>
      <c r="Q28" s="69"/>
      <c r="R28" s="53" t="e">
        <f t="shared" si="5"/>
        <v>#DIV/0!</v>
      </c>
      <c r="S28" s="53" t="e">
        <f t="shared" si="6"/>
        <v>#DIV/0!</v>
      </c>
      <c r="T28" s="53" t="e">
        <f t="shared" si="7"/>
        <v>#DIV/0!</v>
      </c>
      <c r="U28" s="53" t="e">
        <f t="shared" si="8"/>
        <v>#DIV/0!</v>
      </c>
      <c r="V28" s="53" t="e">
        <f>V27+ATM_Conf!$C$5*(Nodes!AL27)/('Off-Ramp'!K213*AA213)</f>
        <v>#DIV/0!</v>
      </c>
      <c r="W28" s="53" t="e">
        <f>W27+ATM_Conf!$C$5*(Nodes!AM27)/('Off-Ramp'!L213*AB213)</f>
        <v>#DIV/0!</v>
      </c>
      <c r="X28" s="53" t="e">
        <f>X27+ATM_Conf!$C$5*(Nodes!AN27)/('Off-Ramp'!M213*AC213)</f>
        <v>#DIV/0!</v>
      </c>
      <c r="Y28" s="53" t="e">
        <f>Y27+ATM_Conf!$C$5*(Nodes!AO27)/('Off-Ramp'!N213*AD213)</f>
        <v>#DIV/0!</v>
      </c>
      <c r="Z28" s="53" t="e">
        <f>Z27+ATM_Conf!$C$5*(Nodes!AP27)/('Off-Ramp'!O213*AE213)</f>
        <v>#DIV/0!</v>
      </c>
      <c r="AA28" s="53" t="e">
        <f>AA27+ATM_Conf!$C$5*(Nodes!AQ27)/('Off-Ramp'!P213*AF213)</f>
        <v>#DIV/0!</v>
      </c>
    </row>
    <row r="29" spans="1:27" x14ac:dyDescent="0.15">
      <c r="A29" s="46">
        <v>27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53" t="e">
        <f t="shared" si="1"/>
        <v>#DIV/0!</v>
      </c>
      <c r="M29" s="53" t="e">
        <f t="shared" si="2"/>
        <v>#DIV/0!</v>
      </c>
      <c r="N29" s="53" t="e">
        <f t="shared" si="3"/>
        <v>#DIV/0!</v>
      </c>
      <c r="O29" s="53" t="e">
        <f t="shared" si="4"/>
        <v>#DIV/0!</v>
      </c>
      <c r="P29" s="69"/>
      <c r="Q29" s="69"/>
      <c r="R29" s="53" t="e">
        <f t="shared" si="5"/>
        <v>#DIV/0!</v>
      </c>
      <c r="S29" s="53" t="e">
        <f t="shared" si="6"/>
        <v>#DIV/0!</v>
      </c>
      <c r="T29" s="53" t="e">
        <f t="shared" si="7"/>
        <v>#DIV/0!</v>
      </c>
      <c r="U29" s="53" t="e">
        <f t="shared" si="8"/>
        <v>#DIV/0!</v>
      </c>
      <c r="V29" s="53" t="e">
        <f>V28+ATM_Conf!$C$5*(Nodes!AL28)/('Off-Ramp'!K214*AA214)</f>
        <v>#DIV/0!</v>
      </c>
      <c r="W29" s="53" t="e">
        <f>W28+ATM_Conf!$C$5*(Nodes!AM28)/('Off-Ramp'!L214*AB214)</f>
        <v>#DIV/0!</v>
      </c>
      <c r="X29" s="53" t="e">
        <f>X28+ATM_Conf!$C$5*(Nodes!AN28)/('Off-Ramp'!M214*AC214)</f>
        <v>#DIV/0!</v>
      </c>
      <c r="Y29" s="53" t="e">
        <f>Y28+ATM_Conf!$C$5*(Nodes!AO28)/('Off-Ramp'!N214*AD214)</f>
        <v>#DIV/0!</v>
      </c>
      <c r="Z29" s="53" t="e">
        <f>Z28+ATM_Conf!$C$5*(Nodes!AP28)/('Off-Ramp'!O214*AE214)</f>
        <v>#DIV/0!</v>
      </c>
      <c r="AA29" s="53" t="e">
        <f>AA28+ATM_Conf!$C$5*(Nodes!AQ28)/('Off-Ramp'!P214*AF214)</f>
        <v>#DIV/0!</v>
      </c>
    </row>
    <row r="30" spans="1:27" x14ac:dyDescent="0.15">
      <c r="A30" s="46">
        <v>28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53" t="e">
        <f t="shared" si="1"/>
        <v>#DIV/0!</v>
      </c>
      <c r="M30" s="53" t="e">
        <f t="shared" si="2"/>
        <v>#DIV/0!</v>
      </c>
      <c r="N30" s="53" t="e">
        <f t="shared" si="3"/>
        <v>#DIV/0!</v>
      </c>
      <c r="O30" s="53" t="e">
        <f t="shared" si="4"/>
        <v>#DIV/0!</v>
      </c>
      <c r="P30" s="69"/>
      <c r="Q30" s="69"/>
      <c r="R30" s="53" t="e">
        <f t="shared" si="5"/>
        <v>#DIV/0!</v>
      </c>
      <c r="S30" s="53" t="e">
        <f t="shared" si="6"/>
        <v>#DIV/0!</v>
      </c>
      <c r="T30" s="53" t="e">
        <f t="shared" si="7"/>
        <v>#DIV/0!</v>
      </c>
      <c r="U30" s="53" t="e">
        <f t="shared" si="8"/>
        <v>#DIV/0!</v>
      </c>
      <c r="V30" s="53" t="e">
        <f>V29+ATM_Conf!$C$5*(Nodes!AL29)/('Off-Ramp'!K215*AA215)</f>
        <v>#DIV/0!</v>
      </c>
      <c r="W30" s="53" t="e">
        <f>W29+ATM_Conf!$C$5*(Nodes!AM29)/('Off-Ramp'!L215*AB215)</f>
        <v>#DIV/0!</v>
      </c>
      <c r="X30" s="53" t="e">
        <f>X29+ATM_Conf!$C$5*(Nodes!AN29)/('Off-Ramp'!M215*AC215)</f>
        <v>#DIV/0!</v>
      </c>
      <c r="Y30" s="53" t="e">
        <f>Y29+ATM_Conf!$C$5*(Nodes!AO29)/('Off-Ramp'!N215*AD215)</f>
        <v>#DIV/0!</v>
      </c>
      <c r="Z30" s="53" t="e">
        <f>Z29+ATM_Conf!$C$5*(Nodes!AP29)/('Off-Ramp'!O215*AE215)</f>
        <v>#DIV/0!</v>
      </c>
      <c r="AA30" s="53" t="e">
        <f>AA29+ATM_Conf!$C$5*(Nodes!AQ29)/('Off-Ramp'!P215*AF215)</f>
        <v>#DIV/0!</v>
      </c>
    </row>
    <row r="31" spans="1:27" x14ac:dyDescent="0.15">
      <c r="A31" s="46">
        <v>29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53" t="e">
        <f t="shared" si="1"/>
        <v>#DIV/0!</v>
      </c>
      <c r="M31" s="53" t="e">
        <f t="shared" si="2"/>
        <v>#DIV/0!</v>
      </c>
      <c r="N31" s="53" t="e">
        <f t="shared" si="3"/>
        <v>#DIV/0!</v>
      </c>
      <c r="O31" s="53" t="e">
        <f t="shared" si="4"/>
        <v>#DIV/0!</v>
      </c>
      <c r="P31" s="69"/>
      <c r="Q31" s="69"/>
      <c r="R31" s="53" t="e">
        <f t="shared" si="5"/>
        <v>#DIV/0!</v>
      </c>
      <c r="S31" s="53" t="e">
        <f t="shared" si="6"/>
        <v>#DIV/0!</v>
      </c>
      <c r="T31" s="53" t="e">
        <f t="shared" si="7"/>
        <v>#DIV/0!</v>
      </c>
      <c r="U31" s="53" t="e">
        <f t="shared" si="8"/>
        <v>#DIV/0!</v>
      </c>
      <c r="V31" s="53" t="e">
        <f>V30+ATM_Conf!$C$5*(Nodes!AL30)/('Off-Ramp'!K216*AA216)</f>
        <v>#DIV/0!</v>
      </c>
      <c r="W31" s="53" t="e">
        <f>W30+ATM_Conf!$C$5*(Nodes!AM30)/('Off-Ramp'!L216*AB216)</f>
        <v>#DIV/0!</v>
      </c>
      <c r="X31" s="53" t="e">
        <f>X30+ATM_Conf!$C$5*(Nodes!AN30)/('Off-Ramp'!M216*AC216)</f>
        <v>#DIV/0!</v>
      </c>
      <c r="Y31" s="53" t="e">
        <f>Y30+ATM_Conf!$C$5*(Nodes!AO30)/('Off-Ramp'!N216*AD216)</f>
        <v>#DIV/0!</v>
      </c>
      <c r="Z31" s="53" t="e">
        <f>Z30+ATM_Conf!$C$5*(Nodes!AP30)/('Off-Ramp'!O216*AE216)</f>
        <v>#DIV/0!</v>
      </c>
      <c r="AA31" s="53" t="e">
        <f>AA30+ATM_Conf!$C$5*(Nodes!AQ30)/('Off-Ramp'!P216*AF216)</f>
        <v>#DIV/0!</v>
      </c>
    </row>
    <row r="32" spans="1:27" x14ac:dyDescent="0.15">
      <c r="A32" s="46">
        <v>30</v>
      </c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53" t="e">
        <f t="shared" si="1"/>
        <v>#DIV/0!</v>
      </c>
      <c r="M32" s="53" t="e">
        <f t="shared" si="2"/>
        <v>#DIV/0!</v>
      </c>
      <c r="N32" s="53" t="e">
        <f t="shared" si="3"/>
        <v>#DIV/0!</v>
      </c>
      <c r="O32" s="53" t="e">
        <f t="shared" si="4"/>
        <v>#DIV/0!</v>
      </c>
      <c r="P32" s="69"/>
      <c r="Q32" s="69"/>
      <c r="R32" s="53" t="e">
        <f t="shared" si="5"/>
        <v>#DIV/0!</v>
      </c>
      <c r="S32" s="53" t="e">
        <f t="shared" si="6"/>
        <v>#DIV/0!</v>
      </c>
      <c r="T32" s="53" t="e">
        <f t="shared" si="7"/>
        <v>#DIV/0!</v>
      </c>
      <c r="U32" s="53" t="e">
        <f t="shared" si="8"/>
        <v>#DIV/0!</v>
      </c>
      <c r="V32" s="53" t="e">
        <f>V31+ATM_Conf!$C$5*(Nodes!AL31)/('Off-Ramp'!K217*AA217)</f>
        <v>#DIV/0!</v>
      </c>
      <c r="W32" s="53" t="e">
        <f>W31+ATM_Conf!$C$5*(Nodes!AM31)/('Off-Ramp'!L217*AB217)</f>
        <v>#DIV/0!</v>
      </c>
      <c r="X32" s="53" t="e">
        <f>X31+ATM_Conf!$C$5*(Nodes!AN31)/('Off-Ramp'!M217*AC217)</f>
        <v>#DIV/0!</v>
      </c>
      <c r="Y32" s="53" t="e">
        <f>Y31+ATM_Conf!$C$5*(Nodes!AO31)/('Off-Ramp'!N217*AD217)</f>
        <v>#DIV/0!</v>
      </c>
      <c r="Z32" s="53" t="e">
        <f>Z31+ATM_Conf!$C$5*(Nodes!AP31)/('Off-Ramp'!O217*AE217)</f>
        <v>#DIV/0!</v>
      </c>
      <c r="AA32" s="53" t="e">
        <f>AA31+ATM_Conf!$C$5*(Nodes!AQ31)/('Off-Ramp'!P217*AF217)</f>
        <v>#DIV/0!</v>
      </c>
    </row>
    <row r="33" spans="1:27" x14ac:dyDescent="0.15">
      <c r="A33" s="46">
        <v>31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53" t="e">
        <f t="shared" si="1"/>
        <v>#DIV/0!</v>
      </c>
      <c r="M33" s="53" t="e">
        <f t="shared" si="2"/>
        <v>#DIV/0!</v>
      </c>
      <c r="N33" s="53" t="e">
        <f t="shared" si="3"/>
        <v>#DIV/0!</v>
      </c>
      <c r="O33" s="53" t="e">
        <f t="shared" si="4"/>
        <v>#DIV/0!</v>
      </c>
      <c r="P33" s="69"/>
      <c r="Q33" s="69"/>
      <c r="R33" s="53" t="e">
        <f t="shared" si="5"/>
        <v>#DIV/0!</v>
      </c>
      <c r="S33" s="53" t="e">
        <f t="shared" si="6"/>
        <v>#DIV/0!</v>
      </c>
      <c r="T33" s="53" t="e">
        <f t="shared" si="7"/>
        <v>#DIV/0!</v>
      </c>
      <c r="U33" s="53" t="e">
        <f t="shared" si="8"/>
        <v>#DIV/0!</v>
      </c>
      <c r="V33" s="53" t="e">
        <f>V32+ATM_Conf!$C$5*(Nodes!AL32)/('Off-Ramp'!K218*AA218)</f>
        <v>#DIV/0!</v>
      </c>
      <c r="W33" s="53" t="e">
        <f>W32+ATM_Conf!$C$5*(Nodes!AM32)/('Off-Ramp'!L218*AB218)</f>
        <v>#DIV/0!</v>
      </c>
      <c r="X33" s="53" t="e">
        <f>X32+ATM_Conf!$C$5*(Nodes!AN32)/('Off-Ramp'!M218*AC218)</f>
        <v>#DIV/0!</v>
      </c>
      <c r="Y33" s="53" t="e">
        <f>Y32+ATM_Conf!$C$5*(Nodes!AO32)/('Off-Ramp'!N218*AD218)</f>
        <v>#DIV/0!</v>
      </c>
      <c r="Z33" s="53" t="e">
        <f>Z32+ATM_Conf!$C$5*(Nodes!AP32)/('Off-Ramp'!O218*AE218)</f>
        <v>#DIV/0!</v>
      </c>
      <c r="AA33" s="53" t="e">
        <f>AA32+ATM_Conf!$C$5*(Nodes!AQ32)/('Off-Ramp'!P218*AF218)</f>
        <v>#DIV/0!</v>
      </c>
    </row>
    <row r="34" spans="1:27" x14ac:dyDescent="0.15">
      <c r="A34" s="46">
        <v>32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53" t="e">
        <f t="shared" si="1"/>
        <v>#DIV/0!</v>
      </c>
      <c r="M34" s="53" t="e">
        <f t="shared" si="2"/>
        <v>#DIV/0!</v>
      </c>
      <c r="N34" s="53" t="e">
        <f t="shared" si="3"/>
        <v>#DIV/0!</v>
      </c>
      <c r="O34" s="53" t="e">
        <f t="shared" si="4"/>
        <v>#DIV/0!</v>
      </c>
      <c r="P34" s="69"/>
      <c r="Q34" s="69"/>
      <c r="R34" s="53" t="e">
        <f t="shared" si="5"/>
        <v>#DIV/0!</v>
      </c>
      <c r="S34" s="53" t="e">
        <f t="shared" si="6"/>
        <v>#DIV/0!</v>
      </c>
      <c r="T34" s="53" t="e">
        <f t="shared" si="7"/>
        <v>#DIV/0!</v>
      </c>
      <c r="U34" s="53" t="e">
        <f t="shared" si="8"/>
        <v>#DIV/0!</v>
      </c>
      <c r="V34" s="53" t="e">
        <f>V33+ATM_Conf!$C$5*(Nodes!AL33)/('Off-Ramp'!K219*AA219)</f>
        <v>#DIV/0!</v>
      </c>
      <c r="W34" s="53" t="e">
        <f>W33+ATM_Conf!$C$5*(Nodes!AM33)/('Off-Ramp'!L219*AB219)</f>
        <v>#DIV/0!</v>
      </c>
      <c r="X34" s="53" t="e">
        <f>X33+ATM_Conf!$C$5*(Nodes!AN33)/('Off-Ramp'!M219*AC219)</f>
        <v>#DIV/0!</v>
      </c>
      <c r="Y34" s="53" t="e">
        <f>Y33+ATM_Conf!$C$5*(Nodes!AO33)/('Off-Ramp'!N219*AD219)</f>
        <v>#DIV/0!</v>
      </c>
      <c r="Z34" s="53" t="e">
        <f>Z33+ATM_Conf!$C$5*(Nodes!AP33)/('Off-Ramp'!O219*AE219)</f>
        <v>#DIV/0!</v>
      </c>
      <c r="AA34" s="53" t="e">
        <f>AA33+ATM_Conf!$C$5*(Nodes!AQ33)/('Off-Ramp'!P219*AF219)</f>
        <v>#DIV/0!</v>
      </c>
    </row>
    <row r="35" spans="1:27" x14ac:dyDescent="0.15">
      <c r="A35" s="46">
        <v>33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53" t="e">
        <f t="shared" si="1"/>
        <v>#DIV/0!</v>
      </c>
      <c r="M35" s="53" t="e">
        <f t="shared" si="2"/>
        <v>#DIV/0!</v>
      </c>
      <c r="N35" s="53" t="e">
        <f t="shared" si="3"/>
        <v>#DIV/0!</v>
      </c>
      <c r="O35" s="53" t="e">
        <f t="shared" si="4"/>
        <v>#DIV/0!</v>
      </c>
      <c r="P35" s="69"/>
      <c r="Q35" s="69"/>
      <c r="R35" s="53" t="e">
        <f t="shared" si="5"/>
        <v>#DIV/0!</v>
      </c>
      <c r="S35" s="53" t="e">
        <f t="shared" si="6"/>
        <v>#DIV/0!</v>
      </c>
      <c r="T35" s="53" t="e">
        <f t="shared" si="7"/>
        <v>#DIV/0!</v>
      </c>
      <c r="U35" s="53" t="e">
        <f t="shared" si="8"/>
        <v>#DIV/0!</v>
      </c>
      <c r="V35" s="53" t="e">
        <f>V34+ATM_Conf!$C$5*(Nodes!AL34)/('Off-Ramp'!K220*AA220)</f>
        <v>#DIV/0!</v>
      </c>
      <c r="W35" s="53" t="e">
        <f>W34+ATM_Conf!$C$5*(Nodes!AM34)/('Off-Ramp'!L220*AB220)</f>
        <v>#DIV/0!</v>
      </c>
      <c r="X35" s="53" t="e">
        <f>X34+ATM_Conf!$C$5*(Nodes!AN34)/('Off-Ramp'!M220*AC220)</f>
        <v>#DIV/0!</v>
      </c>
      <c r="Y35" s="53" t="e">
        <f>Y34+ATM_Conf!$C$5*(Nodes!AO34)/('Off-Ramp'!N220*AD220)</f>
        <v>#DIV/0!</v>
      </c>
      <c r="Z35" s="53" t="e">
        <f>Z34+ATM_Conf!$C$5*(Nodes!AP34)/('Off-Ramp'!O220*AE220)</f>
        <v>#DIV/0!</v>
      </c>
      <c r="AA35" s="53" t="e">
        <f>AA34+ATM_Conf!$C$5*(Nodes!AQ34)/('Off-Ramp'!P220*AF220)</f>
        <v>#DIV/0!</v>
      </c>
    </row>
    <row r="36" spans="1:27" x14ac:dyDescent="0.15">
      <c r="A36" s="46">
        <v>34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53" t="e">
        <f t="shared" ref="L36:L67" si="9">B36/60/A$189</f>
        <v>#DIV/0!</v>
      </c>
      <c r="M36" s="53" t="e">
        <f t="shared" ref="M36:M67" si="10">C36/60/B$189</f>
        <v>#DIV/0!</v>
      </c>
      <c r="N36" s="53" t="e">
        <f t="shared" ref="N36:N67" si="11">D36/60/C$189</f>
        <v>#DIV/0!</v>
      </c>
      <c r="O36" s="53" t="e">
        <f t="shared" ref="O36:O67" si="12">E36/60/D$189</f>
        <v>#DIV/0!</v>
      </c>
      <c r="P36" s="69"/>
      <c r="Q36" s="69"/>
      <c r="R36" s="53" t="e">
        <f t="shared" ref="R36:R67" si="13">H36/60/G$189</f>
        <v>#DIV/0!</v>
      </c>
      <c r="S36" s="53" t="e">
        <f t="shared" ref="S36:S67" si="14">I36/60/H$189</f>
        <v>#DIV/0!</v>
      </c>
      <c r="T36" s="53" t="e">
        <f t="shared" ref="T36:T67" si="15">J36/60/I$189</f>
        <v>#DIV/0!</v>
      </c>
      <c r="U36" s="53" t="e">
        <f t="shared" si="8"/>
        <v>#DIV/0!</v>
      </c>
      <c r="V36" s="53" t="e">
        <f>V35+ATM_Conf!$C$5*(Nodes!AL35)/('Off-Ramp'!K221*AA221)</f>
        <v>#DIV/0!</v>
      </c>
      <c r="W36" s="53" t="e">
        <f>W35+ATM_Conf!$C$5*(Nodes!AM35)/('Off-Ramp'!L221*AB221)</f>
        <v>#DIV/0!</v>
      </c>
      <c r="X36" s="53" t="e">
        <f>X35+ATM_Conf!$C$5*(Nodes!AN35)/('Off-Ramp'!M221*AC221)</f>
        <v>#DIV/0!</v>
      </c>
      <c r="Y36" s="53" t="e">
        <f>Y35+ATM_Conf!$C$5*(Nodes!AO35)/('Off-Ramp'!N221*AD221)</f>
        <v>#DIV/0!</v>
      </c>
      <c r="Z36" s="53" t="e">
        <f>Z35+ATM_Conf!$C$5*(Nodes!AP35)/('Off-Ramp'!O221*AE221)</f>
        <v>#DIV/0!</v>
      </c>
      <c r="AA36" s="53" t="e">
        <f>AA35+ATM_Conf!$C$5*(Nodes!AQ35)/('Off-Ramp'!P221*AF221)</f>
        <v>#DIV/0!</v>
      </c>
    </row>
    <row r="37" spans="1:27" x14ac:dyDescent="0.15">
      <c r="A37" s="46">
        <v>35</v>
      </c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53" t="e">
        <f t="shared" si="9"/>
        <v>#DIV/0!</v>
      </c>
      <c r="M37" s="53" t="e">
        <f t="shared" si="10"/>
        <v>#DIV/0!</v>
      </c>
      <c r="N37" s="53" t="e">
        <f t="shared" si="11"/>
        <v>#DIV/0!</v>
      </c>
      <c r="O37" s="53" t="e">
        <f t="shared" si="12"/>
        <v>#DIV/0!</v>
      </c>
      <c r="P37" s="69"/>
      <c r="Q37" s="69"/>
      <c r="R37" s="53" t="e">
        <f t="shared" si="13"/>
        <v>#DIV/0!</v>
      </c>
      <c r="S37" s="53" t="e">
        <f t="shared" si="14"/>
        <v>#DIV/0!</v>
      </c>
      <c r="T37" s="53" t="e">
        <f t="shared" si="15"/>
        <v>#DIV/0!</v>
      </c>
      <c r="U37" s="53" t="e">
        <f t="shared" si="8"/>
        <v>#DIV/0!</v>
      </c>
      <c r="V37" s="53" t="e">
        <f>V36+ATM_Conf!$C$5*(Nodes!AL36)/('Off-Ramp'!K222*AA222)</f>
        <v>#DIV/0!</v>
      </c>
      <c r="W37" s="53" t="e">
        <f>W36+ATM_Conf!$C$5*(Nodes!AM36)/('Off-Ramp'!L222*AB222)</f>
        <v>#DIV/0!</v>
      </c>
      <c r="X37" s="53" t="e">
        <f>X36+ATM_Conf!$C$5*(Nodes!AN36)/('Off-Ramp'!M222*AC222)</f>
        <v>#DIV/0!</v>
      </c>
      <c r="Y37" s="53" t="e">
        <f>Y36+ATM_Conf!$C$5*(Nodes!AO36)/('Off-Ramp'!N222*AD222)</f>
        <v>#DIV/0!</v>
      </c>
      <c r="Z37" s="53" t="e">
        <f>Z36+ATM_Conf!$C$5*(Nodes!AP36)/('Off-Ramp'!O222*AE222)</f>
        <v>#DIV/0!</v>
      </c>
      <c r="AA37" s="53" t="e">
        <f>AA36+ATM_Conf!$C$5*(Nodes!AQ36)/('Off-Ramp'!P222*AF222)</f>
        <v>#DIV/0!</v>
      </c>
    </row>
    <row r="38" spans="1:27" x14ac:dyDescent="0.15">
      <c r="A38" s="46">
        <v>36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53" t="e">
        <f t="shared" si="9"/>
        <v>#DIV/0!</v>
      </c>
      <c r="M38" s="53" t="e">
        <f t="shared" si="10"/>
        <v>#DIV/0!</v>
      </c>
      <c r="N38" s="53" t="e">
        <f t="shared" si="11"/>
        <v>#DIV/0!</v>
      </c>
      <c r="O38" s="53" t="e">
        <f t="shared" si="12"/>
        <v>#DIV/0!</v>
      </c>
      <c r="P38" s="69"/>
      <c r="Q38" s="69"/>
      <c r="R38" s="53" t="e">
        <f t="shared" si="13"/>
        <v>#DIV/0!</v>
      </c>
      <c r="S38" s="53" t="e">
        <f t="shared" si="14"/>
        <v>#DIV/0!</v>
      </c>
      <c r="T38" s="53" t="e">
        <f t="shared" si="15"/>
        <v>#DIV/0!</v>
      </c>
      <c r="U38" s="53" t="e">
        <f t="shared" si="8"/>
        <v>#DIV/0!</v>
      </c>
      <c r="V38" s="53" t="e">
        <f>V37+ATM_Conf!$C$5*(Nodes!AL37)/('Off-Ramp'!K223*AA223)</f>
        <v>#DIV/0!</v>
      </c>
      <c r="W38" s="53" t="e">
        <f>W37+ATM_Conf!$C$5*(Nodes!AM37)/('Off-Ramp'!L223*AB223)</f>
        <v>#DIV/0!</v>
      </c>
      <c r="X38" s="53" t="e">
        <f>X37+ATM_Conf!$C$5*(Nodes!AN37)/('Off-Ramp'!M223*AC223)</f>
        <v>#DIV/0!</v>
      </c>
      <c r="Y38" s="53" t="e">
        <f>Y37+ATM_Conf!$C$5*(Nodes!AO37)/('Off-Ramp'!N223*AD223)</f>
        <v>#DIV/0!</v>
      </c>
      <c r="Z38" s="53" t="e">
        <f>Z37+ATM_Conf!$C$5*(Nodes!AP37)/('Off-Ramp'!O223*AE223)</f>
        <v>#DIV/0!</v>
      </c>
      <c r="AA38" s="53" t="e">
        <f>AA37+ATM_Conf!$C$5*(Nodes!AQ37)/('Off-Ramp'!P223*AF223)</f>
        <v>#DIV/0!</v>
      </c>
    </row>
    <row r="39" spans="1:27" x14ac:dyDescent="0.15">
      <c r="A39" s="46">
        <v>37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53" t="e">
        <f t="shared" si="9"/>
        <v>#DIV/0!</v>
      </c>
      <c r="M39" s="53" t="e">
        <f t="shared" si="10"/>
        <v>#DIV/0!</v>
      </c>
      <c r="N39" s="53" t="e">
        <f t="shared" si="11"/>
        <v>#DIV/0!</v>
      </c>
      <c r="O39" s="53" t="e">
        <f t="shared" si="12"/>
        <v>#DIV/0!</v>
      </c>
      <c r="P39" s="69"/>
      <c r="Q39" s="69"/>
      <c r="R39" s="53" t="e">
        <f t="shared" si="13"/>
        <v>#DIV/0!</v>
      </c>
      <c r="S39" s="53" t="e">
        <f t="shared" si="14"/>
        <v>#DIV/0!</v>
      </c>
      <c r="T39" s="53" t="e">
        <f t="shared" si="15"/>
        <v>#DIV/0!</v>
      </c>
      <c r="U39" s="53" t="e">
        <f t="shared" si="8"/>
        <v>#DIV/0!</v>
      </c>
      <c r="V39" s="53" t="e">
        <f>V38+ATM_Conf!$C$5*(Nodes!AL38)/('Off-Ramp'!K224*AA224)</f>
        <v>#DIV/0!</v>
      </c>
      <c r="W39" s="53" t="e">
        <f>W38+ATM_Conf!$C$5*(Nodes!AM38)/('Off-Ramp'!L224*AB224)</f>
        <v>#DIV/0!</v>
      </c>
      <c r="X39" s="53" t="e">
        <f>X38+ATM_Conf!$C$5*(Nodes!AN38)/('Off-Ramp'!M224*AC224)</f>
        <v>#DIV/0!</v>
      </c>
      <c r="Y39" s="53" t="e">
        <f>Y38+ATM_Conf!$C$5*(Nodes!AO38)/('Off-Ramp'!N224*AD224)</f>
        <v>#DIV/0!</v>
      </c>
      <c r="Z39" s="53" t="e">
        <f>Z38+ATM_Conf!$C$5*(Nodes!AP38)/('Off-Ramp'!O224*AE224)</f>
        <v>#DIV/0!</v>
      </c>
      <c r="AA39" s="53" t="e">
        <f>AA38+ATM_Conf!$C$5*(Nodes!AQ38)/('Off-Ramp'!P224*AF224)</f>
        <v>#DIV/0!</v>
      </c>
    </row>
    <row r="40" spans="1:27" x14ac:dyDescent="0.15">
      <c r="A40" s="46">
        <v>38</v>
      </c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53" t="e">
        <f t="shared" si="9"/>
        <v>#DIV/0!</v>
      </c>
      <c r="M40" s="53" t="e">
        <f t="shared" si="10"/>
        <v>#DIV/0!</v>
      </c>
      <c r="N40" s="53" t="e">
        <f t="shared" si="11"/>
        <v>#DIV/0!</v>
      </c>
      <c r="O40" s="53" t="e">
        <f t="shared" si="12"/>
        <v>#DIV/0!</v>
      </c>
      <c r="P40" s="69"/>
      <c r="Q40" s="69"/>
      <c r="R40" s="53" t="e">
        <f t="shared" si="13"/>
        <v>#DIV/0!</v>
      </c>
      <c r="S40" s="53" t="e">
        <f t="shared" si="14"/>
        <v>#DIV/0!</v>
      </c>
      <c r="T40" s="53" t="e">
        <f t="shared" si="15"/>
        <v>#DIV/0!</v>
      </c>
      <c r="U40" s="53" t="e">
        <f t="shared" si="8"/>
        <v>#DIV/0!</v>
      </c>
      <c r="V40" s="53" t="e">
        <f>V39+ATM_Conf!$C$5*(Nodes!AL39)/('Off-Ramp'!K225*AA225)</f>
        <v>#DIV/0!</v>
      </c>
      <c r="W40" s="53" t="e">
        <f>W39+ATM_Conf!$C$5*(Nodes!AM39)/('Off-Ramp'!L225*AB225)</f>
        <v>#DIV/0!</v>
      </c>
      <c r="X40" s="53" t="e">
        <f>X39+ATM_Conf!$C$5*(Nodes!AN39)/('Off-Ramp'!M225*AC225)</f>
        <v>#DIV/0!</v>
      </c>
      <c r="Y40" s="53" t="e">
        <f>Y39+ATM_Conf!$C$5*(Nodes!AO39)/('Off-Ramp'!N225*AD225)</f>
        <v>#DIV/0!</v>
      </c>
      <c r="Z40" s="53" t="e">
        <f>Z39+ATM_Conf!$C$5*(Nodes!AP39)/('Off-Ramp'!O225*AE225)</f>
        <v>#DIV/0!</v>
      </c>
      <c r="AA40" s="53" t="e">
        <f>AA39+ATM_Conf!$C$5*(Nodes!AQ39)/('Off-Ramp'!P225*AF225)</f>
        <v>#DIV/0!</v>
      </c>
    </row>
    <row r="41" spans="1:27" x14ac:dyDescent="0.15">
      <c r="A41" s="46">
        <v>39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53" t="e">
        <f t="shared" si="9"/>
        <v>#DIV/0!</v>
      </c>
      <c r="M41" s="53" t="e">
        <f t="shared" si="10"/>
        <v>#DIV/0!</v>
      </c>
      <c r="N41" s="53" t="e">
        <f t="shared" si="11"/>
        <v>#DIV/0!</v>
      </c>
      <c r="O41" s="53" t="e">
        <f t="shared" si="12"/>
        <v>#DIV/0!</v>
      </c>
      <c r="P41" s="69"/>
      <c r="Q41" s="69"/>
      <c r="R41" s="53" t="e">
        <f t="shared" si="13"/>
        <v>#DIV/0!</v>
      </c>
      <c r="S41" s="53" t="e">
        <f t="shared" si="14"/>
        <v>#DIV/0!</v>
      </c>
      <c r="T41" s="53" t="e">
        <f t="shared" si="15"/>
        <v>#DIV/0!</v>
      </c>
      <c r="U41" s="53" t="e">
        <f t="shared" si="8"/>
        <v>#DIV/0!</v>
      </c>
      <c r="V41" s="53" t="e">
        <f>V40+ATM_Conf!$C$5*(Nodes!AL40)/('Off-Ramp'!K226*AA226)</f>
        <v>#DIV/0!</v>
      </c>
      <c r="W41" s="53" t="e">
        <f>W40+ATM_Conf!$C$5*(Nodes!AM40)/('Off-Ramp'!L226*AB226)</f>
        <v>#DIV/0!</v>
      </c>
      <c r="X41" s="53" t="e">
        <f>X40+ATM_Conf!$C$5*(Nodes!AN40)/('Off-Ramp'!M226*AC226)</f>
        <v>#DIV/0!</v>
      </c>
      <c r="Y41" s="53" t="e">
        <f>Y40+ATM_Conf!$C$5*(Nodes!AO40)/('Off-Ramp'!N226*AD226)</f>
        <v>#DIV/0!</v>
      </c>
      <c r="Z41" s="53" t="e">
        <f>Z40+ATM_Conf!$C$5*(Nodes!AP40)/('Off-Ramp'!O226*AE226)</f>
        <v>#DIV/0!</v>
      </c>
      <c r="AA41" s="53" t="e">
        <f>AA40+ATM_Conf!$C$5*(Nodes!AQ40)/('Off-Ramp'!P226*AF226)</f>
        <v>#DIV/0!</v>
      </c>
    </row>
    <row r="42" spans="1:27" x14ac:dyDescent="0.15">
      <c r="A42" s="46">
        <v>40</v>
      </c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53" t="e">
        <f t="shared" si="9"/>
        <v>#DIV/0!</v>
      </c>
      <c r="M42" s="53" t="e">
        <f t="shared" si="10"/>
        <v>#DIV/0!</v>
      </c>
      <c r="N42" s="53" t="e">
        <f t="shared" si="11"/>
        <v>#DIV/0!</v>
      </c>
      <c r="O42" s="53" t="e">
        <f t="shared" si="12"/>
        <v>#DIV/0!</v>
      </c>
      <c r="P42" s="69"/>
      <c r="Q42" s="69"/>
      <c r="R42" s="53" t="e">
        <f t="shared" si="13"/>
        <v>#DIV/0!</v>
      </c>
      <c r="S42" s="53" t="e">
        <f t="shared" si="14"/>
        <v>#DIV/0!</v>
      </c>
      <c r="T42" s="53" t="e">
        <f t="shared" si="15"/>
        <v>#DIV/0!</v>
      </c>
      <c r="U42" s="53" t="e">
        <f t="shared" si="8"/>
        <v>#DIV/0!</v>
      </c>
      <c r="V42" s="53" t="e">
        <f>V41+ATM_Conf!$C$5*(Nodes!AL41)/('Off-Ramp'!K227*AA227)</f>
        <v>#DIV/0!</v>
      </c>
      <c r="W42" s="53" t="e">
        <f>W41+ATM_Conf!$C$5*(Nodes!AM41)/('Off-Ramp'!L227*AB227)</f>
        <v>#DIV/0!</v>
      </c>
      <c r="X42" s="53" t="e">
        <f>X41+ATM_Conf!$C$5*(Nodes!AN41)/('Off-Ramp'!M227*AC227)</f>
        <v>#DIV/0!</v>
      </c>
      <c r="Y42" s="53" t="e">
        <f>Y41+ATM_Conf!$C$5*(Nodes!AO41)/('Off-Ramp'!N227*AD227)</f>
        <v>#DIV/0!</v>
      </c>
      <c r="Z42" s="53" t="e">
        <f>Z41+ATM_Conf!$C$5*(Nodes!AP41)/('Off-Ramp'!O227*AE227)</f>
        <v>#DIV/0!</v>
      </c>
      <c r="AA42" s="53" t="e">
        <f>AA41+ATM_Conf!$C$5*(Nodes!AQ41)/('Off-Ramp'!P227*AF227)</f>
        <v>#DIV/0!</v>
      </c>
    </row>
    <row r="43" spans="1:27" x14ac:dyDescent="0.15">
      <c r="A43" s="46">
        <v>41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53" t="e">
        <f t="shared" si="9"/>
        <v>#DIV/0!</v>
      </c>
      <c r="M43" s="53" t="e">
        <f t="shared" si="10"/>
        <v>#DIV/0!</v>
      </c>
      <c r="N43" s="53" t="e">
        <f t="shared" si="11"/>
        <v>#DIV/0!</v>
      </c>
      <c r="O43" s="53" t="e">
        <f t="shared" si="12"/>
        <v>#DIV/0!</v>
      </c>
      <c r="P43" s="69"/>
      <c r="Q43" s="69"/>
      <c r="R43" s="53" t="e">
        <f t="shared" si="13"/>
        <v>#DIV/0!</v>
      </c>
      <c r="S43" s="53" t="e">
        <f t="shared" si="14"/>
        <v>#DIV/0!</v>
      </c>
      <c r="T43" s="53" t="e">
        <f t="shared" si="15"/>
        <v>#DIV/0!</v>
      </c>
      <c r="U43" s="53" t="e">
        <f t="shared" si="8"/>
        <v>#DIV/0!</v>
      </c>
      <c r="V43" s="53" t="e">
        <f>V42+ATM_Conf!$C$5*(Nodes!AL42)/('Off-Ramp'!K228*AA228)</f>
        <v>#DIV/0!</v>
      </c>
      <c r="W43" s="53" t="e">
        <f>W42+ATM_Conf!$C$5*(Nodes!AM42)/('Off-Ramp'!L228*AB228)</f>
        <v>#DIV/0!</v>
      </c>
      <c r="X43" s="53" t="e">
        <f>X42+ATM_Conf!$C$5*(Nodes!AN42)/('Off-Ramp'!M228*AC228)</f>
        <v>#DIV/0!</v>
      </c>
      <c r="Y43" s="53" t="e">
        <f>Y42+ATM_Conf!$C$5*(Nodes!AO42)/('Off-Ramp'!N228*AD228)</f>
        <v>#DIV/0!</v>
      </c>
      <c r="Z43" s="53" t="e">
        <f>Z42+ATM_Conf!$C$5*(Nodes!AP42)/('Off-Ramp'!O228*AE228)</f>
        <v>#DIV/0!</v>
      </c>
      <c r="AA43" s="53" t="e">
        <f>AA42+ATM_Conf!$C$5*(Nodes!AQ42)/('Off-Ramp'!P228*AF228)</f>
        <v>#DIV/0!</v>
      </c>
    </row>
    <row r="44" spans="1:27" x14ac:dyDescent="0.15">
      <c r="A44" s="46">
        <v>42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53" t="e">
        <f t="shared" si="9"/>
        <v>#DIV/0!</v>
      </c>
      <c r="M44" s="53" t="e">
        <f t="shared" si="10"/>
        <v>#DIV/0!</v>
      </c>
      <c r="N44" s="53" t="e">
        <f t="shared" si="11"/>
        <v>#DIV/0!</v>
      </c>
      <c r="O44" s="53" t="e">
        <f t="shared" si="12"/>
        <v>#DIV/0!</v>
      </c>
      <c r="P44" s="69"/>
      <c r="Q44" s="69"/>
      <c r="R44" s="53" t="e">
        <f t="shared" si="13"/>
        <v>#DIV/0!</v>
      </c>
      <c r="S44" s="53" t="e">
        <f t="shared" si="14"/>
        <v>#DIV/0!</v>
      </c>
      <c r="T44" s="53" t="e">
        <f t="shared" si="15"/>
        <v>#DIV/0!</v>
      </c>
      <c r="U44" s="53" t="e">
        <f t="shared" si="8"/>
        <v>#DIV/0!</v>
      </c>
      <c r="V44" s="53" t="e">
        <f>V43+ATM_Conf!$C$5*(Nodes!AL43)/('Off-Ramp'!K229*AA229)</f>
        <v>#DIV/0!</v>
      </c>
      <c r="W44" s="53" t="e">
        <f>W43+ATM_Conf!$C$5*(Nodes!AM43)/('Off-Ramp'!L229*AB229)</f>
        <v>#DIV/0!</v>
      </c>
      <c r="X44" s="53" t="e">
        <f>X43+ATM_Conf!$C$5*(Nodes!AN43)/('Off-Ramp'!M229*AC229)</f>
        <v>#DIV/0!</v>
      </c>
      <c r="Y44" s="53" t="e">
        <f>Y43+ATM_Conf!$C$5*(Nodes!AO43)/('Off-Ramp'!N229*AD229)</f>
        <v>#DIV/0!</v>
      </c>
      <c r="Z44" s="53" t="e">
        <f>Z43+ATM_Conf!$C$5*(Nodes!AP43)/('Off-Ramp'!O229*AE229)</f>
        <v>#DIV/0!</v>
      </c>
      <c r="AA44" s="53" t="e">
        <f>AA43+ATM_Conf!$C$5*(Nodes!AQ43)/('Off-Ramp'!P229*AF229)</f>
        <v>#DIV/0!</v>
      </c>
    </row>
    <row r="45" spans="1:27" x14ac:dyDescent="0.15">
      <c r="A45" s="46">
        <v>43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53" t="e">
        <f t="shared" si="9"/>
        <v>#DIV/0!</v>
      </c>
      <c r="M45" s="53" t="e">
        <f t="shared" si="10"/>
        <v>#DIV/0!</v>
      </c>
      <c r="N45" s="53" t="e">
        <f t="shared" si="11"/>
        <v>#DIV/0!</v>
      </c>
      <c r="O45" s="53" t="e">
        <f t="shared" si="12"/>
        <v>#DIV/0!</v>
      </c>
      <c r="P45" s="69"/>
      <c r="Q45" s="69"/>
      <c r="R45" s="53" t="e">
        <f t="shared" si="13"/>
        <v>#DIV/0!</v>
      </c>
      <c r="S45" s="53" t="e">
        <f t="shared" si="14"/>
        <v>#DIV/0!</v>
      </c>
      <c r="T45" s="53" t="e">
        <f t="shared" si="15"/>
        <v>#DIV/0!</v>
      </c>
      <c r="U45" s="53" t="e">
        <f t="shared" si="8"/>
        <v>#DIV/0!</v>
      </c>
      <c r="V45" s="53" t="e">
        <f>V44+ATM_Conf!$C$5*(Nodes!AL44)/('Off-Ramp'!K230*AA230)</f>
        <v>#DIV/0!</v>
      </c>
      <c r="W45" s="53" t="e">
        <f>W44+ATM_Conf!$C$5*(Nodes!AM44)/('Off-Ramp'!L230*AB230)</f>
        <v>#DIV/0!</v>
      </c>
      <c r="X45" s="53" t="e">
        <f>X44+ATM_Conf!$C$5*(Nodes!AN44)/('Off-Ramp'!M230*AC230)</f>
        <v>#DIV/0!</v>
      </c>
      <c r="Y45" s="53" t="e">
        <f>Y44+ATM_Conf!$C$5*(Nodes!AO44)/('Off-Ramp'!N230*AD230)</f>
        <v>#DIV/0!</v>
      </c>
      <c r="Z45" s="53" t="e">
        <f>Z44+ATM_Conf!$C$5*(Nodes!AP44)/('Off-Ramp'!O230*AE230)</f>
        <v>#DIV/0!</v>
      </c>
      <c r="AA45" s="53" t="e">
        <f>AA44+ATM_Conf!$C$5*(Nodes!AQ44)/('Off-Ramp'!P230*AF230)</f>
        <v>#DIV/0!</v>
      </c>
    </row>
    <row r="46" spans="1:27" x14ac:dyDescent="0.15">
      <c r="A46" s="46">
        <v>44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53" t="e">
        <f t="shared" si="9"/>
        <v>#DIV/0!</v>
      </c>
      <c r="M46" s="53" t="e">
        <f t="shared" si="10"/>
        <v>#DIV/0!</v>
      </c>
      <c r="N46" s="53" t="e">
        <f t="shared" si="11"/>
        <v>#DIV/0!</v>
      </c>
      <c r="O46" s="53" t="e">
        <f t="shared" si="12"/>
        <v>#DIV/0!</v>
      </c>
      <c r="P46" s="69"/>
      <c r="Q46" s="69"/>
      <c r="R46" s="53" t="e">
        <f t="shared" si="13"/>
        <v>#DIV/0!</v>
      </c>
      <c r="S46" s="53" t="e">
        <f t="shared" si="14"/>
        <v>#DIV/0!</v>
      </c>
      <c r="T46" s="53" t="e">
        <f t="shared" si="15"/>
        <v>#DIV/0!</v>
      </c>
      <c r="U46" s="53" t="e">
        <f t="shared" si="8"/>
        <v>#DIV/0!</v>
      </c>
      <c r="V46" s="53" t="e">
        <f>V45+ATM_Conf!$C$5*(Nodes!AL45)/('Off-Ramp'!K231*AA231)</f>
        <v>#DIV/0!</v>
      </c>
      <c r="W46" s="53" t="e">
        <f>W45+ATM_Conf!$C$5*(Nodes!AM45)/('Off-Ramp'!L231*AB231)</f>
        <v>#DIV/0!</v>
      </c>
      <c r="X46" s="53" t="e">
        <f>X45+ATM_Conf!$C$5*(Nodes!AN45)/('Off-Ramp'!M231*AC231)</f>
        <v>#DIV/0!</v>
      </c>
      <c r="Y46" s="53" t="e">
        <f>Y45+ATM_Conf!$C$5*(Nodes!AO45)/('Off-Ramp'!N231*AD231)</f>
        <v>#DIV/0!</v>
      </c>
      <c r="Z46" s="53" t="e">
        <f>Z45+ATM_Conf!$C$5*(Nodes!AP45)/('Off-Ramp'!O231*AE231)</f>
        <v>#DIV/0!</v>
      </c>
      <c r="AA46" s="53" t="e">
        <f>AA45+ATM_Conf!$C$5*(Nodes!AQ45)/('Off-Ramp'!P231*AF231)</f>
        <v>#DIV/0!</v>
      </c>
    </row>
    <row r="47" spans="1:27" x14ac:dyDescent="0.15">
      <c r="A47" s="46">
        <v>45</v>
      </c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53" t="e">
        <f t="shared" si="9"/>
        <v>#DIV/0!</v>
      </c>
      <c r="M47" s="53" t="e">
        <f t="shared" si="10"/>
        <v>#DIV/0!</v>
      </c>
      <c r="N47" s="53" t="e">
        <f t="shared" si="11"/>
        <v>#DIV/0!</v>
      </c>
      <c r="O47" s="53" t="e">
        <f t="shared" si="12"/>
        <v>#DIV/0!</v>
      </c>
      <c r="P47" s="69"/>
      <c r="Q47" s="69"/>
      <c r="R47" s="53" t="e">
        <f t="shared" si="13"/>
        <v>#DIV/0!</v>
      </c>
      <c r="S47" s="53" t="e">
        <f t="shared" si="14"/>
        <v>#DIV/0!</v>
      </c>
      <c r="T47" s="53" t="e">
        <f t="shared" si="15"/>
        <v>#DIV/0!</v>
      </c>
      <c r="U47" s="53" t="e">
        <f t="shared" si="8"/>
        <v>#DIV/0!</v>
      </c>
      <c r="V47" s="53" t="e">
        <f>V46+ATM_Conf!$C$5*(Nodes!AL46)/('Off-Ramp'!K232*AA232)</f>
        <v>#DIV/0!</v>
      </c>
      <c r="W47" s="53" t="e">
        <f>W46+ATM_Conf!$C$5*(Nodes!AM46)/('Off-Ramp'!L232*AB232)</f>
        <v>#DIV/0!</v>
      </c>
      <c r="X47" s="53" t="e">
        <f>X46+ATM_Conf!$C$5*(Nodes!AN46)/('Off-Ramp'!M232*AC232)</f>
        <v>#DIV/0!</v>
      </c>
      <c r="Y47" s="53" t="e">
        <f>Y46+ATM_Conf!$C$5*(Nodes!AO46)/('Off-Ramp'!N232*AD232)</f>
        <v>#DIV/0!</v>
      </c>
      <c r="Z47" s="53" t="e">
        <f>Z46+ATM_Conf!$C$5*(Nodes!AP46)/('Off-Ramp'!O232*AE232)</f>
        <v>#DIV/0!</v>
      </c>
      <c r="AA47" s="53" t="e">
        <f>AA46+ATM_Conf!$C$5*(Nodes!AQ46)/('Off-Ramp'!P232*AF232)</f>
        <v>#DIV/0!</v>
      </c>
    </row>
    <row r="48" spans="1:27" x14ac:dyDescent="0.15">
      <c r="A48" s="46">
        <v>46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53" t="e">
        <f t="shared" si="9"/>
        <v>#DIV/0!</v>
      </c>
      <c r="M48" s="53" t="e">
        <f t="shared" si="10"/>
        <v>#DIV/0!</v>
      </c>
      <c r="N48" s="53" t="e">
        <f t="shared" si="11"/>
        <v>#DIV/0!</v>
      </c>
      <c r="O48" s="53" t="e">
        <f t="shared" si="12"/>
        <v>#DIV/0!</v>
      </c>
      <c r="P48" s="69"/>
      <c r="Q48" s="69"/>
      <c r="R48" s="53" t="e">
        <f t="shared" si="13"/>
        <v>#DIV/0!</v>
      </c>
      <c r="S48" s="53" t="e">
        <f t="shared" si="14"/>
        <v>#DIV/0!</v>
      </c>
      <c r="T48" s="53" t="e">
        <f t="shared" si="15"/>
        <v>#DIV/0!</v>
      </c>
      <c r="U48" s="53" t="e">
        <f t="shared" si="8"/>
        <v>#DIV/0!</v>
      </c>
      <c r="V48" s="53" t="e">
        <f>V47+ATM_Conf!$C$5*(Nodes!AL47)/('Off-Ramp'!K233*AA233)</f>
        <v>#DIV/0!</v>
      </c>
      <c r="W48" s="53" t="e">
        <f>W47+ATM_Conf!$C$5*(Nodes!AM47)/('Off-Ramp'!L233*AB233)</f>
        <v>#DIV/0!</v>
      </c>
      <c r="X48" s="53" t="e">
        <f>X47+ATM_Conf!$C$5*(Nodes!AN47)/('Off-Ramp'!M233*AC233)</f>
        <v>#DIV/0!</v>
      </c>
      <c r="Y48" s="53" t="e">
        <f>Y47+ATM_Conf!$C$5*(Nodes!AO47)/('Off-Ramp'!N233*AD233)</f>
        <v>#DIV/0!</v>
      </c>
      <c r="Z48" s="53" t="e">
        <f>Z47+ATM_Conf!$C$5*(Nodes!AP47)/('Off-Ramp'!O233*AE233)</f>
        <v>#DIV/0!</v>
      </c>
      <c r="AA48" s="53" t="e">
        <f>AA47+ATM_Conf!$C$5*(Nodes!AQ47)/('Off-Ramp'!P233*AF233)</f>
        <v>#DIV/0!</v>
      </c>
    </row>
    <row r="49" spans="1:27" x14ac:dyDescent="0.15">
      <c r="A49" s="46">
        <v>47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53" t="e">
        <f t="shared" si="9"/>
        <v>#DIV/0!</v>
      </c>
      <c r="M49" s="53" t="e">
        <f t="shared" si="10"/>
        <v>#DIV/0!</v>
      </c>
      <c r="N49" s="53" t="e">
        <f t="shared" si="11"/>
        <v>#DIV/0!</v>
      </c>
      <c r="O49" s="53" t="e">
        <f t="shared" si="12"/>
        <v>#DIV/0!</v>
      </c>
      <c r="P49" s="69"/>
      <c r="Q49" s="69"/>
      <c r="R49" s="53" t="e">
        <f t="shared" si="13"/>
        <v>#DIV/0!</v>
      </c>
      <c r="S49" s="53" t="e">
        <f t="shared" si="14"/>
        <v>#DIV/0!</v>
      </c>
      <c r="T49" s="53" t="e">
        <f t="shared" si="15"/>
        <v>#DIV/0!</v>
      </c>
      <c r="U49" s="53" t="e">
        <f t="shared" si="8"/>
        <v>#DIV/0!</v>
      </c>
      <c r="V49" s="53" t="e">
        <f>V48+ATM_Conf!$C$5*(Nodes!AL48)/('Off-Ramp'!K234*AA234)</f>
        <v>#DIV/0!</v>
      </c>
      <c r="W49" s="53" t="e">
        <f>W48+ATM_Conf!$C$5*(Nodes!AM48)/('Off-Ramp'!L234*AB234)</f>
        <v>#DIV/0!</v>
      </c>
      <c r="X49" s="53" t="e">
        <f>X48+ATM_Conf!$C$5*(Nodes!AN48)/('Off-Ramp'!M234*AC234)</f>
        <v>#DIV/0!</v>
      </c>
      <c r="Y49" s="53" t="e">
        <f>Y48+ATM_Conf!$C$5*(Nodes!AO48)/('Off-Ramp'!N234*AD234)</f>
        <v>#DIV/0!</v>
      </c>
      <c r="Z49" s="53" t="e">
        <f>Z48+ATM_Conf!$C$5*(Nodes!AP48)/('Off-Ramp'!O234*AE234)</f>
        <v>#DIV/0!</v>
      </c>
      <c r="AA49" s="53" t="e">
        <f>AA48+ATM_Conf!$C$5*(Nodes!AQ48)/('Off-Ramp'!P234*AF234)</f>
        <v>#DIV/0!</v>
      </c>
    </row>
    <row r="50" spans="1:27" x14ac:dyDescent="0.15">
      <c r="A50" s="46">
        <v>48</v>
      </c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53" t="e">
        <f t="shared" si="9"/>
        <v>#DIV/0!</v>
      </c>
      <c r="M50" s="53" t="e">
        <f t="shared" si="10"/>
        <v>#DIV/0!</v>
      </c>
      <c r="N50" s="53" t="e">
        <f t="shared" si="11"/>
        <v>#DIV/0!</v>
      </c>
      <c r="O50" s="53" t="e">
        <f t="shared" si="12"/>
        <v>#DIV/0!</v>
      </c>
      <c r="P50" s="69"/>
      <c r="Q50" s="69"/>
      <c r="R50" s="53" t="e">
        <f t="shared" si="13"/>
        <v>#DIV/0!</v>
      </c>
      <c r="S50" s="53" t="e">
        <f t="shared" si="14"/>
        <v>#DIV/0!</v>
      </c>
      <c r="T50" s="53" t="e">
        <f t="shared" si="15"/>
        <v>#DIV/0!</v>
      </c>
      <c r="U50" s="53" t="e">
        <f t="shared" si="8"/>
        <v>#DIV/0!</v>
      </c>
      <c r="V50" s="53" t="e">
        <f>V49+ATM_Conf!$C$5*(Nodes!AL49)/('Off-Ramp'!K235*AA235)</f>
        <v>#DIV/0!</v>
      </c>
      <c r="W50" s="53" t="e">
        <f>W49+ATM_Conf!$C$5*(Nodes!AM49)/('Off-Ramp'!L235*AB235)</f>
        <v>#DIV/0!</v>
      </c>
      <c r="X50" s="53" t="e">
        <f>X49+ATM_Conf!$C$5*(Nodes!AN49)/('Off-Ramp'!M235*AC235)</f>
        <v>#DIV/0!</v>
      </c>
      <c r="Y50" s="53" t="e">
        <f>Y49+ATM_Conf!$C$5*(Nodes!AO49)/('Off-Ramp'!N235*AD235)</f>
        <v>#DIV/0!</v>
      </c>
      <c r="Z50" s="53" t="e">
        <f>Z49+ATM_Conf!$C$5*(Nodes!AP49)/('Off-Ramp'!O235*AE235)</f>
        <v>#DIV/0!</v>
      </c>
      <c r="AA50" s="53" t="e">
        <f>AA49+ATM_Conf!$C$5*(Nodes!AQ49)/('Off-Ramp'!P235*AF235)</f>
        <v>#DIV/0!</v>
      </c>
    </row>
    <row r="51" spans="1:27" x14ac:dyDescent="0.15">
      <c r="A51" s="46">
        <v>49</v>
      </c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53" t="e">
        <f t="shared" si="9"/>
        <v>#DIV/0!</v>
      </c>
      <c r="M51" s="53" t="e">
        <f t="shared" si="10"/>
        <v>#DIV/0!</v>
      </c>
      <c r="N51" s="53" t="e">
        <f t="shared" si="11"/>
        <v>#DIV/0!</v>
      </c>
      <c r="O51" s="53" t="e">
        <f t="shared" si="12"/>
        <v>#DIV/0!</v>
      </c>
      <c r="P51" s="69"/>
      <c r="Q51" s="69"/>
      <c r="R51" s="53" t="e">
        <f t="shared" si="13"/>
        <v>#DIV/0!</v>
      </c>
      <c r="S51" s="53" t="e">
        <f t="shared" si="14"/>
        <v>#DIV/0!</v>
      </c>
      <c r="T51" s="53" t="e">
        <f t="shared" si="15"/>
        <v>#DIV/0!</v>
      </c>
      <c r="U51" s="53" t="e">
        <f t="shared" si="8"/>
        <v>#DIV/0!</v>
      </c>
      <c r="V51" s="53" t="e">
        <f>V50+ATM_Conf!$C$5*(Nodes!AL50)/('Off-Ramp'!K236*AA236)</f>
        <v>#DIV/0!</v>
      </c>
      <c r="W51" s="53" t="e">
        <f>W50+ATM_Conf!$C$5*(Nodes!AM50)/('Off-Ramp'!L236*AB236)</f>
        <v>#DIV/0!</v>
      </c>
      <c r="X51" s="53" t="e">
        <f>X50+ATM_Conf!$C$5*(Nodes!AN50)/('Off-Ramp'!M236*AC236)</f>
        <v>#DIV/0!</v>
      </c>
      <c r="Y51" s="53" t="e">
        <f>Y50+ATM_Conf!$C$5*(Nodes!AO50)/('Off-Ramp'!N236*AD236)</f>
        <v>#DIV/0!</v>
      </c>
      <c r="Z51" s="53" t="e">
        <f>Z50+ATM_Conf!$C$5*(Nodes!AP50)/('Off-Ramp'!O236*AE236)</f>
        <v>#DIV/0!</v>
      </c>
      <c r="AA51" s="53" t="e">
        <f>AA50+ATM_Conf!$C$5*(Nodes!AQ50)/('Off-Ramp'!P236*AF236)</f>
        <v>#DIV/0!</v>
      </c>
    </row>
    <row r="52" spans="1:27" x14ac:dyDescent="0.15">
      <c r="A52" s="46">
        <v>50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53" t="e">
        <f t="shared" si="9"/>
        <v>#DIV/0!</v>
      </c>
      <c r="M52" s="53" t="e">
        <f t="shared" si="10"/>
        <v>#DIV/0!</v>
      </c>
      <c r="N52" s="53" t="e">
        <f t="shared" si="11"/>
        <v>#DIV/0!</v>
      </c>
      <c r="O52" s="53" t="e">
        <f t="shared" si="12"/>
        <v>#DIV/0!</v>
      </c>
      <c r="P52" s="69"/>
      <c r="Q52" s="69"/>
      <c r="R52" s="53" t="e">
        <f t="shared" si="13"/>
        <v>#DIV/0!</v>
      </c>
      <c r="S52" s="53" t="e">
        <f t="shared" si="14"/>
        <v>#DIV/0!</v>
      </c>
      <c r="T52" s="53" t="e">
        <f t="shared" si="15"/>
        <v>#DIV/0!</v>
      </c>
      <c r="U52" s="53" t="e">
        <f t="shared" si="8"/>
        <v>#DIV/0!</v>
      </c>
      <c r="V52" s="53" t="e">
        <f>V51+ATM_Conf!$C$5*(Nodes!AL51)/('Off-Ramp'!K237*AA237)</f>
        <v>#DIV/0!</v>
      </c>
      <c r="W52" s="53" t="e">
        <f>W51+ATM_Conf!$C$5*(Nodes!AM51)/('Off-Ramp'!L237*AB237)</f>
        <v>#DIV/0!</v>
      </c>
      <c r="X52" s="53" t="e">
        <f>X51+ATM_Conf!$C$5*(Nodes!AN51)/('Off-Ramp'!M237*AC237)</f>
        <v>#DIV/0!</v>
      </c>
      <c r="Y52" s="53" t="e">
        <f>Y51+ATM_Conf!$C$5*(Nodes!AO51)/('Off-Ramp'!N237*AD237)</f>
        <v>#DIV/0!</v>
      </c>
      <c r="Z52" s="53" t="e">
        <f>Z51+ATM_Conf!$C$5*(Nodes!AP51)/('Off-Ramp'!O237*AE237)</f>
        <v>#DIV/0!</v>
      </c>
      <c r="AA52" s="53" t="e">
        <f>AA51+ATM_Conf!$C$5*(Nodes!AQ51)/('Off-Ramp'!P237*AF237)</f>
        <v>#DIV/0!</v>
      </c>
    </row>
    <row r="53" spans="1:27" x14ac:dyDescent="0.15">
      <c r="A53" s="46">
        <v>51</v>
      </c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53" t="e">
        <f t="shared" si="9"/>
        <v>#DIV/0!</v>
      </c>
      <c r="M53" s="53" t="e">
        <f t="shared" si="10"/>
        <v>#DIV/0!</v>
      </c>
      <c r="N53" s="53" t="e">
        <f t="shared" si="11"/>
        <v>#DIV/0!</v>
      </c>
      <c r="O53" s="53" t="e">
        <f t="shared" si="12"/>
        <v>#DIV/0!</v>
      </c>
      <c r="P53" s="69"/>
      <c r="Q53" s="69"/>
      <c r="R53" s="53" t="e">
        <f t="shared" si="13"/>
        <v>#DIV/0!</v>
      </c>
      <c r="S53" s="53" t="e">
        <f t="shared" si="14"/>
        <v>#DIV/0!</v>
      </c>
      <c r="T53" s="53" t="e">
        <f t="shared" si="15"/>
        <v>#DIV/0!</v>
      </c>
      <c r="U53" s="53" t="e">
        <f t="shared" si="8"/>
        <v>#DIV/0!</v>
      </c>
      <c r="V53" s="53" t="e">
        <f>V52+ATM_Conf!$C$5*(Nodes!AL52)/('Off-Ramp'!K238*AA238)</f>
        <v>#DIV/0!</v>
      </c>
      <c r="W53" s="53" t="e">
        <f>W52+ATM_Conf!$C$5*(Nodes!AM52)/('Off-Ramp'!L238*AB238)</f>
        <v>#DIV/0!</v>
      </c>
      <c r="X53" s="53" t="e">
        <f>X52+ATM_Conf!$C$5*(Nodes!AN52)/('Off-Ramp'!M238*AC238)</f>
        <v>#DIV/0!</v>
      </c>
      <c r="Y53" s="53" t="e">
        <f>Y52+ATM_Conf!$C$5*(Nodes!AO52)/('Off-Ramp'!N238*AD238)</f>
        <v>#DIV/0!</v>
      </c>
      <c r="Z53" s="53" t="e">
        <f>Z52+ATM_Conf!$C$5*(Nodes!AP52)/('Off-Ramp'!O238*AE238)</f>
        <v>#DIV/0!</v>
      </c>
      <c r="AA53" s="53" t="e">
        <f>AA52+ATM_Conf!$C$5*(Nodes!AQ52)/('Off-Ramp'!P238*AF238)</f>
        <v>#DIV/0!</v>
      </c>
    </row>
    <row r="54" spans="1:27" x14ac:dyDescent="0.15">
      <c r="A54" s="46">
        <v>52</v>
      </c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53" t="e">
        <f t="shared" si="9"/>
        <v>#DIV/0!</v>
      </c>
      <c r="M54" s="53" t="e">
        <f t="shared" si="10"/>
        <v>#DIV/0!</v>
      </c>
      <c r="N54" s="53" t="e">
        <f t="shared" si="11"/>
        <v>#DIV/0!</v>
      </c>
      <c r="O54" s="53" t="e">
        <f t="shared" si="12"/>
        <v>#DIV/0!</v>
      </c>
      <c r="P54" s="69"/>
      <c r="Q54" s="69"/>
      <c r="R54" s="53" t="e">
        <f t="shared" si="13"/>
        <v>#DIV/0!</v>
      </c>
      <c r="S54" s="53" t="e">
        <f t="shared" si="14"/>
        <v>#DIV/0!</v>
      </c>
      <c r="T54" s="53" t="e">
        <f t="shared" si="15"/>
        <v>#DIV/0!</v>
      </c>
      <c r="U54" s="53" t="e">
        <f t="shared" si="8"/>
        <v>#DIV/0!</v>
      </c>
      <c r="V54" s="53" t="e">
        <f>V53+ATM_Conf!$C$5*(Nodes!AL53)/('Off-Ramp'!K239*AA239)</f>
        <v>#DIV/0!</v>
      </c>
      <c r="W54" s="53" t="e">
        <f>W53+ATM_Conf!$C$5*(Nodes!AM53)/('Off-Ramp'!L239*AB239)</f>
        <v>#DIV/0!</v>
      </c>
      <c r="X54" s="53" t="e">
        <f>X53+ATM_Conf!$C$5*(Nodes!AN53)/('Off-Ramp'!M239*AC239)</f>
        <v>#DIV/0!</v>
      </c>
      <c r="Y54" s="53" t="e">
        <f>Y53+ATM_Conf!$C$5*(Nodes!AO53)/('Off-Ramp'!N239*AD239)</f>
        <v>#DIV/0!</v>
      </c>
      <c r="Z54" s="53" t="e">
        <f>Z53+ATM_Conf!$C$5*(Nodes!AP53)/('Off-Ramp'!O239*AE239)</f>
        <v>#DIV/0!</v>
      </c>
      <c r="AA54" s="53" t="e">
        <f>AA53+ATM_Conf!$C$5*(Nodes!AQ53)/('Off-Ramp'!P239*AF239)</f>
        <v>#DIV/0!</v>
      </c>
    </row>
    <row r="55" spans="1:27" x14ac:dyDescent="0.15">
      <c r="A55" s="46">
        <v>53</v>
      </c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53" t="e">
        <f t="shared" si="9"/>
        <v>#DIV/0!</v>
      </c>
      <c r="M55" s="53" t="e">
        <f t="shared" si="10"/>
        <v>#DIV/0!</v>
      </c>
      <c r="N55" s="53" t="e">
        <f t="shared" si="11"/>
        <v>#DIV/0!</v>
      </c>
      <c r="O55" s="53" t="e">
        <f t="shared" si="12"/>
        <v>#DIV/0!</v>
      </c>
      <c r="P55" s="69"/>
      <c r="Q55" s="69"/>
      <c r="R55" s="53" t="e">
        <f t="shared" si="13"/>
        <v>#DIV/0!</v>
      </c>
      <c r="S55" s="53" t="e">
        <f t="shared" si="14"/>
        <v>#DIV/0!</v>
      </c>
      <c r="T55" s="53" t="e">
        <f t="shared" si="15"/>
        <v>#DIV/0!</v>
      </c>
      <c r="U55" s="53" t="e">
        <f t="shared" si="8"/>
        <v>#DIV/0!</v>
      </c>
      <c r="V55" s="53" t="e">
        <f>V54+ATM_Conf!$C$5*(Nodes!AL54)/('Off-Ramp'!K240*AA240)</f>
        <v>#DIV/0!</v>
      </c>
      <c r="W55" s="53" t="e">
        <f>W54+ATM_Conf!$C$5*(Nodes!AM54)/('Off-Ramp'!L240*AB240)</f>
        <v>#DIV/0!</v>
      </c>
      <c r="X55" s="53" t="e">
        <f>X54+ATM_Conf!$C$5*(Nodes!AN54)/('Off-Ramp'!M240*AC240)</f>
        <v>#DIV/0!</v>
      </c>
      <c r="Y55" s="53" t="e">
        <f>Y54+ATM_Conf!$C$5*(Nodes!AO54)/('Off-Ramp'!N240*AD240)</f>
        <v>#DIV/0!</v>
      </c>
      <c r="Z55" s="53" t="e">
        <f>Z54+ATM_Conf!$C$5*(Nodes!AP54)/('Off-Ramp'!O240*AE240)</f>
        <v>#DIV/0!</v>
      </c>
      <c r="AA55" s="53" t="e">
        <f>AA54+ATM_Conf!$C$5*(Nodes!AQ54)/('Off-Ramp'!P240*AF240)</f>
        <v>#DIV/0!</v>
      </c>
    </row>
    <row r="56" spans="1:27" x14ac:dyDescent="0.15">
      <c r="A56" s="46">
        <v>54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53" t="e">
        <f t="shared" si="9"/>
        <v>#DIV/0!</v>
      </c>
      <c r="M56" s="53" t="e">
        <f t="shared" si="10"/>
        <v>#DIV/0!</v>
      </c>
      <c r="N56" s="53" t="e">
        <f t="shared" si="11"/>
        <v>#DIV/0!</v>
      </c>
      <c r="O56" s="53" t="e">
        <f t="shared" si="12"/>
        <v>#DIV/0!</v>
      </c>
      <c r="P56" s="69"/>
      <c r="Q56" s="69"/>
      <c r="R56" s="53" t="e">
        <f t="shared" si="13"/>
        <v>#DIV/0!</v>
      </c>
      <c r="S56" s="53" t="e">
        <f t="shared" si="14"/>
        <v>#DIV/0!</v>
      </c>
      <c r="T56" s="53" t="e">
        <f t="shared" si="15"/>
        <v>#DIV/0!</v>
      </c>
      <c r="U56" s="53" t="e">
        <f t="shared" si="8"/>
        <v>#DIV/0!</v>
      </c>
      <c r="V56" s="53" t="e">
        <f>V55+ATM_Conf!$C$5*(Nodes!AL55)/('Off-Ramp'!K241*AA241)</f>
        <v>#DIV/0!</v>
      </c>
      <c r="W56" s="53" t="e">
        <f>W55+ATM_Conf!$C$5*(Nodes!AM55)/('Off-Ramp'!L241*AB241)</f>
        <v>#DIV/0!</v>
      </c>
      <c r="X56" s="53" t="e">
        <f>X55+ATM_Conf!$C$5*(Nodes!AN55)/('Off-Ramp'!M241*AC241)</f>
        <v>#DIV/0!</v>
      </c>
      <c r="Y56" s="53" t="e">
        <f>Y55+ATM_Conf!$C$5*(Nodes!AO55)/('Off-Ramp'!N241*AD241)</f>
        <v>#DIV/0!</v>
      </c>
      <c r="Z56" s="53" t="e">
        <f>Z55+ATM_Conf!$C$5*(Nodes!AP55)/('Off-Ramp'!O241*AE241)</f>
        <v>#DIV/0!</v>
      </c>
      <c r="AA56" s="53" t="e">
        <f>AA55+ATM_Conf!$C$5*(Nodes!AQ55)/('Off-Ramp'!P241*AF241)</f>
        <v>#DIV/0!</v>
      </c>
    </row>
    <row r="57" spans="1:27" x14ac:dyDescent="0.15">
      <c r="A57" s="46">
        <v>55</v>
      </c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53" t="e">
        <f t="shared" si="9"/>
        <v>#DIV/0!</v>
      </c>
      <c r="M57" s="53" t="e">
        <f t="shared" si="10"/>
        <v>#DIV/0!</v>
      </c>
      <c r="N57" s="53" t="e">
        <f t="shared" si="11"/>
        <v>#DIV/0!</v>
      </c>
      <c r="O57" s="53" t="e">
        <f t="shared" si="12"/>
        <v>#DIV/0!</v>
      </c>
      <c r="P57" s="69"/>
      <c r="Q57" s="69"/>
      <c r="R57" s="53" t="e">
        <f t="shared" si="13"/>
        <v>#DIV/0!</v>
      </c>
      <c r="S57" s="53" t="e">
        <f t="shared" si="14"/>
        <v>#DIV/0!</v>
      </c>
      <c r="T57" s="53" t="e">
        <f t="shared" si="15"/>
        <v>#DIV/0!</v>
      </c>
      <c r="U57" s="53" t="e">
        <f t="shared" si="8"/>
        <v>#DIV/0!</v>
      </c>
      <c r="V57" s="53" t="e">
        <f>V56+ATM_Conf!$C$5*(Nodes!AL56)/('Off-Ramp'!K242*AA242)</f>
        <v>#DIV/0!</v>
      </c>
      <c r="W57" s="53" t="e">
        <f>W56+ATM_Conf!$C$5*(Nodes!AM56)/('Off-Ramp'!L242*AB242)</f>
        <v>#DIV/0!</v>
      </c>
      <c r="X57" s="53" t="e">
        <f>X56+ATM_Conf!$C$5*(Nodes!AN56)/('Off-Ramp'!M242*AC242)</f>
        <v>#DIV/0!</v>
      </c>
      <c r="Y57" s="53" t="e">
        <f>Y56+ATM_Conf!$C$5*(Nodes!AO56)/('Off-Ramp'!N242*AD242)</f>
        <v>#DIV/0!</v>
      </c>
      <c r="Z57" s="53" t="e">
        <f>Z56+ATM_Conf!$C$5*(Nodes!AP56)/('Off-Ramp'!O242*AE242)</f>
        <v>#DIV/0!</v>
      </c>
      <c r="AA57" s="53" t="e">
        <f>AA56+ATM_Conf!$C$5*(Nodes!AQ56)/('Off-Ramp'!P242*AF242)</f>
        <v>#DIV/0!</v>
      </c>
    </row>
    <row r="58" spans="1:27" x14ac:dyDescent="0.15">
      <c r="A58" s="46">
        <v>56</v>
      </c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53" t="e">
        <f t="shared" si="9"/>
        <v>#DIV/0!</v>
      </c>
      <c r="M58" s="53" t="e">
        <f t="shared" si="10"/>
        <v>#DIV/0!</v>
      </c>
      <c r="N58" s="53" t="e">
        <f t="shared" si="11"/>
        <v>#DIV/0!</v>
      </c>
      <c r="O58" s="53" t="e">
        <f t="shared" si="12"/>
        <v>#DIV/0!</v>
      </c>
      <c r="P58" s="69"/>
      <c r="Q58" s="69"/>
      <c r="R58" s="53" t="e">
        <f t="shared" si="13"/>
        <v>#DIV/0!</v>
      </c>
      <c r="S58" s="53" t="e">
        <f t="shared" si="14"/>
        <v>#DIV/0!</v>
      </c>
      <c r="T58" s="53" t="e">
        <f t="shared" si="15"/>
        <v>#DIV/0!</v>
      </c>
      <c r="U58" s="53" t="e">
        <f t="shared" si="8"/>
        <v>#DIV/0!</v>
      </c>
      <c r="V58" s="53" t="e">
        <f>V57+ATM_Conf!$C$5*(Nodes!AL57)/('Off-Ramp'!K243*AA243)</f>
        <v>#DIV/0!</v>
      </c>
      <c r="W58" s="53" t="e">
        <f>W57+ATM_Conf!$C$5*(Nodes!AM57)/('Off-Ramp'!L243*AB243)</f>
        <v>#DIV/0!</v>
      </c>
      <c r="X58" s="53" t="e">
        <f>X57+ATM_Conf!$C$5*(Nodes!AN57)/('Off-Ramp'!M243*AC243)</f>
        <v>#DIV/0!</v>
      </c>
      <c r="Y58" s="53" t="e">
        <f>Y57+ATM_Conf!$C$5*(Nodes!AO57)/('Off-Ramp'!N243*AD243)</f>
        <v>#DIV/0!</v>
      </c>
      <c r="Z58" s="53" t="e">
        <f>Z57+ATM_Conf!$C$5*(Nodes!AP57)/('Off-Ramp'!O243*AE243)</f>
        <v>#DIV/0!</v>
      </c>
      <c r="AA58" s="53" t="e">
        <f>AA57+ATM_Conf!$C$5*(Nodes!AQ57)/('Off-Ramp'!P243*AF243)</f>
        <v>#DIV/0!</v>
      </c>
    </row>
    <row r="59" spans="1:27" x14ac:dyDescent="0.15">
      <c r="A59" s="46">
        <v>57</v>
      </c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53" t="e">
        <f t="shared" si="9"/>
        <v>#DIV/0!</v>
      </c>
      <c r="M59" s="53" t="e">
        <f t="shared" si="10"/>
        <v>#DIV/0!</v>
      </c>
      <c r="N59" s="53" t="e">
        <f t="shared" si="11"/>
        <v>#DIV/0!</v>
      </c>
      <c r="O59" s="53" t="e">
        <f t="shared" si="12"/>
        <v>#DIV/0!</v>
      </c>
      <c r="P59" s="69"/>
      <c r="Q59" s="69"/>
      <c r="R59" s="53" t="e">
        <f t="shared" si="13"/>
        <v>#DIV/0!</v>
      </c>
      <c r="S59" s="53" t="e">
        <f t="shared" si="14"/>
        <v>#DIV/0!</v>
      </c>
      <c r="T59" s="53" t="e">
        <f t="shared" si="15"/>
        <v>#DIV/0!</v>
      </c>
      <c r="U59" s="53" t="e">
        <f t="shared" si="8"/>
        <v>#DIV/0!</v>
      </c>
      <c r="V59" s="53" t="e">
        <f>V58+ATM_Conf!$C$5*(Nodes!AL58)/('Off-Ramp'!K244*AA244)</f>
        <v>#DIV/0!</v>
      </c>
      <c r="W59" s="53" t="e">
        <f>W58+ATM_Conf!$C$5*(Nodes!AM58)/('Off-Ramp'!L244*AB244)</f>
        <v>#DIV/0!</v>
      </c>
      <c r="X59" s="53" t="e">
        <f>X58+ATM_Conf!$C$5*(Nodes!AN58)/('Off-Ramp'!M244*AC244)</f>
        <v>#DIV/0!</v>
      </c>
      <c r="Y59" s="53" t="e">
        <f>Y58+ATM_Conf!$C$5*(Nodes!AO58)/('Off-Ramp'!N244*AD244)</f>
        <v>#DIV/0!</v>
      </c>
      <c r="Z59" s="53" t="e">
        <f>Z58+ATM_Conf!$C$5*(Nodes!AP58)/('Off-Ramp'!O244*AE244)</f>
        <v>#DIV/0!</v>
      </c>
      <c r="AA59" s="53" t="e">
        <f>AA58+ATM_Conf!$C$5*(Nodes!AQ58)/('Off-Ramp'!P244*AF244)</f>
        <v>#DIV/0!</v>
      </c>
    </row>
    <row r="60" spans="1:27" x14ac:dyDescent="0.15">
      <c r="A60" s="46">
        <v>58</v>
      </c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53" t="e">
        <f t="shared" si="9"/>
        <v>#DIV/0!</v>
      </c>
      <c r="M60" s="53" t="e">
        <f t="shared" si="10"/>
        <v>#DIV/0!</v>
      </c>
      <c r="N60" s="53" t="e">
        <f t="shared" si="11"/>
        <v>#DIV/0!</v>
      </c>
      <c r="O60" s="53" t="e">
        <f t="shared" si="12"/>
        <v>#DIV/0!</v>
      </c>
      <c r="P60" s="69"/>
      <c r="Q60" s="69"/>
      <c r="R60" s="53" t="e">
        <f t="shared" si="13"/>
        <v>#DIV/0!</v>
      </c>
      <c r="S60" s="53" t="e">
        <f t="shared" si="14"/>
        <v>#DIV/0!</v>
      </c>
      <c r="T60" s="53" t="e">
        <f t="shared" si="15"/>
        <v>#DIV/0!</v>
      </c>
      <c r="U60" s="53" t="e">
        <f t="shared" si="8"/>
        <v>#DIV/0!</v>
      </c>
      <c r="V60" s="53" t="e">
        <f>V59+ATM_Conf!$C$5*(Nodes!AL59)/('Off-Ramp'!K245*AA245)</f>
        <v>#DIV/0!</v>
      </c>
      <c r="W60" s="53" t="e">
        <f>W59+ATM_Conf!$C$5*(Nodes!AM59)/('Off-Ramp'!L245*AB245)</f>
        <v>#DIV/0!</v>
      </c>
      <c r="X60" s="53" t="e">
        <f>X59+ATM_Conf!$C$5*(Nodes!AN59)/('Off-Ramp'!M245*AC245)</f>
        <v>#DIV/0!</v>
      </c>
      <c r="Y60" s="53" t="e">
        <f>Y59+ATM_Conf!$C$5*(Nodes!AO59)/('Off-Ramp'!N245*AD245)</f>
        <v>#DIV/0!</v>
      </c>
      <c r="Z60" s="53" t="e">
        <f>Z59+ATM_Conf!$C$5*(Nodes!AP59)/('Off-Ramp'!O245*AE245)</f>
        <v>#DIV/0!</v>
      </c>
      <c r="AA60" s="53" t="e">
        <f>AA59+ATM_Conf!$C$5*(Nodes!AQ59)/('Off-Ramp'!P245*AF245)</f>
        <v>#DIV/0!</v>
      </c>
    </row>
    <row r="61" spans="1:27" x14ac:dyDescent="0.15">
      <c r="A61" s="46">
        <v>59</v>
      </c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53" t="e">
        <f t="shared" si="9"/>
        <v>#DIV/0!</v>
      </c>
      <c r="M61" s="53" t="e">
        <f t="shared" si="10"/>
        <v>#DIV/0!</v>
      </c>
      <c r="N61" s="53" t="e">
        <f t="shared" si="11"/>
        <v>#DIV/0!</v>
      </c>
      <c r="O61" s="53" t="e">
        <f t="shared" si="12"/>
        <v>#DIV/0!</v>
      </c>
      <c r="P61" s="69"/>
      <c r="Q61" s="69"/>
      <c r="R61" s="53" t="e">
        <f t="shared" si="13"/>
        <v>#DIV/0!</v>
      </c>
      <c r="S61" s="53" t="e">
        <f t="shared" si="14"/>
        <v>#DIV/0!</v>
      </c>
      <c r="T61" s="53" t="e">
        <f t="shared" si="15"/>
        <v>#DIV/0!</v>
      </c>
      <c r="U61" s="53" t="e">
        <f t="shared" si="8"/>
        <v>#DIV/0!</v>
      </c>
      <c r="V61" s="53" t="e">
        <f>V60+ATM_Conf!$C$5*(Nodes!AL60)/('Off-Ramp'!K246*AA246)</f>
        <v>#DIV/0!</v>
      </c>
      <c r="W61" s="53" t="e">
        <f>W60+ATM_Conf!$C$5*(Nodes!AM60)/('Off-Ramp'!L246*AB246)</f>
        <v>#DIV/0!</v>
      </c>
      <c r="X61" s="53" t="e">
        <f>X60+ATM_Conf!$C$5*(Nodes!AN60)/('Off-Ramp'!M246*AC246)</f>
        <v>#DIV/0!</v>
      </c>
      <c r="Y61" s="53" t="e">
        <f>Y60+ATM_Conf!$C$5*(Nodes!AO60)/('Off-Ramp'!N246*AD246)</f>
        <v>#DIV/0!</v>
      </c>
      <c r="Z61" s="53" t="e">
        <f>Z60+ATM_Conf!$C$5*(Nodes!AP60)/('Off-Ramp'!O246*AE246)</f>
        <v>#DIV/0!</v>
      </c>
      <c r="AA61" s="53" t="e">
        <f>AA60+ATM_Conf!$C$5*(Nodes!AQ60)/('Off-Ramp'!P246*AF246)</f>
        <v>#DIV/0!</v>
      </c>
    </row>
    <row r="62" spans="1:27" x14ac:dyDescent="0.15">
      <c r="A62" s="46">
        <v>60</v>
      </c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53" t="e">
        <f t="shared" si="9"/>
        <v>#DIV/0!</v>
      </c>
      <c r="M62" s="53" t="e">
        <f t="shared" si="10"/>
        <v>#DIV/0!</v>
      </c>
      <c r="N62" s="53" t="e">
        <f t="shared" si="11"/>
        <v>#DIV/0!</v>
      </c>
      <c r="O62" s="53" t="e">
        <f t="shared" si="12"/>
        <v>#DIV/0!</v>
      </c>
      <c r="P62" s="69"/>
      <c r="Q62" s="69"/>
      <c r="R62" s="53" t="e">
        <f t="shared" si="13"/>
        <v>#DIV/0!</v>
      </c>
      <c r="S62" s="53" t="e">
        <f t="shared" si="14"/>
        <v>#DIV/0!</v>
      </c>
      <c r="T62" s="53" t="e">
        <f t="shared" si="15"/>
        <v>#DIV/0!</v>
      </c>
      <c r="U62" s="53" t="e">
        <f t="shared" si="8"/>
        <v>#DIV/0!</v>
      </c>
      <c r="V62" s="53" t="e">
        <f>V61+ATM_Conf!$C$5*(Nodes!AL61)/('Off-Ramp'!K247*AA247)</f>
        <v>#DIV/0!</v>
      </c>
      <c r="W62" s="53" t="e">
        <f>W61+ATM_Conf!$C$5*(Nodes!AM61)/('Off-Ramp'!L247*AB247)</f>
        <v>#DIV/0!</v>
      </c>
      <c r="X62" s="53" t="e">
        <f>X61+ATM_Conf!$C$5*(Nodes!AN61)/('Off-Ramp'!M247*AC247)</f>
        <v>#DIV/0!</v>
      </c>
      <c r="Y62" s="53" t="e">
        <f>Y61+ATM_Conf!$C$5*(Nodes!AO61)/('Off-Ramp'!N247*AD247)</f>
        <v>#DIV/0!</v>
      </c>
      <c r="Z62" s="53" t="e">
        <f>Z61+ATM_Conf!$C$5*(Nodes!AP61)/('Off-Ramp'!O247*AE247)</f>
        <v>#DIV/0!</v>
      </c>
      <c r="AA62" s="53" t="e">
        <f>AA61+ATM_Conf!$C$5*(Nodes!AQ61)/('Off-Ramp'!P247*AF247)</f>
        <v>#DIV/0!</v>
      </c>
    </row>
    <row r="63" spans="1:27" x14ac:dyDescent="0.15">
      <c r="A63" s="46">
        <v>61</v>
      </c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53" t="e">
        <f t="shared" si="9"/>
        <v>#DIV/0!</v>
      </c>
      <c r="M63" s="53" t="e">
        <f t="shared" si="10"/>
        <v>#DIV/0!</v>
      </c>
      <c r="N63" s="53" t="e">
        <f t="shared" si="11"/>
        <v>#DIV/0!</v>
      </c>
      <c r="O63" s="53" t="e">
        <f t="shared" si="12"/>
        <v>#DIV/0!</v>
      </c>
      <c r="P63" s="69"/>
      <c r="Q63" s="69"/>
      <c r="R63" s="53" t="e">
        <f t="shared" si="13"/>
        <v>#DIV/0!</v>
      </c>
      <c r="S63" s="53" t="e">
        <f t="shared" si="14"/>
        <v>#DIV/0!</v>
      </c>
      <c r="T63" s="53" t="e">
        <f t="shared" si="15"/>
        <v>#DIV/0!</v>
      </c>
      <c r="U63" s="53" t="e">
        <f t="shared" si="8"/>
        <v>#DIV/0!</v>
      </c>
      <c r="V63" s="53" t="e">
        <f>V62+ATM_Conf!$C$5*(Nodes!AL62)/('Off-Ramp'!K248*AA248)</f>
        <v>#DIV/0!</v>
      </c>
      <c r="W63" s="53" t="e">
        <f>W62+ATM_Conf!$C$5*(Nodes!AM62)/('Off-Ramp'!L248*AB248)</f>
        <v>#DIV/0!</v>
      </c>
      <c r="X63" s="53" t="e">
        <f>X62+ATM_Conf!$C$5*(Nodes!AN62)/('Off-Ramp'!M248*AC248)</f>
        <v>#DIV/0!</v>
      </c>
      <c r="Y63" s="53" t="e">
        <f>Y62+ATM_Conf!$C$5*(Nodes!AO62)/('Off-Ramp'!N248*AD248)</f>
        <v>#DIV/0!</v>
      </c>
      <c r="Z63" s="53" t="e">
        <f>Z62+ATM_Conf!$C$5*(Nodes!AP62)/('Off-Ramp'!O248*AE248)</f>
        <v>#DIV/0!</v>
      </c>
      <c r="AA63" s="53" t="e">
        <f>AA62+ATM_Conf!$C$5*(Nodes!AQ62)/('Off-Ramp'!P248*AF248)</f>
        <v>#DIV/0!</v>
      </c>
    </row>
    <row r="64" spans="1:27" x14ac:dyDescent="0.15">
      <c r="A64" s="46">
        <v>62</v>
      </c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53" t="e">
        <f t="shared" si="9"/>
        <v>#DIV/0!</v>
      </c>
      <c r="M64" s="53" t="e">
        <f t="shared" si="10"/>
        <v>#DIV/0!</v>
      </c>
      <c r="N64" s="53" t="e">
        <f t="shared" si="11"/>
        <v>#DIV/0!</v>
      </c>
      <c r="O64" s="53" t="e">
        <f t="shared" si="12"/>
        <v>#DIV/0!</v>
      </c>
      <c r="P64" s="69"/>
      <c r="Q64" s="69"/>
      <c r="R64" s="53" t="e">
        <f t="shared" si="13"/>
        <v>#DIV/0!</v>
      </c>
      <c r="S64" s="53" t="e">
        <f t="shared" si="14"/>
        <v>#DIV/0!</v>
      </c>
      <c r="T64" s="53" t="e">
        <f t="shared" si="15"/>
        <v>#DIV/0!</v>
      </c>
      <c r="U64" s="53" t="e">
        <f t="shared" si="8"/>
        <v>#DIV/0!</v>
      </c>
      <c r="V64" s="53" t="e">
        <f>V63+ATM_Conf!$C$5*(Nodes!AL63)/('Off-Ramp'!K249*AA249)</f>
        <v>#DIV/0!</v>
      </c>
      <c r="W64" s="53" t="e">
        <f>W63+ATM_Conf!$C$5*(Nodes!AM63)/('Off-Ramp'!L249*AB249)</f>
        <v>#DIV/0!</v>
      </c>
      <c r="X64" s="53" t="e">
        <f>X63+ATM_Conf!$C$5*(Nodes!AN63)/('Off-Ramp'!M249*AC249)</f>
        <v>#DIV/0!</v>
      </c>
      <c r="Y64" s="53" t="e">
        <f>Y63+ATM_Conf!$C$5*(Nodes!AO63)/('Off-Ramp'!N249*AD249)</f>
        <v>#DIV/0!</v>
      </c>
      <c r="Z64" s="53" t="e">
        <f>Z63+ATM_Conf!$C$5*(Nodes!AP63)/('Off-Ramp'!O249*AE249)</f>
        <v>#DIV/0!</v>
      </c>
      <c r="AA64" s="53" t="e">
        <f>AA63+ATM_Conf!$C$5*(Nodes!AQ63)/('Off-Ramp'!P249*AF249)</f>
        <v>#DIV/0!</v>
      </c>
    </row>
    <row r="65" spans="1:27" x14ac:dyDescent="0.15">
      <c r="A65" s="46">
        <v>63</v>
      </c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53" t="e">
        <f t="shared" si="9"/>
        <v>#DIV/0!</v>
      </c>
      <c r="M65" s="53" t="e">
        <f t="shared" si="10"/>
        <v>#DIV/0!</v>
      </c>
      <c r="N65" s="53" t="e">
        <f t="shared" si="11"/>
        <v>#DIV/0!</v>
      </c>
      <c r="O65" s="53" t="e">
        <f t="shared" si="12"/>
        <v>#DIV/0!</v>
      </c>
      <c r="P65" s="69"/>
      <c r="Q65" s="69"/>
      <c r="R65" s="53" t="e">
        <f t="shared" si="13"/>
        <v>#DIV/0!</v>
      </c>
      <c r="S65" s="53" t="e">
        <f t="shared" si="14"/>
        <v>#DIV/0!</v>
      </c>
      <c r="T65" s="53" t="e">
        <f t="shared" si="15"/>
        <v>#DIV/0!</v>
      </c>
      <c r="U65" s="53" t="e">
        <f t="shared" si="8"/>
        <v>#DIV/0!</v>
      </c>
      <c r="V65" s="53" t="e">
        <f>V64+ATM_Conf!$C$5*(Nodes!AL64)/('Off-Ramp'!K250*AA250)</f>
        <v>#DIV/0!</v>
      </c>
      <c r="W65" s="53" t="e">
        <f>W64+ATM_Conf!$C$5*(Nodes!AM64)/('Off-Ramp'!L250*AB250)</f>
        <v>#DIV/0!</v>
      </c>
      <c r="X65" s="53" t="e">
        <f>X64+ATM_Conf!$C$5*(Nodes!AN64)/('Off-Ramp'!M250*AC250)</f>
        <v>#DIV/0!</v>
      </c>
      <c r="Y65" s="53" t="e">
        <f>Y64+ATM_Conf!$C$5*(Nodes!AO64)/('Off-Ramp'!N250*AD250)</f>
        <v>#DIV/0!</v>
      </c>
      <c r="Z65" s="53" t="e">
        <f>Z64+ATM_Conf!$C$5*(Nodes!AP64)/('Off-Ramp'!O250*AE250)</f>
        <v>#DIV/0!</v>
      </c>
      <c r="AA65" s="53" t="e">
        <f>AA64+ATM_Conf!$C$5*(Nodes!AQ64)/('Off-Ramp'!P250*AF250)</f>
        <v>#DIV/0!</v>
      </c>
    </row>
    <row r="66" spans="1:27" x14ac:dyDescent="0.15">
      <c r="A66" s="46">
        <v>64</v>
      </c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53" t="e">
        <f t="shared" si="9"/>
        <v>#DIV/0!</v>
      </c>
      <c r="M66" s="53" t="e">
        <f t="shared" si="10"/>
        <v>#DIV/0!</v>
      </c>
      <c r="N66" s="53" t="e">
        <f t="shared" si="11"/>
        <v>#DIV/0!</v>
      </c>
      <c r="O66" s="53" t="e">
        <f t="shared" si="12"/>
        <v>#DIV/0!</v>
      </c>
      <c r="P66" s="69"/>
      <c r="Q66" s="69"/>
      <c r="R66" s="53" t="e">
        <f t="shared" si="13"/>
        <v>#DIV/0!</v>
      </c>
      <c r="S66" s="53" t="e">
        <f t="shared" si="14"/>
        <v>#DIV/0!</v>
      </c>
      <c r="T66" s="53" t="e">
        <f t="shared" si="15"/>
        <v>#DIV/0!</v>
      </c>
      <c r="U66" s="53" t="e">
        <f t="shared" si="8"/>
        <v>#DIV/0!</v>
      </c>
      <c r="V66" s="53" t="e">
        <f>V65+ATM_Conf!$C$5*(Nodes!AL65)/('Off-Ramp'!K251*AA251)</f>
        <v>#DIV/0!</v>
      </c>
      <c r="W66" s="53" t="e">
        <f>W65+ATM_Conf!$C$5*(Nodes!AM65)/('Off-Ramp'!L251*AB251)</f>
        <v>#DIV/0!</v>
      </c>
      <c r="X66" s="53" t="e">
        <f>X65+ATM_Conf!$C$5*(Nodes!AN65)/('Off-Ramp'!M251*AC251)</f>
        <v>#DIV/0!</v>
      </c>
      <c r="Y66" s="53" t="e">
        <f>Y65+ATM_Conf!$C$5*(Nodes!AO65)/('Off-Ramp'!N251*AD251)</f>
        <v>#DIV/0!</v>
      </c>
      <c r="Z66" s="53" t="e">
        <f>Z65+ATM_Conf!$C$5*(Nodes!AP65)/('Off-Ramp'!O251*AE251)</f>
        <v>#DIV/0!</v>
      </c>
      <c r="AA66" s="53" t="e">
        <f>AA65+ATM_Conf!$C$5*(Nodes!AQ65)/('Off-Ramp'!P251*AF251)</f>
        <v>#DIV/0!</v>
      </c>
    </row>
    <row r="67" spans="1:27" x14ac:dyDescent="0.15">
      <c r="A67" s="46">
        <v>65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53" t="e">
        <f t="shared" si="9"/>
        <v>#DIV/0!</v>
      </c>
      <c r="M67" s="53" t="e">
        <f t="shared" si="10"/>
        <v>#DIV/0!</v>
      </c>
      <c r="N67" s="53" t="e">
        <f t="shared" si="11"/>
        <v>#DIV/0!</v>
      </c>
      <c r="O67" s="53" t="e">
        <f t="shared" si="12"/>
        <v>#DIV/0!</v>
      </c>
      <c r="P67" s="69"/>
      <c r="Q67" s="69"/>
      <c r="R67" s="53" t="e">
        <f t="shared" si="13"/>
        <v>#DIV/0!</v>
      </c>
      <c r="S67" s="53" t="e">
        <f t="shared" si="14"/>
        <v>#DIV/0!</v>
      </c>
      <c r="T67" s="53" t="e">
        <f t="shared" si="15"/>
        <v>#DIV/0!</v>
      </c>
      <c r="U67" s="53" t="e">
        <f t="shared" si="8"/>
        <v>#DIV/0!</v>
      </c>
      <c r="V67" s="53" t="e">
        <f>V66+ATM_Conf!$C$5*(Nodes!AL66)/('Off-Ramp'!K252*AA252)</f>
        <v>#DIV/0!</v>
      </c>
      <c r="W67" s="53" t="e">
        <f>W66+ATM_Conf!$C$5*(Nodes!AM66)/('Off-Ramp'!L252*AB252)</f>
        <v>#DIV/0!</v>
      </c>
      <c r="X67" s="53" t="e">
        <f>X66+ATM_Conf!$C$5*(Nodes!AN66)/('Off-Ramp'!M252*AC252)</f>
        <v>#DIV/0!</v>
      </c>
      <c r="Y67" s="53" t="e">
        <f>Y66+ATM_Conf!$C$5*(Nodes!AO66)/('Off-Ramp'!N252*AD252)</f>
        <v>#DIV/0!</v>
      </c>
      <c r="Z67" s="53" t="e">
        <f>Z66+ATM_Conf!$C$5*(Nodes!AP66)/('Off-Ramp'!O252*AE252)</f>
        <v>#DIV/0!</v>
      </c>
      <c r="AA67" s="53" t="e">
        <f>AA66+ATM_Conf!$C$5*(Nodes!AQ66)/('Off-Ramp'!P252*AF252)</f>
        <v>#DIV/0!</v>
      </c>
    </row>
    <row r="68" spans="1:27" x14ac:dyDescent="0.15">
      <c r="A68" s="46">
        <v>66</v>
      </c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53" t="e">
        <f t="shared" ref="L68:L99" si="16">B68/60/A$189</f>
        <v>#DIV/0!</v>
      </c>
      <c r="M68" s="53" t="e">
        <f t="shared" ref="M68:M99" si="17">C68/60/B$189</f>
        <v>#DIV/0!</v>
      </c>
      <c r="N68" s="53" t="e">
        <f t="shared" ref="N68:N99" si="18">D68/60/C$189</f>
        <v>#DIV/0!</v>
      </c>
      <c r="O68" s="53" t="e">
        <f t="shared" ref="O68:O99" si="19">E68/60/D$189</f>
        <v>#DIV/0!</v>
      </c>
      <c r="P68" s="69"/>
      <c r="Q68" s="69"/>
      <c r="R68" s="53" t="e">
        <f t="shared" ref="R68:R99" si="20">H68/60/G$189</f>
        <v>#DIV/0!</v>
      </c>
      <c r="S68" s="53" t="e">
        <f t="shared" ref="S68:S99" si="21">I68/60/H$189</f>
        <v>#DIV/0!</v>
      </c>
      <c r="T68" s="53" t="e">
        <f t="shared" ref="T68:T99" si="22">J68/60/I$189</f>
        <v>#DIV/0!</v>
      </c>
      <c r="U68" s="53" t="e">
        <f t="shared" ref="U68:U131" si="23">K68/60/J$189</f>
        <v>#DIV/0!</v>
      </c>
      <c r="V68" s="53" t="e">
        <f>V67+ATM_Conf!$C$5*(Nodes!AL67)/('Off-Ramp'!K253*AA253)</f>
        <v>#DIV/0!</v>
      </c>
      <c r="W68" s="53" t="e">
        <f>W67+ATM_Conf!$C$5*(Nodes!AM67)/('Off-Ramp'!L253*AB253)</f>
        <v>#DIV/0!</v>
      </c>
      <c r="X68" s="53" t="e">
        <f>X67+ATM_Conf!$C$5*(Nodes!AN67)/('Off-Ramp'!M253*AC253)</f>
        <v>#DIV/0!</v>
      </c>
      <c r="Y68" s="53" t="e">
        <f>Y67+ATM_Conf!$C$5*(Nodes!AO67)/('Off-Ramp'!N253*AD253)</f>
        <v>#DIV/0!</v>
      </c>
      <c r="Z68" s="53" t="e">
        <f>Z67+ATM_Conf!$C$5*(Nodes!AP67)/('Off-Ramp'!O253*AE253)</f>
        <v>#DIV/0!</v>
      </c>
      <c r="AA68" s="53" t="e">
        <f>AA67+ATM_Conf!$C$5*(Nodes!AQ67)/('Off-Ramp'!P253*AF253)</f>
        <v>#DIV/0!</v>
      </c>
    </row>
    <row r="69" spans="1:27" x14ac:dyDescent="0.15">
      <c r="A69" s="46">
        <v>67</v>
      </c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53" t="e">
        <f t="shared" si="16"/>
        <v>#DIV/0!</v>
      </c>
      <c r="M69" s="53" t="e">
        <f t="shared" si="17"/>
        <v>#DIV/0!</v>
      </c>
      <c r="N69" s="53" t="e">
        <f t="shared" si="18"/>
        <v>#DIV/0!</v>
      </c>
      <c r="O69" s="53" t="e">
        <f t="shared" si="19"/>
        <v>#DIV/0!</v>
      </c>
      <c r="P69" s="69"/>
      <c r="Q69" s="69"/>
      <c r="R69" s="53" t="e">
        <f t="shared" si="20"/>
        <v>#DIV/0!</v>
      </c>
      <c r="S69" s="53" t="e">
        <f t="shared" si="21"/>
        <v>#DIV/0!</v>
      </c>
      <c r="T69" s="53" t="e">
        <f t="shared" si="22"/>
        <v>#DIV/0!</v>
      </c>
      <c r="U69" s="53" t="e">
        <f t="shared" si="23"/>
        <v>#DIV/0!</v>
      </c>
      <c r="V69" s="53" t="e">
        <f>V68+ATM_Conf!$C$5*(Nodes!AL68)/('Off-Ramp'!K254*AA254)</f>
        <v>#DIV/0!</v>
      </c>
      <c r="W69" s="53" t="e">
        <f>W68+ATM_Conf!$C$5*(Nodes!AM68)/('Off-Ramp'!L254*AB254)</f>
        <v>#DIV/0!</v>
      </c>
      <c r="X69" s="53" t="e">
        <f>X68+ATM_Conf!$C$5*(Nodes!AN68)/('Off-Ramp'!M254*AC254)</f>
        <v>#DIV/0!</v>
      </c>
      <c r="Y69" s="53" t="e">
        <f>Y68+ATM_Conf!$C$5*(Nodes!AO68)/('Off-Ramp'!N254*AD254)</f>
        <v>#DIV/0!</v>
      </c>
      <c r="Z69" s="53" t="e">
        <f>Z68+ATM_Conf!$C$5*(Nodes!AP68)/('Off-Ramp'!O254*AE254)</f>
        <v>#DIV/0!</v>
      </c>
      <c r="AA69" s="53" t="e">
        <f>AA68+ATM_Conf!$C$5*(Nodes!AQ68)/('Off-Ramp'!P254*AF254)</f>
        <v>#DIV/0!</v>
      </c>
    </row>
    <row r="70" spans="1:27" x14ac:dyDescent="0.15">
      <c r="A70" s="46">
        <v>68</v>
      </c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53" t="e">
        <f t="shared" si="16"/>
        <v>#DIV/0!</v>
      </c>
      <c r="M70" s="53" t="e">
        <f t="shared" si="17"/>
        <v>#DIV/0!</v>
      </c>
      <c r="N70" s="53" t="e">
        <f t="shared" si="18"/>
        <v>#DIV/0!</v>
      </c>
      <c r="O70" s="53" t="e">
        <f t="shared" si="19"/>
        <v>#DIV/0!</v>
      </c>
      <c r="P70" s="69"/>
      <c r="Q70" s="69"/>
      <c r="R70" s="53" t="e">
        <f t="shared" si="20"/>
        <v>#DIV/0!</v>
      </c>
      <c r="S70" s="53" t="e">
        <f t="shared" si="21"/>
        <v>#DIV/0!</v>
      </c>
      <c r="T70" s="53" t="e">
        <f t="shared" si="22"/>
        <v>#DIV/0!</v>
      </c>
      <c r="U70" s="53" t="e">
        <f t="shared" si="23"/>
        <v>#DIV/0!</v>
      </c>
      <c r="V70" s="53" t="e">
        <f>V69+ATM_Conf!$C$5*(Nodes!AL69)/('Off-Ramp'!K255*AA255)</f>
        <v>#DIV/0!</v>
      </c>
      <c r="W70" s="53" t="e">
        <f>W69+ATM_Conf!$C$5*(Nodes!AM69)/('Off-Ramp'!L255*AB255)</f>
        <v>#DIV/0!</v>
      </c>
      <c r="X70" s="53" t="e">
        <f>X69+ATM_Conf!$C$5*(Nodes!AN69)/('Off-Ramp'!M255*AC255)</f>
        <v>#DIV/0!</v>
      </c>
      <c r="Y70" s="53" t="e">
        <f>Y69+ATM_Conf!$C$5*(Nodes!AO69)/('Off-Ramp'!N255*AD255)</f>
        <v>#DIV/0!</v>
      </c>
      <c r="Z70" s="53" t="e">
        <f>Z69+ATM_Conf!$C$5*(Nodes!AP69)/('Off-Ramp'!O255*AE255)</f>
        <v>#DIV/0!</v>
      </c>
      <c r="AA70" s="53" t="e">
        <f>AA69+ATM_Conf!$C$5*(Nodes!AQ69)/('Off-Ramp'!P255*AF255)</f>
        <v>#DIV/0!</v>
      </c>
    </row>
    <row r="71" spans="1:27" x14ac:dyDescent="0.15">
      <c r="A71" s="46">
        <v>69</v>
      </c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53" t="e">
        <f t="shared" si="16"/>
        <v>#DIV/0!</v>
      </c>
      <c r="M71" s="53" t="e">
        <f t="shared" si="17"/>
        <v>#DIV/0!</v>
      </c>
      <c r="N71" s="53" t="e">
        <f t="shared" si="18"/>
        <v>#DIV/0!</v>
      </c>
      <c r="O71" s="53" t="e">
        <f t="shared" si="19"/>
        <v>#DIV/0!</v>
      </c>
      <c r="P71" s="69"/>
      <c r="Q71" s="69"/>
      <c r="R71" s="53" t="e">
        <f t="shared" si="20"/>
        <v>#DIV/0!</v>
      </c>
      <c r="S71" s="53" t="e">
        <f t="shared" si="21"/>
        <v>#DIV/0!</v>
      </c>
      <c r="T71" s="53" t="e">
        <f t="shared" si="22"/>
        <v>#DIV/0!</v>
      </c>
      <c r="U71" s="53" t="e">
        <f t="shared" si="23"/>
        <v>#DIV/0!</v>
      </c>
      <c r="V71" s="53" t="e">
        <f>V70+ATM_Conf!$C$5*(Nodes!AL70)/('Off-Ramp'!K256*AA256)</f>
        <v>#DIV/0!</v>
      </c>
      <c r="W71" s="53" t="e">
        <f>W70+ATM_Conf!$C$5*(Nodes!AM70)/('Off-Ramp'!L256*AB256)</f>
        <v>#DIV/0!</v>
      </c>
      <c r="X71" s="53" t="e">
        <f>X70+ATM_Conf!$C$5*(Nodes!AN70)/('Off-Ramp'!M256*AC256)</f>
        <v>#DIV/0!</v>
      </c>
      <c r="Y71" s="53" t="e">
        <f>Y70+ATM_Conf!$C$5*(Nodes!AO70)/('Off-Ramp'!N256*AD256)</f>
        <v>#DIV/0!</v>
      </c>
      <c r="Z71" s="53" t="e">
        <f>Z70+ATM_Conf!$C$5*(Nodes!AP70)/('Off-Ramp'!O256*AE256)</f>
        <v>#DIV/0!</v>
      </c>
      <c r="AA71" s="53" t="e">
        <f>AA70+ATM_Conf!$C$5*(Nodes!AQ70)/('Off-Ramp'!P256*AF256)</f>
        <v>#DIV/0!</v>
      </c>
    </row>
    <row r="72" spans="1:27" x14ac:dyDescent="0.15">
      <c r="A72" s="46">
        <v>70</v>
      </c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53" t="e">
        <f t="shared" si="16"/>
        <v>#DIV/0!</v>
      </c>
      <c r="M72" s="53" t="e">
        <f t="shared" si="17"/>
        <v>#DIV/0!</v>
      </c>
      <c r="N72" s="53" t="e">
        <f t="shared" si="18"/>
        <v>#DIV/0!</v>
      </c>
      <c r="O72" s="53" t="e">
        <f t="shared" si="19"/>
        <v>#DIV/0!</v>
      </c>
      <c r="P72" s="69"/>
      <c r="Q72" s="69"/>
      <c r="R72" s="53" t="e">
        <f t="shared" si="20"/>
        <v>#DIV/0!</v>
      </c>
      <c r="S72" s="53" t="e">
        <f t="shared" si="21"/>
        <v>#DIV/0!</v>
      </c>
      <c r="T72" s="53" t="e">
        <f t="shared" si="22"/>
        <v>#DIV/0!</v>
      </c>
      <c r="U72" s="53" t="e">
        <f t="shared" si="23"/>
        <v>#DIV/0!</v>
      </c>
      <c r="V72" s="53" t="e">
        <f>V71+ATM_Conf!$C$5*(Nodes!AL71)/('Off-Ramp'!K257*AA257)</f>
        <v>#DIV/0!</v>
      </c>
      <c r="W72" s="53" t="e">
        <f>W71+ATM_Conf!$C$5*(Nodes!AM71)/('Off-Ramp'!L257*AB257)</f>
        <v>#DIV/0!</v>
      </c>
      <c r="X72" s="53" t="e">
        <f>X71+ATM_Conf!$C$5*(Nodes!AN71)/('Off-Ramp'!M257*AC257)</f>
        <v>#DIV/0!</v>
      </c>
      <c r="Y72" s="53" t="e">
        <f>Y71+ATM_Conf!$C$5*(Nodes!AO71)/('Off-Ramp'!N257*AD257)</f>
        <v>#DIV/0!</v>
      </c>
      <c r="Z72" s="53" t="e">
        <f>Z71+ATM_Conf!$C$5*(Nodes!AP71)/('Off-Ramp'!O257*AE257)</f>
        <v>#DIV/0!</v>
      </c>
      <c r="AA72" s="53" t="e">
        <f>AA71+ATM_Conf!$C$5*(Nodes!AQ71)/('Off-Ramp'!P257*AF257)</f>
        <v>#DIV/0!</v>
      </c>
    </row>
    <row r="73" spans="1:27" x14ac:dyDescent="0.15">
      <c r="A73" s="46">
        <v>71</v>
      </c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53" t="e">
        <f t="shared" si="16"/>
        <v>#DIV/0!</v>
      </c>
      <c r="M73" s="53" t="e">
        <f t="shared" si="17"/>
        <v>#DIV/0!</v>
      </c>
      <c r="N73" s="53" t="e">
        <f t="shared" si="18"/>
        <v>#DIV/0!</v>
      </c>
      <c r="O73" s="53" t="e">
        <f t="shared" si="19"/>
        <v>#DIV/0!</v>
      </c>
      <c r="P73" s="69"/>
      <c r="Q73" s="69"/>
      <c r="R73" s="53" t="e">
        <f t="shared" si="20"/>
        <v>#DIV/0!</v>
      </c>
      <c r="S73" s="53" t="e">
        <f t="shared" si="21"/>
        <v>#DIV/0!</v>
      </c>
      <c r="T73" s="53" t="e">
        <f t="shared" si="22"/>
        <v>#DIV/0!</v>
      </c>
      <c r="U73" s="53" t="e">
        <f t="shared" si="23"/>
        <v>#DIV/0!</v>
      </c>
      <c r="V73" s="53" t="e">
        <f>V72+ATM_Conf!$C$5*(Nodes!AL72)/('Off-Ramp'!K258*AA258)</f>
        <v>#DIV/0!</v>
      </c>
      <c r="W73" s="53" t="e">
        <f>W72+ATM_Conf!$C$5*(Nodes!AM72)/('Off-Ramp'!L258*AB258)</f>
        <v>#DIV/0!</v>
      </c>
      <c r="X73" s="53" t="e">
        <f>X72+ATM_Conf!$C$5*(Nodes!AN72)/('Off-Ramp'!M258*AC258)</f>
        <v>#DIV/0!</v>
      </c>
      <c r="Y73" s="53" t="e">
        <f>Y72+ATM_Conf!$C$5*(Nodes!AO72)/('Off-Ramp'!N258*AD258)</f>
        <v>#DIV/0!</v>
      </c>
      <c r="Z73" s="53" t="e">
        <f>Z72+ATM_Conf!$C$5*(Nodes!AP72)/('Off-Ramp'!O258*AE258)</f>
        <v>#DIV/0!</v>
      </c>
      <c r="AA73" s="53" t="e">
        <f>AA72+ATM_Conf!$C$5*(Nodes!AQ72)/('Off-Ramp'!P258*AF258)</f>
        <v>#DIV/0!</v>
      </c>
    </row>
    <row r="74" spans="1:27" x14ac:dyDescent="0.15">
      <c r="A74" s="46">
        <v>72</v>
      </c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53" t="e">
        <f t="shared" si="16"/>
        <v>#DIV/0!</v>
      </c>
      <c r="M74" s="53" t="e">
        <f t="shared" si="17"/>
        <v>#DIV/0!</v>
      </c>
      <c r="N74" s="53" t="e">
        <f t="shared" si="18"/>
        <v>#DIV/0!</v>
      </c>
      <c r="O74" s="53" t="e">
        <f t="shared" si="19"/>
        <v>#DIV/0!</v>
      </c>
      <c r="P74" s="69"/>
      <c r="Q74" s="69"/>
      <c r="R74" s="53" t="e">
        <f t="shared" si="20"/>
        <v>#DIV/0!</v>
      </c>
      <c r="S74" s="53" t="e">
        <f t="shared" si="21"/>
        <v>#DIV/0!</v>
      </c>
      <c r="T74" s="53" t="e">
        <f t="shared" si="22"/>
        <v>#DIV/0!</v>
      </c>
      <c r="U74" s="53" t="e">
        <f t="shared" si="23"/>
        <v>#DIV/0!</v>
      </c>
      <c r="V74" s="53" t="e">
        <f>V73+ATM_Conf!$C$5*(Nodes!AL73)/('Off-Ramp'!K259*AA259)</f>
        <v>#DIV/0!</v>
      </c>
      <c r="W74" s="53" t="e">
        <f>W73+ATM_Conf!$C$5*(Nodes!AM73)/('Off-Ramp'!L259*AB259)</f>
        <v>#DIV/0!</v>
      </c>
      <c r="X74" s="53" t="e">
        <f>X73+ATM_Conf!$C$5*(Nodes!AN73)/('Off-Ramp'!M259*AC259)</f>
        <v>#DIV/0!</v>
      </c>
      <c r="Y74" s="53" t="e">
        <f>Y73+ATM_Conf!$C$5*(Nodes!AO73)/('Off-Ramp'!N259*AD259)</f>
        <v>#DIV/0!</v>
      </c>
      <c r="Z74" s="53" t="e">
        <f>Z73+ATM_Conf!$C$5*(Nodes!AP73)/('Off-Ramp'!O259*AE259)</f>
        <v>#DIV/0!</v>
      </c>
      <c r="AA74" s="53" t="e">
        <f>AA73+ATM_Conf!$C$5*(Nodes!AQ73)/('Off-Ramp'!P259*AF259)</f>
        <v>#DIV/0!</v>
      </c>
    </row>
    <row r="75" spans="1:27" x14ac:dyDescent="0.15">
      <c r="A75" s="46">
        <v>73</v>
      </c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53" t="e">
        <f t="shared" si="16"/>
        <v>#DIV/0!</v>
      </c>
      <c r="M75" s="53" t="e">
        <f t="shared" si="17"/>
        <v>#DIV/0!</v>
      </c>
      <c r="N75" s="53" t="e">
        <f t="shared" si="18"/>
        <v>#DIV/0!</v>
      </c>
      <c r="O75" s="53" t="e">
        <f t="shared" si="19"/>
        <v>#DIV/0!</v>
      </c>
      <c r="P75" s="69"/>
      <c r="Q75" s="69"/>
      <c r="R75" s="53" t="e">
        <f t="shared" si="20"/>
        <v>#DIV/0!</v>
      </c>
      <c r="S75" s="53" t="e">
        <f t="shared" si="21"/>
        <v>#DIV/0!</v>
      </c>
      <c r="T75" s="53" t="e">
        <f t="shared" si="22"/>
        <v>#DIV/0!</v>
      </c>
      <c r="U75" s="53" t="e">
        <f t="shared" si="23"/>
        <v>#DIV/0!</v>
      </c>
      <c r="V75" s="53" t="e">
        <f>V74+ATM_Conf!$C$5*(Nodes!AL74)/('Off-Ramp'!K260*AA260)</f>
        <v>#DIV/0!</v>
      </c>
      <c r="W75" s="53" t="e">
        <f>W74+ATM_Conf!$C$5*(Nodes!AM74)/('Off-Ramp'!L260*AB260)</f>
        <v>#DIV/0!</v>
      </c>
      <c r="X75" s="53" t="e">
        <f>X74+ATM_Conf!$C$5*(Nodes!AN74)/('Off-Ramp'!M260*AC260)</f>
        <v>#DIV/0!</v>
      </c>
      <c r="Y75" s="53" t="e">
        <f>Y74+ATM_Conf!$C$5*(Nodes!AO74)/('Off-Ramp'!N260*AD260)</f>
        <v>#DIV/0!</v>
      </c>
      <c r="Z75" s="53" t="e">
        <f>Z74+ATM_Conf!$C$5*(Nodes!AP74)/('Off-Ramp'!O260*AE260)</f>
        <v>#DIV/0!</v>
      </c>
      <c r="AA75" s="53" t="e">
        <f>AA74+ATM_Conf!$C$5*(Nodes!AQ74)/('Off-Ramp'!P260*AF260)</f>
        <v>#DIV/0!</v>
      </c>
    </row>
    <row r="76" spans="1:27" x14ac:dyDescent="0.15">
      <c r="A76" s="46">
        <v>74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53" t="e">
        <f t="shared" si="16"/>
        <v>#DIV/0!</v>
      </c>
      <c r="M76" s="53" t="e">
        <f t="shared" si="17"/>
        <v>#DIV/0!</v>
      </c>
      <c r="N76" s="53" t="e">
        <f t="shared" si="18"/>
        <v>#DIV/0!</v>
      </c>
      <c r="O76" s="53" t="e">
        <f t="shared" si="19"/>
        <v>#DIV/0!</v>
      </c>
      <c r="P76" s="69"/>
      <c r="Q76" s="69"/>
      <c r="R76" s="53" t="e">
        <f t="shared" si="20"/>
        <v>#DIV/0!</v>
      </c>
      <c r="S76" s="53" t="e">
        <f t="shared" si="21"/>
        <v>#DIV/0!</v>
      </c>
      <c r="T76" s="53" t="e">
        <f t="shared" si="22"/>
        <v>#DIV/0!</v>
      </c>
      <c r="U76" s="53" t="e">
        <f t="shared" si="23"/>
        <v>#DIV/0!</v>
      </c>
      <c r="V76" s="53" t="e">
        <f>V75+ATM_Conf!$C$5*(Nodes!AL75)/('Off-Ramp'!K261*AA261)</f>
        <v>#DIV/0!</v>
      </c>
      <c r="W76" s="53" t="e">
        <f>W75+ATM_Conf!$C$5*(Nodes!AM75)/('Off-Ramp'!L261*AB261)</f>
        <v>#DIV/0!</v>
      </c>
      <c r="X76" s="53" t="e">
        <f>X75+ATM_Conf!$C$5*(Nodes!AN75)/('Off-Ramp'!M261*AC261)</f>
        <v>#DIV/0!</v>
      </c>
      <c r="Y76" s="53" t="e">
        <f>Y75+ATM_Conf!$C$5*(Nodes!AO75)/('Off-Ramp'!N261*AD261)</f>
        <v>#DIV/0!</v>
      </c>
      <c r="Z76" s="53" t="e">
        <f>Z75+ATM_Conf!$C$5*(Nodes!AP75)/('Off-Ramp'!O261*AE261)</f>
        <v>#DIV/0!</v>
      </c>
      <c r="AA76" s="53" t="e">
        <f>AA75+ATM_Conf!$C$5*(Nodes!AQ75)/('Off-Ramp'!P261*AF261)</f>
        <v>#DIV/0!</v>
      </c>
    </row>
    <row r="77" spans="1:27" x14ac:dyDescent="0.15">
      <c r="A77" s="46">
        <v>75</v>
      </c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53" t="e">
        <f t="shared" si="16"/>
        <v>#DIV/0!</v>
      </c>
      <c r="M77" s="53" t="e">
        <f t="shared" si="17"/>
        <v>#DIV/0!</v>
      </c>
      <c r="N77" s="53" t="e">
        <f t="shared" si="18"/>
        <v>#DIV/0!</v>
      </c>
      <c r="O77" s="53" t="e">
        <f t="shared" si="19"/>
        <v>#DIV/0!</v>
      </c>
      <c r="P77" s="69"/>
      <c r="Q77" s="69"/>
      <c r="R77" s="53" t="e">
        <f t="shared" si="20"/>
        <v>#DIV/0!</v>
      </c>
      <c r="S77" s="53" t="e">
        <f t="shared" si="21"/>
        <v>#DIV/0!</v>
      </c>
      <c r="T77" s="53" t="e">
        <f t="shared" si="22"/>
        <v>#DIV/0!</v>
      </c>
      <c r="U77" s="53" t="e">
        <f t="shared" si="23"/>
        <v>#DIV/0!</v>
      </c>
      <c r="V77" s="53" t="e">
        <f>V76+ATM_Conf!$C$5*(Nodes!AL76)/('Off-Ramp'!K262*AA262)</f>
        <v>#DIV/0!</v>
      </c>
      <c r="W77" s="53" t="e">
        <f>W76+ATM_Conf!$C$5*(Nodes!AM76)/('Off-Ramp'!L262*AB262)</f>
        <v>#DIV/0!</v>
      </c>
      <c r="X77" s="53" t="e">
        <f>X76+ATM_Conf!$C$5*(Nodes!AN76)/('Off-Ramp'!M262*AC262)</f>
        <v>#DIV/0!</v>
      </c>
      <c r="Y77" s="53" t="e">
        <f>Y76+ATM_Conf!$C$5*(Nodes!AO76)/('Off-Ramp'!N262*AD262)</f>
        <v>#DIV/0!</v>
      </c>
      <c r="Z77" s="53" t="e">
        <f>Z76+ATM_Conf!$C$5*(Nodes!AP76)/('Off-Ramp'!O262*AE262)</f>
        <v>#DIV/0!</v>
      </c>
      <c r="AA77" s="53" t="e">
        <f>AA76+ATM_Conf!$C$5*(Nodes!AQ76)/('Off-Ramp'!P262*AF262)</f>
        <v>#DIV/0!</v>
      </c>
    </row>
    <row r="78" spans="1:27" x14ac:dyDescent="0.15">
      <c r="A78" s="46">
        <v>76</v>
      </c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53" t="e">
        <f t="shared" si="16"/>
        <v>#DIV/0!</v>
      </c>
      <c r="M78" s="53" t="e">
        <f t="shared" si="17"/>
        <v>#DIV/0!</v>
      </c>
      <c r="N78" s="53" t="e">
        <f t="shared" si="18"/>
        <v>#DIV/0!</v>
      </c>
      <c r="O78" s="53" t="e">
        <f t="shared" si="19"/>
        <v>#DIV/0!</v>
      </c>
      <c r="P78" s="69"/>
      <c r="Q78" s="69"/>
      <c r="R78" s="53" t="e">
        <f t="shared" si="20"/>
        <v>#DIV/0!</v>
      </c>
      <c r="S78" s="53" t="e">
        <f t="shared" si="21"/>
        <v>#DIV/0!</v>
      </c>
      <c r="T78" s="53" t="e">
        <f t="shared" si="22"/>
        <v>#DIV/0!</v>
      </c>
      <c r="U78" s="53" t="e">
        <f t="shared" si="23"/>
        <v>#DIV/0!</v>
      </c>
      <c r="V78" s="53" t="e">
        <f>V77+ATM_Conf!$C$5*(Nodes!AL77)/('Off-Ramp'!K263*AA263)</f>
        <v>#DIV/0!</v>
      </c>
      <c r="W78" s="53" t="e">
        <f>W77+ATM_Conf!$C$5*(Nodes!AM77)/('Off-Ramp'!L263*AB263)</f>
        <v>#DIV/0!</v>
      </c>
      <c r="X78" s="53" t="e">
        <f>X77+ATM_Conf!$C$5*(Nodes!AN77)/('Off-Ramp'!M263*AC263)</f>
        <v>#DIV/0!</v>
      </c>
      <c r="Y78" s="53" t="e">
        <f>Y77+ATM_Conf!$C$5*(Nodes!AO77)/('Off-Ramp'!N263*AD263)</f>
        <v>#DIV/0!</v>
      </c>
      <c r="Z78" s="53" t="e">
        <f>Z77+ATM_Conf!$C$5*(Nodes!AP77)/('Off-Ramp'!O263*AE263)</f>
        <v>#DIV/0!</v>
      </c>
      <c r="AA78" s="53" t="e">
        <f>AA77+ATM_Conf!$C$5*(Nodes!AQ77)/('Off-Ramp'!P263*AF263)</f>
        <v>#DIV/0!</v>
      </c>
    </row>
    <row r="79" spans="1:27" x14ac:dyDescent="0.15">
      <c r="A79" s="46">
        <v>77</v>
      </c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53" t="e">
        <f t="shared" si="16"/>
        <v>#DIV/0!</v>
      </c>
      <c r="M79" s="53" t="e">
        <f t="shared" si="17"/>
        <v>#DIV/0!</v>
      </c>
      <c r="N79" s="53" t="e">
        <f t="shared" si="18"/>
        <v>#DIV/0!</v>
      </c>
      <c r="O79" s="53" t="e">
        <f t="shared" si="19"/>
        <v>#DIV/0!</v>
      </c>
      <c r="P79" s="69"/>
      <c r="Q79" s="69"/>
      <c r="R79" s="53" t="e">
        <f t="shared" si="20"/>
        <v>#DIV/0!</v>
      </c>
      <c r="S79" s="53" t="e">
        <f t="shared" si="21"/>
        <v>#DIV/0!</v>
      </c>
      <c r="T79" s="53" t="e">
        <f t="shared" si="22"/>
        <v>#DIV/0!</v>
      </c>
      <c r="U79" s="53" t="e">
        <f t="shared" si="23"/>
        <v>#DIV/0!</v>
      </c>
      <c r="V79" s="53" t="e">
        <f>V78+ATM_Conf!$C$5*(Nodes!AL78)/('Off-Ramp'!K264*AA264)</f>
        <v>#DIV/0!</v>
      </c>
      <c r="W79" s="53" t="e">
        <f>W78+ATM_Conf!$C$5*(Nodes!AM78)/('Off-Ramp'!L264*AB264)</f>
        <v>#DIV/0!</v>
      </c>
      <c r="X79" s="53" t="e">
        <f>X78+ATM_Conf!$C$5*(Nodes!AN78)/('Off-Ramp'!M264*AC264)</f>
        <v>#DIV/0!</v>
      </c>
      <c r="Y79" s="53" t="e">
        <f>Y78+ATM_Conf!$C$5*(Nodes!AO78)/('Off-Ramp'!N264*AD264)</f>
        <v>#DIV/0!</v>
      </c>
      <c r="Z79" s="53" t="e">
        <f>Z78+ATM_Conf!$C$5*(Nodes!AP78)/('Off-Ramp'!O264*AE264)</f>
        <v>#DIV/0!</v>
      </c>
      <c r="AA79" s="53" t="e">
        <f>AA78+ATM_Conf!$C$5*(Nodes!AQ78)/('Off-Ramp'!P264*AF264)</f>
        <v>#DIV/0!</v>
      </c>
    </row>
    <row r="80" spans="1:27" x14ac:dyDescent="0.15">
      <c r="A80" s="46">
        <v>78</v>
      </c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53" t="e">
        <f t="shared" si="16"/>
        <v>#DIV/0!</v>
      </c>
      <c r="M80" s="53" t="e">
        <f t="shared" si="17"/>
        <v>#DIV/0!</v>
      </c>
      <c r="N80" s="53" t="e">
        <f t="shared" si="18"/>
        <v>#DIV/0!</v>
      </c>
      <c r="O80" s="53" t="e">
        <f t="shared" si="19"/>
        <v>#DIV/0!</v>
      </c>
      <c r="P80" s="69"/>
      <c r="Q80" s="69"/>
      <c r="R80" s="53" t="e">
        <f t="shared" si="20"/>
        <v>#DIV/0!</v>
      </c>
      <c r="S80" s="53" t="e">
        <f t="shared" si="21"/>
        <v>#DIV/0!</v>
      </c>
      <c r="T80" s="53" t="e">
        <f t="shared" si="22"/>
        <v>#DIV/0!</v>
      </c>
      <c r="U80" s="53" t="e">
        <f t="shared" si="23"/>
        <v>#DIV/0!</v>
      </c>
      <c r="V80" s="53" t="e">
        <f>V79+ATM_Conf!$C$5*(Nodes!AL79)/('Off-Ramp'!K265*AA265)</f>
        <v>#DIV/0!</v>
      </c>
      <c r="W80" s="53" t="e">
        <f>W79+ATM_Conf!$C$5*(Nodes!AM79)/('Off-Ramp'!L265*AB265)</f>
        <v>#DIV/0!</v>
      </c>
      <c r="X80" s="53" t="e">
        <f>X79+ATM_Conf!$C$5*(Nodes!AN79)/('Off-Ramp'!M265*AC265)</f>
        <v>#DIV/0!</v>
      </c>
      <c r="Y80" s="53" t="e">
        <f>Y79+ATM_Conf!$C$5*(Nodes!AO79)/('Off-Ramp'!N265*AD265)</f>
        <v>#DIV/0!</v>
      </c>
      <c r="Z80" s="53" t="e">
        <f>Z79+ATM_Conf!$C$5*(Nodes!AP79)/('Off-Ramp'!O265*AE265)</f>
        <v>#DIV/0!</v>
      </c>
      <c r="AA80" s="53" t="e">
        <f>AA79+ATM_Conf!$C$5*(Nodes!AQ79)/('Off-Ramp'!P265*AF265)</f>
        <v>#DIV/0!</v>
      </c>
    </row>
    <row r="81" spans="1:27" x14ac:dyDescent="0.15">
      <c r="A81" s="46">
        <v>79</v>
      </c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53" t="e">
        <f t="shared" si="16"/>
        <v>#DIV/0!</v>
      </c>
      <c r="M81" s="53" t="e">
        <f t="shared" si="17"/>
        <v>#DIV/0!</v>
      </c>
      <c r="N81" s="53" t="e">
        <f t="shared" si="18"/>
        <v>#DIV/0!</v>
      </c>
      <c r="O81" s="53" t="e">
        <f t="shared" si="19"/>
        <v>#DIV/0!</v>
      </c>
      <c r="P81" s="69"/>
      <c r="Q81" s="69"/>
      <c r="R81" s="53" t="e">
        <f t="shared" si="20"/>
        <v>#DIV/0!</v>
      </c>
      <c r="S81" s="53" t="e">
        <f t="shared" si="21"/>
        <v>#DIV/0!</v>
      </c>
      <c r="T81" s="53" t="e">
        <f t="shared" si="22"/>
        <v>#DIV/0!</v>
      </c>
      <c r="U81" s="53" t="e">
        <f t="shared" si="23"/>
        <v>#DIV/0!</v>
      </c>
      <c r="V81" s="53" t="e">
        <f>V80+ATM_Conf!$C$5*(Nodes!AL80)/('Off-Ramp'!K266*AA266)</f>
        <v>#DIV/0!</v>
      </c>
      <c r="W81" s="53" t="e">
        <f>W80+ATM_Conf!$C$5*(Nodes!AM80)/('Off-Ramp'!L266*AB266)</f>
        <v>#DIV/0!</v>
      </c>
      <c r="X81" s="53" t="e">
        <f>X80+ATM_Conf!$C$5*(Nodes!AN80)/('Off-Ramp'!M266*AC266)</f>
        <v>#DIV/0!</v>
      </c>
      <c r="Y81" s="53" t="e">
        <f>Y80+ATM_Conf!$C$5*(Nodes!AO80)/('Off-Ramp'!N266*AD266)</f>
        <v>#DIV/0!</v>
      </c>
      <c r="Z81" s="53" t="e">
        <f>Z80+ATM_Conf!$C$5*(Nodes!AP80)/('Off-Ramp'!O266*AE266)</f>
        <v>#DIV/0!</v>
      </c>
      <c r="AA81" s="53" t="e">
        <f>AA80+ATM_Conf!$C$5*(Nodes!AQ80)/('Off-Ramp'!P266*AF266)</f>
        <v>#DIV/0!</v>
      </c>
    </row>
    <row r="82" spans="1:27" x14ac:dyDescent="0.15">
      <c r="A82" s="46">
        <v>80</v>
      </c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53" t="e">
        <f t="shared" si="16"/>
        <v>#DIV/0!</v>
      </c>
      <c r="M82" s="53" t="e">
        <f t="shared" si="17"/>
        <v>#DIV/0!</v>
      </c>
      <c r="N82" s="53" t="e">
        <f t="shared" si="18"/>
        <v>#DIV/0!</v>
      </c>
      <c r="O82" s="53" t="e">
        <f t="shared" si="19"/>
        <v>#DIV/0!</v>
      </c>
      <c r="P82" s="69"/>
      <c r="Q82" s="69"/>
      <c r="R82" s="53" t="e">
        <f t="shared" si="20"/>
        <v>#DIV/0!</v>
      </c>
      <c r="S82" s="53" t="e">
        <f t="shared" si="21"/>
        <v>#DIV/0!</v>
      </c>
      <c r="T82" s="53" t="e">
        <f t="shared" si="22"/>
        <v>#DIV/0!</v>
      </c>
      <c r="U82" s="53" t="e">
        <f t="shared" si="23"/>
        <v>#DIV/0!</v>
      </c>
      <c r="V82" s="53" t="e">
        <f>V81+ATM_Conf!$C$5*(Nodes!AL81)/('Off-Ramp'!K267*AA267)</f>
        <v>#DIV/0!</v>
      </c>
      <c r="W82" s="53" t="e">
        <f>W81+ATM_Conf!$C$5*(Nodes!AM81)/('Off-Ramp'!L267*AB267)</f>
        <v>#DIV/0!</v>
      </c>
      <c r="X82" s="53" t="e">
        <f>X81+ATM_Conf!$C$5*(Nodes!AN81)/('Off-Ramp'!M267*AC267)</f>
        <v>#DIV/0!</v>
      </c>
      <c r="Y82" s="53" t="e">
        <f>Y81+ATM_Conf!$C$5*(Nodes!AO81)/('Off-Ramp'!N267*AD267)</f>
        <v>#DIV/0!</v>
      </c>
      <c r="Z82" s="53" t="e">
        <f>Z81+ATM_Conf!$C$5*(Nodes!AP81)/('Off-Ramp'!O267*AE267)</f>
        <v>#DIV/0!</v>
      </c>
      <c r="AA82" s="53" t="e">
        <f>AA81+ATM_Conf!$C$5*(Nodes!AQ81)/('Off-Ramp'!P267*AF267)</f>
        <v>#DIV/0!</v>
      </c>
    </row>
    <row r="83" spans="1:27" x14ac:dyDescent="0.15">
      <c r="A83" s="46">
        <v>81</v>
      </c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53" t="e">
        <f t="shared" si="16"/>
        <v>#DIV/0!</v>
      </c>
      <c r="M83" s="53" t="e">
        <f t="shared" si="17"/>
        <v>#DIV/0!</v>
      </c>
      <c r="N83" s="53" t="e">
        <f t="shared" si="18"/>
        <v>#DIV/0!</v>
      </c>
      <c r="O83" s="53" t="e">
        <f t="shared" si="19"/>
        <v>#DIV/0!</v>
      </c>
      <c r="P83" s="69"/>
      <c r="Q83" s="69"/>
      <c r="R83" s="53" t="e">
        <f t="shared" si="20"/>
        <v>#DIV/0!</v>
      </c>
      <c r="S83" s="53" t="e">
        <f t="shared" si="21"/>
        <v>#DIV/0!</v>
      </c>
      <c r="T83" s="53" t="e">
        <f t="shared" si="22"/>
        <v>#DIV/0!</v>
      </c>
      <c r="U83" s="53" t="e">
        <f t="shared" si="23"/>
        <v>#DIV/0!</v>
      </c>
      <c r="V83" s="53" t="e">
        <f>V82+ATM_Conf!$C$5*(Nodes!AL82)/('Off-Ramp'!K268*AA268)</f>
        <v>#DIV/0!</v>
      </c>
      <c r="W83" s="53" t="e">
        <f>W82+ATM_Conf!$C$5*(Nodes!AM82)/('Off-Ramp'!L268*AB268)</f>
        <v>#DIV/0!</v>
      </c>
      <c r="X83" s="53" t="e">
        <f>X82+ATM_Conf!$C$5*(Nodes!AN82)/('Off-Ramp'!M268*AC268)</f>
        <v>#DIV/0!</v>
      </c>
      <c r="Y83" s="53" t="e">
        <f>Y82+ATM_Conf!$C$5*(Nodes!AO82)/('Off-Ramp'!N268*AD268)</f>
        <v>#DIV/0!</v>
      </c>
      <c r="Z83" s="53" t="e">
        <f>Z82+ATM_Conf!$C$5*(Nodes!AP82)/('Off-Ramp'!O268*AE268)</f>
        <v>#DIV/0!</v>
      </c>
      <c r="AA83" s="53" t="e">
        <f>AA82+ATM_Conf!$C$5*(Nodes!AQ82)/('Off-Ramp'!P268*AF268)</f>
        <v>#DIV/0!</v>
      </c>
    </row>
    <row r="84" spans="1:27" x14ac:dyDescent="0.15">
      <c r="A84" s="46">
        <v>82</v>
      </c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53" t="e">
        <f t="shared" si="16"/>
        <v>#DIV/0!</v>
      </c>
      <c r="M84" s="53" t="e">
        <f t="shared" si="17"/>
        <v>#DIV/0!</v>
      </c>
      <c r="N84" s="53" t="e">
        <f t="shared" si="18"/>
        <v>#DIV/0!</v>
      </c>
      <c r="O84" s="53" t="e">
        <f t="shared" si="19"/>
        <v>#DIV/0!</v>
      </c>
      <c r="P84" s="69"/>
      <c r="Q84" s="69"/>
      <c r="R84" s="53" t="e">
        <f t="shared" si="20"/>
        <v>#DIV/0!</v>
      </c>
      <c r="S84" s="53" t="e">
        <f t="shared" si="21"/>
        <v>#DIV/0!</v>
      </c>
      <c r="T84" s="53" t="e">
        <f t="shared" si="22"/>
        <v>#DIV/0!</v>
      </c>
      <c r="U84" s="53" t="e">
        <f t="shared" si="23"/>
        <v>#DIV/0!</v>
      </c>
      <c r="V84" s="53" t="e">
        <f>V83+ATM_Conf!$C$5*(Nodes!AL83)/('Off-Ramp'!K269*AA269)</f>
        <v>#DIV/0!</v>
      </c>
      <c r="W84" s="53" t="e">
        <f>W83+ATM_Conf!$C$5*(Nodes!AM83)/('Off-Ramp'!L269*AB269)</f>
        <v>#DIV/0!</v>
      </c>
      <c r="X84" s="53" t="e">
        <f>X83+ATM_Conf!$C$5*(Nodes!AN83)/('Off-Ramp'!M269*AC269)</f>
        <v>#DIV/0!</v>
      </c>
      <c r="Y84" s="53" t="e">
        <f>Y83+ATM_Conf!$C$5*(Nodes!AO83)/('Off-Ramp'!N269*AD269)</f>
        <v>#DIV/0!</v>
      </c>
      <c r="Z84" s="53" t="e">
        <f>Z83+ATM_Conf!$C$5*(Nodes!AP83)/('Off-Ramp'!O269*AE269)</f>
        <v>#DIV/0!</v>
      </c>
      <c r="AA84" s="53" t="e">
        <f>AA83+ATM_Conf!$C$5*(Nodes!AQ83)/('Off-Ramp'!P269*AF269)</f>
        <v>#DIV/0!</v>
      </c>
    </row>
    <row r="85" spans="1:27" x14ac:dyDescent="0.15">
      <c r="A85" s="46">
        <v>83</v>
      </c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53" t="e">
        <f t="shared" si="16"/>
        <v>#DIV/0!</v>
      </c>
      <c r="M85" s="53" t="e">
        <f t="shared" si="17"/>
        <v>#DIV/0!</v>
      </c>
      <c r="N85" s="53" t="e">
        <f t="shared" si="18"/>
        <v>#DIV/0!</v>
      </c>
      <c r="O85" s="53" t="e">
        <f t="shared" si="19"/>
        <v>#DIV/0!</v>
      </c>
      <c r="P85" s="69"/>
      <c r="Q85" s="69"/>
      <c r="R85" s="53" t="e">
        <f t="shared" si="20"/>
        <v>#DIV/0!</v>
      </c>
      <c r="S85" s="53" t="e">
        <f t="shared" si="21"/>
        <v>#DIV/0!</v>
      </c>
      <c r="T85" s="53" t="e">
        <f t="shared" si="22"/>
        <v>#DIV/0!</v>
      </c>
      <c r="U85" s="53" t="e">
        <f t="shared" si="23"/>
        <v>#DIV/0!</v>
      </c>
      <c r="V85" s="53" t="e">
        <f>V84+ATM_Conf!$C$5*(Nodes!AL84)/('Off-Ramp'!K270*AA270)</f>
        <v>#DIV/0!</v>
      </c>
      <c r="W85" s="53" t="e">
        <f>W84+ATM_Conf!$C$5*(Nodes!AM84)/('Off-Ramp'!L270*AB270)</f>
        <v>#DIV/0!</v>
      </c>
      <c r="X85" s="53" t="e">
        <f>X84+ATM_Conf!$C$5*(Nodes!AN84)/('Off-Ramp'!M270*AC270)</f>
        <v>#DIV/0!</v>
      </c>
      <c r="Y85" s="53" t="e">
        <f>Y84+ATM_Conf!$C$5*(Nodes!AO84)/('Off-Ramp'!N270*AD270)</f>
        <v>#DIV/0!</v>
      </c>
      <c r="Z85" s="53" t="e">
        <f>Z84+ATM_Conf!$C$5*(Nodes!AP84)/('Off-Ramp'!O270*AE270)</f>
        <v>#DIV/0!</v>
      </c>
      <c r="AA85" s="53" t="e">
        <f>AA84+ATM_Conf!$C$5*(Nodes!AQ84)/('Off-Ramp'!P270*AF270)</f>
        <v>#DIV/0!</v>
      </c>
    </row>
    <row r="86" spans="1:27" x14ac:dyDescent="0.15">
      <c r="A86" s="46">
        <v>84</v>
      </c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53" t="e">
        <f t="shared" si="16"/>
        <v>#DIV/0!</v>
      </c>
      <c r="M86" s="53" t="e">
        <f t="shared" si="17"/>
        <v>#DIV/0!</v>
      </c>
      <c r="N86" s="53" t="e">
        <f t="shared" si="18"/>
        <v>#DIV/0!</v>
      </c>
      <c r="O86" s="53" t="e">
        <f t="shared" si="19"/>
        <v>#DIV/0!</v>
      </c>
      <c r="P86" s="69"/>
      <c r="Q86" s="69"/>
      <c r="R86" s="53" t="e">
        <f t="shared" si="20"/>
        <v>#DIV/0!</v>
      </c>
      <c r="S86" s="53" t="e">
        <f t="shared" si="21"/>
        <v>#DIV/0!</v>
      </c>
      <c r="T86" s="53" t="e">
        <f t="shared" si="22"/>
        <v>#DIV/0!</v>
      </c>
      <c r="U86" s="53" t="e">
        <f t="shared" si="23"/>
        <v>#DIV/0!</v>
      </c>
      <c r="V86" s="53" t="e">
        <f>V85+ATM_Conf!$C$5*(Nodes!AL85)/('Off-Ramp'!K271*AA271)</f>
        <v>#DIV/0!</v>
      </c>
      <c r="W86" s="53" t="e">
        <f>W85+ATM_Conf!$C$5*(Nodes!AM85)/('Off-Ramp'!L271*AB271)</f>
        <v>#DIV/0!</v>
      </c>
      <c r="X86" s="53" t="e">
        <f>X85+ATM_Conf!$C$5*(Nodes!AN85)/('Off-Ramp'!M271*AC271)</f>
        <v>#DIV/0!</v>
      </c>
      <c r="Y86" s="53" t="e">
        <f>Y85+ATM_Conf!$C$5*(Nodes!AO85)/('Off-Ramp'!N271*AD271)</f>
        <v>#DIV/0!</v>
      </c>
      <c r="Z86" s="53" t="e">
        <f>Z85+ATM_Conf!$C$5*(Nodes!AP85)/('Off-Ramp'!O271*AE271)</f>
        <v>#DIV/0!</v>
      </c>
      <c r="AA86" s="53" t="e">
        <f>AA85+ATM_Conf!$C$5*(Nodes!AQ85)/('Off-Ramp'!P271*AF271)</f>
        <v>#DIV/0!</v>
      </c>
    </row>
    <row r="87" spans="1:27" x14ac:dyDescent="0.15">
      <c r="A87" s="46">
        <v>85</v>
      </c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53" t="e">
        <f t="shared" si="16"/>
        <v>#DIV/0!</v>
      </c>
      <c r="M87" s="53" t="e">
        <f t="shared" si="17"/>
        <v>#DIV/0!</v>
      </c>
      <c r="N87" s="53" t="e">
        <f t="shared" si="18"/>
        <v>#DIV/0!</v>
      </c>
      <c r="O87" s="53" t="e">
        <f t="shared" si="19"/>
        <v>#DIV/0!</v>
      </c>
      <c r="P87" s="69"/>
      <c r="Q87" s="69"/>
      <c r="R87" s="53" t="e">
        <f t="shared" si="20"/>
        <v>#DIV/0!</v>
      </c>
      <c r="S87" s="53" t="e">
        <f t="shared" si="21"/>
        <v>#DIV/0!</v>
      </c>
      <c r="T87" s="53" t="e">
        <f t="shared" si="22"/>
        <v>#DIV/0!</v>
      </c>
      <c r="U87" s="53" t="e">
        <f t="shared" si="23"/>
        <v>#DIV/0!</v>
      </c>
      <c r="V87" s="53" t="e">
        <f>V86+ATM_Conf!$C$5*(Nodes!AL86)/('Off-Ramp'!K272*AA272)</f>
        <v>#DIV/0!</v>
      </c>
      <c r="W87" s="53" t="e">
        <f>W86+ATM_Conf!$C$5*(Nodes!AM86)/('Off-Ramp'!L272*AB272)</f>
        <v>#DIV/0!</v>
      </c>
      <c r="X87" s="53" t="e">
        <f>X86+ATM_Conf!$C$5*(Nodes!AN86)/('Off-Ramp'!M272*AC272)</f>
        <v>#DIV/0!</v>
      </c>
      <c r="Y87" s="53" t="e">
        <f>Y86+ATM_Conf!$C$5*(Nodes!AO86)/('Off-Ramp'!N272*AD272)</f>
        <v>#DIV/0!</v>
      </c>
      <c r="Z87" s="53" t="e">
        <f>Z86+ATM_Conf!$C$5*(Nodes!AP86)/('Off-Ramp'!O272*AE272)</f>
        <v>#DIV/0!</v>
      </c>
      <c r="AA87" s="53" t="e">
        <f>AA86+ATM_Conf!$C$5*(Nodes!AQ86)/('Off-Ramp'!P272*AF272)</f>
        <v>#DIV/0!</v>
      </c>
    </row>
    <row r="88" spans="1:27" x14ac:dyDescent="0.15">
      <c r="A88" s="46">
        <v>86</v>
      </c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53" t="e">
        <f t="shared" si="16"/>
        <v>#DIV/0!</v>
      </c>
      <c r="M88" s="53" t="e">
        <f t="shared" si="17"/>
        <v>#DIV/0!</v>
      </c>
      <c r="N88" s="53" t="e">
        <f t="shared" si="18"/>
        <v>#DIV/0!</v>
      </c>
      <c r="O88" s="53" t="e">
        <f t="shared" si="19"/>
        <v>#DIV/0!</v>
      </c>
      <c r="P88" s="69"/>
      <c r="Q88" s="69"/>
      <c r="R88" s="53" t="e">
        <f t="shared" si="20"/>
        <v>#DIV/0!</v>
      </c>
      <c r="S88" s="53" t="e">
        <f t="shared" si="21"/>
        <v>#DIV/0!</v>
      </c>
      <c r="T88" s="53" t="e">
        <f t="shared" si="22"/>
        <v>#DIV/0!</v>
      </c>
      <c r="U88" s="53" t="e">
        <f t="shared" si="23"/>
        <v>#DIV/0!</v>
      </c>
      <c r="V88" s="53" t="e">
        <f>V87+ATM_Conf!$C$5*(Nodes!AL87)/('Off-Ramp'!K273*AA273)</f>
        <v>#DIV/0!</v>
      </c>
      <c r="W88" s="53" t="e">
        <f>W87+ATM_Conf!$C$5*(Nodes!AM87)/('Off-Ramp'!L273*AB273)</f>
        <v>#DIV/0!</v>
      </c>
      <c r="X88" s="53" t="e">
        <f>X87+ATM_Conf!$C$5*(Nodes!AN87)/('Off-Ramp'!M273*AC273)</f>
        <v>#DIV/0!</v>
      </c>
      <c r="Y88" s="53" t="e">
        <f>Y87+ATM_Conf!$C$5*(Nodes!AO87)/('Off-Ramp'!N273*AD273)</f>
        <v>#DIV/0!</v>
      </c>
      <c r="Z88" s="53" t="e">
        <f>Z87+ATM_Conf!$C$5*(Nodes!AP87)/('Off-Ramp'!O273*AE273)</f>
        <v>#DIV/0!</v>
      </c>
      <c r="AA88" s="53" t="e">
        <f>AA87+ATM_Conf!$C$5*(Nodes!AQ87)/('Off-Ramp'!P273*AF273)</f>
        <v>#DIV/0!</v>
      </c>
    </row>
    <row r="89" spans="1:27" x14ac:dyDescent="0.15">
      <c r="A89" s="46">
        <v>87</v>
      </c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53" t="e">
        <f t="shared" si="16"/>
        <v>#DIV/0!</v>
      </c>
      <c r="M89" s="53" t="e">
        <f t="shared" si="17"/>
        <v>#DIV/0!</v>
      </c>
      <c r="N89" s="53" t="e">
        <f t="shared" si="18"/>
        <v>#DIV/0!</v>
      </c>
      <c r="O89" s="53" t="e">
        <f t="shared" si="19"/>
        <v>#DIV/0!</v>
      </c>
      <c r="P89" s="69"/>
      <c r="Q89" s="69"/>
      <c r="R89" s="53" t="e">
        <f t="shared" si="20"/>
        <v>#DIV/0!</v>
      </c>
      <c r="S89" s="53" t="e">
        <f t="shared" si="21"/>
        <v>#DIV/0!</v>
      </c>
      <c r="T89" s="53" t="e">
        <f t="shared" si="22"/>
        <v>#DIV/0!</v>
      </c>
      <c r="U89" s="53" t="e">
        <f t="shared" si="23"/>
        <v>#DIV/0!</v>
      </c>
      <c r="V89" s="53" t="e">
        <f>V88+ATM_Conf!$C$5*(Nodes!AL88)/('Off-Ramp'!K274*AA274)</f>
        <v>#DIV/0!</v>
      </c>
      <c r="W89" s="53" t="e">
        <f>W88+ATM_Conf!$C$5*(Nodes!AM88)/('Off-Ramp'!L274*AB274)</f>
        <v>#DIV/0!</v>
      </c>
      <c r="X89" s="53" t="e">
        <f>X88+ATM_Conf!$C$5*(Nodes!AN88)/('Off-Ramp'!M274*AC274)</f>
        <v>#DIV/0!</v>
      </c>
      <c r="Y89" s="53" t="e">
        <f>Y88+ATM_Conf!$C$5*(Nodes!AO88)/('Off-Ramp'!N274*AD274)</f>
        <v>#DIV/0!</v>
      </c>
      <c r="Z89" s="53" t="e">
        <f>Z88+ATM_Conf!$C$5*(Nodes!AP88)/('Off-Ramp'!O274*AE274)</f>
        <v>#DIV/0!</v>
      </c>
      <c r="AA89" s="53" t="e">
        <f>AA88+ATM_Conf!$C$5*(Nodes!AQ88)/('Off-Ramp'!P274*AF274)</f>
        <v>#DIV/0!</v>
      </c>
    </row>
    <row r="90" spans="1:27" x14ac:dyDescent="0.15">
      <c r="A90" s="46">
        <v>88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53" t="e">
        <f t="shared" si="16"/>
        <v>#DIV/0!</v>
      </c>
      <c r="M90" s="53" t="e">
        <f t="shared" si="17"/>
        <v>#DIV/0!</v>
      </c>
      <c r="N90" s="53" t="e">
        <f t="shared" si="18"/>
        <v>#DIV/0!</v>
      </c>
      <c r="O90" s="53" t="e">
        <f t="shared" si="19"/>
        <v>#DIV/0!</v>
      </c>
      <c r="P90" s="69"/>
      <c r="Q90" s="69"/>
      <c r="R90" s="53" t="e">
        <f t="shared" si="20"/>
        <v>#DIV/0!</v>
      </c>
      <c r="S90" s="53" t="e">
        <f t="shared" si="21"/>
        <v>#DIV/0!</v>
      </c>
      <c r="T90" s="53" t="e">
        <f t="shared" si="22"/>
        <v>#DIV/0!</v>
      </c>
      <c r="U90" s="53" t="e">
        <f t="shared" si="23"/>
        <v>#DIV/0!</v>
      </c>
      <c r="V90" s="53" t="e">
        <f>V89+ATM_Conf!$C$5*(Nodes!AL89)/('Off-Ramp'!K275*AA275)</f>
        <v>#DIV/0!</v>
      </c>
      <c r="W90" s="53" t="e">
        <f>W89+ATM_Conf!$C$5*(Nodes!AM89)/('Off-Ramp'!L275*AB275)</f>
        <v>#DIV/0!</v>
      </c>
      <c r="X90" s="53" t="e">
        <f>X89+ATM_Conf!$C$5*(Nodes!AN89)/('Off-Ramp'!M275*AC275)</f>
        <v>#DIV/0!</v>
      </c>
      <c r="Y90" s="53" t="e">
        <f>Y89+ATM_Conf!$C$5*(Nodes!AO89)/('Off-Ramp'!N275*AD275)</f>
        <v>#DIV/0!</v>
      </c>
      <c r="Z90" s="53" t="e">
        <f>Z89+ATM_Conf!$C$5*(Nodes!AP89)/('Off-Ramp'!O275*AE275)</f>
        <v>#DIV/0!</v>
      </c>
      <c r="AA90" s="53" t="e">
        <f>AA89+ATM_Conf!$C$5*(Nodes!AQ89)/('Off-Ramp'!P275*AF275)</f>
        <v>#DIV/0!</v>
      </c>
    </row>
    <row r="91" spans="1:27" x14ac:dyDescent="0.15">
      <c r="A91" s="46">
        <v>89</v>
      </c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53" t="e">
        <f t="shared" si="16"/>
        <v>#DIV/0!</v>
      </c>
      <c r="M91" s="53" t="e">
        <f t="shared" si="17"/>
        <v>#DIV/0!</v>
      </c>
      <c r="N91" s="53" t="e">
        <f t="shared" si="18"/>
        <v>#DIV/0!</v>
      </c>
      <c r="O91" s="53" t="e">
        <f t="shared" si="19"/>
        <v>#DIV/0!</v>
      </c>
      <c r="P91" s="69"/>
      <c r="Q91" s="69"/>
      <c r="R91" s="53" t="e">
        <f t="shared" si="20"/>
        <v>#DIV/0!</v>
      </c>
      <c r="S91" s="53" t="e">
        <f t="shared" si="21"/>
        <v>#DIV/0!</v>
      </c>
      <c r="T91" s="53" t="e">
        <f t="shared" si="22"/>
        <v>#DIV/0!</v>
      </c>
      <c r="U91" s="53" t="e">
        <f t="shared" si="23"/>
        <v>#DIV/0!</v>
      </c>
      <c r="V91" s="53" t="e">
        <f>V90+ATM_Conf!$C$5*(Nodes!AL90)/('Off-Ramp'!K276*AA276)</f>
        <v>#DIV/0!</v>
      </c>
      <c r="W91" s="53" t="e">
        <f>W90+ATM_Conf!$C$5*(Nodes!AM90)/('Off-Ramp'!L276*AB276)</f>
        <v>#DIV/0!</v>
      </c>
      <c r="X91" s="53" t="e">
        <f>X90+ATM_Conf!$C$5*(Nodes!AN90)/('Off-Ramp'!M276*AC276)</f>
        <v>#DIV/0!</v>
      </c>
      <c r="Y91" s="53" t="e">
        <f>Y90+ATM_Conf!$C$5*(Nodes!AO90)/('Off-Ramp'!N276*AD276)</f>
        <v>#DIV/0!</v>
      </c>
      <c r="Z91" s="53" t="e">
        <f>Z90+ATM_Conf!$C$5*(Nodes!AP90)/('Off-Ramp'!O276*AE276)</f>
        <v>#DIV/0!</v>
      </c>
      <c r="AA91" s="53" t="e">
        <f>AA90+ATM_Conf!$C$5*(Nodes!AQ90)/('Off-Ramp'!P276*AF276)</f>
        <v>#DIV/0!</v>
      </c>
    </row>
    <row r="92" spans="1:27" x14ac:dyDescent="0.15">
      <c r="A92" s="46">
        <v>90</v>
      </c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53" t="e">
        <f t="shared" si="16"/>
        <v>#DIV/0!</v>
      </c>
      <c r="M92" s="53" t="e">
        <f t="shared" si="17"/>
        <v>#DIV/0!</v>
      </c>
      <c r="N92" s="53" t="e">
        <f t="shared" si="18"/>
        <v>#DIV/0!</v>
      </c>
      <c r="O92" s="53" t="e">
        <f t="shared" si="19"/>
        <v>#DIV/0!</v>
      </c>
      <c r="P92" s="69"/>
      <c r="Q92" s="69"/>
      <c r="R92" s="53" t="e">
        <f t="shared" si="20"/>
        <v>#DIV/0!</v>
      </c>
      <c r="S92" s="53" t="e">
        <f t="shared" si="21"/>
        <v>#DIV/0!</v>
      </c>
      <c r="T92" s="53" t="e">
        <f t="shared" si="22"/>
        <v>#DIV/0!</v>
      </c>
      <c r="U92" s="53" t="e">
        <f t="shared" si="23"/>
        <v>#DIV/0!</v>
      </c>
      <c r="V92" s="53" t="e">
        <f>V91+ATM_Conf!$C$5*(Nodes!AL91)/('Off-Ramp'!K277*AA277)</f>
        <v>#DIV/0!</v>
      </c>
      <c r="W92" s="53" t="e">
        <f>W91+ATM_Conf!$C$5*(Nodes!AM91)/('Off-Ramp'!L277*AB277)</f>
        <v>#DIV/0!</v>
      </c>
      <c r="X92" s="53" t="e">
        <f>X91+ATM_Conf!$C$5*(Nodes!AN91)/('Off-Ramp'!M277*AC277)</f>
        <v>#DIV/0!</v>
      </c>
      <c r="Y92" s="53" t="e">
        <f>Y91+ATM_Conf!$C$5*(Nodes!AO91)/('Off-Ramp'!N277*AD277)</f>
        <v>#DIV/0!</v>
      </c>
      <c r="Z92" s="53" t="e">
        <f>Z91+ATM_Conf!$C$5*(Nodes!AP91)/('Off-Ramp'!O277*AE277)</f>
        <v>#DIV/0!</v>
      </c>
      <c r="AA92" s="53" t="e">
        <f>AA91+ATM_Conf!$C$5*(Nodes!AQ91)/('Off-Ramp'!P277*AF277)</f>
        <v>#DIV/0!</v>
      </c>
    </row>
    <row r="93" spans="1:27" x14ac:dyDescent="0.15">
      <c r="A93" s="46">
        <v>91</v>
      </c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53" t="e">
        <f t="shared" si="16"/>
        <v>#DIV/0!</v>
      </c>
      <c r="M93" s="53" t="e">
        <f t="shared" si="17"/>
        <v>#DIV/0!</v>
      </c>
      <c r="N93" s="53" t="e">
        <f t="shared" si="18"/>
        <v>#DIV/0!</v>
      </c>
      <c r="O93" s="53" t="e">
        <f t="shared" si="19"/>
        <v>#DIV/0!</v>
      </c>
      <c r="P93" s="69"/>
      <c r="Q93" s="69"/>
      <c r="R93" s="53" t="e">
        <f t="shared" si="20"/>
        <v>#DIV/0!</v>
      </c>
      <c r="S93" s="53" t="e">
        <f t="shared" si="21"/>
        <v>#DIV/0!</v>
      </c>
      <c r="T93" s="53" t="e">
        <f t="shared" si="22"/>
        <v>#DIV/0!</v>
      </c>
      <c r="U93" s="53" t="e">
        <f t="shared" si="23"/>
        <v>#DIV/0!</v>
      </c>
      <c r="V93" s="53" t="e">
        <f>V92+ATM_Conf!$C$5*(Nodes!AL92)/('Off-Ramp'!K278*AA278)</f>
        <v>#DIV/0!</v>
      </c>
      <c r="W93" s="53" t="e">
        <f>W92+ATM_Conf!$C$5*(Nodes!AM92)/('Off-Ramp'!L278*AB278)</f>
        <v>#DIV/0!</v>
      </c>
      <c r="X93" s="53" t="e">
        <f>X92+ATM_Conf!$C$5*(Nodes!AN92)/('Off-Ramp'!M278*AC278)</f>
        <v>#DIV/0!</v>
      </c>
      <c r="Y93" s="53" t="e">
        <f>Y92+ATM_Conf!$C$5*(Nodes!AO92)/('Off-Ramp'!N278*AD278)</f>
        <v>#DIV/0!</v>
      </c>
      <c r="Z93" s="53" t="e">
        <f>Z92+ATM_Conf!$C$5*(Nodes!AP92)/('Off-Ramp'!O278*AE278)</f>
        <v>#DIV/0!</v>
      </c>
      <c r="AA93" s="53" t="e">
        <f>AA92+ATM_Conf!$C$5*(Nodes!AQ92)/('Off-Ramp'!P278*AF278)</f>
        <v>#DIV/0!</v>
      </c>
    </row>
    <row r="94" spans="1:27" x14ac:dyDescent="0.15">
      <c r="A94" s="46">
        <v>92</v>
      </c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53" t="e">
        <f t="shared" si="16"/>
        <v>#DIV/0!</v>
      </c>
      <c r="M94" s="53" t="e">
        <f t="shared" si="17"/>
        <v>#DIV/0!</v>
      </c>
      <c r="N94" s="53" t="e">
        <f t="shared" si="18"/>
        <v>#DIV/0!</v>
      </c>
      <c r="O94" s="53" t="e">
        <f t="shared" si="19"/>
        <v>#DIV/0!</v>
      </c>
      <c r="P94" s="69"/>
      <c r="Q94" s="69"/>
      <c r="R94" s="53" t="e">
        <f t="shared" si="20"/>
        <v>#DIV/0!</v>
      </c>
      <c r="S94" s="53" t="e">
        <f t="shared" si="21"/>
        <v>#DIV/0!</v>
      </c>
      <c r="T94" s="53" t="e">
        <f t="shared" si="22"/>
        <v>#DIV/0!</v>
      </c>
      <c r="U94" s="53" t="e">
        <f t="shared" si="23"/>
        <v>#DIV/0!</v>
      </c>
      <c r="V94" s="53" t="e">
        <f>V93+ATM_Conf!$C$5*(Nodes!AL93)/('Off-Ramp'!K279*AA279)</f>
        <v>#DIV/0!</v>
      </c>
      <c r="W94" s="53" t="e">
        <f>W93+ATM_Conf!$C$5*(Nodes!AM93)/('Off-Ramp'!L279*AB279)</f>
        <v>#DIV/0!</v>
      </c>
      <c r="X94" s="53" t="e">
        <f>X93+ATM_Conf!$C$5*(Nodes!AN93)/('Off-Ramp'!M279*AC279)</f>
        <v>#DIV/0!</v>
      </c>
      <c r="Y94" s="53" t="e">
        <f>Y93+ATM_Conf!$C$5*(Nodes!AO93)/('Off-Ramp'!N279*AD279)</f>
        <v>#DIV/0!</v>
      </c>
      <c r="Z94" s="53" t="e">
        <f>Z93+ATM_Conf!$C$5*(Nodes!AP93)/('Off-Ramp'!O279*AE279)</f>
        <v>#DIV/0!</v>
      </c>
      <c r="AA94" s="53" t="e">
        <f>AA93+ATM_Conf!$C$5*(Nodes!AQ93)/('Off-Ramp'!P279*AF279)</f>
        <v>#DIV/0!</v>
      </c>
    </row>
    <row r="95" spans="1:27" x14ac:dyDescent="0.15">
      <c r="A95" s="46">
        <v>93</v>
      </c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53" t="e">
        <f t="shared" si="16"/>
        <v>#DIV/0!</v>
      </c>
      <c r="M95" s="53" t="e">
        <f t="shared" si="17"/>
        <v>#DIV/0!</v>
      </c>
      <c r="N95" s="53" t="e">
        <f t="shared" si="18"/>
        <v>#DIV/0!</v>
      </c>
      <c r="O95" s="53" t="e">
        <f t="shared" si="19"/>
        <v>#DIV/0!</v>
      </c>
      <c r="P95" s="69"/>
      <c r="Q95" s="69"/>
      <c r="R95" s="53" t="e">
        <f t="shared" si="20"/>
        <v>#DIV/0!</v>
      </c>
      <c r="S95" s="53" t="e">
        <f t="shared" si="21"/>
        <v>#DIV/0!</v>
      </c>
      <c r="T95" s="53" t="e">
        <f t="shared" si="22"/>
        <v>#DIV/0!</v>
      </c>
      <c r="U95" s="53" t="e">
        <f t="shared" si="23"/>
        <v>#DIV/0!</v>
      </c>
      <c r="V95" s="53" t="e">
        <f>V94+ATM_Conf!$C$5*(Nodes!AL94)/('Off-Ramp'!K280*AA280)</f>
        <v>#DIV/0!</v>
      </c>
      <c r="W95" s="53" t="e">
        <f>W94+ATM_Conf!$C$5*(Nodes!AM94)/('Off-Ramp'!L280*AB280)</f>
        <v>#DIV/0!</v>
      </c>
      <c r="X95" s="53" t="e">
        <f>X94+ATM_Conf!$C$5*(Nodes!AN94)/('Off-Ramp'!M280*AC280)</f>
        <v>#DIV/0!</v>
      </c>
      <c r="Y95" s="53" t="e">
        <f>Y94+ATM_Conf!$C$5*(Nodes!AO94)/('Off-Ramp'!N280*AD280)</f>
        <v>#DIV/0!</v>
      </c>
      <c r="Z95" s="53" t="e">
        <f>Z94+ATM_Conf!$C$5*(Nodes!AP94)/('Off-Ramp'!O280*AE280)</f>
        <v>#DIV/0!</v>
      </c>
      <c r="AA95" s="53" t="e">
        <f>AA94+ATM_Conf!$C$5*(Nodes!AQ94)/('Off-Ramp'!P280*AF280)</f>
        <v>#DIV/0!</v>
      </c>
    </row>
    <row r="96" spans="1:27" x14ac:dyDescent="0.15">
      <c r="A96" s="46">
        <v>94</v>
      </c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53" t="e">
        <f t="shared" si="16"/>
        <v>#DIV/0!</v>
      </c>
      <c r="M96" s="53" t="e">
        <f t="shared" si="17"/>
        <v>#DIV/0!</v>
      </c>
      <c r="N96" s="53" t="e">
        <f t="shared" si="18"/>
        <v>#DIV/0!</v>
      </c>
      <c r="O96" s="53" t="e">
        <f t="shared" si="19"/>
        <v>#DIV/0!</v>
      </c>
      <c r="P96" s="69"/>
      <c r="Q96" s="69"/>
      <c r="R96" s="53" t="e">
        <f t="shared" si="20"/>
        <v>#DIV/0!</v>
      </c>
      <c r="S96" s="53" t="e">
        <f t="shared" si="21"/>
        <v>#DIV/0!</v>
      </c>
      <c r="T96" s="53" t="e">
        <f t="shared" si="22"/>
        <v>#DIV/0!</v>
      </c>
      <c r="U96" s="53" t="e">
        <f t="shared" si="23"/>
        <v>#DIV/0!</v>
      </c>
      <c r="V96" s="53" t="e">
        <f>V95+ATM_Conf!$C$5*(Nodes!AL95)/('Off-Ramp'!K281*AA281)</f>
        <v>#DIV/0!</v>
      </c>
      <c r="W96" s="53" t="e">
        <f>W95+ATM_Conf!$C$5*(Nodes!AM95)/('Off-Ramp'!L281*AB281)</f>
        <v>#DIV/0!</v>
      </c>
      <c r="X96" s="53" t="e">
        <f>X95+ATM_Conf!$C$5*(Nodes!AN95)/('Off-Ramp'!M281*AC281)</f>
        <v>#DIV/0!</v>
      </c>
      <c r="Y96" s="53" t="e">
        <f>Y95+ATM_Conf!$C$5*(Nodes!AO95)/('Off-Ramp'!N281*AD281)</f>
        <v>#DIV/0!</v>
      </c>
      <c r="Z96" s="53" t="e">
        <f>Z95+ATM_Conf!$C$5*(Nodes!AP95)/('Off-Ramp'!O281*AE281)</f>
        <v>#DIV/0!</v>
      </c>
      <c r="AA96" s="53" t="e">
        <f>AA95+ATM_Conf!$C$5*(Nodes!AQ95)/('Off-Ramp'!P281*AF281)</f>
        <v>#DIV/0!</v>
      </c>
    </row>
    <row r="97" spans="1:27" x14ac:dyDescent="0.15">
      <c r="A97" s="46">
        <v>95</v>
      </c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53" t="e">
        <f t="shared" si="16"/>
        <v>#DIV/0!</v>
      </c>
      <c r="M97" s="53" t="e">
        <f t="shared" si="17"/>
        <v>#DIV/0!</v>
      </c>
      <c r="N97" s="53" t="e">
        <f t="shared" si="18"/>
        <v>#DIV/0!</v>
      </c>
      <c r="O97" s="53" t="e">
        <f t="shared" si="19"/>
        <v>#DIV/0!</v>
      </c>
      <c r="P97" s="69"/>
      <c r="Q97" s="69"/>
      <c r="R97" s="53" t="e">
        <f t="shared" si="20"/>
        <v>#DIV/0!</v>
      </c>
      <c r="S97" s="53" t="e">
        <f t="shared" si="21"/>
        <v>#DIV/0!</v>
      </c>
      <c r="T97" s="53" t="e">
        <f t="shared" si="22"/>
        <v>#DIV/0!</v>
      </c>
      <c r="U97" s="53" t="e">
        <f t="shared" si="23"/>
        <v>#DIV/0!</v>
      </c>
      <c r="V97" s="53" t="e">
        <f>V96+ATM_Conf!$C$5*(Nodes!AL96)/('Off-Ramp'!K282*AA282)</f>
        <v>#DIV/0!</v>
      </c>
      <c r="W97" s="53" t="e">
        <f>W96+ATM_Conf!$C$5*(Nodes!AM96)/('Off-Ramp'!L282*AB282)</f>
        <v>#DIV/0!</v>
      </c>
      <c r="X97" s="53" t="e">
        <f>X96+ATM_Conf!$C$5*(Nodes!AN96)/('Off-Ramp'!M282*AC282)</f>
        <v>#DIV/0!</v>
      </c>
      <c r="Y97" s="53" t="e">
        <f>Y96+ATM_Conf!$C$5*(Nodes!AO96)/('Off-Ramp'!N282*AD282)</f>
        <v>#DIV/0!</v>
      </c>
      <c r="Z97" s="53" t="e">
        <f>Z96+ATM_Conf!$C$5*(Nodes!AP96)/('Off-Ramp'!O282*AE282)</f>
        <v>#DIV/0!</v>
      </c>
      <c r="AA97" s="53" t="e">
        <f>AA96+ATM_Conf!$C$5*(Nodes!AQ96)/('Off-Ramp'!P282*AF282)</f>
        <v>#DIV/0!</v>
      </c>
    </row>
    <row r="98" spans="1:27" x14ac:dyDescent="0.15">
      <c r="A98" s="46">
        <v>96</v>
      </c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53" t="e">
        <f t="shared" si="16"/>
        <v>#DIV/0!</v>
      </c>
      <c r="M98" s="53" t="e">
        <f t="shared" si="17"/>
        <v>#DIV/0!</v>
      </c>
      <c r="N98" s="53" t="e">
        <f t="shared" si="18"/>
        <v>#DIV/0!</v>
      </c>
      <c r="O98" s="53" t="e">
        <f t="shared" si="19"/>
        <v>#DIV/0!</v>
      </c>
      <c r="P98" s="69"/>
      <c r="Q98" s="69"/>
      <c r="R98" s="53" t="e">
        <f t="shared" si="20"/>
        <v>#DIV/0!</v>
      </c>
      <c r="S98" s="53" t="e">
        <f t="shared" si="21"/>
        <v>#DIV/0!</v>
      </c>
      <c r="T98" s="53" t="e">
        <f t="shared" si="22"/>
        <v>#DIV/0!</v>
      </c>
      <c r="U98" s="53" t="e">
        <f t="shared" si="23"/>
        <v>#DIV/0!</v>
      </c>
      <c r="V98" s="53" t="e">
        <f>V97+ATM_Conf!$C$5*(Nodes!AL97)/('Off-Ramp'!K283*AA283)</f>
        <v>#DIV/0!</v>
      </c>
      <c r="W98" s="53" t="e">
        <f>W97+ATM_Conf!$C$5*(Nodes!AM97)/('Off-Ramp'!L283*AB283)</f>
        <v>#DIV/0!</v>
      </c>
      <c r="X98" s="53" t="e">
        <f>X97+ATM_Conf!$C$5*(Nodes!AN97)/('Off-Ramp'!M283*AC283)</f>
        <v>#DIV/0!</v>
      </c>
      <c r="Y98" s="53" t="e">
        <f>Y97+ATM_Conf!$C$5*(Nodes!AO97)/('Off-Ramp'!N283*AD283)</f>
        <v>#DIV/0!</v>
      </c>
      <c r="Z98" s="53" t="e">
        <f>Z97+ATM_Conf!$C$5*(Nodes!AP97)/('Off-Ramp'!O283*AE283)</f>
        <v>#DIV/0!</v>
      </c>
      <c r="AA98" s="53" t="e">
        <f>AA97+ATM_Conf!$C$5*(Nodes!AQ97)/('Off-Ramp'!P283*AF283)</f>
        <v>#DIV/0!</v>
      </c>
    </row>
    <row r="99" spans="1:27" x14ac:dyDescent="0.15">
      <c r="A99" s="46">
        <v>97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53" t="e">
        <f t="shared" si="16"/>
        <v>#DIV/0!</v>
      </c>
      <c r="M99" s="53" t="e">
        <f t="shared" si="17"/>
        <v>#DIV/0!</v>
      </c>
      <c r="N99" s="53" t="e">
        <f t="shared" si="18"/>
        <v>#DIV/0!</v>
      </c>
      <c r="O99" s="53" t="e">
        <f t="shared" si="19"/>
        <v>#DIV/0!</v>
      </c>
      <c r="P99" s="69"/>
      <c r="Q99" s="69"/>
      <c r="R99" s="53" t="e">
        <f t="shared" si="20"/>
        <v>#DIV/0!</v>
      </c>
      <c r="S99" s="53" t="e">
        <f t="shared" si="21"/>
        <v>#DIV/0!</v>
      </c>
      <c r="T99" s="53" t="e">
        <f t="shared" si="22"/>
        <v>#DIV/0!</v>
      </c>
      <c r="U99" s="53" t="e">
        <f t="shared" si="23"/>
        <v>#DIV/0!</v>
      </c>
      <c r="V99" s="53" t="e">
        <f>V98+ATM_Conf!$C$5*(Nodes!AL98)/('Off-Ramp'!K284*AA284)</f>
        <v>#DIV/0!</v>
      </c>
      <c r="W99" s="53" t="e">
        <f>W98+ATM_Conf!$C$5*(Nodes!AM98)/('Off-Ramp'!L284*AB284)</f>
        <v>#DIV/0!</v>
      </c>
      <c r="X99" s="53" t="e">
        <f>X98+ATM_Conf!$C$5*(Nodes!AN98)/('Off-Ramp'!M284*AC284)</f>
        <v>#DIV/0!</v>
      </c>
      <c r="Y99" s="53" t="e">
        <f>Y98+ATM_Conf!$C$5*(Nodes!AO98)/('Off-Ramp'!N284*AD284)</f>
        <v>#DIV/0!</v>
      </c>
      <c r="Z99" s="53" t="e">
        <f>Z98+ATM_Conf!$C$5*(Nodes!AP98)/('Off-Ramp'!O284*AE284)</f>
        <v>#DIV/0!</v>
      </c>
      <c r="AA99" s="53" t="e">
        <f>AA98+ATM_Conf!$C$5*(Nodes!AQ98)/('Off-Ramp'!P284*AF284)</f>
        <v>#DIV/0!</v>
      </c>
    </row>
    <row r="100" spans="1:27" x14ac:dyDescent="0.15">
      <c r="A100" s="46">
        <v>98</v>
      </c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53" t="e">
        <f t="shared" ref="L100:L131" si="24">B100/60/A$189</f>
        <v>#DIV/0!</v>
      </c>
      <c r="M100" s="53" t="e">
        <f t="shared" ref="M100:M131" si="25">C100/60/B$189</f>
        <v>#DIV/0!</v>
      </c>
      <c r="N100" s="53" t="e">
        <f t="shared" ref="N100:N131" si="26">D100/60/C$189</f>
        <v>#DIV/0!</v>
      </c>
      <c r="O100" s="53" t="e">
        <f t="shared" ref="O100:O131" si="27">E100/60/D$189</f>
        <v>#DIV/0!</v>
      </c>
      <c r="P100" s="69"/>
      <c r="Q100" s="69"/>
      <c r="R100" s="53" t="e">
        <f t="shared" ref="R100:R131" si="28">H100/60/G$189</f>
        <v>#DIV/0!</v>
      </c>
      <c r="S100" s="53" t="e">
        <f t="shared" ref="S100:S131" si="29">I100/60/H$189</f>
        <v>#DIV/0!</v>
      </c>
      <c r="T100" s="53" t="e">
        <f t="shared" ref="T100:T131" si="30">J100/60/I$189</f>
        <v>#DIV/0!</v>
      </c>
      <c r="U100" s="53" t="e">
        <f t="shared" si="23"/>
        <v>#DIV/0!</v>
      </c>
      <c r="V100" s="53" t="e">
        <f>V99+ATM_Conf!$C$5*(Nodes!AL99)/('Off-Ramp'!K285*AA285)</f>
        <v>#DIV/0!</v>
      </c>
      <c r="W100" s="53" t="e">
        <f>W99+ATM_Conf!$C$5*(Nodes!AM99)/('Off-Ramp'!L285*AB285)</f>
        <v>#DIV/0!</v>
      </c>
      <c r="X100" s="53" t="e">
        <f>X99+ATM_Conf!$C$5*(Nodes!AN99)/('Off-Ramp'!M285*AC285)</f>
        <v>#DIV/0!</v>
      </c>
      <c r="Y100" s="53" t="e">
        <f>Y99+ATM_Conf!$C$5*(Nodes!AO99)/('Off-Ramp'!N285*AD285)</f>
        <v>#DIV/0!</v>
      </c>
      <c r="Z100" s="53" t="e">
        <f>Z99+ATM_Conf!$C$5*(Nodes!AP99)/('Off-Ramp'!O285*AE285)</f>
        <v>#DIV/0!</v>
      </c>
      <c r="AA100" s="53" t="e">
        <f>AA99+ATM_Conf!$C$5*(Nodes!AQ99)/('Off-Ramp'!P285*AF285)</f>
        <v>#DIV/0!</v>
      </c>
    </row>
    <row r="101" spans="1:27" x14ac:dyDescent="0.15">
      <c r="A101" s="46">
        <v>99</v>
      </c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53" t="e">
        <f t="shared" si="24"/>
        <v>#DIV/0!</v>
      </c>
      <c r="M101" s="53" t="e">
        <f t="shared" si="25"/>
        <v>#DIV/0!</v>
      </c>
      <c r="N101" s="53" t="e">
        <f t="shared" si="26"/>
        <v>#DIV/0!</v>
      </c>
      <c r="O101" s="53" t="e">
        <f t="shared" si="27"/>
        <v>#DIV/0!</v>
      </c>
      <c r="P101" s="69"/>
      <c r="Q101" s="69"/>
      <c r="R101" s="53" t="e">
        <f t="shared" si="28"/>
        <v>#DIV/0!</v>
      </c>
      <c r="S101" s="53" t="e">
        <f t="shared" si="29"/>
        <v>#DIV/0!</v>
      </c>
      <c r="T101" s="53" t="e">
        <f t="shared" si="30"/>
        <v>#DIV/0!</v>
      </c>
      <c r="U101" s="53" t="e">
        <f t="shared" si="23"/>
        <v>#DIV/0!</v>
      </c>
      <c r="V101" s="53" t="e">
        <f>V100+ATM_Conf!$C$5*(Nodes!AL100)/('Off-Ramp'!K286*AA286)</f>
        <v>#DIV/0!</v>
      </c>
      <c r="W101" s="53" t="e">
        <f>W100+ATM_Conf!$C$5*(Nodes!AM100)/('Off-Ramp'!L286*AB286)</f>
        <v>#DIV/0!</v>
      </c>
      <c r="X101" s="53" t="e">
        <f>X100+ATM_Conf!$C$5*(Nodes!AN100)/('Off-Ramp'!M286*AC286)</f>
        <v>#DIV/0!</v>
      </c>
      <c r="Y101" s="53" t="e">
        <f>Y100+ATM_Conf!$C$5*(Nodes!AO100)/('Off-Ramp'!N286*AD286)</f>
        <v>#DIV/0!</v>
      </c>
      <c r="Z101" s="53" t="e">
        <f>Z100+ATM_Conf!$C$5*(Nodes!AP100)/('Off-Ramp'!O286*AE286)</f>
        <v>#DIV/0!</v>
      </c>
      <c r="AA101" s="53" t="e">
        <f>AA100+ATM_Conf!$C$5*(Nodes!AQ100)/('Off-Ramp'!P286*AF286)</f>
        <v>#DIV/0!</v>
      </c>
    </row>
    <row r="102" spans="1:27" x14ac:dyDescent="0.15">
      <c r="A102" s="46">
        <v>100</v>
      </c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53" t="e">
        <f t="shared" si="24"/>
        <v>#DIV/0!</v>
      </c>
      <c r="M102" s="53" t="e">
        <f t="shared" si="25"/>
        <v>#DIV/0!</v>
      </c>
      <c r="N102" s="53" t="e">
        <f t="shared" si="26"/>
        <v>#DIV/0!</v>
      </c>
      <c r="O102" s="53" t="e">
        <f t="shared" si="27"/>
        <v>#DIV/0!</v>
      </c>
      <c r="P102" s="69"/>
      <c r="Q102" s="69"/>
      <c r="R102" s="53" t="e">
        <f t="shared" si="28"/>
        <v>#DIV/0!</v>
      </c>
      <c r="S102" s="53" t="e">
        <f t="shared" si="29"/>
        <v>#DIV/0!</v>
      </c>
      <c r="T102" s="53" t="e">
        <f t="shared" si="30"/>
        <v>#DIV/0!</v>
      </c>
      <c r="U102" s="53" t="e">
        <f t="shared" si="23"/>
        <v>#DIV/0!</v>
      </c>
      <c r="V102" s="53" t="e">
        <f>V101+ATM_Conf!$C$5*(Nodes!AL101)/('Off-Ramp'!K287*AA287)</f>
        <v>#DIV/0!</v>
      </c>
      <c r="W102" s="53" t="e">
        <f>W101+ATM_Conf!$C$5*(Nodes!AM101)/('Off-Ramp'!L287*AB287)</f>
        <v>#DIV/0!</v>
      </c>
      <c r="X102" s="53" t="e">
        <f>X101+ATM_Conf!$C$5*(Nodes!AN101)/('Off-Ramp'!M287*AC287)</f>
        <v>#DIV/0!</v>
      </c>
      <c r="Y102" s="53" t="e">
        <f>Y101+ATM_Conf!$C$5*(Nodes!AO101)/('Off-Ramp'!N287*AD287)</f>
        <v>#DIV/0!</v>
      </c>
      <c r="Z102" s="53" t="e">
        <f>Z101+ATM_Conf!$C$5*(Nodes!AP101)/('Off-Ramp'!O287*AE287)</f>
        <v>#DIV/0!</v>
      </c>
      <c r="AA102" s="53" t="e">
        <f>AA101+ATM_Conf!$C$5*(Nodes!AQ101)/('Off-Ramp'!P287*AF287)</f>
        <v>#DIV/0!</v>
      </c>
    </row>
    <row r="103" spans="1:27" x14ac:dyDescent="0.15">
      <c r="A103" s="46">
        <v>101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53" t="e">
        <f t="shared" si="24"/>
        <v>#DIV/0!</v>
      </c>
      <c r="M103" s="53" t="e">
        <f t="shared" si="25"/>
        <v>#DIV/0!</v>
      </c>
      <c r="N103" s="53" t="e">
        <f t="shared" si="26"/>
        <v>#DIV/0!</v>
      </c>
      <c r="O103" s="53" t="e">
        <f t="shared" si="27"/>
        <v>#DIV/0!</v>
      </c>
      <c r="P103" s="69"/>
      <c r="Q103" s="69"/>
      <c r="R103" s="53" t="e">
        <f t="shared" si="28"/>
        <v>#DIV/0!</v>
      </c>
      <c r="S103" s="53" t="e">
        <f t="shared" si="29"/>
        <v>#DIV/0!</v>
      </c>
      <c r="T103" s="53" t="e">
        <f t="shared" si="30"/>
        <v>#DIV/0!</v>
      </c>
      <c r="U103" s="53" t="e">
        <f t="shared" si="23"/>
        <v>#DIV/0!</v>
      </c>
      <c r="V103" s="53" t="e">
        <f>V102+ATM_Conf!$C$5*(Nodes!AL102)/('Off-Ramp'!K288*AA288)</f>
        <v>#DIV/0!</v>
      </c>
      <c r="W103" s="53" t="e">
        <f>W102+ATM_Conf!$C$5*(Nodes!AM102)/('Off-Ramp'!L288*AB288)</f>
        <v>#DIV/0!</v>
      </c>
      <c r="X103" s="53" t="e">
        <f>X102+ATM_Conf!$C$5*(Nodes!AN102)/('Off-Ramp'!M288*AC288)</f>
        <v>#DIV/0!</v>
      </c>
      <c r="Y103" s="53" t="e">
        <f>Y102+ATM_Conf!$C$5*(Nodes!AO102)/('Off-Ramp'!N288*AD288)</f>
        <v>#DIV/0!</v>
      </c>
      <c r="Z103" s="53" t="e">
        <f>Z102+ATM_Conf!$C$5*(Nodes!AP102)/('Off-Ramp'!O288*AE288)</f>
        <v>#DIV/0!</v>
      </c>
      <c r="AA103" s="53" t="e">
        <f>AA102+ATM_Conf!$C$5*(Nodes!AQ102)/('Off-Ramp'!P288*AF288)</f>
        <v>#DIV/0!</v>
      </c>
    </row>
    <row r="104" spans="1:27" x14ac:dyDescent="0.15">
      <c r="A104" s="46">
        <v>102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53" t="e">
        <f t="shared" si="24"/>
        <v>#DIV/0!</v>
      </c>
      <c r="M104" s="53" t="e">
        <f t="shared" si="25"/>
        <v>#DIV/0!</v>
      </c>
      <c r="N104" s="53" t="e">
        <f t="shared" si="26"/>
        <v>#DIV/0!</v>
      </c>
      <c r="O104" s="53" t="e">
        <f t="shared" si="27"/>
        <v>#DIV/0!</v>
      </c>
      <c r="P104" s="69"/>
      <c r="Q104" s="69"/>
      <c r="R104" s="53" t="e">
        <f t="shared" si="28"/>
        <v>#DIV/0!</v>
      </c>
      <c r="S104" s="53" t="e">
        <f t="shared" si="29"/>
        <v>#DIV/0!</v>
      </c>
      <c r="T104" s="53" t="e">
        <f t="shared" si="30"/>
        <v>#DIV/0!</v>
      </c>
      <c r="U104" s="53" t="e">
        <f t="shared" si="23"/>
        <v>#DIV/0!</v>
      </c>
      <c r="V104" s="53" t="e">
        <f>V103+ATM_Conf!$C$5*(Nodes!AL103)/('Off-Ramp'!K289*AA289)</f>
        <v>#DIV/0!</v>
      </c>
      <c r="W104" s="53" t="e">
        <f>W103+ATM_Conf!$C$5*(Nodes!AM103)/('Off-Ramp'!L289*AB289)</f>
        <v>#DIV/0!</v>
      </c>
      <c r="X104" s="53" t="e">
        <f>X103+ATM_Conf!$C$5*(Nodes!AN103)/('Off-Ramp'!M289*AC289)</f>
        <v>#DIV/0!</v>
      </c>
      <c r="Y104" s="53" t="e">
        <f>Y103+ATM_Conf!$C$5*(Nodes!AO103)/('Off-Ramp'!N289*AD289)</f>
        <v>#DIV/0!</v>
      </c>
      <c r="Z104" s="53" t="e">
        <f>Z103+ATM_Conf!$C$5*(Nodes!AP103)/('Off-Ramp'!O289*AE289)</f>
        <v>#DIV/0!</v>
      </c>
      <c r="AA104" s="53" t="e">
        <f>AA103+ATM_Conf!$C$5*(Nodes!AQ103)/('Off-Ramp'!P289*AF289)</f>
        <v>#DIV/0!</v>
      </c>
    </row>
    <row r="105" spans="1:27" x14ac:dyDescent="0.15">
      <c r="A105" s="46">
        <v>103</v>
      </c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53" t="e">
        <f t="shared" si="24"/>
        <v>#DIV/0!</v>
      </c>
      <c r="M105" s="53" t="e">
        <f t="shared" si="25"/>
        <v>#DIV/0!</v>
      </c>
      <c r="N105" s="53" t="e">
        <f t="shared" si="26"/>
        <v>#DIV/0!</v>
      </c>
      <c r="O105" s="53" t="e">
        <f t="shared" si="27"/>
        <v>#DIV/0!</v>
      </c>
      <c r="P105" s="69"/>
      <c r="Q105" s="69"/>
      <c r="R105" s="53" t="e">
        <f t="shared" si="28"/>
        <v>#DIV/0!</v>
      </c>
      <c r="S105" s="53" t="e">
        <f t="shared" si="29"/>
        <v>#DIV/0!</v>
      </c>
      <c r="T105" s="53" t="e">
        <f t="shared" si="30"/>
        <v>#DIV/0!</v>
      </c>
      <c r="U105" s="53" t="e">
        <f t="shared" si="23"/>
        <v>#DIV/0!</v>
      </c>
      <c r="V105" s="53" t="e">
        <f>V104+ATM_Conf!$C$5*(Nodes!AL104)/('Off-Ramp'!K290*AA290)</f>
        <v>#DIV/0!</v>
      </c>
      <c r="W105" s="53" t="e">
        <f>W104+ATM_Conf!$C$5*(Nodes!AM104)/('Off-Ramp'!L290*AB290)</f>
        <v>#DIV/0!</v>
      </c>
      <c r="X105" s="53" t="e">
        <f>X104+ATM_Conf!$C$5*(Nodes!AN104)/('Off-Ramp'!M290*AC290)</f>
        <v>#DIV/0!</v>
      </c>
      <c r="Y105" s="53" t="e">
        <f>Y104+ATM_Conf!$C$5*(Nodes!AO104)/('Off-Ramp'!N290*AD290)</f>
        <v>#DIV/0!</v>
      </c>
      <c r="Z105" s="53" t="e">
        <f>Z104+ATM_Conf!$C$5*(Nodes!AP104)/('Off-Ramp'!O290*AE290)</f>
        <v>#DIV/0!</v>
      </c>
      <c r="AA105" s="53" t="e">
        <f>AA104+ATM_Conf!$C$5*(Nodes!AQ104)/('Off-Ramp'!P290*AF290)</f>
        <v>#DIV/0!</v>
      </c>
    </row>
    <row r="106" spans="1:27" x14ac:dyDescent="0.15">
      <c r="A106" s="46">
        <v>104</v>
      </c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53" t="e">
        <f t="shared" si="24"/>
        <v>#DIV/0!</v>
      </c>
      <c r="M106" s="53" t="e">
        <f t="shared" si="25"/>
        <v>#DIV/0!</v>
      </c>
      <c r="N106" s="53" t="e">
        <f t="shared" si="26"/>
        <v>#DIV/0!</v>
      </c>
      <c r="O106" s="53" t="e">
        <f t="shared" si="27"/>
        <v>#DIV/0!</v>
      </c>
      <c r="P106" s="69"/>
      <c r="Q106" s="69"/>
      <c r="R106" s="53" t="e">
        <f t="shared" si="28"/>
        <v>#DIV/0!</v>
      </c>
      <c r="S106" s="53" t="e">
        <f t="shared" si="29"/>
        <v>#DIV/0!</v>
      </c>
      <c r="T106" s="53" t="e">
        <f t="shared" si="30"/>
        <v>#DIV/0!</v>
      </c>
      <c r="U106" s="53" t="e">
        <f t="shared" si="23"/>
        <v>#DIV/0!</v>
      </c>
      <c r="V106" s="53" t="e">
        <f>V105+ATM_Conf!$C$5*(Nodes!AL105)/('Off-Ramp'!K291*AA291)</f>
        <v>#DIV/0!</v>
      </c>
      <c r="W106" s="53" t="e">
        <f>W105+ATM_Conf!$C$5*(Nodes!AM105)/('Off-Ramp'!L291*AB291)</f>
        <v>#DIV/0!</v>
      </c>
      <c r="X106" s="53" t="e">
        <f>X105+ATM_Conf!$C$5*(Nodes!AN105)/('Off-Ramp'!M291*AC291)</f>
        <v>#DIV/0!</v>
      </c>
      <c r="Y106" s="53" t="e">
        <f>Y105+ATM_Conf!$C$5*(Nodes!AO105)/('Off-Ramp'!N291*AD291)</f>
        <v>#DIV/0!</v>
      </c>
      <c r="Z106" s="53" t="e">
        <f>Z105+ATM_Conf!$C$5*(Nodes!AP105)/('Off-Ramp'!O291*AE291)</f>
        <v>#DIV/0!</v>
      </c>
      <c r="AA106" s="53" t="e">
        <f>AA105+ATM_Conf!$C$5*(Nodes!AQ105)/('Off-Ramp'!P291*AF291)</f>
        <v>#DIV/0!</v>
      </c>
    </row>
    <row r="107" spans="1:27" x14ac:dyDescent="0.15">
      <c r="A107" s="46">
        <v>105</v>
      </c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53" t="e">
        <f t="shared" si="24"/>
        <v>#DIV/0!</v>
      </c>
      <c r="M107" s="53" t="e">
        <f t="shared" si="25"/>
        <v>#DIV/0!</v>
      </c>
      <c r="N107" s="53" t="e">
        <f t="shared" si="26"/>
        <v>#DIV/0!</v>
      </c>
      <c r="O107" s="53" t="e">
        <f t="shared" si="27"/>
        <v>#DIV/0!</v>
      </c>
      <c r="P107" s="69"/>
      <c r="Q107" s="69"/>
      <c r="R107" s="53" t="e">
        <f t="shared" si="28"/>
        <v>#DIV/0!</v>
      </c>
      <c r="S107" s="53" t="e">
        <f t="shared" si="29"/>
        <v>#DIV/0!</v>
      </c>
      <c r="T107" s="53" t="e">
        <f t="shared" si="30"/>
        <v>#DIV/0!</v>
      </c>
      <c r="U107" s="53" t="e">
        <f t="shared" si="23"/>
        <v>#DIV/0!</v>
      </c>
      <c r="V107" s="53" t="e">
        <f>V106+ATM_Conf!$C$5*(Nodes!AL106)/('Off-Ramp'!K292*AA292)</f>
        <v>#DIV/0!</v>
      </c>
      <c r="W107" s="53" t="e">
        <f>W106+ATM_Conf!$C$5*(Nodes!AM106)/('Off-Ramp'!L292*AB292)</f>
        <v>#DIV/0!</v>
      </c>
      <c r="X107" s="53" t="e">
        <f>X106+ATM_Conf!$C$5*(Nodes!AN106)/('Off-Ramp'!M292*AC292)</f>
        <v>#DIV/0!</v>
      </c>
      <c r="Y107" s="53" t="e">
        <f>Y106+ATM_Conf!$C$5*(Nodes!AO106)/('Off-Ramp'!N292*AD292)</f>
        <v>#DIV/0!</v>
      </c>
      <c r="Z107" s="53" t="e">
        <f>Z106+ATM_Conf!$C$5*(Nodes!AP106)/('Off-Ramp'!O292*AE292)</f>
        <v>#DIV/0!</v>
      </c>
      <c r="AA107" s="53" t="e">
        <f>AA106+ATM_Conf!$C$5*(Nodes!AQ106)/('Off-Ramp'!P292*AF292)</f>
        <v>#DIV/0!</v>
      </c>
    </row>
    <row r="108" spans="1:27" x14ac:dyDescent="0.15">
      <c r="A108" s="46">
        <v>106</v>
      </c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53" t="e">
        <f t="shared" si="24"/>
        <v>#DIV/0!</v>
      </c>
      <c r="M108" s="53" t="e">
        <f t="shared" si="25"/>
        <v>#DIV/0!</v>
      </c>
      <c r="N108" s="53" t="e">
        <f t="shared" si="26"/>
        <v>#DIV/0!</v>
      </c>
      <c r="O108" s="53" t="e">
        <f t="shared" si="27"/>
        <v>#DIV/0!</v>
      </c>
      <c r="P108" s="69"/>
      <c r="Q108" s="69"/>
      <c r="R108" s="53" t="e">
        <f t="shared" si="28"/>
        <v>#DIV/0!</v>
      </c>
      <c r="S108" s="53" t="e">
        <f t="shared" si="29"/>
        <v>#DIV/0!</v>
      </c>
      <c r="T108" s="53" t="e">
        <f t="shared" si="30"/>
        <v>#DIV/0!</v>
      </c>
      <c r="U108" s="53" t="e">
        <f t="shared" si="23"/>
        <v>#DIV/0!</v>
      </c>
      <c r="V108" s="53" t="e">
        <f>V107+ATM_Conf!$C$5*(Nodes!AL107)/('Off-Ramp'!K293*AA293)</f>
        <v>#DIV/0!</v>
      </c>
      <c r="W108" s="53" t="e">
        <f>W107+ATM_Conf!$C$5*(Nodes!AM107)/('Off-Ramp'!L293*AB293)</f>
        <v>#DIV/0!</v>
      </c>
      <c r="X108" s="53" t="e">
        <f>X107+ATM_Conf!$C$5*(Nodes!AN107)/('Off-Ramp'!M293*AC293)</f>
        <v>#DIV/0!</v>
      </c>
      <c r="Y108" s="53" t="e">
        <f>Y107+ATM_Conf!$C$5*(Nodes!AO107)/('Off-Ramp'!N293*AD293)</f>
        <v>#DIV/0!</v>
      </c>
      <c r="Z108" s="53" t="e">
        <f>Z107+ATM_Conf!$C$5*(Nodes!AP107)/('Off-Ramp'!O293*AE293)</f>
        <v>#DIV/0!</v>
      </c>
      <c r="AA108" s="53" t="e">
        <f>AA107+ATM_Conf!$C$5*(Nodes!AQ107)/('Off-Ramp'!P293*AF293)</f>
        <v>#DIV/0!</v>
      </c>
    </row>
    <row r="109" spans="1:27" x14ac:dyDescent="0.15">
      <c r="A109" s="46">
        <v>107</v>
      </c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53" t="e">
        <f t="shared" si="24"/>
        <v>#DIV/0!</v>
      </c>
      <c r="M109" s="53" t="e">
        <f t="shared" si="25"/>
        <v>#DIV/0!</v>
      </c>
      <c r="N109" s="53" t="e">
        <f t="shared" si="26"/>
        <v>#DIV/0!</v>
      </c>
      <c r="O109" s="53" t="e">
        <f t="shared" si="27"/>
        <v>#DIV/0!</v>
      </c>
      <c r="P109" s="69"/>
      <c r="Q109" s="69"/>
      <c r="R109" s="53" t="e">
        <f t="shared" si="28"/>
        <v>#DIV/0!</v>
      </c>
      <c r="S109" s="53" t="e">
        <f t="shared" si="29"/>
        <v>#DIV/0!</v>
      </c>
      <c r="T109" s="53" t="e">
        <f t="shared" si="30"/>
        <v>#DIV/0!</v>
      </c>
      <c r="U109" s="53" t="e">
        <f t="shared" si="23"/>
        <v>#DIV/0!</v>
      </c>
      <c r="V109" s="53" t="e">
        <f>V108+ATM_Conf!$C$5*(Nodes!AL108)/('Off-Ramp'!K294*AA294)</f>
        <v>#DIV/0!</v>
      </c>
      <c r="W109" s="53" t="e">
        <f>W108+ATM_Conf!$C$5*(Nodes!AM108)/('Off-Ramp'!L294*AB294)</f>
        <v>#DIV/0!</v>
      </c>
      <c r="X109" s="53" t="e">
        <f>X108+ATM_Conf!$C$5*(Nodes!AN108)/('Off-Ramp'!M294*AC294)</f>
        <v>#DIV/0!</v>
      </c>
      <c r="Y109" s="53" t="e">
        <f>Y108+ATM_Conf!$C$5*(Nodes!AO108)/('Off-Ramp'!N294*AD294)</f>
        <v>#DIV/0!</v>
      </c>
      <c r="Z109" s="53" t="e">
        <f>Z108+ATM_Conf!$C$5*(Nodes!AP108)/('Off-Ramp'!O294*AE294)</f>
        <v>#DIV/0!</v>
      </c>
      <c r="AA109" s="53" t="e">
        <f>AA108+ATM_Conf!$C$5*(Nodes!AQ108)/('Off-Ramp'!P294*AF294)</f>
        <v>#DIV/0!</v>
      </c>
    </row>
    <row r="110" spans="1:27" x14ac:dyDescent="0.15">
      <c r="A110" s="46">
        <v>108</v>
      </c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53" t="e">
        <f t="shared" si="24"/>
        <v>#DIV/0!</v>
      </c>
      <c r="M110" s="53" t="e">
        <f t="shared" si="25"/>
        <v>#DIV/0!</v>
      </c>
      <c r="N110" s="53" t="e">
        <f t="shared" si="26"/>
        <v>#DIV/0!</v>
      </c>
      <c r="O110" s="53" t="e">
        <f t="shared" si="27"/>
        <v>#DIV/0!</v>
      </c>
      <c r="P110" s="69"/>
      <c r="Q110" s="69"/>
      <c r="R110" s="53" t="e">
        <f t="shared" si="28"/>
        <v>#DIV/0!</v>
      </c>
      <c r="S110" s="53" t="e">
        <f t="shared" si="29"/>
        <v>#DIV/0!</v>
      </c>
      <c r="T110" s="53" t="e">
        <f t="shared" si="30"/>
        <v>#DIV/0!</v>
      </c>
      <c r="U110" s="53" t="e">
        <f t="shared" si="23"/>
        <v>#DIV/0!</v>
      </c>
      <c r="V110" s="53" t="e">
        <f>V109+ATM_Conf!$C$5*(Nodes!AL109)/('Off-Ramp'!K295*AA295)</f>
        <v>#DIV/0!</v>
      </c>
      <c r="W110" s="53" t="e">
        <f>W109+ATM_Conf!$C$5*(Nodes!AM109)/('Off-Ramp'!L295*AB295)</f>
        <v>#DIV/0!</v>
      </c>
      <c r="X110" s="53" t="e">
        <f>X109+ATM_Conf!$C$5*(Nodes!AN109)/('Off-Ramp'!M295*AC295)</f>
        <v>#DIV/0!</v>
      </c>
      <c r="Y110" s="53" t="e">
        <f>Y109+ATM_Conf!$C$5*(Nodes!AO109)/('Off-Ramp'!N295*AD295)</f>
        <v>#DIV/0!</v>
      </c>
      <c r="Z110" s="53" t="e">
        <f>Z109+ATM_Conf!$C$5*(Nodes!AP109)/('Off-Ramp'!O295*AE295)</f>
        <v>#DIV/0!</v>
      </c>
      <c r="AA110" s="53" t="e">
        <f>AA109+ATM_Conf!$C$5*(Nodes!AQ109)/('Off-Ramp'!P295*AF295)</f>
        <v>#DIV/0!</v>
      </c>
    </row>
    <row r="111" spans="1:27" x14ac:dyDescent="0.15">
      <c r="A111" s="46">
        <v>109</v>
      </c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53" t="e">
        <f t="shared" si="24"/>
        <v>#DIV/0!</v>
      </c>
      <c r="M111" s="53" t="e">
        <f t="shared" si="25"/>
        <v>#DIV/0!</v>
      </c>
      <c r="N111" s="53" t="e">
        <f t="shared" si="26"/>
        <v>#DIV/0!</v>
      </c>
      <c r="O111" s="53" t="e">
        <f t="shared" si="27"/>
        <v>#DIV/0!</v>
      </c>
      <c r="P111" s="69"/>
      <c r="Q111" s="69"/>
      <c r="R111" s="53" t="e">
        <f t="shared" si="28"/>
        <v>#DIV/0!</v>
      </c>
      <c r="S111" s="53" t="e">
        <f t="shared" si="29"/>
        <v>#DIV/0!</v>
      </c>
      <c r="T111" s="53" t="e">
        <f t="shared" si="30"/>
        <v>#DIV/0!</v>
      </c>
      <c r="U111" s="53" t="e">
        <f t="shared" si="23"/>
        <v>#DIV/0!</v>
      </c>
      <c r="V111" s="53" t="e">
        <f>V110+ATM_Conf!$C$5*(Nodes!AL110)/('Off-Ramp'!K296*AA296)</f>
        <v>#DIV/0!</v>
      </c>
      <c r="W111" s="53" t="e">
        <f>W110+ATM_Conf!$C$5*(Nodes!AM110)/('Off-Ramp'!L296*AB296)</f>
        <v>#DIV/0!</v>
      </c>
      <c r="X111" s="53" t="e">
        <f>X110+ATM_Conf!$C$5*(Nodes!AN110)/('Off-Ramp'!M296*AC296)</f>
        <v>#DIV/0!</v>
      </c>
      <c r="Y111" s="53" t="e">
        <f>Y110+ATM_Conf!$C$5*(Nodes!AO110)/('Off-Ramp'!N296*AD296)</f>
        <v>#DIV/0!</v>
      </c>
      <c r="Z111" s="53" t="e">
        <f>Z110+ATM_Conf!$C$5*(Nodes!AP110)/('Off-Ramp'!O296*AE296)</f>
        <v>#DIV/0!</v>
      </c>
      <c r="AA111" s="53" t="e">
        <f>AA110+ATM_Conf!$C$5*(Nodes!AQ110)/('Off-Ramp'!P296*AF296)</f>
        <v>#DIV/0!</v>
      </c>
    </row>
    <row r="112" spans="1:27" x14ac:dyDescent="0.15">
      <c r="A112" s="46">
        <v>110</v>
      </c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53" t="e">
        <f t="shared" si="24"/>
        <v>#DIV/0!</v>
      </c>
      <c r="M112" s="53" t="e">
        <f t="shared" si="25"/>
        <v>#DIV/0!</v>
      </c>
      <c r="N112" s="53" t="e">
        <f t="shared" si="26"/>
        <v>#DIV/0!</v>
      </c>
      <c r="O112" s="53" t="e">
        <f t="shared" si="27"/>
        <v>#DIV/0!</v>
      </c>
      <c r="P112" s="69"/>
      <c r="Q112" s="69"/>
      <c r="R112" s="53" t="e">
        <f t="shared" si="28"/>
        <v>#DIV/0!</v>
      </c>
      <c r="S112" s="53" t="e">
        <f t="shared" si="29"/>
        <v>#DIV/0!</v>
      </c>
      <c r="T112" s="53" t="e">
        <f t="shared" si="30"/>
        <v>#DIV/0!</v>
      </c>
      <c r="U112" s="53" t="e">
        <f t="shared" si="23"/>
        <v>#DIV/0!</v>
      </c>
      <c r="V112" s="53" t="e">
        <f>V111+ATM_Conf!$C$5*(Nodes!AL111)/('Off-Ramp'!K297*AA297)</f>
        <v>#DIV/0!</v>
      </c>
      <c r="W112" s="53" t="e">
        <f>W111+ATM_Conf!$C$5*(Nodes!AM111)/('Off-Ramp'!L297*AB297)</f>
        <v>#DIV/0!</v>
      </c>
      <c r="X112" s="53" t="e">
        <f>X111+ATM_Conf!$C$5*(Nodes!AN111)/('Off-Ramp'!M297*AC297)</f>
        <v>#DIV/0!</v>
      </c>
      <c r="Y112" s="53" t="e">
        <f>Y111+ATM_Conf!$C$5*(Nodes!AO111)/('Off-Ramp'!N297*AD297)</f>
        <v>#DIV/0!</v>
      </c>
      <c r="Z112" s="53" t="e">
        <f>Z111+ATM_Conf!$C$5*(Nodes!AP111)/('Off-Ramp'!O297*AE297)</f>
        <v>#DIV/0!</v>
      </c>
      <c r="AA112" s="53" t="e">
        <f>AA111+ATM_Conf!$C$5*(Nodes!AQ111)/('Off-Ramp'!P297*AF297)</f>
        <v>#DIV/0!</v>
      </c>
    </row>
    <row r="113" spans="1:27" x14ac:dyDescent="0.15">
      <c r="A113" s="46">
        <v>111</v>
      </c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53" t="e">
        <f t="shared" si="24"/>
        <v>#DIV/0!</v>
      </c>
      <c r="M113" s="53" t="e">
        <f t="shared" si="25"/>
        <v>#DIV/0!</v>
      </c>
      <c r="N113" s="53" t="e">
        <f t="shared" si="26"/>
        <v>#DIV/0!</v>
      </c>
      <c r="O113" s="53" t="e">
        <f t="shared" si="27"/>
        <v>#DIV/0!</v>
      </c>
      <c r="P113" s="69"/>
      <c r="Q113" s="69"/>
      <c r="R113" s="53" t="e">
        <f t="shared" si="28"/>
        <v>#DIV/0!</v>
      </c>
      <c r="S113" s="53" t="e">
        <f t="shared" si="29"/>
        <v>#DIV/0!</v>
      </c>
      <c r="T113" s="53" t="e">
        <f t="shared" si="30"/>
        <v>#DIV/0!</v>
      </c>
      <c r="U113" s="53" t="e">
        <f t="shared" si="23"/>
        <v>#DIV/0!</v>
      </c>
      <c r="V113" s="53" t="e">
        <f>V112+ATM_Conf!$C$5*(Nodes!AL112)/('Off-Ramp'!K298*AA298)</f>
        <v>#DIV/0!</v>
      </c>
      <c r="W113" s="53" t="e">
        <f>W112+ATM_Conf!$C$5*(Nodes!AM112)/('Off-Ramp'!L298*AB298)</f>
        <v>#DIV/0!</v>
      </c>
      <c r="X113" s="53" t="e">
        <f>X112+ATM_Conf!$C$5*(Nodes!AN112)/('Off-Ramp'!M298*AC298)</f>
        <v>#DIV/0!</v>
      </c>
      <c r="Y113" s="53" t="e">
        <f>Y112+ATM_Conf!$C$5*(Nodes!AO112)/('Off-Ramp'!N298*AD298)</f>
        <v>#DIV/0!</v>
      </c>
      <c r="Z113" s="53" t="e">
        <f>Z112+ATM_Conf!$C$5*(Nodes!AP112)/('Off-Ramp'!O298*AE298)</f>
        <v>#DIV/0!</v>
      </c>
      <c r="AA113" s="53" t="e">
        <f>AA112+ATM_Conf!$C$5*(Nodes!AQ112)/('Off-Ramp'!P298*AF298)</f>
        <v>#DIV/0!</v>
      </c>
    </row>
    <row r="114" spans="1:27" x14ac:dyDescent="0.15">
      <c r="A114" s="46">
        <v>112</v>
      </c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53" t="e">
        <f t="shared" si="24"/>
        <v>#DIV/0!</v>
      </c>
      <c r="M114" s="53" t="e">
        <f t="shared" si="25"/>
        <v>#DIV/0!</v>
      </c>
      <c r="N114" s="53" t="e">
        <f t="shared" si="26"/>
        <v>#DIV/0!</v>
      </c>
      <c r="O114" s="53" t="e">
        <f t="shared" si="27"/>
        <v>#DIV/0!</v>
      </c>
      <c r="P114" s="69"/>
      <c r="Q114" s="69"/>
      <c r="R114" s="53" t="e">
        <f t="shared" si="28"/>
        <v>#DIV/0!</v>
      </c>
      <c r="S114" s="53" t="e">
        <f t="shared" si="29"/>
        <v>#DIV/0!</v>
      </c>
      <c r="T114" s="53" t="e">
        <f t="shared" si="30"/>
        <v>#DIV/0!</v>
      </c>
      <c r="U114" s="53" t="e">
        <f t="shared" si="23"/>
        <v>#DIV/0!</v>
      </c>
      <c r="V114" s="53" t="e">
        <f>V113+ATM_Conf!$C$5*(Nodes!AL113)/('Off-Ramp'!K299*AA299)</f>
        <v>#DIV/0!</v>
      </c>
      <c r="W114" s="53" t="e">
        <f>W113+ATM_Conf!$C$5*(Nodes!AM113)/('Off-Ramp'!L299*AB299)</f>
        <v>#DIV/0!</v>
      </c>
      <c r="X114" s="53" t="e">
        <f>X113+ATM_Conf!$C$5*(Nodes!AN113)/('Off-Ramp'!M299*AC299)</f>
        <v>#DIV/0!</v>
      </c>
      <c r="Y114" s="53" t="e">
        <f>Y113+ATM_Conf!$C$5*(Nodes!AO113)/('Off-Ramp'!N299*AD299)</f>
        <v>#DIV/0!</v>
      </c>
      <c r="Z114" s="53" t="e">
        <f>Z113+ATM_Conf!$C$5*(Nodes!AP113)/('Off-Ramp'!O299*AE299)</f>
        <v>#DIV/0!</v>
      </c>
      <c r="AA114" s="53" t="e">
        <f>AA113+ATM_Conf!$C$5*(Nodes!AQ113)/('Off-Ramp'!P299*AF299)</f>
        <v>#DIV/0!</v>
      </c>
    </row>
    <row r="115" spans="1:27" x14ac:dyDescent="0.15">
      <c r="A115" s="46">
        <v>113</v>
      </c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53" t="e">
        <f t="shared" si="24"/>
        <v>#DIV/0!</v>
      </c>
      <c r="M115" s="53" t="e">
        <f t="shared" si="25"/>
        <v>#DIV/0!</v>
      </c>
      <c r="N115" s="53" t="e">
        <f t="shared" si="26"/>
        <v>#DIV/0!</v>
      </c>
      <c r="O115" s="53" t="e">
        <f t="shared" si="27"/>
        <v>#DIV/0!</v>
      </c>
      <c r="P115" s="69"/>
      <c r="Q115" s="69"/>
      <c r="R115" s="53" t="e">
        <f t="shared" si="28"/>
        <v>#DIV/0!</v>
      </c>
      <c r="S115" s="53" t="e">
        <f t="shared" si="29"/>
        <v>#DIV/0!</v>
      </c>
      <c r="T115" s="53" t="e">
        <f t="shared" si="30"/>
        <v>#DIV/0!</v>
      </c>
      <c r="U115" s="53" t="e">
        <f t="shared" si="23"/>
        <v>#DIV/0!</v>
      </c>
      <c r="V115" s="53" t="e">
        <f>V114+ATM_Conf!$C$5*(Nodes!AL114)/('Off-Ramp'!K300*AA300)</f>
        <v>#DIV/0!</v>
      </c>
      <c r="W115" s="53" t="e">
        <f>W114+ATM_Conf!$C$5*(Nodes!AM114)/('Off-Ramp'!L300*AB300)</f>
        <v>#DIV/0!</v>
      </c>
      <c r="X115" s="53" t="e">
        <f>X114+ATM_Conf!$C$5*(Nodes!AN114)/('Off-Ramp'!M300*AC300)</f>
        <v>#DIV/0!</v>
      </c>
      <c r="Y115" s="53" t="e">
        <f>Y114+ATM_Conf!$C$5*(Nodes!AO114)/('Off-Ramp'!N300*AD300)</f>
        <v>#DIV/0!</v>
      </c>
      <c r="Z115" s="53" t="e">
        <f>Z114+ATM_Conf!$C$5*(Nodes!AP114)/('Off-Ramp'!O300*AE300)</f>
        <v>#DIV/0!</v>
      </c>
      <c r="AA115" s="53" t="e">
        <f>AA114+ATM_Conf!$C$5*(Nodes!AQ114)/('Off-Ramp'!P300*AF300)</f>
        <v>#DIV/0!</v>
      </c>
    </row>
    <row r="116" spans="1:27" x14ac:dyDescent="0.15">
      <c r="A116" s="46">
        <v>114</v>
      </c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53" t="e">
        <f t="shared" si="24"/>
        <v>#DIV/0!</v>
      </c>
      <c r="M116" s="53" t="e">
        <f t="shared" si="25"/>
        <v>#DIV/0!</v>
      </c>
      <c r="N116" s="53" t="e">
        <f t="shared" si="26"/>
        <v>#DIV/0!</v>
      </c>
      <c r="O116" s="53" t="e">
        <f t="shared" si="27"/>
        <v>#DIV/0!</v>
      </c>
      <c r="P116" s="69"/>
      <c r="Q116" s="69"/>
      <c r="R116" s="53" t="e">
        <f t="shared" si="28"/>
        <v>#DIV/0!</v>
      </c>
      <c r="S116" s="53" t="e">
        <f t="shared" si="29"/>
        <v>#DIV/0!</v>
      </c>
      <c r="T116" s="53" t="e">
        <f t="shared" si="30"/>
        <v>#DIV/0!</v>
      </c>
      <c r="U116" s="53" t="e">
        <f t="shared" si="23"/>
        <v>#DIV/0!</v>
      </c>
      <c r="V116" s="53" t="e">
        <f>V115+ATM_Conf!$C$5*(Nodes!AL115)/('Off-Ramp'!K301*AA301)</f>
        <v>#DIV/0!</v>
      </c>
      <c r="W116" s="53" t="e">
        <f>W115+ATM_Conf!$C$5*(Nodes!AM115)/('Off-Ramp'!L301*AB301)</f>
        <v>#DIV/0!</v>
      </c>
      <c r="X116" s="53" t="e">
        <f>X115+ATM_Conf!$C$5*(Nodes!AN115)/('Off-Ramp'!M301*AC301)</f>
        <v>#DIV/0!</v>
      </c>
      <c r="Y116" s="53" t="e">
        <f>Y115+ATM_Conf!$C$5*(Nodes!AO115)/('Off-Ramp'!N301*AD301)</f>
        <v>#DIV/0!</v>
      </c>
      <c r="Z116" s="53" t="e">
        <f>Z115+ATM_Conf!$C$5*(Nodes!AP115)/('Off-Ramp'!O301*AE301)</f>
        <v>#DIV/0!</v>
      </c>
      <c r="AA116" s="53" t="e">
        <f>AA115+ATM_Conf!$C$5*(Nodes!AQ115)/('Off-Ramp'!P301*AF301)</f>
        <v>#DIV/0!</v>
      </c>
    </row>
    <row r="117" spans="1:27" x14ac:dyDescent="0.15">
      <c r="A117" s="46">
        <v>115</v>
      </c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53" t="e">
        <f t="shared" si="24"/>
        <v>#DIV/0!</v>
      </c>
      <c r="M117" s="53" t="e">
        <f t="shared" si="25"/>
        <v>#DIV/0!</v>
      </c>
      <c r="N117" s="53" t="e">
        <f t="shared" si="26"/>
        <v>#DIV/0!</v>
      </c>
      <c r="O117" s="53" t="e">
        <f t="shared" si="27"/>
        <v>#DIV/0!</v>
      </c>
      <c r="P117" s="69"/>
      <c r="Q117" s="69"/>
      <c r="R117" s="53" t="e">
        <f t="shared" si="28"/>
        <v>#DIV/0!</v>
      </c>
      <c r="S117" s="53" t="e">
        <f t="shared" si="29"/>
        <v>#DIV/0!</v>
      </c>
      <c r="T117" s="53" t="e">
        <f t="shared" si="30"/>
        <v>#DIV/0!</v>
      </c>
      <c r="U117" s="53" t="e">
        <f t="shared" si="23"/>
        <v>#DIV/0!</v>
      </c>
      <c r="V117" s="53" t="e">
        <f>V116+ATM_Conf!$C$5*(Nodes!AL116)/('Off-Ramp'!K302*AA302)</f>
        <v>#DIV/0!</v>
      </c>
      <c r="W117" s="53" t="e">
        <f>W116+ATM_Conf!$C$5*(Nodes!AM116)/('Off-Ramp'!L302*AB302)</f>
        <v>#DIV/0!</v>
      </c>
      <c r="X117" s="53" t="e">
        <f>X116+ATM_Conf!$C$5*(Nodes!AN116)/('Off-Ramp'!M302*AC302)</f>
        <v>#DIV/0!</v>
      </c>
      <c r="Y117" s="53" t="e">
        <f>Y116+ATM_Conf!$C$5*(Nodes!AO116)/('Off-Ramp'!N302*AD302)</f>
        <v>#DIV/0!</v>
      </c>
      <c r="Z117" s="53" t="e">
        <f>Z116+ATM_Conf!$C$5*(Nodes!AP116)/('Off-Ramp'!O302*AE302)</f>
        <v>#DIV/0!</v>
      </c>
      <c r="AA117" s="53" t="e">
        <f>AA116+ATM_Conf!$C$5*(Nodes!AQ116)/('Off-Ramp'!P302*AF302)</f>
        <v>#DIV/0!</v>
      </c>
    </row>
    <row r="118" spans="1:27" x14ac:dyDescent="0.15">
      <c r="A118" s="46">
        <v>116</v>
      </c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53" t="e">
        <f t="shared" si="24"/>
        <v>#DIV/0!</v>
      </c>
      <c r="M118" s="53" t="e">
        <f t="shared" si="25"/>
        <v>#DIV/0!</v>
      </c>
      <c r="N118" s="53" t="e">
        <f t="shared" si="26"/>
        <v>#DIV/0!</v>
      </c>
      <c r="O118" s="53" t="e">
        <f t="shared" si="27"/>
        <v>#DIV/0!</v>
      </c>
      <c r="P118" s="69"/>
      <c r="Q118" s="69"/>
      <c r="R118" s="53" t="e">
        <f t="shared" si="28"/>
        <v>#DIV/0!</v>
      </c>
      <c r="S118" s="53" t="e">
        <f t="shared" si="29"/>
        <v>#DIV/0!</v>
      </c>
      <c r="T118" s="53" t="e">
        <f t="shared" si="30"/>
        <v>#DIV/0!</v>
      </c>
      <c r="U118" s="53" t="e">
        <f t="shared" si="23"/>
        <v>#DIV/0!</v>
      </c>
      <c r="V118" s="53" t="e">
        <f>V117+ATM_Conf!$C$5*(Nodes!AL117)/('Off-Ramp'!K303*AA303)</f>
        <v>#DIV/0!</v>
      </c>
      <c r="W118" s="53" t="e">
        <f>W117+ATM_Conf!$C$5*(Nodes!AM117)/('Off-Ramp'!L303*AB303)</f>
        <v>#DIV/0!</v>
      </c>
      <c r="X118" s="53" t="e">
        <f>X117+ATM_Conf!$C$5*(Nodes!AN117)/('Off-Ramp'!M303*AC303)</f>
        <v>#DIV/0!</v>
      </c>
      <c r="Y118" s="53" t="e">
        <f>Y117+ATM_Conf!$C$5*(Nodes!AO117)/('Off-Ramp'!N303*AD303)</f>
        <v>#DIV/0!</v>
      </c>
      <c r="Z118" s="53" t="e">
        <f>Z117+ATM_Conf!$C$5*(Nodes!AP117)/('Off-Ramp'!O303*AE303)</f>
        <v>#DIV/0!</v>
      </c>
      <c r="AA118" s="53" t="e">
        <f>AA117+ATM_Conf!$C$5*(Nodes!AQ117)/('Off-Ramp'!P303*AF303)</f>
        <v>#DIV/0!</v>
      </c>
    </row>
    <row r="119" spans="1:27" x14ac:dyDescent="0.15">
      <c r="A119" s="46">
        <v>117</v>
      </c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53" t="e">
        <f t="shared" si="24"/>
        <v>#DIV/0!</v>
      </c>
      <c r="M119" s="53" t="e">
        <f t="shared" si="25"/>
        <v>#DIV/0!</v>
      </c>
      <c r="N119" s="53" t="e">
        <f t="shared" si="26"/>
        <v>#DIV/0!</v>
      </c>
      <c r="O119" s="53" t="e">
        <f t="shared" si="27"/>
        <v>#DIV/0!</v>
      </c>
      <c r="P119" s="69"/>
      <c r="Q119" s="69"/>
      <c r="R119" s="53" t="e">
        <f t="shared" si="28"/>
        <v>#DIV/0!</v>
      </c>
      <c r="S119" s="53" t="e">
        <f t="shared" si="29"/>
        <v>#DIV/0!</v>
      </c>
      <c r="T119" s="53" t="e">
        <f t="shared" si="30"/>
        <v>#DIV/0!</v>
      </c>
      <c r="U119" s="53" t="e">
        <f t="shared" si="23"/>
        <v>#DIV/0!</v>
      </c>
      <c r="V119" s="53" t="e">
        <f>V118+ATM_Conf!$C$5*(Nodes!AL118)/('Off-Ramp'!K304*AA304)</f>
        <v>#DIV/0!</v>
      </c>
      <c r="W119" s="53" t="e">
        <f>W118+ATM_Conf!$C$5*(Nodes!AM118)/('Off-Ramp'!L304*AB304)</f>
        <v>#DIV/0!</v>
      </c>
      <c r="X119" s="53" t="e">
        <f>X118+ATM_Conf!$C$5*(Nodes!AN118)/('Off-Ramp'!M304*AC304)</f>
        <v>#DIV/0!</v>
      </c>
      <c r="Y119" s="53" t="e">
        <f>Y118+ATM_Conf!$C$5*(Nodes!AO118)/('Off-Ramp'!N304*AD304)</f>
        <v>#DIV/0!</v>
      </c>
      <c r="Z119" s="53" t="e">
        <f>Z118+ATM_Conf!$C$5*(Nodes!AP118)/('Off-Ramp'!O304*AE304)</f>
        <v>#DIV/0!</v>
      </c>
      <c r="AA119" s="53" t="e">
        <f>AA118+ATM_Conf!$C$5*(Nodes!AQ118)/('Off-Ramp'!P304*AF304)</f>
        <v>#DIV/0!</v>
      </c>
    </row>
    <row r="120" spans="1:27" x14ac:dyDescent="0.15">
      <c r="A120" s="46">
        <v>118</v>
      </c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53" t="e">
        <f t="shared" si="24"/>
        <v>#DIV/0!</v>
      </c>
      <c r="M120" s="53" t="e">
        <f t="shared" si="25"/>
        <v>#DIV/0!</v>
      </c>
      <c r="N120" s="53" t="e">
        <f t="shared" si="26"/>
        <v>#DIV/0!</v>
      </c>
      <c r="O120" s="53" t="e">
        <f t="shared" si="27"/>
        <v>#DIV/0!</v>
      </c>
      <c r="P120" s="69"/>
      <c r="Q120" s="69"/>
      <c r="R120" s="53" t="e">
        <f t="shared" si="28"/>
        <v>#DIV/0!</v>
      </c>
      <c r="S120" s="53" t="e">
        <f t="shared" si="29"/>
        <v>#DIV/0!</v>
      </c>
      <c r="T120" s="53" t="e">
        <f t="shared" si="30"/>
        <v>#DIV/0!</v>
      </c>
      <c r="U120" s="53" t="e">
        <f t="shared" si="23"/>
        <v>#DIV/0!</v>
      </c>
      <c r="V120" s="53" t="e">
        <f>V119+ATM_Conf!$C$5*(Nodes!AL119)/('Off-Ramp'!K305*AA305)</f>
        <v>#DIV/0!</v>
      </c>
      <c r="W120" s="53" t="e">
        <f>W119+ATM_Conf!$C$5*(Nodes!AM119)/('Off-Ramp'!L305*AB305)</f>
        <v>#DIV/0!</v>
      </c>
      <c r="X120" s="53" t="e">
        <f>X119+ATM_Conf!$C$5*(Nodes!AN119)/('Off-Ramp'!M305*AC305)</f>
        <v>#DIV/0!</v>
      </c>
      <c r="Y120" s="53" t="e">
        <f>Y119+ATM_Conf!$C$5*(Nodes!AO119)/('Off-Ramp'!N305*AD305)</f>
        <v>#DIV/0!</v>
      </c>
      <c r="Z120" s="53" t="e">
        <f>Z119+ATM_Conf!$C$5*(Nodes!AP119)/('Off-Ramp'!O305*AE305)</f>
        <v>#DIV/0!</v>
      </c>
      <c r="AA120" s="53" t="e">
        <f>AA119+ATM_Conf!$C$5*(Nodes!AQ119)/('Off-Ramp'!P305*AF305)</f>
        <v>#DIV/0!</v>
      </c>
    </row>
    <row r="121" spans="1:27" x14ac:dyDescent="0.15">
      <c r="A121" s="46">
        <v>119</v>
      </c>
      <c r="B121" s="61"/>
      <c r="C121" s="61"/>
      <c r="D121" s="61"/>
      <c r="E121" s="61"/>
      <c r="F121" s="61"/>
      <c r="G121" s="61"/>
      <c r="H121" s="61"/>
      <c r="I121" s="61"/>
      <c r="J121" s="61"/>
      <c r="K121" s="61"/>
      <c r="L121" s="53" t="e">
        <f t="shared" si="24"/>
        <v>#DIV/0!</v>
      </c>
      <c r="M121" s="53" t="e">
        <f t="shared" si="25"/>
        <v>#DIV/0!</v>
      </c>
      <c r="N121" s="53" t="e">
        <f t="shared" si="26"/>
        <v>#DIV/0!</v>
      </c>
      <c r="O121" s="53" t="e">
        <f t="shared" si="27"/>
        <v>#DIV/0!</v>
      </c>
      <c r="P121" s="69"/>
      <c r="Q121" s="69"/>
      <c r="R121" s="53" t="e">
        <f t="shared" si="28"/>
        <v>#DIV/0!</v>
      </c>
      <c r="S121" s="53" t="e">
        <f t="shared" si="29"/>
        <v>#DIV/0!</v>
      </c>
      <c r="T121" s="53" t="e">
        <f t="shared" si="30"/>
        <v>#DIV/0!</v>
      </c>
      <c r="U121" s="53" t="e">
        <f t="shared" si="23"/>
        <v>#DIV/0!</v>
      </c>
      <c r="V121" s="53" t="e">
        <f>V120+ATM_Conf!$C$5*(Nodes!AL120)/('Off-Ramp'!K306*AA306)</f>
        <v>#DIV/0!</v>
      </c>
      <c r="W121" s="53" t="e">
        <f>W120+ATM_Conf!$C$5*(Nodes!AM120)/('Off-Ramp'!L306*AB306)</f>
        <v>#DIV/0!</v>
      </c>
      <c r="X121" s="53" t="e">
        <f>X120+ATM_Conf!$C$5*(Nodes!AN120)/('Off-Ramp'!M306*AC306)</f>
        <v>#DIV/0!</v>
      </c>
      <c r="Y121" s="53" t="e">
        <f>Y120+ATM_Conf!$C$5*(Nodes!AO120)/('Off-Ramp'!N306*AD306)</f>
        <v>#DIV/0!</v>
      </c>
      <c r="Z121" s="53" t="e">
        <f>Z120+ATM_Conf!$C$5*(Nodes!AP120)/('Off-Ramp'!O306*AE306)</f>
        <v>#DIV/0!</v>
      </c>
      <c r="AA121" s="53" t="e">
        <f>AA120+ATM_Conf!$C$5*(Nodes!AQ120)/('Off-Ramp'!P306*AF306)</f>
        <v>#DIV/0!</v>
      </c>
    </row>
    <row r="122" spans="1:27" x14ac:dyDescent="0.15">
      <c r="A122" s="46">
        <v>120</v>
      </c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53" t="e">
        <f t="shared" si="24"/>
        <v>#DIV/0!</v>
      </c>
      <c r="M122" s="53" t="e">
        <f t="shared" si="25"/>
        <v>#DIV/0!</v>
      </c>
      <c r="N122" s="53" t="e">
        <f t="shared" si="26"/>
        <v>#DIV/0!</v>
      </c>
      <c r="O122" s="53" t="e">
        <f t="shared" si="27"/>
        <v>#DIV/0!</v>
      </c>
      <c r="P122" s="69"/>
      <c r="Q122" s="69"/>
      <c r="R122" s="53" t="e">
        <f t="shared" si="28"/>
        <v>#DIV/0!</v>
      </c>
      <c r="S122" s="53" t="e">
        <f t="shared" si="29"/>
        <v>#DIV/0!</v>
      </c>
      <c r="T122" s="53" t="e">
        <f t="shared" si="30"/>
        <v>#DIV/0!</v>
      </c>
      <c r="U122" s="53" t="e">
        <f t="shared" si="23"/>
        <v>#DIV/0!</v>
      </c>
      <c r="V122" s="53" t="e">
        <f>V121+ATM_Conf!$C$5*(Nodes!AL121)/('Off-Ramp'!K307*AA307)</f>
        <v>#DIV/0!</v>
      </c>
      <c r="W122" s="53" t="e">
        <f>W121+ATM_Conf!$C$5*(Nodes!AM121)/('Off-Ramp'!L307*AB307)</f>
        <v>#DIV/0!</v>
      </c>
      <c r="X122" s="53" t="e">
        <f>X121+ATM_Conf!$C$5*(Nodes!AN121)/('Off-Ramp'!M307*AC307)</f>
        <v>#DIV/0!</v>
      </c>
      <c r="Y122" s="53" t="e">
        <f>Y121+ATM_Conf!$C$5*(Nodes!AO121)/('Off-Ramp'!N307*AD307)</f>
        <v>#DIV/0!</v>
      </c>
      <c r="Z122" s="53" t="e">
        <f>Z121+ATM_Conf!$C$5*(Nodes!AP121)/('Off-Ramp'!O307*AE307)</f>
        <v>#DIV/0!</v>
      </c>
      <c r="AA122" s="53" t="e">
        <f>AA121+ATM_Conf!$C$5*(Nodes!AQ121)/('Off-Ramp'!P307*AF307)</f>
        <v>#DIV/0!</v>
      </c>
    </row>
    <row r="123" spans="1:27" x14ac:dyDescent="0.15">
      <c r="A123" s="46">
        <v>121</v>
      </c>
      <c r="B123" s="61"/>
      <c r="C123" s="61"/>
      <c r="D123" s="61"/>
      <c r="E123" s="61"/>
      <c r="F123" s="61"/>
      <c r="G123" s="61"/>
      <c r="H123" s="61"/>
      <c r="I123" s="61"/>
      <c r="J123" s="61"/>
      <c r="K123" s="61"/>
      <c r="L123" s="53" t="e">
        <f t="shared" si="24"/>
        <v>#DIV/0!</v>
      </c>
      <c r="M123" s="53" t="e">
        <f t="shared" si="25"/>
        <v>#DIV/0!</v>
      </c>
      <c r="N123" s="53" t="e">
        <f t="shared" si="26"/>
        <v>#DIV/0!</v>
      </c>
      <c r="O123" s="53" t="e">
        <f t="shared" si="27"/>
        <v>#DIV/0!</v>
      </c>
      <c r="P123" s="69"/>
      <c r="Q123" s="69"/>
      <c r="R123" s="53" t="e">
        <f t="shared" si="28"/>
        <v>#DIV/0!</v>
      </c>
      <c r="S123" s="53" t="e">
        <f t="shared" si="29"/>
        <v>#DIV/0!</v>
      </c>
      <c r="T123" s="53" t="e">
        <f t="shared" si="30"/>
        <v>#DIV/0!</v>
      </c>
      <c r="U123" s="53" t="e">
        <f t="shared" si="23"/>
        <v>#DIV/0!</v>
      </c>
      <c r="V123" s="53" t="e">
        <f>V122+ATM_Conf!$C$5*(Nodes!AL122)/('Off-Ramp'!K308*AA308)</f>
        <v>#DIV/0!</v>
      </c>
      <c r="W123" s="53" t="e">
        <f>W122+ATM_Conf!$C$5*(Nodes!AM122)/('Off-Ramp'!L308*AB308)</f>
        <v>#DIV/0!</v>
      </c>
      <c r="X123" s="53" t="e">
        <f>X122+ATM_Conf!$C$5*(Nodes!AN122)/('Off-Ramp'!M308*AC308)</f>
        <v>#DIV/0!</v>
      </c>
      <c r="Y123" s="53" t="e">
        <f>Y122+ATM_Conf!$C$5*(Nodes!AO122)/('Off-Ramp'!N308*AD308)</f>
        <v>#DIV/0!</v>
      </c>
      <c r="Z123" s="53" t="e">
        <f>Z122+ATM_Conf!$C$5*(Nodes!AP122)/('Off-Ramp'!O308*AE308)</f>
        <v>#DIV/0!</v>
      </c>
      <c r="AA123" s="53" t="e">
        <f>AA122+ATM_Conf!$C$5*(Nodes!AQ122)/('Off-Ramp'!P308*AF308)</f>
        <v>#DIV/0!</v>
      </c>
    </row>
    <row r="124" spans="1:27" x14ac:dyDescent="0.15">
      <c r="A124" s="46">
        <v>122</v>
      </c>
      <c r="B124" s="61"/>
      <c r="C124" s="61"/>
      <c r="D124" s="61"/>
      <c r="E124" s="61"/>
      <c r="F124" s="61"/>
      <c r="G124" s="61"/>
      <c r="H124" s="61"/>
      <c r="I124" s="61"/>
      <c r="J124" s="61"/>
      <c r="K124" s="61"/>
      <c r="L124" s="53" t="e">
        <f t="shared" si="24"/>
        <v>#DIV/0!</v>
      </c>
      <c r="M124" s="53" t="e">
        <f t="shared" si="25"/>
        <v>#DIV/0!</v>
      </c>
      <c r="N124" s="53" t="e">
        <f t="shared" si="26"/>
        <v>#DIV/0!</v>
      </c>
      <c r="O124" s="53" t="e">
        <f t="shared" si="27"/>
        <v>#DIV/0!</v>
      </c>
      <c r="P124" s="69"/>
      <c r="Q124" s="69"/>
      <c r="R124" s="53" t="e">
        <f t="shared" si="28"/>
        <v>#DIV/0!</v>
      </c>
      <c r="S124" s="53" t="e">
        <f t="shared" si="29"/>
        <v>#DIV/0!</v>
      </c>
      <c r="T124" s="53" t="e">
        <f t="shared" si="30"/>
        <v>#DIV/0!</v>
      </c>
      <c r="U124" s="53" t="e">
        <f t="shared" si="23"/>
        <v>#DIV/0!</v>
      </c>
      <c r="V124" s="53" t="e">
        <f>V123+ATM_Conf!$C$5*(Nodes!AL123)/('Off-Ramp'!K309*AA309)</f>
        <v>#DIV/0!</v>
      </c>
      <c r="W124" s="53" t="e">
        <f>W123+ATM_Conf!$C$5*(Nodes!AM123)/('Off-Ramp'!L309*AB309)</f>
        <v>#DIV/0!</v>
      </c>
      <c r="X124" s="53" t="e">
        <f>X123+ATM_Conf!$C$5*(Nodes!AN123)/('Off-Ramp'!M309*AC309)</f>
        <v>#DIV/0!</v>
      </c>
      <c r="Y124" s="53" t="e">
        <f>Y123+ATM_Conf!$C$5*(Nodes!AO123)/('Off-Ramp'!N309*AD309)</f>
        <v>#DIV/0!</v>
      </c>
      <c r="Z124" s="53" t="e">
        <f>Z123+ATM_Conf!$C$5*(Nodes!AP123)/('Off-Ramp'!O309*AE309)</f>
        <v>#DIV/0!</v>
      </c>
      <c r="AA124" s="53" t="e">
        <f>AA123+ATM_Conf!$C$5*(Nodes!AQ123)/('Off-Ramp'!P309*AF309)</f>
        <v>#DIV/0!</v>
      </c>
    </row>
    <row r="125" spans="1:27" x14ac:dyDescent="0.15">
      <c r="A125" s="46">
        <v>123</v>
      </c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53" t="e">
        <f t="shared" si="24"/>
        <v>#DIV/0!</v>
      </c>
      <c r="M125" s="53" t="e">
        <f t="shared" si="25"/>
        <v>#DIV/0!</v>
      </c>
      <c r="N125" s="53" t="e">
        <f t="shared" si="26"/>
        <v>#DIV/0!</v>
      </c>
      <c r="O125" s="53" t="e">
        <f t="shared" si="27"/>
        <v>#DIV/0!</v>
      </c>
      <c r="P125" s="69"/>
      <c r="Q125" s="69"/>
      <c r="R125" s="53" t="e">
        <f t="shared" si="28"/>
        <v>#DIV/0!</v>
      </c>
      <c r="S125" s="53" t="e">
        <f t="shared" si="29"/>
        <v>#DIV/0!</v>
      </c>
      <c r="T125" s="53" t="e">
        <f t="shared" si="30"/>
        <v>#DIV/0!</v>
      </c>
      <c r="U125" s="53" t="e">
        <f t="shared" si="23"/>
        <v>#DIV/0!</v>
      </c>
      <c r="V125" s="53" t="e">
        <f>V124+ATM_Conf!$C$5*(Nodes!AL124)/('Off-Ramp'!K310*AA310)</f>
        <v>#DIV/0!</v>
      </c>
      <c r="W125" s="53" t="e">
        <f>W124+ATM_Conf!$C$5*(Nodes!AM124)/('Off-Ramp'!L310*AB310)</f>
        <v>#DIV/0!</v>
      </c>
      <c r="X125" s="53" t="e">
        <f>X124+ATM_Conf!$C$5*(Nodes!AN124)/('Off-Ramp'!M310*AC310)</f>
        <v>#DIV/0!</v>
      </c>
      <c r="Y125" s="53" t="e">
        <f>Y124+ATM_Conf!$C$5*(Nodes!AO124)/('Off-Ramp'!N310*AD310)</f>
        <v>#DIV/0!</v>
      </c>
      <c r="Z125" s="53" t="e">
        <f>Z124+ATM_Conf!$C$5*(Nodes!AP124)/('Off-Ramp'!O310*AE310)</f>
        <v>#DIV/0!</v>
      </c>
      <c r="AA125" s="53" t="e">
        <f>AA124+ATM_Conf!$C$5*(Nodes!AQ124)/('Off-Ramp'!P310*AF310)</f>
        <v>#DIV/0!</v>
      </c>
    </row>
    <row r="126" spans="1:27" x14ac:dyDescent="0.15">
      <c r="A126" s="46">
        <v>124</v>
      </c>
      <c r="B126" s="61"/>
      <c r="C126" s="61"/>
      <c r="D126" s="61"/>
      <c r="E126" s="61"/>
      <c r="F126" s="61"/>
      <c r="G126" s="61"/>
      <c r="H126" s="61"/>
      <c r="I126" s="61"/>
      <c r="J126" s="61"/>
      <c r="K126" s="61"/>
      <c r="L126" s="53" t="e">
        <f t="shared" si="24"/>
        <v>#DIV/0!</v>
      </c>
      <c r="M126" s="53" t="e">
        <f t="shared" si="25"/>
        <v>#DIV/0!</v>
      </c>
      <c r="N126" s="53" t="e">
        <f t="shared" si="26"/>
        <v>#DIV/0!</v>
      </c>
      <c r="O126" s="53" t="e">
        <f t="shared" si="27"/>
        <v>#DIV/0!</v>
      </c>
      <c r="P126" s="69"/>
      <c r="Q126" s="69"/>
      <c r="R126" s="53" t="e">
        <f t="shared" si="28"/>
        <v>#DIV/0!</v>
      </c>
      <c r="S126" s="53" t="e">
        <f t="shared" si="29"/>
        <v>#DIV/0!</v>
      </c>
      <c r="T126" s="53" t="e">
        <f t="shared" si="30"/>
        <v>#DIV/0!</v>
      </c>
      <c r="U126" s="53" t="e">
        <f t="shared" si="23"/>
        <v>#DIV/0!</v>
      </c>
      <c r="V126" s="53" t="e">
        <f>V125+ATM_Conf!$C$5*(Nodes!AL125)/('Off-Ramp'!K311*AA311)</f>
        <v>#DIV/0!</v>
      </c>
      <c r="W126" s="53" t="e">
        <f>W125+ATM_Conf!$C$5*(Nodes!AM125)/('Off-Ramp'!L311*AB311)</f>
        <v>#DIV/0!</v>
      </c>
      <c r="X126" s="53" t="e">
        <f>X125+ATM_Conf!$C$5*(Nodes!AN125)/('Off-Ramp'!M311*AC311)</f>
        <v>#DIV/0!</v>
      </c>
      <c r="Y126" s="53" t="e">
        <f>Y125+ATM_Conf!$C$5*(Nodes!AO125)/('Off-Ramp'!N311*AD311)</f>
        <v>#DIV/0!</v>
      </c>
      <c r="Z126" s="53" t="e">
        <f>Z125+ATM_Conf!$C$5*(Nodes!AP125)/('Off-Ramp'!O311*AE311)</f>
        <v>#DIV/0!</v>
      </c>
      <c r="AA126" s="53" t="e">
        <f>AA125+ATM_Conf!$C$5*(Nodes!AQ125)/('Off-Ramp'!P311*AF311)</f>
        <v>#DIV/0!</v>
      </c>
    </row>
    <row r="127" spans="1:27" x14ac:dyDescent="0.15">
      <c r="A127" s="46">
        <v>125</v>
      </c>
      <c r="B127" s="61"/>
      <c r="C127" s="61"/>
      <c r="D127" s="61"/>
      <c r="E127" s="61"/>
      <c r="F127" s="61"/>
      <c r="G127" s="61"/>
      <c r="H127" s="61"/>
      <c r="I127" s="61"/>
      <c r="J127" s="61"/>
      <c r="K127" s="61"/>
      <c r="L127" s="53" t="e">
        <f t="shared" si="24"/>
        <v>#DIV/0!</v>
      </c>
      <c r="M127" s="53" t="e">
        <f t="shared" si="25"/>
        <v>#DIV/0!</v>
      </c>
      <c r="N127" s="53" t="e">
        <f t="shared" si="26"/>
        <v>#DIV/0!</v>
      </c>
      <c r="O127" s="53" t="e">
        <f t="shared" si="27"/>
        <v>#DIV/0!</v>
      </c>
      <c r="P127" s="69"/>
      <c r="Q127" s="69"/>
      <c r="R127" s="53" t="e">
        <f t="shared" si="28"/>
        <v>#DIV/0!</v>
      </c>
      <c r="S127" s="53" t="e">
        <f t="shared" si="29"/>
        <v>#DIV/0!</v>
      </c>
      <c r="T127" s="53" t="e">
        <f t="shared" si="30"/>
        <v>#DIV/0!</v>
      </c>
      <c r="U127" s="53" t="e">
        <f t="shared" si="23"/>
        <v>#DIV/0!</v>
      </c>
      <c r="V127" s="53" t="e">
        <f>V126+ATM_Conf!$C$5*(Nodes!AL126)/('Off-Ramp'!K312*AA312)</f>
        <v>#DIV/0!</v>
      </c>
      <c r="W127" s="53" t="e">
        <f>W126+ATM_Conf!$C$5*(Nodes!AM126)/('Off-Ramp'!L312*AB312)</f>
        <v>#DIV/0!</v>
      </c>
      <c r="X127" s="53" t="e">
        <f>X126+ATM_Conf!$C$5*(Nodes!AN126)/('Off-Ramp'!M312*AC312)</f>
        <v>#DIV/0!</v>
      </c>
      <c r="Y127" s="53" t="e">
        <f>Y126+ATM_Conf!$C$5*(Nodes!AO126)/('Off-Ramp'!N312*AD312)</f>
        <v>#DIV/0!</v>
      </c>
      <c r="Z127" s="53" t="e">
        <f>Z126+ATM_Conf!$C$5*(Nodes!AP126)/('Off-Ramp'!O312*AE312)</f>
        <v>#DIV/0!</v>
      </c>
      <c r="AA127" s="53" t="e">
        <f>AA126+ATM_Conf!$C$5*(Nodes!AQ126)/('Off-Ramp'!P312*AF312)</f>
        <v>#DIV/0!</v>
      </c>
    </row>
    <row r="128" spans="1:27" x14ac:dyDescent="0.15">
      <c r="A128" s="46">
        <v>126</v>
      </c>
      <c r="B128" s="61"/>
      <c r="C128" s="61"/>
      <c r="D128" s="61"/>
      <c r="E128" s="61"/>
      <c r="F128" s="61"/>
      <c r="G128" s="61"/>
      <c r="H128" s="61"/>
      <c r="I128" s="61"/>
      <c r="J128" s="61"/>
      <c r="K128" s="61"/>
      <c r="L128" s="53" t="e">
        <f t="shared" si="24"/>
        <v>#DIV/0!</v>
      </c>
      <c r="M128" s="53" t="e">
        <f t="shared" si="25"/>
        <v>#DIV/0!</v>
      </c>
      <c r="N128" s="53" t="e">
        <f t="shared" si="26"/>
        <v>#DIV/0!</v>
      </c>
      <c r="O128" s="53" t="e">
        <f t="shared" si="27"/>
        <v>#DIV/0!</v>
      </c>
      <c r="P128" s="69"/>
      <c r="Q128" s="69"/>
      <c r="R128" s="53" t="e">
        <f t="shared" si="28"/>
        <v>#DIV/0!</v>
      </c>
      <c r="S128" s="53" t="e">
        <f t="shared" si="29"/>
        <v>#DIV/0!</v>
      </c>
      <c r="T128" s="53" t="e">
        <f t="shared" si="30"/>
        <v>#DIV/0!</v>
      </c>
      <c r="U128" s="53" t="e">
        <f t="shared" si="23"/>
        <v>#DIV/0!</v>
      </c>
      <c r="V128" s="53" t="e">
        <f>V127+ATM_Conf!$C$5*(Nodes!AL127)/('Off-Ramp'!K313*AA313)</f>
        <v>#DIV/0!</v>
      </c>
      <c r="W128" s="53" t="e">
        <f>W127+ATM_Conf!$C$5*(Nodes!AM127)/('Off-Ramp'!L313*AB313)</f>
        <v>#DIV/0!</v>
      </c>
      <c r="X128" s="53" t="e">
        <f>X127+ATM_Conf!$C$5*(Nodes!AN127)/('Off-Ramp'!M313*AC313)</f>
        <v>#DIV/0!</v>
      </c>
      <c r="Y128" s="53" t="e">
        <f>Y127+ATM_Conf!$C$5*(Nodes!AO127)/('Off-Ramp'!N313*AD313)</f>
        <v>#DIV/0!</v>
      </c>
      <c r="Z128" s="53" t="e">
        <f>Z127+ATM_Conf!$C$5*(Nodes!AP127)/('Off-Ramp'!O313*AE313)</f>
        <v>#DIV/0!</v>
      </c>
      <c r="AA128" s="53" t="e">
        <f>AA127+ATM_Conf!$C$5*(Nodes!AQ127)/('Off-Ramp'!P313*AF313)</f>
        <v>#DIV/0!</v>
      </c>
    </row>
    <row r="129" spans="1:27" x14ac:dyDescent="0.15">
      <c r="A129" s="46">
        <v>127</v>
      </c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53" t="e">
        <f t="shared" si="24"/>
        <v>#DIV/0!</v>
      </c>
      <c r="M129" s="53" t="e">
        <f t="shared" si="25"/>
        <v>#DIV/0!</v>
      </c>
      <c r="N129" s="53" t="e">
        <f t="shared" si="26"/>
        <v>#DIV/0!</v>
      </c>
      <c r="O129" s="53" t="e">
        <f t="shared" si="27"/>
        <v>#DIV/0!</v>
      </c>
      <c r="P129" s="69"/>
      <c r="Q129" s="69"/>
      <c r="R129" s="53" t="e">
        <f t="shared" si="28"/>
        <v>#DIV/0!</v>
      </c>
      <c r="S129" s="53" t="e">
        <f t="shared" si="29"/>
        <v>#DIV/0!</v>
      </c>
      <c r="T129" s="53" t="e">
        <f t="shared" si="30"/>
        <v>#DIV/0!</v>
      </c>
      <c r="U129" s="53" t="e">
        <f t="shared" si="23"/>
        <v>#DIV/0!</v>
      </c>
      <c r="V129" s="53" t="e">
        <f>V128+ATM_Conf!$C$5*(Nodes!AL128)/('Off-Ramp'!K314*AA314)</f>
        <v>#DIV/0!</v>
      </c>
      <c r="W129" s="53" t="e">
        <f>W128+ATM_Conf!$C$5*(Nodes!AM128)/('Off-Ramp'!L314*AB314)</f>
        <v>#DIV/0!</v>
      </c>
      <c r="X129" s="53" t="e">
        <f>X128+ATM_Conf!$C$5*(Nodes!AN128)/('Off-Ramp'!M314*AC314)</f>
        <v>#DIV/0!</v>
      </c>
      <c r="Y129" s="53" t="e">
        <f>Y128+ATM_Conf!$C$5*(Nodes!AO128)/('Off-Ramp'!N314*AD314)</f>
        <v>#DIV/0!</v>
      </c>
      <c r="Z129" s="53" t="e">
        <f>Z128+ATM_Conf!$C$5*(Nodes!AP128)/('Off-Ramp'!O314*AE314)</f>
        <v>#DIV/0!</v>
      </c>
      <c r="AA129" s="53" t="e">
        <f>AA128+ATM_Conf!$C$5*(Nodes!AQ128)/('Off-Ramp'!P314*AF314)</f>
        <v>#DIV/0!</v>
      </c>
    </row>
    <row r="130" spans="1:27" x14ac:dyDescent="0.15">
      <c r="A130" s="46">
        <v>128</v>
      </c>
      <c r="B130" s="61"/>
      <c r="C130" s="61"/>
      <c r="D130" s="61"/>
      <c r="E130" s="61"/>
      <c r="F130" s="61"/>
      <c r="G130" s="61"/>
      <c r="H130" s="61"/>
      <c r="I130" s="61"/>
      <c r="J130" s="61"/>
      <c r="K130" s="61"/>
      <c r="L130" s="53" t="e">
        <f t="shared" si="24"/>
        <v>#DIV/0!</v>
      </c>
      <c r="M130" s="53" t="e">
        <f t="shared" si="25"/>
        <v>#DIV/0!</v>
      </c>
      <c r="N130" s="53" t="e">
        <f t="shared" si="26"/>
        <v>#DIV/0!</v>
      </c>
      <c r="O130" s="53" t="e">
        <f t="shared" si="27"/>
        <v>#DIV/0!</v>
      </c>
      <c r="P130" s="69"/>
      <c r="Q130" s="69"/>
      <c r="R130" s="53" t="e">
        <f t="shared" si="28"/>
        <v>#DIV/0!</v>
      </c>
      <c r="S130" s="53" t="e">
        <f t="shared" si="29"/>
        <v>#DIV/0!</v>
      </c>
      <c r="T130" s="53" t="e">
        <f t="shared" si="30"/>
        <v>#DIV/0!</v>
      </c>
      <c r="U130" s="53" t="e">
        <f t="shared" si="23"/>
        <v>#DIV/0!</v>
      </c>
      <c r="V130" s="53" t="e">
        <f>V129+ATM_Conf!$C$5*(Nodes!AL129)/('Off-Ramp'!K315*AA315)</f>
        <v>#DIV/0!</v>
      </c>
      <c r="W130" s="53" t="e">
        <f>W129+ATM_Conf!$C$5*(Nodes!AM129)/('Off-Ramp'!L315*AB315)</f>
        <v>#DIV/0!</v>
      </c>
      <c r="X130" s="53" t="e">
        <f>X129+ATM_Conf!$C$5*(Nodes!AN129)/('Off-Ramp'!M315*AC315)</f>
        <v>#DIV/0!</v>
      </c>
      <c r="Y130" s="53" t="e">
        <f>Y129+ATM_Conf!$C$5*(Nodes!AO129)/('Off-Ramp'!N315*AD315)</f>
        <v>#DIV/0!</v>
      </c>
      <c r="Z130" s="53" t="e">
        <f>Z129+ATM_Conf!$C$5*(Nodes!AP129)/('Off-Ramp'!O315*AE315)</f>
        <v>#DIV/0!</v>
      </c>
      <c r="AA130" s="53" t="e">
        <f>AA129+ATM_Conf!$C$5*(Nodes!AQ129)/('Off-Ramp'!P315*AF315)</f>
        <v>#DIV/0!</v>
      </c>
    </row>
    <row r="131" spans="1:27" x14ac:dyDescent="0.15">
      <c r="A131" s="46">
        <v>129</v>
      </c>
      <c r="B131" s="61"/>
      <c r="C131" s="61"/>
      <c r="D131" s="61"/>
      <c r="E131" s="61"/>
      <c r="F131" s="61"/>
      <c r="G131" s="61"/>
      <c r="H131" s="61"/>
      <c r="I131" s="61"/>
      <c r="J131" s="61"/>
      <c r="K131" s="61"/>
      <c r="L131" s="53" t="e">
        <f t="shared" si="24"/>
        <v>#DIV/0!</v>
      </c>
      <c r="M131" s="53" t="e">
        <f t="shared" si="25"/>
        <v>#DIV/0!</v>
      </c>
      <c r="N131" s="53" t="e">
        <f t="shared" si="26"/>
        <v>#DIV/0!</v>
      </c>
      <c r="O131" s="53" t="e">
        <f t="shared" si="27"/>
        <v>#DIV/0!</v>
      </c>
      <c r="P131" s="69"/>
      <c r="Q131" s="69"/>
      <c r="R131" s="53" t="e">
        <f t="shared" si="28"/>
        <v>#DIV/0!</v>
      </c>
      <c r="S131" s="53" t="e">
        <f t="shared" si="29"/>
        <v>#DIV/0!</v>
      </c>
      <c r="T131" s="53" t="e">
        <f t="shared" si="30"/>
        <v>#DIV/0!</v>
      </c>
      <c r="U131" s="53" t="e">
        <f t="shared" si="23"/>
        <v>#DIV/0!</v>
      </c>
      <c r="V131" s="53" t="e">
        <f>V130+ATM_Conf!$C$5*(Nodes!AL130)/('Off-Ramp'!K316*AA316)</f>
        <v>#DIV/0!</v>
      </c>
      <c r="W131" s="53" t="e">
        <f>W130+ATM_Conf!$C$5*(Nodes!AM130)/('Off-Ramp'!L316*AB316)</f>
        <v>#DIV/0!</v>
      </c>
      <c r="X131" s="53" t="e">
        <f>X130+ATM_Conf!$C$5*(Nodes!AN130)/('Off-Ramp'!M316*AC316)</f>
        <v>#DIV/0!</v>
      </c>
      <c r="Y131" s="53" t="e">
        <f>Y130+ATM_Conf!$C$5*(Nodes!AO130)/('Off-Ramp'!N316*AD316)</f>
        <v>#DIV/0!</v>
      </c>
      <c r="Z131" s="53" t="e">
        <f>Z130+ATM_Conf!$C$5*(Nodes!AP130)/('Off-Ramp'!O316*AE316)</f>
        <v>#DIV/0!</v>
      </c>
      <c r="AA131" s="53" t="e">
        <f>AA130+ATM_Conf!$C$5*(Nodes!AQ130)/('Off-Ramp'!P316*AF316)</f>
        <v>#DIV/0!</v>
      </c>
    </row>
    <row r="132" spans="1:27" x14ac:dyDescent="0.15">
      <c r="A132" s="46">
        <v>130</v>
      </c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53" t="e">
        <f t="shared" ref="L132:L163" si="31">B132/60/A$189</f>
        <v>#DIV/0!</v>
      </c>
      <c r="M132" s="53" t="e">
        <f t="shared" ref="M132:M163" si="32">C132/60/B$189</f>
        <v>#DIV/0!</v>
      </c>
      <c r="N132" s="53" t="e">
        <f t="shared" ref="N132:N163" si="33">D132/60/C$189</f>
        <v>#DIV/0!</v>
      </c>
      <c r="O132" s="53" t="e">
        <f t="shared" ref="O132:O163" si="34">E132/60/D$189</f>
        <v>#DIV/0!</v>
      </c>
      <c r="P132" s="69"/>
      <c r="Q132" s="69"/>
      <c r="R132" s="53" t="e">
        <f t="shared" ref="R132:R163" si="35">H132/60/G$189</f>
        <v>#DIV/0!</v>
      </c>
      <c r="S132" s="53" t="e">
        <f t="shared" ref="S132:S163" si="36">I132/60/H$189</f>
        <v>#DIV/0!</v>
      </c>
      <c r="T132" s="53" t="e">
        <f t="shared" ref="T132:T163" si="37">J132/60/I$189</f>
        <v>#DIV/0!</v>
      </c>
      <c r="U132" s="53" t="e">
        <f t="shared" ref="U132:U182" si="38">K132/60/J$189</f>
        <v>#DIV/0!</v>
      </c>
      <c r="V132" s="53" t="e">
        <f>V131+ATM_Conf!$C$5*(Nodes!AL131)/('Off-Ramp'!K317*AA317)</f>
        <v>#DIV/0!</v>
      </c>
      <c r="W132" s="53" t="e">
        <f>W131+ATM_Conf!$C$5*(Nodes!AM131)/('Off-Ramp'!L317*AB317)</f>
        <v>#DIV/0!</v>
      </c>
      <c r="X132" s="53" t="e">
        <f>X131+ATM_Conf!$C$5*(Nodes!AN131)/('Off-Ramp'!M317*AC317)</f>
        <v>#DIV/0!</v>
      </c>
      <c r="Y132" s="53" t="e">
        <f>Y131+ATM_Conf!$C$5*(Nodes!AO131)/('Off-Ramp'!N317*AD317)</f>
        <v>#DIV/0!</v>
      </c>
      <c r="Z132" s="53" t="e">
        <f>Z131+ATM_Conf!$C$5*(Nodes!AP131)/('Off-Ramp'!O317*AE317)</f>
        <v>#DIV/0!</v>
      </c>
      <c r="AA132" s="53" t="e">
        <f>AA131+ATM_Conf!$C$5*(Nodes!AQ131)/('Off-Ramp'!P317*AF317)</f>
        <v>#DIV/0!</v>
      </c>
    </row>
    <row r="133" spans="1:27" x14ac:dyDescent="0.15">
      <c r="A133" s="46">
        <v>131</v>
      </c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53" t="e">
        <f t="shared" si="31"/>
        <v>#DIV/0!</v>
      </c>
      <c r="M133" s="53" t="e">
        <f t="shared" si="32"/>
        <v>#DIV/0!</v>
      </c>
      <c r="N133" s="53" t="e">
        <f t="shared" si="33"/>
        <v>#DIV/0!</v>
      </c>
      <c r="O133" s="53" t="e">
        <f t="shared" si="34"/>
        <v>#DIV/0!</v>
      </c>
      <c r="P133" s="69"/>
      <c r="Q133" s="69"/>
      <c r="R133" s="53" t="e">
        <f t="shared" si="35"/>
        <v>#DIV/0!</v>
      </c>
      <c r="S133" s="53" t="e">
        <f t="shared" si="36"/>
        <v>#DIV/0!</v>
      </c>
      <c r="T133" s="53" t="e">
        <f t="shared" si="37"/>
        <v>#DIV/0!</v>
      </c>
      <c r="U133" s="53" t="e">
        <f t="shared" si="38"/>
        <v>#DIV/0!</v>
      </c>
      <c r="V133" s="53" t="e">
        <f>V132+ATM_Conf!$C$5*(Nodes!AL132)/('Off-Ramp'!K318*AA318)</f>
        <v>#DIV/0!</v>
      </c>
      <c r="W133" s="53" t="e">
        <f>W132+ATM_Conf!$C$5*(Nodes!AM132)/('Off-Ramp'!L318*AB318)</f>
        <v>#DIV/0!</v>
      </c>
      <c r="X133" s="53" t="e">
        <f>X132+ATM_Conf!$C$5*(Nodes!AN132)/('Off-Ramp'!M318*AC318)</f>
        <v>#DIV/0!</v>
      </c>
      <c r="Y133" s="53" t="e">
        <f>Y132+ATM_Conf!$C$5*(Nodes!AO132)/('Off-Ramp'!N318*AD318)</f>
        <v>#DIV/0!</v>
      </c>
      <c r="Z133" s="53" t="e">
        <f>Z132+ATM_Conf!$C$5*(Nodes!AP132)/('Off-Ramp'!O318*AE318)</f>
        <v>#DIV/0!</v>
      </c>
      <c r="AA133" s="53" t="e">
        <f>AA132+ATM_Conf!$C$5*(Nodes!AQ132)/('Off-Ramp'!P318*AF318)</f>
        <v>#DIV/0!</v>
      </c>
    </row>
    <row r="134" spans="1:27" x14ac:dyDescent="0.15">
      <c r="A134" s="46">
        <v>132</v>
      </c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53" t="e">
        <f t="shared" si="31"/>
        <v>#DIV/0!</v>
      </c>
      <c r="M134" s="53" t="e">
        <f t="shared" si="32"/>
        <v>#DIV/0!</v>
      </c>
      <c r="N134" s="53" t="e">
        <f t="shared" si="33"/>
        <v>#DIV/0!</v>
      </c>
      <c r="O134" s="53" t="e">
        <f t="shared" si="34"/>
        <v>#DIV/0!</v>
      </c>
      <c r="P134" s="69"/>
      <c r="Q134" s="69"/>
      <c r="R134" s="53" t="e">
        <f t="shared" si="35"/>
        <v>#DIV/0!</v>
      </c>
      <c r="S134" s="53" t="e">
        <f t="shared" si="36"/>
        <v>#DIV/0!</v>
      </c>
      <c r="T134" s="53" t="e">
        <f t="shared" si="37"/>
        <v>#DIV/0!</v>
      </c>
      <c r="U134" s="53" t="e">
        <f t="shared" si="38"/>
        <v>#DIV/0!</v>
      </c>
      <c r="V134" s="53" t="e">
        <f>V133+ATM_Conf!$C$5*(Nodes!AL133)/('Off-Ramp'!K319*AA319)</f>
        <v>#DIV/0!</v>
      </c>
      <c r="W134" s="53" t="e">
        <f>W133+ATM_Conf!$C$5*(Nodes!AM133)/('Off-Ramp'!L319*AB319)</f>
        <v>#DIV/0!</v>
      </c>
      <c r="X134" s="53" t="e">
        <f>X133+ATM_Conf!$C$5*(Nodes!AN133)/('Off-Ramp'!M319*AC319)</f>
        <v>#DIV/0!</v>
      </c>
      <c r="Y134" s="53" t="e">
        <f>Y133+ATM_Conf!$C$5*(Nodes!AO133)/('Off-Ramp'!N319*AD319)</f>
        <v>#DIV/0!</v>
      </c>
      <c r="Z134" s="53" t="e">
        <f>Z133+ATM_Conf!$C$5*(Nodes!AP133)/('Off-Ramp'!O319*AE319)</f>
        <v>#DIV/0!</v>
      </c>
      <c r="AA134" s="53" t="e">
        <f>AA133+ATM_Conf!$C$5*(Nodes!AQ133)/('Off-Ramp'!P319*AF319)</f>
        <v>#DIV/0!</v>
      </c>
    </row>
    <row r="135" spans="1:27" x14ac:dyDescent="0.15">
      <c r="A135" s="46">
        <v>133</v>
      </c>
      <c r="B135" s="61"/>
      <c r="C135" s="61"/>
      <c r="D135" s="61"/>
      <c r="E135" s="61"/>
      <c r="F135" s="61"/>
      <c r="G135" s="61"/>
      <c r="H135" s="61"/>
      <c r="I135" s="61"/>
      <c r="J135" s="61"/>
      <c r="K135" s="61"/>
      <c r="L135" s="53" t="e">
        <f t="shared" si="31"/>
        <v>#DIV/0!</v>
      </c>
      <c r="M135" s="53" t="e">
        <f t="shared" si="32"/>
        <v>#DIV/0!</v>
      </c>
      <c r="N135" s="53" t="e">
        <f t="shared" si="33"/>
        <v>#DIV/0!</v>
      </c>
      <c r="O135" s="53" t="e">
        <f t="shared" si="34"/>
        <v>#DIV/0!</v>
      </c>
      <c r="P135" s="69"/>
      <c r="Q135" s="69"/>
      <c r="R135" s="53" t="e">
        <f t="shared" si="35"/>
        <v>#DIV/0!</v>
      </c>
      <c r="S135" s="53" t="e">
        <f t="shared" si="36"/>
        <v>#DIV/0!</v>
      </c>
      <c r="T135" s="53" t="e">
        <f t="shared" si="37"/>
        <v>#DIV/0!</v>
      </c>
      <c r="U135" s="53" t="e">
        <f t="shared" si="38"/>
        <v>#DIV/0!</v>
      </c>
      <c r="V135" s="53" t="e">
        <f>V134+ATM_Conf!$C$5*(Nodes!AL134)/('Off-Ramp'!K320*AA320)</f>
        <v>#DIV/0!</v>
      </c>
      <c r="W135" s="53" t="e">
        <f>W134+ATM_Conf!$C$5*(Nodes!AM134)/('Off-Ramp'!L320*AB320)</f>
        <v>#DIV/0!</v>
      </c>
      <c r="X135" s="53" t="e">
        <f>X134+ATM_Conf!$C$5*(Nodes!AN134)/('Off-Ramp'!M320*AC320)</f>
        <v>#DIV/0!</v>
      </c>
      <c r="Y135" s="53" t="e">
        <f>Y134+ATM_Conf!$C$5*(Nodes!AO134)/('Off-Ramp'!N320*AD320)</f>
        <v>#DIV/0!</v>
      </c>
      <c r="Z135" s="53" t="e">
        <f>Z134+ATM_Conf!$C$5*(Nodes!AP134)/('Off-Ramp'!O320*AE320)</f>
        <v>#DIV/0!</v>
      </c>
      <c r="AA135" s="53" t="e">
        <f>AA134+ATM_Conf!$C$5*(Nodes!AQ134)/('Off-Ramp'!P320*AF320)</f>
        <v>#DIV/0!</v>
      </c>
    </row>
    <row r="136" spans="1:27" x14ac:dyDescent="0.15">
      <c r="A136" s="46">
        <v>134</v>
      </c>
      <c r="B136" s="61"/>
      <c r="C136" s="61"/>
      <c r="D136" s="61"/>
      <c r="E136" s="61"/>
      <c r="F136" s="61"/>
      <c r="G136" s="61"/>
      <c r="H136" s="61"/>
      <c r="I136" s="61"/>
      <c r="J136" s="61"/>
      <c r="K136" s="61"/>
      <c r="L136" s="53" t="e">
        <f t="shared" si="31"/>
        <v>#DIV/0!</v>
      </c>
      <c r="M136" s="53" t="e">
        <f t="shared" si="32"/>
        <v>#DIV/0!</v>
      </c>
      <c r="N136" s="53" t="e">
        <f t="shared" si="33"/>
        <v>#DIV/0!</v>
      </c>
      <c r="O136" s="53" t="e">
        <f t="shared" si="34"/>
        <v>#DIV/0!</v>
      </c>
      <c r="P136" s="69"/>
      <c r="Q136" s="69"/>
      <c r="R136" s="53" t="e">
        <f t="shared" si="35"/>
        <v>#DIV/0!</v>
      </c>
      <c r="S136" s="53" t="e">
        <f t="shared" si="36"/>
        <v>#DIV/0!</v>
      </c>
      <c r="T136" s="53" t="e">
        <f t="shared" si="37"/>
        <v>#DIV/0!</v>
      </c>
      <c r="U136" s="53" t="e">
        <f t="shared" si="38"/>
        <v>#DIV/0!</v>
      </c>
      <c r="V136" s="53" t="e">
        <f>V135+ATM_Conf!$C$5*(Nodes!AL135)/('Off-Ramp'!K321*AA321)</f>
        <v>#DIV/0!</v>
      </c>
      <c r="W136" s="53" t="e">
        <f>W135+ATM_Conf!$C$5*(Nodes!AM135)/('Off-Ramp'!L321*AB321)</f>
        <v>#DIV/0!</v>
      </c>
      <c r="X136" s="53" t="e">
        <f>X135+ATM_Conf!$C$5*(Nodes!AN135)/('Off-Ramp'!M321*AC321)</f>
        <v>#DIV/0!</v>
      </c>
      <c r="Y136" s="53" t="e">
        <f>Y135+ATM_Conf!$C$5*(Nodes!AO135)/('Off-Ramp'!N321*AD321)</f>
        <v>#DIV/0!</v>
      </c>
      <c r="Z136" s="53" t="e">
        <f>Z135+ATM_Conf!$C$5*(Nodes!AP135)/('Off-Ramp'!O321*AE321)</f>
        <v>#DIV/0!</v>
      </c>
      <c r="AA136" s="53" t="e">
        <f>AA135+ATM_Conf!$C$5*(Nodes!AQ135)/('Off-Ramp'!P321*AF321)</f>
        <v>#DIV/0!</v>
      </c>
    </row>
    <row r="137" spans="1:27" x14ac:dyDescent="0.15">
      <c r="A137" s="46">
        <v>135</v>
      </c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53" t="e">
        <f t="shared" si="31"/>
        <v>#DIV/0!</v>
      </c>
      <c r="M137" s="53" t="e">
        <f t="shared" si="32"/>
        <v>#DIV/0!</v>
      </c>
      <c r="N137" s="53" t="e">
        <f t="shared" si="33"/>
        <v>#DIV/0!</v>
      </c>
      <c r="O137" s="53" t="e">
        <f t="shared" si="34"/>
        <v>#DIV/0!</v>
      </c>
      <c r="P137" s="69"/>
      <c r="Q137" s="69"/>
      <c r="R137" s="53" t="e">
        <f t="shared" si="35"/>
        <v>#DIV/0!</v>
      </c>
      <c r="S137" s="53" t="e">
        <f t="shared" si="36"/>
        <v>#DIV/0!</v>
      </c>
      <c r="T137" s="53" t="e">
        <f t="shared" si="37"/>
        <v>#DIV/0!</v>
      </c>
      <c r="U137" s="53" t="e">
        <f t="shared" si="38"/>
        <v>#DIV/0!</v>
      </c>
      <c r="V137" s="53" t="e">
        <f>V136+ATM_Conf!$C$5*(Nodes!AL136)/('Off-Ramp'!K322*AA322)</f>
        <v>#DIV/0!</v>
      </c>
      <c r="W137" s="53" t="e">
        <f>W136+ATM_Conf!$C$5*(Nodes!AM136)/('Off-Ramp'!L322*AB322)</f>
        <v>#DIV/0!</v>
      </c>
      <c r="X137" s="53" t="e">
        <f>X136+ATM_Conf!$C$5*(Nodes!AN136)/('Off-Ramp'!M322*AC322)</f>
        <v>#DIV/0!</v>
      </c>
      <c r="Y137" s="53" t="e">
        <f>Y136+ATM_Conf!$C$5*(Nodes!AO136)/('Off-Ramp'!N322*AD322)</f>
        <v>#DIV/0!</v>
      </c>
      <c r="Z137" s="53" t="e">
        <f>Z136+ATM_Conf!$C$5*(Nodes!AP136)/('Off-Ramp'!O322*AE322)</f>
        <v>#DIV/0!</v>
      </c>
      <c r="AA137" s="53" t="e">
        <f>AA136+ATM_Conf!$C$5*(Nodes!AQ136)/('Off-Ramp'!P322*AF322)</f>
        <v>#DIV/0!</v>
      </c>
    </row>
    <row r="138" spans="1:27" x14ac:dyDescent="0.15">
      <c r="A138" s="46">
        <v>136</v>
      </c>
      <c r="B138" s="61"/>
      <c r="C138" s="61"/>
      <c r="D138" s="61"/>
      <c r="E138" s="61"/>
      <c r="F138" s="61"/>
      <c r="G138" s="61"/>
      <c r="H138" s="61"/>
      <c r="I138" s="61"/>
      <c r="J138" s="61"/>
      <c r="K138" s="61"/>
      <c r="L138" s="53" t="e">
        <f t="shared" si="31"/>
        <v>#DIV/0!</v>
      </c>
      <c r="M138" s="53" t="e">
        <f t="shared" si="32"/>
        <v>#DIV/0!</v>
      </c>
      <c r="N138" s="53" t="e">
        <f t="shared" si="33"/>
        <v>#DIV/0!</v>
      </c>
      <c r="O138" s="53" t="e">
        <f t="shared" si="34"/>
        <v>#DIV/0!</v>
      </c>
      <c r="P138" s="69"/>
      <c r="Q138" s="69"/>
      <c r="R138" s="53" t="e">
        <f t="shared" si="35"/>
        <v>#DIV/0!</v>
      </c>
      <c r="S138" s="53" t="e">
        <f t="shared" si="36"/>
        <v>#DIV/0!</v>
      </c>
      <c r="T138" s="53" t="e">
        <f t="shared" si="37"/>
        <v>#DIV/0!</v>
      </c>
      <c r="U138" s="53" t="e">
        <f t="shared" si="38"/>
        <v>#DIV/0!</v>
      </c>
      <c r="V138" s="53" t="e">
        <f>V137+ATM_Conf!$C$5*(Nodes!AL137)/('Off-Ramp'!K323*AA323)</f>
        <v>#DIV/0!</v>
      </c>
      <c r="W138" s="53" t="e">
        <f>W137+ATM_Conf!$C$5*(Nodes!AM137)/('Off-Ramp'!L323*AB323)</f>
        <v>#DIV/0!</v>
      </c>
      <c r="X138" s="53" t="e">
        <f>X137+ATM_Conf!$C$5*(Nodes!AN137)/('Off-Ramp'!M323*AC323)</f>
        <v>#DIV/0!</v>
      </c>
      <c r="Y138" s="53" t="e">
        <f>Y137+ATM_Conf!$C$5*(Nodes!AO137)/('Off-Ramp'!N323*AD323)</f>
        <v>#DIV/0!</v>
      </c>
      <c r="Z138" s="53" t="e">
        <f>Z137+ATM_Conf!$C$5*(Nodes!AP137)/('Off-Ramp'!O323*AE323)</f>
        <v>#DIV/0!</v>
      </c>
      <c r="AA138" s="53" t="e">
        <f>AA137+ATM_Conf!$C$5*(Nodes!AQ137)/('Off-Ramp'!P323*AF323)</f>
        <v>#DIV/0!</v>
      </c>
    </row>
    <row r="139" spans="1:27" x14ac:dyDescent="0.15">
      <c r="A139" s="46">
        <v>137</v>
      </c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53" t="e">
        <f t="shared" si="31"/>
        <v>#DIV/0!</v>
      </c>
      <c r="M139" s="53" t="e">
        <f t="shared" si="32"/>
        <v>#DIV/0!</v>
      </c>
      <c r="N139" s="53" t="e">
        <f t="shared" si="33"/>
        <v>#DIV/0!</v>
      </c>
      <c r="O139" s="53" t="e">
        <f t="shared" si="34"/>
        <v>#DIV/0!</v>
      </c>
      <c r="P139" s="69"/>
      <c r="Q139" s="69"/>
      <c r="R139" s="53" t="e">
        <f t="shared" si="35"/>
        <v>#DIV/0!</v>
      </c>
      <c r="S139" s="53" t="e">
        <f t="shared" si="36"/>
        <v>#DIV/0!</v>
      </c>
      <c r="T139" s="53" t="e">
        <f t="shared" si="37"/>
        <v>#DIV/0!</v>
      </c>
      <c r="U139" s="53" t="e">
        <f t="shared" si="38"/>
        <v>#DIV/0!</v>
      </c>
      <c r="V139" s="53" t="e">
        <f>V138+ATM_Conf!$C$5*(Nodes!AL138)/('Off-Ramp'!K324*AA324)</f>
        <v>#DIV/0!</v>
      </c>
      <c r="W139" s="53" t="e">
        <f>W138+ATM_Conf!$C$5*(Nodes!AM138)/('Off-Ramp'!L324*AB324)</f>
        <v>#DIV/0!</v>
      </c>
      <c r="X139" s="53" t="e">
        <f>X138+ATM_Conf!$C$5*(Nodes!AN138)/('Off-Ramp'!M324*AC324)</f>
        <v>#DIV/0!</v>
      </c>
      <c r="Y139" s="53" t="e">
        <f>Y138+ATM_Conf!$C$5*(Nodes!AO138)/('Off-Ramp'!N324*AD324)</f>
        <v>#DIV/0!</v>
      </c>
      <c r="Z139" s="53" t="e">
        <f>Z138+ATM_Conf!$C$5*(Nodes!AP138)/('Off-Ramp'!O324*AE324)</f>
        <v>#DIV/0!</v>
      </c>
      <c r="AA139" s="53" t="e">
        <f>AA138+ATM_Conf!$C$5*(Nodes!AQ138)/('Off-Ramp'!P324*AF324)</f>
        <v>#DIV/0!</v>
      </c>
    </row>
    <row r="140" spans="1:27" x14ac:dyDescent="0.15">
      <c r="A140" s="46">
        <v>138</v>
      </c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53" t="e">
        <f t="shared" si="31"/>
        <v>#DIV/0!</v>
      </c>
      <c r="M140" s="53" t="e">
        <f t="shared" si="32"/>
        <v>#DIV/0!</v>
      </c>
      <c r="N140" s="53" t="e">
        <f t="shared" si="33"/>
        <v>#DIV/0!</v>
      </c>
      <c r="O140" s="53" t="e">
        <f t="shared" si="34"/>
        <v>#DIV/0!</v>
      </c>
      <c r="P140" s="69"/>
      <c r="Q140" s="69"/>
      <c r="R140" s="53" t="e">
        <f t="shared" si="35"/>
        <v>#DIV/0!</v>
      </c>
      <c r="S140" s="53" t="e">
        <f t="shared" si="36"/>
        <v>#DIV/0!</v>
      </c>
      <c r="T140" s="53" t="e">
        <f t="shared" si="37"/>
        <v>#DIV/0!</v>
      </c>
      <c r="U140" s="53" t="e">
        <f t="shared" si="38"/>
        <v>#DIV/0!</v>
      </c>
      <c r="V140" s="53" t="e">
        <f>V139+ATM_Conf!$C$5*(Nodes!AL139)/('Off-Ramp'!K325*AA325)</f>
        <v>#DIV/0!</v>
      </c>
      <c r="W140" s="53" t="e">
        <f>W139+ATM_Conf!$C$5*(Nodes!AM139)/('Off-Ramp'!L325*AB325)</f>
        <v>#DIV/0!</v>
      </c>
      <c r="X140" s="53" t="e">
        <f>X139+ATM_Conf!$C$5*(Nodes!AN139)/('Off-Ramp'!M325*AC325)</f>
        <v>#DIV/0!</v>
      </c>
      <c r="Y140" s="53" t="e">
        <f>Y139+ATM_Conf!$C$5*(Nodes!AO139)/('Off-Ramp'!N325*AD325)</f>
        <v>#DIV/0!</v>
      </c>
      <c r="Z140" s="53" t="e">
        <f>Z139+ATM_Conf!$C$5*(Nodes!AP139)/('Off-Ramp'!O325*AE325)</f>
        <v>#DIV/0!</v>
      </c>
      <c r="AA140" s="53" t="e">
        <f>AA139+ATM_Conf!$C$5*(Nodes!AQ139)/('Off-Ramp'!P325*AF325)</f>
        <v>#DIV/0!</v>
      </c>
    </row>
    <row r="141" spans="1:27" x14ac:dyDescent="0.15">
      <c r="A141" s="46">
        <v>139</v>
      </c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53" t="e">
        <f t="shared" si="31"/>
        <v>#DIV/0!</v>
      </c>
      <c r="M141" s="53" t="e">
        <f t="shared" si="32"/>
        <v>#DIV/0!</v>
      </c>
      <c r="N141" s="53" t="e">
        <f t="shared" si="33"/>
        <v>#DIV/0!</v>
      </c>
      <c r="O141" s="53" t="e">
        <f t="shared" si="34"/>
        <v>#DIV/0!</v>
      </c>
      <c r="P141" s="69"/>
      <c r="Q141" s="69"/>
      <c r="R141" s="53" t="e">
        <f t="shared" si="35"/>
        <v>#DIV/0!</v>
      </c>
      <c r="S141" s="53" t="e">
        <f t="shared" si="36"/>
        <v>#DIV/0!</v>
      </c>
      <c r="T141" s="53" t="e">
        <f t="shared" si="37"/>
        <v>#DIV/0!</v>
      </c>
      <c r="U141" s="53" t="e">
        <f t="shared" si="38"/>
        <v>#DIV/0!</v>
      </c>
      <c r="V141" s="53" t="e">
        <f>V140+ATM_Conf!$C$5*(Nodes!AL140)/('Off-Ramp'!K326*AA326)</f>
        <v>#DIV/0!</v>
      </c>
      <c r="W141" s="53" t="e">
        <f>W140+ATM_Conf!$C$5*(Nodes!AM140)/('Off-Ramp'!L326*AB326)</f>
        <v>#DIV/0!</v>
      </c>
      <c r="X141" s="53" t="e">
        <f>X140+ATM_Conf!$C$5*(Nodes!AN140)/('Off-Ramp'!M326*AC326)</f>
        <v>#DIV/0!</v>
      </c>
      <c r="Y141" s="53" t="e">
        <f>Y140+ATM_Conf!$C$5*(Nodes!AO140)/('Off-Ramp'!N326*AD326)</f>
        <v>#DIV/0!</v>
      </c>
      <c r="Z141" s="53" t="e">
        <f>Z140+ATM_Conf!$C$5*(Nodes!AP140)/('Off-Ramp'!O326*AE326)</f>
        <v>#DIV/0!</v>
      </c>
      <c r="AA141" s="53" t="e">
        <f>AA140+ATM_Conf!$C$5*(Nodes!AQ140)/('Off-Ramp'!P326*AF326)</f>
        <v>#DIV/0!</v>
      </c>
    </row>
    <row r="142" spans="1:27" x14ac:dyDescent="0.15">
      <c r="A142" s="46">
        <v>140</v>
      </c>
      <c r="B142" s="61"/>
      <c r="C142" s="61"/>
      <c r="D142" s="61"/>
      <c r="E142" s="61"/>
      <c r="F142" s="61"/>
      <c r="G142" s="61"/>
      <c r="H142" s="61"/>
      <c r="I142" s="61"/>
      <c r="J142" s="61"/>
      <c r="K142" s="61"/>
      <c r="L142" s="53" t="e">
        <f t="shared" si="31"/>
        <v>#DIV/0!</v>
      </c>
      <c r="M142" s="53" t="e">
        <f t="shared" si="32"/>
        <v>#DIV/0!</v>
      </c>
      <c r="N142" s="53" t="e">
        <f t="shared" si="33"/>
        <v>#DIV/0!</v>
      </c>
      <c r="O142" s="53" t="e">
        <f t="shared" si="34"/>
        <v>#DIV/0!</v>
      </c>
      <c r="P142" s="69"/>
      <c r="Q142" s="69"/>
      <c r="R142" s="53" t="e">
        <f t="shared" si="35"/>
        <v>#DIV/0!</v>
      </c>
      <c r="S142" s="53" t="e">
        <f t="shared" si="36"/>
        <v>#DIV/0!</v>
      </c>
      <c r="T142" s="53" t="e">
        <f t="shared" si="37"/>
        <v>#DIV/0!</v>
      </c>
      <c r="U142" s="53" t="e">
        <f t="shared" si="38"/>
        <v>#DIV/0!</v>
      </c>
      <c r="V142" s="53" t="e">
        <f>V141+ATM_Conf!$C$5*(Nodes!AL141)/('Off-Ramp'!K327*AA327)</f>
        <v>#DIV/0!</v>
      </c>
      <c r="W142" s="53" t="e">
        <f>W141+ATM_Conf!$C$5*(Nodes!AM141)/('Off-Ramp'!L327*AB327)</f>
        <v>#DIV/0!</v>
      </c>
      <c r="X142" s="53" t="e">
        <f>X141+ATM_Conf!$C$5*(Nodes!AN141)/('Off-Ramp'!M327*AC327)</f>
        <v>#DIV/0!</v>
      </c>
      <c r="Y142" s="53" t="e">
        <f>Y141+ATM_Conf!$C$5*(Nodes!AO141)/('Off-Ramp'!N327*AD327)</f>
        <v>#DIV/0!</v>
      </c>
      <c r="Z142" s="53" t="e">
        <f>Z141+ATM_Conf!$C$5*(Nodes!AP141)/('Off-Ramp'!O327*AE327)</f>
        <v>#DIV/0!</v>
      </c>
      <c r="AA142" s="53" t="e">
        <f>AA141+ATM_Conf!$C$5*(Nodes!AQ141)/('Off-Ramp'!P327*AF327)</f>
        <v>#DIV/0!</v>
      </c>
    </row>
    <row r="143" spans="1:27" x14ac:dyDescent="0.15">
      <c r="A143" s="46">
        <v>141</v>
      </c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53" t="e">
        <f t="shared" si="31"/>
        <v>#DIV/0!</v>
      </c>
      <c r="M143" s="53" t="e">
        <f t="shared" si="32"/>
        <v>#DIV/0!</v>
      </c>
      <c r="N143" s="53" t="e">
        <f t="shared" si="33"/>
        <v>#DIV/0!</v>
      </c>
      <c r="O143" s="53" t="e">
        <f t="shared" si="34"/>
        <v>#DIV/0!</v>
      </c>
      <c r="P143" s="69"/>
      <c r="Q143" s="69"/>
      <c r="R143" s="53" t="e">
        <f t="shared" si="35"/>
        <v>#DIV/0!</v>
      </c>
      <c r="S143" s="53" t="e">
        <f t="shared" si="36"/>
        <v>#DIV/0!</v>
      </c>
      <c r="T143" s="53" t="e">
        <f t="shared" si="37"/>
        <v>#DIV/0!</v>
      </c>
      <c r="U143" s="53" t="e">
        <f t="shared" si="38"/>
        <v>#DIV/0!</v>
      </c>
      <c r="V143" s="53" t="e">
        <f>V142+ATM_Conf!$C$5*(Nodes!AL142)/('Off-Ramp'!K328*AA328)</f>
        <v>#DIV/0!</v>
      </c>
      <c r="W143" s="53" t="e">
        <f>W142+ATM_Conf!$C$5*(Nodes!AM142)/('Off-Ramp'!L328*AB328)</f>
        <v>#DIV/0!</v>
      </c>
      <c r="X143" s="53" t="e">
        <f>X142+ATM_Conf!$C$5*(Nodes!AN142)/('Off-Ramp'!M328*AC328)</f>
        <v>#DIV/0!</v>
      </c>
      <c r="Y143" s="53" t="e">
        <f>Y142+ATM_Conf!$C$5*(Nodes!AO142)/('Off-Ramp'!N328*AD328)</f>
        <v>#DIV/0!</v>
      </c>
      <c r="Z143" s="53" t="e">
        <f>Z142+ATM_Conf!$C$5*(Nodes!AP142)/('Off-Ramp'!O328*AE328)</f>
        <v>#DIV/0!</v>
      </c>
      <c r="AA143" s="53" t="e">
        <f>AA142+ATM_Conf!$C$5*(Nodes!AQ142)/('Off-Ramp'!P328*AF328)</f>
        <v>#DIV/0!</v>
      </c>
    </row>
    <row r="144" spans="1:27" x14ac:dyDescent="0.15">
      <c r="A144" s="46">
        <v>142</v>
      </c>
      <c r="B144" s="61"/>
      <c r="C144" s="61"/>
      <c r="D144" s="61"/>
      <c r="E144" s="61"/>
      <c r="F144" s="61"/>
      <c r="G144" s="61"/>
      <c r="H144" s="61"/>
      <c r="I144" s="61"/>
      <c r="J144" s="61"/>
      <c r="K144" s="61"/>
      <c r="L144" s="53" t="e">
        <f t="shared" si="31"/>
        <v>#DIV/0!</v>
      </c>
      <c r="M144" s="53" t="e">
        <f t="shared" si="32"/>
        <v>#DIV/0!</v>
      </c>
      <c r="N144" s="53" t="e">
        <f t="shared" si="33"/>
        <v>#DIV/0!</v>
      </c>
      <c r="O144" s="53" t="e">
        <f t="shared" si="34"/>
        <v>#DIV/0!</v>
      </c>
      <c r="P144" s="69"/>
      <c r="Q144" s="69"/>
      <c r="R144" s="53" t="e">
        <f t="shared" si="35"/>
        <v>#DIV/0!</v>
      </c>
      <c r="S144" s="53" t="e">
        <f t="shared" si="36"/>
        <v>#DIV/0!</v>
      </c>
      <c r="T144" s="53" t="e">
        <f t="shared" si="37"/>
        <v>#DIV/0!</v>
      </c>
      <c r="U144" s="53" t="e">
        <f t="shared" si="38"/>
        <v>#DIV/0!</v>
      </c>
      <c r="V144" s="53" t="e">
        <f>V143+ATM_Conf!$C$5*(Nodes!AL143)/('Off-Ramp'!K329*AA329)</f>
        <v>#DIV/0!</v>
      </c>
      <c r="W144" s="53" t="e">
        <f>W143+ATM_Conf!$C$5*(Nodes!AM143)/('Off-Ramp'!L329*AB329)</f>
        <v>#DIV/0!</v>
      </c>
      <c r="X144" s="53" t="e">
        <f>X143+ATM_Conf!$C$5*(Nodes!AN143)/('Off-Ramp'!M329*AC329)</f>
        <v>#DIV/0!</v>
      </c>
      <c r="Y144" s="53" t="e">
        <f>Y143+ATM_Conf!$C$5*(Nodes!AO143)/('Off-Ramp'!N329*AD329)</f>
        <v>#DIV/0!</v>
      </c>
      <c r="Z144" s="53" t="e">
        <f>Z143+ATM_Conf!$C$5*(Nodes!AP143)/('Off-Ramp'!O329*AE329)</f>
        <v>#DIV/0!</v>
      </c>
      <c r="AA144" s="53" t="e">
        <f>AA143+ATM_Conf!$C$5*(Nodes!AQ143)/('Off-Ramp'!P329*AF329)</f>
        <v>#DIV/0!</v>
      </c>
    </row>
    <row r="145" spans="1:27" x14ac:dyDescent="0.15">
      <c r="A145" s="46">
        <v>143</v>
      </c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53" t="e">
        <f t="shared" si="31"/>
        <v>#DIV/0!</v>
      </c>
      <c r="M145" s="53" t="e">
        <f t="shared" si="32"/>
        <v>#DIV/0!</v>
      </c>
      <c r="N145" s="53" t="e">
        <f t="shared" si="33"/>
        <v>#DIV/0!</v>
      </c>
      <c r="O145" s="53" t="e">
        <f t="shared" si="34"/>
        <v>#DIV/0!</v>
      </c>
      <c r="P145" s="69"/>
      <c r="Q145" s="69"/>
      <c r="R145" s="53" t="e">
        <f t="shared" si="35"/>
        <v>#DIV/0!</v>
      </c>
      <c r="S145" s="53" t="e">
        <f t="shared" si="36"/>
        <v>#DIV/0!</v>
      </c>
      <c r="T145" s="53" t="e">
        <f t="shared" si="37"/>
        <v>#DIV/0!</v>
      </c>
      <c r="U145" s="53" t="e">
        <f t="shared" si="38"/>
        <v>#DIV/0!</v>
      </c>
      <c r="V145" s="53" t="e">
        <f>V144+ATM_Conf!$C$5*(Nodes!AL144)/('Off-Ramp'!K330*AA330)</f>
        <v>#DIV/0!</v>
      </c>
      <c r="W145" s="53" t="e">
        <f>W144+ATM_Conf!$C$5*(Nodes!AM144)/('Off-Ramp'!L330*AB330)</f>
        <v>#DIV/0!</v>
      </c>
      <c r="X145" s="53" t="e">
        <f>X144+ATM_Conf!$C$5*(Nodes!AN144)/('Off-Ramp'!M330*AC330)</f>
        <v>#DIV/0!</v>
      </c>
      <c r="Y145" s="53" t="e">
        <f>Y144+ATM_Conf!$C$5*(Nodes!AO144)/('Off-Ramp'!N330*AD330)</f>
        <v>#DIV/0!</v>
      </c>
      <c r="Z145" s="53" t="e">
        <f>Z144+ATM_Conf!$C$5*(Nodes!AP144)/('Off-Ramp'!O330*AE330)</f>
        <v>#DIV/0!</v>
      </c>
      <c r="AA145" s="53" t="e">
        <f>AA144+ATM_Conf!$C$5*(Nodes!AQ144)/('Off-Ramp'!P330*AF330)</f>
        <v>#DIV/0!</v>
      </c>
    </row>
    <row r="146" spans="1:27" x14ac:dyDescent="0.15">
      <c r="A146" s="46">
        <v>144</v>
      </c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53" t="e">
        <f t="shared" si="31"/>
        <v>#DIV/0!</v>
      </c>
      <c r="M146" s="53" t="e">
        <f t="shared" si="32"/>
        <v>#DIV/0!</v>
      </c>
      <c r="N146" s="53" t="e">
        <f t="shared" si="33"/>
        <v>#DIV/0!</v>
      </c>
      <c r="O146" s="53" t="e">
        <f t="shared" si="34"/>
        <v>#DIV/0!</v>
      </c>
      <c r="P146" s="69"/>
      <c r="Q146" s="69"/>
      <c r="R146" s="53" t="e">
        <f t="shared" si="35"/>
        <v>#DIV/0!</v>
      </c>
      <c r="S146" s="53" t="e">
        <f t="shared" si="36"/>
        <v>#DIV/0!</v>
      </c>
      <c r="T146" s="53" t="e">
        <f t="shared" si="37"/>
        <v>#DIV/0!</v>
      </c>
      <c r="U146" s="53" t="e">
        <f t="shared" si="38"/>
        <v>#DIV/0!</v>
      </c>
      <c r="V146" s="53" t="e">
        <f>V145+ATM_Conf!$C$5*(Nodes!AL145)/('Off-Ramp'!K331*AA331)</f>
        <v>#DIV/0!</v>
      </c>
      <c r="W146" s="53" t="e">
        <f>W145+ATM_Conf!$C$5*(Nodes!AM145)/('Off-Ramp'!L331*AB331)</f>
        <v>#DIV/0!</v>
      </c>
      <c r="X146" s="53" t="e">
        <f>X145+ATM_Conf!$C$5*(Nodes!AN145)/('Off-Ramp'!M331*AC331)</f>
        <v>#DIV/0!</v>
      </c>
      <c r="Y146" s="53" t="e">
        <f>Y145+ATM_Conf!$C$5*(Nodes!AO145)/('Off-Ramp'!N331*AD331)</f>
        <v>#DIV/0!</v>
      </c>
      <c r="Z146" s="53" t="e">
        <f>Z145+ATM_Conf!$C$5*(Nodes!AP145)/('Off-Ramp'!O331*AE331)</f>
        <v>#DIV/0!</v>
      </c>
      <c r="AA146" s="53" t="e">
        <f>AA145+ATM_Conf!$C$5*(Nodes!AQ145)/('Off-Ramp'!P331*AF331)</f>
        <v>#DIV/0!</v>
      </c>
    </row>
    <row r="147" spans="1:27" x14ac:dyDescent="0.15">
      <c r="A147" s="46">
        <v>145</v>
      </c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53" t="e">
        <f t="shared" si="31"/>
        <v>#DIV/0!</v>
      </c>
      <c r="M147" s="53" t="e">
        <f t="shared" si="32"/>
        <v>#DIV/0!</v>
      </c>
      <c r="N147" s="53" t="e">
        <f t="shared" si="33"/>
        <v>#DIV/0!</v>
      </c>
      <c r="O147" s="53" t="e">
        <f t="shared" si="34"/>
        <v>#DIV/0!</v>
      </c>
      <c r="P147" s="69"/>
      <c r="Q147" s="69"/>
      <c r="R147" s="53" t="e">
        <f t="shared" si="35"/>
        <v>#DIV/0!</v>
      </c>
      <c r="S147" s="53" t="e">
        <f t="shared" si="36"/>
        <v>#DIV/0!</v>
      </c>
      <c r="T147" s="53" t="e">
        <f t="shared" si="37"/>
        <v>#DIV/0!</v>
      </c>
      <c r="U147" s="53" t="e">
        <f t="shared" si="38"/>
        <v>#DIV/0!</v>
      </c>
      <c r="V147" s="53" t="e">
        <f>V146+ATM_Conf!$C$5*(Nodes!AL146)/('Off-Ramp'!K332*AA332)</f>
        <v>#DIV/0!</v>
      </c>
      <c r="W147" s="53" t="e">
        <f>W146+ATM_Conf!$C$5*(Nodes!AM146)/('Off-Ramp'!L332*AB332)</f>
        <v>#DIV/0!</v>
      </c>
      <c r="X147" s="53" t="e">
        <f>X146+ATM_Conf!$C$5*(Nodes!AN146)/('Off-Ramp'!M332*AC332)</f>
        <v>#DIV/0!</v>
      </c>
      <c r="Y147" s="53" t="e">
        <f>Y146+ATM_Conf!$C$5*(Nodes!AO146)/('Off-Ramp'!N332*AD332)</f>
        <v>#DIV/0!</v>
      </c>
      <c r="Z147" s="53" t="e">
        <f>Z146+ATM_Conf!$C$5*(Nodes!AP146)/('Off-Ramp'!O332*AE332)</f>
        <v>#DIV/0!</v>
      </c>
      <c r="AA147" s="53" t="e">
        <f>AA146+ATM_Conf!$C$5*(Nodes!AQ146)/('Off-Ramp'!P332*AF332)</f>
        <v>#DIV/0!</v>
      </c>
    </row>
    <row r="148" spans="1:27" x14ac:dyDescent="0.15">
      <c r="A148" s="46">
        <v>146</v>
      </c>
      <c r="B148" s="61"/>
      <c r="C148" s="61"/>
      <c r="D148" s="61"/>
      <c r="E148" s="61"/>
      <c r="F148" s="61"/>
      <c r="G148" s="61"/>
      <c r="H148" s="61"/>
      <c r="I148" s="61"/>
      <c r="J148" s="61"/>
      <c r="K148" s="61"/>
      <c r="L148" s="53" t="e">
        <f t="shared" si="31"/>
        <v>#DIV/0!</v>
      </c>
      <c r="M148" s="53" t="e">
        <f t="shared" si="32"/>
        <v>#DIV/0!</v>
      </c>
      <c r="N148" s="53" t="e">
        <f t="shared" si="33"/>
        <v>#DIV/0!</v>
      </c>
      <c r="O148" s="53" t="e">
        <f t="shared" si="34"/>
        <v>#DIV/0!</v>
      </c>
      <c r="P148" s="69"/>
      <c r="Q148" s="69"/>
      <c r="R148" s="53" t="e">
        <f t="shared" si="35"/>
        <v>#DIV/0!</v>
      </c>
      <c r="S148" s="53" t="e">
        <f t="shared" si="36"/>
        <v>#DIV/0!</v>
      </c>
      <c r="T148" s="53" t="e">
        <f t="shared" si="37"/>
        <v>#DIV/0!</v>
      </c>
      <c r="U148" s="53" t="e">
        <f t="shared" si="38"/>
        <v>#DIV/0!</v>
      </c>
      <c r="V148" s="53" t="e">
        <f>V147+ATM_Conf!$C$5*(Nodes!AL147)/('Off-Ramp'!K333*AA333)</f>
        <v>#DIV/0!</v>
      </c>
      <c r="W148" s="53" t="e">
        <f>W147+ATM_Conf!$C$5*(Nodes!AM147)/('Off-Ramp'!L333*AB333)</f>
        <v>#DIV/0!</v>
      </c>
      <c r="X148" s="53" t="e">
        <f>X147+ATM_Conf!$C$5*(Nodes!AN147)/('Off-Ramp'!M333*AC333)</f>
        <v>#DIV/0!</v>
      </c>
      <c r="Y148" s="53" t="e">
        <f>Y147+ATM_Conf!$C$5*(Nodes!AO147)/('Off-Ramp'!N333*AD333)</f>
        <v>#DIV/0!</v>
      </c>
      <c r="Z148" s="53" t="e">
        <f>Z147+ATM_Conf!$C$5*(Nodes!AP147)/('Off-Ramp'!O333*AE333)</f>
        <v>#DIV/0!</v>
      </c>
      <c r="AA148" s="53" t="e">
        <f>AA147+ATM_Conf!$C$5*(Nodes!AQ147)/('Off-Ramp'!P333*AF333)</f>
        <v>#DIV/0!</v>
      </c>
    </row>
    <row r="149" spans="1:27" x14ac:dyDescent="0.15">
      <c r="A149" s="46">
        <v>147</v>
      </c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53" t="e">
        <f t="shared" si="31"/>
        <v>#DIV/0!</v>
      </c>
      <c r="M149" s="53" t="e">
        <f t="shared" si="32"/>
        <v>#DIV/0!</v>
      </c>
      <c r="N149" s="53" t="e">
        <f t="shared" si="33"/>
        <v>#DIV/0!</v>
      </c>
      <c r="O149" s="53" t="e">
        <f t="shared" si="34"/>
        <v>#DIV/0!</v>
      </c>
      <c r="P149" s="69"/>
      <c r="Q149" s="69"/>
      <c r="R149" s="53" t="e">
        <f t="shared" si="35"/>
        <v>#DIV/0!</v>
      </c>
      <c r="S149" s="53" t="e">
        <f t="shared" si="36"/>
        <v>#DIV/0!</v>
      </c>
      <c r="T149" s="53" t="e">
        <f t="shared" si="37"/>
        <v>#DIV/0!</v>
      </c>
      <c r="U149" s="53" t="e">
        <f t="shared" si="38"/>
        <v>#DIV/0!</v>
      </c>
      <c r="V149" s="53" t="e">
        <f>V148+ATM_Conf!$C$5*(Nodes!AL148)/('Off-Ramp'!K334*AA334)</f>
        <v>#DIV/0!</v>
      </c>
      <c r="W149" s="53" t="e">
        <f>W148+ATM_Conf!$C$5*(Nodes!AM148)/('Off-Ramp'!L334*AB334)</f>
        <v>#DIV/0!</v>
      </c>
      <c r="X149" s="53" t="e">
        <f>X148+ATM_Conf!$C$5*(Nodes!AN148)/('Off-Ramp'!M334*AC334)</f>
        <v>#DIV/0!</v>
      </c>
      <c r="Y149" s="53" t="e">
        <f>Y148+ATM_Conf!$C$5*(Nodes!AO148)/('Off-Ramp'!N334*AD334)</f>
        <v>#DIV/0!</v>
      </c>
      <c r="Z149" s="53" t="e">
        <f>Z148+ATM_Conf!$C$5*(Nodes!AP148)/('Off-Ramp'!O334*AE334)</f>
        <v>#DIV/0!</v>
      </c>
      <c r="AA149" s="53" t="e">
        <f>AA148+ATM_Conf!$C$5*(Nodes!AQ148)/('Off-Ramp'!P334*AF334)</f>
        <v>#DIV/0!</v>
      </c>
    </row>
    <row r="150" spans="1:27" x14ac:dyDescent="0.15">
      <c r="A150" s="46">
        <v>148</v>
      </c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53" t="e">
        <f t="shared" si="31"/>
        <v>#DIV/0!</v>
      </c>
      <c r="M150" s="53" t="e">
        <f t="shared" si="32"/>
        <v>#DIV/0!</v>
      </c>
      <c r="N150" s="53" t="e">
        <f t="shared" si="33"/>
        <v>#DIV/0!</v>
      </c>
      <c r="O150" s="53" t="e">
        <f t="shared" si="34"/>
        <v>#DIV/0!</v>
      </c>
      <c r="P150" s="69"/>
      <c r="Q150" s="69"/>
      <c r="R150" s="53" t="e">
        <f t="shared" si="35"/>
        <v>#DIV/0!</v>
      </c>
      <c r="S150" s="53" t="e">
        <f t="shared" si="36"/>
        <v>#DIV/0!</v>
      </c>
      <c r="T150" s="53" t="e">
        <f t="shared" si="37"/>
        <v>#DIV/0!</v>
      </c>
      <c r="U150" s="53" t="e">
        <f t="shared" si="38"/>
        <v>#DIV/0!</v>
      </c>
      <c r="V150" s="53" t="e">
        <f>V149+ATM_Conf!$C$5*(Nodes!AL149)/('Off-Ramp'!K335*AA335)</f>
        <v>#DIV/0!</v>
      </c>
      <c r="W150" s="53" t="e">
        <f>W149+ATM_Conf!$C$5*(Nodes!AM149)/('Off-Ramp'!L335*AB335)</f>
        <v>#DIV/0!</v>
      </c>
      <c r="X150" s="53" t="e">
        <f>X149+ATM_Conf!$C$5*(Nodes!AN149)/('Off-Ramp'!M335*AC335)</f>
        <v>#DIV/0!</v>
      </c>
      <c r="Y150" s="53" t="e">
        <f>Y149+ATM_Conf!$C$5*(Nodes!AO149)/('Off-Ramp'!N335*AD335)</f>
        <v>#DIV/0!</v>
      </c>
      <c r="Z150" s="53" t="e">
        <f>Z149+ATM_Conf!$C$5*(Nodes!AP149)/('Off-Ramp'!O335*AE335)</f>
        <v>#DIV/0!</v>
      </c>
      <c r="AA150" s="53" t="e">
        <f>AA149+ATM_Conf!$C$5*(Nodes!AQ149)/('Off-Ramp'!P335*AF335)</f>
        <v>#DIV/0!</v>
      </c>
    </row>
    <row r="151" spans="1:27" x14ac:dyDescent="0.15">
      <c r="A151" s="46">
        <v>149</v>
      </c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53" t="e">
        <f t="shared" si="31"/>
        <v>#DIV/0!</v>
      </c>
      <c r="M151" s="53" t="e">
        <f t="shared" si="32"/>
        <v>#DIV/0!</v>
      </c>
      <c r="N151" s="53" t="e">
        <f t="shared" si="33"/>
        <v>#DIV/0!</v>
      </c>
      <c r="O151" s="53" t="e">
        <f t="shared" si="34"/>
        <v>#DIV/0!</v>
      </c>
      <c r="P151" s="69"/>
      <c r="Q151" s="69"/>
      <c r="R151" s="53" t="e">
        <f t="shared" si="35"/>
        <v>#DIV/0!</v>
      </c>
      <c r="S151" s="53" t="e">
        <f t="shared" si="36"/>
        <v>#DIV/0!</v>
      </c>
      <c r="T151" s="53" t="e">
        <f t="shared" si="37"/>
        <v>#DIV/0!</v>
      </c>
      <c r="U151" s="53" t="e">
        <f t="shared" si="38"/>
        <v>#DIV/0!</v>
      </c>
      <c r="V151" s="53" t="e">
        <f>V150+ATM_Conf!$C$5*(Nodes!AL150)/('Off-Ramp'!K336*AA336)</f>
        <v>#DIV/0!</v>
      </c>
      <c r="W151" s="53" t="e">
        <f>W150+ATM_Conf!$C$5*(Nodes!AM150)/('Off-Ramp'!L336*AB336)</f>
        <v>#DIV/0!</v>
      </c>
      <c r="X151" s="53" t="e">
        <f>X150+ATM_Conf!$C$5*(Nodes!AN150)/('Off-Ramp'!M336*AC336)</f>
        <v>#DIV/0!</v>
      </c>
      <c r="Y151" s="53" t="e">
        <f>Y150+ATM_Conf!$C$5*(Nodes!AO150)/('Off-Ramp'!N336*AD336)</f>
        <v>#DIV/0!</v>
      </c>
      <c r="Z151" s="53" t="e">
        <f>Z150+ATM_Conf!$C$5*(Nodes!AP150)/('Off-Ramp'!O336*AE336)</f>
        <v>#DIV/0!</v>
      </c>
      <c r="AA151" s="53" t="e">
        <f>AA150+ATM_Conf!$C$5*(Nodes!AQ150)/('Off-Ramp'!P336*AF336)</f>
        <v>#DIV/0!</v>
      </c>
    </row>
    <row r="152" spans="1:27" x14ac:dyDescent="0.15">
      <c r="A152" s="46">
        <v>150</v>
      </c>
      <c r="B152" s="61"/>
      <c r="C152" s="61"/>
      <c r="D152" s="61"/>
      <c r="E152" s="61"/>
      <c r="F152" s="61"/>
      <c r="G152" s="61"/>
      <c r="H152" s="61"/>
      <c r="I152" s="61"/>
      <c r="J152" s="61"/>
      <c r="K152" s="61"/>
      <c r="L152" s="53" t="e">
        <f t="shared" si="31"/>
        <v>#DIV/0!</v>
      </c>
      <c r="M152" s="53" t="e">
        <f t="shared" si="32"/>
        <v>#DIV/0!</v>
      </c>
      <c r="N152" s="53" t="e">
        <f t="shared" si="33"/>
        <v>#DIV/0!</v>
      </c>
      <c r="O152" s="53" t="e">
        <f t="shared" si="34"/>
        <v>#DIV/0!</v>
      </c>
      <c r="P152" s="69"/>
      <c r="Q152" s="69"/>
      <c r="R152" s="53" t="e">
        <f t="shared" si="35"/>
        <v>#DIV/0!</v>
      </c>
      <c r="S152" s="53" t="e">
        <f t="shared" si="36"/>
        <v>#DIV/0!</v>
      </c>
      <c r="T152" s="53" t="e">
        <f t="shared" si="37"/>
        <v>#DIV/0!</v>
      </c>
      <c r="U152" s="53" t="e">
        <f t="shared" si="38"/>
        <v>#DIV/0!</v>
      </c>
      <c r="V152" s="53" t="e">
        <f>V151+ATM_Conf!$C$5*(Nodes!AL151)/('Off-Ramp'!K337*AA337)</f>
        <v>#DIV/0!</v>
      </c>
      <c r="W152" s="53" t="e">
        <f>W151+ATM_Conf!$C$5*(Nodes!AM151)/('Off-Ramp'!L337*AB337)</f>
        <v>#DIV/0!</v>
      </c>
      <c r="X152" s="53" t="e">
        <f>X151+ATM_Conf!$C$5*(Nodes!AN151)/('Off-Ramp'!M337*AC337)</f>
        <v>#DIV/0!</v>
      </c>
      <c r="Y152" s="53" t="e">
        <f>Y151+ATM_Conf!$C$5*(Nodes!AO151)/('Off-Ramp'!N337*AD337)</f>
        <v>#DIV/0!</v>
      </c>
      <c r="Z152" s="53" t="e">
        <f>Z151+ATM_Conf!$C$5*(Nodes!AP151)/('Off-Ramp'!O337*AE337)</f>
        <v>#DIV/0!</v>
      </c>
      <c r="AA152" s="53" t="e">
        <f>AA151+ATM_Conf!$C$5*(Nodes!AQ151)/('Off-Ramp'!P337*AF337)</f>
        <v>#DIV/0!</v>
      </c>
    </row>
    <row r="153" spans="1:27" x14ac:dyDescent="0.15">
      <c r="A153" s="46">
        <v>151</v>
      </c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53" t="e">
        <f t="shared" si="31"/>
        <v>#DIV/0!</v>
      </c>
      <c r="M153" s="53" t="e">
        <f t="shared" si="32"/>
        <v>#DIV/0!</v>
      </c>
      <c r="N153" s="53" t="e">
        <f t="shared" si="33"/>
        <v>#DIV/0!</v>
      </c>
      <c r="O153" s="53" t="e">
        <f t="shared" si="34"/>
        <v>#DIV/0!</v>
      </c>
      <c r="P153" s="69"/>
      <c r="Q153" s="69"/>
      <c r="R153" s="53" t="e">
        <f t="shared" si="35"/>
        <v>#DIV/0!</v>
      </c>
      <c r="S153" s="53" t="e">
        <f t="shared" si="36"/>
        <v>#DIV/0!</v>
      </c>
      <c r="T153" s="53" t="e">
        <f t="shared" si="37"/>
        <v>#DIV/0!</v>
      </c>
      <c r="U153" s="53" t="e">
        <f t="shared" si="38"/>
        <v>#DIV/0!</v>
      </c>
      <c r="V153" s="53" t="e">
        <f>V152+ATM_Conf!$C$5*(Nodes!AL152)/('Off-Ramp'!K338*AA338)</f>
        <v>#DIV/0!</v>
      </c>
      <c r="W153" s="53" t="e">
        <f>W152+ATM_Conf!$C$5*(Nodes!AM152)/('Off-Ramp'!L338*AB338)</f>
        <v>#DIV/0!</v>
      </c>
      <c r="X153" s="53" t="e">
        <f>X152+ATM_Conf!$C$5*(Nodes!AN152)/('Off-Ramp'!M338*AC338)</f>
        <v>#DIV/0!</v>
      </c>
      <c r="Y153" s="53" t="e">
        <f>Y152+ATM_Conf!$C$5*(Nodes!AO152)/('Off-Ramp'!N338*AD338)</f>
        <v>#DIV/0!</v>
      </c>
      <c r="Z153" s="53" t="e">
        <f>Z152+ATM_Conf!$C$5*(Nodes!AP152)/('Off-Ramp'!O338*AE338)</f>
        <v>#DIV/0!</v>
      </c>
      <c r="AA153" s="53" t="e">
        <f>AA152+ATM_Conf!$C$5*(Nodes!AQ152)/('Off-Ramp'!P338*AF338)</f>
        <v>#DIV/0!</v>
      </c>
    </row>
    <row r="154" spans="1:27" x14ac:dyDescent="0.15">
      <c r="A154" s="46">
        <v>152</v>
      </c>
      <c r="B154" s="61"/>
      <c r="C154" s="61"/>
      <c r="D154" s="61"/>
      <c r="E154" s="61"/>
      <c r="F154" s="61"/>
      <c r="G154" s="61"/>
      <c r="H154" s="61"/>
      <c r="I154" s="61"/>
      <c r="J154" s="61"/>
      <c r="K154" s="61"/>
      <c r="L154" s="53" t="e">
        <f t="shared" si="31"/>
        <v>#DIV/0!</v>
      </c>
      <c r="M154" s="53" t="e">
        <f t="shared" si="32"/>
        <v>#DIV/0!</v>
      </c>
      <c r="N154" s="53" t="e">
        <f t="shared" si="33"/>
        <v>#DIV/0!</v>
      </c>
      <c r="O154" s="53" t="e">
        <f t="shared" si="34"/>
        <v>#DIV/0!</v>
      </c>
      <c r="P154" s="69"/>
      <c r="Q154" s="69"/>
      <c r="R154" s="53" t="e">
        <f t="shared" si="35"/>
        <v>#DIV/0!</v>
      </c>
      <c r="S154" s="53" t="e">
        <f t="shared" si="36"/>
        <v>#DIV/0!</v>
      </c>
      <c r="T154" s="53" t="e">
        <f t="shared" si="37"/>
        <v>#DIV/0!</v>
      </c>
      <c r="U154" s="53" t="e">
        <f t="shared" si="38"/>
        <v>#DIV/0!</v>
      </c>
      <c r="V154" s="53" t="e">
        <f>V153+ATM_Conf!$C$5*(Nodes!AL153)/('Off-Ramp'!K339*AA339)</f>
        <v>#DIV/0!</v>
      </c>
      <c r="W154" s="53" t="e">
        <f>W153+ATM_Conf!$C$5*(Nodes!AM153)/('Off-Ramp'!L339*AB339)</f>
        <v>#DIV/0!</v>
      </c>
      <c r="X154" s="53" t="e">
        <f>X153+ATM_Conf!$C$5*(Nodes!AN153)/('Off-Ramp'!M339*AC339)</f>
        <v>#DIV/0!</v>
      </c>
      <c r="Y154" s="53" t="e">
        <f>Y153+ATM_Conf!$C$5*(Nodes!AO153)/('Off-Ramp'!N339*AD339)</f>
        <v>#DIV/0!</v>
      </c>
      <c r="Z154" s="53" t="e">
        <f>Z153+ATM_Conf!$C$5*(Nodes!AP153)/('Off-Ramp'!O339*AE339)</f>
        <v>#DIV/0!</v>
      </c>
      <c r="AA154" s="53" t="e">
        <f>AA153+ATM_Conf!$C$5*(Nodes!AQ153)/('Off-Ramp'!P339*AF339)</f>
        <v>#DIV/0!</v>
      </c>
    </row>
    <row r="155" spans="1:27" x14ac:dyDescent="0.15">
      <c r="A155" s="46">
        <v>153</v>
      </c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53" t="e">
        <f t="shared" si="31"/>
        <v>#DIV/0!</v>
      </c>
      <c r="M155" s="53" t="e">
        <f t="shared" si="32"/>
        <v>#DIV/0!</v>
      </c>
      <c r="N155" s="53" t="e">
        <f t="shared" si="33"/>
        <v>#DIV/0!</v>
      </c>
      <c r="O155" s="53" t="e">
        <f t="shared" si="34"/>
        <v>#DIV/0!</v>
      </c>
      <c r="P155" s="69"/>
      <c r="Q155" s="69"/>
      <c r="R155" s="53" t="e">
        <f t="shared" si="35"/>
        <v>#DIV/0!</v>
      </c>
      <c r="S155" s="53" t="e">
        <f t="shared" si="36"/>
        <v>#DIV/0!</v>
      </c>
      <c r="T155" s="53" t="e">
        <f t="shared" si="37"/>
        <v>#DIV/0!</v>
      </c>
      <c r="U155" s="53" t="e">
        <f t="shared" si="38"/>
        <v>#DIV/0!</v>
      </c>
      <c r="V155" s="53" t="e">
        <f>V154+ATM_Conf!$C$5*(Nodes!AL154)/('Off-Ramp'!K340*AA340)</f>
        <v>#DIV/0!</v>
      </c>
      <c r="W155" s="53" t="e">
        <f>W154+ATM_Conf!$C$5*(Nodes!AM154)/('Off-Ramp'!L340*AB340)</f>
        <v>#DIV/0!</v>
      </c>
      <c r="X155" s="53" t="e">
        <f>X154+ATM_Conf!$C$5*(Nodes!AN154)/('Off-Ramp'!M340*AC340)</f>
        <v>#DIV/0!</v>
      </c>
      <c r="Y155" s="53" t="e">
        <f>Y154+ATM_Conf!$C$5*(Nodes!AO154)/('Off-Ramp'!N340*AD340)</f>
        <v>#DIV/0!</v>
      </c>
      <c r="Z155" s="53" t="e">
        <f>Z154+ATM_Conf!$C$5*(Nodes!AP154)/('Off-Ramp'!O340*AE340)</f>
        <v>#DIV/0!</v>
      </c>
      <c r="AA155" s="53" t="e">
        <f>AA154+ATM_Conf!$C$5*(Nodes!AQ154)/('Off-Ramp'!P340*AF340)</f>
        <v>#DIV/0!</v>
      </c>
    </row>
    <row r="156" spans="1:27" x14ac:dyDescent="0.15">
      <c r="A156" s="46">
        <v>154</v>
      </c>
      <c r="B156" s="61"/>
      <c r="C156" s="61"/>
      <c r="D156" s="61"/>
      <c r="E156" s="61"/>
      <c r="F156" s="61"/>
      <c r="G156" s="61"/>
      <c r="H156" s="61"/>
      <c r="I156" s="61"/>
      <c r="J156" s="61"/>
      <c r="K156" s="61"/>
      <c r="L156" s="53" t="e">
        <f t="shared" si="31"/>
        <v>#DIV/0!</v>
      </c>
      <c r="M156" s="53" t="e">
        <f t="shared" si="32"/>
        <v>#DIV/0!</v>
      </c>
      <c r="N156" s="53" t="e">
        <f t="shared" si="33"/>
        <v>#DIV/0!</v>
      </c>
      <c r="O156" s="53" t="e">
        <f t="shared" si="34"/>
        <v>#DIV/0!</v>
      </c>
      <c r="P156" s="69"/>
      <c r="Q156" s="69"/>
      <c r="R156" s="53" t="e">
        <f t="shared" si="35"/>
        <v>#DIV/0!</v>
      </c>
      <c r="S156" s="53" t="e">
        <f t="shared" si="36"/>
        <v>#DIV/0!</v>
      </c>
      <c r="T156" s="53" t="e">
        <f t="shared" si="37"/>
        <v>#DIV/0!</v>
      </c>
      <c r="U156" s="53" t="e">
        <f t="shared" si="38"/>
        <v>#DIV/0!</v>
      </c>
      <c r="V156" s="53" t="e">
        <f>V155+ATM_Conf!$C$5*(Nodes!AL155)/('Off-Ramp'!K341*AA341)</f>
        <v>#DIV/0!</v>
      </c>
      <c r="W156" s="53" t="e">
        <f>W155+ATM_Conf!$C$5*(Nodes!AM155)/('Off-Ramp'!L341*AB341)</f>
        <v>#DIV/0!</v>
      </c>
      <c r="X156" s="53" t="e">
        <f>X155+ATM_Conf!$C$5*(Nodes!AN155)/('Off-Ramp'!M341*AC341)</f>
        <v>#DIV/0!</v>
      </c>
      <c r="Y156" s="53" t="e">
        <f>Y155+ATM_Conf!$C$5*(Nodes!AO155)/('Off-Ramp'!N341*AD341)</f>
        <v>#DIV/0!</v>
      </c>
      <c r="Z156" s="53" t="e">
        <f>Z155+ATM_Conf!$C$5*(Nodes!AP155)/('Off-Ramp'!O341*AE341)</f>
        <v>#DIV/0!</v>
      </c>
      <c r="AA156" s="53" t="e">
        <f>AA155+ATM_Conf!$C$5*(Nodes!AQ155)/('Off-Ramp'!P341*AF341)</f>
        <v>#DIV/0!</v>
      </c>
    </row>
    <row r="157" spans="1:27" x14ac:dyDescent="0.15">
      <c r="A157" s="46">
        <v>155</v>
      </c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53" t="e">
        <f t="shared" si="31"/>
        <v>#DIV/0!</v>
      </c>
      <c r="M157" s="53" t="e">
        <f t="shared" si="32"/>
        <v>#DIV/0!</v>
      </c>
      <c r="N157" s="53" t="e">
        <f t="shared" si="33"/>
        <v>#DIV/0!</v>
      </c>
      <c r="O157" s="53" t="e">
        <f t="shared" si="34"/>
        <v>#DIV/0!</v>
      </c>
      <c r="P157" s="69"/>
      <c r="Q157" s="69"/>
      <c r="R157" s="53" t="e">
        <f t="shared" si="35"/>
        <v>#DIV/0!</v>
      </c>
      <c r="S157" s="53" t="e">
        <f t="shared" si="36"/>
        <v>#DIV/0!</v>
      </c>
      <c r="T157" s="53" t="e">
        <f t="shared" si="37"/>
        <v>#DIV/0!</v>
      </c>
      <c r="U157" s="53" t="e">
        <f t="shared" si="38"/>
        <v>#DIV/0!</v>
      </c>
      <c r="V157" s="53" t="e">
        <f>V156+ATM_Conf!$C$5*(Nodes!AL156)/('Off-Ramp'!K342*AA342)</f>
        <v>#DIV/0!</v>
      </c>
      <c r="W157" s="53" t="e">
        <f>W156+ATM_Conf!$C$5*(Nodes!AM156)/('Off-Ramp'!L342*AB342)</f>
        <v>#DIV/0!</v>
      </c>
      <c r="X157" s="53" t="e">
        <f>X156+ATM_Conf!$C$5*(Nodes!AN156)/('Off-Ramp'!M342*AC342)</f>
        <v>#DIV/0!</v>
      </c>
      <c r="Y157" s="53" t="e">
        <f>Y156+ATM_Conf!$C$5*(Nodes!AO156)/('Off-Ramp'!N342*AD342)</f>
        <v>#DIV/0!</v>
      </c>
      <c r="Z157" s="53" t="e">
        <f>Z156+ATM_Conf!$C$5*(Nodes!AP156)/('Off-Ramp'!O342*AE342)</f>
        <v>#DIV/0!</v>
      </c>
      <c r="AA157" s="53" t="e">
        <f>AA156+ATM_Conf!$C$5*(Nodes!AQ156)/('Off-Ramp'!P342*AF342)</f>
        <v>#DIV/0!</v>
      </c>
    </row>
    <row r="158" spans="1:27" x14ac:dyDescent="0.15">
      <c r="A158" s="46">
        <v>156</v>
      </c>
      <c r="B158" s="61"/>
      <c r="C158" s="61"/>
      <c r="D158" s="61"/>
      <c r="E158" s="61"/>
      <c r="F158" s="61"/>
      <c r="G158" s="61"/>
      <c r="H158" s="61"/>
      <c r="I158" s="61"/>
      <c r="J158" s="61"/>
      <c r="K158" s="61"/>
      <c r="L158" s="53" t="e">
        <f t="shared" si="31"/>
        <v>#DIV/0!</v>
      </c>
      <c r="M158" s="53" t="e">
        <f t="shared" si="32"/>
        <v>#DIV/0!</v>
      </c>
      <c r="N158" s="53" t="e">
        <f t="shared" si="33"/>
        <v>#DIV/0!</v>
      </c>
      <c r="O158" s="53" t="e">
        <f t="shared" si="34"/>
        <v>#DIV/0!</v>
      </c>
      <c r="P158" s="69"/>
      <c r="Q158" s="69"/>
      <c r="R158" s="53" t="e">
        <f t="shared" si="35"/>
        <v>#DIV/0!</v>
      </c>
      <c r="S158" s="53" t="e">
        <f t="shared" si="36"/>
        <v>#DIV/0!</v>
      </c>
      <c r="T158" s="53" t="e">
        <f t="shared" si="37"/>
        <v>#DIV/0!</v>
      </c>
      <c r="U158" s="53" t="e">
        <f t="shared" si="38"/>
        <v>#DIV/0!</v>
      </c>
      <c r="V158" s="53" t="e">
        <f>V157+ATM_Conf!$C$5*(Nodes!AL157)/('Off-Ramp'!K343*AA343)</f>
        <v>#DIV/0!</v>
      </c>
      <c r="W158" s="53" t="e">
        <f>W157+ATM_Conf!$C$5*(Nodes!AM157)/('Off-Ramp'!L343*AB343)</f>
        <v>#DIV/0!</v>
      </c>
      <c r="X158" s="53" t="e">
        <f>X157+ATM_Conf!$C$5*(Nodes!AN157)/('Off-Ramp'!M343*AC343)</f>
        <v>#DIV/0!</v>
      </c>
      <c r="Y158" s="53" t="e">
        <f>Y157+ATM_Conf!$C$5*(Nodes!AO157)/('Off-Ramp'!N343*AD343)</f>
        <v>#DIV/0!</v>
      </c>
      <c r="Z158" s="53" t="e">
        <f>Z157+ATM_Conf!$C$5*(Nodes!AP157)/('Off-Ramp'!O343*AE343)</f>
        <v>#DIV/0!</v>
      </c>
      <c r="AA158" s="53" t="e">
        <f>AA157+ATM_Conf!$C$5*(Nodes!AQ157)/('Off-Ramp'!P343*AF343)</f>
        <v>#DIV/0!</v>
      </c>
    </row>
    <row r="159" spans="1:27" x14ac:dyDescent="0.15">
      <c r="A159" s="46">
        <v>157</v>
      </c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53" t="e">
        <f t="shared" si="31"/>
        <v>#DIV/0!</v>
      </c>
      <c r="M159" s="53" t="e">
        <f t="shared" si="32"/>
        <v>#DIV/0!</v>
      </c>
      <c r="N159" s="53" t="e">
        <f t="shared" si="33"/>
        <v>#DIV/0!</v>
      </c>
      <c r="O159" s="53" t="e">
        <f t="shared" si="34"/>
        <v>#DIV/0!</v>
      </c>
      <c r="P159" s="69"/>
      <c r="Q159" s="69"/>
      <c r="R159" s="53" t="e">
        <f t="shared" si="35"/>
        <v>#DIV/0!</v>
      </c>
      <c r="S159" s="53" t="e">
        <f t="shared" si="36"/>
        <v>#DIV/0!</v>
      </c>
      <c r="T159" s="53" t="e">
        <f t="shared" si="37"/>
        <v>#DIV/0!</v>
      </c>
      <c r="U159" s="53" t="e">
        <f t="shared" si="38"/>
        <v>#DIV/0!</v>
      </c>
      <c r="V159" s="53" t="e">
        <f>V158+ATM_Conf!$C$5*(Nodes!AL158)/('Off-Ramp'!K344*AA344)</f>
        <v>#DIV/0!</v>
      </c>
      <c r="W159" s="53" t="e">
        <f>W158+ATM_Conf!$C$5*(Nodes!AM158)/('Off-Ramp'!L344*AB344)</f>
        <v>#DIV/0!</v>
      </c>
      <c r="X159" s="53" t="e">
        <f>X158+ATM_Conf!$C$5*(Nodes!AN158)/('Off-Ramp'!M344*AC344)</f>
        <v>#DIV/0!</v>
      </c>
      <c r="Y159" s="53" t="e">
        <f>Y158+ATM_Conf!$C$5*(Nodes!AO158)/('Off-Ramp'!N344*AD344)</f>
        <v>#DIV/0!</v>
      </c>
      <c r="Z159" s="53" t="e">
        <f>Z158+ATM_Conf!$C$5*(Nodes!AP158)/('Off-Ramp'!O344*AE344)</f>
        <v>#DIV/0!</v>
      </c>
      <c r="AA159" s="53" t="e">
        <f>AA158+ATM_Conf!$C$5*(Nodes!AQ158)/('Off-Ramp'!P344*AF344)</f>
        <v>#DIV/0!</v>
      </c>
    </row>
    <row r="160" spans="1:27" x14ac:dyDescent="0.15">
      <c r="A160" s="46">
        <v>158</v>
      </c>
      <c r="B160" s="61"/>
      <c r="C160" s="61"/>
      <c r="D160" s="61"/>
      <c r="E160" s="61"/>
      <c r="F160" s="61"/>
      <c r="G160" s="61"/>
      <c r="H160" s="61"/>
      <c r="I160" s="61"/>
      <c r="J160" s="61"/>
      <c r="K160" s="61"/>
      <c r="L160" s="53" t="e">
        <f t="shared" si="31"/>
        <v>#DIV/0!</v>
      </c>
      <c r="M160" s="53" t="e">
        <f t="shared" si="32"/>
        <v>#DIV/0!</v>
      </c>
      <c r="N160" s="53" t="e">
        <f t="shared" si="33"/>
        <v>#DIV/0!</v>
      </c>
      <c r="O160" s="53" t="e">
        <f t="shared" si="34"/>
        <v>#DIV/0!</v>
      </c>
      <c r="P160" s="69"/>
      <c r="Q160" s="69"/>
      <c r="R160" s="53" t="e">
        <f t="shared" si="35"/>
        <v>#DIV/0!</v>
      </c>
      <c r="S160" s="53" t="e">
        <f t="shared" si="36"/>
        <v>#DIV/0!</v>
      </c>
      <c r="T160" s="53" t="e">
        <f t="shared" si="37"/>
        <v>#DIV/0!</v>
      </c>
      <c r="U160" s="53" t="e">
        <f t="shared" si="38"/>
        <v>#DIV/0!</v>
      </c>
      <c r="V160" s="53" t="e">
        <f>V159+ATM_Conf!$C$5*(Nodes!AL159)/('Off-Ramp'!K345*AA345)</f>
        <v>#DIV/0!</v>
      </c>
      <c r="W160" s="53" t="e">
        <f>W159+ATM_Conf!$C$5*(Nodes!AM159)/('Off-Ramp'!L345*AB345)</f>
        <v>#DIV/0!</v>
      </c>
      <c r="X160" s="53" t="e">
        <f>X159+ATM_Conf!$C$5*(Nodes!AN159)/('Off-Ramp'!M345*AC345)</f>
        <v>#DIV/0!</v>
      </c>
      <c r="Y160" s="53" t="e">
        <f>Y159+ATM_Conf!$C$5*(Nodes!AO159)/('Off-Ramp'!N345*AD345)</f>
        <v>#DIV/0!</v>
      </c>
      <c r="Z160" s="53" t="e">
        <f>Z159+ATM_Conf!$C$5*(Nodes!AP159)/('Off-Ramp'!O345*AE345)</f>
        <v>#DIV/0!</v>
      </c>
      <c r="AA160" s="53" t="e">
        <f>AA159+ATM_Conf!$C$5*(Nodes!AQ159)/('Off-Ramp'!P345*AF345)</f>
        <v>#DIV/0!</v>
      </c>
    </row>
    <row r="161" spans="1:27" x14ac:dyDescent="0.15">
      <c r="A161" s="46">
        <v>159</v>
      </c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53" t="e">
        <f t="shared" si="31"/>
        <v>#DIV/0!</v>
      </c>
      <c r="M161" s="53" t="e">
        <f t="shared" si="32"/>
        <v>#DIV/0!</v>
      </c>
      <c r="N161" s="53" t="e">
        <f t="shared" si="33"/>
        <v>#DIV/0!</v>
      </c>
      <c r="O161" s="53" t="e">
        <f t="shared" si="34"/>
        <v>#DIV/0!</v>
      </c>
      <c r="P161" s="69"/>
      <c r="Q161" s="69"/>
      <c r="R161" s="53" t="e">
        <f t="shared" si="35"/>
        <v>#DIV/0!</v>
      </c>
      <c r="S161" s="53" t="e">
        <f t="shared" si="36"/>
        <v>#DIV/0!</v>
      </c>
      <c r="T161" s="53" t="e">
        <f t="shared" si="37"/>
        <v>#DIV/0!</v>
      </c>
      <c r="U161" s="53" t="e">
        <f t="shared" si="38"/>
        <v>#DIV/0!</v>
      </c>
      <c r="V161" s="53" t="e">
        <f>V160+ATM_Conf!$C$5*(Nodes!AL160)/('Off-Ramp'!K346*AA346)</f>
        <v>#DIV/0!</v>
      </c>
      <c r="W161" s="53" t="e">
        <f>W160+ATM_Conf!$C$5*(Nodes!AM160)/('Off-Ramp'!L346*AB346)</f>
        <v>#DIV/0!</v>
      </c>
      <c r="X161" s="53" t="e">
        <f>X160+ATM_Conf!$C$5*(Nodes!AN160)/('Off-Ramp'!M346*AC346)</f>
        <v>#DIV/0!</v>
      </c>
      <c r="Y161" s="53" t="e">
        <f>Y160+ATM_Conf!$C$5*(Nodes!AO160)/('Off-Ramp'!N346*AD346)</f>
        <v>#DIV/0!</v>
      </c>
      <c r="Z161" s="53" t="e">
        <f>Z160+ATM_Conf!$C$5*(Nodes!AP160)/('Off-Ramp'!O346*AE346)</f>
        <v>#DIV/0!</v>
      </c>
      <c r="AA161" s="53" t="e">
        <f>AA160+ATM_Conf!$C$5*(Nodes!AQ160)/('Off-Ramp'!P346*AF346)</f>
        <v>#DIV/0!</v>
      </c>
    </row>
    <row r="162" spans="1:27" x14ac:dyDescent="0.15">
      <c r="A162" s="46">
        <v>160</v>
      </c>
      <c r="B162" s="61"/>
      <c r="C162" s="61"/>
      <c r="D162" s="61"/>
      <c r="E162" s="61"/>
      <c r="F162" s="61"/>
      <c r="G162" s="61"/>
      <c r="H162" s="61"/>
      <c r="I162" s="61"/>
      <c r="J162" s="61"/>
      <c r="K162" s="61"/>
      <c r="L162" s="53" t="e">
        <f t="shared" si="31"/>
        <v>#DIV/0!</v>
      </c>
      <c r="M162" s="53" t="e">
        <f t="shared" si="32"/>
        <v>#DIV/0!</v>
      </c>
      <c r="N162" s="53" t="e">
        <f t="shared" si="33"/>
        <v>#DIV/0!</v>
      </c>
      <c r="O162" s="53" t="e">
        <f t="shared" si="34"/>
        <v>#DIV/0!</v>
      </c>
      <c r="P162" s="69"/>
      <c r="Q162" s="69"/>
      <c r="R162" s="53" t="e">
        <f t="shared" si="35"/>
        <v>#DIV/0!</v>
      </c>
      <c r="S162" s="53" t="e">
        <f t="shared" si="36"/>
        <v>#DIV/0!</v>
      </c>
      <c r="T162" s="53" t="e">
        <f t="shared" si="37"/>
        <v>#DIV/0!</v>
      </c>
      <c r="U162" s="53" t="e">
        <f t="shared" si="38"/>
        <v>#DIV/0!</v>
      </c>
      <c r="V162" s="53" t="e">
        <f>V161+ATM_Conf!$C$5*(Nodes!AL161)/('Off-Ramp'!K347*AA347)</f>
        <v>#DIV/0!</v>
      </c>
      <c r="W162" s="53" t="e">
        <f>W161+ATM_Conf!$C$5*(Nodes!AM161)/('Off-Ramp'!L347*AB347)</f>
        <v>#DIV/0!</v>
      </c>
      <c r="X162" s="53" t="e">
        <f>X161+ATM_Conf!$C$5*(Nodes!AN161)/('Off-Ramp'!M347*AC347)</f>
        <v>#DIV/0!</v>
      </c>
      <c r="Y162" s="53" t="e">
        <f>Y161+ATM_Conf!$C$5*(Nodes!AO161)/('Off-Ramp'!N347*AD347)</f>
        <v>#DIV/0!</v>
      </c>
      <c r="Z162" s="53" t="e">
        <f>Z161+ATM_Conf!$C$5*(Nodes!AP161)/('Off-Ramp'!O347*AE347)</f>
        <v>#DIV/0!</v>
      </c>
      <c r="AA162" s="53" t="e">
        <f>AA161+ATM_Conf!$C$5*(Nodes!AQ161)/('Off-Ramp'!P347*AF347)</f>
        <v>#DIV/0!</v>
      </c>
    </row>
    <row r="163" spans="1:27" x14ac:dyDescent="0.15">
      <c r="A163" s="46">
        <v>161</v>
      </c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53" t="e">
        <f t="shared" si="31"/>
        <v>#DIV/0!</v>
      </c>
      <c r="M163" s="53" t="e">
        <f t="shared" si="32"/>
        <v>#DIV/0!</v>
      </c>
      <c r="N163" s="53" t="e">
        <f t="shared" si="33"/>
        <v>#DIV/0!</v>
      </c>
      <c r="O163" s="53" t="e">
        <f t="shared" si="34"/>
        <v>#DIV/0!</v>
      </c>
      <c r="P163" s="69"/>
      <c r="Q163" s="69"/>
      <c r="R163" s="53" t="e">
        <f t="shared" si="35"/>
        <v>#DIV/0!</v>
      </c>
      <c r="S163" s="53" t="e">
        <f t="shared" si="36"/>
        <v>#DIV/0!</v>
      </c>
      <c r="T163" s="53" t="e">
        <f t="shared" si="37"/>
        <v>#DIV/0!</v>
      </c>
      <c r="U163" s="53" t="e">
        <f t="shared" si="38"/>
        <v>#DIV/0!</v>
      </c>
      <c r="V163" s="53" t="e">
        <f>V162+ATM_Conf!$C$5*(Nodes!AL162)/('Off-Ramp'!K348*AA348)</f>
        <v>#DIV/0!</v>
      </c>
      <c r="W163" s="53" t="e">
        <f>W162+ATM_Conf!$C$5*(Nodes!AM162)/('Off-Ramp'!L348*AB348)</f>
        <v>#DIV/0!</v>
      </c>
      <c r="X163" s="53" t="e">
        <f>X162+ATM_Conf!$C$5*(Nodes!AN162)/('Off-Ramp'!M348*AC348)</f>
        <v>#DIV/0!</v>
      </c>
      <c r="Y163" s="53" t="e">
        <f>Y162+ATM_Conf!$C$5*(Nodes!AO162)/('Off-Ramp'!N348*AD348)</f>
        <v>#DIV/0!</v>
      </c>
      <c r="Z163" s="53" t="e">
        <f>Z162+ATM_Conf!$C$5*(Nodes!AP162)/('Off-Ramp'!O348*AE348)</f>
        <v>#DIV/0!</v>
      </c>
      <c r="AA163" s="53" t="e">
        <f>AA162+ATM_Conf!$C$5*(Nodes!AQ162)/('Off-Ramp'!P348*AF348)</f>
        <v>#DIV/0!</v>
      </c>
    </row>
    <row r="164" spans="1:27" x14ac:dyDescent="0.15">
      <c r="A164" s="46">
        <v>162</v>
      </c>
      <c r="B164" s="61"/>
      <c r="C164" s="61"/>
      <c r="D164" s="61"/>
      <c r="E164" s="61"/>
      <c r="F164" s="61"/>
      <c r="G164" s="61"/>
      <c r="H164" s="61"/>
      <c r="I164" s="61"/>
      <c r="J164" s="61"/>
      <c r="K164" s="61"/>
      <c r="L164" s="53" t="e">
        <f t="shared" ref="L164:L182" si="39">B164/60/A$189</f>
        <v>#DIV/0!</v>
      </c>
      <c r="M164" s="53" t="e">
        <f t="shared" ref="M164:M182" si="40">C164/60/B$189</f>
        <v>#DIV/0!</v>
      </c>
      <c r="N164" s="53" t="e">
        <f t="shared" ref="N164:N182" si="41">D164/60/C$189</f>
        <v>#DIV/0!</v>
      </c>
      <c r="O164" s="53" t="e">
        <f t="shared" ref="O164:O182" si="42">E164/60/D$189</f>
        <v>#DIV/0!</v>
      </c>
      <c r="P164" s="69"/>
      <c r="Q164" s="69"/>
      <c r="R164" s="53" t="e">
        <f t="shared" ref="R164:R182" si="43">H164/60/G$189</f>
        <v>#DIV/0!</v>
      </c>
      <c r="S164" s="53" t="e">
        <f t="shared" ref="S164:S182" si="44">I164/60/H$189</f>
        <v>#DIV/0!</v>
      </c>
      <c r="T164" s="53" t="e">
        <f t="shared" ref="T164:T182" si="45">J164/60/I$189</f>
        <v>#DIV/0!</v>
      </c>
      <c r="U164" s="53" t="e">
        <f t="shared" si="38"/>
        <v>#DIV/0!</v>
      </c>
      <c r="V164" s="53" t="e">
        <f>V163+ATM_Conf!$C$5*(Nodes!AL163)/('Off-Ramp'!K349*AA349)</f>
        <v>#DIV/0!</v>
      </c>
      <c r="W164" s="53" t="e">
        <f>W163+ATM_Conf!$C$5*(Nodes!AM163)/('Off-Ramp'!L349*AB349)</f>
        <v>#DIV/0!</v>
      </c>
      <c r="X164" s="53" t="e">
        <f>X163+ATM_Conf!$C$5*(Nodes!AN163)/('Off-Ramp'!M349*AC349)</f>
        <v>#DIV/0!</v>
      </c>
      <c r="Y164" s="53" t="e">
        <f>Y163+ATM_Conf!$C$5*(Nodes!AO163)/('Off-Ramp'!N349*AD349)</f>
        <v>#DIV/0!</v>
      </c>
      <c r="Z164" s="53" t="e">
        <f>Z163+ATM_Conf!$C$5*(Nodes!AP163)/('Off-Ramp'!O349*AE349)</f>
        <v>#DIV/0!</v>
      </c>
      <c r="AA164" s="53" t="e">
        <f>AA163+ATM_Conf!$C$5*(Nodes!AQ163)/('Off-Ramp'!P349*AF349)</f>
        <v>#DIV/0!</v>
      </c>
    </row>
    <row r="165" spans="1:27" x14ac:dyDescent="0.15">
      <c r="A165" s="46">
        <v>163</v>
      </c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53" t="e">
        <f t="shared" si="39"/>
        <v>#DIV/0!</v>
      </c>
      <c r="M165" s="53" t="e">
        <f t="shared" si="40"/>
        <v>#DIV/0!</v>
      </c>
      <c r="N165" s="53" t="e">
        <f t="shared" si="41"/>
        <v>#DIV/0!</v>
      </c>
      <c r="O165" s="53" t="e">
        <f t="shared" si="42"/>
        <v>#DIV/0!</v>
      </c>
      <c r="P165" s="69"/>
      <c r="Q165" s="69"/>
      <c r="R165" s="53" t="e">
        <f t="shared" si="43"/>
        <v>#DIV/0!</v>
      </c>
      <c r="S165" s="53" t="e">
        <f t="shared" si="44"/>
        <v>#DIV/0!</v>
      </c>
      <c r="T165" s="53" t="e">
        <f t="shared" si="45"/>
        <v>#DIV/0!</v>
      </c>
      <c r="U165" s="53" t="e">
        <f t="shared" si="38"/>
        <v>#DIV/0!</v>
      </c>
      <c r="V165" s="53" t="e">
        <f>V164+ATM_Conf!$C$5*(Nodes!AL164)/('Off-Ramp'!K350*AA350)</f>
        <v>#DIV/0!</v>
      </c>
      <c r="W165" s="53" t="e">
        <f>W164+ATM_Conf!$C$5*(Nodes!AM164)/('Off-Ramp'!L350*AB350)</f>
        <v>#DIV/0!</v>
      </c>
      <c r="X165" s="53" t="e">
        <f>X164+ATM_Conf!$C$5*(Nodes!AN164)/('Off-Ramp'!M350*AC350)</f>
        <v>#DIV/0!</v>
      </c>
      <c r="Y165" s="53" t="e">
        <f>Y164+ATM_Conf!$C$5*(Nodes!AO164)/('Off-Ramp'!N350*AD350)</f>
        <v>#DIV/0!</v>
      </c>
      <c r="Z165" s="53" t="e">
        <f>Z164+ATM_Conf!$C$5*(Nodes!AP164)/('Off-Ramp'!O350*AE350)</f>
        <v>#DIV/0!</v>
      </c>
      <c r="AA165" s="53" t="e">
        <f>AA164+ATM_Conf!$C$5*(Nodes!AQ164)/('Off-Ramp'!P350*AF350)</f>
        <v>#DIV/0!</v>
      </c>
    </row>
    <row r="166" spans="1:27" x14ac:dyDescent="0.15">
      <c r="A166" s="46">
        <v>164</v>
      </c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53" t="e">
        <f t="shared" si="39"/>
        <v>#DIV/0!</v>
      </c>
      <c r="M166" s="53" t="e">
        <f t="shared" si="40"/>
        <v>#DIV/0!</v>
      </c>
      <c r="N166" s="53" t="e">
        <f t="shared" si="41"/>
        <v>#DIV/0!</v>
      </c>
      <c r="O166" s="53" t="e">
        <f t="shared" si="42"/>
        <v>#DIV/0!</v>
      </c>
      <c r="P166" s="69"/>
      <c r="Q166" s="69"/>
      <c r="R166" s="53" t="e">
        <f t="shared" si="43"/>
        <v>#DIV/0!</v>
      </c>
      <c r="S166" s="53" t="e">
        <f t="shared" si="44"/>
        <v>#DIV/0!</v>
      </c>
      <c r="T166" s="53" t="e">
        <f t="shared" si="45"/>
        <v>#DIV/0!</v>
      </c>
      <c r="U166" s="53" t="e">
        <f t="shared" si="38"/>
        <v>#DIV/0!</v>
      </c>
      <c r="V166" s="53" t="e">
        <f>V165+ATM_Conf!$C$5*(Nodes!AL165)/('Off-Ramp'!K351*AA351)</f>
        <v>#DIV/0!</v>
      </c>
      <c r="W166" s="53" t="e">
        <f>W165+ATM_Conf!$C$5*(Nodes!AM165)/('Off-Ramp'!L351*AB351)</f>
        <v>#DIV/0!</v>
      </c>
      <c r="X166" s="53" t="e">
        <f>X165+ATM_Conf!$C$5*(Nodes!AN165)/('Off-Ramp'!M351*AC351)</f>
        <v>#DIV/0!</v>
      </c>
      <c r="Y166" s="53" t="e">
        <f>Y165+ATM_Conf!$C$5*(Nodes!AO165)/('Off-Ramp'!N351*AD351)</f>
        <v>#DIV/0!</v>
      </c>
      <c r="Z166" s="53" t="e">
        <f>Z165+ATM_Conf!$C$5*(Nodes!AP165)/('Off-Ramp'!O351*AE351)</f>
        <v>#DIV/0!</v>
      </c>
      <c r="AA166" s="53" t="e">
        <f>AA165+ATM_Conf!$C$5*(Nodes!AQ165)/('Off-Ramp'!P351*AF351)</f>
        <v>#DIV/0!</v>
      </c>
    </row>
    <row r="167" spans="1:27" x14ac:dyDescent="0.15">
      <c r="A167" s="46">
        <v>165</v>
      </c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53" t="e">
        <f t="shared" si="39"/>
        <v>#DIV/0!</v>
      </c>
      <c r="M167" s="53" t="e">
        <f t="shared" si="40"/>
        <v>#DIV/0!</v>
      </c>
      <c r="N167" s="53" t="e">
        <f t="shared" si="41"/>
        <v>#DIV/0!</v>
      </c>
      <c r="O167" s="53" t="e">
        <f t="shared" si="42"/>
        <v>#DIV/0!</v>
      </c>
      <c r="P167" s="69"/>
      <c r="Q167" s="69"/>
      <c r="R167" s="53" t="e">
        <f t="shared" si="43"/>
        <v>#DIV/0!</v>
      </c>
      <c r="S167" s="53" t="e">
        <f t="shared" si="44"/>
        <v>#DIV/0!</v>
      </c>
      <c r="T167" s="53" t="e">
        <f t="shared" si="45"/>
        <v>#DIV/0!</v>
      </c>
      <c r="U167" s="53" t="e">
        <f t="shared" si="38"/>
        <v>#DIV/0!</v>
      </c>
      <c r="V167" s="53" t="e">
        <f>V166+ATM_Conf!$C$5*(Nodes!AL166)/('Off-Ramp'!K352*AA352)</f>
        <v>#DIV/0!</v>
      </c>
      <c r="W167" s="53" t="e">
        <f>W166+ATM_Conf!$C$5*(Nodes!AM166)/('Off-Ramp'!L352*AB352)</f>
        <v>#DIV/0!</v>
      </c>
      <c r="X167" s="53" t="e">
        <f>X166+ATM_Conf!$C$5*(Nodes!AN166)/('Off-Ramp'!M352*AC352)</f>
        <v>#DIV/0!</v>
      </c>
      <c r="Y167" s="53" t="e">
        <f>Y166+ATM_Conf!$C$5*(Nodes!AO166)/('Off-Ramp'!N352*AD352)</f>
        <v>#DIV/0!</v>
      </c>
      <c r="Z167" s="53" t="e">
        <f>Z166+ATM_Conf!$C$5*(Nodes!AP166)/('Off-Ramp'!O352*AE352)</f>
        <v>#DIV/0!</v>
      </c>
      <c r="AA167" s="53" t="e">
        <f>AA166+ATM_Conf!$C$5*(Nodes!AQ166)/('Off-Ramp'!P352*AF352)</f>
        <v>#DIV/0!</v>
      </c>
    </row>
    <row r="168" spans="1:27" x14ac:dyDescent="0.15">
      <c r="A168" s="46">
        <v>166</v>
      </c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53" t="e">
        <f t="shared" si="39"/>
        <v>#DIV/0!</v>
      </c>
      <c r="M168" s="53" t="e">
        <f t="shared" si="40"/>
        <v>#DIV/0!</v>
      </c>
      <c r="N168" s="53" t="e">
        <f t="shared" si="41"/>
        <v>#DIV/0!</v>
      </c>
      <c r="O168" s="53" t="e">
        <f t="shared" si="42"/>
        <v>#DIV/0!</v>
      </c>
      <c r="P168" s="69"/>
      <c r="Q168" s="69"/>
      <c r="R168" s="53" t="e">
        <f t="shared" si="43"/>
        <v>#DIV/0!</v>
      </c>
      <c r="S168" s="53" t="e">
        <f t="shared" si="44"/>
        <v>#DIV/0!</v>
      </c>
      <c r="T168" s="53" t="e">
        <f t="shared" si="45"/>
        <v>#DIV/0!</v>
      </c>
      <c r="U168" s="53" t="e">
        <f t="shared" si="38"/>
        <v>#DIV/0!</v>
      </c>
      <c r="V168" s="53" t="e">
        <f>V167+ATM_Conf!$C$5*(Nodes!AL167)/('Off-Ramp'!K353*AA353)</f>
        <v>#DIV/0!</v>
      </c>
      <c r="W168" s="53" t="e">
        <f>W167+ATM_Conf!$C$5*(Nodes!AM167)/('Off-Ramp'!L353*AB353)</f>
        <v>#DIV/0!</v>
      </c>
      <c r="X168" s="53" t="e">
        <f>X167+ATM_Conf!$C$5*(Nodes!AN167)/('Off-Ramp'!M353*AC353)</f>
        <v>#DIV/0!</v>
      </c>
      <c r="Y168" s="53" t="e">
        <f>Y167+ATM_Conf!$C$5*(Nodes!AO167)/('Off-Ramp'!N353*AD353)</f>
        <v>#DIV/0!</v>
      </c>
      <c r="Z168" s="53" t="e">
        <f>Z167+ATM_Conf!$C$5*(Nodes!AP167)/('Off-Ramp'!O353*AE353)</f>
        <v>#DIV/0!</v>
      </c>
      <c r="AA168" s="53" t="e">
        <f>AA167+ATM_Conf!$C$5*(Nodes!AQ167)/('Off-Ramp'!P353*AF353)</f>
        <v>#DIV/0!</v>
      </c>
    </row>
    <row r="169" spans="1:27" x14ac:dyDescent="0.15">
      <c r="A169" s="46">
        <v>167</v>
      </c>
      <c r="B169" s="61"/>
      <c r="C169" s="61"/>
      <c r="D169" s="61"/>
      <c r="E169" s="61"/>
      <c r="F169" s="61"/>
      <c r="G169" s="61"/>
      <c r="H169" s="61"/>
      <c r="I169" s="61"/>
      <c r="J169" s="61"/>
      <c r="K169" s="61"/>
      <c r="L169" s="53" t="e">
        <f t="shared" si="39"/>
        <v>#DIV/0!</v>
      </c>
      <c r="M169" s="53" t="e">
        <f t="shared" si="40"/>
        <v>#DIV/0!</v>
      </c>
      <c r="N169" s="53" t="e">
        <f t="shared" si="41"/>
        <v>#DIV/0!</v>
      </c>
      <c r="O169" s="53" t="e">
        <f t="shared" si="42"/>
        <v>#DIV/0!</v>
      </c>
      <c r="P169" s="69"/>
      <c r="Q169" s="69"/>
      <c r="R169" s="53" t="e">
        <f t="shared" si="43"/>
        <v>#DIV/0!</v>
      </c>
      <c r="S169" s="53" t="e">
        <f t="shared" si="44"/>
        <v>#DIV/0!</v>
      </c>
      <c r="T169" s="53" t="e">
        <f t="shared" si="45"/>
        <v>#DIV/0!</v>
      </c>
      <c r="U169" s="53" t="e">
        <f t="shared" si="38"/>
        <v>#DIV/0!</v>
      </c>
      <c r="V169" s="53" t="e">
        <f>V168+ATM_Conf!$C$5*(Nodes!AL168)/('Off-Ramp'!K354*AA354)</f>
        <v>#DIV/0!</v>
      </c>
      <c r="W169" s="53" t="e">
        <f>W168+ATM_Conf!$C$5*(Nodes!AM168)/('Off-Ramp'!L354*AB354)</f>
        <v>#DIV/0!</v>
      </c>
      <c r="X169" s="53" t="e">
        <f>X168+ATM_Conf!$C$5*(Nodes!AN168)/('Off-Ramp'!M354*AC354)</f>
        <v>#DIV/0!</v>
      </c>
      <c r="Y169" s="53" t="e">
        <f>Y168+ATM_Conf!$C$5*(Nodes!AO168)/('Off-Ramp'!N354*AD354)</f>
        <v>#DIV/0!</v>
      </c>
      <c r="Z169" s="53" t="e">
        <f>Z168+ATM_Conf!$C$5*(Nodes!AP168)/('Off-Ramp'!O354*AE354)</f>
        <v>#DIV/0!</v>
      </c>
      <c r="AA169" s="53" t="e">
        <f>AA168+ATM_Conf!$C$5*(Nodes!AQ168)/('Off-Ramp'!P354*AF354)</f>
        <v>#DIV/0!</v>
      </c>
    </row>
    <row r="170" spans="1:27" x14ac:dyDescent="0.15">
      <c r="A170" s="46">
        <v>168</v>
      </c>
      <c r="B170" s="61"/>
      <c r="C170" s="61"/>
      <c r="D170" s="61"/>
      <c r="E170" s="61"/>
      <c r="F170" s="61"/>
      <c r="G170" s="61"/>
      <c r="H170" s="61"/>
      <c r="I170" s="61"/>
      <c r="J170" s="61"/>
      <c r="K170" s="61"/>
      <c r="L170" s="53" t="e">
        <f t="shared" si="39"/>
        <v>#DIV/0!</v>
      </c>
      <c r="M170" s="53" t="e">
        <f t="shared" si="40"/>
        <v>#DIV/0!</v>
      </c>
      <c r="N170" s="53" t="e">
        <f t="shared" si="41"/>
        <v>#DIV/0!</v>
      </c>
      <c r="O170" s="53" t="e">
        <f t="shared" si="42"/>
        <v>#DIV/0!</v>
      </c>
      <c r="P170" s="69"/>
      <c r="Q170" s="69"/>
      <c r="R170" s="53" t="e">
        <f t="shared" si="43"/>
        <v>#DIV/0!</v>
      </c>
      <c r="S170" s="53" t="e">
        <f t="shared" si="44"/>
        <v>#DIV/0!</v>
      </c>
      <c r="T170" s="53" t="e">
        <f t="shared" si="45"/>
        <v>#DIV/0!</v>
      </c>
      <c r="U170" s="53" t="e">
        <f t="shared" si="38"/>
        <v>#DIV/0!</v>
      </c>
      <c r="V170" s="53" t="e">
        <f>V169+ATM_Conf!$C$5*(Nodes!AL169)/('Off-Ramp'!K355*AA355)</f>
        <v>#DIV/0!</v>
      </c>
      <c r="W170" s="53" t="e">
        <f>W169+ATM_Conf!$C$5*(Nodes!AM169)/('Off-Ramp'!L355*AB355)</f>
        <v>#DIV/0!</v>
      </c>
      <c r="X170" s="53" t="e">
        <f>X169+ATM_Conf!$C$5*(Nodes!AN169)/('Off-Ramp'!M355*AC355)</f>
        <v>#DIV/0!</v>
      </c>
      <c r="Y170" s="53" t="e">
        <f>Y169+ATM_Conf!$C$5*(Nodes!AO169)/('Off-Ramp'!N355*AD355)</f>
        <v>#DIV/0!</v>
      </c>
      <c r="Z170" s="53" t="e">
        <f>Z169+ATM_Conf!$C$5*(Nodes!AP169)/('Off-Ramp'!O355*AE355)</f>
        <v>#DIV/0!</v>
      </c>
      <c r="AA170" s="53" t="e">
        <f>AA169+ATM_Conf!$C$5*(Nodes!AQ169)/('Off-Ramp'!P355*AF355)</f>
        <v>#DIV/0!</v>
      </c>
    </row>
    <row r="171" spans="1:27" x14ac:dyDescent="0.15">
      <c r="A171" s="46">
        <v>169</v>
      </c>
      <c r="B171" s="61"/>
      <c r="C171" s="61"/>
      <c r="D171" s="61"/>
      <c r="E171" s="61"/>
      <c r="F171" s="61"/>
      <c r="G171" s="61"/>
      <c r="H171" s="61"/>
      <c r="I171" s="61"/>
      <c r="J171" s="61"/>
      <c r="K171" s="61"/>
      <c r="L171" s="53" t="e">
        <f t="shared" si="39"/>
        <v>#DIV/0!</v>
      </c>
      <c r="M171" s="53" t="e">
        <f t="shared" si="40"/>
        <v>#DIV/0!</v>
      </c>
      <c r="N171" s="53" t="e">
        <f t="shared" si="41"/>
        <v>#DIV/0!</v>
      </c>
      <c r="O171" s="53" t="e">
        <f t="shared" si="42"/>
        <v>#DIV/0!</v>
      </c>
      <c r="P171" s="69"/>
      <c r="Q171" s="69"/>
      <c r="R171" s="53" t="e">
        <f t="shared" si="43"/>
        <v>#DIV/0!</v>
      </c>
      <c r="S171" s="53" t="e">
        <f t="shared" si="44"/>
        <v>#DIV/0!</v>
      </c>
      <c r="T171" s="53" t="e">
        <f t="shared" si="45"/>
        <v>#DIV/0!</v>
      </c>
      <c r="U171" s="53" t="e">
        <f t="shared" si="38"/>
        <v>#DIV/0!</v>
      </c>
      <c r="V171" s="53" t="e">
        <f>V170+ATM_Conf!$C$5*(Nodes!AL170)/('Off-Ramp'!K356*AA356)</f>
        <v>#DIV/0!</v>
      </c>
      <c r="W171" s="53" t="e">
        <f>W170+ATM_Conf!$C$5*(Nodes!AM170)/('Off-Ramp'!L356*AB356)</f>
        <v>#DIV/0!</v>
      </c>
      <c r="X171" s="53" t="e">
        <f>X170+ATM_Conf!$C$5*(Nodes!AN170)/('Off-Ramp'!M356*AC356)</f>
        <v>#DIV/0!</v>
      </c>
      <c r="Y171" s="53" t="e">
        <f>Y170+ATM_Conf!$C$5*(Nodes!AO170)/('Off-Ramp'!N356*AD356)</f>
        <v>#DIV/0!</v>
      </c>
      <c r="Z171" s="53" t="e">
        <f>Z170+ATM_Conf!$C$5*(Nodes!AP170)/('Off-Ramp'!O356*AE356)</f>
        <v>#DIV/0!</v>
      </c>
      <c r="AA171" s="53" t="e">
        <f>AA170+ATM_Conf!$C$5*(Nodes!AQ170)/('Off-Ramp'!P356*AF356)</f>
        <v>#DIV/0!</v>
      </c>
    </row>
    <row r="172" spans="1:27" x14ac:dyDescent="0.15">
      <c r="A172" s="46">
        <v>170</v>
      </c>
      <c r="B172" s="61"/>
      <c r="C172" s="61"/>
      <c r="D172" s="61"/>
      <c r="E172" s="61"/>
      <c r="F172" s="61"/>
      <c r="G172" s="61"/>
      <c r="H172" s="61"/>
      <c r="I172" s="61"/>
      <c r="J172" s="61"/>
      <c r="K172" s="61"/>
      <c r="L172" s="53" t="e">
        <f t="shared" si="39"/>
        <v>#DIV/0!</v>
      </c>
      <c r="M172" s="53" t="e">
        <f t="shared" si="40"/>
        <v>#DIV/0!</v>
      </c>
      <c r="N172" s="53" t="e">
        <f t="shared" si="41"/>
        <v>#DIV/0!</v>
      </c>
      <c r="O172" s="53" t="e">
        <f t="shared" si="42"/>
        <v>#DIV/0!</v>
      </c>
      <c r="P172" s="69"/>
      <c r="Q172" s="69"/>
      <c r="R172" s="53" t="e">
        <f t="shared" si="43"/>
        <v>#DIV/0!</v>
      </c>
      <c r="S172" s="53" t="e">
        <f t="shared" si="44"/>
        <v>#DIV/0!</v>
      </c>
      <c r="T172" s="53" t="e">
        <f t="shared" si="45"/>
        <v>#DIV/0!</v>
      </c>
      <c r="U172" s="53" t="e">
        <f t="shared" si="38"/>
        <v>#DIV/0!</v>
      </c>
      <c r="V172" s="53" t="e">
        <f>V171+ATM_Conf!$C$5*(Nodes!AL171)/('Off-Ramp'!K357*AA357)</f>
        <v>#DIV/0!</v>
      </c>
      <c r="W172" s="53" t="e">
        <f>W171+ATM_Conf!$C$5*(Nodes!AM171)/('Off-Ramp'!L357*AB357)</f>
        <v>#DIV/0!</v>
      </c>
      <c r="X172" s="53" t="e">
        <f>X171+ATM_Conf!$C$5*(Nodes!AN171)/('Off-Ramp'!M357*AC357)</f>
        <v>#DIV/0!</v>
      </c>
      <c r="Y172" s="53" t="e">
        <f>Y171+ATM_Conf!$C$5*(Nodes!AO171)/('Off-Ramp'!N357*AD357)</f>
        <v>#DIV/0!</v>
      </c>
      <c r="Z172" s="53" t="e">
        <f>Z171+ATM_Conf!$C$5*(Nodes!AP171)/('Off-Ramp'!O357*AE357)</f>
        <v>#DIV/0!</v>
      </c>
      <c r="AA172" s="53" t="e">
        <f>AA171+ATM_Conf!$C$5*(Nodes!AQ171)/('Off-Ramp'!P357*AF357)</f>
        <v>#DIV/0!</v>
      </c>
    </row>
    <row r="173" spans="1:27" x14ac:dyDescent="0.15">
      <c r="A173" s="46">
        <v>171</v>
      </c>
      <c r="B173" s="61"/>
      <c r="C173" s="61"/>
      <c r="D173" s="61"/>
      <c r="E173" s="61"/>
      <c r="F173" s="61"/>
      <c r="G173" s="61"/>
      <c r="H173" s="61"/>
      <c r="I173" s="61"/>
      <c r="J173" s="61"/>
      <c r="K173" s="61"/>
      <c r="L173" s="53" t="e">
        <f t="shared" si="39"/>
        <v>#DIV/0!</v>
      </c>
      <c r="M173" s="53" t="e">
        <f t="shared" si="40"/>
        <v>#DIV/0!</v>
      </c>
      <c r="N173" s="53" t="e">
        <f t="shared" si="41"/>
        <v>#DIV/0!</v>
      </c>
      <c r="O173" s="53" t="e">
        <f t="shared" si="42"/>
        <v>#DIV/0!</v>
      </c>
      <c r="P173" s="69"/>
      <c r="Q173" s="69"/>
      <c r="R173" s="53" t="e">
        <f t="shared" si="43"/>
        <v>#DIV/0!</v>
      </c>
      <c r="S173" s="53" t="e">
        <f t="shared" si="44"/>
        <v>#DIV/0!</v>
      </c>
      <c r="T173" s="53" t="e">
        <f t="shared" si="45"/>
        <v>#DIV/0!</v>
      </c>
      <c r="U173" s="53" t="e">
        <f t="shared" si="38"/>
        <v>#DIV/0!</v>
      </c>
      <c r="V173" s="53" t="e">
        <f>V172+ATM_Conf!$C$5*(Nodes!AL172)/('Off-Ramp'!K358*AA358)</f>
        <v>#DIV/0!</v>
      </c>
      <c r="W173" s="53" t="e">
        <f>W172+ATM_Conf!$C$5*(Nodes!AM172)/('Off-Ramp'!L358*AB358)</f>
        <v>#DIV/0!</v>
      </c>
      <c r="X173" s="53" t="e">
        <f>X172+ATM_Conf!$C$5*(Nodes!AN172)/('Off-Ramp'!M358*AC358)</f>
        <v>#DIV/0!</v>
      </c>
      <c r="Y173" s="53" t="e">
        <f>Y172+ATM_Conf!$C$5*(Nodes!AO172)/('Off-Ramp'!N358*AD358)</f>
        <v>#DIV/0!</v>
      </c>
      <c r="Z173" s="53" t="e">
        <f>Z172+ATM_Conf!$C$5*(Nodes!AP172)/('Off-Ramp'!O358*AE358)</f>
        <v>#DIV/0!</v>
      </c>
      <c r="AA173" s="53" t="e">
        <f>AA172+ATM_Conf!$C$5*(Nodes!AQ172)/('Off-Ramp'!P358*AF358)</f>
        <v>#DIV/0!</v>
      </c>
    </row>
    <row r="174" spans="1:27" x14ac:dyDescent="0.15">
      <c r="A174" s="46">
        <v>172</v>
      </c>
      <c r="B174" s="61"/>
      <c r="C174" s="61"/>
      <c r="D174" s="61"/>
      <c r="E174" s="61"/>
      <c r="F174" s="61"/>
      <c r="G174" s="61"/>
      <c r="H174" s="61"/>
      <c r="I174" s="61"/>
      <c r="J174" s="61"/>
      <c r="K174" s="61"/>
      <c r="L174" s="53" t="e">
        <f t="shared" si="39"/>
        <v>#DIV/0!</v>
      </c>
      <c r="M174" s="53" t="e">
        <f t="shared" si="40"/>
        <v>#DIV/0!</v>
      </c>
      <c r="N174" s="53" t="e">
        <f t="shared" si="41"/>
        <v>#DIV/0!</v>
      </c>
      <c r="O174" s="53" t="e">
        <f t="shared" si="42"/>
        <v>#DIV/0!</v>
      </c>
      <c r="P174" s="69"/>
      <c r="Q174" s="69"/>
      <c r="R174" s="53" t="e">
        <f t="shared" si="43"/>
        <v>#DIV/0!</v>
      </c>
      <c r="S174" s="53" t="e">
        <f t="shared" si="44"/>
        <v>#DIV/0!</v>
      </c>
      <c r="T174" s="53" t="e">
        <f t="shared" si="45"/>
        <v>#DIV/0!</v>
      </c>
      <c r="U174" s="53" t="e">
        <f t="shared" si="38"/>
        <v>#DIV/0!</v>
      </c>
      <c r="V174" s="53" t="e">
        <f>V173+ATM_Conf!$C$5*(Nodes!AL173)/('Off-Ramp'!K359*AA359)</f>
        <v>#DIV/0!</v>
      </c>
      <c r="W174" s="53" t="e">
        <f>W173+ATM_Conf!$C$5*(Nodes!AM173)/('Off-Ramp'!L359*AB359)</f>
        <v>#DIV/0!</v>
      </c>
      <c r="X174" s="53" t="e">
        <f>X173+ATM_Conf!$C$5*(Nodes!AN173)/('Off-Ramp'!M359*AC359)</f>
        <v>#DIV/0!</v>
      </c>
      <c r="Y174" s="53" t="e">
        <f>Y173+ATM_Conf!$C$5*(Nodes!AO173)/('Off-Ramp'!N359*AD359)</f>
        <v>#DIV/0!</v>
      </c>
      <c r="Z174" s="53" t="e">
        <f>Z173+ATM_Conf!$C$5*(Nodes!AP173)/('Off-Ramp'!O359*AE359)</f>
        <v>#DIV/0!</v>
      </c>
      <c r="AA174" s="53" t="e">
        <f>AA173+ATM_Conf!$C$5*(Nodes!AQ173)/('Off-Ramp'!P359*AF359)</f>
        <v>#DIV/0!</v>
      </c>
    </row>
    <row r="175" spans="1:27" x14ac:dyDescent="0.15">
      <c r="A175" s="46">
        <v>173</v>
      </c>
      <c r="B175" s="61"/>
      <c r="C175" s="61"/>
      <c r="D175" s="61"/>
      <c r="E175" s="61"/>
      <c r="F175" s="61"/>
      <c r="G175" s="61"/>
      <c r="H175" s="61"/>
      <c r="I175" s="61"/>
      <c r="J175" s="61"/>
      <c r="K175" s="61"/>
      <c r="L175" s="53" t="e">
        <f t="shared" si="39"/>
        <v>#DIV/0!</v>
      </c>
      <c r="M175" s="53" t="e">
        <f t="shared" si="40"/>
        <v>#DIV/0!</v>
      </c>
      <c r="N175" s="53" t="e">
        <f t="shared" si="41"/>
        <v>#DIV/0!</v>
      </c>
      <c r="O175" s="53" t="e">
        <f t="shared" si="42"/>
        <v>#DIV/0!</v>
      </c>
      <c r="P175" s="69"/>
      <c r="Q175" s="69"/>
      <c r="R175" s="53" t="e">
        <f t="shared" si="43"/>
        <v>#DIV/0!</v>
      </c>
      <c r="S175" s="53" t="e">
        <f t="shared" si="44"/>
        <v>#DIV/0!</v>
      </c>
      <c r="T175" s="53" t="e">
        <f t="shared" si="45"/>
        <v>#DIV/0!</v>
      </c>
      <c r="U175" s="53" t="e">
        <f t="shared" si="38"/>
        <v>#DIV/0!</v>
      </c>
      <c r="V175" s="53" t="e">
        <f>V174+ATM_Conf!$C$5*(Nodes!AL174)/('Off-Ramp'!K360*AA360)</f>
        <v>#DIV/0!</v>
      </c>
      <c r="W175" s="53" t="e">
        <f>W174+ATM_Conf!$C$5*(Nodes!AM174)/('Off-Ramp'!L360*AB360)</f>
        <v>#DIV/0!</v>
      </c>
      <c r="X175" s="53" t="e">
        <f>X174+ATM_Conf!$C$5*(Nodes!AN174)/('Off-Ramp'!M360*AC360)</f>
        <v>#DIV/0!</v>
      </c>
      <c r="Y175" s="53" t="e">
        <f>Y174+ATM_Conf!$C$5*(Nodes!AO174)/('Off-Ramp'!N360*AD360)</f>
        <v>#DIV/0!</v>
      </c>
      <c r="Z175" s="53" t="e">
        <f>Z174+ATM_Conf!$C$5*(Nodes!AP174)/('Off-Ramp'!O360*AE360)</f>
        <v>#DIV/0!</v>
      </c>
      <c r="AA175" s="53" t="e">
        <f>AA174+ATM_Conf!$C$5*(Nodes!AQ174)/('Off-Ramp'!P360*AF360)</f>
        <v>#DIV/0!</v>
      </c>
    </row>
    <row r="176" spans="1:27" x14ac:dyDescent="0.15">
      <c r="A176" s="46">
        <v>174</v>
      </c>
      <c r="B176" s="61"/>
      <c r="C176" s="61"/>
      <c r="D176" s="61"/>
      <c r="E176" s="61"/>
      <c r="F176" s="61"/>
      <c r="G176" s="61"/>
      <c r="H176" s="61"/>
      <c r="I176" s="61"/>
      <c r="J176" s="61"/>
      <c r="K176" s="61"/>
      <c r="L176" s="53" t="e">
        <f t="shared" si="39"/>
        <v>#DIV/0!</v>
      </c>
      <c r="M176" s="53" t="e">
        <f t="shared" si="40"/>
        <v>#DIV/0!</v>
      </c>
      <c r="N176" s="53" t="e">
        <f t="shared" si="41"/>
        <v>#DIV/0!</v>
      </c>
      <c r="O176" s="53" t="e">
        <f t="shared" si="42"/>
        <v>#DIV/0!</v>
      </c>
      <c r="P176" s="69"/>
      <c r="Q176" s="69"/>
      <c r="R176" s="53" t="e">
        <f t="shared" si="43"/>
        <v>#DIV/0!</v>
      </c>
      <c r="S176" s="53" t="e">
        <f t="shared" si="44"/>
        <v>#DIV/0!</v>
      </c>
      <c r="T176" s="53" t="e">
        <f t="shared" si="45"/>
        <v>#DIV/0!</v>
      </c>
      <c r="U176" s="53" t="e">
        <f t="shared" si="38"/>
        <v>#DIV/0!</v>
      </c>
      <c r="V176" s="53" t="e">
        <f>V175+ATM_Conf!$C$5*(Nodes!AL175)/('Off-Ramp'!K361*AA361)</f>
        <v>#DIV/0!</v>
      </c>
      <c r="W176" s="53" t="e">
        <f>W175+ATM_Conf!$C$5*(Nodes!AM175)/('Off-Ramp'!L361*AB361)</f>
        <v>#DIV/0!</v>
      </c>
      <c r="X176" s="53" t="e">
        <f>X175+ATM_Conf!$C$5*(Nodes!AN175)/('Off-Ramp'!M361*AC361)</f>
        <v>#DIV/0!</v>
      </c>
      <c r="Y176" s="53" t="e">
        <f>Y175+ATM_Conf!$C$5*(Nodes!AO175)/('Off-Ramp'!N361*AD361)</f>
        <v>#DIV/0!</v>
      </c>
      <c r="Z176" s="53" t="e">
        <f>Z175+ATM_Conf!$C$5*(Nodes!AP175)/('Off-Ramp'!O361*AE361)</f>
        <v>#DIV/0!</v>
      </c>
      <c r="AA176" s="53" t="e">
        <f>AA175+ATM_Conf!$C$5*(Nodes!AQ175)/('Off-Ramp'!P361*AF361)</f>
        <v>#DIV/0!</v>
      </c>
    </row>
    <row r="177" spans="1:32" x14ac:dyDescent="0.15">
      <c r="A177" s="46">
        <v>175</v>
      </c>
      <c r="B177" s="61"/>
      <c r="C177" s="61"/>
      <c r="D177" s="61"/>
      <c r="E177" s="61"/>
      <c r="F177" s="61"/>
      <c r="G177" s="61"/>
      <c r="H177" s="61"/>
      <c r="I177" s="61"/>
      <c r="J177" s="61"/>
      <c r="K177" s="61"/>
      <c r="L177" s="53" t="e">
        <f t="shared" si="39"/>
        <v>#DIV/0!</v>
      </c>
      <c r="M177" s="53" t="e">
        <f t="shared" si="40"/>
        <v>#DIV/0!</v>
      </c>
      <c r="N177" s="53" t="e">
        <f t="shared" si="41"/>
        <v>#DIV/0!</v>
      </c>
      <c r="O177" s="53" t="e">
        <f t="shared" si="42"/>
        <v>#DIV/0!</v>
      </c>
      <c r="P177" s="69"/>
      <c r="Q177" s="69"/>
      <c r="R177" s="53" t="e">
        <f t="shared" si="43"/>
        <v>#DIV/0!</v>
      </c>
      <c r="S177" s="53" t="e">
        <f t="shared" si="44"/>
        <v>#DIV/0!</v>
      </c>
      <c r="T177" s="53" t="e">
        <f t="shared" si="45"/>
        <v>#DIV/0!</v>
      </c>
      <c r="U177" s="53" t="e">
        <f t="shared" si="38"/>
        <v>#DIV/0!</v>
      </c>
      <c r="V177" s="53" t="e">
        <f>V176+ATM_Conf!$C$5*(Nodes!AL176)/('Off-Ramp'!K362*AA362)</f>
        <v>#DIV/0!</v>
      </c>
      <c r="W177" s="53" t="e">
        <f>W176+ATM_Conf!$C$5*(Nodes!AM176)/('Off-Ramp'!L362*AB362)</f>
        <v>#DIV/0!</v>
      </c>
      <c r="X177" s="53" t="e">
        <f>X176+ATM_Conf!$C$5*(Nodes!AN176)/('Off-Ramp'!M362*AC362)</f>
        <v>#DIV/0!</v>
      </c>
      <c r="Y177" s="53" t="e">
        <f>Y176+ATM_Conf!$C$5*(Nodes!AO176)/('Off-Ramp'!N362*AD362)</f>
        <v>#DIV/0!</v>
      </c>
      <c r="Z177" s="53" t="e">
        <f>Z176+ATM_Conf!$C$5*(Nodes!AP176)/('Off-Ramp'!O362*AE362)</f>
        <v>#DIV/0!</v>
      </c>
      <c r="AA177" s="53" t="e">
        <f>AA176+ATM_Conf!$C$5*(Nodes!AQ176)/('Off-Ramp'!P362*AF362)</f>
        <v>#DIV/0!</v>
      </c>
    </row>
    <row r="178" spans="1:32" x14ac:dyDescent="0.15">
      <c r="A178" s="46">
        <v>176</v>
      </c>
      <c r="B178" s="61"/>
      <c r="C178" s="61"/>
      <c r="D178" s="61"/>
      <c r="E178" s="61"/>
      <c r="F178" s="61"/>
      <c r="G178" s="61"/>
      <c r="H178" s="61"/>
      <c r="I178" s="61"/>
      <c r="J178" s="61"/>
      <c r="K178" s="61"/>
      <c r="L178" s="53" t="e">
        <f t="shared" si="39"/>
        <v>#DIV/0!</v>
      </c>
      <c r="M178" s="53" t="e">
        <f t="shared" si="40"/>
        <v>#DIV/0!</v>
      </c>
      <c r="N178" s="53" t="e">
        <f t="shared" si="41"/>
        <v>#DIV/0!</v>
      </c>
      <c r="O178" s="53" t="e">
        <f t="shared" si="42"/>
        <v>#DIV/0!</v>
      </c>
      <c r="P178" s="69"/>
      <c r="Q178" s="69"/>
      <c r="R178" s="53" t="e">
        <f t="shared" si="43"/>
        <v>#DIV/0!</v>
      </c>
      <c r="S178" s="53" t="e">
        <f t="shared" si="44"/>
        <v>#DIV/0!</v>
      </c>
      <c r="T178" s="53" t="e">
        <f t="shared" si="45"/>
        <v>#DIV/0!</v>
      </c>
      <c r="U178" s="53" t="e">
        <f t="shared" si="38"/>
        <v>#DIV/0!</v>
      </c>
      <c r="V178" s="53" t="e">
        <f>V177+ATM_Conf!$C$5*(Nodes!AL177)/('Off-Ramp'!K363*AA363)</f>
        <v>#DIV/0!</v>
      </c>
      <c r="W178" s="53" t="e">
        <f>W177+ATM_Conf!$C$5*(Nodes!AM177)/('Off-Ramp'!L363*AB363)</f>
        <v>#DIV/0!</v>
      </c>
      <c r="X178" s="53" t="e">
        <f>X177+ATM_Conf!$C$5*(Nodes!AN177)/('Off-Ramp'!M363*AC363)</f>
        <v>#DIV/0!</v>
      </c>
      <c r="Y178" s="53" t="e">
        <f>Y177+ATM_Conf!$C$5*(Nodes!AO177)/('Off-Ramp'!N363*AD363)</f>
        <v>#DIV/0!</v>
      </c>
      <c r="Z178" s="53" t="e">
        <f>Z177+ATM_Conf!$C$5*(Nodes!AP177)/('Off-Ramp'!O363*AE363)</f>
        <v>#DIV/0!</v>
      </c>
      <c r="AA178" s="53" t="e">
        <f>AA177+ATM_Conf!$C$5*(Nodes!AQ177)/('Off-Ramp'!P363*AF363)</f>
        <v>#DIV/0!</v>
      </c>
    </row>
    <row r="179" spans="1:32" x14ac:dyDescent="0.15">
      <c r="A179" s="46">
        <v>177</v>
      </c>
      <c r="B179" s="61"/>
      <c r="C179" s="61"/>
      <c r="D179" s="61"/>
      <c r="E179" s="61"/>
      <c r="F179" s="61"/>
      <c r="G179" s="61"/>
      <c r="H179" s="61"/>
      <c r="I179" s="61"/>
      <c r="J179" s="61"/>
      <c r="K179" s="61"/>
      <c r="L179" s="53" t="e">
        <f t="shared" si="39"/>
        <v>#DIV/0!</v>
      </c>
      <c r="M179" s="53" t="e">
        <f t="shared" si="40"/>
        <v>#DIV/0!</v>
      </c>
      <c r="N179" s="53" t="e">
        <f t="shared" si="41"/>
        <v>#DIV/0!</v>
      </c>
      <c r="O179" s="53" t="e">
        <f t="shared" si="42"/>
        <v>#DIV/0!</v>
      </c>
      <c r="P179" s="69"/>
      <c r="Q179" s="69"/>
      <c r="R179" s="53" t="e">
        <f t="shared" si="43"/>
        <v>#DIV/0!</v>
      </c>
      <c r="S179" s="53" t="e">
        <f t="shared" si="44"/>
        <v>#DIV/0!</v>
      </c>
      <c r="T179" s="53" t="e">
        <f t="shared" si="45"/>
        <v>#DIV/0!</v>
      </c>
      <c r="U179" s="53" t="e">
        <f t="shared" si="38"/>
        <v>#DIV/0!</v>
      </c>
      <c r="V179" s="53" t="e">
        <f>V178+ATM_Conf!$C$5*(Nodes!AL178)/('Off-Ramp'!K364*AA364)</f>
        <v>#DIV/0!</v>
      </c>
      <c r="W179" s="53" t="e">
        <f>W178+ATM_Conf!$C$5*(Nodes!AM178)/('Off-Ramp'!L364*AB364)</f>
        <v>#DIV/0!</v>
      </c>
      <c r="X179" s="53" t="e">
        <f>X178+ATM_Conf!$C$5*(Nodes!AN178)/('Off-Ramp'!M364*AC364)</f>
        <v>#DIV/0!</v>
      </c>
      <c r="Y179" s="53" t="e">
        <f>Y178+ATM_Conf!$C$5*(Nodes!AO178)/('Off-Ramp'!N364*AD364)</f>
        <v>#DIV/0!</v>
      </c>
      <c r="Z179" s="53" t="e">
        <f>Z178+ATM_Conf!$C$5*(Nodes!AP178)/('Off-Ramp'!O364*AE364)</f>
        <v>#DIV/0!</v>
      </c>
      <c r="AA179" s="53" t="e">
        <f>AA178+ATM_Conf!$C$5*(Nodes!AQ178)/('Off-Ramp'!P364*AF364)</f>
        <v>#DIV/0!</v>
      </c>
    </row>
    <row r="180" spans="1:32" x14ac:dyDescent="0.15">
      <c r="A180" s="46">
        <v>178</v>
      </c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53" t="e">
        <f t="shared" si="39"/>
        <v>#DIV/0!</v>
      </c>
      <c r="M180" s="53" t="e">
        <f t="shared" si="40"/>
        <v>#DIV/0!</v>
      </c>
      <c r="N180" s="53" t="e">
        <f t="shared" si="41"/>
        <v>#DIV/0!</v>
      </c>
      <c r="O180" s="53" t="e">
        <f t="shared" si="42"/>
        <v>#DIV/0!</v>
      </c>
      <c r="P180" s="69"/>
      <c r="Q180" s="69"/>
      <c r="R180" s="53" t="e">
        <f t="shared" si="43"/>
        <v>#DIV/0!</v>
      </c>
      <c r="S180" s="53" t="e">
        <f t="shared" si="44"/>
        <v>#DIV/0!</v>
      </c>
      <c r="T180" s="53" t="e">
        <f t="shared" si="45"/>
        <v>#DIV/0!</v>
      </c>
      <c r="U180" s="53" t="e">
        <f t="shared" si="38"/>
        <v>#DIV/0!</v>
      </c>
      <c r="V180" s="53" t="e">
        <f>V179+ATM_Conf!$C$5*(Nodes!AL179)/('Off-Ramp'!K365*AA365)</f>
        <v>#DIV/0!</v>
      </c>
      <c r="W180" s="53" t="e">
        <f>W179+ATM_Conf!$C$5*(Nodes!AM179)/('Off-Ramp'!L365*AB365)</f>
        <v>#DIV/0!</v>
      </c>
      <c r="X180" s="53" t="e">
        <f>X179+ATM_Conf!$C$5*(Nodes!AN179)/('Off-Ramp'!M365*AC365)</f>
        <v>#DIV/0!</v>
      </c>
      <c r="Y180" s="53" t="e">
        <f>Y179+ATM_Conf!$C$5*(Nodes!AO179)/('Off-Ramp'!N365*AD365)</f>
        <v>#DIV/0!</v>
      </c>
      <c r="Z180" s="53" t="e">
        <f>Z179+ATM_Conf!$C$5*(Nodes!AP179)/('Off-Ramp'!O365*AE365)</f>
        <v>#DIV/0!</v>
      </c>
      <c r="AA180" s="53" t="e">
        <f>AA179+ATM_Conf!$C$5*(Nodes!AQ179)/('Off-Ramp'!P365*AF365)</f>
        <v>#DIV/0!</v>
      </c>
    </row>
    <row r="181" spans="1:32" x14ac:dyDescent="0.15">
      <c r="A181" s="46">
        <v>179</v>
      </c>
      <c r="B181" s="61"/>
      <c r="C181" s="61"/>
      <c r="D181" s="61"/>
      <c r="E181" s="61"/>
      <c r="F181" s="61"/>
      <c r="G181" s="61"/>
      <c r="H181" s="61"/>
      <c r="I181" s="61"/>
      <c r="J181" s="61"/>
      <c r="K181" s="61"/>
      <c r="L181" s="53" t="e">
        <f t="shared" si="39"/>
        <v>#DIV/0!</v>
      </c>
      <c r="M181" s="53" t="e">
        <f t="shared" si="40"/>
        <v>#DIV/0!</v>
      </c>
      <c r="N181" s="53" t="e">
        <f t="shared" si="41"/>
        <v>#DIV/0!</v>
      </c>
      <c r="O181" s="53" t="e">
        <f t="shared" si="42"/>
        <v>#DIV/0!</v>
      </c>
      <c r="P181" s="69"/>
      <c r="Q181" s="69"/>
      <c r="R181" s="53" t="e">
        <f t="shared" si="43"/>
        <v>#DIV/0!</v>
      </c>
      <c r="S181" s="53" t="e">
        <f t="shared" si="44"/>
        <v>#DIV/0!</v>
      </c>
      <c r="T181" s="53" t="e">
        <f t="shared" si="45"/>
        <v>#DIV/0!</v>
      </c>
      <c r="U181" s="53" t="e">
        <f t="shared" si="38"/>
        <v>#DIV/0!</v>
      </c>
      <c r="V181" s="53" t="e">
        <f>V180+ATM_Conf!$C$5*(Nodes!AL180)/('Off-Ramp'!K366*AA366)</f>
        <v>#DIV/0!</v>
      </c>
      <c r="W181" s="53" t="e">
        <f>W180+ATM_Conf!$C$5*(Nodes!AM180)/('Off-Ramp'!L366*AB366)</f>
        <v>#DIV/0!</v>
      </c>
      <c r="X181" s="53" t="e">
        <f>X180+ATM_Conf!$C$5*(Nodes!AN180)/('Off-Ramp'!M366*AC366)</f>
        <v>#DIV/0!</v>
      </c>
      <c r="Y181" s="53" t="e">
        <f>Y180+ATM_Conf!$C$5*(Nodes!AO180)/('Off-Ramp'!N366*AD366)</f>
        <v>#DIV/0!</v>
      </c>
      <c r="Z181" s="53" t="e">
        <f>Z180+ATM_Conf!$C$5*(Nodes!AP180)/('Off-Ramp'!O366*AE366)</f>
        <v>#DIV/0!</v>
      </c>
      <c r="AA181" s="53" t="e">
        <f>AA180+ATM_Conf!$C$5*(Nodes!AQ180)/('Off-Ramp'!P366*AF366)</f>
        <v>#DIV/0!</v>
      </c>
    </row>
    <row r="182" spans="1:32" x14ac:dyDescent="0.15">
      <c r="A182" s="46">
        <v>180</v>
      </c>
      <c r="B182" s="61"/>
      <c r="C182" s="61"/>
      <c r="D182" s="61"/>
      <c r="E182" s="61"/>
      <c r="F182" s="61"/>
      <c r="G182" s="61"/>
      <c r="H182" s="61"/>
      <c r="I182" s="61"/>
      <c r="J182" s="61"/>
      <c r="K182" s="61"/>
      <c r="L182" s="53" t="e">
        <f t="shared" si="39"/>
        <v>#DIV/0!</v>
      </c>
      <c r="M182" s="53" t="e">
        <f t="shared" si="40"/>
        <v>#DIV/0!</v>
      </c>
      <c r="N182" s="53" t="e">
        <f t="shared" si="41"/>
        <v>#DIV/0!</v>
      </c>
      <c r="O182" s="53" t="e">
        <f t="shared" si="42"/>
        <v>#DIV/0!</v>
      </c>
      <c r="P182" s="69"/>
      <c r="Q182" s="69"/>
      <c r="R182" s="53" t="e">
        <f t="shared" si="43"/>
        <v>#DIV/0!</v>
      </c>
      <c r="S182" s="53" t="e">
        <f t="shared" si="44"/>
        <v>#DIV/0!</v>
      </c>
      <c r="T182" s="53" t="e">
        <f t="shared" si="45"/>
        <v>#DIV/0!</v>
      </c>
      <c r="U182" s="53" t="e">
        <f t="shared" si="38"/>
        <v>#DIV/0!</v>
      </c>
      <c r="V182" s="53" t="e">
        <f>V181+ATM_Conf!$C$5*(Nodes!AL181)/('Off-Ramp'!K367*AA367)</f>
        <v>#DIV/0!</v>
      </c>
      <c r="W182" s="53" t="e">
        <f>W181+ATM_Conf!$C$5*(Nodes!AM181)/('Off-Ramp'!L367*AB367)</f>
        <v>#DIV/0!</v>
      </c>
      <c r="X182" s="53" t="e">
        <f>X181+ATM_Conf!$C$5*(Nodes!AN181)/('Off-Ramp'!M367*AC367)</f>
        <v>#DIV/0!</v>
      </c>
      <c r="Y182" s="53" t="e">
        <f>Y181+ATM_Conf!$C$5*(Nodes!AO181)/('Off-Ramp'!N367*AD367)</f>
        <v>#DIV/0!</v>
      </c>
      <c r="Z182" s="53" t="e">
        <f>Z181+ATM_Conf!$C$5*(Nodes!AP181)/('Off-Ramp'!O367*AE367)</f>
        <v>#DIV/0!</v>
      </c>
      <c r="AA182" s="53" t="e">
        <f>AA181+ATM_Conf!$C$5*(Nodes!AQ181)/('Off-Ramp'!P367*AF367)</f>
        <v>#DIV/0!</v>
      </c>
    </row>
    <row r="187" spans="1:32" x14ac:dyDescent="0.15">
      <c r="A187" s="107" t="s">
        <v>202</v>
      </c>
      <c r="B187" s="107"/>
      <c r="C187" s="107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 t="s">
        <v>203</v>
      </c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231</v>
      </c>
      <c r="L188" s="40" t="s">
        <v>232</v>
      </c>
      <c r="M188" s="40" t="s">
        <v>233</v>
      </c>
      <c r="N188" s="40" t="s">
        <v>234</v>
      </c>
      <c r="O188" s="40" t="s">
        <v>235</v>
      </c>
      <c r="P188" s="40" t="s">
        <v>236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231</v>
      </c>
      <c r="AB188" s="40" t="s">
        <v>232</v>
      </c>
      <c r="AC188" s="40" t="s">
        <v>233</v>
      </c>
      <c r="AD188" s="40" t="s">
        <v>234</v>
      </c>
      <c r="AE188" s="40" t="s">
        <v>235</v>
      </c>
      <c r="AF188" s="40" t="s">
        <v>236</v>
      </c>
    </row>
    <row r="189" spans="1:32" x14ac:dyDescent="0.15">
      <c r="A189" s="43"/>
      <c r="B189" s="43"/>
      <c r="C189" s="43"/>
      <c r="D189" s="43"/>
      <c r="E189" s="69"/>
      <c r="F189" s="69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70"/>
      <c r="R189" s="70"/>
      <c r="S189" s="70"/>
      <c r="T189" s="70"/>
      <c r="U189" s="69"/>
      <c r="V189" s="69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</row>
    <row r="192" spans="1:32" x14ac:dyDescent="0.15">
      <c r="A192" s="111" t="s">
        <v>188</v>
      </c>
      <c r="B192" s="112" t="s">
        <v>227</v>
      </c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  <c r="O192" s="113"/>
      <c r="P192" s="113"/>
      <c r="Q192" s="113"/>
    </row>
    <row r="193" spans="1:19" x14ac:dyDescent="0.15">
      <c r="A193" s="111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231</v>
      </c>
      <c r="M193" s="40" t="s">
        <v>232</v>
      </c>
      <c r="N193" s="40" t="s">
        <v>233</v>
      </c>
      <c r="O193" s="40" t="s">
        <v>234</v>
      </c>
      <c r="P193" s="40" t="s">
        <v>235</v>
      </c>
      <c r="Q193" s="40" t="s">
        <v>236</v>
      </c>
    </row>
    <row r="194" spans="1:19" x14ac:dyDescent="0.15">
      <c r="A194" s="46" t="s">
        <v>228</v>
      </c>
      <c r="B194" s="42"/>
      <c r="C194" s="42"/>
      <c r="D194" s="42"/>
      <c r="E194" s="42"/>
      <c r="F194" s="69"/>
      <c r="G194" s="69"/>
      <c r="H194" s="42"/>
      <c r="I194" s="42"/>
      <c r="J194" s="42"/>
      <c r="K194" s="42"/>
      <c r="L194" s="42"/>
      <c r="M194" s="42"/>
      <c r="N194" s="42"/>
      <c r="O194" s="42"/>
      <c r="P194" s="42"/>
      <c r="Q194" s="42"/>
    </row>
    <row r="195" spans="1:19" x14ac:dyDescent="0.15">
      <c r="A195" s="46" t="s">
        <v>229</v>
      </c>
      <c r="B195" s="42"/>
      <c r="C195" s="42"/>
      <c r="D195" s="42"/>
      <c r="E195" s="42"/>
      <c r="F195" s="69"/>
      <c r="G195" s="69"/>
      <c r="H195" s="42"/>
      <c r="I195" s="42"/>
      <c r="J195" s="42"/>
      <c r="K195" s="42"/>
      <c r="L195" s="42"/>
      <c r="M195" s="42"/>
      <c r="N195" s="42"/>
      <c r="O195" s="42"/>
      <c r="P195" s="42"/>
      <c r="Q195" s="42"/>
    </row>
    <row r="196" spans="1:19" x14ac:dyDescent="0.15">
      <c r="A196" s="46" t="s">
        <v>230</v>
      </c>
      <c r="B196" s="43"/>
      <c r="C196" s="43"/>
      <c r="D196" s="43"/>
      <c r="E196" s="43"/>
      <c r="F196" s="69"/>
      <c r="G196" s="69"/>
      <c r="H196" s="43"/>
      <c r="I196" s="43"/>
      <c r="J196" s="43"/>
      <c r="K196" s="43"/>
      <c r="L196" s="43"/>
      <c r="M196" s="43"/>
      <c r="N196" s="43"/>
      <c r="O196" s="43"/>
      <c r="P196" s="43"/>
      <c r="Q196" s="43"/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</row>
    <row r="200" spans="1:19" x14ac:dyDescent="0.1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</row>
    <row r="201" spans="1:19" x14ac:dyDescent="0.1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</row>
    <row r="202" spans="1:19" x14ac:dyDescent="0.1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</row>
    <row r="203" spans="1:19" x14ac:dyDescent="0.1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topLeftCell="A1117" workbookViewId="0">
      <selection activeCell="B1122" sqref="B1122:L1128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sqref="A1:L1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117" t="s">
        <v>47</v>
      </c>
      <c r="C1" s="118"/>
      <c r="D1" s="119"/>
      <c r="E1" s="117" t="s">
        <v>48</v>
      </c>
      <c r="F1" s="118"/>
      <c r="G1" s="118"/>
      <c r="H1" s="118"/>
      <c r="I1" s="118"/>
      <c r="J1" s="118"/>
      <c r="K1" s="118"/>
      <c r="L1" s="119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117" t="s">
        <v>50</v>
      </c>
      <c r="D1" s="118"/>
      <c r="E1" s="118"/>
      <c r="F1" s="118"/>
      <c r="G1" s="118"/>
      <c r="H1" s="118"/>
      <c r="I1" s="118"/>
      <c r="J1" s="119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I3" sqref="I3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  <row r="6" spans="1:4" ht="14.25" x14ac:dyDescent="0.15">
      <c r="A6" s="21" t="s">
        <v>245</v>
      </c>
      <c r="B6" s="21" t="s">
        <v>243</v>
      </c>
      <c r="C6" s="21" t="s">
        <v>244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8"/>
  <sheetViews>
    <sheetView workbookViewId="0">
      <selection activeCell="B18" sqref="B18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</cols>
  <sheetData>
    <row r="1" spans="1:7" ht="15" x14ac:dyDescent="0.15">
      <c r="A1" s="23" t="s">
        <v>145</v>
      </c>
      <c r="B1" s="90" t="s">
        <v>146</v>
      </c>
      <c r="C1" s="90"/>
      <c r="D1" s="90"/>
      <c r="E1" s="90"/>
      <c r="F1" s="81" t="s">
        <v>242</v>
      </c>
      <c r="G1" s="81" t="s">
        <v>241</v>
      </c>
    </row>
    <row r="2" spans="1:7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72"/>
      <c r="G2" s="72"/>
    </row>
    <row r="3" spans="1:7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72"/>
      <c r="G3" s="72"/>
    </row>
    <row r="4" spans="1:7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72"/>
      <c r="G4" s="72"/>
    </row>
    <row r="5" spans="1:7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72"/>
      <c r="G5" s="72"/>
    </row>
    <row r="6" spans="1:7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72"/>
      <c r="G6" s="72"/>
    </row>
    <row r="7" spans="1:7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72"/>
      <c r="G7" s="72"/>
    </row>
    <row r="8" spans="1:7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72"/>
      <c r="G8" s="72"/>
    </row>
    <row r="9" spans="1:7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72"/>
      <c r="G9" s="72"/>
    </row>
    <row r="10" spans="1:7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72"/>
      <c r="G10" s="72"/>
    </row>
    <row r="11" spans="1:7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72"/>
      <c r="G11" s="72"/>
    </row>
    <row r="12" spans="1:7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72"/>
      <c r="G12" s="72"/>
    </row>
    <row r="13" spans="1:7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72"/>
      <c r="G13" s="72"/>
    </row>
    <row r="14" spans="1:7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72"/>
      <c r="G14" s="72"/>
    </row>
    <row r="15" spans="1:7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72"/>
      <c r="G15" s="72"/>
    </row>
    <row r="16" spans="1:7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72"/>
      <c r="G16" s="72"/>
    </row>
    <row r="18" spans="1:2" ht="15" x14ac:dyDescent="0.15">
      <c r="A18" s="71" t="s">
        <v>239</v>
      </c>
      <c r="B18" s="24" t="s">
        <v>281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B18" sqref="B18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147</v>
      </c>
      <c r="B1" s="27" t="s">
        <v>148</v>
      </c>
      <c r="C1" s="27" t="s">
        <v>149</v>
      </c>
      <c r="D1" s="81" t="s">
        <v>277</v>
      </c>
      <c r="E1" s="81" t="s">
        <v>278</v>
      </c>
      <c r="F1" s="81" t="s">
        <v>279</v>
      </c>
      <c r="G1" s="81" t="s">
        <v>280</v>
      </c>
    </row>
    <row r="2" spans="1:7" ht="15" x14ac:dyDescent="0.15">
      <c r="A2" s="28">
        <v>1</v>
      </c>
      <c r="B2" s="26">
        <v>1</v>
      </c>
      <c r="C2" s="26" t="s">
        <v>150</v>
      </c>
      <c r="D2" s="72"/>
      <c r="E2" s="72"/>
      <c r="F2" s="25"/>
      <c r="G2" s="25"/>
    </row>
    <row r="3" spans="1:7" ht="15" x14ac:dyDescent="0.15">
      <c r="A3" s="28">
        <v>2</v>
      </c>
      <c r="B3" s="26">
        <v>2</v>
      </c>
      <c r="C3" s="26" t="s">
        <v>151</v>
      </c>
      <c r="D3" s="72"/>
      <c r="E3" s="72"/>
      <c r="F3" s="25"/>
      <c r="G3" s="25"/>
    </row>
    <row r="4" spans="1:7" ht="15" x14ac:dyDescent="0.15">
      <c r="A4" s="28">
        <v>3</v>
      </c>
      <c r="B4" s="26">
        <v>3</v>
      </c>
      <c r="C4" s="26" t="s">
        <v>152</v>
      </c>
      <c r="D4" s="72"/>
      <c r="E4" s="72"/>
      <c r="F4" s="25"/>
      <c r="G4" s="25"/>
    </row>
    <row r="5" spans="1:7" ht="15" x14ac:dyDescent="0.15">
      <c r="A5" s="28">
        <v>4</v>
      </c>
      <c r="B5" s="26">
        <v>4</v>
      </c>
      <c r="C5" s="26" t="s">
        <v>153</v>
      </c>
      <c r="D5" s="72"/>
      <c r="E5" s="72"/>
      <c r="F5" s="25"/>
      <c r="G5" s="25"/>
    </row>
    <row r="6" spans="1:7" ht="15" x14ac:dyDescent="0.15">
      <c r="A6" s="28">
        <v>5</v>
      </c>
      <c r="B6" s="26">
        <v>5</v>
      </c>
      <c r="C6" s="26" t="s">
        <v>154</v>
      </c>
      <c r="D6" s="72"/>
      <c r="E6" s="72"/>
      <c r="F6" s="25"/>
      <c r="G6" s="25"/>
    </row>
    <row r="7" spans="1:7" ht="15" x14ac:dyDescent="0.15">
      <c r="A7" s="28">
        <v>6</v>
      </c>
      <c r="B7" s="26">
        <v>6</v>
      </c>
      <c r="C7" s="26" t="s">
        <v>155</v>
      </c>
      <c r="D7" s="72"/>
      <c r="E7" s="72"/>
      <c r="F7" s="25"/>
      <c r="G7" s="25"/>
    </row>
    <row r="8" spans="1:7" ht="15" x14ac:dyDescent="0.15">
      <c r="A8" s="28">
        <v>7</v>
      </c>
      <c r="B8" s="26">
        <v>7</v>
      </c>
      <c r="C8" s="26" t="s">
        <v>156</v>
      </c>
      <c r="D8" s="72"/>
      <c r="E8" s="72"/>
      <c r="F8" s="25"/>
      <c r="G8" s="25"/>
    </row>
    <row r="9" spans="1:7" ht="15" x14ac:dyDescent="0.15">
      <c r="A9" s="28">
        <v>8</v>
      </c>
      <c r="B9" s="26">
        <v>8</v>
      </c>
      <c r="C9" s="26" t="s">
        <v>157</v>
      </c>
      <c r="D9" s="72"/>
      <c r="E9" s="72"/>
      <c r="F9" s="25"/>
      <c r="G9" s="25"/>
    </row>
    <row r="10" spans="1:7" ht="15" x14ac:dyDescent="0.15">
      <c r="A10" s="28">
        <v>9</v>
      </c>
      <c r="B10" s="26">
        <v>9</v>
      </c>
      <c r="C10" s="26" t="s">
        <v>158</v>
      </c>
      <c r="D10" s="72"/>
      <c r="E10" s="72"/>
      <c r="F10" s="25"/>
      <c r="G10" s="25"/>
    </row>
    <row r="18" spans="1:2" ht="15" x14ac:dyDescent="0.15">
      <c r="A18" s="78" t="s">
        <v>239</v>
      </c>
      <c r="B18" s="24" t="s">
        <v>240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3"/>
  <sheetViews>
    <sheetView topLeftCell="E13" zoomScaleNormal="100" workbookViewId="0">
      <selection activeCell="U2" sqref="U2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90" t="s">
        <v>166</v>
      </c>
      <c r="B1" s="90" t="s">
        <v>167</v>
      </c>
      <c r="C1" s="120" t="s">
        <v>160</v>
      </c>
      <c r="D1" s="90" t="s">
        <v>165</v>
      </c>
      <c r="E1" s="90"/>
      <c r="F1" s="90"/>
      <c r="G1" s="90"/>
      <c r="H1" s="90"/>
      <c r="I1" s="90"/>
      <c r="J1" s="90"/>
      <c r="K1" s="90"/>
      <c r="L1" s="90" t="s">
        <v>258</v>
      </c>
      <c r="M1" s="90"/>
      <c r="N1" s="90"/>
      <c r="O1" s="90"/>
      <c r="P1" s="90"/>
      <c r="Q1" s="90"/>
      <c r="R1" s="90"/>
      <c r="S1" s="90"/>
      <c r="T1" s="135" t="s">
        <v>305</v>
      </c>
    </row>
    <row r="2" spans="1:20" ht="15" x14ac:dyDescent="0.15">
      <c r="A2" s="90"/>
      <c r="B2" s="90"/>
      <c r="C2" s="90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  <c r="L2" s="35" t="s">
        <v>163</v>
      </c>
      <c r="M2" s="36">
        <v>4</v>
      </c>
      <c r="N2" s="36">
        <v>6</v>
      </c>
      <c r="O2" s="36">
        <v>7</v>
      </c>
      <c r="P2" s="36">
        <v>11</v>
      </c>
      <c r="Q2" s="37" t="s">
        <v>161</v>
      </c>
      <c r="R2" s="37" t="s">
        <v>162</v>
      </c>
      <c r="S2" s="38" t="s">
        <v>164</v>
      </c>
      <c r="T2" s="135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/>
      <c r="F19" s="31"/>
      <c r="G19" s="31"/>
      <c r="H19" s="31"/>
      <c r="I19" s="32"/>
      <c r="J19" s="32"/>
      <c r="K19" s="39"/>
      <c r="L19" s="33">
        <v>59</v>
      </c>
      <c r="M19" s="31"/>
      <c r="N19" s="31"/>
      <c r="O19" s="31"/>
      <c r="P19" s="31"/>
      <c r="Q19" s="32"/>
      <c r="R19" s="32"/>
      <c r="S19" s="39"/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60</v>
      </c>
      <c r="M20" s="31"/>
      <c r="N20" s="31">
        <v>61</v>
      </c>
      <c r="O20" s="31">
        <v>62</v>
      </c>
      <c r="P20" s="31"/>
      <c r="Q20" s="32"/>
      <c r="R20" s="32">
        <v>63</v>
      </c>
      <c r="S20" s="39">
        <v>64</v>
      </c>
      <c r="T20" s="33"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6</v>
      </c>
      <c r="K21" s="39">
        <v>5</v>
      </c>
      <c r="L21" s="33">
        <v>65</v>
      </c>
      <c r="M21" s="31">
        <v>66</v>
      </c>
      <c r="N21" s="31">
        <v>67</v>
      </c>
      <c r="O21" s="31">
        <v>68</v>
      </c>
      <c r="P21" s="31"/>
      <c r="Q21" s="32"/>
      <c r="R21" s="32">
        <v>69</v>
      </c>
      <c r="S21" s="39">
        <v>70</v>
      </c>
      <c r="T21" s="33">
        <v>0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71</v>
      </c>
      <c r="M22" s="31"/>
      <c r="N22" s="31"/>
      <c r="O22" s="31">
        <v>72</v>
      </c>
      <c r="P22" s="31"/>
      <c r="Q22" s="32"/>
      <c r="R22" s="32">
        <v>73</v>
      </c>
      <c r="S22" s="39">
        <v>74</v>
      </c>
      <c r="T22" s="33"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75</v>
      </c>
      <c r="M23" s="31"/>
      <c r="N23" s="31"/>
      <c r="O23" s="31"/>
      <c r="P23" s="31"/>
      <c r="Q23" s="32"/>
      <c r="R23" s="32">
        <v>76</v>
      </c>
      <c r="S23" s="39">
        <v>77</v>
      </c>
      <c r="T23" s="33"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78</v>
      </c>
      <c r="M24" s="31"/>
      <c r="N24" s="31">
        <v>79</v>
      </c>
      <c r="O24" s="31"/>
      <c r="P24" s="31"/>
      <c r="Q24" s="32"/>
      <c r="R24" s="32"/>
      <c r="S24" s="39">
        <v>80</v>
      </c>
      <c r="T24" s="33"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81</v>
      </c>
      <c r="M25" s="31">
        <v>82</v>
      </c>
      <c r="N25" s="31">
        <v>83</v>
      </c>
      <c r="O25" s="31"/>
      <c r="P25" s="31"/>
      <c r="Q25" s="32"/>
      <c r="R25" s="32"/>
      <c r="S25" s="39">
        <v>84</v>
      </c>
      <c r="T25" s="33"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85</v>
      </c>
      <c r="M26" s="31"/>
      <c r="N26" s="31">
        <v>86</v>
      </c>
      <c r="O26" s="31"/>
      <c r="P26" s="31"/>
      <c r="Q26" s="32"/>
      <c r="R26" s="32"/>
      <c r="S26" s="39">
        <v>87</v>
      </c>
      <c r="T26" s="33"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88</v>
      </c>
      <c r="M27" s="31"/>
      <c r="N27" s="31"/>
      <c r="O27" s="31"/>
      <c r="P27" s="31"/>
      <c r="Q27" s="32"/>
      <c r="R27" s="32"/>
      <c r="S27" s="39">
        <v>89</v>
      </c>
      <c r="T27" s="33"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90</v>
      </c>
      <c r="M28" s="31">
        <v>91</v>
      </c>
      <c r="N28" s="31"/>
      <c r="O28" s="31"/>
      <c r="P28" s="31"/>
      <c r="Q28" s="32"/>
      <c r="R28" s="32"/>
      <c r="S28" s="39">
        <v>92</v>
      </c>
      <c r="T28" s="33"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93</v>
      </c>
      <c r="M29" s="31">
        <v>94</v>
      </c>
      <c r="N29" s="31"/>
      <c r="O29" s="31"/>
      <c r="P29" s="31"/>
      <c r="Q29" s="32"/>
      <c r="R29" s="32"/>
      <c r="S29" s="39">
        <v>95</v>
      </c>
      <c r="T29" s="33"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96</v>
      </c>
      <c r="M30" s="31"/>
      <c r="N30" s="31"/>
      <c r="O30" s="31"/>
      <c r="P30" s="31"/>
      <c r="Q30" s="32"/>
      <c r="R30" s="32"/>
      <c r="S30" s="39">
        <v>97</v>
      </c>
      <c r="T30" s="33"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98</v>
      </c>
      <c r="M31" s="31">
        <v>99</v>
      </c>
      <c r="N31" s="31"/>
      <c r="O31" s="31"/>
      <c r="P31" s="31"/>
      <c r="Q31" s="32"/>
      <c r="R31" s="32"/>
      <c r="S31" s="39">
        <v>100</v>
      </c>
      <c r="T31" s="33"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101</v>
      </c>
      <c r="M32" s="31"/>
      <c r="N32" s="31"/>
      <c r="O32" s="31"/>
      <c r="P32" s="31"/>
      <c r="Q32" s="32"/>
      <c r="R32" s="32"/>
      <c r="S32" s="39">
        <v>102</v>
      </c>
      <c r="T32" s="33">
        <v>0</v>
      </c>
    </row>
    <row r="33" spans="1:20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103</v>
      </c>
      <c r="M33" s="31"/>
      <c r="N33" s="31"/>
      <c r="O33" s="31"/>
      <c r="P33" s="31"/>
      <c r="Q33" s="32"/>
      <c r="R33" s="32"/>
      <c r="S33" s="39">
        <v>104</v>
      </c>
      <c r="T33" s="33">
        <v>0</v>
      </c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105"/>
  <sheetViews>
    <sheetView zoomScaleNormal="100" workbookViewId="0"/>
  </sheetViews>
  <sheetFormatPr defaultRowHeight="14.25" x14ac:dyDescent="0.15"/>
  <cols>
    <col min="1" max="16384" width="9" style="48"/>
  </cols>
  <sheetData>
    <row r="1" spans="1:7" x14ac:dyDescent="0.15">
      <c r="A1" s="79" t="s">
        <v>259</v>
      </c>
      <c r="B1" s="79" t="s">
        <v>260</v>
      </c>
      <c r="C1" s="121" t="s">
        <v>306</v>
      </c>
      <c r="D1" s="121"/>
      <c r="E1" s="121"/>
      <c r="F1" s="121"/>
      <c r="G1" s="121"/>
    </row>
    <row r="2" spans="1:7" x14ac:dyDescent="0.15">
      <c r="A2" s="136">
        <v>1</v>
      </c>
      <c r="B2" s="137"/>
      <c r="C2" s="136">
        <v>4</v>
      </c>
      <c r="D2" s="136">
        <v>5</v>
      </c>
      <c r="E2" s="136">
        <v>6</v>
      </c>
      <c r="F2" s="136">
        <v>7</v>
      </c>
      <c r="G2" s="136">
        <v>8</v>
      </c>
    </row>
    <row r="3" spans="1:7" x14ac:dyDescent="0.15">
      <c r="A3" s="136">
        <v>2</v>
      </c>
      <c r="B3" s="137"/>
      <c r="C3" s="136"/>
      <c r="D3" s="136"/>
      <c r="E3" s="136"/>
      <c r="F3" s="136"/>
      <c r="G3" s="136"/>
    </row>
    <row r="4" spans="1:7" x14ac:dyDescent="0.15">
      <c r="A4" s="136">
        <v>3</v>
      </c>
      <c r="B4" s="137"/>
      <c r="C4" s="136"/>
      <c r="D4" s="136"/>
      <c r="E4" s="136"/>
      <c r="F4" s="136"/>
      <c r="G4" s="136"/>
    </row>
    <row r="5" spans="1:7" x14ac:dyDescent="0.15">
      <c r="A5" s="136">
        <v>4</v>
      </c>
      <c r="B5" s="137"/>
      <c r="C5" s="136"/>
      <c r="D5" s="136"/>
      <c r="E5" s="136"/>
      <c r="F5" s="136"/>
      <c r="G5" s="136"/>
    </row>
    <row r="6" spans="1:7" x14ac:dyDescent="0.15">
      <c r="A6" s="136">
        <v>5</v>
      </c>
      <c r="B6" s="137"/>
      <c r="C6" s="136"/>
      <c r="D6" s="136"/>
      <c r="E6" s="136"/>
      <c r="F6" s="136"/>
      <c r="G6" s="136"/>
    </row>
    <row r="7" spans="1:7" x14ac:dyDescent="0.15">
      <c r="A7" s="136">
        <v>6</v>
      </c>
      <c r="B7" s="137"/>
      <c r="C7" s="136"/>
      <c r="D7" s="136"/>
      <c r="E7" s="136"/>
      <c r="F7" s="136"/>
      <c r="G7" s="136"/>
    </row>
    <row r="8" spans="1:7" x14ac:dyDescent="0.15">
      <c r="A8" s="136">
        <v>7</v>
      </c>
      <c r="B8" s="137"/>
      <c r="C8" s="136"/>
      <c r="D8" s="136"/>
      <c r="E8" s="136"/>
      <c r="F8" s="136"/>
      <c r="G8" s="136"/>
    </row>
    <row r="9" spans="1:7" x14ac:dyDescent="0.15">
      <c r="A9" s="32">
        <v>8</v>
      </c>
      <c r="B9" s="138"/>
      <c r="C9" s="32"/>
      <c r="D9" s="32"/>
      <c r="E9" s="32"/>
      <c r="F9" s="32"/>
      <c r="G9" s="32"/>
    </row>
    <row r="10" spans="1:7" x14ac:dyDescent="0.15">
      <c r="A10" s="32">
        <v>9</v>
      </c>
      <c r="B10" s="138"/>
      <c r="C10" s="32"/>
      <c r="D10" s="32"/>
      <c r="E10" s="32"/>
      <c r="F10" s="32"/>
      <c r="G10" s="32"/>
    </row>
    <row r="11" spans="1:7" x14ac:dyDescent="0.15">
      <c r="A11" s="32">
        <v>10</v>
      </c>
      <c r="B11" s="138"/>
      <c r="C11" s="32"/>
      <c r="D11" s="32"/>
      <c r="E11" s="32"/>
      <c r="F11" s="32"/>
      <c r="G11" s="32"/>
    </row>
    <row r="12" spans="1:7" x14ac:dyDescent="0.15">
      <c r="A12" s="32">
        <v>11</v>
      </c>
      <c r="B12" s="138"/>
      <c r="C12" s="32"/>
      <c r="D12" s="32"/>
      <c r="E12" s="32"/>
      <c r="F12" s="32"/>
      <c r="G12" s="32"/>
    </row>
    <row r="13" spans="1:7" x14ac:dyDescent="0.15">
      <c r="A13" s="32">
        <v>12</v>
      </c>
      <c r="B13" s="138"/>
      <c r="C13" s="32"/>
      <c r="D13" s="32"/>
      <c r="E13" s="32"/>
      <c r="F13" s="32"/>
      <c r="G13" s="32"/>
    </row>
    <row r="14" spans="1:7" x14ac:dyDescent="0.15">
      <c r="A14" s="136">
        <v>13</v>
      </c>
      <c r="B14" s="137"/>
      <c r="C14" s="136"/>
      <c r="D14" s="136"/>
      <c r="E14" s="136"/>
      <c r="F14" s="136"/>
      <c r="G14" s="136"/>
    </row>
    <row r="15" spans="1:7" x14ac:dyDescent="0.15">
      <c r="A15" s="136">
        <v>14</v>
      </c>
      <c r="B15" s="137"/>
      <c r="C15" s="136"/>
      <c r="D15" s="136"/>
      <c r="E15" s="136"/>
      <c r="F15" s="136"/>
      <c r="G15" s="136"/>
    </row>
    <row r="16" spans="1:7" x14ac:dyDescent="0.15">
      <c r="A16" s="136">
        <v>15</v>
      </c>
      <c r="B16" s="137"/>
      <c r="C16" s="136"/>
      <c r="D16" s="136"/>
      <c r="E16" s="136"/>
      <c r="F16" s="136"/>
      <c r="G16" s="136"/>
    </row>
    <row r="17" spans="1:7" x14ac:dyDescent="0.15">
      <c r="A17" s="136">
        <v>16</v>
      </c>
      <c r="B17" s="137"/>
      <c r="C17" s="136"/>
      <c r="D17" s="136"/>
      <c r="E17" s="136"/>
      <c r="F17" s="136"/>
      <c r="G17" s="136"/>
    </row>
    <row r="18" spans="1:7" x14ac:dyDescent="0.15">
      <c r="A18" s="136">
        <v>17</v>
      </c>
      <c r="B18" s="137"/>
      <c r="C18" s="136"/>
      <c r="D18" s="136"/>
      <c r="E18" s="136"/>
      <c r="F18" s="136"/>
      <c r="G18" s="136"/>
    </row>
    <row r="19" spans="1:7" x14ac:dyDescent="0.15">
      <c r="A19" s="32">
        <v>18</v>
      </c>
      <c r="B19" s="138"/>
      <c r="C19" s="32"/>
      <c r="D19" s="32"/>
      <c r="E19" s="32"/>
      <c r="F19" s="32"/>
      <c r="G19" s="32"/>
    </row>
    <row r="20" spans="1:7" x14ac:dyDescent="0.15">
      <c r="A20" s="32">
        <v>19</v>
      </c>
      <c r="B20" s="138"/>
      <c r="C20" s="32"/>
      <c r="D20" s="32"/>
      <c r="E20" s="32"/>
      <c r="F20" s="32"/>
      <c r="G20" s="32"/>
    </row>
    <row r="21" spans="1:7" x14ac:dyDescent="0.15">
      <c r="A21" s="32">
        <v>20</v>
      </c>
      <c r="B21" s="138"/>
      <c r="C21" s="32"/>
      <c r="D21" s="32"/>
      <c r="E21" s="32"/>
      <c r="F21" s="32"/>
      <c r="G21" s="32"/>
    </row>
    <row r="22" spans="1:7" x14ac:dyDescent="0.15">
      <c r="A22" s="32">
        <v>21</v>
      </c>
      <c r="B22" s="138"/>
      <c r="C22" s="32"/>
      <c r="D22" s="32"/>
      <c r="E22" s="32"/>
      <c r="F22" s="32"/>
      <c r="G22" s="32"/>
    </row>
    <row r="23" spans="1:7" x14ac:dyDescent="0.15">
      <c r="A23" s="32">
        <v>22</v>
      </c>
      <c r="B23" s="138"/>
      <c r="C23" s="32"/>
      <c r="D23" s="32"/>
      <c r="E23" s="32"/>
      <c r="F23" s="32"/>
      <c r="G23" s="32"/>
    </row>
    <row r="24" spans="1:7" x14ac:dyDescent="0.15">
      <c r="A24" s="136">
        <v>23</v>
      </c>
      <c r="B24" s="137"/>
      <c r="C24" s="136"/>
      <c r="D24" s="136"/>
      <c r="E24" s="136"/>
      <c r="F24" s="136"/>
      <c r="G24" s="136"/>
    </row>
    <row r="25" spans="1:7" x14ac:dyDescent="0.15">
      <c r="A25" s="136">
        <v>24</v>
      </c>
      <c r="B25" s="137"/>
      <c r="C25" s="136"/>
      <c r="D25" s="136"/>
      <c r="E25" s="136"/>
      <c r="F25" s="136"/>
      <c r="G25" s="136"/>
    </row>
    <row r="26" spans="1:7" x14ac:dyDescent="0.15">
      <c r="A26" s="136">
        <v>25</v>
      </c>
      <c r="B26" s="137"/>
      <c r="C26" s="136"/>
      <c r="D26" s="136"/>
      <c r="E26" s="136"/>
      <c r="F26" s="136"/>
      <c r="G26" s="136"/>
    </row>
    <row r="27" spans="1:7" x14ac:dyDescent="0.15">
      <c r="A27" s="32">
        <v>26</v>
      </c>
      <c r="B27" s="138"/>
      <c r="C27" s="32"/>
      <c r="D27" s="32"/>
      <c r="E27" s="32"/>
      <c r="F27" s="32"/>
      <c r="G27" s="32"/>
    </row>
    <row r="28" spans="1:7" x14ac:dyDescent="0.15">
      <c r="A28" s="32">
        <v>27</v>
      </c>
      <c r="B28" s="138"/>
      <c r="C28" s="32"/>
      <c r="D28" s="32"/>
      <c r="E28" s="32"/>
      <c r="F28" s="32"/>
      <c r="G28" s="32"/>
    </row>
    <row r="29" spans="1:7" x14ac:dyDescent="0.15">
      <c r="A29" s="32">
        <v>28</v>
      </c>
      <c r="B29" s="138"/>
      <c r="C29" s="32"/>
      <c r="D29" s="32"/>
      <c r="E29" s="32"/>
      <c r="F29" s="32"/>
      <c r="G29" s="32"/>
    </row>
    <row r="30" spans="1:7" x14ac:dyDescent="0.15">
      <c r="A30" s="32">
        <v>29</v>
      </c>
      <c r="B30" s="138"/>
      <c r="C30" s="32"/>
      <c r="D30" s="32"/>
      <c r="E30" s="32"/>
      <c r="F30" s="32"/>
      <c r="G30" s="32"/>
    </row>
    <row r="31" spans="1:7" x14ac:dyDescent="0.15">
      <c r="A31" s="136">
        <v>30</v>
      </c>
      <c r="B31" s="137"/>
      <c r="C31" s="136"/>
      <c r="D31" s="136"/>
      <c r="E31" s="136"/>
      <c r="F31" s="136"/>
      <c r="G31" s="136"/>
    </row>
    <row r="32" spans="1:7" x14ac:dyDescent="0.15">
      <c r="A32" s="136">
        <v>31</v>
      </c>
      <c r="B32" s="137"/>
      <c r="C32" s="136"/>
      <c r="D32" s="136"/>
      <c r="E32" s="136"/>
      <c r="F32" s="136"/>
      <c r="G32" s="136"/>
    </row>
    <row r="33" spans="1:7" x14ac:dyDescent="0.15">
      <c r="A33" s="136">
        <v>32</v>
      </c>
      <c r="B33" s="137"/>
      <c r="C33" s="136"/>
      <c r="D33" s="136"/>
      <c r="E33" s="136"/>
      <c r="F33" s="136"/>
      <c r="G33" s="136"/>
    </row>
    <row r="34" spans="1:7" x14ac:dyDescent="0.15">
      <c r="A34" s="136">
        <v>33</v>
      </c>
      <c r="B34" s="137"/>
      <c r="C34" s="136"/>
      <c r="D34" s="136"/>
      <c r="E34" s="136"/>
      <c r="F34" s="136"/>
      <c r="G34" s="136"/>
    </row>
    <row r="35" spans="1:7" x14ac:dyDescent="0.15">
      <c r="A35" s="136">
        <v>34</v>
      </c>
      <c r="B35" s="137"/>
      <c r="C35" s="136"/>
      <c r="D35" s="136"/>
      <c r="E35" s="136"/>
      <c r="F35" s="136"/>
      <c r="G35" s="136"/>
    </row>
    <row r="36" spans="1:7" x14ac:dyDescent="0.15">
      <c r="A36" s="32">
        <v>35</v>
      </c>
      <c r="B36" s="138"/>
      <c r="C36" s="32"/>
      <c r="D36" s="32"/>
      <c r="E36" s="32"/>
      <c r="F36" s="32"/>
      <c r="G36" s="32"/>
    </row>
    <row r="37" spans="1:7" x14ac:dyDescent="0.15">
      <c r="A37" s="32">
        <v>36</v>
      </c>
      <c r="B37" s="138"/>
      <c r="C37" s="32"/>
      <c r="D37" s="32"/>
      <c r="E37" s="32"/>
      <c r="F37" s="32"/>
      <c r="G37" s="32"/>
    </row>
    <row r="38" spans="1:7" x14ac:dyDescent="0.15">
      <c r="A38" s="32">
        <v>37</v>
      </c>
      <c r="B38" s="138"/>
      <c r="C38" s="32"/>
      <c r="D38" s="32"/>
      <c r="E38" s="32"/>
      <c r="F38" s="32"/>
      <c r="G38" s="32"/>
    </row>
    <row r="39" spans="1:7" x14ac:dyDescent="0.15">
      <c r="A39" s="136">
        <v>38</v>
      </c>
      <c r="B39" s="137"/>
      <c r="C39" s="136"/>
      <c r="D39" s="136"/>
      <c r="E39" s="136"/>
      <c r="F39" s="136"/>
      <c r="G39" s="136"/>
    </row>
    <row r="40" spans="1:7" x14ac:dyDescent="0.15">
      <c r="A40" s="136">
        <v>39</v>
      </c>
      <c r="B40" s="137"/>
      <c r="C40" s="136"/>
      <c r="D40" s="136"/>
      <c r="E40" s="136"/>
      <c r="F40" s="136"/>
      <c r="G40" s="136"/>
    </row>
    <row r="41" spans="1:7" x14ac:dyDescent="0.15">
      <c r="A41" s="136">
        <v>40</v>
      </c>
      <c r="B41" s="137"/>
      <c r="C41" s="136"/>
      <c r="D41" s="136"/>
      <c r="E41" s="136"/>
      <c r="F41" s="136"/>
      <c r="G41" s="136"/>
    </row>
    <row r="42" spans="1:7" x14ac:dyDescent="0.15">
      <c r="A42" s="32">
        <v>41</v>
      </c>
      <c r="B42" s="138"/>
      <c r="C42" s="32"/>
      <c r="D42" s="32"/>
      <c r="E42" s="32"/>
      <c r="F42" s="32"/>
      <c r="G42" s="32"/>
    </row>
    <row r="43" spans="1:7" x14ac:dyDescent="0.15">
      <c r="A43" s="32">
        <v>42</v>
      </c>
      <c r="B43" s="138"/>
      <c r="C43" s="32"/>
      <c r="D43" s="32"/>
      <c r="E43" s="32"/>
      <c r="F43" s="32"/>
      <c r="G43" s="32"/>
    </row>
    <row r="44" spans="1:7" x14ac:dyDescent="0.15">
      <c r="A44" s="32">
        <v>43</v>
      </c>
      <c r="B44" s="138"/>
      <c r="C44" s="32"/>
      <c r="D44" s="32"/>
      <c r="E44" s="32"/>
      <c r="F44" s="32"/>
      <c r="G44" s="32"/>
    </row>
    <row r="45" spans="1:7" x14ac:dyDescent="0.15">
      <c r="A45" s="136">
        <v>44</v>
      </c>
      <c r="B45" s="137"/>
      <c r="C45" s="136"/>
      <c r="D45" s="136"/>
      <c r="E45" s="136"/>
      <c r="F45" s="136"/>
      <c r="G45" s="136"/>
    </row>
    <row r="46" spans="1:7" x14ac:dyDescent="0.15">
      <c r="A46" s="136">
        <v>45</v>
      </c>
      <c r="B46" s="137"/>
      <c r="C46" s="136"/>
      <c r="D46" s="136"/>
      <c r="E46" s="136"/>
      <c r="F46" s="136"/>
      <c r="G46" s="136"/>
    </row>
    <row r="47" spans="1:7" x14ac:dyDescent="0.15">
      <c r="A47" s="32">
        <v>46</v>
      </c>
      <c r="B47" s="138"/>
      <c r="C47" s="32"/>
      <c r="D47" s="32"/>
      <c r="E47" s="32"/>
      <c r="F47" s="32"/>
      <c r="G47" s="32"/>
    </row>
    <row r="48" spans="1:7" x14ac:dyDescent="0.15">
      <c r="A48" s="32">
        <v>47</v>
      </c>
      <c r="B48" s="138"/>
      <c r="C48" s="32"/>
      <c r="D48" s="32"/>
      <c r="E48" s="32"/>
      <c r="F48" s="32"/>
      <c r="G48" s="32"/>
    </row>
    <row r="49" spans="1:7" x14ac:dyDescent="0.15">
      <c r="A49" s="32">
        <v>48</v>
      </c>
      <c r="B49" s="138"/>
      <c r="C49" s="32"/>
      <c r="D49" s="32"/>
      <c r="E49" s="32"/>
      <c r="F49" s="32"/>
      <c r="G49" s="32"/>
    </row>
    <row r="50" spans="1:7" x14ac:dyDescent="0.15">
      <c r="A50" s="32">
        <v>49</v>
      </c>
      <c r="B50" s="138"/>
      <c r="C50" s="32"/>
      <c r="D50" s="32"/>
      <c r="E50" s="32"/>
      <c r="F50" s="32"/>
      <c r="G50" s="32"/>
    </row>
    <row r="51" spans="1:7" x14ac:dyDescent="0.15">
      <c r="A51" s="136">
        <v>50</v>
      </c>
      <c r="B51" s="137"/>
      <c r="C51" s="136"/>
      <c r="D51" s="136"/>
      <c r="E51" s="136"/>
      <c r="F51" s="136"/>
      <c r="G51" s="136"/>
    </row>
    <row r="52" spans="1:7" x14ac:dyDescent="0.15">
      <c r="A52" s="136">
        <v>51</v>
      </c>
      <c r="B52" s="137"/>
      <c r="C52" s="136"/>
      <c r="D52" s="136"/>
      <c r="E52" s="136"/>
      <c r="F52" s="136"/>
      <c r="G52" s="136"/>
    </row>
    <row r="53" spans="1:7" x14ac:dyDescent="0.15">
      <c r="A53" s="32">
        <v>52</v>
      </c>
      <c r="B53" s="138"/>
      <c r="C53" s="32"/>
      <c r="D53" s="32"/>
      <c r="E53" s="32"/>
      <c r="F53" s="32"/>
      <c r="G53" s="32"/>
    </row>
    <row r="54" spans="1:7" x14ac:dyDescent="0.15">
      <c r="A54" s="32">
        <v>53</v>
      </c>
      <c r="B54" s="138"/>
      <c r="C54" s="32"/>
      <c r="D54" s="32"/>
      <c r="E54" s="32"/>
      <c r="F54" s="32"/>
      <c r="G54" s="32"/>
    </row>
    <row r="55" spans="1:7" x14ac:dyDescent="0.15">
      <c r="A55" s="136">
        <v>54</v>
      </c>
      <c r="B55" s="137"/>
      <c r="C55" s="136"/>
      <c r="D55" s="136"/>
      <c r="E55" s="136"/>
      <c r="F55" s="136"/>
      <c r="G55" s="136"/>
    </row>
    <row r="56" spans="1:7" x14ac:dyDescent="0.15">
      <c r="A56" s="136">
        <v>55</v>
      </c>
      <c r="B56" s="137"/>
      <c r="C56" s="136"/>
      <c r="D56" s="136"/>
      <c r="E56" s="136"/>
      <c r="F56" s="136"/>
      <c r="G56" s="136"/>
    </row>
    <row r="57" spans="1:7" x14ac:dyDescent="0.15">
      <c r="A57" s="32">
        <v>56</v>
      </c>
      <c r="B57" s="138"/>
      <c r="C57" s="32"/>
      <c r="D57" s="32"/>
      <c r="E57" s="32"/>
      <c r="F57" s="32"/>
      <c r="G57" s="32"/>
    </row>
    <row r="58" spans="1:7" x14ac:dyDescent="0.15">
      <c r="A58" s="32">
        <v>57</v>
      </c>
      <c r="B58" s="138"/>
      <c r="C58" s="32"/>
      <c r="D58" s="32"/>
      <c r="E58" s="32"/>
      <c r="F58" s="32"/>
      <c r="G58" s="32"/>
    </row>
    <row r="59" spans="1:7" x14ac:dyDescent="0.15">
      <c r="A59" s="32">
        <v>58</v>
      </c>
      <c r="B59" s="138"/>
      <c r="C59" s="32"/>
      <c r="D59" s="32"/>
      <c r="E59" s="32"/>
      <c r="F59" s="32"/>
      <c r="G59" s="32"/>
    </row>
    <row r="60" spans="1:7" x14ac:dyDescent="0.15">
      <c r="A60" s="136">
        <v>59</v>
      </c>
      <c r="B60" s="137"/>
      <c r="C60" s="136"/>
      <c r="D60" s="136"/>
      <c r="E60" s="136"/>
      <c r="F60" s="136"/>
      <c r="G60" s="136"/>
    </row>
    <row r="61" spans="1:7" x14ac:dyDescent="0.15">
      <c r="A61" s="32">
        <v>60</v>
      </c>
      <c r="B61" s="138"/>
      <c r="C61" s="32"/>
      <c r="D61" s="32"/>
      <c r="E61" s="32"/>
      <c r="F61" s="32"/>
      <c r="G61" s="32"/>
    </row>
    <row r="62" spans="1:7" x14ac:dyDescent="0.15">
      <c r="A62" s="32">
        <v>61</v>
      </c>
      <c r="B62" s="138"/>
      <c r="C62" s="32"/>
      <c r="D62" s="32"/>
      <c r="E62" s="32"/>
      <c r="F62" s="32"/>
      <c r="G62" s="32"/>
    </row>
    <row r="63" spans="1:7" x14ac:dyDescent="0.15">
      <c r="A63" s="32">
        <v>62</v>
      </c>
      <c r="B63" s="138"/>
      <c r="C63" s="32"/>
      <c r="D63" s="32"/>
      <c r="E63" s="32"/>
      <c r="F63" s="32"/>
      <c r="G63" s="32"/>
    </row>
    <row r="64" spans="1:7" x14ac:dyDescent="0.15">
      <c r="A64" s="32">
        <v>63</v>
      </c>
      <c r="B64" s="138"/>
      <c r="C64" s="32"/>
      <c r="D64" s="32"/>
      <c r="E64" s="32"/>
      <c r="F64" s="32"/>
      <c r="G64" s="32"/>
    </row>
    <row r="65" spans="1:7" x14ac:dyDescent="0.15">
      <c r="A65" s="32">
        <v>64</v>
      </c>
      <c r="B65" s="138"/>
      <c r="C65" s="32"/>
      <c r="D65" s="32"/>
      <c r="E65" s="32"/>
      <c r="F65" s="32"/>
      <c r="G65" s="32"/>
    </row>
    <row r="66" spans="1:7" x14ac:dyDescent="0.15">
      <c r="A66" s="136">
        <v>65</v>
      </c>
      <c r="B66" s="137"/>
      <c r="C66" s="136"/>
      <c r="D66" s="136"/>
      <c r="E66" s="136"/>
      <c r="F66" s="136"/>
      <c r="G66" s="136"/>
    </row>
    <row r="67" spans="1:7" x14ac:dyDescent="0.15">
      <c r="A67" s="136">
        <v>66</v>
      </c>
      <c r="B67" s="137"/>
      <c r="C67" s="136"/>
      <c r="D67" s="136"/>
      <c r="E67" s="136"/>
      <c r="F67" s="136"/>
      <c r="G67" s="136"/>
    </row>
    <row r="68" spans="1:7" x14ac:dyDescent="0.15">
      <c r="A68" s="136">
        <v>67</v>
      </c>
      <c r="B68" s="137"/>
      <c r="C68" s="136"/>
      <c r="D68" s="136"/>
      <c r="E68" s="136"/>
      <c r="F68" s="136"/>
      <c r="G68" s="136"/>
    </row>
    <row r="69" spans="1:7" x14ac:dyDescent="0.15">
      <c r="A69" s="136">
        <v>68</v>
      </c>
      <c r="B69" s="137"/>
      <c r="C69" s="136"/>
      <c r="D69" s="136"/>
      <c r="E69" s="136"/>
      <c r="F69" s="136"/>
      <c r="G69" s="136"/>
    </row>
    <row r="70" spans="1:7" x14ac:dyDescent="0.15">
      <c r="A70" s="136">
        <v>69</v>
      </c>
      <c r="B70" s="137"/>
      <c r="C70" s="136"/>
      <c r="D70" s="136"/>
      <c r="E70" s="136"/>
      <c r="F70" s="136"/>
      <c r="G70" s="136"/>
    </row>
    <row r="71" spans="1:7" x14ac:dyDescent="0.15">
      <c r="A71" s="136">
        <v>70</v>
      </c>
      <c r="B71" s="137"/>
      <c r="C71" s="136"/>
      <c r="D71" s="136"/>
      <c r="E71" s="136"/>
      <c r="F71" s="136"/>
      <c r="G71" s="136"/>
    </row>
    <row r="72" spans="1:7" x14ac:dyDescent="0.15">
      <c r="A72" s="32">
        <v>71</v>
      </c>
      <c r="B72" s="138"/>
      <c r="C72" s="32"/>
      <c r="D72" s="32"/>
      <c r="E72" s="32"/>
      <c r="F72" s="32"/>
      <c r="G72" s="32"/>
    </row>
    <row r="73" spans="1:7" x14ac:dyDescent="0.15">
      <c r="A73" s="32">
        <v>72</v>
      </c>
      <c r="B73" s="138"/>
      <c r="C73" s="32"/>
      <c r="D73" s="32"/>
      <c r="E73" s="32"/>
      <c r="F73" s="32"/>
      <c r="G73" s="32"/>
    </row>
    <row r="74" spans="1:7" x14ac:dyDescent="0.15">
      <c r="A74" s="32">
        <v>73</v>
      </c>
      <c r="B74" s="138"/>
      <c r="C74" s="32"/>
      <c r="D74" s="32"/>
      <c r="E74" s="32"/>
      <c r="F74" s="32"/>
      <c r="G74" s="32"/>
    </row>
    <row r="75" spans="1:7" x14ac:dyDescent="0.15">
      <c r="A75" s="32">
        <v>74</v>
      </c>
      <c r="B75" s="138"/>
      <c r="C75" s="32"/>
      <c r="D75" s="32"/>
      <c r="E75" s="32"/>
      <c r="F75" s="32"/>
      <c r="G75" s="32"/>
    </row>
    <row r="76" spans="1:7" x14ac:dyDescent="0.15">
      <c r="A76" s="136">
        <v>75</v>
      </c>
      <c r="B76" s="137"/>
      <c r="C76" s="136"/>
      <c r="D76" s="136"/>
      <c r="E76" s="136"/>
      <c r="F76" s="136"/>
      <c r="G76" s="136"/>
    </row>
    <row r="77" spans="1:7" x14ac:dyDescent="0.15">
      <c r="A77" s="136">
        <v>76</v>
      </c>
      <c r="B77" s="137"/>
      <c r="C77" s="136"/>
      <c r="D77" s="136"/>
      <c r="E77" s="136"/>
      <c r="F77" s="136"/>
      <c r="G77" s="136"/>
    </row>
    <row r="78" spans="1:7" x14ac:dyDescent="0.15">
      <c r="A78" s="136">
        <v>77</v>
      </c>
      <c r="B78" s="137"/>
      <c r="C78" s="136"/>
      <c r="D78" s="136"/>
      <c r="E78" s="136"/>
      <c r="F78" s="136"/>
      <c r="G78" s="136"/>
    </row>
    <row r="79" spans="1:7" x14ac:dyDescent="0.15">
      <c r="A79" s="32">
        <v>78</v>
      </c>
      <c r="B79" s="138"/>
      <c r="C79" s="32"/>
      <c r="D79" s="32"/>
      <c r="E79" s="32"/>
      <c r="F79" s="32"/>
      <c r="G79" s="32"/>
    </row>
    <row r="80" spans="1:7" x14ac:dyDescent="0.15">
      <c r="A80" s="32">
        <v>79</v>
      </c>
      <c r="B80" s="138"/>
      <c r="C80" s="32"/>
      <c r="D80" s="32"/>
      <c r="E80" s="32"/>
      <c r="F80" s="32"/>
      <c r="G80" s="32"/>
    </row>
    <row r="81" spans="1:7" x14ac:dyDescent="0.15">
      <c r="A81" s="32">
        <v>80</v>
      </c>
      <c r="B81" s="138"/>
      <c r="C81" s="32"/>
      <c r="D81" s="32"/>
      <c r="E81" s="32"/>
      <c r="F81" s="32"/>
      <c r="G81" s="32"/>
    </row>
    <row r="82" spans="1:7" x14ac:dyDescent="0.15">
      <c r="A82" s="136">
        <v>81</v>
      </c>
      <c r="B82" s="137"/>
      <c r="C82" s="136"/>
      <c r="D82" s="136"/>
      <c r="E82" s="136"/>
      <c r="F82" s="136"/>
      <c r="G82" s="136"/>
    </row>
    <row r="83" spans="1:7" x14ac:dyDescent="0.15">
      <c r="A83" s="136">
        <v>82</v>
      </c>
      <c r="B83" s="137"/>
      <c r="C83" s="136"/>
      <c r="D83" s="136"/>
      <c r="E83" s="136"/>
      <c r="F83" s="136"/>
      <c r="G83" s="136"/>
    </row>
    <row r="84" spans="1:7" x14ac:dyDescent="0.15">
      <c r="A84" s="136">
        <v>83</v>
      </c>
      <c r="B84" s="137"/>
      <c r="C84" s="136"/>
      <c r="D84" s="136"/>
      <c r="E84" s="136"/>
      <c r="F84" s="136"/>
      <c r="G84" s="136"/>
    </row>
    <row r="85" spans="1:7" x14ac:dyDescent="0.15">
      <c r="A85" s="136">
        <v>84</v>
      </c>
      <c r="B85" s="137"/>
      <c r="C85" s="136"/>
      <c r="D85" s="136"/>
      <c r="E85" s="136"/>
      <c r="F85" s="136"/>
      <c r="G85" s="136"/>
    </row>
    <row r="86" spans="1:7" x14ac:dyDescent="0.15">
      <c r="A86" s="32">
        <v>85</v>
      </c>
      <c r="B86" s="138"/>
      <c r="C86" s="32"/>
      <c r="D86" s="32"/>
      <c r="E86" s="32"/>
      <c r="F86" s="32"/>
      <c r="G86" s="32"/>
    </row>
    <row r="87" spans="1:7" x14ac:dyDescent="0.15">
      <c r="A87" s="32">
        <v>86</v>
      </c>
      <c r="B87" s="138"/>
      <c r="C87" s="32"/>
      <c r="D87" s="32"/>
      <c r="E87" s="32"/>
      <c r="F87" s="32"/>
      <c r="G87" s="32"/>
    </row>
    <row r="88" spans="1:7" x14ac:dyDescent="0.15">
      <c r="A88" s="32">
        <v>87</v>
      </c>
      <c r="B88" s="138"/>
      <c r="C88" s="32"/>
      <c r="D88" s="32"/>
      <c r="E88" s="32"/>
      <c r="F88" s="32"/>
      <c r="G88" s="32"/>
    </row>
    <row r="89" spans="1:7" x14ac:dyDescent="0.15">
      <c r="A89" s="136">
        <v>88</v>
      </c>
      <c r="B89" s="137"/>
      <c r="C89" s="136"/>
      <c r="D89" s="136"/>
      <c r="E89" s="136"/>
      <c r="F89" s="136"/>
      <c r="G89" s="136"/>
    </row>
    <row r="90" spans="1:7" x14ac:dyDescent="0.15">
      <c r="A90" s="136">
        <v>89</v>
      </c>
      <c r="B90" s="137"/>
      <c r="C90" s="136"/>
      <c r="D90" s="136"/>
      <c r="E90" s="136"/>
      <c r="F90" s="136"/>
      <c r="G90" s="136"/>
    </row>
    <row r="91" spans="1:7" x14ac:dyDescent="0.15">
      <c r="A91" s="32">
        <v>90</v>
      </c>
      <c r="B91" s="138"/>
      <c r="C91" s="32"/>
      <c r="D91" s="32"/>
      <c r="E91" s="32"/>
      <c r="F91" s="32"/>
      <c r="G91" s="32"/>
    </row>
    <row r="92" spans="1:7" x14ac:dyDescent="0.15">
      <c r="A92" s="32">
        <v>91</v>
      </c>
      <c r="B92" s="138"/>
      <c r="C92" s="32"/>
      <c r="D92" s="32"/>
      <c r="E92" s="32"/>
      <c r="F92" s="32"/>
      <c r="G92" s="32"/>
    </row>
    <row r="93" spans="1:7" x14ac:dyDescent="0.15">
      <c r="A93" s="32">
        <v>92</v>
      </c>
      <c r="B93" s="138"/>
      <c r="C93" s="32"/>
      <c r="D93" s="32"/>
      <c r="E93" s="32"/>
      <c r="F93" s="32"/>
      <c r="G93" s="32"/>
    </row>
    <row r="94" spans="1:7" x14ac:dyDescent="0.15">
      <c r="A94" s="136">
        <v>93</v>
      </c>
      <c r="B94" s="137"/>
      <c r="C94" s="136"/>
      <c r="D94" s="136"/>
      <c r="E94" s="136"/>
      <c r="F94" s="136"/>
      <c r="G94" s="136"/>
    </row>
    <row r="95" spans="1:7" x14ac:dyDescent="0.15">
      <c r="A95" s="136">
        <v>94</v>
      </c>
      <c r="B95" s="137"/>
      <c r="C95" s="136"/>
      <c r="D95" s="136"/>
      <c r="E95" s="136"/>
      <c r="F95" s="136"/>
      <c r="G95" s="136"/>
    </row>
    <row r="96" spans="1:7" x14ac:dyDescent="0.15">
      <c r="A96" s="136">
        <v>95</v>
      </c>
      <c r="B96" s="137"/>
      <c r="C96" s="136"/>
      <c r="D96" s="136"/>
      <c r="E96" s="136"/>
      <c r="F96" s="136"/>
      <c r="G96" s="136"/>
    </row>
    <row r="97" spans="1:7" x14ac:dyDescent="0.15">
      <c r="A97" s="32">
        <v>96</v>
      </c>
      <c r="B97" s="138"/>
      <c r="C97" s="32"/>
      <c r="D97" s="32"/>
      <c r="E97" s="32"/>
      <c r="F97" s="32"/>
      <c r="G97" s="32"/>
    </row>
    <row r="98" spans="1:7" x14ac:dyDescent="0.15">
      <c r="A98" s="32">
        <v>97</v>
      </c>
      <c r="B98" s="138"/>
      <c r="C98" s="32"/>
      <c r="D98" s="32"/>
      <c r="E98" s="32"/>
      <c r="F98" s="32"/>
      <c r="G98" s="32"/>
    </row>
    <row r="99" spans="1:7" x14ac:dyDescent="0.15">
      <c r="A99" s="136">
        <v>98</v>
      </c>
      <c r="B99" s="137"/>
      <c r="C99" s="136"/>
      <c r="D99" s="136"/>
      <c r="E99" s="136"/>
      <c r="F99" s="136"/>
      <c r="G99" s="136"/>
    </row>
    <row r="100" spans="1:7" x14ac:dyDescent="0.15">
      <c r="A100" s="136">
        <v>99</v>
      </c>
      <c r="B100" s="137"/>
      <c r="C100" s="136"/>
      <c r="D100" s="136"/>
      <c r="E100" s="136"/>
      <c r="F100" s="136"/>
      <c r="G100" s="136"/>
    </row>
    <row r="101" spans="1:7" x14ac:dyDescent="0.15">
      <c r="A101" s="136">
        <v>100</v>
      </c>
      <c r="B101" s="137"/>
      <c r="C101" s="136"/>
      <c r="D101" s="136"/>
      <c r="E101" s="136"/>
      <c r="F101" s="136"/>
      <c r="G101" s="136"/>
    </row>
    <row r="102" spans="1:7" x14ac:dyDescent="0.15">
      <c r="A102" s="32">
        <v>101</v>
      </c>
      <c r="B102" s="138"/>
      <c r="C102" s="32"/>
      <c r="D102" s="32"/>
      <c r="E102" s="32"/>
      <c r="F102" s="32"/>
      <c r="G102" s="32"/>
    </row>
    <row r="103" spans="1:7" x14ac:dyDescent="0.15">
      <c r="A103" s="32">
        <v>102</v>
      </c>
      <c r="B103" s="138"/>
      <c r="C103" s="32"/>
      <c r="D103" s="32"/>
      <c r="E103" s="32"/>
      <c r="F103" s="32"/>
      <c r="G103" s="32"/>
    </row>
    <row r="104" spans="1:7" x14ac:dyDescent="0.15">
      <c r="A104" s="136">
        <v>103</v>
      </c>
      <c r="B104" s="137"/>
      <c r="C104" s="136"/>
      <c r="D104" s="136"/>
      <c r="E104" s="136"/>
      <c r="F104" s="136"/>
      <c r="G104" s="136"/>
    </row>
    <row r="105" spans="1:7" x14ac:dyDescent="0.15">
      <c r="A105" s="136">
        <v>104</v>
      </c>
      <c r="B105" s="137"/>
      <c r="C105" s="136"/>
      <c r="D105" s="136"/>
      <c r="E105" s="136"/>
      <c r="F105" s="136"/>
      <c r="G105" s="136"/>
    </row>
  </sheetData>
  <mergeCells count="1">
    <mergeCell ref="C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Homepage</vt:lpstr>
      <vt:lpstr>Parameters</vt:lpstr>
      <vt:lpstr>ATM_Conf</vt:lpstr>
      <vt:lpstr>ATMDispatcherConf</vt:lpstr>
      <vt:lpstr>Links</vt:lpstr>
      <vt:lpstr>Nodes</vt:lpstr>
      <vt:lpstr>OD</vt:lpstr>
      <vt:lpstr>On-Ramps</vt:lpstr>
      <vt:lpstr>Off-Ramp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PRD_Conf</vt:lpstr>
      <vt:lpstr>Route_Parts_Conf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2018-04-30T15:04:32Z</dcterms:modified>
</cp:coreProperties>
</file>